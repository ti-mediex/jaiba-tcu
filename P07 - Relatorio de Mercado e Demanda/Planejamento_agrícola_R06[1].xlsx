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itinfoalvarezandmarsalbra.sharepoint.com/sites/2025_FIDRSJaba/Shared Documents/General/5_Work/4_Relatório de mercado - demanda/Revisão 8 PMO/"/>
    </mc:Choice>
  </mc:AlternateContent>
  <xr:revisionPtr revIDLastSave="3319" documentId="120_S{ED1253C6-9E3F-5792-B7F7-D80CCB55F534}" xr6:coauthVersionLast="47" xr6:coauthVersionMax="47" xr10:uidLastSave="{87F30C7E-05AB-4906-877D-9B72841C8543}"/>
  <bookViews>
    <workbookView xWindow="-28910" yWindow="-1960" windowWidth="29020" windowHeight="15700" tabRatio="914" xr2:uid="{03493749-A322-478C-A244-4377D34228C2}"/>
  </bookViews>
  <sheets>
    <sheet name="CAPA" sheetId="138" r:id="rId1"/>
    <sheet name="Lista de Abas" sheetId="139" r:id="rId2"/>
    <sheet name="Premissas" sheetId="128" r:id="rId3"/>
    <sheet name="Planejamento Global" sheetId="127" r:id="rId4"/>
    <sheet name="Balanço custo - receita-modelos" sheetId="134" r:id="rId5"/>
    <sheet name="Área Plant-Colh e Produção" sheetId="135" r:id="rId6"/>
    <sheet name="Resumos -&gt;" sheetId="133" r:id="rId7"/>
    <sheet name="Resumo-Cult.Perma." sheetId="88" r:id="rId8"/>
    <sheet name="Resumo-Cult.Temp." sheetId="105" r:id="rId9"/>
    <sheet name="Custo diversos Manga.Limão" sheetId="93" state="hidden" r:id="rId10"/>
    <sheet name="Custo diversos - Cult.anuais" sheetId="95" state="hidden" r:id="rId11"/>
    <sheet name="Custo diversos - Cana" sheetId="112" state="hidden" r:id="rId12"/>
    <sheet name="Custo sup vegetal-Alimentação" sheetId="96" state="hidden" r:id="rId13"/>
    <sheet name="Rentabilidade -&gt;" sheetId="130" r:id="rId14"/>
    <sheet name="Rentabilidade-Cult.Perma." sheetId="68" r:id="rId15"/>
    <sheet name="Quant. Insumos B Prata" sheetId="97" state="hidden" r:id="rId16"/>
    <sheet name="Rentab. B Prata" sheetId="80" state="hidden" r:id="rId17"/>
    <sheet name="Resumo B Prata" sheetId="89" state="hidden" r:id="rId18"/>
    <sheet name="Quant Insumos - Manga" sheetId="99" state="hidden" r:id="rId19"/>
    <sheet name="Rentab. Manga" sheetId="92" state="hidden" r:id="rId20"/>
    <sheet name="Resumo Manga" sheetId="102" state="hidden" r:id="rId21"/>
    <sheet name="Quant Insumos - Limão" sheetId="98" state="hidden" r:id="rId22"/>
    <sheet name="Rentab. Limão" sheetId="91" state="hidden" r:id="rId23"/>
    <sheet name="Resumo Limão" sheetId="101" state="hidden" r:id="rId24"/>
    <sheet name="Rentabilidade-Cult.Temp." sheetId="104" r:id="rId25"/>
    <sheet name="Quantidade -&gt;" sheetId="129" r:id="rId26"/>
    <sheet name="Quantidade-Cult.Perma." sheetId="85" r:id="rId27"/>
    <sheet name="Quantidade-Cult.Temp." sheetId="103" r:id="rId28"/>
    <sheet name="Apoio -&gt;" sheetId="132" r:id="rId29"/>
    <sheet name="Cálculo de Área Irrigável" sheetId="143" r:id="rId30"/>
    <sheet name="Critérios de Implantação" sheetId="87" r:id="rId31"/>
    <sheet name="Custos Diversos" sheetId="76" r:id="rId32"/>
    <sheet name="Demanda de água e energia" sheetId="100" r:id="rId33"/>
    <sheet name="Custos Insumos" sheetId="1" r:id="rId34"/>
    <sheet name="Preço de venda - Cult Perm." sheetId="136" r:id="rId35"/>
    <sheet name="Preço de venda - Cult. Temp." sheetId="137" r:id="rId36"/>
    <sheet name="Benchmarking" sheetId="141" r:id="rId37"/>
    <sheet name="Inflação" sheetId="140" r:id="rId38"/>
    <sheet name="Quant. insumos - Cana" sheetId="113" state="hidden" r:id="rId39"/>
    <sheet name="Rentab. Cana" sheetId="114" state="hidden" r:id="rId40"/>
    <sheet name="Resumo Cana" sheetId="115" state="hidden" r:id="rId41"/>
  </sheets>
  <definedNames>
    <definedName name="_xlnm._FilterDatabase" localSheetId="1" hidden="1">#N/A</definedName>
    <definedName name="_ftn1" localSheetId="36">Benchmarking!$A$35</definedName>
    <definedName name="_ftn2" localSheetId="36">Benchmarking!$A$36</definedName>
    <definedName name="_ftnref1" localSheetId="36">Benchmarking!#REF!</definedName>
    <definedName name="_ftnref2" localSheetId="36">Benchmarking!#REF!</definedName>
    <definedName name="_xlnm.Print_Area" localSheetId="0">CAPA!$O$6</definedName>
    <definedName name="_xlnm.Print_Area" localSheetId="26">'Quantidade-Cult.Perma.'!#REF!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41" l="1"/>
  <c r="E26" i="141"/>
  <c r="E27" i="141"/>
  <c r="D127" i="135"/>
  <c r="E127" i="135"/>
  <c r="F127" i="135"/>
  <c r="G127" i="135"/>
  <c r="C127" i="135"/>
  <c r="B127" i="135"/>
  <c r="G128" i="135"/>
  <c r="F128" i="135"/>
  <c r="E128" i="135"/>
  <c r="D128" i="135"/>
  <c r="C128" i="135"/>
  <c r="B128" i="135"/>
  <c r="AN53" i="87" l="1"/>
  <c r="AN54" i="87"/>
  <c r="AN55" i="87"/>
  <c r="AN56" i="87"/>
  <c r="AN57" i="87"/>
  <c r="AN58" i="87"/>
  <c r="AN59" i="87"/>
  <c r="AN60" i="87"/>
  <c r="AN52" i="87"/>
  <c r="I61" i="143" l="1"/>
  <c r="C22" i="87"/>
  <c r="C164" i="76" s="1"/>
  <c r="F30" i="87"/>
  <c r="F12" i="87"/>
  <c r="F28" i="87" l="1"/>
  <c r="G45" i="143" l="1"/>
  <c r="G43" i="143" l="1"/>
  <c r="K78" i="135"/>
  <c r="E68" i="104"/>
  <c r="C53" i="68"/>
  <c r="U9" i="137"/>
  <c r="AF65" i="137"/>
  <c r="AN94" i="68" l="1"/>
  <c r="B53" i="143" l="1"/>
  <c r="C42" i="143"/>
  <c r="G58" i="143" s="1"/>
  <c r="B42" i="143"/>
  <c r="G46" i="143" s="1"/>
  <c r="G59" i="143"/>
  <c r="F43" i="143"/>
  <c r="B54" i="143" l="1"/>
  <c r="F58" i="143" s="1"/>
  <c r="I58" i="143" s="1"/>
  <c r="B55" i="143"/>
  <c r="B56" i="143" l="1"/>
  <c r="F59" i="143"/>
  <c r="I59" i="143" l="1"/>
  <c r="I60" i="143"/>
  <c r="G30" i="87" l="1"/>
  <c r="I131" i="135" l="1"/>
  <c r="H131" i="135"/>
  <c r="G131" i="135"/>
  <c r="F131" i="135"/>
  <c r="E131" i="135"/>
  <c r="D131" i="135"/>
  <c r="C131" i="135"/>
  <c r="B131" i="135"/>
  <c r="AP90" i="68" l="1"/>
  <c r="C17" i="140" l="1"/>
  <c r="D61" i="127" l="1"/>
  <c r="E61" i="127"/>
  <c r="F61" i="127"/>
  <c r="F60" i="127"/>
  <c r="F62" i="127"/>
  <c r="F63" i="127"/>
  <c r="F64" i="127" l="1"/>
  <c r="D67" i="127"/>
  <c r="E67" i="127"/>
  <c r="K68" i="104"/>
  <c r="I68" i="104"/>
  <c r="G68" i="104"/>
  <c r="E64" i="104"/>
  <c r="E22" i="141" l="1"/>
  <c r="E24" i="141"/>
  <c r="E23" i="141"/>
  <c r="N30" i="87" l="1"/>
  <c r="N28" i="87" s="1"/>
  <c r="E30" i="87"/>
  <c r="H30" i="87"/>
  <c r="I30" i="87"/>
  <c r="J30" i="87"/>
  <c r="K30" i="87"/>
  <c r="K173" i="127" s="1"/>
  <c r="L30" i="87"/>
  <c r="M30" i="87"/>
  <c r="D30" i="87"/>
  <c r="D47" i="87" s="1"/>
  <c r="D22" i="140"/>
  <c r="E37" i="140" s="1"/>
  <c r="AW22" i="140"/>
  <c r="N40" i="140" s="1"/>
  <c r="C2" i="140"/>
  <c r="D2" i="140"/>
  <c r="E2" i="140"/>
  <c r="F2" i="140"/>
  <c r="G2" i="140"/>
  <c r="H2" i="140"/>
  <c r="I2" i="140"/>
  <c r="J2" i="140"/>
  <c r="K2" i="140"/>
  <c r="L2" i="140"/>
  <c r="M2" i="140"/>
  <c r="N2" i="140"/>
  <c r="O2" i="140"/>
  <c r="P2" i="140"/>
  <c r="Q2" i="140"/>
  <c r="R2" i="140"/>
  <c r="S2" i="140"/>
  <c r="T2" i="140"/>
  <c r="U2" i="140"/>
  <c r="V2" i="140"/>
  <c r="W2" i="140"/>
  <c r="X2" i="140"/>
  <c r="Y2" i="140"/>
  <c r="Z2" i="140"/>
  <c r="AA2" i="140"/>
  <c r="AB2" i="140"/>
  <c r="AC2" i="140"/>
  <c r="AD2" i="140"/>
  <c r="AE2" i="140"/>
  <c r="AF2" i="140"/>
  <c r="AG2" i="140"/>
  <c r="AH2" i="140"/>
  <c r="AI2" i="140"/>
  <c r="AJ2" i="140"/>
  <c r="AK2" i="140"/>
  <c r="AL2" i="140"/>
  <c r="AM2" i="140"/>
  <c r="AN2" i="140"/>
  <c r="AO2" i="140"/>
  <c r="AP2" i="140"/>
  <c r="AQ2" i="140"/>
  <c r="AR2" i="140"/>
  <c r="AS2" i="140"/>
  <c r="AT2" i="140"/>
  <c r="AU2" i="140"/>
  <c r="AV2" i="140"/>
  <c r="AW2" i="140"/>
  <c r="AX2" i="140"/>
  <c r="AY2" i="140"/>
  <c r="AZ2" i="140"/>
  <c r="BA2" i="140"/>
  <c r="BB2" i="140"/>
  <c r="BC2" i="140"/>
  <c r="BD2" i="140"/>
  <c r="BE2" i="140"/>
  <c r="BF2" i="140"/>
  <c r="BG2" i="140"/>
  <c r="BH2" i="140"/>
  <c r="BI2" i="140"/>
  <c r="BJ2" i="140"/>
  <c r="BK2" i="140"/>
  <c r="BL2" i="140"/>
  <c r="BM2" i="140"/>
  <c r="BN2" i="140"/>
  <c r="BO2" i="140"/>
  <c r="BP2" i="140"/>
  <c r="BQ2" i="140"/>
  <c r="BR2" i="140"/>
  <c r="BS2" i="140"/>
  <c r="BT2" i="140"/>
  <c r="BU2" i="140"/>
  <c r="BV2" i="140"/>
  <c r="BW2" i="140"/>
  <c r="BX2" i="140"/>
  <c r="BY2" i="140"/>
  <c r="BZ2" i="140"/>
  <c r="CA2" i="140"/>
  <c r="CB2" i="140"/>
  <c r="CC2" i="140"/>
  <c r="CD2" i="140"/>
  <c r="CE2" i="140"/>
  <c r="CF2" i="140"/>
  <c r="CG2" i="140"/>
  <c r="CH2" i="140"/>
  <c r="CI2" i="140"/>
  <c r="CJ2" i="140"/>
  <c r="CK2" i="140"/>
  <c r="CL2" i="140"/>
  <c r="CM2" i="140"/>
  <c r="CN2" i="140"/>
  <c r="CO2" i="140"/>
  <c r="CP2" i="140"/>
  <c r="CQ2" i="140"/>
  <c r="CR2" i="140"/>
  <c r="CS2" i="140"/>
  <c r="CT2" i="140"/>
  <c r="CU2" i="140"/>
  <c r="CV2" i="140"/>
  <c r="CW2" i="140"/>
  <c r="CX2" i="140"/>
  <c r="CY2" i="140"/>
  <c r="CZ2" i="140"/>
  <c r="DA2" i="140"/>
  <c r="DB2" i="140"/>
  <c r="DC2" i="140"/>
  <c r="DD2" i="140"/>
  <c r="DE2" i="140"/>
  <c r="DF2" i="140"/>
  <c r="DG2" i="140"/>
  <c r="DH2" i="140"/>
  <c r="DI2" i="140"/>
  <c r="DJ2" i="140"/>
  <c r="DK2" i="140"/>
  <c r="DL2" i="140"/>
  <c r="DM2" i="140"/>
  <c r="DN2" i="140"/>
  <c r="C5" i="140"/>
  <c r="D5" i="140"/>
  <c r="D6" i="140" s="1"/>
  <c r="E5" i="140"/>
  <c r="F5" i="140"/>
  <c r="G5" i="140"/>
  <c r="H5" i="140"/>
  <c r="I5" i="140"/>
  <c r="J5" i="140"/>
  <c r="K5" i="140"/>
  <c r="L5" i="140"/>
  <c r="M5" i="140"/>
  <c r="N5" i="140"/>
  <c r="O5" i="140"/>
  <c r="P5" i="140"/>
  <c r="Q5" i="140"/>
  <c r="R5" i="140"/>
  <c r="S5" i="140"/>
  <c r="T5" i="140"/>
  <c r="U5" i="140"/>
  <c r="V5" i="140"/>
  <c r="W5" i="140"/>
  <c r="X5" i="140"/>
  <c r="Y5" i="140"/>
  <c r="Z5" i="140"/>
  <c r="AA5" i="140"/>
  <c r="AB5" i="140"/>
  <c r="AC5" i="140"/>
  <c r="AD5" i="140"/>
  <c r="AE5" i="140"/>
  <c r="AF5" i="140"/>
  <c r="AG5" i="140"/>
  <c r="AH5" i="140"/>
  <c r="AI5" i="140"/>
  <c r="AJ5" i="140"/>
  <c r="AK5" i="140"/>
  <c r="AL5" i="140"/>
  <c r="AM5" i="140"/>
  <c r="AN5" i="140"/>
  <c r="AO5" i="140"/>
  <c r="AP5" i="140"/>
  <c r="AQ5" i="140"/>
  <c r="AR5" i="140"/>
  <c r="AS5" i="140"/>
  <c r="AT5" i="140"/>
  <c r="AU5" i="140"/>
  <c r="AV5" i="140"/>
  <c r="AW5" i="140"/>
  <c r="AX5" i="140"/>
  <c r="AY5" i="140"/>
  <c r="AZ5" i="140"/>
  <c r="BA5" i="140"/>
  <c r="BB5" i="140"/>
  <c r="BC5" i="140"/>
  <c r="BD5" i="140"/>
  <c r="BE5" i="140"/>
  <c r="BF5" i="140"/>
  <c r="BG5" i="140"/>
  <c r="BH5" i="140"/>
  <c r="BI5" i="140"/>
  <c r="BJ5" i="140"/>
  <c r="BK5" i="140"/>
  <c r="BL5" i="140"/>
  <c r="BM5" i="140"/>
  <c r="BN5" i="140"/>
  <c r="BO5" i="140"/>
  <c r="BP5" i="140"/>
  <c r="BQ5" i="140"/>
  <c r="BR5" i="140"/>
  <c r="BS5" i="140"/>
  <c r="BT5" i="140"/>
  <c r="BU5" i="140"/>
  <c r="BV5" i="140"/>
  <c r="BW5" i="140"/>
  <c r="BX5" i="140"/>
  <c r="BY5" i="140"/>
  <c r="BZ5" i="140"/>
  <c r="CA5" i="140"/>
  <c r="CB5" i="140"/>
  <c r="CC5" i="140"/>
  <c r="CD5" i="140"/>
  <c r="CE5" i="140"/>
  <c r="CF5" i="140"/>
  <c r="CG5" i="140"/>
  <c r="CH5" i="140"/>
  <c r="CI5" i="140"/>
  <c r="CJ5" i="140"/>
  <c r="CK5" i="140"/>
  <c r="CL5" i="140"/>
  <c r="CM5" i="140"/>
  <c r="CN5" i="140"/>
  <c r="CO5" i="140"/>
  <c r="CP5" i="140"/>
  <c r="CQ5" i="140"/>
  <c r="CR5" i="140"/>
  <c r="CS5" i="140"/>
  <c r="CT5" i="140"/>
  <c r="CU5" i="140"/>
  <c r="CV5" i="140"/>
  <c r="CW5" i="140"/>
  <c r="CX5" i="140"/>
  <c r="CY5" i="140"/>
  <c r="CZ5" i="140"/>
  <c r="DA5" i="140"/>
  <c r="DB5" i="140"/>
  <c r="DC5" i="140"/>
  <c r="DD5" i="140"/>
  <c r="DE5" i="140"/>
  <c r="DF5" i="140"/>
  <c r="DG5" i="140"/>
  <c r="DH5" i="140"/>
  <c r="DI5" i="140"/>
  <c r="DJ5" i="140"/>
  <c r="DK5" i="140"/>
  <c r="DL5" i="140"/>
  <c r="DM5" i="140"/>
  <c r="DN5" i="140"/>
  <c r="E148" i="76"/>
  <c r="B58" i="104"/>
  <c r="A58" i="104"/>
  <c r="A57" i="104"/>
  <c r="A56" i="104"/>
  <c r="A55" i="104"/>
  <c r="A54" i="104"/>
  <c r="A53" i="104"/>
  <c r="B52" i="104"/>
  <c r="A52" i="104"/>
  <c r="A436" i="68"/>
  <c r="A435" i="68"/>
  <c r="A434" i="68"/>
  <c r="A433" i="68"/>
  <c r="A432" i="68"/>
  <c r="B431" i="68"/>
  <c r="A431" i="68"/>
  <c r="A265" i="68"/>
  <c r="A354" i="68"/>
  <c r="A353" i="68"/>
  <c r="A352" i="68"/>
  <c r="A351" i="68"/>
  <c r="A350" i="68"/>
  <c r="A349" i="68"/>
  <c r="B349" i="68"/>
  <c r="V349" i="68"/>
  <c r="W349" i="68"/>
  <c r="X349" i="68"/>
  <c r="Y349" i="68"/>
  <c r="Z349" i="68"/>
  <c r="AA349" i="68"/>
  <c r="AB349" i="68"/>
  <c r="AC349" i="68"/>
  <c r="AD349" i="68"/>
  <c r="AE349" i="68"/>
  <c r="AF349" i="68"/>
  <c r="AG349" i="68"/>
  <c r="AH349" i="68"/>
  <c r="AI349" i="68"/>
  <c r="AJ349" i="68"/>
  <c r="AK349" i="68"/>
  <c r="AL349" i="68"/>
  <c r="B265" i="68"/>
  <c r="M67" i="136"/>
  <c r="L67" i="136"/>
  <c r="K67" i="136"/>
  <c r="J67" i="136"/>
  <c r="I67" i="136"/>
  <c r="H67" i="136"/>
  <c r="G67" i="136"/>
  <c r="F67" i="136"/>
  <c r="E67" i="136"/>
  <c r="D67" i="136"/>
  <c r="C67" i="136"/>
  <c r="B67" i="136"/>
  <c r="N66" i="136"/>
  <c r="N65" i="136"/>
  <c r="N64" i="136"/>
  <c r="N63" i="136"/>
  <c r="N62" i="136"/>
  <c r="M57" i="136"/>
  <c r="L57" i="136"/>
  <c r="K57" i="136"/>
  <c r="J57" i="136"/>
  <c r="I57" i="136"/>
  <c r="H57" i="136"/>
  <c r="G57" i="136"/>
  <c r="F57" i="136"/>
  <c r="E57" i="136"/>
  <c r="D57" i="136"/>
  <c r="C57" i="136"/>
  <c r="B57" i="136"/>
  <c r="N56" i="136"/>
  <c r="N55" i="136"/>
  <c r="N54" i="136"/>
  <c r="N53" i="136"/>
  <c r="N52" i="136"/>
  <c r="N57" i="136" s="1"/>
  <c r="M47" i="136"/>
  <c r="L47" i="136"/>
  <c r="K47" i="136"/>
  <c r="J47" i="136"/>
  <c r="I47" i="136"/>
  <c r="H47" i="136"/>
  <c r="G47" i="136"/>
  <c r="F47" i="136"/>
  <c r="E47" i="136"/>
  <c r="D47" i="136"/>
  <c r="C47" i="136"/>
  <c r="B47" i="136"/>
  <c r="N46" i="136"/>
  <c r="N45" i="136"/>
  <c r="N44" i="136"/>
  <c r="N43" i="136"/>
  <c r="N42" i="136"/>
  <c r="M26" i="136"/>
  <c r="L26" i="136"/>
  <c r="K26" i="136"/>
  <c r="J26" i="136"/>
  <c r="I26" i="136"/>
  <c r="H26" i="136"/>
  <c r="G26" i="136"/>
  <c r="F26" i="136"/>
  <c r="E26" i="136"/>
  <c r="D26" i="136"/>
  <c r="C26" i="136"/>
  <c r="B26" i="136"/>
  <c r="N25" i="136"/>
  <c r="N24" i="136"/>
  <c r="N23" i="136"/>
  <c r="N22" i="136"/>
  <c r="N21" i="136"/>
  <c r="M132" i="137"/>
  <c r="L132" i="137"/>
  <c r="K132" i="137"/>
  <c r="N132" i="137" s="1"/>
  <c r="J132" i="137"/>
  <c r="I132" i="137"/>
  <c r="H132" i="137"/>
  <c r="G132" i="137"/>
  <c r="F132" i="137"/>
  <c r="E132" i="137"/>
  <c r="D132" i="137"/>
  <c r="C132" i="137"/>
  <c r="B132" i="137"/>
  <c r="M131" i="137"/>
  <c r="L131" i="137"/>
  <c r="L133" i="137" s="1"/>
  <c r="K131" i="137"/>
  <c r="J131" i="137"/>
  <c r="I131" i="137"/>
  <c r="H131" i="137"/>
  <c r="G131" i="137"/>
  <c r="F131" i="137"/>
  <c r="E131" i="137"/>
  <c r="D131" i="137"/>
  <c r="C131" i="137"/>
  <c r="B131" i="137"/>
  <c r="N131" i="137" s="1"/>
  <c r="M130" i="137"/>
  <c r="L130" i="137"/>
  <c r="K130" i="137"/>
  <c r="J130" i="137"/>
  <c r="I130" i="137"/>
  <c r="H130" i="137"/>
  <c r="G130" i="137"/>
  <c r="F130" i="137"/>
  <c r="E130" i="137"/>
  <c r="D130" i="137"/>
  <c r="C130" i="137"/>
  <c r="B130" i="137"/>
  <c r="N130" i="137"/>
  <c r="M129" i="137"/>
  <c r="L129" i="137"/>
  <c r="K129" i="137"/>
  <c r="J129" i="137"/>
  <c r="I129" i="137"/>
  <c r="H129" i="137"/>
  <c r="G129" i="137"/>
  <c r="G133" i="137"/>
  <c r="F129" i="137"/>
  <c r="F133" i="137" s="1"/>
  <c r="E129" i="137"/>
  <c r="E133" i="137" s="1"/>
  <c r="D129" i="137"/>
  <c r="C129" i="137"/>
  <c r="B129" i="137"/>
  <c r="N129" i="137" s="1"/>
  <c r="M128" i="137"/>
  <c r="L128" i="137"/>
  <c r="K128" i="137"/>
  <c r="J128" i="137"/>
  <c r="J133" i="137" s="1"/>
  <c r="I128" i="137"/>
  <c r="I133" i="137" s="1"/>
  <c r="H128" i="137"/>
  <c r="H133" i="137"/>
  <c r="G128" i="137"/>
  <c r="F128" i="137"/>
  <c r="E128" i="137"/>
  <c r="D128" i="137"/>
  <c r="D133" i="137"/>
  <c r="C128" i="137"/>
  <c r="C133" i="137" s="1"/>
  <c r="B128" i="137"/>
  <c r="M124" i="137"/>
  <c r="L124" i="137"/>
  <c r="K124" i="137"/>
  <c r="J124" i="137"/>
  <c r="I124" i="137"/>
  <c r="H124" i="137"/>
  <c r="G124" i="137"/>
  <c r="F124" i="137"/>
  <c r="E124" i="137"/>
  <c r="D124" i="137"/>
  <c r="C124" i="137"/>
  <c r="B124" i="137"/>
  <c r="N123" i="137"/>
  <c r="N122" i="137"/>
  <c r="N121" i="137"/>
  <c r="N120" i="137"/>
  <c r="N119" i="137"/>
  <c r="N124" i="137" s="1"/>
  <c r="M113" i="137"/>
  <c r="L113" i="137"/>
  <c r="K113" i="137"/>
  <c r="J113" i="137"/>
  <c r="I113" i="137"/>
  <c r="I114" i="137" s="1"/>
  <c r="H113" i="137"/>
  <c r="G113" i="137"/>
  <c r="F113" i="137"/>
  <c r="E113" i="137"/>
  <c r="D113" i="137"/>
  <c r="C113" i="137"/>
  <c r="B113" i="137"/>
  <c r="M112" i="137"/>
  <c r="L112" i="137"/>
  <c r="K112" i="137"/>
  <c r="J112" i="137"/>
  <c r="I112" i="137"/>
  <c r="H112" i="137"/>
  <c r="G112" i="137"/>
  <c r="F112" i="137"/>
  <c r="E112" i="137"/>
  <c r="D112" i="137"/>
  <c r="C112" i="137"/>
  <c r="B112" i="137"/>
  <c r="M111" i="137"/>
  <c r="L111" i="137"/>
  <c r="K111" i="137"/>
  <c r="N111" i="137" s="1"/>
  <c r="J111" i="137"/>
  <c r="I111" i="137"/>
  <c r="H111" i="137"/>
  <c r="G111" i="137"/>
  <c r="F111" i="137"/>
  <c r="E111" i="137"/>
  <c r="D111" i="137"/>
  <c r="C111" i="137"/>
  <c r="B111" i="137"/>
  <c r="M110" i="137"/>
  <c r="L110" i="137"/>
  <c r="K110" i="137"/>
  <c r="J110" i="137"/>
  <c r="I110" i="137"/>
  <c r="H110" i="137"/>
  <c r="G110" i="137"/>
  <c r="F110" i="137"/>
  <c r="E110" i="137"/>
  <c r="E114" i="137" s="1"/>
  <c r="D110" i="137"/>
  <c r="D114" i="137" s="1"/>
  <c r="C110" i="137"/>
  <c r="C114" i="137"/>
  <c r="B110" i="137"/>
  <c r="M109" i="137"/>
  <c r="M114" i="137" s="1"/>
  <c r="L109" i="137"/>
  <c r="L114" i="137" s="1"/>
  <c r="K109" i="137"/>
  <c r="K114" i="137" s="1"/>
  <c r="J109" i="137"/>
  <c r="I109" i="137"/>
  <c r="H109" i="137"/>
  <c r="H114" i="137" s="1"/>
  <c r="G109" i="137"/>
  <c r="G114" i="137" s="1"/>
  <c r="F109" i="137"/>
  <c r="F114" i="137" s="1"/>
  <c r="E109" i="137"/>
  <c r="D109" i="137"/>
  <c r="C109" i="137"/>
  <c r="B109" i="137"/>
  <c r="B114" i="137"/>
  <c r="M105" i="137"/>
  <c r="L105" i="137"/>
  <c r="K105" i="137"/>
  <c r="J105" i="137"/>
  <c r="I105" i="137"/>
  <c r="H105" i="137"/>
  <c r="G105" i="137"/>
  <c r="F105" i="137"/>
  <c r="E105" i="137"/>
  <c r="D105" i="137"/>
  <c r="C105" i="137"/>
  <c r="B105" i="137"/>
  <c r="N104" i="137"/>
  <c r="N105" i="137" s="1"/>
  <c r="N103" i="137"/>
  <c r="N102" i="137"/>
  <c r="N101" i="137"/>
  <c r="N100" i="137"/>
  <c r="M94" i="137"/>
  <c r="L94" i="137"/>
  <c r="K94" i="137"/>
  <c r="J94" i="137"/>
  <c r="I94" i="137"/>
  <c r="H94" i="137"/>
  <c r="G94" i="137"/>
  <c r="F94" i="137"/>
  <c r="E94" i="137"/>
  <c r="D94" i="137"/>
  <c r="C94" i="137"/>
  <c r="B94" i="137"/>
  <c r="M93" i="137"/>
  <c r="L93" i="137"/>
  <c r="K93" i="137"/>
  <c r="J93" i="137"/>
  <c r="I93" i="137"/>
  <c r="H93" i="137"/>
  <c r="G93" i="137"/>
  <c r="F93" i="137"/>
  <c r="E93" i="137"/>
  <c r="D93" i="137"/>
  <c r="C93" i="137"/>
  <c r="B93" i="137"/>
  <c r="M92" i="137"/>
  <c r="L92" i="137"/>
  <c r="K92" i="137"/>
  <c r="J92" i="137"/>
  <c r="I92" i="137"/>
  <c r="I95" i="137" s="1"/>
  <c r="H92" i="137"/>
  <c r="G92" i="137"/>
  <c r="F92" i="137"/>
  <c r="E92" i="137"/>
  <c r="D92" i="137"/>
  <c r="C92" i="137"/>
  <c r="B92" i="137"/>
  <c r="M91" i="137"/>
  <c r="M95" i="137" s="1"/>
  <c r="L91" i="137"/>
  <c r="K91" i="137"/>
  <c r="K95" i="137"/>
  <c r="J91" i="137"/>
  <c r="I91" i="137"/>
  <c r="H91" i="137"/>
  <c r="G91" i="137"/>
  <c r="F91" i="137"/>
  <c r="F95" i="137" s="1"/>
  <c r="E91" i="137"/>
  <c r="D91" i="137"/>
  <c r="C91" i="137"/>
  <c r="C95" i="137"/>
  <c r="B91" i="137"/>
  <c r="B95" i="137" s="1"/>
  <c r="M90" i="137"/>
  <c r="L90" i="137"/>
  <c r="L95" i="137" s="1"/>
  <c r="K90" i="137"/>
  <c r="J90" i="137"/>
  <c r="J95" i="137" s="1"/>
  <c r="I90" i="137"/>
  <c r="H90" i="137"/>
  <c r="H95" i="137" s="1"/>
  <c r="G90" i="137"/>
  <c r="F90" i="137"/>
  <c r="E90" i="137"/>
  <c r="E95" i="137" s="1"/>
  <c r="D90" i="137"/>
  <c r="D95" i="137" s="1"/>
  <c r="C90" i="137"/>
  <c r="B90" i="137"/>
  <c r="M86" i="137"/>
  <c r="L86" i="137"/>
  <c r="K86" i="137"/>
  <c r="J86" i="137"/>
  <c r="I86" i="137"/>
  <c r="H86" i="137"/>
  <c r="G86" i="137"/>
  <c r="F86" i="137"/>
  <c r="E86" i="137"/>
  <c r="D86" i="137"/>
  <c r="C86" i="137"/>
  <c r="B86" i="137"/>
  <c r="N85" i="137"/>
  <c r="N84" i="137"/>
  <c r="N83" i="137"/>
  <c r="N82" i="137"/>
  <c r="N81" i="137"/>
  <c r="N86" i="137" s="1"/>
  <c r="D5" i="127"/>
  <c r="E5" i="127" s="1"/>
  <c r="F5" i="127" s="1"/>
  <c r="G5" i="127" s="1"/>
  <c r="H5" i="127" s="1"/>
  <c r="I5" i="127" s="1"/>
  <c r="J5" i="127" s="1"/>
  <c r="K5" i="127" s="1"/>
  <c r="L5" i="127" s="1"/>
  <c r="M5" i="127" s="1"/>
  <c r="N5" i="127" s="1"/>
  <c r="O5" i="127" s="1"/>
  <c r="P5" i="127" s="1"/>
  <c r="Q5" i="127" s="1"/>
  <c r="R5" i="127" s="1"/>
  <c r="S5" i="127" s="1"/>
  <c r="T5" i="127" s="1"/>
  <c r="U5" i="127" s="1"/>
  <c r="V5" i="127" s="1"/>
  <c r="W5" i="127" s="1"/>
  <c r="X5" i="127" s="1"/>
  <c r="Y5" i="127" s="1"/>
  <c r="Z5" i="127" s="1"/>
  <c r="AA5" i="127" s="1"/>
  <c r="AB5" i="127" s="1"/>
  <c r="AC5" i="127" s="1"/>
  <c r="AD5" i="127" s="1"/>
  <c r="AE5" i="127" s="1"/>
  <c r="AF5" i="127" s="1"/>
  <c r="AG5" i="127" s="1"/>
  <c r="AH5" i="127" s="1"/>
  <c r="AI5" i="127" s="1"/>
  <c r="AJ5" i="127" s="1"/>
  <c r="AK5" i="127" s="1"/>
  <c r="C8" i="127"/>
  <c r="C9" i="127"/>
  <c r="C10" i="127"/>
  <c r="C12" i="127"/>
  <c r="C13" i="127"/>
  <c r="C14" i="127"/>
  <c r="C15" i="127"/>
  <c r="AM18" i="127"/>
  <c r="AN18" i="127"/>
  <c r="AO18" i="127"/>
  <c r="AP18" i="127"/>
  <c r="AQ18" i="127"/>
  <c r="AR18" i="127"/>
  <c r="AS18" i="127"/>
  <c r="AT18" i="127"/>
  <c r="AU18" i="127"/>
  <c r="AV18" i="127"/>
  <c r="AW18" i="127"/>
  <c r="AX18" i="127"/>
  <c r="AY18" i="127"/>
  <c r="AZ18" i="127"/>
  <c r="BA18" i="127"/>
  <c r="BB18" i="127"/>
  <c r="BC18" i="127"/>
  <c r="BD18" i="127"/>
  <c r="BE18" i="127"/>
  <c r="BF18" i="127"/>
  <c r="BG18" i="127"/>
  <c r="BH18" i="127"/>
  <c r="BI18" i="127"/>
  <c r="BJ18" i="127"/>
  <c r="BK18" i="127"/>
  <c r="BL18" i="127"/>
  <c r="BM18" i="127"/>
  <c r="BN18" i="127"/>
  <c r="BO18" i="127"/>
  <c r="BP18" i="127"/>
  <c r="BQ18" i="127"/>
  <c r="BR18" i="127"/>
  <c r="BS18" i="127"/>
  <c r="BT18" i="127"/>
  <c r="BU18" i="127"/>
  <c r="BV18" i="127"/>
  <c r="BW18" i="127"/>
  <c r="BX18" i="127"/>
  <c r="BY18" i="127"/>
  <c r="BZ18" i="127"/>
  <c r="CA18" i="127"/>
  <c r="CB18" i="127"/>
  <c r="CC18" i="127"/>
  <c r="CD18" i="127"/>
  <c r="CE18" i="127"/>
  <c r="CF18" i="127"/>
  <c r="CG18" i="127"/>
  <c r="CH18" i="127"/>
  <c r="CI18" i="127"/>
  <c r="CJ18" i="127"/>
  <c r="CK18" i="127"/>
  <c r="CL18" i="127"/>
  <c r="CM18" i="127"/>
  <c r="CN18" i="127"/>
  <c r="CO18" i="127"/>
  <c r="CP18" i="127"/>
  <c r="CQ18" i="127"/>
  <c r="CR18" i="127"/>
  <c r="CS18" i="127"/>
  <c r="CT18" i="127"/>
  <c r="CU18" i="127"/>
  <c r="CV18" i="127"/>
  <c r="CW18" i="127"/>
  <c r="CX18" i="127"/>
  <c r="CY18" i="127"/>
  <c r="CZ18" i="127"/>
  <c r="DA18" i="127"/>
  <c r="DB18" i="127"/>
  <c r="DC18" i="127"/>
  <c r="DD18" i="127"/>
  <c r="DE18" i="127"/>
  <c r="DF18" i="127"/>
  <c r="DG18" i="127"/>
  <c r="DH18" i="127"/>
  <c r="DI18" i="127"/>
  <c r="DJ18" i="127"/>
  <c r="DK18" i="127"/>
  <c r="DL18" i="127"/>
  <c r="DM18" i="127"/>
  <c r="DN18" i="127"/>
  <c r="DO18" i="127"/>
  <c r="DP18" i="127"/>
  <c r="DQ18" i="127"/>
  <c r="DR18" i="127"/>
  <c r="DS18" i="127"/>
  <c r="DT18" i="127"/>
  <c r="DU18" i="127"/>
  <c r="DV18" i="127"/>
  <c r="DW18" i="127"/>
  <c r="DX18" i="127"/>
  <c r="DY18" i="127"/>
  <c r="DZ18" i="127"/>
  <c r="EA18" i="127"/>
  <c r="EB18" i="127"/>
  <c r="EC18" i="127"/>
  <c r="ED18" i="127"/>
  <c r="EE18" i="127"/>
  <c r="EF18" i="127"/>
  <c r="EG18" i="127"/>
  <c r="EH18" i="127"/>
  <c r="EI18" i="127"/>
  <c r="EJ18" i="127"/>
  <c r="EK18" i="127"/>
  <c r="EL18" i="127"/>
  <c r="EM18" i="127"/>
  <c r="EN18" i="127"/>
  <c r="EO18" i="127"/>
  <c r="EP18" i="127"/>
  <c r="EQ18" i="127"/>
  <c r="ER18" i="127"/>
  <c r="ES18" i="127"/>
  <c r="ET18" i="127"/>
  <c r="EU18" i="127"/>
  <c r="EV18" i="127"/>
  <c r="EW18" i="127"/>
  <c r="EX18" i="127"/>
  <c r="EY18" i="127"/>
  <c r="EZ18" i="127"/>
  <c r="FA18" i="127"/>
  <c r="FB18" i="127"/>
  <c r="FC18" i="127"/>
  <c r="FD18" i="127"/>
  <c r="FE18" i="127"/>
  <c r="FF18" i="127"/>
  <c r="FG18" i="127"/>
  <c r="FH18" i="127"/>
  <c r="FI18" i="127"/>
  <c r="FJ18" i="127"/>
  <c r="FK18" i="127"/>
  <c r="FL18" i="127"/>
  <c r="FM18" i="127"/>
  <c r="FN18" i="127"/>
  <c r="FO18" i="127"/>
  <c r="FP18" i="127"/>
  <c r="FQ18" i="127"/>
  <c r="FR18" i="127"/>
  <c r="FS18" i="127"/>
  <c r="FT18" i="127"/>
  <c r="FU18" i="127"/>
  <c r="FV18" i="127"/>
  <c r="FW18" i="127"/>
  <c r="FX18" i="127"/>
  <c r="FY18" i="127"/>
  <c r="FZ18" i="127"/>
  <c r="GA18" i="127"/>
  <c r="GB18" i="127"/>
  <c r="GC18" i="127"/>
  <c r="GD18" i="127"/>
  <c r="GE18" i="127"/>
  <c r="GF18" i="127"/>
  <c r="GG18" i="127"/>
  <c r="GH18" i="127"/>
  <c r="GI18" i="127"/>
  <c r="GJ18" i="127"/>
  <c r="GK18" i="127"/>
  <c r="GL18" i="127"/>
  <c r="GM18" i="127"/>
  <c r="GN18" i="127"/>
  <c r="GO18" i="127"/>
  <c r="GP18" i="127"/>
  <c r="GQ18" i="127"/>
  <c r="GR18" i="127"/>
  <c r="GS18" i="127"/>
  <c r="GT18" i="127"/>
  <c r="GU18" i="127"/>
  <c r="GV18" i="127"/>
  <c r="GW18" i="127"/>
  <c r="GX18" i="127"/>
  <c r="GY18" i="127"/>
  <c r="GZ18" i="127"/>
  <c r="HA18" i="127"/>
  <c r="HB18" i="127"/>
  <c r="HC18" i="127"/>
  <c r="HD18" i="127"/>
  <c r="HE18" i="127"/>
  <c r="HF18" i="127"/>
  <c r="HG18" i="127"/>
  <c r="HH18" i="127"/>
  <c r="HI18" i="127"/>
  <c r="HJ18" i="127"/>
  <c r="HK18" i="127"/>
  <c r="HL18" i="127"/>
  <c r="HM18" i="127"/>
  <c r="HN18" i="127"/>
  <c r="HO18" i="127"/>
  <c r="HP18" i="127"/>
  <c r="HQ18" i="127"/>
  <c r="HR18" i="127"/>
  <c r="HS18" i="127"/>
  <c r="HT18" i="127"/>
  <c r="HU18" i="127"/>
  <c r="HV18" i="127"/>
  <c r="HW18" i="127"/>
  <c r="HX18" i="127"/>
  <c r="HY18" i="127"/>
  <c r="HZ18" i="127"/>
  <c r="IA18" i="127"/>
  <c r="IB18" i="127"/>
  <c r="IC18" i="127"/>
  <c r="ID18" i="127"/>
  <c r="IE18" i="127"/>
  <c r="IF18" i="127"/>
  <c r="IG18" i="127"/>
  <c r="IH18" i="127"/>
  <c r="II18" i="127"/>
  <c r="IJ18" i="127"/>
  <c r="IK18" i="127"/>
  <c r="IL18" i="127"/>
  <c r="IM18" i="127"/>
  <c r="IN18" i="127"/>
  <c r="IO18" i="127"/>
  <c r="IP18" i="127"/>
  <c r="IQ18" i="127"/>
  <c r="IR18" i="127"/>
  <c r="IS18" i="127"/>
  <c r="AM19" i="127"/>
  <c r="AN19" i="127"/>
  <c r="AO19" i="127"/>
  <c r="AP19" i="127"/>
  <c r="AQ19" i="127"/>
  <c r="AR19" i="127"/>
  <c r="AS19" i="127"/>
  <c r="AT19" i="127"/>
  <c r="AU19" i="127"/>
  <c r="AV19" i="127"/>
  <c r="AW19" i="127"/>
  <c r="AX19" i="127"/>
  <c r="AY19" i="127"/>
  <c r="AZ19" i="127"/>
  <c r="BA19" i="127"/>
  <c r="BB19" i="127"/>
  <c r="BC19" i="127"/>
  <c r="BD19" i="127"/>
  <c r="BE19" i="127"/>
  <c r="BF19" i="127"/>
  <c r="BG19" i="127"/>
  <c r="BH19" i="127"/>
  <c r="BI19" i="127"/>
  <c r="BJ19" i="127"/>
  <c r="BK19" i="127"/>
  <c r="BL19" i="127"/>
  <c r="BM19" i="127"/>
  <c r="BN19" i="127"/>
  <c r="BO19" i="127"/>
  <c r="BP19" i="127"/>
  <c r="BQ19" i="127"/>
  <c r="BR19" i="127"/>
  <c r="BS19" i="127"/>
  <c r="BT19" i="127"/>
  <c r="BU19" i="127"/>
  <c r="BV19" i="127"/>
  <c r="BW19" i="127"/>
  <c r="BX19" i="127"/>
  <c r="BY19" i="127"/>
  <c r="BZ19" i="127"/>
  <c r="CA19" i="127"/>
  <c r="CB19" i="127"/>
  <c r="CC19" i="127"/>
  <c r="CD19" i="127"/>
  <c r="CE19" i="127"/>
  <c r="CF19" i="127"/>
  <c r="CG19" i="127"/>
  <c r="CH19" i="127"/>
  <c r="CI19" i="127"/>
  <c r="CJ19" i="127"/>
  <c r="CK19" i="127"/>
  <c r="CL19" i="127"/>
  <c r="CM19" i="127"/>
  <c r="CN19" i="127"/>
  <c r="CO19" i="127"/>
  <c r="CP19" i="127"/>
  <c r="CQ19" i="127"/>
  <c r="CR19" i="127"/>
  <c r="CS19" i="127"/>
  <c r="CT19" i="127"/>
  <c r="CU19" i="127"/>
  <c r="CV19" i="127"/>
  <c r="CW19" i="127"/>
  <c r="CX19" i="127"/>
  <c r="CY19" i="127"/>
  <c r="CZ19" i="127"/>
  <c r="DA19" i="127"/>
  <c r="DB19" i="127"/>
  <c r="DC19" i="127"/>
  <c r="DD19" i="127"/>
  <c r="DE19" i="127"/>
  <c r="DF19" i="127"/>
  <c r="DG19" i="127"/>
  <c r="DH19" i="127"/>
  <c r="DI19" i="127"/>
  <c r="DJ19" i="127"/>
  <c r="DK19" i="127"/>
  <c r="DL19" i="127"/>
  <c r="DM19" i="127"/>
  <c r="DN19" i="127"/>
  <c r="DO19" i="127"/>
  <c r="DP19" i="127"/>
  <c r="DQ19" i="127"/>
  <c r="DR19" i="127"/>
  <c r="DS19" i="127"/>
  <c r="DT19" i="127"/>
  <c r="DU19" i="127"/>
  <c r="DV19" i="127"/>
  <c r="DW19" i="127"/>
  <c r="DX19" i="127"/>
  <c r="DY19" i="127"/>
  <c r="DZ19" i="127"/>
  <c r="EA19" i="127"/>
  <c r="EB19" i="127"/>
  <c r="EC19" i="127"/>
  <c r="ED19" i="127"/>
  <c r="EE19" i="127"/>
  <c r="EF19" i="127"/>
  <c r="EG19" i="127"/>
  <c r="EH19" i="127"/>
  <c r="EI19" i="127"/>
  <c r="EJ19" i="127"/>
  <c r="EK19" i="127"/>
  <c r="EL19" i="127"/>
  <c r="EM19" i="127"/>
  <c r="EN19" i="127"/>
  <c r="EO19" i="127"/>
  <c r="EP19" i="127"/>
  <c r="EQ19" i="127"/>
  <c r="ER19" i="127"/>
  <c r="ES19" i="127"/>
  <c r="ET19" i="127"/>
  <c r="EU19" i="127"/>
  <c r="EV19" i="127"/>
  <c r="EW19" i="127"/>
  <c r="EX19" i="127"/>
  <c r="EY19" i="127"/>
  <c r="EZ19" i="127"/>
  <c r="FA19" i="127"/>
  <c r="FB19" i="127"/>
  <c r="FC19" i="127"/>
  <c r="FD19" i="127"/>
  <c r="FE19" i="127"/>
  <c r="FF19" i="127"/>
  <c r="FG19" i="127"/>
  <c r="FH19" i="127"/>
  <c r="FI19" i="127"/>
  <c r="FJ19" i="127"/>
  <c r="FK19" i="127"/>
  <c r="FL19" i="127"/>
  <c r="FM19" i="127"/>
  <c r="FN19" i="127"/>
  <c r="FO19" i="127"/>
  <c r="FP19" i="127"/>
  <c r="FQ19" i="127"/>
  <c r="FR19" i="127"/>
  <c r="FS19" i="127"/>
  <c r="FT19" i="127"/>
  <c r="FU19" i="127"/>
  <c r="FV19" i="127"/>
  <c r="FW19" i="127"/>
  <c r="FX19" i="127"/>
  <c r="FY19" i="127"/>
  <c r="FZ19" i="127"/>
  <c r="GA19" i="127"/>
  <c r="GB19" i="127"/>
  <c r="GC19" i="127"/>
  <c r="GD19" i="127"/>
  <c r="GE19" i="127"/>
  <c r="GF19" i="127"/>
  <c r="GG19" i="127"/>
  <c r="GH19" i="127"/>
  <c r="GI19" i="127"/>
  <c r="GJ19" i="127"/>
  <c r="GK19" i="127"/>
  <c r="GL19" i="127"/>
  <c r="GM19" i="127"/>
  <c r="GN19" i="127"/>
  <c r="GO19" i="127"/>
  <c r="GP19" i="127"/>
  <c r="GQ19" i="127"/>
  <c r="GR19" i="127"/>
  <c r="GS19" i="127"/>
  <c r="GT19" i="127"/>
  <c r="GU19" i="127"/>
  <c r="GV19" i="127"/>
  <c r="GW19" i="127"/>
  <c r="GX19" i="127"/>
  <c r="GY19" i="127"/>
  <c r="GZ19" i="127"/>
  <c r="HA19" i="127"/>
  <c r="HB19" i="127"/>
  <c r="HC19" i="127"/>
  <c r="HD19" i="127"/>
  <c r="HE19" i="127"/>
  <c r="HF19" i="127"/>
  <c r="HG19" i="127"/>
  <c r="HH19" i="127"/>
  <c r="HI19" i="127"/>
  <c r="HJ19" i="127"/>
  <c r="HK19" i="127"/>
  <c r="HL19" i="127"/>
  <c r="HM19" i="127"/>
  <c r="HN19" i="127"/>
  <c r="HO19" i="127"/>
  <c r="HP19" i="127"/>
  <c r="HQ19" i="127"/>
  <c r="HR19" i="127"/>
  <c r="HS19" i="127"/>
  <c r="HT19" i="127"/>
  <c r="HU19" i="127"/>
  <c r="HV19" i="127"/>
  <c r="HW19" i="127"/>
  <c r="HX19" i="127"/>
  <c r="HY19" i="127"/>
  <c r="HZ19" i="127"/>
  <c r="IA19" i="127"/>
  <c r="IB19" i="127"/>
  <c r="IC19" i="127"/>
  <c r="ID19" i="127"/>
  <c r="IE19" i="127"/>
  <c r="IF19" i="127"/>
  <c r="IG19" i="127"/>
  <c r="IH19" i="127"/>
  <c r="II19" i="127"/>
  <c r="IJ19" i="127"/>
  <c r="IK19" i="127"/>
  <c r="IL19" i="127"/>
  <c r="IM19" i="127"/>
  <c r="IN19" i="127"/>
  <c r="IO19" i="127"/>
  <c r="IP19" i="127"/>
  <c r="IQ19" i="127"/>
  <c r="IR19" i="127"/>
  <c r="IS19" i="127"/>
  <c r="AM20" i="127"/>
  <c r="AN20" i="127"/>
  <c r="AO20" i="127"/>
  <c r="AP20" i="127"/>
  <c r="AQ20" i="127"/>
  <c r="AR20" i="127"/>
  <c r="AS20" i="127"/>
  <c r="AT20" i="127"/>
  <c r="AU20" i="127"/>
  <c r="AV20" i="127"/>
  <c r="AW20" i="127"/>
  <c r="AX20" i="127"/>
  <c r="AY20" i="127"/>
  <c r="AZ20" i="127"/>
  <c r="BA20" i="127"/>
  <c r="BB20" i="127"/>
  <c r="BC20" i="127"/>
  <c r="BD20" i="127"/>
  <c r="BE20" i="127"/>
  <c r="BF20" i="127"/>
  <c r="BG20" i="127"/>
  <c r="BH20" i="127"/>
  <c r="BI20" i="127"/>
  <c r="BJ20" i="127"/>
  <c r="BK20" i="127"/>
  <c r="BL20" i="127"/>
  <c r="BM20" i="127"/>
  <c r="BN20" i="127"/>
  <c r="BO20" i="127"/>
  <c r="BP20" i="127"/>
  <c r="BQ20" i="127"/>
  <c r="BR20" i="127"/>
  <c r="BS20" i="127"/>
  <c r="BT20" i="127"/>
  <c r="BU20" i="127"/>
  <c r="BV20" i="127"/>
  <c r="BW20" i="127"/>
  <c r="BX20" i="127"/>
  <c r="BY20" i="127"/>
  <c r="BZ20" i="127"/>
  <c r="CA20" i="127"/>
  <c r="CB20" i="127"/>
  <c r="CC20" i="127"/>
  <c r="CD20" i="127"/>
  <c r="CE20" i="127"/>
  <c r="CF20" i="127"/>
  <c r="CG20" i="127"/>
  <c r="CH20" i="127"/>
  <c r="CI20" i="127"/>
  <c r="CJ20" i="127"/>
  <c r="CK20" i="127"/>
  <c r="CL20" i="127"/>
  <c r="CM20" i="127"/>
  <c r="CN20" i="127"/>
  <c r="CO20" i="127"/>
  <c r="CP20" i="127"/>
  <c r="CQ20" i="127"/>
  <c r="CR20" i="127"/>
  <c r="CS20" i="127"/>
  <c r="CT20" i="127"/>
  <c r="CU20" i="127"/>
  <c r="CV20" i="127"/>
  <c r="CW20" i="127"/>
  <c r="CX20" i="127"/>
  <c r="CY20" i="127"/>
  <c r="CZ20" i="127"/>
  <c r="DA20" i="127"/>
  <c r="DB20" i="127"/>
  <c r="DC20" i="127"/>
  <c r="DD20" i="127"/>
  <c r="DE20" i="127"/>
  <c r="DF20" i="127"/>
  <c r="DG20" i="127"/>
  <c r="DH20" i="127"/>
  <c r="DI20" i="127"/>
  <c r="DJ20" i="127"/>
  <c r="DK20" i="127"/>
  <c r="DL20" i="127"/>
  <c r="DM20" i="127"/>
  <c r="DN20" i="127"/>
  <c r="DO20" i="127"/>
  <c r="DP20" i="127"/>
  <c r="DQ20" i="127"/>
  <c r="DR20" i="127"/>
  <c r="DS20" i="127"/>
  <c r="DT20" i="127"/>
  <c r="DU20" i="127"/>
  <c r="DV20" i="127"/>
  <c r="DW20" i="127"/>
  <c r="DX20" i="127"/>
  <c r="DY20" i="127"/>
  <c r="DZ20" i="127"/>
  <c r="EA20" i="127"/>
  <c r="EB20" i="127"/>
  <c r="EC20" i="127"/>
  <c r="ED20" i="127"/>
  <c r="EE20" i="127"/>
  <c r="EF20" i="127"/>
  <c r="EG20" i="127"/>
  <c r="EH20" i="127"/>
  <c r="EI20" i="127"/>
  <c r="EJ20" i="127"/>
  <c r="EK20" i="127"/>
  <c r="EL20" i="127"/>
  <c r="EM20" i="127"/>
  <c r="EN20" i="127"/>
  <c r="EO20" i="127"/>
  <c r="EP20" i="127"/>
  <c r="EQ20" i="127"/>
  <c r="ER20" i="127"/>
  <c r="ES20" i="127"/>
  <c r="ET20" i="127"/>
  <c r="EU20" i="127"/>
  <c r="EV20" i="127"/>
  <c r="EW20" i="127"/>
  <c r="EX20" i="127"/>
  <c r="EY20" i="127"/>
  <c r="EZ20" i="127"/>
  <c r="FA20" i="127"/>
  <c r="FB20" i="127"/>
  <c r="FC20" i="127"/>
  <c r="FD20" i="127"/>
  <c r="FE20" i="127"/>
  <c r="FF20" i="127"/>
  <c r="FG20" i="127"/>
  <c r="FH20" i="127"/>
  <c r="FI20" i="127"/>
  <c r="FJ20" i="127"/>
  <c r="FK20" i="127"/>
  <c r="FL20" i="127"/>
  <c r="FM20" i="127"/>
  <c r="FN20" i="127"/>
  <c r="FO20" i="127"/>
  <c r="FP20" i="127"/>
  <c r="FQ20" i="127"/>
  <c r="FR20" i="127"/>
  <c r="FS20" i="127"/>
  <c r="FT20" i="127"/>
  <c r="FU20" i="127"/>
  <c r="FV20" i="127"/>
  <c r="FW20" i="127"/>
  <c r="FX20" i="127"/>
  <c r="FY20" i="127"/>
  <c r="FZ20" i="127"/>
  <c r="GA20" i="127"/>
  <c r="GB20" i="127"/>
  <c r="GC20" i="127"/>
  <c r="GD20" i="127"/>
  <c r="GE20" i="127"/>
  <c r="GF20" i="127"/>
  <c r="GG20" i="127"/>
  <c r="GH20" i="127"/>
  <c r="GI20" i="127"/>
  <c r="GJ20" i="127"/>
  <c r="GK20" i="127"/>
  <c r="GL20" i="127"/>
  <c r="GM20" i="127"/>
  <c r="GN20" i="127"/>
  <c r="GO20" i="127"/>
  <c r="GP20" i="127"/>
  <c r="GQ20" i="127"/>
  <c r="GR20" i="127"/>
  <c r="GS20" i="127"/>
  <c r="GT20" i="127"/>
  <c r="GU20" i="127"/>
  <c r="GV20" i="127"/>
  <c r="GW20" i="127"/>
  <c r="GX20" i="127"/>
  <c r="GY20" i="127"/>
  <c r="GZ20" i="127"/>
  <c r="HA20" i="127"/>
  <c r="HB20" i="127"/>
  <c r="HC20" i="127"/>
  <c r="HD20" i="127"/>
  <c r="HE20" i="127"/>
  <c r="HF20" i="127"/>
  <c r="HG20" i="127"/>
  <c r="HH20" i="127"/>
  <c r="HI20" i="127"/>
  <c r="HJ20" i="127"/>
  <c r="HK20" i="127"/>
  <c r="HL20" i="127"/>
  <c r="HM20" i="127"/>
  <c r="HN20" i="127"/>
  <c r="HO20" i="127"/>
  <c r="HP20" i="127"/>
  <c r="HQ20" i="127"/>
  <c r="HR20" i="127"/>
  <c r="HS20" i="127"/>
  <c r="HT20" i="127"/>
  <c r="HU20" i="127"/>
  <c r="HV20" i="127"/>
  <c r="HW20" i="127"/>
  <c r="HX20" i="127"/>
  <c r="HY20" i="127"/>
  <c r="HZ20" i="127"/>
  <c r="IA20" i="127"/>
  <c r="IB20" i="127"/>
  <c r="IC20" i="127"/>
  <c r="ID20" i="127"/>
  <c r="IE20" i="127"/>
  <c r="IF20" i="127"/>
  <c r="IG20" i="127"/>
  <c r="IH20" i="127"/>
  <c r="II20" i="127"/>
  <c r="IJ20" i="127"/>
  <c r="IK20" i="127"/>
  <c r="IL20" i="127"/>
  <c r="IM20" i="127"/>
  <c r="IN20" i="127"/>
  <c r="IO20" i="127"/>
  <c r="IP20" i="127"/>
  <c r="IQ20" i="127"/>
  <c r="IR20" i="127"/>
  <c r="IS20" i="127"/>
  <c r="AM21" i="127"/>
  <c r="AN21" i="127"/>
  <c r="AO21" i="127"/>
  <c r="AP21" i="127"/>
  <c r="AQ21" i="127"/>
  <c r="AR21" i="127"/>
  <c r="AS21" i="127"/>
  <c r="AT21" i="127"/>
  <c r="AU21" i="127"/>
  <c r="AV21" i="127"/>
  <c r="AW21" i="127"/>
  <c r="AX21" i="127"/>
  <c r="AY21" i="127"/>
  <c r="AZ21" i="127"/>
  <c r="BA21" i="127"/>
  <c r="BB21" i="127"/>
  <c r="BC21" i="127"/>
  <c r="BD21" i="127"/>
  <c r="BE21" i="127"/>
  <c r="BF21" i="127"/>
  <c r="BG21" i="127"/>
  <c r="BH21" i="127"/>
  <c r="BI21" i="127"/>
  <c r="BJ21" i="127"/>
  <c r="BK21" i="127"/>
  <c r="BL21" i="127"/>
  <c r="BM21" i="127"/>
  <c r="BN21" i="127"/>
  <c r="BO21" i="127"/>
  <c r="BP21" i="127"/>
  <c r="BQ21" i="127"/>
  <c r="BR21" i="127"/>
  <c r="BS21" i="127"/>
  <c r="BT21" i="127"/>
  <c r="BU21" i="127"/>
  <c r="BV21" i="127"/>
  <c r="BW21" i="127"/>
  <c r="BX21" i="127"/>
  <c r="BY21" i="127"/>
  <c r="BZ21" i="127"/>
  <c r="CA21" i="127"/>
  <c r="CB21" i="127"/>
  <c r="CC21" i="127"/>
  <c r="CD21" i="127"/>
  <c r="CE21" i="127"/>
  <c r="CF21" i="127"/>
  <c r="CG21" i="127"/>
  <c r="CH21" i="127"/>
  <c r="CI21" i="127"/>
  <c r="CJ21" i="127"/>
  <c r="CK21" i="127"/>
  <c r="CL21" i="127"/>
  <c r="CM21" i="127"/>
  <c r="CN21" i="127"/>
  <c r="CO21" i="127"/>
  <c r="CP21" i="127"/>
  <c r="CQ21" i="127"/>
  <c r="CR21" i="127"/>
  <c r="CS21" i="127"/>
  <c r="CT21" i="127"/>
  <c r="CU21" i="127"/>
  <c r="CV21" i="127"/>
  <c r="CW21" i="127"/>
  <c r="CX21" i="127"/>
  <c r="CY21" i="127"/>
  <c r="CZ21" i="127"/>
  <c r="DA21" i="127"/>
  <c r="DB21" i="127"/>
  <c r="DC21" i="127"/>
  <c r="DD21" i="127"/>
  <c r="DE21" i="127"/>
  <c r="DF21" i="127"/>
  <c r="DG21" i="127"/>
  <c r="DH21" i="127"/>
  <c r="DI21" i="127"/>
  <c r="DJ21" i="127"/>
  <c r="DK21" i="127"/>
  <c r="DL21" i="127"/>
  <c r="DM21" i="127"/>
  <c r="DN21" i="127"/>
  <c r="DO21" i="127"/>
  <c r="DP21" i="127"/>
  <c r="DQ21" i="127"/>
  <c r="DR21" i="127"/>
  <c r="DS21" i="127"/>
  <c r="DT21" i="127"/>
  <c r="DU21" i="127"/>
  <c r="DV21" i="127"/>
  <c r="DW21" i="127"/>
  <c r="DX21" i="127"/>
  <c r="DY21" i="127"/>
  <c r="DZ21" i="127"/>
  <c r="EA21" i="127"/>
  <c r="EB21" i="127"/>
  <c r="EC21" i="127"/>
  <c r="ED21" i="127"/>
  <c r="EE21" i="127"/>
  <c r="EF21" i="127"/>
  <c r="EG21" i="127"/>
  <c r="EH21" i="127"/>
  <c r="EI21" i="127"/>
  <c r="EJ21" i="127"/>
  <c r="EK21" i="127"/>
  <c r="EL21" i="127"/>
  <c r="EM21" i="127"/>
  <c r="EN21" i="127"/>
  <c r="EO21" i="127"/>
  <c r="EP21" i="127"/>
  <c r="EQ21" i="127"/>
  <c r="ER21" i="127"/>
  <c r="ES21" i="127"/>
  <c r="ET21" i="127"/>
  <c r="EU21" i="127"/>
  <c r="EV21" i="127"/>
  <c r="EW21" i="127"/>
  <c r="EX21" i="127"/>
  <c r="EY21" i="127"/>
  <c r="EZ21" i="127"/>
  <c r="FA21" i="127"/>
  <c r="FB21" i="127"/>
  <c r="FC21" i="127"/>
  <c r="FD21" i="127"/>
  <c r="FE21" i="127"/>
  <c r="FF21" i="127"/>
  <c r="FG21" i="127"/>
  <c r="FH21" i="127"/>
  <c r="FI21" i="127"/>
  <c r="FJ21" i="127"/>
  <c r="FK21" i="127"/>
  <c r="FL21" i="127"/>
  <c r="FM21" i="127"/>
  <c r="FN21" i="127"/>
  <c r="FO21" i="127"/>
  <c r="FP21" i="127"/>
  <c r="FQ21" i="127"/>
  <c r="FR21" i="127"/>
  <c r="FS21" i="127"/>
  <c r="FT21" i="127"/>
  <c r="FU21" i="127"/>
  <c r="FV21" i="127"/>
  <c r="FW21" i="127"/>
  <c r="FX21" i="127"/>
  <c r="FY21" i="127"/>
  <c r="FZ21" i="127"/>
  <c r="GA21" i="127"/>
  <c r="GB21" i="127"/>
  <c r="GC21" i="127"/>
  <c r="GD21" i="127"/>
  <c r="GE21" i="127"/>
  <c r="GF21" i="127"/>
  <c r="GG21" i="127"/>
  <c r="GH21" i="127"/>
  <c r="GI21" i="127"/>
  <c r="GJ21" i="127"/>
  <c r="GK21" i="127"/>
  <c r="GL21" i="127"/>
  <c r="GM21" i="127"/>
  <c r="GN21" i="127"/>
  <c r="GO21" i="127"/>
  <c r="GP21" i="127"/>
  <c r="GQ21" i="127"/>
  <c r="GR21" i="127"/>
  <c r="GS21" i="127"/>
  <c r="GT21" i="127"/>
  <c r="GU21" i="127"/>
  <c r="GV21" i="127"/>
  <c r="GW21" i="127"/>
  <c r="GX21" i="127"/>
  <c r="GY21" i="127"/>
  <c r="GZ21" i="127"/>
  <c r="HA21" i="127"/>
  <c r="HB21" i="127"/>
  <c r="HC21" i="127"/>
  <c r="HD21" i="127"/>
  <c r="HE21" i="127"/>
  <c r="HF21" i="127"/>
  <c r="HG21" i="127"/>
  <c r="HH21" i="127"/>
  <c r="HI21" i="127"/>
  <c r="HJ21" i="127"/>
  <c r="HK21" i="127"/>
  <c r="HL21" i="127"/>
  <c r="HM21" i="127"/>
  <c r="HN21" i="127"/>
  <c r="HO21" i="127"/>
  <c r="HP21" i="127"/>
  <c r="HQ21" i="127"/>
  <c r="HR21" i="127"/>
  <c r="HS21" i="127"/>
  <c r="HT21" i="127"/>
  <c r="HU21" i="127"/>
  <c r="HV21" i="127"/>
  <c r="HW21" i="127"/>
  <c r="HX21" i="127"/>
  <c r="HY21" i="127"/>
  <c r="HZ21" i="127"/>
  <c r="IA21" i="127"/>
  <c r="IB21" i="127"/>
  <c r="IC21" i="127"/>
  <c r="ID21" i="127"/>
  <c r="IE21" i="127"/>
  <c r="IF21" i="127"/>
  <c r="IG21" i="127"/>
  <c r="IH21" i="127"/>
  <c r="II21" i="127"/>
  <c r="IJ21" i="127"/>
  <c r="IK21" i="127"/>
  <c r="IL21" i="127"/>
  <c r="IM21" i="127"/>
  <c r="IN21" i="127"/>
  <c r="IO21" i="127"/>
  <c r="IP21" i="127"/>
  <c r="IQ21" i="127"/>
  <c r="IR21" i="127"/>
  <c r="IS21" i="127"/>
  <c r="AM22" i="127"/>
  <c r="AN22" i="127"/>
  <c r="AO22" i="127"/>
  <c r="AP22" i="127"/>
  <c r="AQ22" i="127"/>
  <c r="AR22" i="127"/>
  <c r="AS22" i="127"/>
  <c r="AT22" i="127"/>
  <c r="AU22" i="127"/>
  <c r="AV22" i="127"/>
  <c r="AW22" i="127"/>
  <c r="AX22" i="127"/>
  <c r="AY22" i="127"/>
  <c r="AZ22" i="127"/>
  <c r="BA22" i="127"/>
  <c r="BB22" i="127"/>
  <c r="BC22" i="127"/>
  <c r="BD22" i="127"/>
  <c r="BE22" i="127"/>
  <c r="BF22" i="127"/>
  <c r="BG22" i="127"/>
  <c r="BH22" i="127"/>
  <c r="BI22" i="127"/>
  <c r="BJ22" i="127"/>
  <c r="BK22" i="127"/>
  <c r="BL22" i="127"/>
  <c r="BM22" i="127"/>
  <c r="BN22" i="127"/>
  <c r="BO22" i="127"/>
  <c r="BP22" i="127"/>
  <c r="BQ22" i="127"/>
  <c r="BR22" i="127"/>
  <c r="BS22" i="127"/>
  <c r="BT22" i="127"/>
  <c r="BU22" i="127"/>
  <c r="BV22" i="127"/>
  <c r="BW22" i="127"/>
  <c r="BX22" i="127"/>
  <c r="BY22" i="127"/>
  <c r="BZ22" i="127"/>
  <c r="CA22" i="127"/>
  <c r="CB22" i="127"/>
  <c r="CC22" i="127"/>
  <c r="CD22" i="127"/>
  <c r="CE22" i="127"/>
  <c r="CF22" i="127"/>
  <c r="CG22" i="127"/>
  <c r="CH22" i="127"/>
  <c r="CI22" i="127"/>
  <c r="CJ22" i="127"/>
  <c r="CK22" i="127"/>
  <c r="CL22" i="127"/>
  <c r="CM22" i="127"/>
  <c r="CN22" i="127"/>
  <c r="CO22" i="127"/>
  <c r="CP22" i="127"/>
  <c r="CQ22" i="127"/>
  <c r="CR22" i="127"/>
  <c r="CS22" i="127"/>
  <c r="CT22" i="127"/>
  <c r="CU22" i="127"/>
  <c r="CV22" i="127"/>
  <c r="CW22" i="127"/>
  <c r="CX22" i="127"/>
  <c r="CY22" i="127"/>
  <c r="CZ22" i="127"/>
  <c r="DA22" i="127"/>
  <c r="DB22" i="127"/>
  <c r="DC22" i="127"/>
  <c r="DD22" i="127"/>
  <c r="DE22" i="127"/>
  <c r="DF22" i="127"/>
  <c r="DG22" i="127"/>
  <c r="DH22" i="127"/>
  <c r="DI22" i="127"/>
  <c r="DJ22" i="127"/>
  <c r="DK22" i="127"/>
  <c r="DL22" i="127"/>
  <c r="DM22" i="127"/>
  <c r="DN22" i="127"/>
  <c r="DO22" i="127"/>
  <c r="DP22" i="127"/>
  <c r="DQ22" i="127"/>
  <c r="DR22" i="127"/>
  <c r="DS22" i="127"/>
  <c r="DT22" i="127"/>
  <c r="DU22" i="127"/>
  <c r="DV22" i="127"/>
  <c r="DW22" i="127"/>
  <c r="DX22" i="127"/>
  <c r="DY22" i="127"/>
  <c r="DZ22" i="127"/>
  <c r="EA22" i="127"/>
  <c r="EB22" i="127"/>
  <c r="EC22" i="127"/>
  <c r="ED22" i="127"/>
  <c r="EE22" i="127"/>
  <c r="EF22" i="127"/>
  <c r="EG22" i="127"/>
  <c r="EH22" i="127"/>
  <c r="EI22" i="127"/>
  <c r="EJ22" i="127"/>
  <c r="EK22" i="127"/>
  <c r="EL22" i="127"/>
  <c r="EM22" i="127"/>
  <c r="EN22" i="127"/>
  <c r="EO22" i="127"/>
  <c r="EP22" i="127"/>
  <c r="EQ22" i="127"/>
  <c r="ER22" i="127"/>
  <c r="ES22" i="127"/>
  <c r="ET22" i="127"/>
  <c r="EU22" i="127"/>
  <c r="EV22" i="127"/>
  <c r="EW22" i="127"/>
  <c r="EX22" i="127"/>
  <c r="EY22" i="127"/>
  <c r="EZ22" i="127"/>
  <c r="FA22" i="127"/>
  <c r="FB22" i="127"/>
  <c r="FC22" i="127"/>
  <c r="FD22" i="127"/>
  <c r="FE22" i="127"/>
  <c r="FF22" i="127"/>
  <c r="FG22" i="127"/>
  <c r="FH22" i="127"/>
  <c r="FI22" i="127"/>
  <c r="FJ22" i="127"/>
  <c r="FK22" i="127"/>
  <c r="FL22" i="127"/>
  <c r="FM22" i="127"/>
  <c r="FN22" i="127"/>
  <c r="FO22" i="127"/>
  <c r="FP22" i="127"/>
  <c r="FQ22" i="127"/>
  <c r="FR22" i="127"/>
  <c r="FS22" i="127"/>
  <c r="FT22" i="127"/>
  <c r="FU22" i="127"/>
  <c r="FV22" i="127"/>
  <c r="FW22" i="127"/>
  <c r="FX22" i="127"/>
  <c r="FY22" i="127"/>
  <c r="FZ22" i="127"/>
  <c r="GA22" i="127"/>
  <c r="GB22" i="127"/>
  <c r="GC22" i="127"/>
  <c r="GD22" i="127"/>
  <c r="GE22" i="127"/>
  <c r="GF22" i="127"/>
  <c r="GG22" i="127"/>
  <c r="GH22" i="127"/>
  <c r="GI22" i="127"/>
  <c r="GJ22" i="127"/>
  <c r="GK22" i="127"/>
  <c r="GL22" i="127"/>
  <c r="GM22" i="127"/>
  <c r="GN22" i="127"/>
  <c r="GO22" i="127"/>
  <c r="GP22" i="127"/>
  <c r="GQ22" i="127"/>
  <c r="GR22" i="127"/>
  <c r="GS22" i="127"/>
  <c r="GT22" i="127"/>
  <c r="GU22" i="127"/>
  <c r="GV22" i="127"/>
  <c r="GW22" i="127"/>
  <c r="GX22" i="127"/>
  <c r="GY22" i="127"/>
  <c r="GZ22" i="127"/>
  <c r="HA22" i="127"/>
  <c r="HB22" i="127"/>
  <c r="HC22" i="127"/>
  <c r="HD22" i="127"/>
  <c r="HE22" i="127"/>
  <c r="HF22" i="127"/>
  <c r="HG22" i="127"/>
  <c r="HH22" i="127"/>
  <c r="HI22" i="127"/>
  <c r="HJ22" i="127"/>
  <c r="HK22" i="127"/>
  <c r="HL22" i="127"/>
  <c r="HM22" i="127"/>
  <c r="HN22" i="127"/>
  <c r="HO22" i="127"/>
  <c r="HP22" i="127"/>
  <c r="HQ22" i="127"/>
  <c r="HR22" i="127"/>
  <c r="HS22" i="127"/>
  <c r="HT22" i="127"/>
  <c r="HU22" i="127"/>
  <c r="HV22" i="127"/>
  <c r="HW22" i="127"/>
  <c r="HX22" i="127"/>
  <c r="HY22" i="127"/>
  <c r="HZ22" i="127"/>
  <c r="IA22" i="127"/>
  <c r="IB22" i="127"/>
  <c r="IC22" i="127"/>
  <c r="ID22" i="127"/>
  <c r="IE22" i="127"/>
  <c r="IF22" i="127"/>
  <c r="IG22" i="127"/>
  <c r="IH22" i="127"/>
  <c r="II22" i="127"/>
  <c r="IJ22" i="127"/>
  <c r="IK22" i="127"/>
  <c r="IL22" i="127"/>
  <c r="IM22" i="127"/>
  <c r="IN22" i="127"/>
  <c r="IO22" i="127"/>
  <c r="IP22" i="127"/>
  <c r="IQ22" i="127"/>
  <c r="IR22" i="127"/>
  <c r="IS22" i="127"/>
  <c r="AM25" i="127"/>
  <c r="AN25" i="127"/>
  <c r="AO25" i="127"/>
  <c r="AP25" i="127"/>
  <c r="AQ25" i="127"/>
  <c r="AR25" i="127"/>
  <c r="AS25" i="127"/>
  <c r="AT25" i="127"/>
  <c r="AU25" i="127"/>
  <c r="AV25" i="127"/>
  <c r="AW25" i="127"/>
  <c r="AX25" i="127"/>
  <c r="AY25" i="127"/>
  <c r="AZ25" i="127"/>
  <c r="BA25" i="127"/>
  <c r="BB25" i="127"/>
  <c r="BC25" i="127"/>
  <c r="BD25" i="127"/>
  <c r="BE25" i="127"/>
  <c r="BF25" i="127"/>
  <c r="BG25" i="127"/>
  <c r="BH25" i="127"/>
  <c r="BI25" i="127"/>
  <c r="BJ25" i="127"/>
  <c r="BK25" i="127"/>
  <c r="BL25" i="127"/>
  <c r="BM25" i="127"/>
  <c r="BN25" i="127"/>
  <c r="BO25" i="127"/>
  <c r="BP25" i="127"/>
  <c r="BQ25" i="127"/>
  <c r="BR25" i="127"/>
  <c r="BS25" i="127"/>
  <c r="BT25" i="127"/>
  <c r="BU25" i="127"/>
  <c r="BV25" i="127"/>
  <c r="BW25" i="127"/>
  <c r="BX25" i="127"/>
  <c r="BY25" i="127"/>
  <c r="BZ25" i="127"/>
  <c r="CA25" i="127"/>
  <c r="CB25" i="127"/>
  <c r="CC25" i="127"/>
  <c r="CD25" i="127"/>
  <c r="CE25" i="127"/>
  <c r="CF25" i="127"/>
  <c r="CG25" i="127"/>
  <c r="CH25" i="127"/>
  <c r="CI25" i="127"/>
  <c r="CJ25" i="127"/>
  <c r="CK25" i="127"/>
  <c r="CL25" i="127"/>
  <c r="CM25" i="127"/>
  <c r="CN25" i="127"/>
  <c r="CO25" i="127"/>
  <c r="CP25" i="127"/>
  <c r="CQ25" i="127"/>
  <c r="CR25" i="127"/>
  <c r="CS25" i="127"/>
  <c r="CT25" i="127"/>
  <c r="CU25" i="127"/>
  <c r="CV25" i="127"/>
  <c r="CW25" i="127"/>
  <c r="CX25" i="127"/>
  <c r="CY25" i="127"/>
  <c r="CZ25" i="127"/>
  <c r="DA25" i="127"/>
  <c r="DB25" i="127"/>
  <c r="DC25" i="127"/>
  <c r="DD25" i="127"/>
  <c r="DE25" i="127"/>
  <c r="DF25" i="127"/>
  <c r="DG25" i="127"/>
  <c r="DH25" i="127"/>
  <c r="DI25" i="127"/>
  <c r="DJ25" i="127"/>
  <c r="DK25" i="127"/>
  <c r="DL25" i="127"/>
  <c r="DM25" i="127"/>
  <c r="DN25" i="127"/>
  <c r="DO25" i="127"/>
  <c r="DP25" i="127"/>
  <c r="DQ25" i="127"/>
  <c r="DR25" i="127"/>
  <c r="DS25" i="127"/>
  <c r="DT25" i="127"/>
  <c r="DU25" i="127"/>
  <c r="DV25" i="127"/>
  <c r="DW25" i="127"/>
  <c r="DX25" i="127"/>
  <c r="DY25" i="127"/>
  <c r="DZ25" i="127"/>
  <c r="EA25" i="127"/>
  <c r="EB25" i="127"/>
  <c r="EC25" i="127"/>
  <c r="ED25" i="127"/>
  <c r="EE25" i="127"/>
  <c r="EF25" i="127"/>
  <c r="EG25" i="127"/>
  <c r="EH25" i="127"/>
  <c r="EI25" i="127"/>
  <c r="EJ25" i="127"/>
  <c r="EK25" i="127"/>
  <c r="EL25" i="127"/>
  <c r="EM25" i="127"/>
  <c r="EN25" i="127"/>
  <c r="EO25" i="127"/>
  <c r="EP25" i="127"/>
  <c r="EQ25" i="127"/>
  <c r="ER25" i="127"/>
  <c r="ES25" i="127"/>
  <c r="ET25" i="127"/>
  <c r="EU25" i="127"/>
  <c r="EV25" i="127"/>
  <c r="EW25" i="127"/>
  <c r="EX25" i="127"/>
  <c r="EY25" i="127"/>
  <c r="EZ25" i="127"/>
  <c r="FA25" i="127"/>
  <c r="FB25" i="127"/>
  <c r="FC25" i="127"/>
  <c r="FD25" i="127"/>
  <c r="FE25" i="127"/>
  <c r="FF25" i="127"/>
  <c r="FG25" i="127"/>
  <c r="FH25" i="127"/>
  <c r="FI25" i="127"/>
  <c r="FJ25" i="127"/>
  <c r="FK25" i="127"/>
  <c r="FL25" i="127"/>
  <c r="FM25" i="127"/>
  <c r="FN25" i="127"/>
  <c r="FO25" i="127"/>
  <c r="FP25" i="127"/>
  <c r="FQ25" i="127"/>
  <c r="FR25" i="127"/>
  <c r="FS25" i="127"/>
  <c r="FT25" i="127"/>
  <c r="FU25" i="127"/>
  <c r="FV25" i="127"/>
  <c r="FW25" i="127"/>
  <c r="FX25" i="127"/>
  <c r="FY25" i="127"/>
  <c r="FZ25" i="127"/>
  <c r="GA25" i="127"/>
  <c r="GB25" i="127"/>
  <c r="GC25" i="127"/>
  <c r="GD25" i="127"/>
  <c r="GE25" i="127"/>
  <c r="GF25" i="127"/>
  <c r="GG25" i="127"/>
  <c r="GH25" i="127"/>
  <c r="GI25" i="127"/>
  <c r="GJ25" i="127"/>
  <c r="GK25" i="127"/>
  <c r="GL25" i="127"/>
  <c r="GM25" i="127"/>
  <c r="GN25" i="127"/>
  <c r="GO25" i="127"/>
  <c r="GP25" i="127"/>
  <c r="GQ25" i="127"/>
  <c r="GR25" i="127"/>
  <c r="GS25" i="127"/>
  <c r="GT25" i="127"/>
  <c r="GU25" i="127"/>
  <c r="GV25" i="127"/>
  <c r="GW25" i="127"/>
  <c r="GX25" i="127"/>
  <c r="GY25" i="127"/>
  <c r="GZ25" i="127"/>
  <c r="HA25" i="127"/>
  <c r="HB25" i="127"/>
  <c r="HC25" i="127"/>
  <c r="HD25" i="127"/>
  <c r="HE25" i="127"/>
  <c r="HF25" i="127"/>
  <c r="HG25" i="127"/>
  <c r="HH25" i="127"/>
  <c r="HI25" i="127"/>
  <c r="HJ25" i="127"/>
  <c r="HK25" i="127"/>
  <c r="HL25" i="127"/>
  <c r="HM25" i="127"/>
  <c r="HN25" i="127"/>
  <c r="HO25" i="127"/>
  <c r="HP25" i="127"/>
  <c r="HQ25" i="127"/>
  <c r="HR25" i="127"/>
  <c r="HS25" i="127"/>
  <c r="HT25" i="127"/>
  <c r="HU25" i="127"/>
  <c r="HV25" i="127"/>
  <c r="HW25" i="127"/>
  <c r="HX25" i="127"/>
  <c r="HY25" i="127"/>
  <c r="HZ25" i="127"/>
  <c r="IA25" i="127"/>
  <c r="IB25" i="127"/>
  <c r="IC25" i="127"/>
  <c r="ID25" i="127"/>
  <c r="IE25" i="127"/>
  <c r="IF25" i="127"/>
  <c r="IG25" i="127"/>
  <c r="IH25" i="127"/>
  <c r="II25" i="127"/>
  <c r="IJ25" i="127"/>
  <c r="IK25" i="127"/>
  <c r="IL25" i="127"/>
  <c r="IM25" i="127"/>
  <c r="IN25" i="127"/>
  <c r="IO25" i="127"/>
  <c r="IP25" i="127"/>
  <c r="IQ25" i="127"/>
  <c r="IR25" i="127"/>
  <c r="IS25" i="127"/>
  <c r="D46" i="127"/>
  <c r="E46" i="127" s="1"/>
  <c r="F46" i="127" s="1"/>
  <c r="G46" i="127" s="1"/>
  <c r="H46" i="127" s="1"/>
  <c r="I46" i="127" s="1"/>
  <c r="J46" i="127" s="1"/>
  <c r="K46" i="127" s="1"/>
  <c r="L46" i="127" s="1"/>
  <c r="M46" i="127" s="1"/>
  <c r="N46" i="127" s="1"/>
  <c r="O46" i="127" s="1"/>
  <c r="P46" i="127" s="1"/>
  <c r="Q46" i="127" s="1"/>
  <c r="R46" i="127" s="1"/>
  <c r="S46" i="127" s="1"/>
  <c r="T46" i="127" s="1"/>
  <c r="U46" i="127" s="1"/>
  <c r="V46" i="127" s="1"/>
  <c r="W46" i="127" s="1"/>
  <c r="X46" i="127" s="1"/>
  <c r="Y46" i="127" s="1"/>
  <c r="Z46" i="127" s="1"/>
  <c r="AA46" i="127" s="1"/>
  <c r="AB46" i="127" s="1"/>
  <c r="AC46" i="127" s="1"/>
  <c r="AD46" i="127" s="1"/>
  <c r="AE46" i="127" s="1"/>
  <c r="AF46" i="127" s="1"/>
  <c r="AG46" i="127" s="1"/>
  <c r="AH46" i="127" s="1"/>
  <c r="AI46" i="127" s="1"/>
  <c r="AJ46" i="127" s="1"/>
  <c r="AK46" i="127" s="1"/>
  <c r="O50" i="127"/>
  <c r="P50" i="127"/>
  <c r="Q50" i="127"/>
  <c r="R50" i="127"/>
  <c r="S50" i="127"/>
  <c r="T50" i="127"/>
  <c r="U50" i="127"/>
  <c r="V50" i="127"/>
  <c r="W50" i="127"/>
  <c r="X50" i="127"/>
  <c r="Y50" i="127"/>
  <c r="Z50" i="127"/>
  <c r="AA50" i="127"/>
  <c r="AB50" i="127"/>
  <c r="AC50" i="127"/>
  <c r="AD50" i="127"/>
  <c r="AE50" i="127"/>
  <c r="AF50" i="127"/>
  <c r="AG50" i="127"/>
  <c r="AH50" i="127"/>
  <c r="AI50" i="127"/>
  <c r="AJ50" i="127"/>
  <c r="AK50" i="127"/>
  <c r="O52" i="127"/>
  <c r="P52" i="127"/>
  <c r="Q52" i="127"/>
  <c r="R52" i="127"/>
  <c r="S52" i="127"/>
  <c r="T52" i="127"/>
  <c r="U52" i="127"/>
  <c r="V52" i="127"/>
  <c r="W52" i="127"/>
  <c r="X52" i="127"/>
  <c r="Y52" i="127"/>
  <c r="Z52" i="127"/>
  <c r="AA52" i="127"/>
  <c r="AB52" i="127"/>
  <c r="AC52" i="127"/>
  <c r="AD52" i="127"/>
  <c r="AE52" i="127"/>
  <c r="AF52" i="127"/>
  <c r="AG52" i="127"/>
  <c r="AH52" i="127"/>
  <c r="AI52" i="127"/>
  <c r="AJ52" i="127"/>
  <c r="AK52" i="127"/>
  <c r="D60" i="127"/>
  <c r="D62" i="127"/>
  <c r="D63" i="127"/>
  <c r="B67" i="127"/>
  <c r="B26" i="127" s="1"/>
  <c r="D77" i="127"/>
  <c r="E77" i="127" s="1"/>
  <c r="F77" i="127" s="1"/>
  <c r="G77" i="127" s="1"/>
  <c r="H77" i="127" s="1"/>
  <c r="I77" i="127" s="1"/>
  <c r="J77" i="127" s="1"/>
  <c r="K77" i="127" s="1"/>
  <c r="L77" i="127" s="1"/>
  <c r="M77" i="127" s="1"/>
  <c r="N77" i="127" s="1"/>
  <c r="O77" i="127" s="1"/>
  <c r="P77" i="127" s="1"/>
  <c r="Q77" i="127" s="1"/>
  <c r="R77" i="127" s="1"/>
  <c r="S77" i="127" s="1"/>
  <c r="T77" i="127" s="1"/>
  <c r="U77" i="127" s="1"/>
  <c r="V77" i="127" s="1"/>
  <c r="W77" i="127" s="1"/>
  <c r="X77" i="127" s="1"/>
  <c r="Y77" i="127" s="1"/>
  <c r="Z77" i="127" s="1"/>
  <c r="AA77" i="127" s="1"/>
  <c r="AB77" i="127" s="1"/>
  <c r="AC77" i="127" s="1"/>
  <c r="AD77" i="127" s="1"/>
  <c r="AE77" i="127" s="1"/>
  <c r="AF77" i="127" s="1"/>
  <c r="AG77" i="127" s="1"/>
  <c r="AH77" i="127" s="1"/>
  <c r="AI77" i="127" s="1"/>
  <c r="AJ77" i="127" s="1"/>
  <c r="AK77" i="127" s="1"/>
  <c r="O81" i="127"/>
  <c r="P81" i="127"/>
  <c r="Q81" i="127"/>
  <c r="R81" i="127"/>
  <c r="S81" i="127"/>
  <c r="T81" i="127"/>
  <c r="U81" i="127"/>
  <c r="V81" i="127"/>
  <c r="W81" i="127"/>
  <c r="X81" i="127"/>
  <c r="Y81" i="127"/>
  <c r="Z81" i="127"/>
  <c r="AA81" i="127"/>
  <c r="AB81" i="127"/>
  <c r="AC81" i="127"/>
  <c r="AD81" i="127"/>
  <c r="AE81" i="127"/>
  <c r="AF81" i="127"/>
  <c r="AG81" i="127"/>
  <c r="AH81" i="127"/>
  <c r="AI81" i="127"/>
  <c r="AJ81" i="127"/>
  <c r="AK81" i="127"/>
  <c r="O83" i="127"/>
  <c r="P83" i="127"/>
  <c r="Q83" i="127"/>
  <c r="R83" i="127"/>
  <c r="S83" i="127"/>
  <c r="T83" i="127"/>
  <c r="U83" i="127"/>
  <c r="V83" i="127"/>
  <c r="W83" i="127"/>
  <c r="X83" i="127"/>
  <c r="Y83" i="127"/>
  <c r="Z83" i="127"/>
  <c r="AA83" i="127"/>
  <c r="AB83" i="127"/>
  <c r="AC83" i="127"/>
  <c r="AD83" i="127"/>
  <c r="AE83" i="127"/>
  <c r="AF83" i="127"/>
  <c r="AG83" i="127"/>
  <c r="AH83" i="127"/>
  <c r="AI83" i="127"/>
  <c r="AJ83" i="127"/>
  <c r="AK83" i="127"/>
  <c r="B98" i="127"/>
  <c r="B27" i="127" s="1"/>
  <c r="D108" i="127"/>
  <c r="E108" i="127" s="1"/>
  <c r="F108" i="127" s="1"/>
  <c r="G108" i="127" s="1"/>
  <c r="H108" i="127" s="1"/>
  <c r="I108" i="127" s="1"/>
  <c r="J108" i="127" s="1"/>
  <c r="K108" i="127" s="1"/>
  <c r="L108" i="127" s="1"/>
  <c r="M108" i="127" s="1"/>
  <c r="N108" i="127" s="1"/>
  <c r="O108" i="127" s="1"/>
  <c r="P108" i="127" s="1"/>
  <c r="Q108" i="127" s="1"/>
  <c r="R108" i="127" s="1"/>
  <c r="S108" i="127" s="1"/>
  <c r="T108" i="127" s="1"/>
  <c r="U108" i="127" s="1"/>
  <c r="V108" i="127" s="1"/>
  <c r="W108" i="127" s="1"/>
  <c r="X108" i="127" s="1"/>
  <c r="Y108" i="127" s="1"/>
  <c r="Z108" i="127" s="1"/>
  <c r="AA108" i="127" s="1"/>
  <c r="AB108" i="127" s="1"/>
  <c r="AC108" i="127" s="1"/>
  <c r="AD108" i="127" s="1"/>
  <c r="AE108" i="127" s="1"/>
  <c r="AF108" i="127" s="1"/>
  <c r="AG108" i="127" s="1"/>
  <c r="AH108" i="127" s="1"/>
  <c r="AI108" i="127" s="1"/>
  <c r="AJ108" i="127" s="1"/>
  <c r="AK108" i="127" s="1"/>
  <c r="P112" i="127"/>
  <c r="Q112" i="127"/>
  <c r="R112" i="127"/>
  <c r="S112" i="127"/>
  <c r="T112" i="127"/>
  <c r="U112" i="127"/>
  <c r="V112" i="127"/>
  <c r="W112" i="127"/>
  <c r="X112" i="127"/>
  <c r="Y112" i="127"/>
  <c r="Z112" i="127"/>
  <c r="AA112" i="127"/>
  <c r="AB112" i="127"/>
  <c r="AC112" i="127"/>
  <c r="AD112" i="127"/>
  <c r="AE112" i="127"/>
  <c r="AF112" i="127"/>
  <c r="AG112" i="127"/>
  <c r="AH112" i="127"/>
  <c r="AI112" i="127"/>
  <c r="AJ112" i="127"/>
  <c r="AK112" i="127"/>
  <c r="P114" i="127"/>
  <c r="Q114" i="127"/>
  <c r="R114" i="127"/>
  <c r="S114" i="127"/>
  <c r="T114" i="127"/>
  <c r="U114" i="127"/>
  <c r="V114" i="127"/>
  <c r="W114" i="127"/>
  <c r="X114" i="127"/>
  <c r="Y114" i="127"/>
  <c r="Z114" i="127"/>
  <c r="AA114" i="127"/>
  <c r="AB114" i="127"/>
  <c r="AC114" i="127"/>
  <c r="AD114" i="127"/>
  <c r="AE114" i="127"/>
  <c r="AF114" i="127"/>
  <c r="AG114" i="127"/>
  <c r="AH114" i="127"/>
  <c r="AI114" i="127"/>
  <c r="AJ114" i="127"/>
  <c r="AK114" i="127"/>
  <c r="D122" i="127"/>
  <c r="E122" i="127"/>
  <c r="D123" i="127"/>
  <c r="E123" i="127"/>
  <c r="D124" i="127"/>
  <c r="E124" i="127"/>
  <c r="D125" i="127"/>
  <c r="E125" i="127"/>
  <c r="B129" i="127"/>
  <c r="B28" i="127" s="1"/>
  <c r="D129" i="127"/>
  <c r="D28" i="127" s="1"/>
  <c r="E129" i="127"/>
  <c r="E130" i="127" s="1"/>
  <c r="D139" i="127"/>
  <c r="E139" i="127" s="1"/>
  <c r="F139" i="127" s="1"/>
  <c r="G139" i="127" s="1"/>
  <c r="H139" i="127" s="1"/>
  <c r="I139" i="127" s="1"/>
  <c r="J139" i="127" s="1"/>
  <c r="K139" i="127" s="1"/>
  <c r="L139" i="127" s="1"/>
  <c r="M139" i="127" s="1"/>
  <c r="N139" i="127" s="1"/>
  <c r="O139" i="127" s="1"/>
  <c r="P139" i="127" s="1"/>
  <c r="Q139" i="127" s="1"/>
  <c r="R139" i="127" s="1"/>
  <c r="S139" i="127" s="1"/>
  <c r="T139" i="127" s="1"/>
  <c r="U139" i="127" s="1"/>
  <c r="V139" i="127" s="1"/>
  <c r="W139" i="127" s="1"/>
  <c r="X139" i="127" s="1"/>
  <c r="Y139" i="127" s="1"/>
  <c r="Z139" i="127" s="1"/>
  <c r="AA139" i="127" s="1"/>
  <c r="AB139" i="127" s="1"/>
  <c r="AC139" i="127" s="1"/>
  <c r="AD139" i="127" s="1"/>
  <c r="AE139" i="127" s="1"/>
  <c r="AF139" i="127" s="1"/>
  <c r="AG139" i="127" s="1"/>
  <c r="AH139" i="127" s="1"/>
  <c r="AI139" i="127" s="1"/>
  <c r="AJ139" i="127" s="1"/>
  <c r="AK139" i="127" s="1"/>
  <c r="O143" i="127"/>
  <c r="P143" i="127"/>
  <c r="Q143" i="127"/>
  <c r="R143" i="127"/>
  <c r="S143" i="127"/>
  <c r="T143" i="127"/>
  <c r="U143" i="127"/>
  <c r="V143" i="127"/>
  <c r="W143" i="127"/>
  <c r="X143" i="127"/>
  <c r="Y143" i="127"/>
  <c r="Z143" i="127"/>
  <c r="AA143" i="127"/>
  <c r="AB143" i="127"/>
  <c r="AC143" i="127"/>
  <c r="AD143" i="127"/>
  <c r="AE143" i="127"/>
  <c r="AF143" i="127"/>
  <c r="AG143" i="127"/>
  <c r="AH143" i="127"/>
  <c r="AI143" i="127"/>
  <c r="AJ143" i="127"/>
  <c r="AK143" i="127"/>
  <c r="O145" i="127"/>
  <c r="P145" i="127"/>
  <c r="Q145" i="127"/>
  <c r="R145" i="127"/>
  <c r="S145" i="127"/>
  <c r="T145" i="127"/>
  <c r="U145" i="127"/>
  <c r="V145" i="127"/>
  <c r="W145" i="127"/>
  <c r="X145" i="127"/>
  <c r="Y145" i="127"/>
  <c r="Z145" i="127"/>
  <c r="AA145" i="127"/>
  <c r="AB145" i="127"/>
  <c r="AC145" i="127"/>
  <c r="AD145" i="127"/>
  <c r="AE145" i="127"/>
  <c r="AF145" i="127"/>
  <c r="AG145" i="127"/>
  <c r="AH145" i="127"/>
  <c r="AI145" i="127"/>
  <c r="AJ145" i="127"/>
  <c r="AK145" i="127"/>
  <c r="B160" i="127"/>
  <c r="B29" i="127" s="1"/>
  <c r="D160" i="127"/>
  <c r="D29" i="127" s="1"/>
  <c r="D170" i="127"/>
  <c r="E170" i="127" s="1"/>
  <c r="F170" i="127" s="1"/>
  <c r="G170" i="127" s="1"/>
  <c r="H170" i="127" s="1"/>
  <c r="I170" i="127" s="1"/>
  <c r="J170" i="127" s="1"/>
  <c r="K170" i="127" s="1"/>
  <c r="L170" i="127" s="1"/>
  <c r="M170" i="127" s="1"/>
  <c r="N170" i="127" s="1"/>
  <c r="O170" i="127" s="1"/>
  <c r="P170" i="127" s="1"/>
  <c r="Q170" i="127" s="1"/>
  <c r="R170" i="127" s="1"/>
  <c r="S170" i="127" s="1"/>
  <c r="T170" i="127" s="1"/>
  <c r="U170" i="127" s="1"/>
  <c r="V170" i="127" s="1"/>
  <c r="W170" i="127" s="1"/>
  <c r="X170" i="127" s="1"/>
  <c r="Y170" i="127" s="1"/>
  <c r="Z170" i="127" s="1"/>
  <c r="AA170" i="127" s="1"/>
  <c r="AB170" i="127" s="1"/>
  <c r="AC170" i="127" s="1"/>
  <c r="AD170" i="127" s="1"/>
  <c r="AE170" i="127" s="1"/>
  <c r="AF170" i="127" s="1"/>
  <c r="AG170" i="127" s="1"/>
  <c r="AH170" i="127" s="1"/>
  <c r="AI170" i="127" s="1"/>
  <c r="AJ170" i="127" s="1"/>
  <c r="AK170" i="127" s="1"/>
  <c r="O173" i="127"/>
  <c r="P173" i="127"/>
  <c r="Q173" i="127"/>
  <c r="R173" i="127"/>
  <c r="S173" i="127"/>
  <c r="T173" i="127"/>
  <c r="U173" i="127"/>
  <c r="V173" i="127"/>
  <c r="W173" i="127"/>
  <c r="X173" i="127"/>
  <c r="Y173" i="127"/>
  <c r="Z173" i="127"/>
  <c r="AA173" i="127"/>
  <c r="AB173" i="127"/>
  <c r="AC173" i="127"/>
  <c r="AD173" i="127"/>
  <c r="AE173" i="127"/>
  <c r="AF173" i="127"/>
  <c r="AG173" i="127"/>
  <c r="AH173" i="127"/>
  <c r="AI173" i="127"/>
  <c r="AJ173" i="127"/>
  <c r="AK173" i="127"/>
  <c r="B191" i="127"/>
  <c r="B30" i="127" s="1"/>
  <c r="D201" i="127"/>
  <c r="E201" i="127" s="1"/>
  <c r="F201" i="127" s="1"/>
  <c r="G201" i="127" s="1"/>
  <c r="H201" i="127" s="1"/>
  <c r="I201" i="127" s="1"/>
  <c r="J201" i="127" s="1"/>
  <c r="K201" i="127" s="1"/>
  <c r="L201" i="127" s="1"/>
  <c r="M201" i="127" s="1"/>
  <c r="N201" i="127" s="1"/>
  <c r="O201" i="127" s="1"/>
  <c r="P201" i="127" s="1"/>
  <c r="Q201" i="127" s="1"/>
  <c r="R201" i="127" s="1"/>
  <c r="S201" i="127" s="1"/>
  <c r="T201" i="127" s="1"/>
  <c r="U201" i="127" s="1"/>
  <c r="V201" i="127" s="1"/>
  <c r="W201" i="127" s="1"/>
  <c r="X201" i="127" s="1"/>
  <c r="Y201" i="127" s="1"/>
  <c r="Z201" i="127" s="1"/>
  <c r="AA201" i="127" s="1"/>
  <c r="AB201" i="127" s="1"/>
  <c r="AC201" i="127" s="1"/>
  <c r="AD201" i="127" s="1"/>
  <c r="AE201" i="127" s="1"/>
  <c r="AF201" i="127" s="1"/>
  <c r="AG201" i="127" s="1"/>
  <c r="AH201" i="127" s="1"/>
  <c r="AI201" i="127" s="1"/>
  <c r="AJ201" i="127" s="1"/>
  <c r="AK201" i="127" s="1"/>
  <c r="B222" i="127"/>
  <c r="B31" i="127" s="1"/>
  <c r="D232" i="127"/>
  <c r="E232" i="127" s="1"/>
  <c r="F232" i="127" s="1"/>
  <c r="G232" i="127" s="1"/>
  <c r="H232" i="127" s="1"/>
  <c r="I232" i="127" s="1"/>
  <c r="J232" i="127" s="1"/>
  <c r="K232" i="127" s="1"/>
  <c r="L232" i="127" s="1"/>
  <c r="M232" i="127" s="1"/>
  <c r="N232" i="127" s="1"/>
  <c r="O232" i="127" s="1"/>
  <c r="P232" i="127" s="1"/>
  <c r="Q232" i="127" s="1"/>
  <c r="R232" i="127" s="1"/>
  <c r="S232" i="127" s="1"/>
  <c r="T232" i="127" s="1"/>
  <c r="U232" i="127" s="1"/>
  <c r="V232" i="127" s="1"/>
  <c r="W232" i="127" s="1"/>
  <c r="X232" i="127" s="1"/>
  <c r="Y232" i="127" s="1"/>
  <c r="Z232" i="127" s="1"/>
  <c r="AA232" i="127" s="1"/>
  <c r="AB232" i="127" s="1"/>
  <c r="AC232" i="127" s="1"/>
  <c r="AD232" i="127" s="1"/>
  <c r="AE232" i="127" s="1"/>
  <c r="AF232" i="127" s="1"/>
  <c r="AG232" i="127" s="1"/>
  <c r="AH232" i="127" s="1"/>
  <c r="AI232" i="127" s="1"/>
  <c r="AJ232" i="127" s="1"/>
  <c r="AK232" i="127" s="1"/>
  <c r="B253" i="127"/>
  <c r="B32" i="127" s="1"/>
  <c r="D263" i="127"/>
  <c r="E263" i="127" s="1"/>
  <c r="F263" i="127" s="1"/>
  <c r="G263" i="127" s="1"/>
  <c r="H263" i="127" s="1"/>
  <c r="I263" i="127" s="1"/>
  <c r="J263" i="127" s="1"/>
  <c r="K263" i="127" s="1"/>
  <c r="L263" i="127" s="1"/>
  <c r="M263" i="127" s="1"/>
  <c r="N263" i="127" s="1"/>
  <c r="O263" i="127" s="1"/>
  <c r="P263" i="127" s="1"/>
  <c r="Q263" i="127" s="1"/>
  <c r="R263" i="127" s="1"/>
  <c r="S263" i="127" s="1"/>
  <c r="T263" i="127" s="1"/>
  <c r="U263" i="127" s="1"/>
  <c r="V263" i="127" s="1"/>
  <c r="W263" i="127" s="1"/>
  <c r="X263" i="127" s="1"/>
  <c r="Y263" i="127" s="1"/>
  <c r="Z263" i="127" s="1"/>
  <c r="AA263" i="127" s="1"/>
  <c r="AB263" i="127" s="1"/>
  <c r="AC263" i="127" s="1"/>
  <c r="AD263" i="127" s="1"/>
  <c r="AE263" i="127" s="1"/>
  <c r="AF263" i="127" s="1"/>
  <c r="AG263" i="127" s="1"/>
  <c r="AH263" i="127" s="1"/>
  <c r="AI263" i="127" s="1"/>
  <c r="AJ263" i="127" s="1"/>
  <c r="AK263" i="127" s="1"/>
  <c r="B284" i="127"/>
  <c r="B33" i="127" s="1"/>
  <c r="A292" i="127"/>
  <c r="D294" i="127"/>
  <c r="E294" i="127" s="1"/>
  <c r="F294" i="127" s="1"/>
  <c r="G294" i="127" s="1"/>
  <c r="H294" i="127" s="1"/>
  <c r="I294" i="127" s="1"/>
  <c r="J294" i="127" s="1"/>
  <c r="K294" i="127" s="1"/>
  <c r="L294" i="127" s="1"/>
  <c r="M294" i="127" s="1"/>
  <c r="N294" i="127" s="1"/>
  <c r="O294" i="127" s="1"/>
  <c r="P294" i="127" s="1"/>
  <c r="Q294" i="127" s="1"/>
  <c r="R294" i="127" s="1"/>
  <c r="S294" i="127" s="1"/>
  <c r="T294" i="127" s="1"/>
  <c r="U294" i="127" s="1"/>
  <c r="V294" i="127" s="1"/>
  <c r="W294" i="127" s="1"/>
  <c r="X294" i="127" s="1"/>
  <c r="Y294" i="127" s="1"/>
  <c r="Z294" i="127" s="1"/>
  <c r="AA294" i="127" s="1"/>
  <c r="AB294" i="127" s="1"/>
  <c r="AC294" i="127" s="1"/>
  <c r="AD294" i="127" s="1"/>
  <c r="AE294" i="127" s="1"/>
  <c r="AF294" i="127" s="1"/>
  <c r="AG294" i="127" s="1"/>
  <c r="AH294" i="127" s="1"/>
  <c r="AI294" i="127" s="1"/>
  <c r="AJ294" i="127" s="1"/>
  <c r="AK294" i="127" s="1"/>
  <c r="B315" i="127"/>
  <c r="A5" i="134"/>
  <c r="A6" i="134"/>
  <c r="A7" i="134"/>
  <c r="A8" i="134"/>
  <c r="A9" i="134"/>
  <c r="A10" i="134"/>
  <c r="A11" i="134"/>
  <c r="A12" i="134"/>
  <c r="A13" i="134"/>
  <c r="A6" i="135"/>
  <c r="A45" i="135"/>
  <c r="A46" i="135" s="1"/>
  <c r="A47" i="135" s="1"/>
  <c r="A48" i="135" s="1"/>
  <c r="A49" i="135" s="1"/>
  <c r="A50" i="135" s="1"/>
  <c r="A51" i="135" s="1"/>
  <c r="A52" i="135" s="1"/>
  <c r="A53" i="135" s="1"/>
  <c r="A54" i="135" s="1"/>
  <c r="A55" i="135" s="1"/>
  <c r="A56" i="135" s="1"/>
  <c r="A57" i="135" s="1"/>
  <c r="A58" i="135" s="1"/>
  <c r="A59" i="135" s="1"/>
  <c r="A60" i="135" s="1"/>
  <c r="A61" i="135" s="1"/>
  <c r="A62" i="135" s="1"/>
  <c r="A63" i="135" s="1"/>
  <c r="A64" i="135" s="1"/>
  <c r="A65" i="135" s="1"/>
  <c r="A66" i="135" s="1"/>
  <c r="A67" i="135" s="1"/>
  <c r="A68" i="135" s="1"/>
  <c r="A69" i="135" s="1"/>
  <c r="A70" i="135" s="1"/>
  <c r="A71" i="135" s="1"/>
  <c r="A72" i="135" s="1"/>
  <c r="A73" i="135" s="1"/>
  <c r="A74" i="135" s="1"/>
  <c r="A75" i="135" s="1"/>
  <c r="A76" i="135" s="1"/>
  <c r="A77" i="135" s="1"/>
  <c r="L45" i="135"/>
  <c r="L46" i="135" s="1"/>
  <c r="L47" i="135" s="1"/>
  <c r="L48" i="135" s="1"/>
  <c r="L49" i="135" s="1"/>
  <c r="L50" i="135" s="1"/>
  <c r="L51" i="135" s="1"/>
  <c r="L52" i="135" s="1"/>
  <c r="L53" i="135" s="1"/>
  <c r="L54" i="135" s="1"/>
  <c r="L55" i="135" s="1"/>
  <c r="L56" i="135" s="1"/>
  <c r="L57" i="135" s="1"/>
  <c r="L58" i="135" s="1"/>
  <c r="L59" i="135" s="1"/>
  <c r="L60" i="135" s="1"/>
  <c r="L61" i="135" s="1"/>
  <c r="L62" i="135" s="1"/>
  <c r="L63" i="135" s="1"/>
  <c r="L64" i="135" s="1"/>
  <c r="L65" i="135" s="1"/>
  <c r="L66" i="135" s="1"/>
  <c r="L67" i="135" s="1"/>
  <c r="L68" i="135" s="1"/>
  <c r="L69" i="135" s="1"/>
  <c r="L70" i="135" s="1"/>
  <c r="L71" i="135" s="1"/>
  <c r="L72" i="135" s="1"/>
  <c r="L73" i="135" s="1"/>
  <c r="L74" i="135" s="1"/>
  <c r="L75" i="135" s="1"/>
  <c r="L76" i="135" s="1"/>
  <c r="L77" i="135" s="1"/>
  <c r="A86" i="135"/>
  <c r="A87" i="135" s="1"/>
  <c r="A88" i="135" s="1"/>
  <c r="A89" i="135" s="1"/>
  <c r="A90" i="135" s="1"/>
  <c r="A91" i="135" s="1"/>
  <c r="A92" i="135" s="1"/>
  <c r="A93" i="135" s="1"/>
  <c r="A94" i="135" s="1"/>
  <c r="A95" i="135" s="1"/>
  <c r="A96" i="135" s="1"/>
  <c r="A97" i="135" s="1"/>
  <c r="A98" i="135" s="1"/>
  <c r="A99" i="135" s="1"/>
  <c r="A100" i="135" s="1"/>
  <c r="A101" i="135" s="1"/>
  <c r="A102" i="135" s="1"/>
  <c r="A103" i="135" s="1"/>
  <c r="A104" i="135" s="1"/>
  <c r="A105" i="135" s="1"/>
  <c r="A106" i="135" s="1"/>
  <c r="A107" i="135" s="1"/>
  <c r="A108" i="135" s="1"/>
  <c r="A109" i="135" s="1"/>
  <c r="A110" i="135" s="1"/>
  <c r="A111" i="135" s="1"/>
  <c r="A112" i="135" s="1"/>
  <c r="A113" i="135" s="1"/>
  <c r="A114" i="135" s="1"/>
  <c r="A115" i="135" s="1"/>
  <c r="A116" i="135" s="1"/>
  <c r="A117" i="135" s="1"/>
  <c r="A118" i="135" s="1"/>
  <c r="D7" i="88"/>
  <c r="E7" i="88" s="1"/>
  <c r="F7" i="88" s="1"/>
  <c r="G7" i="88" s="1"/>
  <c r="H7" i="88" s="1"/>
  <c r="I7" i="88" s="1"/>
  <c r="J7" i="88" s="1"/>
  <c r="K7" i="88" s="1"/>
  <c r="L7" i="88" s="1"/>
  <c r="M7" i="88" s="1"/>
  <c r="N7" i="88" s="1"/>
  <c r="O7" i="88" s="1"/>
  <c r="P7" i="88" s="1"/>
  <c r="Q7" i="88" s="1"/>
  <c r="R7" i="88" s="1"/>
  <c r="S7" i="88" s="1"/>
  <c r="T7" i="88" s="1"/>
  <c r="U7" i="88" s="1"/>
  <c r="V7" i="88" s="1"/>
  <c r="W7" i="88" s="1"/>
  <c r="X7" i="88" s="1"/>
  <c r="Y7" i="88" s="1"/>
  <c r="Z7" i="88" s="1"/>
  <c r="AA7" i="88" s="1"/>
  <c r="AB7" i="88" s="1"/>
  <c r="AC7" i="88" s="1"/>
  <c r="AD7" i="88" s="1"/>
  <c r="AE7" i="88" s="1"/>
  <c r="AF7" i="88" s="1"/>
  <c r="AG7" i="88" s="1"/>
  <c r="AH7" i="88" s="1"/>
  <c r="AI7" i="88" s="1"/>
  <c r="AJ7" i="88" s="1"/>
  <c r="AK7" i="88" s="1"/>
  <c r="AA10" i="88"/>
  <c r="AA12" i="88"/>
  <c r="O13" i="88"/>
  <c r="AA13" i="88" s="1"/>
  <c r="AA14" i="88"/>
  <c r="AA15" i="88"/>
  <c r="AA16" i="88"/>
  <c r="AA17" i="88"/>
  <c r="D18" i="88"/>
  <c r="E18" i="88"/>
  <c r="F18" i="88"/>
  <c r="G18" i="88"/>
  <c r="H18" i="88"/>
  <c r="I18" i="88"/>
  <c r="J18" i="88"/>
  <c r="K18" i="88"/>
  <c r="L18" i="88"/>
  <c r="M18" i="88"/>
  <c r="N18" i="88"/>
  <c r="P18" i="88"/>
  <c r="Q18" i="88"/>
  <c r="R18" i="88"/>
  <c r="S18" i="88"/>
  <c r="T18" i="88"/>
  <c r="U18" i="88"/>
  <c r="V18" i="88"/>
  <c r="W18" i="88"/>
  <c r="X18" i="88"/>
  <c r="Y18" i="88"/>
  <c r="Z18" i="88"/>
  <c r="AB18" i="88"/>
  <c r="AC18" i="88"/>
  <c r="AD18" i="88"/>
  <c r="AE18" i="88"/>
  <c r="AF18" i="88"/>
  <c r="AG18" i="88"/>
  <c r="AH18" i="88"/>
  <c r="AI18" i="88"/>
  <c r="AJ18" i="88"/>
  <c r="AK18" i="88"/>
  <c r="C25" i="88"/>
  <c r="D40" i="88"/>
  <c r="E40" i="88" s="1"/>
  <c r="F40" i="88" s="1"/>
  <c r="G40" i="88" s="1"/>
  <c r="H40" i="88" s="1"/>
  <c r="I40" i="88" s="1"/>
  <c r="J40" i="88" s="1"/>
  <c r="K40" i="88" s="1"/>
  <c r="L40" i="88" s="1"/>
  <c r="M40" i="88" s="1"/>
  <c r="N40" i="88" s="1"/>
  <c r="O40" i="88" s="1"/>
  <c r="P40" i="88" s="1"/>
  <c r="Q40" i="88" s="1"/>
  <c r="R40" i="88" s="1"/>
  <c r="S40" i="88" s="1"/>
  <c r="T40" i="88" s="1"/>
  <c r="U40" i="88" s="1"/>
  <c r="V40" i="88" s="1"/>
  <c r="W40" i="88" s="1"/>
  <c r="X40" i="88" s="1"/>
  <c r="Y40" i="88" s="1"/>
  <c r="Z40" i="88" s="1"/>
  <c r="AA40" i="88" s="1"/>
  <c r="AB40" i="88" s="1"/>
  <c r="AC40" i="88" s="1"/>
  <c r="AD40" i="88" s="1"/>
  <c r="AE40" i="88" s="1"/>
  <c r="AF40" i="88" s="1"/>
  <c r="AG40" i="88" s="1"/>
  <c r="AH40" i="88" s="1"/>
  <c r="AI40" i="88" s="1"/>
  <c r="AJ40" i="88" s="1"/>
  <c r="AK40" i="88" s="1"/>
  <c r="C58" i="88"/>
  <c r="D98" i="127" s="1"/>
  <c r="D27" i="127" s="1"/>
  <c r="AM63" i="88"/>
  <c r="D73" i="88"/>
  <c r="E73" i="88" s="1"/>
  <c r="F73" i="88" s="1"/>
  <c r="G73" i="88" s="1"/>
  <c r="H73" i="88" s="1"/>
  <c r="I73" i="88" s="1"/>
  <c r="J73" i="88" s="1"/>
  <c r="K73" i="88" s="1"/>
  <c r="L73" i="88" s="1"/>
  <c r="M73" i="88" s="1"/>
  <c r="N73" i="88" s="1"/>
  <c r="O73" i="88" s="1"/>
  <c r="P73" i="88" s="1"/>
  <c r="Q73" i="88" s="1"/>
  <c r="R73" i="88" s="1"/>
  <c r="S73" i="88" s="1"/>
  <c r="T73" i="88" s="1"/>
  <c r="U73" i="88" s="1"/>
  <c r="V73" i="88" s="1"/>
  <c r="W73" i="88" s="1"/>
  <c r="X73" i="88" s="1"/>
  <c r="Y73" i="88" s="1"/>
  <c r="Z73" i="88" s="1"/>
  <c r="AA73" i="88" s="1"/>
  <c r="AB73" i="88" s="1"/>
  <c r="AC73" i="88" s="1"/>
  <c r="AD73" i="88" s="1"/>
  <c r="AE73" i="88" s="1"/>
  <c r="AF73" i="88" s="1"/>
  <c r="AG73" i="88" s="1"/>
  <c r="AH73" i="88" s="1"/>
  <c r="AI73" i="88" s="1"/>
  <c r="AJ73" i="88" s="1"/>
  <c r="AK73" i="88" s="1"/>
  <c r="C91" i="88"/>
  <c r="D91" i="88"/>
  <c r="D106" i="88"/>
  <c r="E106" i="88" s="1"/>
  <c r="F106" i="88" s="1"/>
  <c r="G106" i="88" s="1"/>
  <c r="H106" i="88" s="1"/>
  <c r="I106" i="88" s="1"/>
  <c r="J106" i="88" s="1"/>
  <c r="K106" i="88" s="1"/>
  <c r="L106" i="88" s="1"/>
  <c r="M106" i="88" s="1"/>
  <c r="N106" i="88" s="1"/>
  <c r="O106" i="88" s="1"/>
  <c r="P106" i="88" s="1"/>
  <c r="Q106" i="88" s="1"/>
  <c r="R106" i="88" s="1"/>
  <c r="S106" i="88" s="1"/>
  <c r="T106" i="88" s="1"/>
  <c r="U106" i="88" s="1"/>
  <c r="V106" i="88" s="1"/>
  <c r="W106" i="88" s="1"/>
  <c r="X106" i="88" s="1"/>
  <c r="Y106" i="88" s="1"/>
  <c r="Z106" i="88" s="1"/>
  <c r="AA106" i="88" s="1"/>
  <c r="AB106" i="88" s="1"/>
  <c r="AC106" i="88" s="1"/>
  <c r="AD106" i="88" s="1"/>
  <c r="AE106" i="88" s="1"/>
  <c r="AF106" i="88" s="1"/>
  <c r="AG106" i="88" s="1"/>
  <c r="AH106" i="88" s="1"/>
  <c r="AI106" i="88" s="1"/>
  <c r="AJ106" i="88" s="1"/>
  <c r="AK106" i="88" s="1"/>
  <c r="C124" i="88"/>
  <c r="D139" i="88"/>
  <c r="E139" i="88" s="1"/>
  <c r="F139" i="88" s="1"/>
  <c r="G139" i="88" s="1"/>
  <c r="H139" i="88" s="1"/>
  <c r="I139" i="88" s="1"/>
  <c r="J139" i="88" s="1"/>
  <c r="K139" i="88" s="1"/>
  <c r="L139" i="88" s="1"/>
  <c r="M139" i="88" s="1"/>
  <c r="N139" i="88" s="1"/>
  <c r="O139" i="88" s="1"/>
  <c r="P139" i="88" s="1"/>
  <c r="Q139" i="88" s="1"/>
  <c r="R139" i="88" s="1"/>
  <c r="S139" i="88" s="1"/>
  <c r="T139" i="88" s="1"/>
  <c r="U139" i="88" s="1"/>
  <c r="V139" i="88" s="1"/>
  <c r="W139" i="88" s="1"/>
  <c r="X139" i="88" s="1"/>
  <c r="Y139" i="88" s="1"/>
  <c r="Z139" i="88" s="1"/>
  <c r="AA139" i="88" s="1"/>
  <c r="AB139" i="88" s="1"/>
  <c r="AC139" i="88" s="1"/>
  <c r="AD139" i="88" s="1"/>
  <c r="AE139" i="88" s="1"/>
  <c r="AF139" i="88" s="1"/>
  <c r="AG139" i="88" s="1"/>
  <c r="AH139" i="88" s="1"/>
  <c r="AI139" i="88" s="1"/>
  <c r="AJ139" i="88" s="1"/>
  <c r="D7" i="105"/>
  <c r="E7" i="105" s="1"/>
  <c r="F7" i="105" s="1"/>
  <c r="G7" i="105" s="1"/>
  <c r="H7" i="105" s="1"/>
  <c r="I7" i="105" s="1"/>
  <c r="J7" i="105" s="1"/>
  <c r="K7" i="105" s="1"/>
  <c r="L7" i="105" s="1"/>
  <c r="M7" i="105" s="1"/>
  <c r="N7" i="105" s="1"/>
  <c r="O7" i="105" s="1"/>
  <c r="P7" i="105" s="1"/>
  <c r="Q7" i="105" s="1"/>
  <c r="R7" i="105" s="1"/>
  <c r="S7" i="105" s="1"/>
  <c r="T7" i="105" s="1"/>
  <c r="U7" i="105" s="1"/>
  <c r="V7" i="105" s="1"/>
  <c r="W7" i="105" s="1"/>
  <c r="X7" i="105" s="1"/>
  <c r="Y7" i="105" s="1"/>
  <c r="Z7" i="105" s="1"/>
  <c r="AA7" i="105" s="1"/>
  <c r="AB7" i="105" s="1"/>
  <c r="AC7" i="105" s="1"/>
  <c r="AD7" i="105" s="1"/>
  <c r="AE7" i="105" s="1"/>
  <c r="AF7" i="105" s="1"/>
  <c r="AG7" i="105" s="1"/>
  <c r="AH7" i="105" s="1"/>
  <c r="AI7" i="105" s="1"/>
  <c r="AJ7" i="105" s="1"/>
  <c r="D35" i="105"/>
  <c r="E35" i="105" s="1"/>
  <c r="F35" i="105" s="1"/>
  <c r="G35" i="105" s="1"/>
  <c r="H35" i="105" s="1"/>
  <c r="I35" i="105" s="1"/>
  <c r="J35" i="105" s="1"/>
  <c r="K35" i="105" s="1"/>
  <c r="L35" i="105" s="1"/>
  <c r="M35" i="105" s="1"/>
  <c r="N35" i="105" s="1"/>
  <c r="O35" i="105" s="1"/>
  <c r="P35" i="105" s="1"/>
  <c r="Q35" i="105" s="1"/>
  <c r="R35" i="105" s="1"/>
  <c r="S35" i="105" s="1"/>
  <c r="T35" i="105" s="1"/>
  <c r="U35" i="105" s="1"/>
  <c r="V35" i="105" s="1"/>
  <c r="W35" i="105" s="1"/>
  <c r="X35" i="105" s="1"/>
  <c r="Y35" i="105" s="1"/>
  <c r="Z35" i="105" s="1"/>
  <c r="AA35" i="105" s="1"/>
  <c r="AB35" i="105" s="1"/>
  <c r="AC35" i="105" s="1"/>
  <c r="AD35" i="105" s="1"/>
  <c r="AE35" i="105" s="1"/>
  <c r="AF35" i="105" s="1"/>
  <c r="AG35" i="105" s="1"/>
  <c r="AH35" i="105" s="1"/>
  <c r="AI35" i="105" s="1"/>
  <c r="AJ35" i="105" s="1"/>
  <c r="D63" i="105"/>
  <c r="E63" i="105" s="1"/>
  <c r="F63" i="105" s="1"/>
  <c r="G63" i="105" s="1"/>
  <c r="H63" i="105" s="1"/>
  <c r="I63" i="105" s="1"/>
  <c r="J63" i="105" s="1"/>
  <c r="K63" i="105" s="1"/>
  <c r="L63" i="105" s="1"/>
  <c r="M63" i="105" s="1"/>
  <c r="N63" i="105" s="1"/>
  <c r="O63" i="105" s="1"/>
  <c r="P63" i="105" s="1"/>
  <c r="Q63" i="105" s="1"/>
  <c r="R63" i="105" s="1"/>
  <c r="S63" i="105" s="1"/>
  <c r="T63" i="105" s="1"/>
  <c r="U63" i="105" s="1"/>
  <c r="V63" i="105" s="1"/>
  <c r="W63" i="105" s="1"/>
  <c r="X63" i="105" s="1"/>
  <c r="Y63" i="105" s="1"/>
  <c r="Z63" i="105" s="1"/>
  <c r="AA63" i="105" s="1"/>
  <c r="AB63" i="105" s="1"/>
  <c r="AC63" i="105" s="1"/>
  <c r="AD63" i="105" s="1"/>
  <c r="AE63" i="105" s="1"/>
  <c r="AF63" i="105" s="1"/>
  <c r="AG63" i="105" s="1"/>
  <c r="AH63" i="105" s="1"/>
  <c r="AI63" i="105" s="1"/>
  <c r="AJ63" i="105" s="1"/>
  <c r="D91" i="105"/>
  <c r="E91" i="105" s="1"/>
  <c r="F91" i="105" s="1"/>
  <c r="G91" i="105" s="1"/>
  <c r="H91" i="105" s="1"/>
  <c r="I91" i="105" s="1"/>
  <c r="J91" i="105" s="1"/>
  <c r="K91" i="105" s="1"/>
  <c r="L91" i="105" s="1"/>
  <c r="M91" i="105" s="1"/>
  <c r="N91" i="105" s="1"/>
  <c r="O91" i="105" s="1"/>
  <c r="P91" i="105" s="1"/>
  <c r="Q91" i="105" s="1"/>
  <c r="R91" i="105" s="1"/>
  <c r="S91" i="105" s="1"/>
  <c r="T91" i="105" s="1"/>
  <c r="U91" i="105" s="1"/>
  <c r="V91" i="105" s="1"/>
  <c r="W91" i="105" s="1"/>
  <c r="X91" i="105" s="1"/>
  <c r="Y91" i="105" s="1"/>
  <c r="Z91" i="105" s="1"/>
  <c r="AA91" i="105" s="1"/>
  <c r="AB91" i="105" s="1"/>
  <c r="AC91" i="105" s="1"/>
  <c r="AD91" i="105" s="1"/>
  <c r="AE91" i="105" s="1"/>
  <c r="AF91" i="105" s="1"/>
  <c r="AG91" i="105" s="1"/>
  <c r="AH91" i="105" s="1"/>
  <c r="AI91" i="105" s="1"/>
  <c r="AJ91" i="105" s="1"/>
  <c r="H84" i="93"/>
  <c r="L22" i="68"/>
  <c r="AJ22" i="68" s="1"/>
  <c r="M22" i="68"/>
  <c r="AK22" i="68" s="1"/>
  <c r="N22" i="68"/>
  <c r="Z22" i="68" s="1"/>
  <c r="O22" i="68"/>
  <c r="AA22" i="68" s="1"/>
  <c r="X22" i="68"/>
  <c r="Y22" i="68"/>
  <c r="C28" i="68"/>
  <c r="AQ36" i="68" s="1"/>
  <c r="P28" i="68"/>
  <c r="Q28" i="68"/>
  <c r="R28" i="68"/>
  <c r="S28" i="68"/>
  <c r="T28" i="68"/>
  <c r="U28" i="68"/>
  <c r="V28" i="68"/>
  <c r="W28" i="68"/>
  <c r="BG28" i="68" s="1"/>
  <c r="X28" i="68"/>
  <c r="Y28" i="68"/>
  <c r="Z28" i="68"/>
  <c r="AA28" i="68"/>
  <c r="BK28" i="68" s="1"/>
  <c r="AB28" i="68"/>
  <c r="BL28" i="68" s="1"/>
  <c r="AC28" i="68"/>
  <c r="BM28" i="68" s="1"/>
  <c r="AD28" i="68"/>
  <c r="AE28" i="68"/>
  <c r="BO28" i="68" s="1"/>
  <c r="AF28" i="68"/>
  <c r="AG28" i="68"/>
  <c r="AH28" i="68"/>
  <c r="AI28" i="68"/>
  <c r="AJ28" i="68"/>
  <c r="AK28" i="68"/>
  <c r="BU28" i="68" s="1"/>
  <c r="AL28" i="68"/>
  <c r="C29" i="68"/>
  <c r="P29" i="68"/>
  <c r="Q29" i="68"/>
  <c r="R29" i="68"/>
  <c r="S29" i="68"/>
  <c r="T29" i="68"/>
  <c r="U29" i="68"/>
  <c r="V29" i="68"/>
  <c r="W29" i="68"/>
  <c r="BG29" i="68" s="1"/>
  <c r="X29" i="68"/>
  <c r="Y29" i="68"/>
  <c r="Z29" i="68"/>
  <c r="AA29" i="68"/>
  <c r="AB29" i="68"/>
  <c r="BL29" i="68" s="1"/>
  <c r="AC29" i="68"/>
  <c r="BM29" i="68" s="1"/>
  <c r="AD29" i="68"/>
  <c r="AE29" i="68"/>
  <c r="BO29" i="68" s="1"/>
  <c r="AF29" i="68"/>
  <c r="AG29" i="68"/>
  <c r="AH29" i="68"/>
  <c r="AI29" i="68"/>
  <c r="AJ29" i="68"/>
  <c r="BT29" i="68" s="1"/>
  <c r="AK29" i="68"/>
  <c r="AL29" i="68"/>
  <c r="BV29" i="68" s="1"/>
  <c r="C30" i="68"/>
  <c r="P30" i="68"/>
  <c r="AZ30" i="68" s="1"/>
  <c r="Q30" i="68"/>
  <c r="R30" i="68"/>
  <c r="S30" i="68"/>
  <c r="T30" i="68"/>
  <c r="U30" i="68"/>
  <c r="V30" i="68"/>
  <c r="W30" i="68"/>
  <c r="BG30" i="68" s="1"/>
  <c r="X30" i="68"/>
  <c r="Y30" i="68"/>
  <c r="Z30" i="68"/>
  <c r="AA30" i="68"/>
  <c r="BK30" i="68" s="1"/>
  <c r="AB30" i="68"/>
  <c r="BL30" i="68" s="1"/>
  <c r="AC30" i="68"/>
  <c r="BM30" i="68" s="1"/>
  <c r="AD30" i="68"/>
  <c r="BN30" i="68" s="1"/>
  <c r="AE30" i="68"/>
  <c r="BO30" i="68" s="1"/>
  <c r="AF30" i="68"/>
  <c r="AG30" i="68"/>
  <c r="AH30" i="68"/>
  <c r="AI30" i="68"/>
  <c r="AJ30" i="68"/>
  <c r="AK30" i="68"/>
  <c r="BU30" i="68" s="1"/>
  <c r="AL30" i="68"/>
  <c r="BV30" i="68" s="1"/>
  <c r="C31" i="68"/>
  <c r="P31" i="68"/>
  <c r="AZ31" i="68" s="1"/>
  <c r="Q31" i="68"/>
  <c r="R31" i="68"/>
  <c r="S31" i="68"/>
  <c r="T31" i="68"/>
  <c r="U31" i="68"/>
  <c r="V31" i="68"/>
  <c r="W31" i="68"/>
  <c r="BG31" i="68" s="1"/>
  <c r="X31" i="68"/>
  <c r="BH31" i="68" s="1"/>
  <c r="Y31" i="68"/>
  <c r="Z31" i="68"/>
  <c r="AA31" i="68"/>
  <c r="BK31" i="68" s="1"/>
  <c r="AB31" i="68"/>
  <c r="BL31" i="68" s="1"/>
  <c r="AC31" i="68"/>
  <c r="BM31" i="68" s="1"/>
  <c r="AD31" i="68"/>
  <c r="AE31" i="68"/>
  <c r="AF31" i="68"/>
  <c r="AG31" i="68"/>
  <c r="AH31" i="68"/>
  <c r="AI31" i="68"/>
  <c r="AJ31" i="68"/>
  <c r="AK31" i="68"/>
  <c r="BU31" i="68" s="1"/>
  <c r="AL31" i="68"/>
  <c r="AU31" i="68"/>
  <c r="C32" i="68"/>
  <c r="P32" i="68"/>
  <c r="Q32" i="68"/>
  <c r="R32" i="68"/>
  <c r="S32" i="68"/>
  <c r="T32" i="68"/>
  <c r="U32" i="68"/>
  <c r="V32" i="68"/>
  <c r="BF32" i="68" s="1"/>
  <c r="W32" i="68"/>
  <c r="X32" i="68"/>
  <c r="Y32" i="68"/>
  <c r="Z32" i="68"/>
  <c r="BJ32" i="68" s="1"/>
  <c r="AA32" i="68"/>
  <c r="BK32" i="68" s="1"/>
  <c r="AB32" i="68"/>
  <c r="BL32" i="68" s="1"/>
  <c r="AC32" i="68"/>
  <c r="AD32" i="68"/>
  <c r="BN32" i="68" s="1"/>
  <c r="AE32" i="68"/>
  <c r="AF32" i="68"/>
  <c r="AG32" i="68"/>
  <c r="AH32" i="68"/>
  <c r="AI32" i="68"/>
  <c r="AJ32" i="68"/>
  <c r="BT32" i="68" s="1"/>
  <c r="AK32" i="68"/>
  <c r="AL32" i="68"/>
  <c r="BV32" i="68" s="1"/>
  <c r="C33" i="68"/>
  <c r="P33" i="68"/>
  <c r="Q33" i="68"/>
  <c r="R33" i="68"/>
  <c r="S33" i="68"/>
  <c r="T33" i="68"/>
  <c r="U33" i="68"/>
  <c r="V33" i="68"/>
  <c r="BF33" i="68" s="1"/>
  <c r="W33" i="68"/>
  <c r="X33" i="68"/>
  <c r="BH33" i="68" s="1"/>
  <c r="Y33" i="68"/>
  <c r="Z33" i="68"/>
  <c r="AA33" i="68"/>
  <c r="BK33" i="68" s="1"/>
  <c r="AB33" i="68"/>
  <c r="BL33" i="68" s="1"/>
  <c r="AC33" i="68"/>
  <c r="AD33" i="68"/>
  <c r="BN33" i="68" s="1"/>
  <c r="AE33" i="68"/>
  <c r="AF33" i="68"/>
  <c r="BP33" i="68" s="1"/>
  <c r="AG33" i="68"/>
  <c r="AH33" i="68"/>
  <c r="AI33" i="68"/>
  <c r="BS33" i="68" s="1"/>
  <c r="AJ33" i="68"/>
  <c r="BT33" i="68" s="1"/>
  <c r="AK33" i="68"/>
  <c r="AL33" i="68"/>
  <c r="BV33" i="68" s="1"/>
  <c r="C34" i="68"/>
  <c r="P34" i="68"/>
  <c r="AZ34" i="68" s="1"/>
  <c r="Q34" i="68"/>
  <c r="R34" i="68"/>
  <c r="S34" i="68"/>
  <c r="T34" i="68"/>
  <c r="U34" i="68"/>
  <c r="BE34" i="68" s="1"/>
  <c r="V34" i="68"/>
  <c r="W34" i="68"/>
  <c r="X34" i="68"/>
  <c r="BH34" i="68" s="1"/>
  <c r="Y34" i="68"/>
  <c r="Z34" i="68"/>
  <c r="AA34" i="68"/>
  <c r="AB34" i="68"/>
  <c r="BL34" i="68" s="1"/>
  <c r="AC34" i="68"/>
  <c r="AD34" i="68"/>
  <c r="BN34" i="68" s="1"/>
  <c r="AE34" i="68"/>
  <c r="AF34" i="68"/>
  <c r="BP34" i="68" s="1"/>
  <c r="AG34" i="68"/>
  <c r="AH34" i="68"/>
  <c r="AI34" i="68"/>
  <c r="BS34" i="68" s="1"/>
  <c r="AJ34" i="68"/>
  <c r="BT34" i="68" s="1"/>
  <c r="AK34" i="68"/>
  <c r="AL34" i="68"/>
  <c r="BV34" i="68" s="1"/>
  <c r="C35" i="68"/>
  <c r="P35" i="68"/>
  <c r="AZ35" i="68" s="1"/>
  <c r="Q35" i="68"/>
  <c r="R35" i="68"/>
  <c r="S35" i="68"/>
  <c r="T35" i="68"/>
  <c r="U35" i="68"/>
  <c r="V35" i="68"/>
  <c r="BF35" i="68" s="1"/>
  <c r="W35" i="68"/>
  <c r="X35" i="68"/>
  <c r="BH35" i="68" s="1"/>
  <c r="Y35" i="68"/>
  <c r="Z35" i="68"/>
  <c r="AA35" i="68"/>
  <c r="AB35" i="68"/>
  <c r="BL35" i="68" s="1"/>
  <c r="AC35" i="68"/>
  <c r="BM35" i="68" s="1"/>
  <c r="AD35" i="68"/>
  <c r="BN35" i="68" s="1"/>
  <c r="AE35" i="68"/>
  <c r="AF35" i="68"/>
  <c r="BP35" i="68" s="1"/>
  <c r="AG35" i="68"/>
  <c r="AH35" i="68"/>
  <c r="AI35" i="68"/>
  <c r="AJ35" i="68"/>
  <c r="BT35" i="68" s="1"/>
  <c r="AK35" i="68"/>
  <c r="BU35" i="68" s="1"/>
  <c r="AL35" i="68"/>
  <c r="BV35" i="68" s="1"/>
  <c r="C36" i="68"/>
  <c r="P36" i="68"/>
  <c r="AZ36" i="68" s="1"/>
  <c r="Q36" i="68"/>
  <c r="R36" i="68"/>
  <c r="S36" i="68"/>
  <c r="T36" i="68"/>
  <c r="U36" i="68"/>
  <c r="BE36" i="68" s="1"/>
  <c r="V36" i="68"/>
  <c r="BF36" i="68" s="1"/>
  <c r="W36" i="68"/>
  <c r="BG36" i="68" s="1"/>
  <c r="X36" i="68"/>
  <c r="BH36" i="68" s="1"/>
  <c r="Y36" i="68"/>
  <c r="Z36" i="68"/>
  <c r="AA36" i="68"/>
  <c r="BK36" i="68" s="1"/>
  <c r="AB36" i="68"/>
  <c r="AC36" i="68"/>
  <c r="BM36" i="68" s="1"/>
  <c r="AD36" i="68"/>
  <c r="BN36" i="68" s="1"/>
  <c r="AE36" i="68"/>
  <c r="AF36" i="68"/>
  <c r="BP36" i="68" s="1"/>
  <c r="AG36" i="68"/>
  <c r="AH36" i="68"/>
  <c r="AI36" i="68"/>
  <c r="AJ36" i="68"/>
  <c r="BT36" i="68" s="1"/>
  <c r="AK36" i="68"/>
  <c r="BU36" i="68" s="1"/>
  <c r="AL36" i="68"/>
  <c r="BV36" i="68" s="1"/>
  <c r="C37" i="68"/>
  <c r="D37" i="68"/>
  <c r="AB37" i="68" s="1"/>
  <c r="BL37" i="68" s="1"/>
  <c r="E37" i="68"/>
  <c r="F37" i="68"/>
  <c r="AD37" i="68" s="1"/>
  <c r="BN37" i="68" s="1"/>
  <c r="G37" i="68"/>
  <c r="S37" i="68" s="1"/>
  <c r="BC37" i="68" s="1"/>
  <c r="H37" i="68"/>
  <c r="T37" i="68" s="1"/>
  <c r="BD37" i="68" s="1"/>
  <c r="I37" i="68"/>
  <c r="AS37" i="68" s="1"/>
  <c r="J37" i="68"/>
  <c r="AH37" i="68" s="1"/>
  <c r="BR37" i="68" s="1"/>
  <c r="K37" i="68"/>
  <c r="L37" i="68"/>
  <c r="X37" i="68" s="1"/>
  <c r="BH37" i="68" s="1"/>
  <c r="M37" i="68"/>
  <c r="AW37" i="68" s="1"/>
  <c r="N37" i="68"/>
  <c r="AL37" i="68" s="1"/>
  <c r="BV37" i="68" s="1"/>
  <c r="O37" i="68"/>
  <c r="AY37" i="68" s="1"/>
  <c r="C38" i="68"/>
  <c r="D38" i="68"/>
  <c r="AB38" i="68" s="1"/>
  <c r="E38" i="68"/>
  <c r="AC38" i="68" s="1"/>
  <c r="F38" i="68"/>
  <c r="G38" i="68"/>
  <c r="S38" i="68" s="1"/>
  <c r="H38" i="68"/>
  <c r="I38" i="68"/>
  <c r="AG38" i="68" s="1"/>
  <c r="J38" i="68"/>
  <c r="AT38" i="68" s="1"/>
  <c r="K38" i="68"/>
  <c r="W38" i="68" s="1"/>
  <c r="BG38" i="68" s="1"/>
  <c r="L38" i="68"/>
  <c r="X38" i="68" s="1"/>
  <c r="M38" i="68"/>
  <c r="AK38" i="68" s="1"/>
  <c r="N38" i="68"/>
  <c r="AL38" i="68" s="1"/>
  <c r="O38" i="68"/>
  <c r="AA38" i="68" s="1"/>
  <c r="C39" i="68"/>
  <c r="P39" i="68"/>
  <c r="Q39" i="68"/>
  <c r="R39" i="68"/>
  <c r="S39" i="68"/>
  <c r="BC39" i="68" s="1"/>
  <c r="T39" i="68"/>
  <c r="BD39" i="68" s="1"/>
  <c r="U39" i="68"/>
  <c r="V39" i="68"/>
  <c r="BF39" i="68" s="1"/>
  <c r="W39" i="68"/>
  <c r="X39" i="68"/>
  <c r="Y39" i="68"/>
  <c r="Z39" i="68"/>
  <c r="BJ39" i="68" s="1"/>
  <c r="AA39" i="68"/>
  <c r="BK39" i="68" s="1"/>
  <c r="AB39" i="68"/>
  <c r="AC39" i="68"/>
  <c r="AD39" i="68"/>
  <c r="BN39" i="68" s="1"/>
  <c r="AE39" i="68"/>
  <c r="AF39" i="68"/>
  <c r="AG39" i="68"/>
  <c r="BQ39" i="68" s="1"/>
  <c r="AH39" i="68"/>
  <c r="BR39" i="68" s="1"/>
  <c r="AI39" i="68"/>
  <c r="BS39" i="68" s="1"/>
  <c r="AJ39" i="68"/>
  <c r="BT39" i="68" s="1"/>
  <c r="AK39" i="68"/>
  <c r="AL39" i="68"/>
  <c r="BV39" i="68" s="1"/>
  <c r="C40" i="68"/>
  <c r="P40" i="68"/>
  <c r="Q40" i="68"/>
  <c r="R40" i="68"/>
  <c r="S40" i="68"/>
  <c r="BC40" i="68" s="1"/>
  <c r="T40" i="68"/>
  <c r="BD40" i="68" s="1"/>
  <c r="U40" i="68"/>
  <c r="BE40" i="68" s="1"/>
  <c r="V40" i="68"/>
  <c r="BF40" i="68" s="1"/>
  <c r="W40" i="68"/>
  <c r="X40" i="68"/>
  <c r="BH40" i="68" s="1"/>
  <c r="Y40" i="68"/>
  <c r="BI40" i="68" s="1"/>
  <c r="Z40" i="68"/>
  <c r="BJ40" i="68" s="1"/>
  <c r="AA40" i="68"/>
  <c r="BK40" i="68" s="1"/>
  <c r="AB40" i="68"/>
  <c r="BL40" i="68" s="1"/>
  <c r="AC40" i="68"/>
  <c r="AD40" i="68"/>
  <c r="BN40" i="68" s="1"/>
  <c r="AE40" i="68"/>
  <c r="AF40" i="68"/>
  <c r="AG40" i="68"/>
  <c r="BQ40" i="68" s="1"/>
  <c r="AH40" i="68"/>
  <c r="AI40" i="68"/>
  <c r="BS40" i="68" s="1"/>
  <c r="AJ40" i="68"/>
  <c r="BT40" i="68" s="1"/>
  <c r="AK40" i="68"/>
  <c r="AL40" i="68"/>
  <c r="BV40" i="68" s="1"/>
  <c r="C41" i="68"/>
  <c r="P41" i="68"/>
  <c r="Q41" i="68"/>
  <c r="R41" i="68"/>
  <c r="S41" i="68"/>
  <c r="BC41" i="68" s="1"/>
  <c r="T41" i="68"/>
  <c r="BD41" i="68" s="1"/>
  <c r="U41" i="68"/>
  <c r="BE41" i="68" s="1"/>
  <c r="V41" i="68"/>
  <c r="BF41" i="68" s="1"/>
  <c r="W41" i="68"/>
  <c r="X41" i="68"/>
  <c r="BH41" i="68" s="1"/>
  <c r="Y41" i="68"/>
  <c r="BI41" i="68" s="1"/>
  <c r="Z41" i="68"/>
  <c r="BJ41" i="68" s="1"/>
  <c r="AA41" i="68"/>
  <c r="BK41" i="68" s="1"/>
  <c r="AB41" i="68"/>
  <c r="BL41" i="68" s="1"/>
  <c r="AC41" i="68"/>
  <c r="BM41" i="68" s="1"/>
  <c r="AD41" i="68"/>
  <c r="BN41" i="68" s="1"/>
  <c r="AE41" i="68"/>
  <c r="AF41" i="68"/>
  <c r="AG41" i="68"/>
  <c r="AH41" i="68"/>
  <c r="BR41" i="68" s="1"/>
  <c r="AI41" i="68"/>
  <c r="BS41" i="68" s="1"/>
  <c r="AJ41" i="68"/>
  <c r="BT41" i="68" s="1"/>
  <c r="AK41" i="68"/>
  <c r="BU41" i="68" s="1"/>
  <c r="AL41" i="68"/>
  <c r="BV41" i="68" s="1"/>
  <c r="C42" i="68"/>
  <c r="P42" i="68"/>
  <c r="Q42" i="68"/>
  <c r="R42" i="68"/>
  <c r="S42" i="68"/>
  <c r="BC42" i="68" s="1"/>
  <c r="T42" i="68"/>
  <c r="BD42" i="68" s="1"/>
  <c r="U42" i="68"/>
  <c r="BE42" i="68" s="1"/>
  <c r="V42" i="68"/>
  <c r="BF42" i="68" s="1"/>
  <c r="W42" i="68"/>
  <c r="X42" i="68"/>
  <c r="BH42" i="68" s="1"/>
  <c r="Y42" i="68"/>
  <c r="BI42" i="68" s="1"/>
  <c r="Z42" i="68"/>
  <c r="BJ42" i="68" s="1"/>
  <c r="AA42" i="68"/>
  <c r="BK42" i="68" s="1"/>
  <c r="AB42" i="68"/>
  <c r="BL42" i="68" s="1"/>
  <c r="AC42" i="68"/>
  <c r="AD42" i="68"/>
  <c r="AE42" i="68"/>
  <c r="AF42" i="68"/>
  <c r="AG42" i="68"/>
  <c r="BQ42" i="68" s="1"/>
  <c r="AH42" i="68"/>
  <c r="BR42" i="68" s="1"/>
  <c r="AI42" i="68"/>
  <c r="BS42" i="68" s="1"/>
  <c r="AJ42" i="68"/>
  <c r="BT42" i="68" s="1"/>
  <c r="AK42" i="68"/>
  <c r="BU42" i="68" s="1"/>
  <c r="AL42" i="68"/>
  <c r="BV42" i="68" s="1"/>
  <c r="C43" i="68"/>
  <c r="P43" i="68"/>
  <c r="Q43" i="68"/>
  <c r="R43" i="68"/>
  <c r="S43" i="68"/>
  <c r="BC43" i="68" s="1"/>
  <c r="T43" i="68"/>
  <c r="U43" i="68"/>
  <c r="BE43" i="68" s="1"/>
  <c r="V43" i="68"/>
  <c r="BF43" i="68" s="1"/>
  <c r="W43" i="68"/>
  <c r="X43" i="68"/>
  <c r="Y43" i="68"/>
  <c r="BI43" i="68" s="1"/>
  <c r="Z43" i="68"/>
  <c r="BJ43" i="68" s="1"/>
  <c r="AA43" i="68"/>
  <c r="BK43" i="68" s="1"/>
  <c r="AB43" i="68"/>
  <c r="BL43" i="68" s="1"/>
  <c r="AC43" i="68"/>
  <c r="BM43" i="68" s="1"/>
  <c r="AD43" i="68"/>
  <c r="BN43" i="68" s="1"/>
  <c r="AE43" i="68"/>
  <c r="AF43" i="68"/>
  <c r="AG43" i="68"/>
  <c r="BQ43" i="68" s="1"/>
  <c r="AH43" i="68"/>
  <c r="BR43" i="68" s="1"/>
  <c r="AI43" i="68"/>
  <c r="BS43" i="68" s="1"/>
  <c r="AJ43" i="68"/>
  <c r="AK43" i="68"/>
  <c r="BU43" i="68" s="1"/>
  <c r="AL43" i="68"/>
  <c r="BV43" i="68" s="1"/>
  <c r="B49" i="68"/>
  <c r="C49" i="68"/>
  <c r="P49" i="68"/>
  <c r="Q49" i="68"/>
  <c r="R49" i="68"/>
  <c r="BB49" i="68" s="1"/>
  <c r="S49" i="68"/>
  <c r="BC49" i="68" s="1"/>
  <c r="T49" i="68"/>
  <c r="BD49" i="68" s="1"/>
  <c r="U49" i="68"/>
  <c r="BE49" i="68" s="1"/>
  <c r="V49" i="68"/>
  <c r="W49" i="68"/>
  <c r="BG49" i="68" s="1"/>
  <c r="X49" i="68"/>
  <c r="BH49" i="68" s="1"/>
  <c r="Y49" i="68"/>
  <c r="BI49" i="68" s="1"/>
  <c r="Z49" i="68"/>
  <c r="BJ49" i="68" s="1"/>
  <c r="AA49" i="68"/>
  <c r="BK49" i="68" s="1"/>
  <c r="AB49" i="68"/>
  <c r="BL49" i="68" s="1"/>
  <c r="AC49" i="68"/>
  <c r="BM49" i="68" s="1"/>
  <c r="AD49" i="68"/>
  <c r="AE49" i="68"/>
  <c r="AF49" i="68"/>
  <c r="AG49" i="68"/>
  <c r="BQ49" i="68" s="1"/>
  <c r="AH49" i="68"/>
  <c r="BR49" i="68" s="1"/>
  <c r="AI49" i="68"/>
  <c r="BS49" i="68" s="1"/>
  <c r="AJ49" i="68"/>
  <c r="BT49" i="68" s="1"/>
  <c r="AK49" i="68"/>
  <c r="BU49" i="68" s="1"/>
  <c r="AL49" i="68"/>
  <c r="B50" i="68"/>
  <c r="C50" i="68"/>
  <c r="P50" i="68"/>
  <c r="Q50" i="68"/>
  <c r="BA50" i="68" s="1"/>
  <c r="R50" i="68"/>
  <c r="BB50" i="68" s="1"/>
  <c r="S50" i="68"/>
  <c r="BC50" i="68" s="1"/>
  <c r="T50" i="68"/>
  <c r="BD50" i="68" s="1"/>
  <c r="U50" i="68"/>
  <c r="V50" i="68"/>
  <c r="BF50" i="68" s="1"/>
  <c r="W50" i="68"/>
  <c r="X50" i="68"/>
  <c r="BH50" i="68" s="1"/>
  <c r="Y50" i="68"/>
  <c r="BI50" i="68" s="1"/>
  <c r="Z50" i="68"/>
  <c r="BJ50" i="68" s="1"/>
  <c r="AA50" i="68"/>
  <c r="BK50" i="68" s="1"/>
  <c r="AB50" i="68"/>
  <c r="BL50" i="68" s="1"/>
  <c r="AC50" i="68"/>
  <c r="AD50" i="68"/>
  <c r="AE50" i="68"/>
  <c r="AF50" i="68"/>
  <c r="BP50" i="68" s="1"/>
  <c r="AG50" i="68"/>
  <c r="BQ50" i="68" s="1"/>
  <c r="AH50" i="68"/>
  <c r="BR50" i="68" s="1"/>
  <c r="AI50" i="68"/>
  <c r="BS50" i="68" s="1"/>
  <c r="AJ50" i="68"/>
  <c r="BT50" i="68" s="1"/>
  <c r="AK50" i="68"/>
  <c r="AL50" i="68"/>
  <c r="B51" i="68"/>
  <c r="C51" i="68"/>
  <c r="P51" i="68"/>
  <c r="AZ51" i="68" s="1"/>
  <c r="Q51" i="68"/>
  <c r="BA51" i="68" s="1"/>
  <c r="R51" i="68"/>
  <c r="BB51" i="68" s="1"/>
  <c r="S51" i="68"/>
  <c r="BC51" i="68" s="1"/>
  <c r="T51" i="68"/>
  <c r="U51" i="68"/>
  <c r="V51" i="68"/>
  <c r="BF51" i="68" s="1"/>
  <c r="W51" i="68"/>
  <c r="BG51" i="68" s="1"/>
  <c r="X51" i="68"/>
  <c r="BH51" i="68" s="1"/>
  <c r="Y51" i="68"/>
  <c r="BI51" i="68" s="1"/>
  <c r="Z51" i="68"/>
  <c r="BJ51" i="68" s="1"/>
  <c r="AA51" i="68"/>
  <c r="BK51" i="68" s="1"/>
  <c r="AB51" i="68"/>
  <c r="AC51" i="68"/>
  <c r="AD51" i="68"/>
  <c r="BN51" i="68" s="1"/>
  <c r="AE51" i="68"/>
  <c r="AF51" i="68"/>
  <c r="BP51" i="68" s="1"/>
  <c r="AG51" i="68"/>
  <c r="BQ51" i="68" s="1"/>
  <c r="AH51" i="68"/>
  <c r="BR51" i="68" s="1"/>
  <c r="AI51" i="68"/>
  <c r="BS51" i="68" s="1"/>
  <c r="AJ51" i="68"/>
  <c r="AK51" i="68"/>
  <c r="AL51" i="68"/>
  <c r="B52" i="68"/>
  <c r="C52" i="68"/>
  <c r="P52" i="68"/>
  <c r="AZ52" i="68" s="1"/>
  <c r="Q52" i="68"/>
  <c r="BA52" i="68" s="1"/>
  <c r="R52" i="68"/>
  <c r="BB52" i="68" s="1"/>
  <c r="S52" i="68"/>
  <c r="T52" i="68"/>
  <c r="BD52" i="68" s="1"/>
  <c r="U52" i="68"/>
  <c r="V52" i="68"/>
  <c r="BF52" i="68" s="1"/>
  <c r="W52" i="68"/>
  <c r="BG52" i="68" s="1"/>
  <c r="X52" i="68"/>
  <c r="BH52" i="68" s="1"/>
  <c r="Y52" i="68"/>
  <c r="BI52" i="68" s="1"/>
  <c r="Z52" i="68"/>
  <c r="BJ52" i="68" s="1"/>
  <c r="AA52" i="68"/>
  <c r="AB52" i="68"/>
  <c r="AC52" i="68"/>
  <c r="AD52" i="68"/>
  <c r="BN52" i="68" s="1"/>
  <c r="AE52" i="68"/>
  <c r="BO52" i="68" s="1"/>
  <c r="AF52" i="68"/>
  <c r="BP52" i="68" s="1"/>
  <c r="AG52" i="68"/>
  <c r="BQ52" i="68" s="1"/>
  <c r="AH52" i="68"/>
  <c r="BR52" i="68" s="1"/>
  <c r="AI52" i="68"/>
  <c r="AJ52" i="68"/>
  <c r="AK52" i="68"/>
  <c r="AL52" i="68"/>
  <c r="B53" i="68"/>
  <c r="P53" i="68"/>
  <c r="AZ53" i="68" s="1"/>
  <c r="Q53" i="68"/>
  <c r="BA53" i="68" s="1"/>
  <c r="R53" i="68"/>
  <c r="BB53" i="68" s="1"/>
  <c r="S53" i="68"/>
  <c r="T53" i="68"/>
  <c r="BD53" i="68" s="1"/>
  <c r="U53" i="68"/>
  <c r="BE53" i="68" s="1"/>
  <c r="V53" i="68"/>
  <c r="BF53" i="68" s="1"/>
  <c r="W53" i="68"/>
  <c r="BG53" i="68" s="1"/>
  <c r="X53" i="68"/>
  <c r="BH53" i="68" s="1"/>
  <c r="Y53" i="68"/>
  <c r="BI53" i="68" s="1"/>
  <c r="Z53" i="68"/>
  <c r="AA53" i="68"/>
  <c r="AB53" i="68"/>
  <c r="AC53" i="68"/>
  <c r="AD53" i="68"/>
  <c r="BN53" i="68" s="1"/>
  <c r="AE53" i="68"/>
  <c r="BO53" i="68" s="1"/>
  <c r="AF53" i="68"/>
  <c r="BP53" i="68" s="1"/>
  <c r="AG53" i="68"/>
  <c r="BQ53" i="68" s="1"/>
  <c r="AH53" i="68"/>
  <c r="BR53" i="68" s="1"/>
  <c r="AI53" i="68"/>
  <c r="AJ53" i="68"/>
  <c r="AK53" i="68"/>
  <c r="AL53" i="68"/>
  <c r="BV53" i="68" s="1"/>
  <c r="B54" i="68"/>
  <c r="C54" i="68"/>
  <c r="P54" i="68"/>
  <c r="AZ54" i="68" s="1"/>
  <c r="Q54" i="68"/>
  <c r="BA54" i="68" s="1"/>
  <c r="R54" i="68"/>
  <c r="S54" i="68"/>
  <c r="BC54" i="68" s="1"/>
  <c r="T54" i="68"/>
  <c r="BD54" i="68" s="1"/>
  <c r="U54" i="68"/>
  <c r="BE54" i="68" s="1"/>
  <c r="V54" i="68"/>
  <c r="BF54" i="68" s="1"/>
  <c r="W54" i="68"/>
  <c r="BG54" i="68" s="1"/>
  <c r="X54" i="68"/>
  <c r="BH54" i="68" s="1"/>
  <c r="Y54" i="68"/>
  <c r="Z54" i="68"/>
  <c r="AA54" i="68"/>
  <c r="AB54" i="68"/>
  <c r="AC54" i="68"/>
  <c r="BM54" i="68" s="1"/>
  <c r="AD54" i="68"/>
  <c r="BN54" i="68" s="1"/>
  <c r="AE54" i="68"/>
  <c r="BO54" i="68" s="1"/>
  <c r="AF54" i="68"/>
  <c r="BP54" i="68" s="1"/>
  <c r="AG54" i="68"/>
  <c r="BQ54" i="68" s="1"/>
  <c r="AH54" i="68"/>
  <c r="AI54" i="68"/>
  <c r="AJ54" i="68"/>
  <c r="AK54" i="68"/>
  <c r="BU54" i="68" s="1"/>
  <c r="AL54" i="68"/>
  <c r="BV54" i="68" s="1"/>
  <c r="B55" i="68"/>
  <c r="C55" i="68"/>
  <c r="D55" i="68"/>
  <c r="AB55" i="68" s="1"/>
  <c r="BL55" i="68" s="1"/>
  <c r="Q55" i="68"/>
  <c r="R55" i="68"/>
  <c r="S55" i="68"/>
  <c r="T55" i="68"/>
  <c r="BD55" i="68" s="1"/>
  <c r="U55" i="68"/>
  <c r="BE55" i="68" s="1"/>
  <c r="V55" i="68"/>
  <c r="BF55" i="68" s="1"/>
  <c r="W55" i="68"/>
  <c r="BG55" i="68" s="1"/>
  <c r="X55" i="68"/>
  <c r="Y55" i="68"/>
  <c r="Z55" i="68"/>
  <c r="AA55" i="68"/>
  <c r="BK55" i="68" s="1"/>
  <c r="AC55" i="68"/>
  <c r="BM55" i="68" s="1"/>
  <c r="AD55" i="68"/>
  <c r="BN55" i="68" s="1"/>
  <c r="AE55" i="68"/>
  <c r="BO55" i="68" s="1"/>
  <c r="AF55" i="68"/>
  <c r="BP55" i="68" s="1"/>
  <c r="AG55" i="68"/>
  <c r="BQ55" i="68" s="1"/>
  <c r="AH55" i="68"/>
  <c r="AI55" i="68"/>
  <c r="AJ55" i="68"/>
  <c r="AK55" i="68"/>
  <c r="BU55" i="68" s="1"/>
  <c r="AL55" i="68"/>
  <c r="BV55" i="68" s="1"/>
  <c r="B56" i="68"/>
  <c r="C56" i="68"/>
  <c r="P56" i="68"/>
  <c r="Q56" i="68"/>
  <c r="R56" i="68"/>
  <c r="S56" i="68"/>
  <c r="BC56" i="68" s="1"/>
  <c r="T56" i="68"/>
  <c r="BD56" i="68" s="1"/>
  <c r="U56" i="68"/>
  <c r="BE56" i="68" s="1"/>
  <c r="V56" i="68"/>
  <c r="BF56" i="68" s="1"/>
  <c r="W56" i="68"/>
  <c r="BG56" i="68" s="1"/>
  <c r="X56" i="68"/>
  <c r="Y56" i="68"/>
  <c r="Z56" i="68"/>
  <c r="AA56" i="68"/>
  <c r="AB56" i="68"/>
  <c r="BL56" i="68" s="1"/>
  <c r="AC56" i="68"/>
  <c r="BM56" i="68" s="1"/>
  <c r="AD56" i="68"/>
  <c r="BN56" i="68" s="1"/>
  <c r="AE56" i="68"/>
  <c r="BO56" i="68" s="1"/>
  <c r="AF56" i="68"/>
  <c r="BP56" i="68" s="1"/>
  <c r="AG56" i="68"/>
  <c r="AH56" i="68"/>
  <c r="AI56" i="68"/>
  <c r="AJ56" i="68"/>
  <c r="AK56" i="68"/>
  <c r="BU56" i="68" s="1"/>
  <c r="AL56" i="68"/>
  <c r="BV56" i="68" s="1"/>
  <c r="C58" i="68"/>
  <c r="P58" i="68"/>
  <c r="AZ58" i="68" s="1"/>
  <c r="Q58" i="68"/>
  <c r="R58" i="68"/>
  <c r="BB58" i="68" s="1"/>
  <c r="S58" i="68"/>
  <c r="BC58" i="68" s="1"/>
  <c r="T58" i="68"/>
  <c r="BD58" i="68" s="1"/>
  <c r="U58" i="68"/>
  <c r="BE58" i="68" s="1"/>
  <c r="V58" i="68"/>
  <c r="W58" i="68"/>
  <c r="BG58" i="68" s="1"/>
  <c r="X58" i="68"/>
  <c r="Y58" i="68"/>
  <c r="Z58" i="68"/>
  <c r="AA58" i="68"/>
  <c r="BK58" i="68" s="1"/>
  <c r="AB58" i="68"/>
  <c r="BL58" i="68" s="1"/>
  <c r="AC58" i="68"/>
  <c r="BM58" i="68" s="1"/>
  <c r="AD58" i="68"/>
  <c r="AE58" i="68"/>
  <c r="BO58" i="68" s="1"/>
  <c r="AF58" i="68"/>
  <c r="BP58" i="68" s="1"/>
  <c r="AG58" i="68"/>
  <c r="AH58" i="68"/>
  <c r="AI58" i="68"/>
  <c r="AJ58" i="68"/>
  <c r="BT58" i="68" s="1"/>
  <c r="AK58" i="68"/>
  <c r="BU58" i="68" s="1"/>
  <c r="AL58" i="68"/>
  <c r="B59" i="68"/>
  <c r="C59" i="68"/>
  <c r="P59" i="68"/>
  <c r="Q59" i="68"/>
  <c r="BA59" i="68" s="1"/>
  <c r="R59" i="68"/>
  <c r="BB59" i="68" s="1"/>
  <c r="S59" i="68"/>
  <c r="BC59" i="68" s="1"/>
  <c r="T59" i="68"/>
  <c r="BD59" i="68" s="1"/>
  <c r="U59" i="68"/>
  <c r="BE59" i="68" s="1"/>
  <c r="V59" i="68"/>
  <c r="BF59" i="68" s="1"/>
  <c r="W59" i="68"/>
  <c r="X59" i="68"/>
  <c r="Y59" i="68"/>
  <c r="Z59" i="68"/>
  <c r="BJ59" i="68" s="1"/>
  <c r="AA59" i="68"/>
  <c r="BK59" i="68" s="1"/>
  <c r="AB59" i="68"/>
  <c r="BL59" i="68" s="1"/>
  <c r="AC59" i="68"/>
  <c r="AD59" i="68"/>
  <c r="BN59" i="68" s="1"/>
  <c r="AE59" i="68"/>
  <c r="BO59" i="68" s="1"/>
  <c r="AF59" i="68"/>
  <c r="AG59" i="68"/>
  <c r="AH59" i="68"/>
  <c r="AI59" i="68"/>
  <c r="BS59" i="68" s="1"/>
  <c r="AJ59" i="68"/>
  <c r="BT59" i="68" s="1"/>
  <c r="AK59" i="68"/>
  <c r="BU59" i="68" s="1"/>
  <c r="AL59" i="68"/>
  <c r="BV59" i="68" s="1"/>
  <c r="A65" i="68"/>
  <c r="B65" i="68"/>
  <c r="C65" i="68"/>
  <c r="D65" i="68"/>
  <c r="AN65" i="68" s="1"/>
  <c r="C10" i="88" s="1"/>
  <c r="A66" i="68"/>
  <c r="B66" i="68"/>
  <c r="C66" i="68"/>
  <c r="D66" i="68"/>
  <c r="A67" i="68"/>
  <c r="B67" i="68"/>
  <c r="C67" i="68"/>
  <c r="AN67" i="68" s="1"/>
  <c r="D67" i="68"/>
  <c r="A68" i="68"/>
  <c r="B68" i="68"/>
  <c r="C68" i="68"/>
  <c r="AN68" i="68" s="1"/>
  <c r="D68" i="68"/>
  <c r="A69" i="68"/>
  <c r="B69" i="68"/>
  <c r="C69" i="68"/>
  <c r="D69" i="68"/>
  <c r="A75" i="68"/>
  <c r="B75" i="68"/>
  <c r="C75" i="68"/>
  <c r="D75" i="68"/>
  <c r="E75" i="68" s="1"/>
  <c r="AC75" i="68" s="1"/>
  <c r="A76" i="68"/>
  <c r="B76" i="68"/>
  <c r="C76" i="68"/>
  <c r="D76" i="68"/>
  <c r="E76" i="68"/>
  <c r="F76" i="68"/>
  <c r="R76" i="68"/>
  <c r="G76" i="68"/>
  <c r="AE76" i="68" s="1"/>
  <c r="H76" i="68"/>
  <c r="I76" i="68"/>
  <c r="J76" i="68"/>
  <c r="K76" i="68"/>
  <c r="W76" i="68" s="1"/>
  <c r="L76" i="68"/>
  <c r="M76" i="68"/>
  <c r="Y76" i="68" s="1"/>
  <c r="N76" i="68"/>
  <c r="O76" i="68"/>
  <c r="AA76" i="68"/>
  <c r="BK76" i="68" s="1"/>
  <c r="Z76" i="68"/>
  <c r="AD76" i="68"/>
  <c r="AL76" i="68"/>
  <c r="A77" i="68"/>
  <c r="B77" i="68"/>
  <c r="P77" i="68"/>
  <c r="Q77" i="68"/>
  <c r="R77" i="68"/>
  <c r="S77" i="68"/>
  <c r="T77" i="68"/>
  <c r="U77" i="68"/>
  <c r="V77" i="68"/>
  <c r="W77" i="68"/>
  <c r="X77" i="68"/>
  <c r="Y77" i="68"/>
  <c r="Z77" i="68"/>
  <c r="AA77" i="68"/>
  <c r="AB77" i="68"/>
  <c r="AC77" i="68"/>
  <c r="AD77" i="68"/>
  <c r="AE77" i="68"/>
  <c r="AF77" i="68"/>
  <c r="AG77" i="68"/>
  <c r="AH77" i="68"/>
  <c r="AI77" i="68"/>
  <c r="AJ77" i="68"/>
  <c r="AK77" i="68"/>
  <c r="AL77" i="68"/>
  <c r="A78" i="68"/>
  <c r="B78" i="68"/>
  <c r="P78" i="68"/>
  <c r="Q78" i="68"/>
  <c r="R78" i="68"/>
  <c r="S78" i="68"/>
  <c r="T78" i="68"/>
  <c r="U78" i="68"/>
  <c r="V78" i="68"/>
  <c r="W78" i="68"/>
  <c r="X78" i="68"/>
  <c r="Y78" i="68"/>
  <c r="Z78" i="68"/>
  <c r="AA78" i="68"/>
  <c r="AB78" i="68"/>
  <c r="AC78" i="68"/>
  <c r="AD78" i="68"/>
  <c r="AE78" i="68"/>
  <c r="AF78" i="68"/>
  <c r="AG78" i="68"/>
  <c r="AH78" i="68"/>
  <c r="AI78" i="68"/>
  <c r="AJ78" i="68"/>
  <c r="AK78" i="68"/>
  <c r="AL78" i="68"/>
  <c r="A79" i="68"/>
  <c r="B79" i="68"/>
  <c r="P79" i="68"/>
  <c r="AZ79" i="68" s="1"/>
  <c r="Q79" i="68"/>
  <c r="R79" i="68"/>
  <c r="BB79" i="68" s="1"/>
  <c r="S79" i="68"/>
  <c r="T79" i="68"/>
  <c r="U79" i="68"/>
  <c r="V79" i="68"/>
  <c r="W79" i="68"/>
  <c r="X79" i="68"/>
  <c r="Y79" i="68"/>
  <c r="Z79" i="68"/>
  <c r="AA79" i="68"/>
  <c r="AB79" i="68"/>
  <c r="AC79" i="68"/>
  <c r="AD79" i="68"/>
  <c r="AE79" i="68"/>
  <c r="AF79" i="68"/>
  <c r="BP79" i="68" s="1"/>
  <c r="AG79" i="68"/>
  <c r="AH79" i="68"/>
  <c r="AI79" i="68"/>
  <c r="AJ79" i="68"/>
  <c r="AK79" i="68"/>
  <c r="AL79" i="68"/>
  <c r="A80" i="68"/>
  <c r="B80" i="68"/>
  <c r="C80" i="68"/>
  <c r="P80" i="68"/>
  <c r="AZ80" i="68" s="1"/>
  <c r="Q80" i="68"/>
  <c r="R80" i="68"/>
  <c r="S80" i="68"/>
  <c r="BC80" i="68" s="1"/>
  <c r="T80" i="68"/>
  <c r="U80" i="68"/>
  <c r="V80" i="68"/>
  <c r="W80" i="68"/>
  <c r="X80" i="68"/>
  <c r="Y80" i="68"/>
  <c r="Z80" i="68"/>
  <c r="BJ80" i="68" s="1"/>
  <c r="AA80" i="68"/>
  <c r="BK80" i="68" s="1"/>
  <c r="AB80" i="68"/>
  <c r="BL80" i="68" s="1"/>
  <c r="AC80" i="68"/>
  <c r="AD80" i="68"/>
  <c r="BN80" i="68" s="1"/>
  <c r="AE80" i="68"/>
  <c r="AF80" i="68"/>
  <c r="AG80" i="68"/>
  <c r="AH80" i="68"/>
  <c r="BR80" i="68" s="1"/>
  <c r="AI80" i="68"/>
  <c r="BS80" i="68" s="1"/>
  <c r="AJ80" i="68"/>
  <c r="BT80" i="68" s="1"/>
  <c r="AK80" i="68"/>
  <c r="AL80" i="68"/>
  <c r="AV80" i="68"/>
  <c r="A81" i="68"/>
  <c r="B81" i="68"/>
  <c r="C81" i="68"/>
  <c r="P81" i="68"/>
  <c r="Q81" i="68"/>
  <c r="R81" i="68"/>
  <c r="S81" i="68"/>
  <c r="T81" i="68"/>
  <c r="U81" i="68"/>
  <c r="V81" i="68"/>
  <c r="W81" i="68"/>
  <c r="BG81" i="68" s="1"/>
  <c r="X81" i="68"/>
  <c r="Y81" i="68"/>
  <c r="Z81" i="68"/>
  <c r="AA81" i="68"/>
  <c r="BK81" i="68" s="1"/>
  <c r="AB81" i="68"/>
  <c r="AC81" i="68"/>
  <c r="AD81" i="68"/>
  <c r="AE81" i="68"/>
  <c r="BO81" i="68" s="1"/>
  <c r="AF81" i="68"/>
  <c r="AG81" i="68"/>
  <c r="AH81" i="68"/>
  <c r="AI81" i="68"/>
  <c r="BS81" i="68" s="1"/>
  <c r="AJ81" i="68"/>
  <c r="AK81" i="68"/>
  <c r="AL81" i="68"/>
  <c r="BV81" i="68" s="1"/>
  <c r="A82" i="68"/>
  <c r="B82" i="68"/>
  <c r="P82" i="68"/>
  <c r="Q82" i="68"/>
  <c r="R82" i="68"/>
  <c r="S82" i="68"/>
  <c r="T82" i="68"/>
  <c r="U82" i="68"/>
  <c r="V82" i="68"/>
  <c r="W82" i="68"/>
  <c r="X82" i="68"/>
  <c r="Y82" i="68"/>
  <c r="Z82" i="68"/>
  <c r="AA82" i="68"/>
  <c r="AB82" i="68"/>
  <c r="AC82" i="68"/>
  <c r="AD82" i="68"/>
  <c r="AE82" i="68"/>
  <c r="AF82" i="68"/>
  <c r="AG82" i="68"/>
  <c r="AH82" i="68"/>
  <c r="AI82" i="68"/>
  <c r="AJ82" i="68"/>
  <c r="AK82" i="68"/>
  <c r="AL82" i="68"/>
  <c r="BN90" i="68"/>
  <c r="AC28" i="88" s="1"/>
  <c r="AC29" i="88" s="1"/>
  <c r="BO90" i="68"/>
  <c r="AD28" i="88" s="1"/>
  <c r="AD29" i="88" s="1"/>
  <c r="BP90" i="68"/>
  <c r="AE28" i="88" s="1"/>
  <c r="AE29" i="88" s="1"/>
  <c r="BR90" i="68"/>
  <c r="AG28" i="88" s="1"/>
  <c r="AG29" i="88" s="1"/>
  <c r="BU90" i="68"/>
  <c r="AJ28" i="88" s="1"/>
  <c r="AJ29" i="88" s="1"/>
  <c r="BV90" i="68"/>
  <c r="AK28" i="88" s="1"/>
  <c r="AK29" i="88" s="1"/>
  <c r="AO90" i="68"/>
  <c r="D28" i="88" s="1"/>
  <c r="D29" i="88" s="1"/>
  <c r="AN90" i="68"/>
  <c r="C28" i="88" s="1"/>
  <c r="F67" i="127" s="1"/>
  <c r="C120" i="68"/>
  <c r="P120" i="68"/>
  <c r="Q120" i="68"/>
  <c r="R120" i="68"/>
  <c r="S120" i="68"/>
  <c r="T120" i="68"/>
  <c r="U120" i="68"/>
  <c r="V120" i="68"/>
  <c r="W120" i="68"/>
  <c r="X120" i="68"/>
  <c r="Y120" i="68"/>
  <c r="Z120" i="68"/>
  <c r="AA120" i="68"/>
  <c r="AB120" i="68"/>
  <c r="AC120" i="68"/>
  <c r="AD120" i="68"/>
  <c r="AE120" i="68"/>
  <c r="AF120" i="68"/>
  <c r="AG120" i="68"/>
  <c r="AH120" i="68"/>
  <c r="AI120" i="68"/>
  <c r="AJ120" i="68"/>
  <c r="AK120" i="68"/>
  <c r="AL120" i="68"/>
  <c r="C121" i="68"/>
  <c r="P121" i="68"/>
  <c r="Q121" i="68"/>
  <c r="R121" i="68"/>
  <c r="BB121" i="68" s="1"/>
  <c r="S121" i="68"/>
  <c r="T121" i="68"/>
  <c r="U121" i="68"/>
  <c r="V121" i="68"/>
  <c r="W121" i="68"/>
  <c r="BG121" i="68" s="1"/>
  <c r="X121" i="68"/>
  <c r="Y121" i="68"/>
  <c r="Z121" i="68"/>
  <c r="BJ121" i="68" s="1"/>
  <c r="AA121" i="68"/>
  <c r="AB121" i="68"/>
  <c r="AC121" i="68"/>
  <c r="AD121" i="68"/>
  <c r="AE121" i="68"/>
  <c r="AF121" i="68"/>
  <c r="AG121" i="68"/>
  <c r="AH121" i="68"/>
  <c r="AI121" i="68"/>
  <c r="AJ121" i="68"/>
  <c r="AK121" i="68"/>
  <c r="AL121" i="68"/>
  <c r="C122" i="68"/>
  <c r="P122" i="68"/>
  <c r="Q122" i="68"/>
  <c r="R122" i="68"/>
  <c r="S122" i="68"/>
  <c r="T122" i="68"/>
  <c r="U122" i="68"/>
  <c r="V122" i="68"/>
  <c r="W122" i="68"/>
  <c r="X122" i="68"/>
  <c r="Y122" i="68"/>
  <c r="Z122" i="68"/>
  <c r="AA122" i="68"/>
  <c r="AB122" i="68"/>
  <c r="AC122" i="68"/>
  <c r="BM122" i="68" s="1"/>
  <c r="AD122" i="68"/>
  <c r="AE122" i="68"/>
  <c r="AF122" i="68"/>
  <c r="AG122" i="68"/>
  <c r="AH122" i="68"/>
  <c r="AI122" i="68"/>
  <c r="AJ122" i="68"/>
  <c r="AK122" i="68"/>
  <c r="AL122" i="68"/>
  <c r="C123" i="68"/>
  <c r="P123" i="68"/>
  <c r="Q123" i="68"/>
  <c r="R123" i="68"/>
  <c r="S123" i="68"/>
  <c r="T123" i="68"/>
  <c r="U123" i="68"/>
  <c r="V123" i="68"/>
  <c r="W123" i="68"/>
  <c r="X123" i="68"/>
  <c r="Y123" i="68"/>
  <c r="BI123" i="68" s="1"/>
  <c r="Z123" i="68"/>
  <c r="AA123" i="68"/>
  <c r="BK123" i="68" s="1"/>
  <c r="AB123" i="68"/>
  <c r="BL123" i="68" s="1"/>
  <c r="AC123" i="68"/>
  <c r="AD123" i="68"/>
  <c r="AE123" i="68"/>
  <c r="AF123" i="68"/>
  <c r="AG123" i="68"/>
  <c r="AH123" i="68"/>
  <c r="AI123" i="68"/>
  <c r="AJ123" i="68"/>
  <c r="AK123" i="68"/>
  <c r="AL123" i="68"/>
  <c r="C124" i="68"/>
  <c r="P124" i="68"/>
  <c r="Q124" i="68"/>
  <c r="R124" i="68"/>
  <c r="S124" i="68"/>
  <c r="T124" i="68"/>
  <c r="U124" i="68"/>
  <c r="V124" i="68"/>
  <c r="W124" i="68"/>
  <c r="X124" i="68"/>
  <c r="Y124" i="68"/>
  <c r="Z124" i="68"/>
  <c r="AA124" i="68"/>
  <c r="AB124" i="68"/>
  <c r="AC124" i="68"/>
  <c r="AD124" i="68"/>
  <c r="AE124" i="68"/>
  <c r="BO124" i="68" s="1"/>
  <c r="AF124" i="68"/>
  <c r="AG124" i="68"/>
  <c r="AH124" i="68"/>
  <c r="AI124" i="68"/>
  <c r="AJ124" i="68"/>
  <c r="AK124" i="68"/>
  <c r="AL124" i="68"/>
  <c r="C125" i="68"/>
  <c r="P125" i="68"/>
  <c r="Q125" i="68"/>
  <c r="R125" i="68"/>
  <c r="S125" i="68"/>
  <c r="T125" i="68"/>
  <c r="U125" i="68"/>
  <c r="V125" i="68"/>
  <c r="W125" i="68"/>
  <c r="X125" i="68"/>
  <c r="Y125" i="68"/>
  <c r="Z125" i="68"/>
  <c r="AA125" i="68"/>
  <c r="AB125" i="68"/>
  <c r="AC125" i="68"/>
  <c r="AD125" i="68"/>
  <c r="AE125" i="68"/>
  <c r="BO125" i="68" s="1"/>
  <c r="AF125" i="68"/>
  <c r="AG125" i="68"/>
  <c r="AH125" i="68"/>
  <c r="AI125" i="68"/>
  <c r="AJ125" i="68"/>
  <c r="AK125" i="68"/>
  <c r="AL125" i="68"/>
  <c r="C126" i="68"/>
  <c r="P126" i="68"/>
  <c r="Q126" i="68"/>
  <c r="R126" i="68"/>
  <c r="S126" i="68"/>
  <c r="T126" i="68"/>
  <c r="U126" i="68"/>
  <c r="V126" i="68"/>
  <c r="W126" i="68"/>
  <c r="BG126" i="68" s="1"/>
  <c r="X126" i="68"/>
  <c r="Y126" i="68"/>
  <c r="Z126" i="68"/>
  <c r="BJ126" i="68" s="1"/>
  <c r="AA126" i="68"/>
  <c r="AB126" i="68"/>
  <c r="AC126" i="68"/>
  <c r="AD126" i="68"/>
  <c r="AE126" i="68"/>
  <c r="BO126" i="68" s="1"/>
  <c r="AF126" i="68"/>
  <c r="AG126" i="68"/>
  <c r="AH126" i="68"/>
  <c r="AI126" i="68"/>
  <c r="AJ126" i="68"/>
  <c r="AK126" i="68"/>
  <c r="AL126" i="68"/>
  <c r="AT126" i="68"/>
  <c r="C127" i="68"/>
  <c r="P127" i="68"/>
  <c r="Q127" i="68"/>
  <c r="BA127" i="68" s="1"/>
  <c r="R127" i="68"/>
  <c r="S127" i="68"/>
  <c r="T127" i="68"/>
  <c r="U127" i="68"/>
  <c r="V127" i="68"/>
  <c r="BF127" i="68" s="1"/>
  <c r="W127" i="68"/>
  <c r="X127" i="68"/>
  <c r="Y127" i="68"/>
  <c r="Z127" i="68"/>
  <c r="AA127" i="68"/>
  <c r="BK127" i="68" s="1"/>
  <c r="AB127" i="68"/>
  <c r="AC127" i="68"/>
  <c r="AD127" i="68"/>
  <c r="BN127" i="68" s="1"/>
  <c r="AE127" i="68"/>
  <c r="AF127" i="68"/>
  <c r="AG127" i="68"/>
  <c r="AH127" i="68"/>
  <c r="AI127" i="68"/>
  <c r="AJ127" i="68"/>
  <c r="AK127" i="68"/>
  <c r="AL127" i="68"/>
  <c r="BV127" i="68" s="1"/>
  <c r="C128" i="68"/>
  <c r="P128" i="68"/>
  <c r="Q128" i="68"/>
  <c r="R128" i="68"/>
  <c r="S128" i="68"/>
  <c r="T128" i="68"/>
  <c r="U128" i="68"/>
  <c r="V128" i="68"/>
  <c r="W128" i="68"/>
  <c r="X128" i="68"/>
  <c r="Y128" i="68"/>
  <c r="Z128" i="68"/>
  <c r="AA128" i="68"/>
  <c r="AB128" i="68"/>
  <c r="AC128" i="68"/>
  <c r="AD128" i="68"/>
  <c r="AE128" i="68"/>
  <c r="AF128" i="68"/>
  <c r="AG128" i="68"/>
  <c r="AH128" i="68"/>
  <c r="AI128" i="68"/>
  <c r="AJ128" i="68"/>
  <c r="AK128" i="68"/>
  <c r="AL128" i="68"/>
  <c r="C129" i="68"/>
  <c r="D129" i="68"/>
  <c r="AB129" i="68" s="1"/>
  <c r="BL129" i="68" s="1"/>
  <c r="E129" i="68"/>
  <c r="AO129" i="68" s="1"/>
  <c r="F129" i="68"/>
  <c r="AD129" i="68" s="1"/>
  <c r="BN129" i="68" s="1"/>
  <c r="G129" i="68"/>
  <c r="S129" i="68" s="1"/>
  <c r="H129" i="68"/>
  <c r="T129" i="68" s="1"/>
  <c r="I129" i="68"/>
  <c r="J129" i="68"/>
  <c r="K129" i="68"/>
  <c r="W129" i="68" s="1"/>
  <c r="BG129" i="68" s="1"/>
  <c r="L129" i="68"/>
  <c r="AJ129" i="68" s="1"/>
  <c r="BT129" i="68" s="1"/>
  <c r="M129" i="68"/>
  <c r="Y129" i="68" s="1"/>
  <c r="N129" i="68"/>
  <c r="AL129" i="68" s="1"/>
  <c r="BV129" i="68" s="1"/>
  <c r="O129" i="68"/>
  <c r="AA129" i="68" s="1"/>
  <c r="BK129" i="68" s="1"/>
  <c r="C130" i="68"/>
  <c r="D130" i="68"/>
  <c r="AB130" i="68" s="1"/>
  <c r="E130" i="68"/>
  <c r="Q130" i="68" s="1"/>
  <c r="F130" i="68"/>
  <c r="AD130" i="68" s="1"/>
  <c r="G130" i="68"/>
  <c r="S130" i="68" s="1"/>
  <c r="H130" i="68"/>
  <c r="T130" i="68" s="1"/>
  <c r="I130" i="68"/>
  <c r="AG130" i="68" s="1"/>
  <c r="J130" i="68"/>
  <c r="K130" i="68"/>
  <c r="W130" i="68" s="1"/>
  <c r="BG130" i="68" s="1"/>
  <c r="L130" i="68"/>
  <c r="M130" i="68"/>
  <c r="N130" i="68"/>
  <c r="AL130" i="68" s="1"/>
  <c r="O130" i="68"/>
  <c r="AA130" i="68" s="1"/>
  <c r="C131" i="68"/>
  <c r="P131" i="68"/>
  <c r="Q131" i="68"/>
  <c r="R131" i="68"/>
  <c r="S131" i="68"/>
  <c r="T131" i="68"/>
  <c r="U131" i="68"/>
  <c r="V131" i="68"/>
  <c r="W131" i="68"/>
  <c r="X131" i="68"/>
  <c r="Y131" i="68"/>
  <c r="Z131" i="68"/>
  <c r="AA131" i="68"/>
  <c r="BK131" i="68" s="1"/>
  <c r="AB131" i="68"/>
  <c r="AC131" i="68"/>
  <c r="AD131" i="68"/>
  <c r="AE131" i="68"/>
  <c r="AF131" i="68"/>
  <c r="AG131" i="68"/>
  <c r="AH131" i="68"/>
  <c r="AI131" i="68"/>
  <c r="AJ131" i="68"/>
  <c r="AK131" i="68"/>
  <c r="AL131" i="68"/>
  <c r="C132" i="68"/>
  <c r="P132" i="68"/>
  <c r="Q132" i="68"/>
  <c r="R132" i="68"/>
  <c r="S132" i="68"/>
  <c r="T132" i="68"/>
  <c r="U132" i="68"/>
  <c r="V132" i="68"/>
  <c r="W132" i="68"/>
  <c r="X132" i="68"/>
  <c r="Y132" i="68"/>
  <c r="Z132" i="68"/>
  <c r="AA132" i="68"/>
  <c r="AB132" i="68"/>
  <c r="AC132" i="68"/>
  <c r="AD132" i="68"/>
  <c r="AE132" i="68"/>
  <c r="AF132" i="68"/>
  <c r="AG132" i="68"/>
  <c r="AH132" i="68"/>
  <c r="AI132" i="68"/>
  <c r="AJ132" i="68"/>
  <c r="AK132" i="68"/>
  <c r="AL132" i="68"/>
  <c r="C133" i="68"/>
  <c r="P133" i="68"/>
  <c r="Q133" i="68"/>
  <c r="R133" i="68"/>
  <c r="S133" i="68"/>
  <c r="T133" i="68"/>
  <c r="U133" i="68"/>
  <c r="V133" i="68"/>
  <c r="W133" i="68"/>
  <c r="X133" i="68"/>
  <c r="Y133" i="68"/>
  <c r="Z133" i="68"/>
  <c r="AA133" i="68"/>
  <c r="AB133" i="68"/>
  <c r="AC133" i="68"/>
  <c r="AD133" i="68"/>
  <c r="AE133" i="68"/>
  <c r="AF133" i="68"/>
  <c r="AG133" i="68"/>
  <c r="AH133" i="68"/>
  <c r="AI133" i="68"/>
  <c r="AJ133" i="68"/>
  <c r="AK133" i="68"/>
  <c r="AL133" i="68"/>
  <c r="C134" i="68"/>
  <c r="P134" i="68"/>
  <c r="Q134" i="68"/>
  <c r="R134" i="68"/>
  <c r="S134" i="68"/>
  <c r="T134" i="68"/>
  <c r="U134" i="68"/>
  <c r="V134" i="68"/>
  <c r="W134" i="68"/>
  <c r="X134" i="68"/>
  <c r="Y134" i="68"/>
  <c r="Z134" i="68"/>
  <c r="AA134" i="68"/>
  <c r="AB134" i="68"/>
  <c r="AC134" i="68"/>
  <c r="AD134" i="68"/>
  <c r="AE134" i="68"/>
  <c r="AF134" i="68"/>
  <c r="AG134" i="68"/>
  <c r="AH134" i="68"/>
  <c r="AI134" i="68"/>
  <c r="AJ134" i="68"/>
  <c r="AK134" i="68"/>
  <c r="AL134" i="68"/>
  <c r="C135" i="68"/>
  <c r="P135" i="68"/>
  <c r="Q135" i="68"/>
  <c r="R135" i="68"/>
  <c r="S135" i="68"/>
  <c r="T135" i="68"/>
  <c r="U135" i="68"/>
  <c r="V135" i="68"/>
  <c r="W135" i="68"/>
  <c r="X135" i="68"/>
  <c r="Y135" i="68"/>
  <c r="Z135" i="68"/>
  <c r="AA135" i="68"/>
  <c r="AB135" i="68"/>
  <c r="AC135" i="68"/>
  <c r="AD135" i="68"/>
  <c r="AE135" i="68"/>
  <c r="AF135" i="68"/>
  <c r="AG135" i="68"/>
  <c r="AH135" i="68"/>
  <c r="AI135" i="68"/>
  <c r="AJ135" i="68"/>
  <c r="AK135" i="68"/>
  <c r="AL135" i="68"/>
  <c r="B141" i="68"/>
  <c r="C141" i="68"/>
  <c r="P141" i="68"/>
  <c r="AZ141" i="68" s="1"/>
  <c r="Q141" i="68"/>
  <c r="R141" i="68"/>
  <c r="BB141" i="68" s="1"/>
  <c r="S141" i="68"/>
  <c r="T141" i="68"/>
  <c r="U141" i="68"/>
  <c r="BE141" i="68" s="1"/>
  <c r="V141" i="68"/>
  <c r="BF141" i="68" s="1"/>
  <c r="W141" i="68"/>
  <c r="X141" i="68"/>
  <c r="BH141" i="68" s="1"/>
  <c r="Y141" i="68"/>
  <c r="BI141" i="68" s="1"/>
  <c r="Z141" i="68"/>
  <c r="BJ141" i="68" s="1"/>
  <c r="AA141" i="68"/>
  <c r="AB141" i="68"/>
  <c r="AC141" i="68"/>
  <c r="AD141" i="68"/>
  <c r="AE141" i="68"/>
  <c r="AF141" i="68"/>
  <c r="BP141" i="68" s="1"/>
  <c r="AG141" i="68"/>
  <c r="BQ141" i="68" s="1"/>
  <c r="AH141" i="68"/>
  <c r="BR141" i="68" s="1"/>
  <c r="AI141" i="68"/>
  <c r="AJ141" i="68"/>
  <c r="BT141" i="68" s="1"/>
  <c r="AK141" i="68"/>
  <c r="BU141" i="68" s="1"/>
  <c r="AL141" i="68"/>
  <c r="BV141" i="68" s="1"/>
  <c r="B142" i="68"/>
  <c r="C142" i="68"/>
  <c r="AU142" i="68" s="1"/>
  <c r="P142" i="68"/>
  <c r="Q142" i="68"/>
  <c r="BA142" i="68" s="1"/>
  <c r="R142" i="68"/>
  <c r="S142" i="68"/>
  <c r="BC142" i="68" s="1"/>
  <c r="T142" i="68"/>
  <c r="BD142" i="68" s="1"/>
  <c r="U142" i="68"/>
  <c r="BE142" i="68" s="1"/>
  <c r="V142" i="68"/>
  <c r="BF142" i="68" s="1"/>
  <c r="W142" i="68"/>
  <c r="BG142" i="68" s="1"/>
  <c r="X142" i="68"/>
  <c r="BH142" i="68" s="1"/>
  <c r="Y142" i="68"/>
  <c r="BI142" i="68" s="1"/>
  <c r="Z142" i="68"/>
  <c r="AA142" i="68"/>
  <c r="BK142" i="68" s="1"/>
  <c r="AB142" i="68"/>
  <c r="AC142" i="68"/>
  <c r="BM142" i="68" s="1"/>
  <c r="AD142" i="68"/>
  <c r="AE142" i="68"/>
  <c r="BO142" i="68" s="1"/>
  <c r="AF142" i="68"/>
  <c r="BP142" i="68" s="1"/>
  <c r="AG142" i="68"/>
  <c r="BQ142" i="68" s="1"/>
  <c r="AH142" i="68"/>
  <c r="AI142" i="68"/>
  <c r="BS142" i="68" s="1"/>
  <c r="AJ142" i="68"/>
  <c r="BT142" i="68" s="1"/>
  <c r="AK142" i="68"/>
  <c r="AL142" i="68"/>
  <c r="BV142" i="68" s="1"/>
  <c r="B143" i="68"/>
  <c r="C143" i="68"/>
  <c r="P143" i="68"/>
  <c r="AZ143" i="68" s="1"/>
  <c r="Q143" i="68"/>
  <c r="R143" i="68"/>
  <c r="BB143" i="68" s="1"/>
  <c r="S143" i="68"/>
  <c r="BC143" i="68" s="1"/>
  <c r="T143" i="68"/>
  <c r="BD143" i="68" s="1"/>
  <c r="U143" i="68"/>
  <c r="BE143" i="68" s="1"/>
  <c r="V143" i="68"/>
  <c r="BF143" i="68" s="1"/>
  <c r="W143" i="68"/>
  <c r="X143" i="68"/>
  <c r="BH143" i="68" s="1"/>
  <c r="Y143" i="68"/>
  <c r="Z143" i="68"/>
  <c r="BJ143" i="68" s="1"/>
  <c r="AA143" i="68"/>
  <c r="AB143" i="68"/>
  <c r="BL143" i="68" s="1"/>
  <c r="AC143" i="68"/>
  <c r="BM143" i="68" s="1"/>
  <c r="AD143" i="68"/>
  <c r="BN143" i="68" s="1"/>
  <c r="AE143" i="68"/>
  <c r="BO143" i="68" s="1"/>
  <c r="AF143" i="68"/>
  <c r="BP143" i="68" s="1"/>
  <c r="AG143" i="68"/>
  <c r="BQ143" i="68" s="1"/>
  <c r="AH143" i="68"/>
  <c r="BR143" i="68" s="1"/>
  <c r="AI143" i="68"/>
  <c r="BS143" i="68" s="1"/>
  <c r="AJ143" i="68"/>
  <c r="BT143" i="68" s="1"/>
  <c r="AK143" i="68"/>
  <c r="AL143" i="68"/>
  <c r="B144" i="68"/>
  <c r="C144" i="68"/>
  <c r="P144" i="68"/>
  <c r="Q144" i="68"/>
  <c r="R144" i="68"/>
  <c r="S144" i="68"/>
  <c r="BC144" i="68" s="1"/>
  <c r="T144" i="68"/>
  <c r="BD144" i="68" s="1"/>
  <c r="U144" i="68"/>
  <c r="BE144" i="68" s="1"/>
  <c r="V144" i="68"/>
  <c r="BF144" i="68" s="1"/>
  <c r="W144" i="68"/>
  <c r="BG144" i="68" s="1"/>
  <c r="X144" i="68"/>
  <c r="Y144" i="68"/>
  <c r="BI144" i="68" s="1"/>
  <c r="Z144" i="68"/>
  <c r="AA144" i="68"/>
  <c r="BK144" i="68" s="1"/>
  <c r="AB144" i="68"/>
  <c r="BL144" i="68" s="1"/>
  <c r="AC144" i="68"/>
  <c r="AD144" i="68"/>
  <c r="BN144" i="68" s="1"/>
  <c r="AE144" i="68"/>
  <c r="BO144" i="68" s="1"/>
  <c r="AF144" i="68"/>
  <c r="BP144" i="68" s="1"/>
  <c r="AG144" i="68"/>
  <c r="BQ144" i="68" s="1"/>
  <c r="AH144" i="68"/>
  <c r="BR144" i="68" s="1"/>
  <c r="AI144" i="68"/>
  <c r="BS144" i="68" s="1"/>
  <c r="AJ144" i="68"/>
  <c r="BT144" i="68" s="1"/>
  <c r="AK144" i="68"/>
  <c r="BU144" i="68" s="1"/>
  <c r="AL144" i="68"/>
  <c r="AN144" i="68"/>
  <c r="B145" i="68"/>
  <c r="C145" i="68"/>
  <c r="P145" i="68"/>
  <c r="AZ145" i="68" s="1"/>
  <c r="Q145" i="68"/>
  <c r="BA145" i="68" s="1"/>
  <c r="R145" i="68"/>
  <c r="BB145" i="68" s="1"/>
  <c r="S145" i="68"/>
  <c r="BC145" i="68" s="1"/>
  <c r="T145" i="68"/>
  <c r="BD145" i="68" s="1"/>
  <c r="U145" i="68"/>
  <c r="BE145" i="68" s="1"/>
  <c r="V145" i="68"/>
  <c r="W145" i="68"/>
  <c r="BG145" i="68" s="1"/>
  <c r="X145" i="68"/>
  <c r="Y145" i="68"/>
  <c r="Z145" i="68"/>
  <c r="BJ145" i="68" s="1"/>
  <c r="AA145" i="68"/>
  <c r="AB145" i="68"/>
  <c r="AC145" i="68"/>
  <c r="BM145" i="68" s="1"/>
  <c r="AD145" i="68"/>
  <c r="AE145" i="68"/>
  <c r="BO145" i="68" s="1"/>
  <c r="AF145" i="68"/>
  <c r="BP145" i="68" s="1"/>
  <c r="AG145" i="68"/>
  <c r="BQ145" i="68" s="1"/>
  <c r="AH145" i="68"/>
  <c r="BR145" i="68" s="1"/>
  <c r="AI145" i="68"/>
  <c r="AJ145" i="68"/>
  <c r="BT145" i="68" s="1"/>
  <c r="AK145" i="68"/>
  <c r="BU145" i="68" s="1"/>
  <c r="AL145" i="68"/>
  <c r="BV145" i="68" s="1"/>
  <c r="AU145" i="68"/>
  <c r="B146" i="68"/>
  <c r="C146" i="68"/>
  <c r="P146" i="68"/>
  <c r="AZ146" i="68" s="1"/>
  <c r="Q146" i="68"/>
  <c r="BA146" i="68" s="1"/>
  <c r="R146" i="68"/>
  <c r="BB146" i="68" s="1"/>
  <c r="S146" i="68"/>
  <c r="BC146" i="68" s="1"/>
  <c r="T146" i="68"/>
  <c r="U146" i="68"/>
  <c r="BE146" i="68" s="1"/>
  <c r="V146" i="68"/>
  <c r="W146" i="68"/>
  <c r="BG146" i="68" s="1"/>
  <c r="X146" i="68"/>
  <c r="BH146" i="68" s="1"/>
  <c r="Y146" i="68"/>
  <c r="BI146" i="68" s="1"/>
  <c r="Z146" i="68"/>
  <c r="BJ146" i="68" s="1"/>
  <c r="AA146" i="68"/>
  <c r="BK146" i="68" s="1"/>
  <c r="AB146" i="68"/>
  <c r="BL146" i="68" s="1"/>
  <c r="AC146" i="68"/>
  <c r="BM146" i="68" s="1"/>
  <c r="AD146" i="68"/>
  <c r="BN146" i="68" s="1"/>
  <c r="AE146" i="68"/>
  <c r="BO146" i="68" s="1"/>
  <c r="AF146" i="68"/>
  <c r="AG146" i="68"/>
  <c r="AH146" i="68"/>
  <c r="BR146" i="68" s="1"/>
  <c r="AI146" i="68"/>
  <c r="BS146" i="68" s="1"/>
  <c r="AJ146" i="68"/>
  <c r="AK146" i="68"/>
  <c r="BU146" i="68" s="1"/>
  <c r="AL146" i="68"/>
  <c r="B147" i="68"/>
  <c r="C147" i="68"/>
  <c r="AS147" i="68" s="1"/>
  <c r="D147" i="68"/>
  <c r="P147" i="68" s="1"/>
  <c r="AZ147" i="68" s="1"/>
  <c r="Q147" i="68"/>
  <c r="BA147" i="68" s="1"/>
  <c r="R147" i="68"/>
  <c r="BB147" i="68" s="1"/>
  <c r="S147" i="68"/>
  <c r="T147" i="68"/>
  <c r="BD147" i="68" s="1"/>
  <c r="U147" i="68"/>
  <c r="V147" i="68"/>
  <c r="W147" i="68"/>
  <c r="BG147" i="68" s="1"/>
  <c r="X147" i="68"/>
  <c r="BH147" i="68" s="1"/>
  <c r="Y147" i="68"/>
  <c r="BI147" i="68" s="1"/>
  <c r="Z147" i="68"/>
  <c r="BJ147" i="68" s="1"/>
  <c r="AA147" i="68"/>
  <c r="BK147" i="68" s="1"/>
  <c r="AC147" i="68"/>
  <c r="BM147" i="68" s="1"/>
  <c r="AD147" i="68"/>
  <c r="BN147" i="68" s="1"/>
  <c r="AE147" i="68"/>
  <c r="BO147" i="68" s="1"/>
  <c r="AF147" i="68"/>
  <c r="BP147" i="68" s="1"/>
  <c r="AG147" i="68"/>
  <c r="AH147" i="68"/>
  <c r="AI147" i="68"/>
  <c r="BS147" i="68" s="1"/>
  <c r="AJ147" i="68"/>
  <c r="AK147" i="68"/>
  <c r="BU147" i="68" s="1"/>
  <c r="AL147" i="68"/>
  <c r="BV147" i="68" s="1"/>
  <c r="B148" i="68"/>
  <c r="C148" i="68"/>
  <c r="P148" i="68"/>
  <c r="AZ148" i="68" s="1"/>
  <c r="Q148" i="68"/>
  <c r="BA148" i="68" s="1"/>
  <c r="R148" i="68"/>
  <c r="BB148" i="68" s="1"/>
  <c r="S148" i="68"/>
  <c r="T148" i="68"/>
  <c r="BD148" i="68" s="1"/>
  <c r="U148" i="68"/>
  <c r="V148" i="68"/>
  <c r="BF148" i="68" s="1"/>
  <c r="W148" i="68"/>
  <c r="BG148" i="68" s="1"/>
  <c r="X148" i="68"/>
  <c r="BH148" i="68" s="1"/>
  <c r="Y148" i="68"/>
  <c r="BI148" i="68" s="1"/>
  <c r="Z148" i="68"/>
  <c r="BJ148" i="68" s="1"/>
  <c r="AA148" i="68"/>
  <c r="BK148" i="68" s="1"/>
  <c r="AB148" i="68"/>
  <c r="BL148" i="68" s="1"/>
  <c r="AC148" i="68"/>
  <c r="BM148" i="68" s="1"/>
  <c r="AD148" i="68"/>
  <c r="BN148" i="68" s="1"/>
  <c r="AE148" i="68"/>
  <c r="BO148" i="68" s="1"/>
  <c r="AF148" i="68"/>
  <c r="BP148" i="68" s="1"/>
  <c r="AG148" i="68"/>
  <c r="BQ148" i="68" s="1"/>
  <c r="AH148" i="68"/>
  <c r="BR148" i="68" s="1"/>
  <c r="AI148" i="68"/>
  <c r="AJ148" i="68"/>
  <c r="BT148" i="68" s="1"/>
  <c r="AK148" i="68"/>
  <c r="BU148" i="68" s="1"/>
  <c r="AL148" i="68"/>
  <c r="BV148" i="68" s="1"/>
  <c r="C150" i="68"/>
  <c r="P150" i="68"/>
  <c r="AZ150" i="68" s="1"/>
  <c r="Q150" i="68"/>
  <c r="BA150" i="68" s="1"/>
  <c r="R150" i="68"/>
  <c r="BB150" i="68" s="1"/>
  <c r="S150" i="68"/>
  <c r="T150" i="68"/>
  <c r="BD150" i="68" s="1"/>
  <c r="U150" i="68"/>
  <c r="V150" i="68"/>
  <c r="W150" i="68"/>
  <c r="BG150" i="68" s="1"/>
  <c r="X150" i="68"/>
  <c r="BH150" i="68" s="1"/>
  <c r="Y150" i="68"/>
  <c r="BI150" i="68" s="1"/>
  <c r="Z150" i="68"/>
  <c r="BJ150" i="68" s="1"/>
  <c r="AA150" i="68"/>
  <c r="AB150" i="68"/>
  <c r="BL150" i="68" s="1"/>
  <c r="AC150" i="68"/>
  <c r="BM150" i="68" s="1"/>
  <c r="AD150" i="68"/>
  <c r="BN150" i="68" s="1"/>
  <c r="AE150" i="68"/>
  <c r="BO150" i="68" s="1"/>
  <c r="AF150" i="68"/>
  <c r="BP150" i="68" s="1"/>
  <c r="AG150" i="68"/>
  <c r="BQ150" i="68" s="1"/>
  <c r="AH150" i="68"/>
  <c r="BR150" i="68" s="1"/>
  <c r="AI150" i="68"/>
  <c r="BS150" i="68" s="1"/>
  <c r="AJ150" i="68"/>
  <c r="BT150" i="68" s="1"/>
  <c r="AK150" i="68"/>
  <c r="BU150" i="68" s="1"/>
  <c r="AL150" i="68"/>
  <c r="BV150" i="68" s="1"/>
  <c r="B151" i="68"/>
  <c r="C151" i="68"/>
  <c r="P151" i="68"/>
  <c r="AZ151" i="68" s="1"/>
  <c r="Q151" i="68"/>
  <c r="BA151" i="68" s="1"/>
  <c r="R151" i="68"/>
  <c r="S151" i="68"/>
  <c r="BC151" i="68" s="1"/>
  <c r="T151" i="68"/>
  <c r="U151" i="68"/>
  <c r="V151" i="68"/>
  <c r="BF151" i="68" s="1"/>
  <c r="W151" i="68"/>
  <c r="BG151" i="68" s="1"/>
  <c r="X151" i="68"/>
  <c r="BH151" i="68" s="1"/>
  <c r="Y151" i="68"/>
  <c r="BI151" i="68" s="1"/>
  <c r="Z151" i="68"/>
  <c r="BJ151" i="68" s="1"/>
  <c r="AA151" i="68"/>
  <c r="AB151" i="68"/>
  <c r="BL151" i="68" s="1"/>
  <c r="AC151" i="68"/>
  <c r="BM151" i="68" s="1"/>
  <c r="AD151" i="68"/>
  <c r="BN151" i="68" s="1"/>
  <c r="AE151" i="68"/>
  <c r="AF151" i="68"/>
  <c r="BP151" i="68" s="1"/>
  <c r="AG151" i="68"/>
  <c r="BQ151" i="68" s="1"/>
  <c r="AH151" i="68"/>
  <c r="AI151" i="68"/>
  <c r="BS151" i="68" s="1"/>
  <c r="AJ151" i="68"/>
  <c r="BT151" i="68" s="1"/>
  <c r="AK151" i="68"/>
  <c r="BU151" i="68" s="1"/>
  <c r="AL151" i="68"/>
  <c r="AV151" i="68"/>
  <c r="A157" i="68"/>
  <c r="B157" i="68"/>
  <c r="C157" i="68"/>
  <c r="D157" i="68"/>
  <c r="A158" i="68"/>
  <c r="B158" i="68"/>
  <c r="C158" i="68"/>
  <c r="D158" i="68"/>
  <c r="AN158" i="68" s="1"/>
  <c r="A159" i="68"/>
  <c r="B159" i="68"/>
  <c r="C159" i="68"/>
  <c r="D159" i="68"/>
  <c r="AN159" i="68" s="1"/>
  <c r="A160" i="68"/>
  <c r="B160" i="68"/>
  <c r="C160" i="68"/>
  <c r="D160" i="68"/>
  <c r="A161" i="68"/>
  <c r="B161" i="68"/>
  <c r="C161" i="68"/>
  <c r="D161" i="68"/>
  <c r="A167" i="68"/>
  <c r="B167" i="68"/>
  <c r="C167" i="68"/>
  <c r="D167" i="68"/>
  <c r="AB167" i="68" s="1"/>
  <c r="BL167" i="68" s="1"/>
  <c r="A168" i="68"/>
  <c r="B168" i="68"/>
  <c r="C168" i="68"/>
  <c r="D168" i="68"/>
  <c r="E168" i="68"/>
  <c r="Q168" i="68" s="1"/>
  <c r="F168" i="68"/>
  <c r="AD168" i="68" s="1"/>
  <c r="BN168" i="68" s="1"/>
  <c r="R168" i="68"/>
  <c r="BB168" i="68" s="1"/>
  <c r="G168" i="68"/>
  <c r="AE168" i="68" s="1"/>
  <c r="BO168" i="68" s="1"/>
  <c r="H168" i="68"/>
  <c r="I168" i="68"/>
  <c r="J168" i="68"/>
  <c r="V168" i="68" s="1"/>
  <c r="K168" i="68"/>
  <c r="AI168" i="68"/>
  <c r="L168" i="68"/>
  <c r="M168" i="68"/>
  <c r="N168" i="68"/>
  <c r="Z168" i="68"/>
  <c r="O168" i="68"/>
  <c r="AA168" i="68" s="1"/>
  <c r="BK168" i="68" s="1"/>
  <c r="A169" i="68"/>
  <c r="B169" i="68"/>
  <c r="P169" i="68"/>
  <c r="Q169" i="68"/>
  <c r="R169" i="68"/>
  <c r="S169" i="68"/>
  <c r="T169" i="68"/>
  <c r="U169" i="68"/>
  <c r="V169" i="68"/>
  <c r="W169" i="68"/>
  <c r="X169" i="68"/>
  <c r="Y169" i="68"/>
  <c r="Z169" i="68"/>
  <c r="AA169" i="68"/>
  <c r="AB169" i="68"/>
  <c r="AC169" i="68"/>
  <c r="AD169" i="68"/>
  <c r="AE169" i="68"/>
  <c r="AF169" i="68"/>
  <c r="AG169" i="68"/>
  <c r="AH169" i="68"/>
  <c r="AI169" i="68"/>
  <c r="AJ169" i="68"/>
  <c r="AK169" i="68"/>
  <c r="AL169" i="68"/>
  <c r="A170" i="68"/>
  <c r="B170" i="68"/>
  <c r="P170" i="68"/>
  <c r="Q170" i="68"/>
  <c r="R170" i="68"/>
  <c r="S170" i="68"/>
  <c r="T170" i="68"/>
  <c r="U170" i="68"/>
  <c r="V170" i="68"/>
  <c r="W170" i="68"/>
  <c r="X170" i="68"/>
  <c r="Y170" i="68"/>
  <c r="Z170" i="68"/>
  <c r="AA170" i="68"/>
  <c r="AB170" i="68"/>
  <c r="AC170" i="68"/>
  <c r="AD170" i="68"/>
  <c r="AE170" i="68"/>
  <c r="AF170" i="68"/>
  <c r="AG170" i="68"/>
  <c r="AH170" i="68"/>
  <c r="AI170" i="68"/>
  <c r="AJ170" i="68"/>
  <c r="AK170" i="68"/>
  <c r="AL170" i="68"/>
  <c r="A171" i="68"/>
  <c r="B171" i="68"/>
  <c r="P171" i="68"/>
  <c r="Q171" i="68"/>
  <c r="R171" i="68"/>
  <c r="S171" i="68"/>
  <c r="T171" i="68"/>
  <c r="U171" i="68"/>
  <c r="V171" i="68"/>
  <c r="W171" i="68"/>
  <c r="X171" i="68"/>
  <c r="Y171" i="68"/>
  <c r="Z171" i="68"/>
  <c r="AA171" i="68"/>
  <c r="AB171" i="68"/>
  <c r="AC171" i="68"/>
  <c r="AD171" i="68"/>
  <c r="AE171" i="68"/>
  <c r="AF171" i="68"/>
  <c r="AG171" i="68"/>
  <c r="AH171" i="68"/>
  <c r="AI171" i="68"/>
  <c r="AJ171" i="68"/>
  <c r="AK171" i="68"/>
  <c r="AL171" i="68"/>
  <c r="A172" i="68"/>
  <c r="B172" i="68"/>
  <c r="C172" i="68"/>
  <c r="P172" i="68"/>
  <c r="AZ172" i="68" s="1"/>
  <c r="Q172" i="68"/>
  <c r="BA172" i="68" s="1"/>
  <c r="R172" i="68"/>
  <c r="BB172" i="68" s="1"/>
  <c r="S172" i="68"/>
  <c r="T172" i="68"/>
  <c r="U172" i="68"/>
  <c r="BE172" i="68" s="1"/>
  <c r="V172" i="68"/>
  <c r="BF172" i="68" s="1"/>
  <c r="W172" i="68"/>
  <c r="BG172" i="68" s="1"/>
  <c r="X172" i="68"/>
  <c r="Y172" i="68"/>
  <c r="BI172" i="68" s="1"/>
  <c r="Z172" i="68"/>
  <c r="BJ172" i="68" s="1"/>
  <c r="AA172" i="68"/>
  <c r="BK172" i="68" s="1"/>
  <c r="AB172" i="68"/>
  <c r="BL172" i="68" s="1"/>
  <c r="AC172" i="68"/>
  <c r="BM172" i="68" s="1"/>
  <c r="AD172" i="68"/>
  <c r="BN172" i="68" s="1"/>
  <c r="AE172" i="68"/>
  <c r="BO172" i="68" s="1"/>
  <c r="AF172" i="68"/>
  <c r="AG172" i="68"/>
  <c r="BQ172" i="68" s="1"/>
  <c r="AH172" i="68"/>
  <c r="BR172" i="68" s="1"/>
  <c r="AI172" i="68"/>
  <c r="AJ172" i="68"/>
  <c r="BT172" i="68" s="1"/>
  <c r="AK172" i="68"/>
  <c r="BU172" i="68" s="1"/>
  <c r="AL172" i="68"/>
  <c r="BV172" i="68" s="1"/>
  <c r="A173" i="68"/>
  <c r="B173" i="68"/>
  <c r="C173" i="68"/>
  <c r="BI173" i="68" s="1"/>
  <c r="P173" i="68"/>
  <c r="Q173" i="68"/>
  <c r="R173" i="68"/>
  <c r="S173" i="68"/>
  <c r="T173" i="68"/>
  <c r="U173" i="68"/>
  <c r="V173" i="68"/>
  <c r="W173" i="68"/>
  <c r="BG173" i="68" s="1"/>
  <c r="X173" i="68"/>
  <c r="Y173" i="68"/>
  <c r="Z173" i="68"/>
  <c r="AA173" i="68"/>
  <c r="AB173" i="68"/>
  <c r="AC173" i="68"/>
  <c r="AD173" i="68"/>
  <c r="AE173" i="68"/>
  <c r="BO173" i="68" s="1"/>
  <c r="AF173" i="68"/>
  <c r="AG173" i="68"/>
  <c r="AH173" i="68"/>
  <c r="AI173" i="68"/>
  <c r="AJ173" i="68"/>
  <c r="AK173" i="68"/>
  <c r="AL173" i="68"/>
  <c r="A174" i="68"/>
  <c r="B174" i="68"/>
  <c r="P174" i="68"/>
  <c r="Q174" i="68"/>
  <c r="R174" i="68"/>
  <c r="S174" i="68"/>
  <c r="T174" i="68"/>
  <c r="U174" i="68"/>
  <c r="V174" i="68"/>
  <c r="W174" i="68"/>
  <c r="X174" i="68"/>
  <c r="Y174" i="68"/>
  <c r="Z174" i="68"/>
  <c r="AA174" i="68"/>
  <c r="AB174" i="68"/>
  <c r="AC174" i="68"/>
  <c r="AD174" i="68"/>
  <c r="AE174" i="68"/>
  <c r="AF174" i="68"/>
  <c r="AG174" i="68"/>
  <c r="AH174" i="68"/>
  <c r="AI174" i="68"/>
  <c r="AJ174" i="68"/>
  <c r="AK174" i="68"/>
  <c r="AL174" i="68"/>
  <c r="AN186" i="68"/>
  <c r="AP182" i="68" s="1"/>
  <c r="E61" i="88" s="1"/>
  <c r="C215" i="68"/>
  <c r="AZ215" i="68" s="1"/>
  <c r="V215" i="68"/>
  <c r="W215" i="68"/>
  <c r="X215" i="68"/>
  <c r="Y215" i="68"/>
  <c r="Z215" i="68"/>
  <c r="AA215" i="68"/>
  <c r="AB215" i="68"/>
  <c r="AC215" i="68"/>
  <c r="AD215" i="68"/>
  <c r="AE215" i="68"/>
  <c r="AF215" i="68"/>
  <c r="AG215" i="68"/>
  <c r="AH215" i="68"/>
  <c r="AI215" i="68"/>
  <c r="BS215" i="68" s="1"/>
  <c r="AJ215" i="68"/>
  <c r="AK215" i="68"/>
  <c r="AL215" i="68"/>
  <c r="C216" i="68"/>
  <c r="V216" i="68"/>
  <c r="W216" i="68"/>
  <c r="X216" i="68"/>
  <c r="BH216" i="68" s="1"/>
  <c r="Y216" i="68"/>
  <c r="BI216" i="68" s="1"/>
  <c r="Z216" i="68"/>
  <c r="AA216" i="68"/>
  <c r="AB216" i="68"/>
  <c r="AC216" i="68"/>
  <c r="AD216" i="68"/>
  <c r="AE216" i="68"/>
  <c r="AF216" i="68"/>
  <c r="AG216" i="68"/>
  <c r="AH216" i="68"/>
  <c r="AI216" i="68"/>
  <c r="AJ216" i="68"/>
  <c r="AK216" i="68"/>
  <c r="BU216" i="68" s="1"/>
  <c r="AL216" i="68"/>
  <c r="C217" i="68"/>
  <c r="BB217" i="68"/>
  <c r="V217" i="68"/>
  <c r="BF217" i="68" s="1"/>
  <c r="W217" i="68"/>
  <c r="X217" i="68"/>
  <c r="Y217" i="68"/>
  <c r="Z217" i="68"/>
  <c r="BJ217" i="68" s="1"/>
  <c r="AA217" i="68"/>
  <c r="AB217" i="68"/>
  <c r="AC217" i="68"/>
  <c r="AD217" i="68"/>
  <c r="AE217" i="68"/>
  <c r="BO217" i="68" s="1"/>
  <c r="AF217" i="68"/>
  <c r="AG217" i="68"/>
  <c r="AH217" i="68"/>
  <c r="AI217" i="68"/>
  <c r="AJ217" i="68"/>
  <c r="AK217" i="68"/>
  <c r="BU217" i="68" s="1"/>
  <c r="AL217" i="68"/>
  <c r="C218" i="68"/>
  <c r="V218" i="68"/>
  <c r="W218" i="68"/>
  <c r="X218" i="68"/>
  <c r="Y218" i="68"/>
  <c r="Z218" i="68"/>
  <c r="AA218" i="68"/>
  <c r="BK218" i="68" s="1"/>
  <c r="AB218" i="68"/>
  <c r="AC218" i="68"/>
  <c r="AD218" i="68"/>
  <c r="AE218" i="68"/>
  <c r="AF218" i="68"/>
  <c r="AG218" i="68"/>
  <c r="AH218" i="68"/>
  <c r="AI218" i="68"/>
  <c r="BS218" i="68" s="1"/>
  <c r="AJ218" i="68"/>
  <c r="AK218" i="68"/>
  <c r="AL218" i="68"/>
  <c r="C219" i="68"/>
  <c r="V219" i="68"/>
  <c r="W219" i="68"/>
  <c r="X219" i="68"/>
  <c r="Y219" i="68"/>
  <c r="BI219" i="68" s="1"/>
  <c r="Z219" i="68"/>
  <c r="AA219" i="68"/>
  <c r="AB219" i="68"/>
  <c r="BL219" i="68" s="1"/>
  <c r="AC219" i="68"/>
  <c r="BM219" i="68" s="1"/>
  <c r="AD219" i="68"/>
  <c r="AE219" i="68"/>
  <c r="AF219" i="68"/>
  <c r="AG219" i="68"/>
  <c r="AH219" i="68"/>
  <c r="AI219" i="68"/>
  <c r="AJ219" i="68"/>
  <c r="BT219" i="68" s="1"/>
  <c r="AK219" i="68"/>
  <c r="BU219" i="68" s="1"/>
  <c r="AL219" i="68"/>
  <c r="C220" i="68"/>
  <c r="V220" i="68"/>
  <c r="W220" i="68"/>
  <c r="BG220" i="68" s="1"/>
  <c r="X220" i="68"/>
  <c r="Y220" i="68"/>
  <c r="Z220" i="68"/>
  <c r="BJ220" i="68" s="1"/>
  <c r="AA220" i="68"/>
  <c r="AB220" i="68"/>
  <c r="AC220" i="68"/>
  <c r="AD220" i="68"/>
  <c r="AE220" i="68"/>
  <c r="BO220" i="68" s="1"/>
  <c r="AF220" i="68"/>
  <c r="AG220" i="68"/>
  <c r="AH220" i="68"/>
  <c r="BR220" i="68" s="1"/>
  <c r="AI220" i="68"/>
  <c r="AJ220" i="68"/>
  <c r="AK220" i="68"/>
  <c r="AL220" i="68"/>
  <c r="C221" i="68"/>
  <c r="V221" i="68"/>
  <c r="W221" i="68"/>
  <c r="X221" i="68"/>
  <c r="Y221" i="68"/>
  <c r="Z221" i="68"/>
  <c r="AA221" i="68"/>
  <c r="AB221" i="68"/>
  <c r="AC221" i="68"/>
  <c r="BM221" i="68" s="1"/>
  <c r="AD221" i="68"/>
  <c r="AE221" i="68"/>
  <c r="AF221" i="68"/>
  <c r="AG221" i="68"/>
  <c r="AH221" i="68"/>
  <c r="AI221" i="68"/>
  <c r="AJ221" i="68"/>
  <c r="AK221" i="68"/>
  <c r="BU221" i="68" s="1"/>
  <c r="AL221" i="68"/>
  <c r="C222" i="68"/>
  <c r="D222" i="68"/>
  <c r="V222" i="68" s="1"/>
  <c r="BF222" i="68" s="1"/>
  <c r="E222" i="68"/>
  <c r="W222" i="68" s="1"/>
  <c r="F222" i="68"/>
  <c r="X222" i="68" s="1"/>
  <c r="G222" i="68"/>
  <c r="Y222" i="68" s="1"/>
  <c r="H222" i="68"/>
  <c r="Z222" i="68" s="1"/>
  <c r="I222" i="68"/>
  <c r="AA222" i="68" s="1"/>
  <c r="BK222" i="68" s="1"/>
  <c r="J222" i="68"/>
  <c r="AB222" i="68" s="1"/>
  <c r="K222" i="68"/>
  <c r="AC222" i="68" s="1"/>
  <c r="BM222" i="68" s="1"/>
  <c r="L222" i="68"/>
  <c r="AD222" i="68" s="1"/>
  <c r="BN222" i="68" s="1"/>
  <c r="M222" i="68"/>
  <c r="AE222" i="68" s="1"/>
  <c r="BO222" i="68" s="1"/>
  <c r="N222" i="68"/>
  <c r="AF222" i="68" s="1"/>
  <c r="O222" i="68"/>
  <c r="AG222" i="68" s="1"/>
  <c r="BQ222" i="68" s="1"/>
  <c r="P222" i="68"/>
  <c r="AH222" i="68" s="1"/>
  <c r="BR222" i="68" s="1"/>
  <c r="Q222" i="68"/>
  <c r="BA222" i="68" s="1"/>
  <c r="R222" i="68"/>
  <c r="AJ222" i="68" s="1"/>
  <c r="BT222" i="68" s="1"/>
  <c r="S222" i="68"/>
  <c r="AK222" i="68" s="1"/>
  <c r="BU222" i="68" s="1"/>
  <c r="T222" i="68"/>
  <c r="AL222" i="68" s="1"/>
  <c r="U222" i="68"/>
  <c r="C223" i="68"/>
  <c r="D223" i="68"/>
  <c r="V223" i="68" s="1"/>
  <c r="E223" i="68"/>
  <c r="AO223" i="68" s="1"/>
  <c r="F223" i="68"/>
  <c r="X223" i="68" s="1"/>
  <c r="BH223" i="68" s="1"/>
  <c r="G223" i="68"/>
  <c r="Y223" i="68" s="1"/>
  <c r="BI223" i="68" s="1"/>
  <c r="H223" i="68"/>
  <c r="Z223" i="68" s="1"/>
  <c r="BJ223" i="68" s="1"/>
  <c r="I223" i="68"/>
  <c r="AA223" i="68" s="1"/>
  <c r="BK223" i="68" s="1"/>
  <c r="J223" i="68"/>
  <c r="AB223" i="68" s="1"/>
  <c r="K223" i="68"/>
  <c r="AC223" i="68" s="1"/>
  <c r="L223" i="68"/>
  <c r="AD223" i="68" s="1"/>
  <c r="BN223" i="68" s="1"/>
  <c r="M223" i="68"/>
  <c r="AE223" i="68" s="1"/>
  <c r="BO223" i="68" s="1"/>
  <c r="N223" i="68"/>
  <c r="AF223" i="68" s="1"/>
  <c r="BP223" i="68" s="1"/>
  <c r="O223" i="68"/>
  <c r="P223" i="68"/>
  <c r="AH223" i="68" s="1"/>
  <c r="BR223" i="68" s="1"/>
  <c r="Q223" i="68"/>
  <c r="AI223" i="68" s="1"/>
  <c r="BS223" i="68" s="1"/>
  <c r="R223" i="68"/>
  <c r="AJ223" i="68" s="1"/>
  <c r="BT223" i="68" s="1"/>
  <c r="S223" i="68"/>
  <c r="AK223" i="68" s="1"/>
  <c r="BU223" i="68" s="1"/>
  <c r="T223" i="68"/>
  <c r="AL223" i="68" s="1"/>
  <c r="BV223" i="68" s="1"/>
  <c r="U223" i="68"/>
  <c r="BE223" i="68" s="1"/>
  <c r="C224" i="68"/>
  <c r="V224" i="68"/>
  <c r="W224" i="68"/>
  <c r="X224" i="68"/>
  <c r="Y224" i="68"/>
  <c r="Z224" i="68"/>
  <c r="AA224" i="68"/>
  <c r="AB224" i="68"/>
  <c r="AC224" i="68"/>
  <c r="BM224" i="68" s="1"/>
  <c r="AD224" i="68"/>
  <c r="AE224" i="68"/>
  <c r="AF224" i="68"/>
  <c r="AG224" i="68"/>
  <c r="AH224" i="68"/>
  <c r="AI224" i="68"/>
  <c r="AJ224" i="68"/>
  <c r="AK224" i="68"/>
  <c r="BU224" i="68" s="1"/>
  <c r="AL224" i="68"/>
  <c r="C225" i="68"/>
  <c r="AT225" i="68"/>
  <c r="V225" i="68"/>
  <c r="W225" i="68"/>
  <c r="X225" i="68"/>
  <c r="Y225" i="68"/>
  <c r="BI225" i="68" s="1"/>
  <c r="Z225" i="68"/>
  <c r="BJ225" i="68" s="1"/>
  <c r="AA225" i="68"/>
  <c r="AB225" i="68"/>
  <c r="BL225" i="68" s="1"/>
  <c r="AC225" i="68"/>
  <c r="AD225" i="68"/>
  <c r="AE225" i="68"/>
  <c r="AF225" i="68"/>
  <c r="BP225" i="68" s="1"/>
  <c r="AG225" i="68"/>
  <c r="AH225" i="68"/>
  <c r="AI225" i="68"/>
  <c r="AJ225" i="68"/>
  <c r="BT225" i="68" s="1"/>
  <c r="AK225" i="68"/>
  <c r="AL225" i="68"/>
  <c r="C226" i="68"/>
  <c r="V226" i="68"/>
  <c r="W226" i="68"/>
  <c r="X226" i="68"/>
  <c r="BH226" i="68" s="1"/>
  <c r="Y226" i="68"/>
  <c r="Z226" i="68"/>
  <c r="BJ226" i="68" s="1"/>
  <c r="AA226" i="68"/>
  <c r="AB226" i="68"/>
  <c r="AC226" i="68"/>
  <c r="BM226" i="68" s="1"/>
  <c r="AD226" i="68"/>
  <c r="AE226" i="68"/>
  <c r="AF226" i="68"/>
  <c r="BP226" i="68" s="1"/>
  <c r="AG226" i="68"/>
  <c r="AH226" i="68"/>
  <c r="BR226" i="68" s="1"/>
  <c r="AI226" i="68"/>
  <c r="AJ226" i="68"/>
  <c r="AK226" i="68"/>
  <c r="AL226" i="68"/>
  <c r="B232" i="68"/>
  <c r="C232" i="68"/>
  <c r="V232" i="68"/>
  <c r="W232" i="68"/>
  <c r="BG232" i="68" s="1"/>
  <c r="X232" i="68"/>
  <c r="Y232" i="68"/>
  <c r="Z232" i="68"/>
  <c r="BJ232" i="68" s="1"/>
  <c r="AA232" i="68"/>
  <c r="BK232" i="68" s="1"/>
  <c r="AB232" i="68"/>
  <c r="AC232" i="68"/>
  <c r="BM232" i="68" s="1"/>
  <c r="AD232" i="68"/>
  <c r="AE232" i="68"/>
  <c r="BO232" i="68" s="1"/>
  <c r="AF232" i="68"/>
  <c r="AG232" i="68"/>
  <c r="AH232" i="68"/>
  <c r="BR232" i="68" s="1"/>
  <c r="AI232" i="68"/>
  <c r="AJ232" i="68"/>
  <c r="AK232" i="68"/>
  <c r="AL232" i="68"/>
  <c r="B233" i="68"/>
  <c r="C233" i="68"/>
  <c r="V233" i="68"/>
  <c r="W233" i="68"/>
  <c r="BG233" i="68" s="1"/>
  <c r="X233" i="68"/>
  <c r="BH233" i="68" s="1"/>
  <c r="Y233" i="68"/>
  <c r="Z233" i="68"/>
  <c r="BJ233" i="68" s="1"/>
  <c r="AA233" i="68"/>
  <c r="BK233" i="68" s="1"/>
  <c r="AB233" i="68"/>
  <c r="BL233" i="68" s="1"/>
  <c r="AC233" i="68"/>
  <c r="AD233" i="68"/>
  <c r="BN233" i="68" s="1"/>
  <c r="AE233" i="68"/>
  <c r="AF233" i="68"/>
  <c r="BP233" i="68" s="1"/>
  <c r="AG233" i="68"/>
  <c r="AH233" i="68"/>
  <c r="BR233" i="68" s="1"/>
  <c r="AI233" i="68"/>
  <c r="BS233" i="68" s="1"/>
  <c r="AJ233" i="68"/>
  <c r="BT233" i="68" s="1"/>
  <c r="AK233" i="68"/>
  <c r="AL233" i="68"/>
  <c r="BV233" i="68" s="1"/>
  <c r="B234" i="68"/>
  <c r="C234" i="68"/>
  <c r="V234" i="68"/>
  <c r="W234" i="68"/>
  <c r="BG234" i="68" s="1"/>
  <c r="X234" i="68"/>
  <c r="BH234" i="68" s="1"/>
  <c r="Y234" i="68"/>
  <c r="Z234" i="68"/>
  <c r="AA234" i="68"/>
  <c r="BK234" i="68" s="1"/>
  <c r="AB234" i="68"/>
  <c r="AC234" i="68"/>
  <c r="AD234" i="68"/>
  <c r="AE234" i="68"/>
  <c r="BO234" i="68" s="1"/>
  <c r="AF234" i="68"/>
  <c r="AG234" i="68"/>
  <c r="AH234" i="68"/>
  <c r="AI234" i="68"/>
  <c r="BS234" i="68" s="1"/>
  <c r="AJ234" i="68"/>
  <c r="AK234" i="68"/>
  <c r="AL234" i="68"/>
  <c r="B235" i="68"/>
  <c r="C235" i="68"/>
  <c r="V235" i="68"/>
  <c r="W235" i="68"/>
  <c r="BG235" i="68" s="1"/>
  <c r="X235" i="68"/>
  <c r="BH235" i="68" s="1"/>
  <c r="Y235" i="68"/>
  <c r="Z235" i="68"/>
  <c r="BJ235" i="68" s="1"/>
  <c r="AA235" i="68"/>
  <c r="AB235" i="68"/>
  <c r="BL235" i="68" s="1"/>
  <c r="AC235" i="68"/>
  <c r="BM235" i="68" s="1"/>
  <c r="AD235" i="68"/>
  <c r="AE235" i="68"/>
  <c r="BO235" i="68" s="1"/>
  <c r="AF235" i="68"/>
  <c r="AG235" i="68"/>
  <c r="AH235" i="68"/>
  <c r="AI235" i="68"/>
  <c r="AJ235" i="68"/>
  <c r="BT235" i="68" s="1"/>
  <c r="AK235" i="68"/>
  <c r="BU235" i="68" s="1"/>
  <c r="AL235" i="68"/>
  <c r="B236" i="68"/>
  <c r="C236" i="68"/>
  <c r="AP236" i="68"/>
  <c r="V236" i="68"/>
  <c r="W236" i="68"/>
  <c r="X236" i="68"/>
  <c r="BH236" i="68" s="1"/>
  <c r="Y236" i="68"/>
  <c r="BI236" i="68" s="1"/>
  <c r="Z236" i="68"/>
  <c r="AA236" i="68"/>
  <c r="BK236" i="68" s="1"/>
  <c r="AB236" i="68"/>
  <c r="AC236" i="68"/>
  <c r="AD236" i="68"/>
  <c r="AE236" i="68"/>
  <c r="AF236" i="68"/>
  <c r="BP236" i="68" s="1"/>
  <c r="AG236" i="68"/>
  <c r="BQ236" i="68" s="1"/>
  <c r="AH236" i="68"/>
  <c r="AI236" i="68"/>
  <c r="BS236" i="68" s="1"/>
  <c r="AJ236" i="68"/>
  <c r="AK236" i="68"/>
  <c r="AL236" i="68"/>
  <c r="B237" i="68"/>
  <c r="C237" i="68"/>
  <c r="V237" i="68"/>
  <c r="BF237" i="68" s="1"/>
  <c r="W237" i="68"/>
  <c r="X237" i="68"/>
  <c r="Y237" i="68"/>
  <c r="BI237" i="68" s="1"/>
  <c r="Z237" i="68"/>
  <c r="AA237" i="68"/>
  <c r="AB237" i="68"/>
  <c r="AC237" i="68"/>
  <c r="BM237" i="68" s="1"/>
  <c r="AD237" i="68"/>
  <c r="AE237" i="68"/>
  <c r="AF237" i="68"/>
  <c r="AG237" i="68"/>
  <c r="BQ237" i="68" s="1"/>
  <c r="AH237" i="68"/>
  <c r="AI237" i="68"/>
  <c r="AJ237" i="68"/>
  <c r="AK237" i="68"/>
  <c r="BU237" i="68" s="1"/>
  <c r="AL237" i="68"/>
  <c r="B238" i="68"/>
  <c r="C238" i="68"/>
  <c r="AV238" i="68"/>
  <c r="D238" i="68"/>
  <c r="V238" i="68" s="1"/>
  <c r="W238" i="68"/>
  <c r="X238" i="68"/>
  <c r="Y238" i="68"/>
  <c r="BI238" i="68" s="1"/>
  <c r="Z238" i="68"/>
  <c r="AA238" i="68"/>
  <c r="AB238" i="68"/>
  <c r="BL238" i="68" s="1"/>
  <c r="AC238" i="68"/>
  <c r="AD238" i="68"/>
  <c r="AE238" i="68"/>
  <c r="AF238" i="68"/>
  <c r="AG238" i="68"/>
  <c r="BQ238" i="68" s="1"/>
  <c r="AH238" i="68"/>
  <c r="BR238" i="68" s="1"/>
  <c r="AI238" i="68"/>
  <c r="AJ238" i="68"/>
  <c r="BT238" i="68" s="1"/>
  <c r="AK238" i="68"/>
  <c r="AL238" i="68"/>
  <c r="B239" i="68"/>
  <c r="C239" i="68"/>
  <c r="V239" i="68"/>
  <c r="W239" i="68"/>
  <c r="BG239" i="68" s="1"/>
  <c r="X239" i="68"/>
  <c r="Y239" i="68"/>
  <c r="BI239" i="68" s="1"/>
  <c r="Z239" i="68"/>
  <c r="AA239" i="68"/>
  <c r="AB239" i="68"/>
  <c r="AC239" i="68"/>
  <c r="AD239" i="68"/>
  <c r="AE239" i="68"/>
  <c r="BO239" i="68" s="1"/>
  <c r="AF239" i="68"/>
  <c r="AG239" i="68"/>
  <c r="BQ239" i="68" s="1"/>
  <c r="AH239" i="68"/>
  <c r="AI239" i="68"/>
  <c r="AJ239" i="68"/>
  <c r="AK239" i="68"/>
  <c r="AL239" i="68"/>
  <c r="BV239" i="68" s="1"/>
  <c r="B240" i="68"/>
  <c r="C240" i="68"/>
  <c r="V240" i="68"/>
  <c r="BF240" i="68" s="1"/>
  <c r="W240" i="68"/>
  <c r="X240" i="68"/>
  <c r="Y240" i="68"/>
  <c r="Z240" i="68"/>
  <c r="AA240" i="68"/>
  <c r="BK240" i="68" s="1"/>
  <c r="AB240" i="68"/>
  <c r="BL240" i="68" s="1"/>
  <c r="AC240" i="68"/>
  <c r="AD240" i="68"/>
  <c r="BN240" i="68" s="1"/>
  <c r="AE240" i="68"/>
  <c r="AF240" i="68"/>
  <c r="AG240" i="68"/>
  <c r="AH240" i="68"/>
  <c r="AI240" i="68"/>
  <c r="BS240" i="68" s="1"/>
  <c r="AJ240" i="68"/>
  <c r="BT240" i="68" s="1"/>
  <c r="AK240" i="68"/>
  <c r="AL240" i="68"/>
  <c r="BV240" i="68" s="1"/>
  <c r="B242" i="68"/>
  <c r="C242" i="68"/>
  <c r="AO242" i="68" s="1"/>
  <c r="V242" i="68"/>
  <c r="W242" i="68"/>
  <c r="X242" i="68"/>
  <c r="BH242" i="68" s="1"/>
  <c r="Y242" i="68"/>
  <c r="BI242" i="68" s="1"/>
  <c r="Z242" i="68"/>
  <c r="AA242" i="68"/>
  <c r="BK242" i="68" s="1"/>
  <c r="AB242" i="68"/>
  <c r="AC242" i="68"/>
  <c r="AD242" i="68"/>
  <c r="BN242" i="68" s="1"/>
  <c r="AE242" i="68"/>
  <c r="AF242" i="68"/>
  <c r="BP242" i="68" s="1"/>
  <c r="AG242" i="68"/>
  <c r="BQ242" i="68" s="1"/>
  <c r="AH242" i="68"/>
  <c r="AI242" i="68"/>
  <c r="BS242" i="68" s="1"/>
  <c r="AJ242" i="68"/>
  <c r="AK242" i="68"/>
  <c r="AL242" i="68"/>
  <c r="BA242" i="68"/>
  <c r="BE242" i="68"/>
  <c r="A248" i="68"/>
  <c r="B248" i="68"/>
  <c r="C248" i="68"/>
  <c r="AO248" i="68" s="1"/>
  <c r="AT248" i="68"/>
  <c r="D248" i="68"/>
  <c r="W248" i="68"/>
  <c r="X248" i="68"/>
  <c r="Y248" i="68"/>
  <c r="Z248" i="68"/>
  <c r="AA248" i="68"/>
  <c r="AB248" i="68"/>
  <c r="BL248" i="68" s="1"/>
  <c r="AC248" i="68"/>
  <c r="AD248" i="68"/>
  <c r="AE248" i="68"/>
  <c r="AF248" i="68"/>
  <c r="AG248" i="68"/>
  <c r="AH248" i="68"/>
  <c r="BR248" i="68" s="1"/>
  <c r="AI248" i="68"/>
  <c r="AJ248" i="68"/>
  <c r="AK248" i="68"/>
  <c r="AL248" i="68"/>
  <c r="A249" i="68"/>
  <c r="B249" i="68"/>
  <c r="C249" i="68"/>
  <c r="BJ249" i="68" s="1"/>
  <c r="AO249" i="68"/>
  <c r="D249" i="68"/>
  <c r="W249" i="68"/>
  <c r="X249" i="68"/>
  <c r="Y249" i="68"/>
  <c r="Z249" i="68"/>
  <c r="AA249" i="68"/>
  <c r="AB249" i="68"/>
  <c r="AC249" i="68"/>
  <c r="AD249" i="68"/>
  <c r="AE249" i="68"/>
  <c r="AF249" i="68"/>
  <c r="AG249" i="68"/>
  <c r="AH249" i="68"/>
  <c r="AI249" i="68"/>
  <c r="AJ249" i="68"/>
  <c r="AK249" i="68"/>
  <c r="BU249" i="68" s="1"/>
  <c r="AL249" i="68"/>
  <c r="A250" i="68"/>
  <c r="B250" i="68"/>
  <c r="C250" i="68"/>
  <c r="AP250" i="68" s="1"/>
  <c r="D250" i="68"/>
  <c r="W250" i="68"/>
  <c r="X250" i="68"/>
  <c r="Y250" i="68"/>
  <c r="Z250" i="68"/>
  <c r="AA250" i="68"/>
  <c r="BK250" i="68" s="1"/>
  <c r="AB250" i="68"/>
  <c r="AC250" i="68"/>
  <c r="AD250" i="68"/>
  <c r="AE250" i="68"/>
  <c r="AF250" i="68"/>
  <c r="AG250" i="68"/>
  <c r="BQ250" i="68" s="1"/>
  <c r="AH250" i="68"/>
  <c r="AI250" i="68"/>
  <c r="BS250" i="68" s="1"/>
  <c r="AJ250" i="68"/>
  <c r="AK250" i="68"/>
  <c r="AL250" i="68"/>
  <c r="A251" i="68"/>
  <c r="B251" i="68"/>
  <c r="C251" i="68"/>
  <c r="BS251" i="68" s="1"/>
  <c r="D251" i="68"/>
  <c r="W251" i="68"/>
  <c r="X251" i="68"/>
  <c r="Y251" i="68"/>
  <c r="Z251" i="68"/>
  <c r="AA251" i="68"/>
  <c r="AB251" i="68"/>
  <c r="AC251" i="68"/>
  <c r="AD251" i="68"/>
  <c r="AE251" i="68"/>
  <c r="AF251" i="68"/>
  <c r="AG251" i="68"/>
  <c r="AH251" i="68"/>
  <c r="AI251" i="68"/>
  <c r="AJ251" i="68"/>
  <c r="AK251" i="68"/>
  <c r="AL251" i="68"/>
  <c r="BF252" i="68"/>
  <c r="A257" i="68"/>
  <c r="B257" i="68"/>
  <c r="C257" i="68"/>
  <c r="D257" i="68"/>
  <c r="E257" i="68" s="1"/>
  <c r="A258" i="68"/>
  <c r="B258" i="68"/>
  <c r="C258" i="68"/>
  <c r="D258" i="68"/>
  <c r="V258" i="68" s="1"/>
  <c r="E258" i="68"/>
  <c r="W258" i="68"/>
  <c r="F258" i="68"/>
  <c r="X258" i="68"/>
  <c r="G258" i="68"/>
  <c r="Y258" i="68" s="1"/>
  <c r="BI258" i="68" s="1"/>
  <c r="H258" i="68"/>
  <c r="Z258" i="68" s="1"/>
  <c r="I258" i="68"/>
  <c r="AA258" i="68" s="1"/>
  <c r="BK258" i="68" s="1"/>
  <c r="J258" i="68"/>
  <c r="AB258" i="68" s="1"/>
  <c r="K258" i="68"/>
  <c r="AC258" i="68"/>
  <c r="L258" i="68"/>
  <c r="AD258" i="68"/>
  <c r="BN258" i="68" s="1"/>
  <c r="M258" i="68"/>
  <c r="AE258" i="68" s="1"/>
  <c r="BO258" i="68" s="1"/>
  <c r="N258" i="68"/>
  <c r="AF258" i="68" s="1"/>
  <c r="O258" i="68"/>
  <c r="AG258" i="68" s="1"/>
  <c r="BQ258" i="68" s="1"/>
  <c r="P258" i="68"/>
  <c r="AH258" i="68" s="1"/>
  <c r="Q258" i="68"/>
  <c r="AI258" i="68"/>
  <c r="BS258" i="68" s="1"/>
  <c r="R258" i="68"/>
  <c r="AJ258" i="68" s="1"/>
  <c r="S258" i="68"/>
  <c r="AK258" i="68"/>
  <c r="BU258" i="68" s="1"/>
  <c r="T258" i="68"/>
  <c r="AL258" i="68"/>
  <c r="U258" i="68"/>
  <c r="A259" i="68"/>
  <c r="B259" i="68"/>
  <c r="C259" i="68"/>
  <c r="D259" i="68"/>
  <c r="E259" i="68"/>
  <c r="F259" i="68"/>
  <c r="G259" i="68"/>
  <c r="Y259" i="68" s="1"/>
  <c r="H259" i="68"/>
  <c r="Z259" i="68" s="1"/>
  <c r="I259" i="68"/>
  <c r="J259" i="68"/>
  <c r="K259" i="68"/>
  <c r="L259" i="68"/>
  <c r="M259" i="68"/>
  <c r="AE259" i="68" s="1"/>
  <c r="N259" i="68"/>
  <c r="O259" i="68"/>
  <c r="P259" i="68"/>
  <c r="AH259" i="68" s="1"/>
  <c r="Q259" i="68"/>
  <c r="AI259" i="68" s="1"/>
  <c r="R259" i="68"/>
  <c r="S259" i="68"/>
  <c r="T259" i="68"/>
  <c r="AL259" i="68" s="1"/>
  <c r="U259" i="68"/>
  <c r="A260" i="68"/>
  <c r="B260" i="68"/>
  <c r="V260" i="68"/>
  <c r="W260" i="68"/>
  <c r="X260" i="68"/>
  <c r="Y260" i="68"/>
  <c r="Z260" i="68"/>
  <c r="AA260" i="68"/>
  <c r="AB260" i="68"/>
  <c r="AC260" i="68"/>
  <c r="AD260" i="68"/>
  <c r="AE260" i="68"/>
  <c r="AF260" i="68"/>
  <c r="AG260" i="68"/>
  <c r="AH260" i="68"/>
  <c r="AI260" i="68"/>
  <c r="AJ260" i="68"/>
  <c r="AK260" i="68"/>
  <c r="AL260" i="68"/>
  <c r="A261" i="68"/>
  <c r="B261" i="68"/>
  <c r="V261" i="68"/>
  <c r="W261" i="68"/>
  <c r="X261" i="68"/>
  <c r="Y261" i="68"/>
  <c r="Z261" i="68"/>
  <c r="AA261" i="68"/>
  <c r="AB261" i="68"/>
  <c r="AC261" i="68"/>
  <c r="AD261" i="68"/>
  <c r="AE261" i="68"/>
  <c r="AF261" i="68"/>
  <c r="AG261" i="68"/>
  <c r="AH261" i="68"/>
  <c r="AI261" i="68"/>
  <c r="AJ261" i="68"/>
  <c r="AK261" i="68"/>
  <c r="AL261" i="68"/>
  <c r="A262" i="68"/>
  <c r="B262" i="68"/>
  <c r="C262" i="68"/>
  <c r="BA262" i="68" s="1"/>
  <c r="V262" i="68"/>
  <c r="W262" i="68"/>
  <c r="X262" i="68"/>
  <c r="Y262" i="68"/>
  <c r="Z262" i="68"/>
  <c r="AA262" i="68"/>
  <c r="AB262" i="68"/>
  <c r="AC262" i="68"/>
  <c r="AD262" i="68"/>
  <c r="AE262" i="68"/>
  <c r="AF262" i="68"/>
  <c r="AG262" i="68"/>
  <c r="AH262" i="68"/>
  <c r="AI262" i="68"/>
  <c r="AJ262" i="68"/>
  <c r="AK262" i="68"/>
  <c r="AL262" i="68"/>
  <c r="A263" i="68"/>
  <c r="B263" i="68"/>
  <c r="C263" i="68"/>
  <c r="V263" i="68"/>
  <c r="W263" i="68"/>
  <c r="BG263" i="68" s="1"/>
  <c r="X263" i="68"/>
  <c r="BH263" i="68" s="1"/>
  <c r="Y263" i="68"/>
  <c r="Z263" i="68"/>
  <c r="AA263" i="68"/>
  <c r="AB263" i="68"/>
  <c r="AC263" i="68"/>
  <c r="BM263" i="68" s="1"/>
  <c r="AD263" i="68"/>
  <c r="AE263" i="68"/>
  <c r="BO263" i="68" s="1"/>
  <c r="AF263" i="68"/>
  <c r="BP263" i="68" s="1"/>
  <c r="AG263" i="68"/>
  <c r="AH263" i="68"/>
  <c r="AI263" i="68"/>
  <c r="AJ263" i="68"/>
  <c r="AK263" i="68"/>
  <c r="BU263" i="68" s="1"/>
  <c r="AL263" i="68"/>
  <c r="A264" i="68"/>
  <c r="B264" i="68"/>
  <c r="C264" i="68"/>
  <c r="AR264" i="68" s="1"/>
  <c r="V264" i="68"/>
  <c r="W264" i="68"/>
  <c r="X264" i="68"/>
  <c r="Y264" i="68"/>
  <c r="Z264" i="68"/>
  <c r="AA264" i="68"/>
  <c r="AB264" i="68"/>
  <c r="AC264" i="68"/>
  <c r="AD264" i="68"/>
  <c r="AE264" i="68"/>
  <c r="AF264" i="68"/>
  <c r="AG264" i="68"/>
  <c r="AH264" i="68"/>
  <c r="AI264" i="68"/>
  <c r="AJ264" i="68"/>
  <c r="AK264" i="68"/>
  <c r="AL264" i="68"/>
  <c r="V265" i="68"/>
  <c r="W265" i="68"/>
  <c r="X265" i="68"/>
  <c r="Y265" i="68"/>
  <c r="Z265" i="68"/>
  <c r="AA265" i="68"/>
  <c r="AB265" i="68"/>
  <c r="AC265" i="68"/>
  <c r="AD265" i="68"/>
  <c r="AE265" i="68"/>
  <c r="AF265" i="68"/>
  <c r="AG265" i="68"/>
  <c r="AH265" i="68"/>
  <c r="AI265" i="68"/>
  <c r="AJ265" i="68"/>
  <c r="AK265" i="68"/>
  <c r="AL265" i="68"/>
  <c r="AN277" i="68"/>
  <c r="AN273" i="68" s="1"/>
  <c r="C94" i="88" s="1"/>
  <c r="C95" i="88" s="1"/>
  <c r="C306" i="68"/>
  <c r="V306" i="68"/>
  <c r="W306" i="68"/>
  <c r="BG306" i="68" s="1"/>
  <c r="X306" i="68"/>
  <c r="BH306" i="68" s="1"/>
  <c r="Y306" i="68"/>
  <c r="Z306" i="68"/>
  <c r="AA306" i="68"/>
  <c r="AB306" i="68"/>
  <c r="AC306" i="68"/>
  <c r="AD306" i="68"/>
  <c r="AE306" i="68"/>
  <c r="BO306" i="68" s="1"/>
  <c r="AF306" i="68"/>
  <c r="BP306" i="68" s="1"/>
  <c r="AG306" i="68"/>
  <c r="BQ306" i="68" s="1"/>
  <c r="AH306" i="68"/>
  <c r="AI306" i="68"/>
  <c r="AJ306" i="68"/>
  <c r="AK306" i="68"/>
  <c r="AL306" i="68"/>
  <c r="BV306" i="68" s="1"/>
  <c r="C307" i="68"/>
  <c r="AO307" i="68" s="1"/>
  <c r="V307" i="68"/>
  <c r="W307" i="68"/>
  <c r="X307" i="68"/>
  <c r="Y307" i="68"/>
  <c r="Z307" i="68"/>
  <c r="AA307" i="68"/>
  <c r="AB307" i="68"/>
  <c r="AC307" i="68"/>
  <c r="AD307" i="68"/>
  <c r="BN307" i="68" s="1"/>
  <c r="AE307" i="68"/>
  <c r="AF307" i="68"/>
  <c r="AG307" i="68"/>
  <c r="AH307" i="68"/>
  <c r="AI307" i="68"/>
  <c r="AJ307" i="68"/>
  <c r="AK307" i="68"/>
  <c r="AL307" i="68"/>
  <c r="C308" i="68"/>
  <c r="V308" i="68"/>
  <c r="W308" i="68"/>
  <c r="X308" i="68"/>
  <c r="Y308" i="68"/>
  <c r="Z308" i="68"/>
  <c r="AA308" i="68"/>
  <c r="AB308" i="68"/>
  <c r="AC308" i="68"/>
  <c r="AD308" i="68"/>
  <c r="AE308" i="68"/>
  <c r="AF308" i="68"/>
  <c r="AG308" i="68"/>
  <c r="AH308" i="68"/>
  <c r="AI308" i="68"/>
  <c r="AJ308" i="68"/>
  <c r="AK308" i="68"/>
  <c r="AL308" i="68"/>
  <c r="C309" i="68"/>
  <c r="V309" i="68"/>
  <c r="W309" i="68"/>
  <c r="BG309" i="68" s="1"/>
  <c r="X309" i="68"/>
  <c r="Y309" i="68"/>
  <c r="Z309" i="68"/>
  <c r="AA309" i="68"/>
  <c r="AB309" i="68"/>
  <c r="AC309" i="68"/>
  <c r="AD309" i="68"/>
  <c r="AE309" i="68"/>
  <c r="BO309" i="68" s="1"/>
  <c r="AF309" i="68"/>
  <c r="AG309" i="68"/>
  <c r="AH309" i="68"/>
  <c r="AI309" i="68"/>
  <c r="AJ309" i="68"/>
  <c r="AK309" i="68"/>
  <c r="AL309" i="68"/>
  <c r="C310" i="68"/>
  <c r="BE310" i="68" s="1"/>
  <c r="V310" i="68"/>
  <c r="W310" i="68"/>
  <c r="X310" i="68"/>
  <c r="BH310" i="68" s="1"/>
  <c r="Y310" i="68"/>
  <c r="Z310" i="68"/>
  <c r="AA310" i="68"/>
  <c r="AB310" i="68"/>
  <c r="AC310" i="68"/>
  <c r="AD310" i="68"/>
  <c r="AE310" i="68"/>
  <c r="AF310" i="68"/>
  <c r="BP310" i="68" s="1"/>
  <c r="AG310" i="68"/>
  <c r="AH310" i="68"/>
  <c r="AI310" i="68"/>
  <c r="AJ310" i="68"/>
  <c r="BT310" i="68" s="1"/>
  <c r="AK310" i="68"/>
  <c r="AL310" i="68"/>
  <c r="C311" i="68"/>
  <c r="V311" i="68"/>
  <c r="W311" i="68"/>
  <c r="X311" i="68"/>
  <c r="Y311" i="68"/>
  <c r="Z311" i="68"/>
  <c r="AA311" i="68"/>
  <c r="AB311" i="68"/>
  <c r="AC311" i="68"/>
  <c r="AD311" i="68"/>
  <c r="BN311" i="68" s="1"/>
  <c r="AE311" i="68"/>
  <c r="AF311" i="68"/>
  <c r="AG311" i="68"/>
  <c r="AH311" i="68"/>
  <c r="AI311" i="68"/>
  <c r="AJ311" i="68"/>
  <c r="AK311" i="68"/>
  <c r="AL311" i="68"/>
  <c r="BV311" i="68" s="1"/>
  <c r="C312" i="68"/>
  <c r="AZ312" i="68" s="1"/>
  <c r="V312" i="68"/>
  <c r="W312" i="68"/>
  <c r="X312" i="68"/>
  <c r="Y312" i="68"/>
  <c r="Z312" i="68"/>
  <c r="AA312" i="68"/>
  <c r="AB312" i="68"/>
  <c r="AC312" i="68"/>
  <c r="AD312" i="68"/>
  <c r="AE312" i="68"/>
  <c r="AF312" i="68"/>
  <c r="AG312" i="68"/>
  <c r="AH312" i="68"/>
  <c r="AI312" i="68"/>
  <c r="AJ312" i="68"/>
  <c r="AK312" i="68"/>
  <c r="AL312" i="68"/>
  <c r="C313" i="68"/>
  <c r="V313" i="68"/>
  <c r="W313" i="68"/>
  <c r="X313" i="68"/>
  <c r="Y313" i="68"/>
  <c r="Z313" i="68"/>
  <c r="AA313" i="68"/>
  <c r="AB313" i="68"/>
  <c r="AC313" i="68"/>
  <c r="BM313" i="68" s="1"/>
  <c r="AD313" i="68"/>
  <c r="AE313" i="68"/>
  <c r="AF313" i="68"/>
  <c r="AG313" i="68"/>
  <c r="AH313" i="68"/>
  <c r="AI313" i="68"/>
  <c r="AJ313" i="68"/>
  <c r="AK313" i="68"/>
  <c r="BU313" i="68" s="1"/>
  <c r="AL313" i="68"/>
  <c r="BV313" i="68" s="1"/>
  <c r="C314" i="68"/>
  <c r="D314" i="68"/>
  <c r="V314" i="68" s="1"/>
  <c r="E314" i="68"/>
  <c r="W314" i="68" s="1"/>
  <c r="F314" i="68"/>
  <c r="X314" i="68" s="1"/>
  <c r="G314" i="68"/>
  <c r="Y314" i="68" s="1"/>
  <c r="BI314" i="68" s="1"/>
  <c r="H314" i="68"/>
  <c r="Z314" i="68" s="1"/>
  <c r="I314" i="68"/>
  <c r="AA314" i="68" s="1"/>
  <c r="J314" i="68"/>
  <c r="AB314" i="68" s="1"/>
  <c r="K314" i="68"/>
  <c r="AC314" i="68" s="1"/>
  <c r="BM314" i="68" s="1"/>
  <c r="L314" i="68"/>
  <c r="M314" i="68"/>
  <c r="AE314" i="68" s="1"/>
  <c r="BO314" i="68" s="1"/>
  <c r="N314" i="68"/>
  <c r="AF314" i="68" s="1"/>
  <c r="O314" i="68"/>
  <c r="P314" i="68"/>
  <c r="AH314" i="68" s="1"/>
  <c r="Q314" i="68"/>
  <c r="R314" i="68"/>
  <c r="AJ314" i="68" s="1"/>
  <c r="S314" i="68"/>
  <c r="AK314" i="68" s="1"/>
  <c r="T314" i="68"/>
  <c r="AL314" i="68" s="1"/>
  <c r="BV314" i="68" s="1"/>
  <c r="U314" i="68"/>
  <c r="BE314" i="68" s="1"/>
  <c r="C315" i="68"/>
  <c r="BB315" i="68" s="1"/>
  <c r="V315" i="68"/>
  <c r="W315" i="68"/>
  <c r="BG315" i="68" s="1"/>
  <c r="X315" i="68"/>
  <c r="Y315" i="68"/>
  <c r="Z315" i="68"/>
  <c r="AA315" i="68"/>
  <c r="AB315" i="68"/>
  <c r="BL315" i="68" s="1"/>
  <c r="AC315" i="68"/>
  <c r="AD315" i="68"/>
  <c r="AE315" i="68"/>
  <c r="BO315" i="68" s="1"/>
  <c r="AF315" i="68"/>
  <c r="AG315" i="68"/>
  <c r="AH315" i="68"/>
  <c r="AI315" i="68"/>
  <c r="AJ315" i="68"/>
  <c r="BT315" i="68" s="1"/>
  <c r="AK315" i="68"/>
  <c r="AL315" i="68"/>
  <c r="C316" i="68"/>
  <c r="V316" i="68"/>
  <c r="W316" i="68"/>
  <c r="X316" i="68"/>
  <c r="Y316" i="68"/>
  <c r="Z316" i="68"/>
  <c r="AA316" i="68"/>
  <c r="AB316" i="68"/>
  <c r="AC316" i="68"/>
  <c r="BM316" i="68" s="1"/>
  <c r="AD316" i="68"/>
  <c r="AE316" i="68"/>
  <c r="AF316" i="68"/>
  <c r="AG316" i="68"/>
  <c r="AH316" i="68"/>
  <c r="AI316" i="68"/>
  <c r="AJ316" i="68"/>
  <c r="AK316" i="68"/>
  <c r="BU316" i="68" s="1"/>
  <c r="AL316" i="68"/>
  <c r="C317" i="68"/>
  <c r="V317" i="68"/>
  <c r="BF317" i="68" s="1"/>
  <c r="W317" i="68"/>
  <c r="X317" i="68"/>
  <c r="BH317" i="68" s="1"/>
  <c r="Y317" i="68"/>
  <c r="BI317" i="68" s="1"/>
  <c r="Z317" i="68"/>
  <c r="AA317" i="68"/>
  <c r="BK317" i="68" s="1"/>
  <c r="AB317" i="68"/>
  <c r="AC317" i="68"/>
  <c r="BM317" i="68" s="1"/>
  <c r="AD317" i="68"/>
  <c r="BN317" i="68" s="1"/>
  <c r="AE317" i="68"/>
  <c r="AF317" i="68"/>
  <c r="BP317" i="68" s="1"/>
  <c r="AG317" i="68"/>
  <c r="BQ317" i="68" s="1"/>
  <c r="AH317" i="68"/>
  <c r="BR317" i="68" s="1"/>
  <c r="AI317" i="68"/>
  <c r="BS317" i="68" s="1"/>
  <c r="AJ317" i="68"/>
  <c r="AK317" i="68"/>
  <c r="BU317" i="68" s="1"/>
  <c r="AL317" i="68"/>
  <c r="BV317" i="68" s="1"/>
  <c r="B323" i="68"/>
  <c r="C323" i="68"/>
  <c r="V323" i="68"/>
  <c r="BF323" i="68" s="1"/>
  <c r="W323" i="68"/>
  <c r="BG323" i="68" s="1"/>
  <c r="X323" i="68"/>
  <c r="BH323" i="68" s="1"/>
  <c r="Y323" i="68"/>
  <c r="Z323" i="68"/>
  <c r="BJ323" i="68" s="1"/>
  <c r="AA323" i="68"/>
  <c r="BK323" i="68" s="1"/>
  <c r="AB323" i="68"/>
  <c r="AC323" i="68"/>
  <c r="BM323" i="68" s="1"/>
  <c r="AD323" i="68"/>
  <c r="BN323" i="68" s="1"/>
  <c r="AE323" i="68"/>
  <c r="BO323" i="68" s="1"/>
  <c r="AF323" i="68"/>
  <c r="BP323" i="68" s="1"/>
  <c r="AG323" i="68"/>
  <c r="BQ323" i="68" s="1"/>
  <c r="AH323" i="68"/>
  <c r="BR323" i="68" s="1"/>
  <c r="AI323" i="68"/>
  <c r="BS323" i="68" s="1"/>
  <c r="AJ323" i="68"/>
  <c r="AK323" i="68"/>
  <c r="BU323" i="68" s="1"/>
  <c r="AL323" i="68"/>
  <c r="BV323" i="68" s="1"/>
  <c r="B324" i="68"/>
  <c r="C324" i="68"/>
  <c r="AW324" i="68"/>
  <c r="V324" i="68"/>
  <c r="W324" i="68"/>
  <c r="X324" i="68"/>
  <c r="BH324" i="68" s="1"/>
  <c r="Y324" i="68"/>
  <c r="BI324" i="68" s="1"/>
  <c r="Z324" i="68"/>
  <c r="BJ324" i="68" s="1"/>
  <c r="AA324" i="68"/>
  <c r="AB324" i="68"/>
  <c r="BL324" i="68" s="1"/>
  <c r="AC324" i="68"/>
  <c r="AD324" i="68"/>
  <c r="AE324" i="68"/>
  <c r="AF324" i="68"/>
  <c r="AG324" i="68"/>
  <c r="BQ324" i="68" s="1"/>
  <c r="AH324" i="68"/>
  <c r="BR324" i="68" s="1"/>
  <c r="AI324" i="68"/>
  <c r="AJ324" i="68"/>
  <c r="BT324" i="68" s="1"/>
  <c r="AK324" i="68"/>
  <c r="AL324" i="68"/>
  <c r="B325" i="68"/>
  <c r="C325" i="68"/>
  <c r="V325" i="68"/>
  <c r="BF325" i="68" s="1"/>
  <c r="W325" i="68"/>
  <c r="BG325" i="68" s="1"/>
  <c r="X325" i="68"/>
  <c r="Y325" i="68"/>
  <c r="BI325" i="68" s="1"/>
  <c r="Z325" i="68"/>
  <c r="AA325" i="68"/>
  <c r="AB325" i="68"/>
  <c r="AC325" i="68"/>
  <c r="AD325" i="68"/>
  <c r="BN325" i="68" s="1"/>
  <c r="AE325" i="68"/>
  <c r="BO325" i="68" s="1"/>
  <c r="AF325" i="68"/>
  <c r="AG325" i="68"/>
  <c r="BQ325" i="68" s="1"/>
  <c r="AH325" i="68"/>
  <c r="BR325" i="68" s="1"/>
  <c r="AI325" i="68"/>
  <c r="AJ325" i="68"/>
  <c r="AK325" i="68"/>
  <c r="AL325" i="68"/>
  <c r="BV325" i="68" s="1"/>
  <c r="B326" i="68"/>
  <c r="C326" i="68"/>
  <c r="V326" i="68"/>
  <c r="BF326" i="68" s="1"/>
  <c r="W326" i="68"/>
  <c r="BG326" i="68" s="1"/>
  <c r="X326" i="68"/>
  <c r="Y326" i="68"/>
  <c r="Z326" i="68"/>
  <c r="AA326" i="68"/>
  <c r="BK326" i="68" s="1"/>
  <c r="AB326" i="68"/>
  <c r="BL326" i="68" s="1"/>
  <c r="AC326" i="68"/>
  <c r="AD326" i="68"/>
  <c r="BN326" i="68" s="1"/>
  <c r="AE326" i="68"/>
  <c r="AF326" i="68"/>
  <c r="AG326" i="68"/>
  <c r="AH326" i="68"/>
  <c r="AI326" i="68"/>
  <c r="BS326" i="68" s="1"/>
  <c r="AJ326" i="68"/>
  <c r="BT326" i="68" s="1"/>
  <c r="AK326" i="68"/>
  <c r="AL326" i="68"/>
  <c r="BV326" i="68" s="1"/>
  <c r="B327" i="68"/>
  <c r="C327" i="68"/>
  <c r="V327" i="68"/>
  <c r="W327" i="68"/>
  <c r="BG327" i="68" s="1"/>
  <c r="X327" i="68"/>
  <c r="BH327" i="68" s="1"/>
  <c r="Y327" i="68"/>
  <c r="BI327" i="68" s="1"/>
  <c r="Z327" i="68"/>
  <c r="AA327" i="68"/>
  <c r="BK327" i="68" s="1"/>
  <c r="AB327" i="68"/>
  <c r="BL327" i="68" s="1"/>
  <c r="AC327" i="68"/>
  <c r="BM327" i="68" s="1"/>
  <c r="AD327" i="68"/>
  <c r="AE327" i="68"/>
  <c r="BO327" i="68" s="1"/>
  <c r="AF327" i="68"/>
  <c r="BP327" i="68" s="1"/>
  <c r="AG327" i="68"/>
  <c r="BQ327" i="68" s="1"/>
  <c r="AH327" i="68"/>
  <c r="AI327" i="68"/>
  <c r="BS327" i="68" s="1"/>
  <c r="AJ327" i="68"/>
  <c r="AK327" i="68"/>
  <c r="AL327" i="68"/>
  <c r="B329" i="68"/>
  <c r="C329" i="68"/>
  <c r="V329" i="68"/>
  <c r="BF329" i="68" s="1"/>
  <c r="W329" i="68"/>
  <c r="BG329" i="68" s="1"/>
  <c r="X329" i="68"/>
  <c r="Y329" i="68"/>
  <c r="Z329" i="68"/>
  <c r="AA329" i="68"/>
  <c r="AB329" i="68"/>
  <c r="BL329" i="68" s="1"/>
  <c r="AC329" i="68"/>
  <c r="BM329" i="68" s="1"/>
  <c r="AD329" i="68"/>
  <c r="BN329" i="68" s="1"/>
  <c r="AE329" i="68"/>
  <c r="AF329" i="68"/>
  <c r="BP329" i="68" s="1"/>
  <c r="AG329" i="68"/>
  <c r="AH329" i="68"/>
  <c r="AI329" i="68"/>
  <c r="AJ329" i="68"/>
  <c r="BT329" i="68"/>
  <c r="AK329" i="68"/>
  <c r="BU329" i="68" s="1"/>
  <c r="AL329" i="68"/>
  <c r="BV329" i="68" s="1"/>
  <c r="B330" i="68"/>
  <c r="C330" i="68"/>
  <c r="D330" i="68"/>
  <c r="V330" i="68" s="1"/>
  <c r="BF330" i="68" s="1"/>
  <c r="W330" i="68"/>
  <c r="X330" i="68"/>
  <c r="Y330" i="68"/>
  <c r="BI330" i="68" s="1"/>
  <c r="Z330" i="68"/>
  <c r="BJ330" i="68" s="1"/>
  <c r="AA330" i="68"/>
  <c r="AB330" i="68"/>
  <c r="BL330" i="68" s="1"/>
  <c r="AC330" i="68"/>
  <c r="AD330" i="68"/>
  <c r="AE330" i="68"/>
  <c r="AF330" i="68"/>
  <c r="AG330" i="68"/>
  <c r="BQ330" i="68" s="1"/>
  <c r="AH330" i="68"/>
  <c r="BR330" i="68" s="1"/>
  <c r="AI330" i="68"/>
  <c r="AJ330" i="68"/>
  <c r="BT330" i="68" s="1"/>
  <c r="AK330" i="68"/>
  <c r="AL330" i="68"/>
  <c r="B331" i="68"/>
  <c r="C331" i="68"/>
  <c r="V331" i="68"/>
  <c r="BF331" i="68" s="1"/>
  <c r="W331" i="68"/>
  <c r="BG331" i="68" s="1"/>
  <c r="X331" i="68"/>
  <c r="Y331" i="68"/>
  <c r="BI331" i="68" s="1"/>
  <c r="Z331" i="68"/>
  <c r="AA331" i="68"/>
  <c r="AB331" i="68"/>
  <c r="AC331" i="68"/>
  <c r="BM331" i="68" s="1"/>
  <c r="AD331" i="68"/>
  <c r="BN331" i="68" s="1"/>
  <c r="AE331" i="68"/>
  <c r="BO331" i="68" s="1"/>
  <c r="AF331" i="68"/>
  <c r="BP331" i="68" s="1"/>
  <c r="AG331" i="68"/>
  <c r="BQ331" i="68" s="1"/>
  <c r="AH331" i="68"/>
  <c r="AI331" i="68"/>
  <c r="AJ331" i="68"/>
  <c r="AK331" i="68"/>
  <c r="BU331" i="68" s="1"/>
  <c r="AL331" i="68"/>
  <c r="BV331" i="68" s="1"/>
  <c r="B332" i="68"/>
  <c r="C332" i="68"/>
  <c r="BC332" i="68"/>
  <c r="V332" i="68"/>
  <c r="W332" i="68"/>
  <c r="X332" i="68"/>
  <c r="Y332" i="68"/>
  <c r="Z332" i="68"/>
  <c r="BJ332" i="68" s="1"/>
  <c r="AA332" i="68"/>
  <c r="BK332" i="68" s="1"/>
  <c r="AB332" i="68"/>
  <c r="BL332" i="68" s="1"/>
  <c r="AC332" i="68"/>
  <c r="BM332" i="68" s="1"/>
  <c r="AD332" i="68"/>
  <c r="AE332" i="68"/>
  <c r="AF332" i="68"/>
  <c r="AG332" i="68"/>
  <c r="BQ332" i="68" s="1"/>
  <c r="AH332" i="68"/>
  <c r="BR332" i="68" s="1"/>
  <c r="AI332" i="68"/>
  <c r="BS332" i="68" s="1"/>
  <c r="AJ332" i="68"/>
  <c r="BT332" i="68" s="1"/>
  <c r="AK332" i="68"/>
  <c r="BU332" i="68" s="1"/>
  <c r="AL332" i="68"/>
  <c r="B333" i="68"/>
  <c r="C333" i="68"/>
  <c r="AR333" i="68"/>
  <c r="V333" i="68"/>
  <c r="BF333" i="68" s="1"/>
  <c r="W333" i="68"/>
  <c r="BG333" i="68" s="1"/>
  <c r="X333" i="68"/>
  <c r="Y333" i="68"/>
  <c r="BI333" i="68" s="1"/>
  <c r="Z333" i="68"/>
  <c r="AA333" i="68"/>
  <c r="AB333" i="68"/>
  <c r="AC333" i="68"/>
  <c r="BM333" i="68" s="1"/>
  <c r="AD333" i="68"/>
  <c r="BN333" i="68" s="1"/>
  <c r="AE333" i="68"/>
  <c r="BO333" i="68" s="1"/>
  <c r="AF333" i="68"/>
  <c r="AG333" i="68"/>
  <c r="BQ333" i="68" s="1"/>
  <c r="AH333" i="68"/>
  <c r="AI333" i="68"/>
  <c r="AJ333" i="68"/>
  <c r="AK333" i="68"/>
  <c r="BU333" i="68" s="1"/>
  <c r="AL333" i="68"/>
  <c r="BV333" i="68" s="1"/>
  <c r="A339" i="68"/>
  <c r="B339" i="68"/>
  <c r="C339" i="68"/>
  <c r="D339" i="68"/>
  <c r="A340" i="68"/>
  <c r="B340" i="68"/>
  <c r="C340" i="68"/>
  <c r="D340" i="68"/>
  <c r="A341" i="68"/>
  <c r="B341" i="68"/>
  <c r="C341" i="68"/>
  <c r="D341" i="68"/>
  <c r="A347" i="68"/>
  <c r="B347" i="68"/>
  <c r="C347" i="68"/>
  <c r="D347" i="68"/>
  <c r="V347" i="68" s="1"/>
  <c r="A348" i="68"/>
  <c r="B348" i="68"/>
  <c r="C348" i="68"/>
  <c r="D348" i="68"/>
  <c r="V348" i="68"/>
  <c r="BF348" i="68" s="1"/>
  <c r="E348" i="68"/>
  <c r="W348" i="68" s="1"/>
  <c r="BG348" i="68" s="1"/>
  <c r="F348" i="68"/>
  <c r="X348" i="68"/>
  <c r="G348" i="68"/>
  <c r="Y348" i="68" s="1"/>
  <c r="H348" i="68"/>
  <c r="Z348" i="68"/>
  <c r="I348" i="68"/>
  <c r="AA348" i="68" s="1"/>
  <c r="J348" i="68"/>
  <c r="AB348" i="68" s="1"/>
  <c r="K348" i="68"/>
  <c r="AC348" i="68"/>
  <c r="L348" i="68"/>
  <c r="AD348" i="68"/>
  <c r="M348" i="68"/>
  <c r="N348" i="68"/>
  <c r="AF348" i="68"/>
  <c r="O348" i="68"/>
  <c r="AG348" i="68"/>
  <c r="BQ348" i="68" s="1"/>
  <c r="P348" i="68"/>
  <c r="AH348" i="68"/>
  <c r="Q348" i="68"/>
  <c r="R348" i="68"/>
  <c r="AJ348" i="68"/>
  <c r="BT348" i="68" s="1"/>
  <c r="S348" i="68"/>
  <c r="AK348" i="68"/>
  <c r="BU348" i="68" s="1"/>
  <c r="T348" i="68"/>
  <c r="AL348" i="68" s="1"/>
  <c r="U348" i="68"/>
  <c r="B350" i="68"/>
  <c r="V350" i="68"/>
  <c r="W350" i="68"/>
  <c r="X350" i="68"/>
  <c r="Y350" i="68"/>
  <c r="Z350" i="68"/>
  <c r="AA350" i="68"/>
  <c r="AB350" i="68"/>
  <c r="AC350" i="68"/>
  <c r="AD350" i="68"/>
  <c r="AE350" i="68"/>
  <c r="AF350" i="68"/>
  <c r="AG350" i="68"/>
  <c r="AH350" i="68"/>
  <c r="AI350" i="68"/>
  <c r="AJ350" i="68"/>
  <c r="AK350" i="68"/>
  <c r="AL350" i="68"/>
  <c r="B351" i="68"/>
  <c r="C351" i="68"/>
  <c r="V351" i="68"/>
  <c r="W351" i="68"/>
  <c r="BG351" i="68" s="1"/>
  <c r="X351" i="68"/>
  <c r="Y351" i="68"/>
  <c r="Z351" i="68"/>
  <c r="AA351" i="68"/>
  <c r="AB351" i="68"/>
  <c r="AC351" i="68"/>
  <c r="BM351" i="68" s="1"/>
  <c r="AD351" i="68"/>
  <c r="AE351" i="68"/>
  <c r="AF351" i="68"/>
  <c r="AG351" i="68"/>
  <c r="AH351" i="68"/>
  <c r="AI351" i="68"/>
  <c r="AJ351" i="68"/>
  <c r="AK351" i="68"/>
  <c r="BU351" i="68" s="1"/>
  <c r="AL351" i="68"/>
  <c r="B352" i="68"/>
  <c r="C352" i="68"/>
  <c r="V352" i="68"/>
  <c r="W352" i="68"/>
  <c r="X352" i="68"/>
  <c r="Y352" i="68"/>
  <c r="BI352" i="68" s="1"/>
  <c r="Z352" i="68"/>
  <c r="BJ352" i="68" s="1"/>
  <c r="AA352" i="68"/>
  <c r="AB352" i="68"/>
  <c r="AC352" i="68"/>
  <c r="BM352" i="68" s="1"/>
  <c r="AD352" i="68"/>
  <c r="AE352" i="68"/>
  <c r="AF352" i="68"/>
  <c r="AG352" i="68"/>
  <c r="BQ352" i="68" s="1"/>
  <c r="AH352" i="68"/>
  <c r="BR352" i="68" s="1"/>
  <c r="AI352" i="68"/>
  <c r="AJ352" i="68"/>
  <c r="AK352" i="68"/>
  <c r="BU352" i="68" s="1"/>
  <c r="AL352" i="68"/>
  <c r="B353" i="68"/>
  <c r="C353" i="68"/>
  <c r="V353" i="68"/>
  <c r="BF353" i="68" s="1"/>
  <c r="W353" i="68"/>
  <c r="BG353" i="68" s="1"/>
  <c r="X353" i="68"/>
  <c r="Y353" i="68"/>
  <c r="Z353" i="68"/>
  <c r="AA353" i="68"/>
  <c r="AB353" i="68"/>
  <c r="AC353" i="68"/>
  <c r="BM353" i="68" s="1"/>
  <c r="AD353" i="68"/>
  <c r="BN353" i="68" s="1"/>
  <c r="AE353" i="68"/>
  <c r="BO353" i="68" s="1"/>
  <c r="AF353" i="68"/>
  <c r="AG353" i="68"/>
  <c r="BQ353" i="68" s="1"/>
  <c r="AH353" i="68"/>
  <c r="BR353" i="68" s="1"/>
  <c r="AI353" i="68"/>
  <c r="AJ353" i="68"/>
  <c r="AK353" i="68"/>
  <c r="BU353" i="68" s="1"/>
  <c r="AL353" i="68"/>
  <c r="BV353" i="68" s="1"/>
  <c r="B354" i="68"/>
  <c r="V354" i="68"/>
  <c r="W354" i="68"/>
  <c r="X354" i="68"/>
  <c r="Y354" i="68"/>
  <c r="Z354" i="68"/>
  <c r="AA354" i="68"/>
  <c r="AB354" i="68"/>
  <c r="AC354" i="68"/>
  <c r="AD354" i="68"/>
  <c r="AE354" i="68"/>
  <c r="AF354" i="68"/>
  <c r="AG354" i="68"/>
  <c r="AH354" i="68"/>
  <c r="AI354" i="68"/>
  <c r="AJ354" i="68"/>
  <c r="AK354" i="68"/>
  <c r="AL354" i="68"/>
  <c r="BG361" i="68"/>
  <c r="V127" i="88" s="1"/>
  <c r="V128" i="88" s="1"/>
  <c r="BH361" i="68"/>
  <c r="W127" i="88" s="1"/>
  <c r="W128" i="88" s="1"/>
  <c r="BJ361" i="68"/>
  <c r="Y127" i="88" s="1"/>
  <c r="Y128" i="88" s="1"/>
  <c r="BO361" i="68"/>
  <c r="AD127" i="88" s="1"/>
  <c r="AD128" i="88" s="1"/>
  <c r="BP361" i="68"/>
  <c r="AE127" i="88" s="1"/>
  <c r="AE128" i="88" s="1"/>
  <c r="BQ361" i="68"/>
  <c r="AF127" i="88" s="1"/>
  <c r="AF128" i="88" s="1"/>
  <c r="AN365" i="68"/>
  <c r="BU361" i="68" s="1"/>
  <c r="AJ127" i="88" s="1"/>
  <c r="AJ128" i="88" s="1"/>
  <c r="D371" i="68"/>
  <c r="E371" i="68"/>
  <c r="D372" i="68"/>
  <c r="E372" i="68"/>
  <c r="D373" i="68"/>
  <c r="E373" i="68"/>
  <c r="D374" i="68"/>
  <c r="E374" i="68"/>
  <c r="O374" i="68" s="1"/>
  <c r="D375" i="68"/>
  <c r="E375" i="68"/>
  <c r="Y375" i="68" s="1"/>
  <c r="D376" i="68"/>
  <c r="E376" i="68"/>
  <c r="D377" i="68"/>
  <c r="E377" i="68"/>
  <c r="D378" i="68"/>
  <c r="N378" i="68" s="1"/>
  <c r="E378" i="68"/>
  <c r="D379" i="68"/>
  <c r="N379" i="68" s="1"/>
  <c r="E379" i="68"/>
  <c r="D380" i="68"/>
  <c r="E380" i="68"/>
  <c r="D381" i="68"/>
  <c r="N381" i="68" s="1"/>
  <c r="E381" i="68"/>
  <c r="D382" i="68"/>
  <c r="X382" i="68" s="1"/>
  <c r="E382" i="68"/>
  <c r="D383" i="68"/>
  <c r="X383" i="68" s="1"/>
  <c r="E383" i="68"/>
  <c r="D384" i="68"/>
  <c r="E384" i="68"/>
  <c r="Y384" i="68" s="1"/>
  <c r="D385" i="68"/>
  <c r="X385" i="68" s="1"/>
  <c r="E385" i="68"/>
  <c r="D386" i="68"/>
  <c r="X386" i="68" s="1"/>
  <c r="BH386" i="68" s="1"/>
  <c r="E386" i="68"/>
  <c r="O386" i="68" s="1"/>
  <c r="C392" i="68"/>
  <c r="N392" i="68"/>
  <c r="AX392" i="68" s="1"/>
  <c r="O392" i="68"/>
  <c r="P392" i="68"/>
  <c r="Q392" i="68"/>
  <c r="R392" i="68"/>
  <c r="S392" i="68"/>
  <c r="T392" i="68"/>
  <c r="U392" i="68"/>
  <c r="BE392" i="68" s="1"/>
  <c r="V392" i="68"/>
  <c r="W392" i="68"/>
  <c r="X392" i="68"/>
  <c r="Y392" i="68"/>
  <c r="Z392" i="68"/>
  <c r="BJ392" i="68" s="1"/>
  <c r="AA392" i="68"/>
  <c r="AB392" i="68"/>
  <c r="AC392" i="68"/>
  <c r="BM392" i="68" s="1"/>
  <c r="AD392" i="68"/>
  <c r="AE392" i="68"/>
  <c r="AF392" i="68"/>
  <c r="AG392" i="68"/>
  <c r="AH392" i="68"/>
  <c r="AI392" i="68"/>
  <c r="AJ392" i="68"/>
  <c r="AK392" i="68"/>
  <c r="BU392" i="68" s="1"/>
  <c r="AL392" i="68"/>
  <c r="C393" i="68"/>
  <c r="N393" i="68"/>
  <c r="O393" i="68"/>
  <c r="P393" i="68"/>
  <c r="Q393" i="68"/>
  <c r="R393" i="68"/>
  <c r="S393" i="68"/>
  <c r="BC393" i="68" s="1"/>
  <c r="T393" i="68"/>
  <c r="U393" i="68"/>
  <c r="V393" i="68"/>
  <c r="W393" i="68"/>
  <c r="X393" i="68"/>
  <c r="Y393" i="68"/>
  <c r="BI393" i="68" s="1"/>
  <c r="Z393" i="68"/>
  <c r="AA393" i="68"/>
  <c r="BK393" i="68" s="1"/>
  <c r="AB393" i="68"/>
  <c r="AC393" i="68"/>
  <c r="AD393" i="68"/>
  <c r="AE393" i="68"/>
  <c r="AF393" i="68"/>
  <c r="AG393" i="68"/>
  <c r="AH393" i="68"/>
  <c r="AI393" i="68"/>
  <c r="BS393" i="68" s="1"/>
  <c r="AJ393" i="68"/>
  <c r="AK393" i="68"/>
  <c r="AL393" i="68"/>
  <c r="C394" i="68"/>
  <c r="N394" i="68"/>
  <c r="O394" i="68"/>
  <c r="P394" i="68"/>
  <c r="Q394" i="68"/>
  <c r="R394" i="68"/>
  <c r="S394" i="68"/>
  <c r="T394" i="68"/>
  <c r="U394" i="68"/>
  <c r="V394" i="68"/>
  <c r="W394" i="68"/>
  <c r="BG394" i="68" s="1"/>
  <c r="X394" i="68"/>
  <c r="Y394" i="68"/>
  <c r="BI394" i="68" s="1"/>
  <c r="Z394" i="68"/>
  <c r="AA394" i="68"/>
  <c r="AB394" i="68"/>
  <c r="AC394" i="68"/>
  <c r="AD394" i="68"/>
  <c r="AE394" i="68"/>
  <c r="BO394" i="68" s="1"/>
  <c r="AF394" i="68"/>
  <c r="AG394" i="68"/>
  <c r="BQ394" i="68" s="1"/>
  <c r="AH394" i="68"/>
  <c r="AI394" i="68"/>
  <c r="AJ394" i="68"/>
  <c r="AK394" i="68"/>
  <c r="AL394" i="68"/>
  <c r="C395" i="68"/>
  <c r="N395" i="68"/>
  <c r="O395" i="68"/>
  <c r="AY395" i="68" s="1"/>
  <c r="P395" i="68"/>
  <c r="Q395" i="68"/>
  <c r="R395" i="68"/>
  <c r="S395" i="68"/>
  <c r="T395" i="68"/>
  <c r="BD395" i="68" s="1"/>
  <c r="U395" i="68"/>
  <c r="V395" i="68"/>
  <c r="W395" i="68"/>
  <c r="BG395" i="68" s="1"/>
  <c r="X395" i="68"/>
  <c r="Y395" i="68"/>
  <c r="Z395" i="68"/>
  <c r="AA395" i="68"/>
  <c r="AB395" i="68"/>
  <c r="AC395" i="68"/>
  <c r="AD395" i="68"/>
  <c r="AE395" i="68"/>
  <c r="BO395" i="68" s="1"/>
  <c r="AF395" i="68"/>
  <c r="AG395" i="68"/>
  <c r="AH395" i="68"/>
  <c r="AI395" i="68"/>
  <c r="AJ395" i="68"/>
  <c r="AK395" i="68"/>
  <c r="AL395" i="68"/>
  <c r="C396" i="68"/>
  <c r="N396" i="68"/>
  <c r="O396" i="68"/>
  <c r="P396" i="68"/>
  <c r="Q396" i="68"/>
  <c r="R396" i="68"/>
  <c r="S396" i="68"/>
  <c r="BC396" i="68" s="1"/>
  <c r="T396" i="68"/>
  <c r="U396" i="68"/>
  <c r="BE396" i="68" s="1"/>
  <c r="V396" i="68"/>
  <c r="W396" i="68"/>
  <c r="X396" i="68"/>
  <c r="Y396" i="68"/>
  <c r="Z396" i="68"/>
  <c r="AA396" i="68"/>
  <c r="AB396" i="68"/>
  <c r="AC396" i="68"/>
  <c r="BM396" i="68" s="1"/>
  <c r="AD396" i="68"/>
  <c r="AE396" i="68"/>
  <c r="AF396" i="68"/>
  <c r="AG396" i="68"/>
  <c r="AH396" i="68"/>
  <c r="AI396" i="68"/>
  <c r="AJ396" i="68"/>
  <c r="AK396" i="68"/>
  <c r="BU396" i="68" s="1"/>
  <c r="AL396" i="68"/>
  <c r="C397" i="68"/>
  <c r="N397" i="68"/>
  <c r="O397" i="68"/>
  <c r="P397" i="68"/>
  <c r="Q397" i="68"/>
  <c r="R397" i="68"/>
  <c r="S397" i="68"/>
  <c r="BC397" i="68" s="1"/>
  <c r="T397" i="68"/>
  <c r="U397" i="68"/>
  <c r="V397" i="68"/>
  <c r="W397" i="68"/>
  <c r="X397" i="68"/>
  <c r="Y397" i="68"/>
  <c r="Z397" i="68"/>
  <c r="AA397" i="68"/>
  <c r="BK397" i="68" s="1"/>
  <c r="AB397" i="68"/>
  <c r="BL397" i="68" s="1"/>
  <c r="AC397" i="68"/>
  <c r="AD397" i="68"/>
  <c r="AE397" i="68"/>
  <c r="AF397" i="68"/>
  <c r="AG397" i="68"/>
  <c r="AH397" i="68"/>
  <c r="AI397" i="68"/>
  <c r="BS397" i="68" s="1"/>
  <c r="AJ397" i="68"/>
  <c r="AK397" i="68"/>
  <c r="AL397" i="68"/>
  <c r="C398" i="68"/>
  <c r="N398" i="68"/>
  <c r="O398" i="68"/>
  <c r="P398" i="68"/>
  <c r="Q398" i="68"/>
  <c r="BA398" i="68" s="1"/>
  <c r="R398" i="68"/>
  <c r="S398" i="68"/>
  <c r="T398" i="68"/>
  <c r="U398" i="68"/>
  <c r="V398" i="68"/>
  <c r="W398" i="68"/>
  <c r="X398" i="68"/>
  <c r="Y398" i="68"/>
  <c r="BI398" i="68" s="1"/>
  <c r="Z398" i="68"/>
  <c r="AA398" i="68"/>
  <c r="AB398" i="68"/>
  <c r="AC398" i="68"/>
  <c r="AD398" i="68"/>
  <c r="AE398" i="68"/>
  <c r="AF398" i="68"/>
  <c r="AG398" i="68"/>
  <c r="BQ398" i="68" s="1"/>
  <c r="AH398" i="68"/>
  <c r="BR398" i="68" s="1"/>
  <c r="AI398" i="68"/>
  <c r="AJ398" i="68"/>
  <c r="AK398" i="68"/>
  <c r="BU398" i="68" s="1"/>
  <c r="AL398" i="68"/>
  <c r="B404" i="68"/>
  <c r="C404" i="68"/>
  <c r="N404" i="68"/>
  <c r="O404" i="68"/>
  <c r="AY404" i="68" s="1"/>
  <c r="P404" i="68"/>
  <c r="AZ404" i="68" s="1"/>
  <c r="Q404" i="68"/>
  <c r="BA404" i="68" s="1"/>
  <c r="R404" i="68"/>
  <c r="BB404" i="68" s="1"/>
  <c r="S404" i="68"/>
  <c r="BC404" i="68" s="1"/>
  <c r="T404" i="68"/>
  <c r="U404" i="68"/>
  <c r="BE404" i="68" s="1"/>
  <c r="V404" i="68"/>
  <c r="BF404" i="68" s="1"/>
  <c r="W404" i="68"/>
  <c r="BG404" i="68" s="1"/>
  <c r="X404" i="68"/>
  <c r="BH404" i="68" s="1"/>
  <c r="Y404" i="68"/>
  <c r="BI404" i="68" s="1"/>
  <c r="Z404" i="68"/>
  <c r="BJ404" i="68" s="1"/>
  <c r="AA404" i="68"/>
  <c r="BK404" i="68" s="1"/>
  <c r="AB404" i="68"/>
  <c r="AC404" i="68"/>
  <c r="BM404" i="68" s="1"/>
  <c r="AD404" i="68"/>
  <c r="BN404" i="68" s="1"/>
  <c r="AE404" i="68"/>
  <c r="BO404" i="68" s="1"/>
  <c r="AF404" i="68"/>
  <c r="BP404" i="68" s="1"/>
  <c r="AG404" i="68"/>
  <c r="BQ404" i="68" s="1"/>
  <c r="AH404" i="68"/>
  <c r="BR404" i="68" s="1"/>
  <c r="AI404" i="68"/>
  <c r="BS404" i="68" s="1"/>
  <c r="AJ404" i="68"/>
  <c r="BT404" i="68" s="1"/>
  <c r="AK404" i="68"/>
  <c r="BU404" i="68" s="1"/>
  <c r="AL404" i="68"/>
  <c r="BV404" i="68" s="1"/>
  <c r="B405" i="68"/>
  <c r="C405" i="68"/>
  <c r="N405" i="68"/>
  <c r="O405" i="68"/>
  <c r="P405" i="68"/>
  <c r="AZ405" i="68" s="1"/>
  <c r="Q405" i="68"/>
  <c r="BA405" i="68" s="1"/>
  <c r="R405" i="68"/>
  <c r="BB405" i="68" s="1"/>
  <c r="S405" i="68"/>
  <c r="BC405" i="68" s="1"/>
  <c r="T405" i="68"/>
  <c r="BD405" i="68" s="1"/>
  <c r="U405" i="68"/>
  <c r="BE405" i="68" s="1"/>
  <c r="V405" i="68"/>
  <c r="W405" i="68"/>
  <c r="BG405" i="68" s="1"/>
  <c r="X405" i="68"/>
  <c r="BH405" i="68" s="1"/>
  <c r="Y405" i="68"/>
  <c r="Z405" i="68"/>
  <c r="BJ405" i="68" s="1"/>
  <c r="AA405" i="68"/>
  <c r="BK405" i="68" s="1"/>
  <c r="AB405" i="68"/>
  <c r="AC405" i="68"/>
  <c r="BM405" i="68" s="1"/>
  <c r="AD405" i="68"/>
  <c r="BN405" i="68" s="1"/>
  <c r="AE405" i="68"/>
  <c r="BO405" i="68" s="1"/>
  <c r="AF405" i="68"/>
  <c r="BP405" i="68" s="1"/>
  <c r="AG405" i="68"/>
  <c r="BQ405" i="68" s="1"/>
  <c r="AH405" i="68"/>
  <c r="BR405" i="68" s="1"/>
  <c r="AI405" i="68"/>
  <c r="BS405" i="68" s="1"/>
  <c r="AJ405" i="68"/>
  <c r="AK405" i="68"/>
  <c r="BU405" i="68" s="1"/>
  <c r="AL405" i="68"/>
  <c r="B406" i="68"/>
  <c r="C406" i="68"/>
  <c r="F406" i="68"/>
  <c r="G406" i="68" s="1"/>
  <c r="N406" i="68"/>
  <c r="AX406" i="68" s="1"/>
  <c r="O406" i="68"/>
  <c r="AY406" i="68" s="1"/>
  <c r="X406" i="68"/>
  <c r="BH406" i="68" s="1"/>
  <c r="Y406" i="68"/>
  <c r="BI406" i="68" s="1"/>
  <c r="AH406" i="68"/>
  <c r="AI406" i="68"/>
  <c r="BS406" i="68" s="1"/>
  <c r="B407" i="68"/>
  <c r="C407" i="68"/>
  <c r="F407" i="68"/>
  <c r="G407" i="68" s="1"/>
  <c r="AA407" i="68" s="1"/>
  <c r="BK407" i="68" s="1"/>
  <c r="N407" i="68"/>
  <c r="AX407" i="68" s="1"/>
  <c r="O407" i="68"/>
  <c r="AY407" i="68" s="1"/>
  <c r="X407" i="68"/>
  <c r="BH407" i="68" s="1"/>
  <c r="Y407" i="68"/>
  <c r="BI407" i="68" s="1"/>
  <c r="AH407" i="68"/>
  <c r="BR407" i="68" s="1"/>
  <c r="AI407" i="68"/>
  <c r="B408" i="68"/>
  <c r="C408" i="68"/>
  <c r="F408" i="68"/>
  <c r="P408" i="68" s="1"/>
  <c r="AZ408" i="68" s="1"/>
  <c r="N408" i="68"/>
  <c r="AX408" i="68" s="1"/>
  <c r="O408" i="68"/>
  <c r="AY408" i="68" s="1"/>
  <c r="X408" i="68"/>
  <c r="BH408" i="68" s="1"/>
  <c r="Y408" i="68"/>
  <c r="BI408" i="68" s="1"/>
  <c r="AH408" i="68"/>
  <c r="BR408" i="68" s="1"/>
  <c r="AI408" i="68"/>
  <c r="B409" i="68"/>
  <c r="C409" i="68"/>
  <c r="F409" i="68"/>
  <c r="P409" i="68" s="1"/>
  <c r="AZ409" i="68" s="1"/>
  <c r="N409" i="68"/>
  <c r="AX409" i="68" s="1"/>
  <c r="O409" i="68"/>
  <c r="AY409" i="68" s="1"/>
  <c r="X409" i="68"/>
  <c r="Y409" i="68"/>
  <c r="AH409" i="68"/>
  <c r="BR409" i="68" s="1"/>
  <c r="AI409" i="68"/>
  <c r="BS409" i="68" s="1"/>
  <c r="B410" i="68"/>
  <c r="C410" i="68"/>
  <c r="F410" i="68"/>
  <c r="AP410" i="68" s="1"/>
  <c r="N410" i="68"/>
  <c r="AX410" i="68" s="1"/>
  <c r="O410" i="68"/>
  <c r="AY410" i="68" s="1"/>
  <c r="X410" i="68"/>
  <c r="BH410" i="68" s="1"/>
  <c r="Y410" i="68"/>
  <c r="BI410" i="68" s="1"/>
  <c r="AH410" i="68"/>
  <c r="BR410" i="68" s="1"/>
  <c r="AI410" i="68"/>
  <c r="BS410" i="68" s="1"/>
  <c r="B411" i="68"/>
  <c r="C411" i="68"/>
  <c r="AN411" i="68" s="1"/>
  <c r="F411" i="68"/>
  <c r="Z411" i="68" s="1"/>
  <c r="BJ411" i="68" s="1"/>
  <c r="N411" i="68"/>
  <c r="O411" i="68"/>
  <c r="X411" i="68"/>
  <c r="BH411" i="68" s="1"/>
  <c r="Y411" i="68"/>
  <c r="BI411" i="68" s="1"/>
  <c r="AH411" i="68"/>
  <c r="BR411" i="68" s="1"/>
  <c r="AI411" i="68"/>
  <c r="BS411" i="68" s="1"/>
  <c r="B412" i="68"/>
  <c r="C412" i="68"/>
  <c r="F412" i="68"/>
  <c r="N412" i="68"/>
  <c r="O412" i="68"/>
  <c r="AY412" i="68" s="1"/>
  <c r="X412" i="68"/>
  <c r="BH412" i="68" s="1"/>
  <c r="Y412" i="68"/>
  <c r="BI412" i="68" s="1"/>
  <c r="AH412" i="68"/>
  <c r="BR412" i="68" s="1"/>
  <c r="AI412" i="68"/>
  <c r="BS412" i="68" s="1"/>
  <c r="B413" i="68"/>
  <c r="C413" i="68"/>
  <c r="D413" i="68"/>
  <c r="X413" i="68" s="1"/>
  <c r="BH413" i="68" s="1"/>
  <c r="E413" i="68"/>
  <c r="O413" i="68" s="1"/>
  <c r="AY413" i="68" s="1"/>
  <c r="F413" i="68"/>
  <c r="P413" i="68" s="1"/>
  <c r="AZ413" i="68" s="1"/>
  <c r="G413" i="68"/>
  <c r="AQ413" i="68" s="1"/>
  <c r="H413" i="68"/>
  <c r="AB413" i="68" s="1"/>
  <c r="I413" i="68"/>
  <c r="S413" i="68" s="1"/>
  <c r="BC413" i="68" s="1"/>
  <c r="J413" i="68"/>
  <c r="AD413" i="68" s="1"/>
  <c r="BN413" i="68" s="1"/>
  <c r="K413" i="68"/>
  <c r="AE413" i="68" s="1"/>
  <c r="BO413" i="68" s="1"/>
  <c r="L413" i="68"/>
  <c r="AV413" i="68" s="1"/>
  <c r="M413" i="68"/>
  <c r="W413" i="68" s="1"/>
  <c r="BG413" i="68" s="1"/>
  <c r="C414" i="68"/>
  <c r="F414" i="68"/>
  <c r="Z414" i="68" s="1"/>
  <c r="BJ414" i="68" s="1"/>
  <c r="N414" i="68"/>
  <c r="AX414" i="68" s="1"/>
  <c r="O414" i="68"/>
  <c r="AY414" i="68" s="1"/>
  <c r="X414" i="68"/>
  <c r="Y414" i="68"/>
  <c r="BI414" i="68" s="1"/>
  <c r="AH414" i="68"/>
  <c r="AI414" i="68"/>
  <c r="BS414" i="68" s="1"/>
  <c r="B415" i="68"/>
  <c r="C415" i="68"/>
  <c r="F415" i="68"/>
  <c r="P415" i="68" s="1"/>
  <c r="AZ415" i="68" s="1"/>
  <c r="N415" i="68"/>
  <c r="AX415" i="68" s="1"/>
  <c r="O415" i="68"/>
  <c r="X415" i="68"/>
  <c r="BH415" i="68" s="1"/>
  <c r="Y415" i="68"/>
  <c r="BI415" i="68" s="1"/>
  <c r="AH415" i="68"/>
  <c r="BR415" i="68" s="1"/>
  <c r="AI415" i="68"/>
  <c r="BS415" i="68" s="1"/>
  <c r="A421" i="68"/>
  <c r="B421" i="68"/>
  <c r="C421" i="68"/>
  <c r="D421" i="68"/>
  <c r="A422" i="68"/>
  <c r="B422" i="68"/>
  <c r="C422" i="68"/>
  <c r="AN422" i="68" s="1"/>
  <c r="A423" i="68"/>
  <c r="B423" i="68"/>
  <c r="C423" i="68"/>
  <c r="A429" i="68"/>
  <c r="B429" i="68"/>
  <c r="C429" i="68"/>
  <c r="A430" i="68"/>
  <c r="B430" i="68"/>
  <c r="C430" i="68"/>
  <c r="D430" i="68"/>
  <c r="E430" i="68"/>
  <c r="F430" i="68"/>
  <c r="G430" i="68"/>
  <c r="H430" i="68"/>
  <c r="I430" i="68"/>
  <c r="AC430" i="68" s="1"/>
  <c r="BM430" i="68" s="1"/>
  <c r="J430" i="68"/>
  <c r="K430" i="68"/>
  <c r="L430" i="68"/>
  <c r="AF430" i="68" s="1"/>
  <c r="BP430" i="68" s="1"/>
  <c r="M430" i="68"/>
  <c r="T430" i="68"/>
  <c r="N431" i="68"/>
  <c r="O431" i="68"/>
  <c r="P431" i="68"/>
  <c r="Q431" i="68"/>
  <c r="R431" i="68"/>
  <c r="S431" i="68"/>
  <c r="T431" i="68"/>
  <c r="U431" i="68"/>
  <c r="V431" i="68"/>
  <c r="W431" i="68"/>
  <c r="X431" i="68"/>
  <c r="Y431" i="68"/>
  <c r="Z431" i="68"/>
  <c r="AA431" i="68"/>
  <c r="AB431" i="68"/>
  <c r="AC431" i="68"/>
  <c r="AD431" i="68"/>
  <c r="AE431" i="68"/>
  <c r="AF431" i="68"/>
  <c r="AG431" i="68"/>
  <c r="AH431" i="68"/>
  <c r="AI431" i="68"/>
  <c r="AJ431" i="68"/>
  <c r="AK431" i="68"/>
  <c r="AL431" i="68"/>
  <c r="B432" i="68"/>
  <c r="N432" i="68"/>
  <c r="O432" i="68"/>
  <c r="P432" i="68"/>
  <c r="Q432" i="68"/>
  <c r="R432" i="68"/>
  <c r="S432" i="68"/>
  <c r="T432" i="68"/>
  <c r="U432" i="68"/>
  <c r="V432" i="68"/>
  <c r="W432" i="68"/>
  <c r="X432" i="68"/>
  <c r="Y432" i="68"/>
  <c r="Z432" i="68"/>
  <c r="AA432" i="68"/>
  <c r="AB432" i="68"/>
  <c r="AC432" i="68"/>
  <c r="AD432" i="68"/>
  <c r="AE432" i="68"/>
  <c r="AF432" i="68"/>
  <c r="AG432" i="68"/>
  <c r="AH432" i="68"/>
  <c r="AI432" i="68"/>
  <c r="AJ432" i="68"/>
  <c r="AK432" i="68"/>
  <c r="AL432" i="68"/>
  <c r="B433" i="68"/>
  <c r="N433" i="68"/>
  <c r="O433" i="68"/>
  <c r="P433" i="68"/>
  <c r="Q433" i="68"/>
  <c r="R433" i="68"/>
  <c r="S433" i="68"/>
  <c r="T433" i="68"/>
  <c r="U433" i="68"/>
  <c r="V433" i="68"/>
  <c r="W433" i="68"/>
  <c r="X433" i="68"/>
  <c r="Y433" i="68"/>
  <c r="BI433" i="68" s="1"/>
  <c r="Z433" i="68"/>
  <c r="AA433" i="68"/>
  <c r="AB433" i="68"/>
  <c r="AC433" i="68"/>
  <c r="AD433" i="68"/>
  <c r="AE433" i="68"/>
  <c r="AF433" i="68"/>
  <c r="AG433" i="68"/>
  <c r="AH433" i="68"/>
  <c r="AI433" i="68"/>
  <c r="AJ433" i="68"/>
  <c r="AK433" i="68"/>
  <c r="AL433" i="68"/>
  <c r="B434" i="68"/>
  <c r="C434" i="68"/>
  <c r="AR434" i="68" s="1"/>
  <c r="N434" i="68"/>
  <c r="O434" i="68"/>
  <c r="P434" i="68"/>
  <c r="Q434" i="68"/>
  <c r="R434" i="68"/>
  <c r="S434" i="68"/>
  <c r="T434" i="68"/>
  <c r="U434" i="68"/>
  <c r="V434" i="68"/>
  <c r="BF434" i="68" s="1"/>
  <c r="W434" i="68"/>
  <c r="BG434" i="68" s="1"/>
  <c r="X434" i="68"/>
  <c r="Y434" i="68"/>
  <c r="BI434" i="68" s="1"/>
  <c r="Z434" i="68"/>
  <c r="BJ434" i="68" s="1"/>
  <c r="AA434" i="68"/>
  <c r="AB434" i="68"/>
  <c r="AC434" i="68"/>
  <c r="AD434" i="68"/>
  <c r="AE434" i="68"/>
  <c r="AF434" i="68"/>
  <c r="AG434" i="68"/>
  <c r="AH434" i="68"/>
  <c r="BR434" i="68" s="1"/>
  <c r="AI434" i="68"/>
  <c r="AJ434" i="68"/>
  <c r="BT434" i="68" s="1"/>
  <c r="AK434" i="68"/>
  <c r="AL434" i="68"/>
  <c r="B435" i="68"/>
  <c r="C435" i="68"/>
  <c r="N435" i="68"/>
  <c r="AX435" i="68" s="1"/>
  <c r="O435" i="68"/>
  <c r="AY435" i="68" s="1"/>
  <c r="P435" i="68"/>
  <c r="AZ435" i="68" s="1"/>
  <c r="Q435" i="68"/>
  <c r="R435" i="68"/>
  <c r="S435" i="68"/>
  <c r="T435" i="68"/>
  <c r="BD435" i="68" s="1"/>
  <c r="U435" i="68"/>
  <c r="BE435" i="68" s="1"/>
  <c r="V435" i="68"/>
  <c r="BF435" i="68" s="1"/>
  <c r="W435" i="68"/>
  <c r="BG435" i="68" s="1"/>
  <c r="X435" i="68"/>
  <c r="BH435" i="68" s="1"/>
  <c r="Y435" i="68"/>
  <c r="BI435" i="68" s="1"/>
  <c r="Z435" i="68"/>
  <c r="AA435" i="68"/>
  <c r="AB435" i="68"/>
  <c r="BL435" i="68" s="1"/>
  <c r="AC435" i="68"/>
  <c r="BM435" i="68" s="1"/>
  <c r="AD435" i="68"/>
  <c r="BN435" i="68" s="1"/>
  <c r="AE435" i="68"/>
  <c r="AF435" i="68"/>
  <c r="BP435" i="68" s="1"/>
  <c r="AG435" i="68"/>
  <c r="BQ435" i="68" s="1"/>
  <c r="AH435" i="68"/>
  <c r="BR435" i="68" s="1"/>
  <c r="AI435" i="68"/>
  <c r="BS435" i="68" s="1"/>
  <c r="AJ435" i="68"/>
  <c r="AK435" i="68"/>
  <c r="BU435" i="68" s="1"/>
  <c r="AL435" i="68"/>
  <c r="BV435" i="68" s="1"/>
  <c r="B436" i="68"/>
  <c r="N436" i="68"/>
  <c r="O436" i="68"/>
  <c r="P436" i="68"/>
  <c r="Q436" i="68"/>
  <c r="R436" i="68"/>
  <c r="S436" i="68"/>
  <c r="T436" i="68"/>
  <c r="U436" i="68"/>
  <c r="V436" i="68"/>
  <c r="W436" i="68"/>
  <c r="X436" i="68"/>
  <c r="Y436" i="68"/>
  <c r="Z436" i="68"/>
  <c r="AA436" i="68"/>
  <c r="AB436" i="68"/>
  <c r="AC436" i="68"/>
  <c r="AD436" i="68"/>
  <c r="AE436" i="68"/>
  <c r="AF436" i="68"/>
  <c r="AG436" i="68"/>
  <c r="AH436" i="68"/>
  <c r="AI436" i="68"/>
  <c r="AJ436" i="68"/>
  <c r="AK436" i="68"/>
  <c r="AL436" i="68"/>
  <c r="AX441" i="68"/>
  <c r="AY441" i="68"/>
  <c r="AZ441" i="68"/>
  <c r="BJ441" i="68" s="1"/>
  <c r="BT441" i="68" s="1"/>
  <c r="BT443" i="68" s="1"/>
  <c r="AI155" i="88" s="1"/>
  <c r="AI156" i="88" s="1"/>
  <c r="BA441" i="68"/>
  <c r="BK441" i="68" s="1"/>
  <c r="BB441" i="68"/>
  <c r="BL441" i="68" s="1"/>
  <c r="BV441" i="68" s="1"/>
  <c r="BV443" i="68" s="1"/>
  <c r="AK155" i="88" s="1"/>
  <c r="AK156" i="88" s="1"/>
  <c r="BC441" i="68"/>
  <c r="BM441" i="68" s="1"/>
  <c r="BM443" i="68" s="1"/>
  <c r="AB155" i="88" s="1"/>
  <c r="AB156" i="88" s="1"/>
  <c r="BD441" i="68"/>
  <c r="BN441" i="68" s="1"/>
  <c r="BN443" i="68" s="1"/>
  <c r="AC155" i="88" s="1"/>
  <c r="AC156" i="88" s="1"/>
  <c r="BE441" i="68"/>
  <c r="BE443" i="68" s="1"/>
  <c r="T155" i="88" s="1"/>
  <c r="T156" i="88" s="1"/>
  <c r="BF441" i="68"/>
  <c r="BP441" i="68" s="1"/>
  <c r="BG441" i="68"/>
  <c r="BQ441" i="68" s="1"/>
  <c r="BQ443" i="68" s="1"/>
  <c r="AF155" i="88" s="1"/>
  <c r="AF156" i="88" s="1"/>
  <c r="AN447" i="68"/>
  <c r="D7" i="104"/>
  <c r="H7" i="104"/>
  <c r="D8" i="104"/>
  <c r="F8" i="104"/>
  <c r="H8" i="104"/>
  <c r="J8" i="104"/>
  <c r="D9" i="104"/>
  <c r="F9" i="104"/>
  <c r="H9" i="104"/>
  <c r="J9" i="104"/>
  <c r="D10" i="104"/>
  <c r="F10" i="104"/>
  <c r="H10" i="104"/>
  <c r="J10" i="104"/>
  <c r="D11" i="104"/>
  <c r="F11" i="104"/>
  <c r="H11" i="104"/>
  <c r="J11" i="104"/>
  <c r="D12" i="104"/>
  <c r="H13" i="104"/>
  <c r="J13" i="104"/>
  <c r="F14" i="104"/>
  <c r="D15" i="104"/>
  <c r="F15" i="104"/>
  <c r="H15" i="104"/>
  <c r="J15" i="104"/>
  <c r="D16" i="104"/>
  <c r="F16" i="104"/>
  <c r="H16" i="104"/>
  <c r="J16" i="104"/>
  <c r="D17" i="104"/>
  <c r="F17" i="104"/>
  <c r="H17" i="104"/>
  <c r="J17" i="104"/>
  <c r="D18" i="104"/>
  <c r="F18" i="104"/>
  <c r="H18" i="104"/>
  <c r="J18" i="104"/>
  <c r="C23" i="104"/>
  <c r="C24" i="104"/>
  <c r="I24" i="104" s="1"/>
  <c r="C25" i="104"/>
  <c r="G25" i="104" s="1"/>
  <c r="B30" i="104"/>
  <c r="C30" i="104"/>
  <c r="B31" i="104"/>
  <c r="C31" i="104"/>
  <c r="B32" i="104"/>
  <c r="C32" i="104"/>
  <c r="B33" i="104"/>
  <c r="C33" i="104"/>
  <c r="K33" i="104" s="1"/>
  <c r="G33" i="104"/>
  <c r="C34" i="104"/>
  <c r="B35" i="104"/>
  <c r="C35" i="104"/>
  <c r="B36" i="104"/>
  <c r="C36" i="104"/>
  <c r="B37" i="104"/>
  <c r="C37" i="104"/>
  <c r="G37" i="104" s="1"/>
  <c r="A42" i="104"/>
  <c r="B42" i="104"/>
  <c r="C42" i="104"/>
  <c r="K42" i="104" s="1"/>
  <c r="C95" i="105" s="1"/>
  <c r="D42" i="104"/>
  <c r="F42" i="104"/>
  <c r="H42" i="104"/>
  <c r="J42" i="104"/>
  <c r="A43" i="104"/>
  <c r="B43" i="104"/>
  <c r="C43" i="104"/>
  <c r="A44" i="104"/>
  <c r="B44" i="104"/>
  <c r="C44" i="104"/>
  <c r="A50" i="104"/>
  <c r="B50" i="104"/>
  <c r="C50" i="104"/>
  <c r="E50" i="104" s="1"/>
  <c r="A51" i="104"/>
  <c r="B51" i="104"/>
  <c r="C51" i="104"/>
  <c r="K51" i="104" s="1"/>
  <c r="B53" i="104"/>
  <c r="B54" i="104"/>
  <c r="B55" i="104"/>
  <c r="C55" i="104"/>
  <c r="B56" i="104"/>
  <c r="C56" i="104"/>
  <c r="K56" i="104" s="1"/>
  <c r="C23" i="105"/>
  <c r="C24" i="105" s="1"/>
  <c r="G64" i="104"/>
  <c r="C51" i="105" s="1"/>
  <c r="D51" i="105" s="1"/>
  <c r="I64" i="104"/>
  <c r="C79" i="105" s="1"/>
  <c r="K64" i="104"/>
  <c r="C107" i="105" s="1"/>
  <c r="A12" i="85"/>
  <c r="B12" i="85"/>
  <c r="B8" i="68" s="1"/>
  <c r="A8" i="68"/>
  <c r="D12" i="85"/>
  <c r="C8" i="68" s="1"/>
  <c r="A13" i="85"/>
  <c r="D13" i="85"/>
  <c r="C9" i="68" s="1"/>
  <c r="R13" i="85"/>
  <c r="D9" i="68" s="1"/>
  <c r="AB9" i="68" s="1"/>
  <c r="BL9" i="68" s="1"/>
  <c r="S13" i="85"/>
  <c r="E9" i="68" s="1"/>
  <c r="T13" i="85"/>
  <c r="F9" i="68" s="1"/>
  <c r="AD9" i="68" s="1"/>
  <c r="BN9" i="68" s="1"/>
  <c r="U13" i="85"/>
  <c r="G9" i="68" s="1"/>
  <c r="V13" i="85"/>
  <c r="H9" i="68" s="1"/>
  <c r="W13" i="85"/>
  <c r="I9" i="68" s="1"/>
  <c r="X13" i="85"/>
  <c r="J9" i="68" s="1"/>
  <c r="Y13" i="85"/>
  <c r="K9" i="68" s="1"/>
  <c r="Z13" i="85"/>
  <c r="L9" i="68" s="1"/>
  <c r="AA13" i="85"/>
  <c r="M9" i="68" s="1"/>
  <c r="AW9" i="68" s="1"/>
  <c r="AB13" i="85"/>
  <c r="N9" i="68" s="1"/>
  <c r="AL9" i="68" s="1"/>
  <c r="BV9" i="68" s="1"/>
  <c r="AC13" i="85"/>
  <c r="O9" i="68" s="1"/>
  <c r="AA9" i="68" s="1"/>
  <c r="A14" i="85"/>
  <c r="B14" i="85"/>
  <c r="B10" i="68" s="1"/>
  <c r="D14" i="85"/>
  <c r="C10" i="68" s="1"/>
  <c r="R14" i="85"/>
  <c r="D10" i="68" s="1"/>
  <c r="S14" i="85"/>
  <c r="E10" i="68" s="1"/>
  <c r="T14" i="85"/>
  <c r="F10" i="68" s="1"/>
  <c r="U14" i="85"/>
  <c r="G10" i="68" s="1"/>
  <c r="V14" i="85"/>
  <c r="H10" i="68" s="1"/>
  <c r="W14" i="85"/>
  <c r="I10" i="68" s="1"/>
  <c r="X14" i="85"/>
  <c r="J10" i="68" s="1"/>
  <c r="Y14" i="85"/>
  <c r="K10" i="68" s="1"/>
  <c r="Z14" i="85"/>
  <c r="L10" i="68"/>
  <c r="AA14" i="85"/>
  <c r="M10" i="68" s="1"/>
  <c r="AB14" i="85"/>
  <c r="N10" i="68" s="1"/>
  <c r="AC14" i="85"/>
  <c r="O10" i="68" s="1"/>
  <c r="AA10" i="68" s="1"/>
  <c r="BK10" i="68" s="1"/>
  <c r="A15" i="85"/>
  <c r="D15" i="85"/>
  <c r="C11" i="68" s="1"/>
  <c r="R15" i="85"/>
  <c r="D11" i="68"/>
  <c r="S15" i="85"/>
  <c r="E11" i="68" s="1"/>
  <c r="T15" i="85"/>
  <c r="F11" i="68" s="1"/>
  <c r="R11" i="68" s="1"/>
  <c r="BB11" i="68" s="1"/>
  <c r="U15" i="85"/>
  <c r="G11" i="68" s="1"/>
  <c r="V15" i="85"/>
  <c r="H11" i="68" s="1"/>
  <c r="W15" i="85"/>
  <c r="I11" i="68" s="1"/>
  <c r="X15" i="85"/>
  <c r="J11" i="68" s="1"/>
  <c r="Y15" i="85"/>
  <c r="K11" i="68" s="1"/>
  <c r="Z15" i="85"/>
  <c r="L11" i="68" s="1"/>
  <c r="AA15" i="85"/>
  <c r="M11" i="68" s="1"/>
  <c r="AB15" i="85"/>
  <c r="N11" i="68" s="1"/>
  <c r="AC15" i="85"/>
  <c r="O11" i="68" s="1"/>
  <c r="AA11" i="68" s="1"/>
  <c r="BK11" i="68" s="1"/>
  <c r="A16" i="85"/>
  <c r="A12" i="68"/>
  <c r="B16" i="85"/>
  <c r="B12" i="68"/>
  <c r="D16" i="85"/>
  <c r="C12" i="68"/>
  <c r="E16" i="85"/>
  <c r="R16" i="85"/>
  <c r="D12" i="68" s="1"/>
  <c r="F16" i="85"/>
  <c r="S16" i="85" s="1"/>
  <c r="E12" i="68" s="1"/>
  <c r="T16" i="85"/>
  <c r="F12" i="68" s="1"/>
  <c r="U16" i="85"/>
  <c r="G12" i="68" s="1"/>
  <c r="V16" i="85"/>
  <c r="H12" i="68" s="1"/>
  <c r="W16" i="85"/>
  <c r="I12" i="68"/>
  <c r="X16" i="85"/>
  <c r="J12" i="68"/>
  <c r="Y16" i="85"/>
  <c r="K12" i="68" s="1"/>
  <c r="Z16" i="85"/>
  <c r="L12" i="68" s="1"/>
  <c r="AA16" i="85"/>
  <c r="M12" i="68" s="1"/>
  <c r="AB16" i="85"/>
  <c r="N12" i="68" s="1"/>
  <c r="AC16" i="85"/>
  <c r="O12" i="68" s="1"/>
  <c r="AA12" i="68" s="1"/>
  <c r="A17" i="85"/>
  <c r="D17" i="85"/>
  <c r="C13" i="68" s="1"/>
  <c r="E17" i="85"/>
  <c r="E18" i="85" s="1"/>
  <c r="R18" i="85" s="1"/>
  <c r="D14" i="68" s="1"/>
  <c r="F17" i="85"/>
  <c r="F18" i="85" s="1"/>
  <c r="F12" i="85" s="1"/>
  <c r="S12" i="85" s="1"/>
  <c r="E8" i="68" s="1"/>
  <c r="G17" i="85"/>
  <c r="T17" i="85" s="1"/>
  <c r="F13" i="68" s="1"/>
  <c r="H17" i="85"/>
  <c r="U17" i="85" s="1"/>
  <c r="G13" i="68" s="1"/>
  <c r="I17" i="85"/>
  <c r="V17" i="85" s="1"/>
  <c r="H13" i="68" s="1"/>
  <c r="J17" i="85"/>
  <c r="W17" i="85" s="1"/>
  <c r="I13" i="68" s="1"/>
  <c r="K17" i="85"/>
  <c r="L17" i="85"/>
  <c r="L18" i="85" s="1"/>
  <c r="M17" i="85"/>
  <c r="N17" i="85"/>
  <c r="AA17" i="85" s="1"/>
  <c r="M13" i="68" s="1"/>
  <c r="O17" i="85"/>
  <c r="AB17" i="85" s="1"/>
  <c r="N13" i="68" s="1"/>
  <c r="P17" i="85"/>
  <c r="AC17" i="85" s="1"/>
  <c r="O13" i="68" s="1"/>
  <c r="AA13" i="68" s="1"/>
  <c r="R17" i="85"/>
  <c r="D13" i="68" s="1"/>
  <c r="S17" i="85"/>
  <c r="E13" i="68" s="1"/>
  <c r="X17" i="85"/>
  <c r="J13" i="68" s="1"/>
  <c r="Y17" i="85"/>
  <c r="K13" i="68" s="1"/>
  <c r="Z17" i="85"/>
  <c r="L13" i="68" s="1"/>
  <c r="A18" i="85"/>
  <c r="C18" i="85" s="1"/>
  <c r="B18" i="85"/>
  <c r="B14" i="68" s="1"/>
  <c r="D18" i="85"/>
  <c r="C14" i="68"/>
  <c r="H18" i="85"/>
  <c r="H12" i="85" s="1"/>
  <c r="U12" i="85" s="1"/>
  <c r="G8" i="68" s="1"/>
  <c r="I18" i="85"/>
  <c r="I12" i="85" s="1"/>
  <c r="V12" i="85" s="1"/>
  <c r="H8" i="68" s="1"/>
  <c r="J18" i="85"/>
  <c r="J12" i="85" s="1"/>
  <c r="W12" i="85" s="1"/>
  <c r="I8" i="68" s="1"/>
  <c r="K18" i="85"/>
  <c r="X18" i="85" s="1"/>
  <c r="J14" i="68" s="1"/>
  <c r="M18" i="85"/>
  <c r="M12" i="85" s="1"/>
  <c r="Z12" i="85" s="1"/>
  <c r="L8" i="68" s="1"/>
  <c r="N18" i="85"/>
  <c r="N12" i="85" s="1"/>
  <c r="AA12" i="85" s="1"/>
  <c r="M8" i="68" s="1"/>
  <c r="O18" i="85"/>
  <c r="O12" i="85" s="1"/>
  <c r="AB12" i="85" s="1"/>
  <c r="N8" i="68" s="1"/>
  <c r="P18" i="85"/>
  <c r="P12" i="85" s="1"/>
  <c r="AC12" i="85" s="1"/>
  <c r="O8" i="68" s="1"/>
  <c r="U18" i="85"/>
  <c r="G14" i="68" s="1"/>
  <c r="V18" i="85"/>
  <c r="H14" i="68" s="1"/>
  <c r="A19" i="85"/>
  <c r="B19" i="85"/>
  <c r="B15" i="68" s="1"/>
  <c r="A15" i="68"/>
  <c r="C19" i="85"/>
  <c r="D19" i="85"/>
  <c r="C15" i="68"/>
  <c r="R19" i="85"/>
  <c r="D15" i="68"/>
  <c r="S19" i="85"/>
  <c r="E15" i="68" s="1"/>
  <c r="T19" i="85"/>
  <c r="F15" i="68" s="1"/>
  <c r="U19" i="85"/>
  <c r="G15" i="68" s="1"/>
  <c r="V19" i="85"/>
  <c r="H15" i="68" s="1"/>
  <c r="W19" i="85"/>
  <c r="I15" i="68"/>
  <c r="X19" i="85"/>
  <c r="J15" i="68"/>
  <c r="Y19" i="85"/>
  <c r="K15" i="68" s="1"/>
  <c r="Z19" i="85"/>
  <c r="L15" i="68" s="1"/>
  <c r="AA19" i="85"/>
  <c r="M15" i="68" s="1"/>
  <c r="AB19" i="85"/>
  <c r="N15" i="68" s="1"/>
  <c r="AC19" i="85"/>
  <c r="O15" i="68"/>
  <c r="AA15" i="68" s="1"/>
  <c r="BK15" i="68" s="1"/>
  <c r="A20" i="85"/>
  <c r="A16" i="68" s="1"/>
  <c r="D20" i="85"/>
  <c r="C16" i="68" s="1"/>
  <c r="E20" i="85"/>
  <c r="R20" i="85" s="1"/>
  <c r="D16" i="68" s="1"/>
  <c r="G20" i="85"/>
  <c r="T20" i="85" s="1"/>
  <c r="F16" i="68" s="1"/>
  <c r="H20" i="85"/>
  <c r="U20" i="85" s="1"/>
  <c r="G16" i="68" s="1"/>
  <c r="S16" i="68" s="1"/>
  <c r="BC16" i="68" s="1"/>
  <c r="I20" i="85"/>
  <c r="V20" i="85" s="1"/>
  <c r="H16" i="68" s="1"/>
  <c r="J20" i="85"/>
  <c r="K20" i="85"/>
  <c r="X20" i="85" s="1"/>
  <c r="J16" i="68" s="1"/>
  <c r="L20" i="85"/>
  <c r="Y20" i="85" s="1"/>
  <c r="K16" i="68" s="1"/>
  <c r="M20" i="85"/>
  <c r="Z20" i="85" s="1"/>
  <c r="L16" i="68" s="1"/>
  <c r="N20" i="85"/>
  <c r="AA20" i="85" s="1"/>
  <c r="M16" i="68" s="1"/>
  <c r="O20" i="85"/>
  <c r="AB20" i="85" s="1"/>
  <c r="N16" i="68" s="1"/>
  <c r="AL16" i="68" s="1"/>
  <c r="BV16" i="68" s="1"/>
  <c r="P20" i="85"/>
  <c r="AC20" i="85" s="1"/>
  <c r="O16" i="68" s="1"/>
  <c r="AA16" i="68" s="1"/>
  <c r="W20" i="85"/>
  <c r="I16" i="68" s="1"/>
  <c r="A21" i="85"/>
  <c r="D21" i="85"/>
  <c r="C17" i="68"/>
  <c r="E21" i="85"/>
  <c r="F21" i="85"/>
  <c r="S21" i="85" s="1"/>
  <c r="E17" i="68" s="1"/>
  <c r="G21" i="85"/>
  <c r="H21" i="85"/>
  <c r="I21" i="85"/>
  <c r="V21" i="85" s="1"/>
  <c r="H17" i="68" s="1"/>
  <c r="J21" i="85"/>
  <c r="K21" i="85"/>
  <c r="L21" i="85"/>
  <c r="Y21" i="85" s="1"/>
  <c r="K17" i="68" s="1"/>
  <c r="M21" i="85"/>
  <c r="N21" i="85"/>
  <c r="O21" i="85"/>
  <c r="P21" i="85"/>
  <c r="AC21" i="85" s="1"/>
  <c r="R21" i="85"/>
  <c r="D17" i="68" s="1"/>
  <c r="T21" i="85"/>
  <c r="F17" i="68" s="1"/>
  <c r="U21" i="85"/>
  <c r="G17" i="68" s="1"/>
  <c r="W21" i="85"/>
  <c r="I17" i="68" s="1"/>
  <c r="X21" i="85"/>
  <c r="J17" i="68" s="1"/>
  <c r="Z21" i="85"/>
  <c r="L17" i="68" s="1"/>
  <c r="AA21" i="85"/>
  <c r="M17" i="68"/>
  <c r="AB21" i="85"/>
  <c r="N17" i="68" s="1"/>
  <c r="O17" i="68"/>
  <c r="AA17" i="68" s="1"/>
  <c r="A22" i="85"/>
  <c r="C22" i="85" s="1"/>
  <c r="A18" i="68"/>
  <c r="B22" i="85"/>
  <c r="B18" i="68" s="1"/>
  <c r="D22" i="85"/>
  <c r="C18" i="68"/>
  <c r="R22" i="85"/>
  <c r="D18" i="68" s="1"/>
  <c r="S22" i="85"/>
  <c r="E18" i="68"/>
  <c r="T22" i="85"/>
  <c r="F18" i="68" s="1"/>
  <c r="U22" i="85"/>
  <c r="G18" i="68" s="1"/>
  <c r="V22" i="85"/>
  <c r="H18" i="68" s="1"/>
  <c r="W22" i="85"/>
  <c r="I18" i="68" s="1"/>
  <c r="X22" i="85"/>
  <c r="J18" i="68" s="1"/>
  <c r="Y22" i="85"/>
  <c r="K18" i="68" s="1"/>
  <c r="Z22" i="85"/>
  <c r="L18" i="68"/>
  <c r="AA22" i="85"/>
  <c r="M18" i="68" s="1"/>
  <c r="AB22" i="85"/>
  <c r="N18" i="68" s="1"/>
  <c r="AC22" i="85"/>
  <c r="O18" i="68" s="1"/>
  <c r="AA18" i="68" s="1"/>
  <c r="BK18" i="68" s="1"/>
  <c r="A23" i="85"/>
  <c r="A19" i="68"/>
  <c r="B23" i="85"/>
  <c r="B19" i="68" s="1"/>
  <c r="C23" i="85"/>
  <c r="D23" i="85"/>
  <c r="C19" i="68" s="1"/>
  <c r="R23" i="85"/>
  <c r="D19" i="68" s="1"/>
  <c r="S23" i="85"/>
  <c r="E19" i="68" s="1"/>
  <c r="T23" i="85"/>
  <c r="F19" i="68" s="1"/>
  <c r="U23" i="85"/>
  <c r="G19" i="68" s="1"/>
  <c r="V23" i="85"/>
  <c r="H19" i="68" s="1"/>
  <c r="W23" i="85"/>
  <c r="I19" i="68" s="1"/>
  <c r="X23" i="85"/>
  <c r="J19" i="68" s="1"/>
  <c r="Y23" i="85"/>
  <c r="K19" i="68" s="1"/>
  <c r="Z23" i="85"/>
  <c r="L19" i="68" s="1"/>
  <c r="AA23" i="85"/>
  <c r="M19" i="68" s="1"/>
  <c r="AB23" i="85"/>
  <c r="N19" i="68" s="1"/>
  <c r="AC23" i="85"/>
  <c r="O19" i="68" s="1"/>
  <c r="A24" i="85"/>
  <c r="B24" i="85" s="1"/>
  <c r="B20" i="68"/>
  <c r="A20" i="68"/>
  <c r="D24" i="85"/>
  <c r="C20" i="68" s="1"/>
  <c r="R24" i="85"/>
  <c r="D20" i="68" s="1"/>
  <c r="S24" i="85"/>
  <c r="E20" i="68" s="1"/>
  <c r="T24" i="85"/>
  <c r="F20" i="68" s="1"/>
  <c r="U24" i="85"/>
  <c r="G20" i="68" s="1"/>
  <c r="V24" i="85"/>
  <c r="H20" i="68" s="1"/>
  <c r="W24" i="85"/>
  <c r="I20" i="68" s="1"/>
  <c r="AG20" i="68" s="1"/>
  <c r="X24" i="85"/>
  <c r="J20" i="68" s="1"/>
  <c r="Y24" i="85"/>
  <c r="K20" i="68" s="1"/>
  <c r="Z24" i="85"/>
  <c r="L20" i="68" s="1"/>
  <c r="AA24" i="85"/>
  <c r="M20" i="68" s="1"/>
  <c r="AB24" i="85"/>
  <c r="N20" i="68" s="1"/>
  <c r="AC24" i="85"/>
  <c r="O20" i="68" s="1"/>
  <c r="AA20" i="68" s="1"/>
  <c r="A25" i="85"/>
  <c r="C25" i="85" s="1"/>
  <c r="A21" i="68"/>
  <c r="D25" i="85"/>
  <c r="C21" i="68"/>
  <c r="E25" i="85"/>
  <c r="R25" i="85" s="1"/>
  <c r="D21" i="68" s="1"/>
  <c r="S25" i="85"/>
  <c r="E21" i="68" s="1"/>
  <c r="T25" i="85"/>
  <c r="F21" i="68" s="1"/>
  <c r="U25" i="85"/>
  <c r="G21" i="68" s="1"/>
  <c r="V25" i="85"/>
  <c r="H21" i="68" s="1"/>
  <c r="W25" i="85"/>
  <c r="I21" i="68" s="1"/>
  <c r="X25" i="85"/>
  <c r="J21" i="68" s="1"/>
  <c r="Y25" i="85"/>
  <c r="K21" i="68" s="1"/>
  <c r="Z25" i="85"/>
  <c r="L21" i="68" s="1"/>
  <c r="AA25" i="85"/>
  <c r="M21" i="68" s="1"/>
  <c r="AB25" i="85"/>
  <c r="N21" i="68" s="1"/>
  <c r="AC25" i="85"/>
  <c r="O21" i="68" s="1"/>
  <c r="A26" i="85"/>
  <c r="A22" i="68" s="1"/>
  <c r="B26" i="85"/>
  <c r="B22" i="68" s="1"/>
  <c r="C26" i="85"/>
  <c r="D26" i="85"/>
  <c r="C22" i="68"/>
  <c r="E26" i="85"/>
  <c r="R26" i="85" s="1"/>
  <c r="D22" i="68" s="1"/>
  <c r="S26" i="85"/>
  <c r="E22" i="68" s="1"/>
  <c r="T26" i="85"/>
  <c r="F22" i="68" s="1"/>
  <c r="U26" i="85"/>
  <c r="G22" i="68"/>
  <c r="V26" i="85"/>
  <c r="H22" i="68" s="1"/>
  <c r="T22" i="68" s="1"/>
  <c r="BD22" i="68" s="1"/>
  <c r="W26" i="85"/>
  <c r="I22" i="68" s="1"/>
  <c r="X26" i="85"/>
  <c r="J22" i="68"/>
  <c r="Y26" i="85"/>
  <c r="K22" i="68"/>
  <c r="A36" i="85"/>
  <c r="A100" i="68" s="1"/>
  <c r="D36" i="85"/>
  <c r="C100" i="68"/>
  <c r="A37" i="85"/>
  <c r="D37" i="85"/>
  <c r="C101" i="68"/>
  <c r="R37" i="85"/>
  <c r="D101" i="68" s="1"/>
  <c r="S37" i="85"/>
  <c r="E101" i="68" s="1"/>
  <c r="T37" i="85"/>
  <c r="F101" i="68" s="1"/>
  <c r="U37" i="85"/>
  <c r="G101" i="68" s="1"/>
  <c r="V37" i="85"/>
  <c r="H101" i="68" s="1"/>
  <c r="W37" i="85"/>
  <c r="I101" i="68" s="1"/>
  <c r="X37" i="85"/>
  <c r="J101" i="68" s="1"/>
  <c r="Y37" i="85"/>
  <c r="K101" i="68" s="1"/>
  <c r="Z37" i="85"/>
  <c r="L101" i="68" s="1"/>
  <c r="AA37" i="85"/>
  <c r="M101" i="68" s="1"/>
  <c r="AW101" i="68" s="1"/>
  <c r="AB37" i="85"/>
  <c r="N101" i="68" s="1"/>
  <c r="AC37" i="85"/>
  <c r="O101" i="68" s="1"/>
  <c r="AA101" i="68" s="1"/>
  <c r="BK101" i="68" s="1"/>
  <c r="A38" i="85"/>
  <c r="B38" i="85"/>
  <c r="B102" i="68" s="1"/>
  <c r="A102" i="68"/>
  <c r="D38" i="85"/>
  <c r="C102" i="68"/>
  <c r="R38" i="85"/>
  <c r="D102" i="68"/>
  <c r="S38" i="85"/>
  <c r="E102" i="68" s="1"/>
  <c r="T38" i="85"/>
  <c r="F102" i="68" s="1"/>
  <c r="U38" i="85"/>
  <c r="G102" i="68" s="1"/>
  <c r="V38" i="85"/>
  <c r="H102" i="68" s="1"/>
  <c r="W38" i="85"/>
  <c r="I102" i="68" s="1"/>
  <c r="X38" i="85"/>
  <c r="J102" i="68" s="1"/>
  <c r="Y38" i="85"/>
  <c r="K102" i="68" s="1"/>
  <c r="Z38" i="85"/>
  <c r="L102" i="68" s="1"/>
  <c r="AA38" i="85"/>
  <c r="M102" i="68"/>
  <c r="AB38" i="85"/>
  <c r="N102" i="68" s="1"/>
  <c r="AC38" i="85"/>
  <c r="O102" i="68" s="1"/>
  <c r="AA102" i="68" s="1"/>
  <c r="BK102" i="68" s="1"/>
  <c r="A39" i="85"/>
  <c r="A103" i="68" s="1"/>
  <c r="D39" i="85"/>
  <c r="C103" i="68"/>
  <c r="R39" i="85"/>
  <c r="D103" i="68" s="1"/>
  <c r="S39" i="85"/>
  <c r="E103" i="68" s="1"/>
  <c r="T39" i="85"/>
  <c r="F103" i="68" s="1"/>
  <c r="U39" i="85"/>
  <c r="G103" i="68" s="1"/>
  <c r="S103" i="68" s="1"/>
  <c r="BC103" i="68" s="1"/>
  <c r="V39" i="85"/>
  <c r="H103" i="68" s="1"/>
  <c r="W39" i="85"/>
  <c r="I103" i="68" s="1"/>
  <c r="X39" i="85"/>
  <c r="J103" i="68" s="1"/>
  <c r="Y39" i="85"/>
  <c r="K103" i="68"/>
  <c r="Z39" i="85"/>
  <c r="L103" i="68"/>
  <c r="AA39" i="85"/>
  <c r="M103" i="68" s="1"/>
  <c r="AB39" i="85"/>
  <c r="N103" i="68" s="1"/>
  <c r="AC39" i="85"/>
  <c r="O103" i="68" s="1"/>
  <c r="AA103" i="68" s="1"/>
  <c r="A40" i="85"/>
  <c r="A104" i="68" s="1"/>
  <c r="D40" i="85"/>
  <c r="C104" i="68"/>
  <c r="E40" i="85"/>
  <c r="R40" i="85" s="1"/>
  <c r="D104" i="68" s="1"/>
  <c r="F40" i="85"/>
  <c r="S40" i="85"/>
  <c r="E104" i="68" s="1"/>
  <c r="T40" i="85"/>
  <c r="F104" i="68" s="1"/>
  <c r="U40" i="85"/>
  <c r="G104" i="68" s="1"/>
  <c r="V40" i="85"/>
  <c r="H104" i="68" s="1"/>
  <c r="W40" i="85"/>
  <c r="I104" i="68" s="1"/>
  <c r="X40" i="85"/>
  <c r="J104" i="68"/>
  <c r="Y40" i="85"/>
  <c r="K104" i="68" s="1"/>
  <c r="Z40" i="85"/>
  <c r="L104" i="68" s="1"/>
  <c r="AA40" i="85"/>
  <c r="M104" i="68" s="1"/>
  <c r="AB40" i="85"/>
  <c r="N104" i="68" s="1"/>
  <c r="AC40" i="85"/>
  <c r="O104" i="68" s="1"/>
  <c r="AA104" i="68" s="1"/>
  <c r="BK104" i="68" s="1"/>
  <c r="A41" i="85"/>
  <c r="C41" i="85"/>
  <c r="A105" i="68"/>
  <c r="D41" i="85"/>
  <c r="C105" i="68" s="1"/>
  <c r="E41" i="85"/>
  <c r="E42" i="85" s="1"/>
  <c r="E36" i="85" s="1"/>
  <c r="R36" i="85" s="1"/>
  <c r="D100" i="68" s="1"/>
  <c r="F41" i="85"/>
  <c r="S41" i="85" s="1"/>
  <c r="E105" i="68" s="1"/>
  <c r="G41" i="85"/>
  <c r="T41" i="85" s="1"/>
  <c r="F105" i="68" s="1"/>
  <c r="H41" i="85"/>
  <c r="I41" i="85"/>
  <c r="V41" i="85" s="1"/>
  <c r="H105" i="68" s="1"/>
  <c r="J41" i="85"/>
  <c r="J42" i="85" s="1"/>
  <c r="J36" i="85" s="1"/>
  <c r="W36" i="85" s="1"/>
  <c r="I100" i="68" s="1"/>
  <c r="K41" i="85"/>
  <c r="X41" i="85" s="1"/>
  <c r="J105" i="68" s="1"/>
  <c r="V105" i="68" s="1"/>
  <c r="BF105" i="68" s="1"/>
  <c r="L41" i="85"/>
  <c r="M41" i="85"/>
  <c r="N41" i="85"/>
  <c r="AA41" i="85" s="1"/>
  <c r="M105" i="68" s="1"/>
  <c r="O41" i="85"/>
  <c r="P41" i="85"/>
  <c r="R41" i="85"/>
  <c r="D105" i="68"/>
  <c r="U41" i="85"/>
  <c r="G105" i="68"/>
  <c r="W41" i="85"/>
  <c r="I105" i="68" s="1"/>
  <c r="AG105" i="68" s="1"/>
  <c r="Z41" i="85"/>
  <c r="L105" i="68" s="1"/>
  <c r="AC41" i="85"/>
  <c r="O105" i="68" s="1"/>
  <c r="AA105" i="68" s="1"/>
  <c r="A42" i="85"/>
  <c r="D42" i="85"/>
  <c r="C106" i="68"/>
  <c r="G42" i="85"/>
  <c r="H42" i="85"/>
  <c r="H36" i="85" s="1"/>
  <c r="U36" i="85" s="1"/>
  <c r="G100" i="68" s="1"/>
  <c r="I42" i="85"/>
  <c r="K42" i="85"/>
  <c r="K36" i="85" s="1"/>
  <c r="X36" i="85" s="1"/>
  <c r="J100" i="68" s="1"/>
  <c r="V100" i="68" s="1"/>
  <c r="BF100" i="68" s="1"/>
  <c r="M42" i="85"/>
  <c r="N42" i="85"/>
  <c r="AA42" i="85" s="1"/>
  <c r="M106" i="68" s="1"/>
  <c r="N36" i="85"/>
  <c r="AA36" i="85" s="1"/>
  <c r="M100" i="68" s="1"/>
  <c r="P42" i="85"/>
  <c r="P36" i="85" s="1"/>
  <c r="AC36" i="85" s="1"/>
  <c r="O100" i="68" s="1"/>
  <c r="AA100" i="68" s="1"/>
  <c r="BK100" i="68" s="1"/>
  <c r="R42" i="85"/>
  <c r="D106" i="68" s="1"/>
  <c r="U42" i="85"/>
  <c r="G106" i="68" s="1"/>
  <c r="X42" i="85"/>
  <c r="J106" i="68" s="1"/>
  <c r="A43" i="85"/>
  <c r="D43" i="85"/>
  <c r="C107" i="68"/>
  <c r="R43" i="85"/>
  <c r="D107" i="68" s="1"/>
  <c r="S43" i="85"/>
  <c r="E107" i="68" s="1"/>
  <c r="T43" i="85"/>
  <c r="F107" i="68" s="1"/>
  <c r="U43" i="85"/>
  <c r="G107" i="68" s="1"/>
  <c r="V43" i="85"/>
  <c r="H107" i="68" s="1"/>
  <c r="W43" i="85"/>
  <c r="I107" i="68" s="1"/>
  <c r="X43" i="85"/>
  <c r="J107" i="68" s="1"/>
  <c r="Y43" i="85"/>
  <c r="K107" i="68"/>
  <c r="Z43" i="85"/>
  <c r="L107" i="68" s="1"/>
  <c r="AA43" i="85"/>
  <c r="M107" i="68"/>
  <c r="AB43" i="85"/>
  <c r="N107" i="68" s="1"/>
  <c r="AC43" i="85"/>
  <c r="O107" i="68"/>
  <c r="AA107" i="68" s="1"/>
  <c r="BK107" i="68" s="1"/>
  <c r="A44" i="85"/>
  <c r="A108" i="68"/>
  <c r="C44" i="85"/>
  <c r="D44" i="85"/>
  <c r="C108" i="68"/>
  <c r="G44" i="85"/>
  <c r="T44" i="85" s="1"/>
  <c r="F108" i="68" s="1"/>
  <c r="H44" i="85"/>
  <c r="U44" i="85" s="1"/>
  <c r="I44" i="85"/>
  <c r="J44" i="85"/>
  <c r="W44" i="85" s="1"/>
  <c r="I108" i="68" s="1"/>
  <c r="K44" i="85"/>
  <c r="X44" i="85" s="1"/>
  <c r="J108" i="68" s="1"/>
  <c r="L44" i="85"/>
  <c r="M44" i="85"/>
  <c r="Z44" i="85" s="1"/>
  <c r="L108" i="68" s="1"/>
  <c r="N44" i="85"/>
  <c r="AA44" i="85" s="1"/>
  <c r="M108" i="68" s="1"/>
  <c r="O44" i="85"/>
  <c r="P44" i="85"/>
  <c r="AC44" i="85" s="1"/>
  <c r="O108" i="68" s="1"/>
  <c r="AA108" i="68" s="1"/>
  <c r="BK108" i="68" s="1"/>
  <c r="G108" i="68"/>
  <c r="V44" i="85"/>
  <c r="H108" i="68" s="1"/>
  <c r="Y44" i="85"/>
  <c r="K108" i="68" s="1"/>
  <c r="AB44" i="85"/>
  <c r="N108" i="68" s="1"/>
  <c r="A45" i="85"/>
  <c r="C45" i="85"/>
  <c r="D45" i="85"/>
  <c r="C109" i="68" s="1"/>
  <c r="E45" i="85"/>
  <c r="F45" i="85"/>
  <c r="S45" i="85" s="1"/>
  <c r="E109" i="68" s="1"/>
  <c r="G45" i="85"/>
  <c r="H45" i="85"/>
  <c r="U45" i="85" s="1"/>
  <c r="G109" i="68" s="1"/>
  <c r="I45" i="85"/>
  <c r="V45" i="85" s="1"/>
  <c r="H109" i="68" s="1"/>
  <c r="J45" i="85"/>
  <c r="K45" i="85"/>
  <c r="X45" i="85" s="1"/>
  <c r="L45" i="85"/>
  <c r="M45" i="85"/>
  <c r="N45" i="85"/>
  <c r="AA45" i="85" s="1"/>
  <c r="M109" i="68" s="1"/>
  <c r="O45" i="85"/>
  <c r="AB45" i="85" s="1"/>
  <c r="P45" i="85"/>
  <c r="R45" i="85"/>
  <c r="D109" i="68" s="1"/>
  <c r="T45" i="85"/>
  <c r="F109" i="68"/>
  <c r="W45" i="85"/>
  <c r="I109" i="68" s="1"/>
  <c r="J109" i="68"/>
  <c r="Y45" i="85"/>
  <c r="K109" i="68" s="1"/>
  <c r="Z45" i="85"/>
  <c r="L109" i="68" s="1"/>
  <c r="N109" i="68"/>
  <c r="AC45" i="85"/>
  <c r="O109" i="68" s="1"/>
  <c r="AA109" i="68" s="1"/>
  <c r="A46" i="85"/>
  <c r="B46" i="85" s="1"/>
  <c r="B110" i="68" s="1"/>
  <c r="A110" i="68"/>
  <c r="C46" i="85"/>
  <c r="D46" i="85"/>
  <c r="C110" i="68" s="1"/>
  <c r="R46" i="85"/>
  <c r="D110" i="68" s="1"/>
  <c r="S46" i="85"/>
  <c r="E110" i="68" s="1"/>
  <c r="T46" i="85"/>
  <c r="F110" i="68"/>
  <c r="U46" i="85"/>
  <c r="G110" i="68"/>
  <c r="V46" i="85"/>
  <c r="H110" i="68" s="1"/>
  <c r="W46" i="85"/>
  <c r="I110" i="68" s="1"/>
  <c r="X46" i="85"/>
  <c r="J110" i="68" s="1"/>
  <c r="Y46" i="85"/>
  <c r="K110" i="68" s="1"/>
  <c r="Z46" i="85"/>
  <c r="L110" i="68"/>
  <c r="AA46" i="85"/>
  <c r="M110" i="68" s="1"/>
  <c r="AB46" i="85"/>
  <c r="N110" i="68" s="1"/>
  <c r="AC46" i="85"/>
  <c r="O110" i="68" s="1"/>
  <c r="AA110" i="68" s="1"/>
  <c r="A47" i="85"/>
  <c r="B47" i="85" s="1"/>
  <c r="B111" i="68" s="1"/>
  <c r="A111" i="68"/>
  <c r="C47" i="85"/>
  <c r="D47" i="85"/>
  <c r="C111" i="68"/>
  <c r="R47" i="85"/>
  <c r="D111" i="68" s="1"/>
  <c r="S47" i="85"/>
  <c r="E111" i="68" s="1"/>
  <c r="T47" i="85"/>
  <c r="F111" i="68" s="1"/>
  <c r="U47" i="85"/>
  <c r="G111" i="68" s="1"/>
  <c r="V47" i="85"/>
  <c r="H111" i="68" s="1"/>
  <c r="W47" i="85"/>
  <c r="I111" i="68" s="1"/>
  <c r="X47" i="85"/>
  <c r="J111" i="68"/>
  <c r="Y47" i="85"/>
  <c r="K111" i="68" s="1"/>
  <c r="Z47" i="85"/>
  <c r="L111" i="68" s="1"/>
  <c r="AA47" i="85"/>
  <c r="M111" i="68" s="1"/>
  <c r="AB47" i="85"/>
  <c r="N111" i="68" s="1"/>
  <c r="AC47" i="85"/>
  <c r="O111" i="68"/>
  <c r="A48" i="85"/>
  <c r="D48" i="85"/>
  <c r="C112" i="68" s="1"/>
  <c r="R48" i="85"/>
  <c r="D112" i="68" s="1"/>
  <c r="S48" i="85"/>
  <c r="E112" i="68" s="1"/>
  <c r="T48" i="85"/>
  <c r="F112" i="68" s="1"/>
  <c r="U48" i="85"/>
  <c r="G112" i="68" s="1"/>
  <c r="V48" i="85"/>
  <c r="H112" i="68" s="1"/>
  <c r="W48" i="85"/>
  <c r="I112" i="68" s="1"/>
  <c r="X48" i="85"/>
  <c r="J112" i="68"/>
  <c r="Y48" i="85"/>
  <c r="K112" i="68" s="1"/>
  <c r="Z48" i="85"/>
  <c r="L112" i="68" s="1"/>
  <c r="AA48" i="85"/>
  <c r="M112" i="68" s="1"/>
  <c r="AB48" i="85"/>
  <c r="N112" i="68"/>
  <c r="AC48" i="85"/>
  <c r="O112" i="68" s="1"/>
  <c r="AA112" i="68" s="1"/>
  <c r="A49" i="85"/>
  <c r="D49" i="85"/>
  <c r="C113" i="68"/>
  <c r="E49" i="85"/>
  <c r="R49" i="85" s="1"/>
  <c r="D113" i="68" s="1"/>
  <c r="S49" i="85"/>
  <c r="E113" i="68" s="1"/>
  <c r="T49" i="85"/>
  <c r="F113" i="68" s="1"/>
  <c r="U49" i="85"/>
  <c r="G113" i="68" s="1"/>
  <c r="V49" i="85"/>
  <c r="H113" i="68" s="1"/>
  <c r="W49" i="85"/>
  <c r="I113" i="68" s="1"/>
  <c r="X49" i="85"/>
  <c r="J113" i="68"/>
  <c r="Y49" i="85"/>
  <c r="K113" i="68" s="1"/>
  <c r="Z49" i="85"/>
  <c r="L113" i="68" s="1"/>
  <c r="AA49" i="85"/>
  <c r="M113" i="68" s="1"/>
  <c r="AB49" i="85"/>
  <c r="N113" i="68" s="1"/>
  <c r="AC49" i="85"/>
  <c r="O113" i="68" s="1"/>
  <c r="AA113" i="68" s="1"/>
  <c r="A50" i="85"/>
  <c r="A114" i="68"/>
  <c r="B50" i="85"/>
  <c r="B114" i="68"/>
  <c r="C50" i="85"/>
  <c r="D50" i="85"/>
  <c r="C114" i="68" s="1"/>
  <c r="E50" i="85"/>
  <c r="R50" i="85" s="1"/>
  <c r="D114" i="68" s="1"/>
  <c r="S50" i="85"/>
  <c r="E114" i="68" s="1"/>
  <c r="T50" i="85"/>
  <c r="F114" i="68" s="1"/>
  <c r="U50" i="85"/>
  <c r="G114" i="68" s="1"/>
  <c r="V50" i="85"/>
  <c r="H114" i="68" s="1"/>
  <c r="W50" i="85"/>
  <c r="I114" i="68" s="1"/>
  <c r="X50" i="85"/>
  <c r="J114" i="68" s="1"/>
  <c r="Y50" i="85"/>
  <c r="K114" i="68" s="1"/>
  <c r="Z50" i="85"/>
  <c r="L114" i="68" s="1"/>
  <c r="X114" i="68" s="1"/>
  <c r="BH114" i="68" s="1"/>
  <c r="AA50" i="85"/>
  <c r="M114" i="68" s="1"/>
  <c r="AB50" i="85"/>
  <c r="N114" i="68"/>
  <c r="AC50" i="85"/>
  <c r="O114" i="68"/>
  <c r="AA114" i="68" s="1"/>
  <c r="BK114" i="68" s="1"/>
  <c r="A60" i="85"/>
  <c r="A192" i="68" s="1"/>
  <c r="C60" i="85"/>
  <c r="D60" i="85"/>
  <c r="C192" i="68"/>
  <c r="X60" i="85"/>
  <c r="D192" i="68"/>
  <c r="Y60" i="85"/>
  <c r="E192" i="68"/>
  <c r="W192" i="68" s="1"/>
  <c r="BG192" i="68" s="1"/>
  <c r="Z60" i="85"/>
  <c r="F192" i="68" s="1"/>
  <c r="X192" i="68" s="1"/>
  <c r="AA60" i="85"/>
  <c r="G192" i="68" s="1"/>
  <c r="Y192" i="68" s="1"/>
  <c r="AB60" i="85"/>
  <c r="H192" i="68" s="1"/>
  <c r="Z192" i="68" s="1"/>
  <c r="AC60" i="85"/>
  <c r="I192" i="68" s="1"/>
  <c r="AA192" i="68" s="1"/>
  <c r="BK192" i="68" s="1"/>
  <c r="AD60" i="85"/>
  <c r="J192" i="68" s="1"/>
  <c r="AB192" i="68" s="1"/>
  <c r="AE60" i="85"/>
  <c r="K192" i="68" s="1"/>
  <c r="AF60" i="85"/>
  <c r="L192" i="68" s="1"/>
  <c r="AD192" i="68" s="1"/>
  <c r="AG60" i="85"/>
  <c r="M192" i="68"/>
  <c r="AE192" i="68" s="1"/>
  <c r="AH60" i="85"/>
  <c r="N192" i="68" s="1"/>
  <c r="AF192" i="68" s="1"/>
  <c r="AI60" i="85"/>
  <c r="O192" i="68" s="1"/>
  <c r="AG192" i="68" s="1"/>
  <c r="BQ192" i="68" s="1"/>
  <c r="AJ60" i="85"/>
  <c r="P192" i="68" s="1"/>
  <c r="AH192" i="68" s="1"/>
  <c r="AK60" i="85"/>
  <c r="Q192" i="68" s="1"/>
  <c r="AL60" i="85"/>
  <c r="R192" i="68" s="1"/>
  <c r="AJ192" i="68" s="1"/>
  <c r="AM60" i="85"/>
  <c r="S192" i="68" s="1"/>
  <c r="AN60" i="85"/>
  <c r="T192" i="68" s="1"/>
  <c r="AL192" i="68" s="1"/>
  <c r="AO60" i="85"/>
  <c r="U192" i="68" s="1"/>
  <c r="BE192" i="68" s="1"/>
  <c r="A61" i="85"/>
  <c r="A193" i="68" s="1"/>
  <c r="C61" i="85"/>
  <c r="D61" i="85"/>
  <c r="C193" i="68"/>
  <c r="X61" i="85"/>
  <c r="D193" i="68" s="1"/>
  <c r="Y61" i="85"/>
  <c r="E193" i="68" s="1"/>
  <c r="W193" i="68" s="1"/>
  <c r="Z61" i="85"/>
  <c r="F193" i="68" s="1"/>
  <c r="X193" i="68" s="1"/>
  <c r="BH193" i="68" s="1"/>
  <c r="AA61" i="85"/>
  <c r="G193" i="68" s="1"/>
  <c r="Y193" i="68" s="1"/>
  <c r="AB61" i="85"/>
  <c r="H193" i="68"/>
  <c r="Z193" i="68" s="1"/>
  <c r="BJ193" i="68" s="1"/>
  <c r="AC61" i="85"/>
  <c r="I193" i="68" s="1"/>
  <c r="AA193" i="68"/>
  <c r="BK193" i="68" s="1"/>
  <c r="AD61" i="85"/>
  <c r="J193" i="68" s="1"/>
  <c r="AE61" i="85"/>
  <c r="K193" i="68" s="1"/>
  <c r="AC193" i="68" s="1"/>
  <c r="AF61" i="85"/>
  <c r="L193" i="68"/>
  <c r="AG61" i="85"/>
  <c r="M193" i="68" s="1"/>
  <c r="AH61" i="85"/>
  <c r="N193" i="68" s="1"/>
  <c r="AF193" i="68" s="1"/>
  <c r="BP193" i="68" s="1"/>
  <c r="AI61" i="85"/>
  <c r="O193" i="68" s="1"/>
  <c r="AG193" i="68" s="1"/>
  <c r="AJ61" i="85"/>
  <c r="P193" i="68" s="1"/>
  <c r="AH193" i="68" s="1"/>
  <c r="AK61" i="85"/>
  <c r="Q193" i="68" s="1"/>
  <c r="AI193" i="68" s="1"/>
  <c r="BS193" i="68" s="1"/>
  <c r="AL61" i="85"/>
  <c r="R193" i="68" s="1"/>
  <c r="AJ193" i="68"/>
  <c r="BT193" i="68" s="1"/>
  <c r="AM61" i="85"/>
  <c r="S193" i="68"/>
  <c r="AK193" i="68" s="1"/>
  <c r="AN61" i="85"/>
  <c r="T193" i="68" s="1"/>
  <c r="AL193" i="68" s="1"/>
  <c r="AO61" i="85"/>
  <c r="U193" i="68" s="1"/>
  <c r="BE193" i="68" s="1"/>
  <c r="A62" i="85"/>
  <c r="A194" i="68" s="1"/>
  <c r="C62" i="85"/>
  <c r="D62" i="85"/>
  <c r="C194" i="68" s="1"/>
  <c r="X62" i="85"/>
  <c r="D194" i="68" s="1"/>
  <c r="V194" i="68"/>
  <c r="Y62" i="85"/>
  <c r="E194" i="68" s="1"/>
  <c r="W194" i="68" s="1"/>
  <c r="Z62" i="85"/>
  <c r="F194" i="68" s="1"/>
  <c r="X194" i="68" s="1"/>
  <c r="AA62" i="85"/>
  <c r="G194" i="68" s="1"/>
  <c r="Y194" i="68" s="1"/>
  <c r="BI194" i="68" s="1"/>
  <c r="AB62" i="85"/>
  <c r="H194" i="68" s="1"/>
  <c r="Z194" i="68" s="1"/>
  <c r="AC62" i="85"/>
  <c r="I194" i="68" s="1"/>
  <c r="AA194" i="68" s="1"/>
  <c r="AD62" i="85"/>
  <c r="J194" i="68" s="1"/>
  <c r="AB194" i="68" s="1"/>
  <c r="AE62" i="85"/>
  <c r="K194" i="68"/>
  <c r="AC194" i="68" s="1"/>
  <c r="AF62" i="85"/>
  <c r="L194" i="68" s="1"/>
  <c r="AG62" i="85"/>
  <c r="M194" i="68" s="1"/>
  <c r="AE194" i="68" s="1"/>
  <c r="AH62" i="85"/>
  <c r="N194" i="68" s="1"/>
  <c r="AF194" i="68" s="1"/>
  <c r="AI62" i="85"/>
  <c r="O194" i="68" s="1"/>
  <c r="AJ62" i="85"/>
  <c r="P194" i="68" s="1"/>
  <c r="AH194" i="68" s="1"/>
  <c r="AK62" i="85"/>
  <c r="Q194" i="68" s="1"/>
  <c r="AI194" i="68" s="1"/>
  <c r="BS194" i="68" s="1"/>
  <c r="AL62" i="85"/>
  <c r="R194" i="68" s="1"/>
  <c r="AJ194" i="68" s="1"/>
  <c r="BT194" i="68" s="1"/>
  <c r="AM62" i="85"/>
  <c r="S194" i="68" s="1"/>
  <c r="AK194" i="68" s="1"/>
  <c r="AN62" i="85"/>
  <c r="T194" i="68" s="1"/>
  <c r="AO62" i="85"/>
  <c r="U194" i="68" s="1"/>
  <c r="A63" i="85"/>
  <c r="A195" i="68"/>
  <c r="C63" i="85"/>
  <c r="D63" i="85"/>
  <c r="C195" i="68" s="1"/>
  <c r="G63" i="85"/>
  <c r="Z63" i="85" s="1"/>
  <c r="F195" i="68" s="1"/>
  <c r="X195" i="68" s="1"/>
  <c r="X63" i="85"/>
  <c r="D195" i="68" s="1"/>
  <c r="V195" i="68" s="1"/>
  <c r="BF195" i="68" s="1"/>
  <c r="Y63" i="85"/>
  <c r="E195" i="68" s="1"/>
  <c r="W195" i="68" s="1"/>
  <c r="AA63" i="85"/>
  <c r="G195" i="68" s="1"/>
  <c r="Y195" i="68" s="1"/>
  <c r="BI195" i="68" s="1"/>
  <c r="AB63" i="85"/>
  <c r="H195" i="68" s="1"/>
  <c r="Z195" i="68" s="1"/>
  <c r="AC63" i="85"/>
  <c r="I195" i="68" s="1"/>
  <c r="AA195" i="68" s="1"/>
  <c r="AD63" i="85"/>
  <c r="J195" i="68"/>
  <c r="AB195" i="68" s="1"/>
  <c r="BL195" i="68" s="1"/>
  <c r="AE63" i="85"/>
  <c r="K195" i="68" s="1"/>
  <c r="AC195" i="68" s="1"/>
  <c r="AF63" i="85"/>
  <c r="L195" i="68" s="1"/>
  <c r="AD195" i="68" s="1"/>
  <c r="BN195" i="68" s="1"/>
  <c r="AG63" i="85"/>
  <c r="M195" i="68" s="1"/>
  <c r="AE195" i="68" s="1"/>
  <c r="BO195" i="68" s="1"/>
  <c r="AH63" i="85"/>
  <c r="N195" i="68" s="1"/>
  <c r="AI63" i="85"/>
  <c r="O195" i="68"/>
  <c r="AG195" i="68" s="1"/>
  <c r="AJ63" i="85"/>
  <c r="P195" i="68" s="1"/>
  <c r="AH195" i="68" s="1"/>
  <c r="BR195" i="68" s="1"/>
  <c r="AK63" i="85"/>
  <c r="Q195" i="68" s="1"/>
  <c r="AL63" i="85"/>
  <c r="R195" i="68" s="1"/>
  <c r="AM63" i="85"/>
  <c r="S195" i="68"/>
  <c r="AK195" i="68" s="1"/>
  <c r="BU195" i="68" s="1"/>
  <c r="AN63" i="85"/>
  <c r="T195" i="68" s="1"/>
  <c r="AL195" i="68" s="1"/>
  <c r="AO63" i="85"/>
  <c r="U195" i="68" s="1"/>
  <c r="A64" i="85"/>
  <c r="A196" i="68"/>
  <c r="C64" i="85"/>
  <c r="D64" i="85"/>
  <c r="C196" i="68"/>
  <c r="X64" i="85"/>
  <c r="D196" i="68" s="1"/>
  <c r="V196" i="68" s="1"/>
  <c r="Y64" i="85"/>
  <c r="E196" i="68" s="1"/>
  <c r="W196" i="68" s="1"/>
  <c r="Z64" i="85"/>
  <c r="F196" i="68" s="1"/>
  <c r="AA64" i="85"/>
  <c r="G196" i="68" s="1"/>
  <c r="Y196" i="68" s="1"/>
  <c r="BI196" i="68" s="1"/>
  <c r="AB64" i="85"/>
  <c r="H196" i="68" s="1"/>
  <c r="AC64" i="85"/>
  <c r="I196" i="68" s="1"/>
  <c r="AA196" i="68" s="1"/>
  <c r="AD64" i="85"/>
  <c r="J196" i="68" s="1"/>
  <c r="AB196" i="68" s="1"/>
  <c r="AE64" i="85"/>
  <c r="K196" i="68" s="1"/>
  <c r="AC196" i="68" s="1"/>
  <c r="AF64" i="85"/>
  <c r="L196" i="68" s="1"/>
  <c r="AD196" i="68" s="1"/>
  <c r="AG64" i="85"/>
  <c r="M196" i="68" s="1"/>
  <c r="AE196" i="68" s="1"/>
  <c r="AH64" i="85"/>
  <c r="N196" i="68" s="1"/>
  <c r="AF196" i="68" s="1"/>
  <c r="AI64" i="85"/>
  <c r="O196" i="68" s="1"/>
  <c r="AG196" i="68" s="1"/>
  <c r="BQ196" i="68" s="1"/>
  <c r="AJ64" i="85"/>
  <c r="P196" i="68" s="1"/>
  <c r="AK64" i="85"/>
  <c r="Q196" i="68"/>
  <c r="AI196" i="68" s="1"/>
  <c r="AL64" i="85"/>
  <c r="R196" i="68"/>
  <c r="AM64" i="85"/>
  <c r="S196" i="68"/>
  <c r="AK196" i="68" s="1"/>
  <c r="AN64" i="85"/>
  <c r="T196" i="68" s="1"/>
  <c r="AL196" i="68" s="1"/>
  <c r="AO64" i="85"/>
  <c r="U196" i="68" s="1"/>
  <c r="A65" i="85"/>
  <c r="A197" i="68"/>
  <c r="B65" i="85"/>
  <c r="B197" i="68" s="1"/>
  <c r="C65" i="85"/>
  <c r="D65" i="85"/>
  <c r="C197" i="68"/>
  <c r="X65" i="85"/>
  <c r="D197" i="68" s="1"/>
  <c r="V197" i="68"/>
  <c r="Y65" i="85"/>
  <c r="E197" i="68" s="1"/>
  <c r="W197" i="68" s="1"/>
  <c r="Z65" i="85"/>
  <c r="F197" i="68" s="1"/>
  <c r="AA65" i="85"/>
  <c r="G197" i="68" s="1"/>
  <c r="AB65" i="85"/>
  <c r="H197" i="68" s="1"/>
  <c r="AC65" i="85"/>
  <c r="I197" i="68" s="1"/>
  <c r="AA197" i="68" s="1"/>
  <c r="AD65" i="85"/>
  <c r="J197" i="68" s="1"/>
  <c r="AB197" i="68" s="1"/>
  <c r="AE65" i="85"/>
  <c r="K197" i="68" s="1"/>
  <c r="AC197" i="68"/>
  <c r="AF65" i="85"/>
  <c r="L197" i="68" s="1"/>
  <c r="AD197" i="68" s="1"/>
  <c r="AG65" i="85"/>
  <c r="M197" i="68" s="1"/>
  <c r="AE197" i="68" s="1"/>
  <c r="AH65" i="85"/>
  <c r="N197" i="68" s="1"/>
  <c r="AF197" i="68" s="1"/>
  <c r="AI65" i="85"/>
  <c r="O197" i="68" s="1"/>
  <c r="AG197" i="68" s="1"/>
  <c r="AJ65" i="85"/>
  <c r="P197" i="68"/>
  <c r="AK65" i="85"/>
  <c r="Q197" i="68" s="1"/>
  <c r="AI197" i="68" s="1"/>
  <c r="AL65" i="85"/>
  <c r="R197" i="68" s="1"/>
  <c r="AJ197" i="68" s="1"/>
  <c r="AM65" i="85"/>
  <c r="S197" i="68" s="1"/>
  <c r="AK197" i="68" s="1"/>
  <c r="AN65" i="85"/>
  <c r="T197" i="68" s="1"/>
  <c r="AL197" i="68" s="1"/>
  <c r="AO65" i="85"/>
  <c r="U197" i="68" s="1"/>
  <c r="A66" i="85"/>
  <c r="A198" i="68"/>
  <c r="B66" i="85"/>
  <c r="B198" i="68" s="1"/>
  <c r="C66" i="85"/>
  <c r="D66" i="85"/>
  <c r="C198" i="68"/>
  <c r="X66" i="85"/>
  <c r="D198" i="68" s="1"/>
  <c r="V198" i="68" s="1"/>
  <c r="BF198" i="68" s="1"/>
  <c r="Y66" i="85"/>
  <c r="E198" i="68" s="1"/>
  <c r="W198" i="68" s="1"/>
  <c r="Z66" i="85"/>
  <c r="F198" i="68" s="1"/>
  <c r="X198" i="68" s="1"/>
  <c r="AA66" i="85"/>
  <c r="G198" i="68" s="1"/>
  <c r="Y198" i="68" s="1"/>
  <c r="AB66" i="85"/>
  <c r="H198" i="68" s="1"/>
  <c r="Z198" i="68" s="1"/>
  <c r="AC66" i="85"/>
  <c r="I198" i="68" s="1"/>
  <c r="AA198" i="68" s="1"/>
  <c r="AD66" i="85"/>
  <c r="J198" i="68" s="1"/>
  <c r="AB198" i="68" s="1"/>
  <c r="BL198" i="68" s="1"/>
  <c r="AE66" i="85"/>
  <c r="K198" i="68" s="1"/>
  <c r="AC198" i="68" s="1"/>
  <c r="AF66" i="85"/>
  <c r="L198" i="68" s="1"/>
  <c r="AD198" i="68" s="1"/>
  <c r="BN198" i="68" s="1"/>
  <c r="AG66" i="85"/>
  <c r="M198" i="68" s="1"/>
  <c r="AE198" i="68" s="1"/>
  <c r="AH66" i="85"/>
  <c r="N198" i="68" s="1"/>
  <c r="AF198" i="68" s="1"/>
  <c r="AI66" i="85"/>
  <c r="O198" i="68" s="1"/>
  <c r="AG198" i="68" s="1"/>
  <c r="AJ66" i="85"/>
  <c r="P198" i="68" s="1"/>
  <c r="AH198" i="68" s="1"/>
  <c r="AK66" i="85"/>
  <c r="Q198" i="68"/>
  <c r="AI198" i="68" s="1"/>
  <c r="AL66" i="85"/>
  <c r="R198" i="68" s="1"/>
  <c r="AJ198" i="68" s="1"/>
  <c r="AM66" i="85"/>
  <c r="S198" i="68" s="1"/>
  <c r="AK198" i="68" s="1"/>
  <c r="BU198" i="68" s="1"/>
  <c r="AN66" i="85"/>
  <c r="T198" i="68" s="1"/>
  <c r="AL198" i="68" s="1"/>
  <c r="AO66" i="85"/>
  <c r="U198" i="68" s="1"/>
  <c r="A67" i="85"/>
  <c r="A199" i="68" s="1"/>
  <c r="C67" i="85"/>
  <c r="D67" i="85"/>
  <c r="C199" i="68" s="1"/>
  <c r="X67" i="85"/>
  <c r="D199" i="68" s="1"/>
  <c r="V199" i="68" s="1"/>
  <c r="BF199" i="68" s="1"/>
  <c r="Y67" i="85"/>
  <c r="E199" i="68" s="1"/>
  <c r="W199" i="68" s="1"/>
  <c r="Z67" i="85"/>
  <c r="F199" i="68" s="1"/>
  <c r="X199" i="68" s="1"/>
  <c r="BH199" i="68" s="1"/>
  <c r="AA67" i="85"/>
  <c r="G199" i="68" s="1"/>
  <c r="Y199" i="68" s="1"/>
  <c r="AB67" i="85"/>
  <c r="H199" i="68" s="1"/>
  <c r="Z199" i="68" s="1"/>
  <c r="AC67" i="85"/>
  <c r="I199" i="68" s="1"/>
  <c r="AA199" i="68" s="1"/>
  <c r="BK199" i="68" s="1"/>
  <c r="AD67" i="85"/>
  <c r="J199" i="68" s="1"/>
  <c r="AB199" i="68" s="1"/>
  <c r="AE67" i="85"/>
  <c r="K199" i="68" s="1"/>
  <c r="AC199" i="68" s="1"/>
  <c r="AF67" i="85"/>
  <c r="L199" i="68" s="1"/>
  <c r="AD199" i="68" s="1"/>
  <c r="AG67" i="85"/>
  <c r="M199" i="68" s="1"/>
  <c r="AE199" i="68"/>
  <c r="BO199" i="68" s="1"/>
  <c r="AH67" i="85"/>
  <c r="N199" i="68" s="1"/>
  <c r="AF199" i="68" s="1"/>
  <c r="AI67" i="85"/>
  <c r="O199" i="68" s="1"/>
  <c r="AG199" i="68" s="1"/>
  <c r="AJ67" i="85"/>
  <c r="P199" i="68" s="1"/>
  <c r="AH199" i="68" s="1"/>
  <c r="AK67" i="85"/>
  <c r="Q199" i="68" s="1"/>
  <c r="AI199" i="68" s="1"/>
  <c r="AL67" i="85"/>
  <c r="R199" i="68" s="1"/>
  <c r="AJ199" i="68" s="1"/>
  <c r="AM67" i="85"/>
  <c r="S199" i="68" s="1"/>
  <c r="AK199" i="68" s="1"/>
  <c r="AN67" i="85"/>
  <c r="T199" i="68" s="1"/>
  <c r="AL199" i="68" s="1"/>
  <c r="AO67" i="85"/>
  <c r="U199" i="68" s="1"/>
  <c r="A68" i="85"/>
  <c r="A200" i="68" s="1"/>
  <c r="C68" i="85"/>
  <c r="D68" i="85"/>
  <c r="C200" i="68"/>
  <c r="X68" i="85"/>
  <c r="D200" i="68" s="1"/>
  <c r="Y68" i="85"/>
  <c r="E200" i="68" s="1"/>
  <c r="W200" i="68"/>
  <c r="Z68" i="85"/>
  <c r="F200" i="68" s="1"/>
  <c r="X200" i="68" s="1"/>
  <c r="BH200" i="68" s="1"/>
  <c r="AA68" i="85"/>
  <c r="G200" i="68" s="1"/>
  <c r="Y200" i="68" s="1"/>
  <c r="AB68" i="85"/>
  <c r="H200" i="68" s="1"/>
  <c r="Z200" i="68" s="1"/>
  <c r="BJ200" i="68" s="1"/>
  <c r="AC68" i="85"/>
  <c r="I200" i="68" s="1"/>
  <c r="AA200" i="68" s="1"/>
  <c r="AD68" i="85"/>
  <c r="J200" i="68" s="1"/>
  <c r="AE68" i="85"/>
  <c r="K200" i="68" s="1"/>
  <c r="AF68" i="85"/>
  <c r="L200" i="68" s="1"/>
  <c r="AG68" i="85"/>
  <c r="M200" i="68" s="1"/>
  <c r="AE200" i="68" s="1"/>
  <c r="BO200" i="68" s="1"/>
  <c r="AH68" i="85"/>
  <c r="N200" i="68" s="1"/>
  <c r="AF200" i="68" s="1"/>
  <c r="BP200" i="68" s="1"/>
  <c r="AI68" i="85"/>
  <c r="O200" i="68" s="1"/>
  <c r="AG200" i="68" s="1"/>
  <c r="AJ68" i="85"/>
  <c r="P200" i="68"/>
  <c r="AH200" i="68" s="1"/>
  <c r="AK68" i="85"/>
  <c r="Q200" i="68" s="1"/>
  <c r="AI200" i="68" s="1"/>
  <c r="AL68" i="85"/>
  <c r="R200" i="68" s="1"/>
  <c r="AJ200" i="68" s="1"/>
  <c r="BT200" i="68" s="1"/>
  <c r="AM68" i="85"/>
  <c r="S200" i="68" s="1"/>
  <c r="AK200" i="68" s="1"/>
  <c r="BU200" i="68" s="1"/>
  <c r="AN68" i="85"/>
  <c r="T200" i="68" s="1"/>
  <c r="AO68" i="85"/>
  <c r="U200" i="68" s="1"/>
  <c r="A69" i="85"/>
  <c r="A201" i="68"/>
  <c r="C69" i="85"/>
  <c r="D69" i="85"/>
  <c r="C201" i="68"/>
  <c r="X69" i="85"/>
  <c r="D201" i="68" s="1"/>
  <c r="V201" i="68" s="1"/>
  <c r="Y69" i="85"/>
  <c r="E201" i="68" s="1"/>
  <c r="Z69" i="85"/>
  <c r="F201" i="68" s="1"/>
  <c r="X201" i="68"/>
  <c r="BH201" i="68" s="1"/>
  <c r="AA69" i="85"/>
  <c r="G201" i="68" s="1"/>
  <c r="Y201" i="68" s="1"/>
  <c r="AB69" i="85"/>
  <c r="H201" i="68" s="1"/>
  <c r="Z201" i="68" s="1"/>
  <c r="AC69" i="85"/>
  <c r="I201" i="68" s="1"/>
  <c r="AA201" i="68" s="1"/>
  <c r="AD69" i="85"/>
  <c r="J201" i="68"/>
  <c r="AE69" i="85"/>
  <c r="K201" i="68" s="1"/>
  <c r="AC201" i="68" s="1"/>
  <c r="AF69" i="85"/>
  <c r="L201" i="68" s="1"/>
  <c r="AD201" i="68" s="1"/>
  <c r="BN201" i="68" s="1"/>
  <c r="AG69" i="85"/>
  <c r="M201" i="68" s="1"/>
  <c r="AH69" i="85"/>
  <c r="N201" i="68" s="1"/>
  <c r="AF201" i="68" s="1"/>
  <c r="BP201" i="68" s="1"/>
  <c r="AI69" i="85"/>
  <c r="O201" i="68" s="1"/>
  <c r="AG201" i="68" s="1"/>
  <c r="AJ69" i="85"/>
  <c r="P201" i="68" s="1"/>
  <c r="AH201" i="68" s="1"/>
  <c r="AK69" i="85"/>
  <c r="Q201" i="68"/>
  <c r="AI201" i="68" s="1"/>
  <c r="BS201" i="68" s="1"/>
  <c r="AL69" i="85"/>
  <c r="R201" i="68" s="1"/>
  <c r="AJ201" i="68" s="1"/>
  <c r="BT201" i="68" s="1"/>
  <c r="AM69" i="85"/>
  <c r="S201" i="68" s="1"/>
  <c r="AK201" i="68" s="1"/>
  <c r="BU201" i="68" s="1"/>
  <c r="AN69" i="85"/>
  <c r="T201" i="68" s="1"/>
  <c r="AL201" i="68" s="1"/>
  <c r="AO69" i="85"/>
  <c r="U201" i="68" s="1"/>
  <c r="A70" i="85"/>
  <c r="A202" i="68"/>
  <c r="C70" i="85"/>
  <c r="D70" i="85"/>
  <c r="C202" i="68"/>
  <c r="X70" i="85"/>
  <c r="D202" i="68" s="1"/>
  <c r="Y70" i="85"/>
  <c r="E202" i="68" s="1"/>
  <c r="W202" i="68" s="1"/>
  <c r="Z70" i="85"/>
  <c r="F202" i="68" s="1"/>
  <c r="AA70" i="85"/>
  <c r="G202" i="68"/>
  <c r="Y202" i="68" s="1"/>
  <c r="BI202" i="68" s="1"/>
  <c r="AB70" i="85"/>
  <c r="H202" i="68" s="1"/>
  <c r="AC70" i="85"/>
  <c r="I202" i="68" s="1"/>
  <c r="AA202" i="68" s="1"/>
  <c r="AD70" i="85"/>
  <c r="J202" i="68" s="1"/>
  <c r="AB202" i="68" s="1"/>
  <c r="AE70" i="85"/>
  <c r="K202" i="68" s="1"/>
  <c r="AF70" i="85"/>
  <c r="L202" i="68" s="1"/>
  <c r="AD202" i="68" s="1"/>
  <c r="AG70" i="85"/>
  <c r="M202" i="68" s="1"/>
  <c r="AH70" i="85"/>
  <c r="N202" i="68" s="1"/>
  <c r="AF202" i="68" s="1"/>
  <c r="BP202" i="68" s="1"/>
  <c r="AI70" i="85"/>
  <c r="O202" i="68" s="1"/>
  <c r="AG202" i="68" s="1"/>
  <c r="AJ70" i="85"/>
  <c r="P202" i="68" s="1"/>
  <c r="AK70" i="85"/>
  <c r="Q202" i="68" s="1"/>
  <c r="AI202" i="68" s="1"/>
  <c r="AL70" i="85"/>
  <c r="R202" i="68" s="1"/>
  <c r="AJ202" i="68" s="1"/>
  <c r="BT202" i="68" s="1"/>
  <c r="AM70" i="85"/>
  <c r="S202" i="68" s="1"/>
  <c r="AK202" i="68" s="1"/>
  <c r="BU202" i="68" s="1"/>
  <c r="AN70" i="85"/>
  <c r="T202" i="68" s="1"/>
  <c r="AO70" i="85"/>
  <c r="U202" i="68"/>
  <c r="A71" i="85"/>
  <c r="A203" i="68" s="1"/>
  <c r="C71" i="85"/>
  <c r="D71" i="85"/>
  <c r="C203" i="68" s="1"/>
  <c r="X71" i="85"/>
  <c r="D203" i="68" s="1"/>
  <c r="V203" i="68" s="1"/>
  <c r="Y71" i="85"/>
  <c r="E203" i="68" s="1"/>
  <c r="W203" i="68" s="1"/>
  <c r="BG203" i="68" s="1"/>
  <c r="Z71" i="85"/>
  <c r="F203" i="68" s="1"/>
  <c r="AA71" i="85"/>
  <c r="G203" i="68" s="1"/>
  <c r="Y203" i="68"/>
  <c r="AB71" i="85"/>
  <c r="H203" i="68" s="1"/>
  <c r="Z203" i="68" s="1"/>
  <c r="BJ203" i="68" s="1"/>
  <c r="AC71" i="85"/>
  <c r="I203" i="68" s="1"/>
  <c r="AA203" i="68" s="1"/>
  <c r="AD71" i="85"/>
  <c r="J203" i="68" s="1"/>
  <c r="AB203" i="68" s="1"/>
  <c r="AE71" i="85"/>
  <c r="K203" i="68" s="1"/>
  <c r="AF71" i="85"/>
  <c r="L203" i="68"/>
  <c r="AD203" i="68" s="1"/>
  <c r="AG71" i="85"/>
  <c r="M203" i="68" s="1"/>
  <c r="AE203" i="68" s="1"/>
  <c r="AH71" i="85"/>
  <c r="N203" i="68" s="1"/>
  <c r="AF203" i="68" s="1"/>
  <c r="AI71" i="85"/>
  <c r="O203" i="68"/>
  <c r="AG203" i="68" s="1"/>
  <c r="AJ71" i="85"/>
  <c r="P203" i="68" s="1"/>
  <c r="AH203" i="68" s="1"/>
  <c r="BR203" i="68" s="1"/>
  <c r="AK71" i="85"/>
  <c r="Q203" i="68" s="1"/>
  <c r="AI203" i="68" s="1"/>
  <c r="AL71" i="85"/>
  <c r="R203" i="68" s="1"/>
  <c r="AM71" i="85"/>
  <c r="S203" i="68" s="1"/>
  <c r="AN71" i="85"/>
  <c r="T203" i="68" s="1"/>
  <c r="AO71" i="85"/>
  <c r="U203" i="68" s="1"/>
  <c r="A72" i="85"/>
  <c r="A204" i="68" s="1"/>
  <c r="C72" i="85"/>
  <c r="D72" i="85"/>
  <c r="C204" i="68"/>
  <c r="X72" i="85"/>
  <c r="D204" i="68" s="1"/>
  <c r="Y72" i="85"/>
  <c r="E204" i="68" s="1"/>
  <c r="W204" i="68" s="1"/>
  <c r="Z72" i="85"/>
  <c r="F204" i="68" s="1"/>
  <c r="X204" i="68" s="1"/>
  <c r="AA72" i="85"/>
  <c r="G204" i="68" s="1"/>
  <c r="Y204" i="68" s="1"/>
  <c r="AB72" i="85"/>
  <c r="H204" i="68"/>
  <c r="Z204" i="68" s="1"/>
  <c r="AC72" i="85"/>
  <c r="I204" i="68" s="1"/>
  <c r="AA204" i="68" s="1"/>
  <c r="AD72" i="85"/>
  <c r="J204" i="68" s="1"/>
  <c r="AB204" i="68" s="1"/>
  <c r="BL204" i="68" s="1"/>
  <c r="AE72" i="85"/>
  <c r="K204" i="68" s="1"/>
  <c r="AC204" i="68" s="1"/>
  <c r="BM204" i="68" s="1"/>
  <c r="AF72" i="85"/>
  <c r="L204" i="68" s="1"/>
  <c r="AG72" i="85"/>
  <c r="M204" i="68"/>
  <c r="AH72" i="85"/>
  <c r="N204" i="68" s="1"/>
  <c r="AF204" i="68" s="1"/>
  <c r="AI72" i="85"/>
  <c r="O204" i="68" s="1"/>
  <c r="AG204" i="68" s="1"/>
  <c r="AJ72" i="85"/>
  <c r="P204" i="68" s="1"/>
  <c r="AK72" i="85"/>
  <c r="Q204" i="68" s="1"/>
  <c r="AL72" i="85"/>
  <c r="R204" i="68" s="1"/>
  <c r="AM72" i="85"/>
  <c r="S204" i="68" s="1"/>
  <c r="AK204" i="68" s="1"/>
  <c r="AN72" i="85"/>
  <c r="T204" i="68"/>
  <c r="AO72" i="85"/>
  <c r="U204" i="68" s="1"/>
  <c r="A73" i="85"/>
  <c r="A205" i="68"/>
  <c r="C73" i="85"/>
  <c r="D73" i="85"/>
  <c r="C205" i="68"/>
  <c r="X73" i="85"/>
  <c r="D205" i="68" s="1"/>
  <c r="V205" i="68" s="1"/>
  <c r="Y73" i="85"/>
  <c r="E205" i="68" s="1"/>
  <c r="Z73" i="85"/>
  <c r="F205" i="68"/>
  <c r="X205" i="68" s="1"/>
  <c r="AA73" i="85"/>
  <c r="G205" i="68"/>
  <c r="Y205" i="68" s="1"/>
  <c r="AB73" i="85"/>
  <c r="H205" i="68" s="1"/>
  <c r="Z205" i="68" s="1"/>
  <c r="BJ205" i="68" s="1"/>
  <c r="AC73" i="85"/>
  <c r="I205" i="68" s="1"/>
  <c r="AA205" i="68" s="1"/>
  <c r="AD73" i="85"/>
  <c r="J205" i="68" s="1"/>
  <c r="AB205" i="68"/>
  <c r="AE73" i="85"/>
  <c r="K205" i="68" s="1"/>
  <c r="AC205" i="68" s="1"/>
  <c r="AF73" i="85"/>
  <c r="L205" i="68" s="1"/>
  <c r="AD205" i="68" s="1"/>
  <c r="AG73" i="85"/>
  <c r="M205" i="68" s="1"/>
  <c r="AE205" i="68" s="1"/>
  <c r="AH73" i="85"/>
  <c r="N205" i="68" s="1"/>
  <c r="AF205" i="68" s="1"/>
  <c r="AI73" i="85"/>
  <c r="O205" i="68" s="1"/>
  <c r="AJ73" i="85"/>
  <c r="P205" i="68" s="1"/>
  <c r="AH205" i="68" s="1"/>
  <c r="BR205" i="68" s="1"/>
  <c r="AK73" i="85"/>
  <c r="Q205" i="68" s="1"/>
  <c r="AI205" i="68" s="1"/>
  <c r="AL73" i="85"/>
  <c r="R205" i="68" s="1"/>
  <c r="AJ205" i="68" s="1"/>
  <c r="BT205" i="68" s="1"/>
  <c r="AM73" i="85"/>
  <c r="S205" i="68"/>
  <c r="AN73" i="85"/>
  <c r="T205" i="68" s="1"/>
  <c r="AL205" i="68"/>
  <c r="AO73" i="85"/>
  <c r="U205" i="68" s="1"/>
  <c r="A74" i="85"/>
  <c r="A206" i="68" s="1"/>
  <c r="C74" i="85"/>
  <c r="D74" i="85"/>
  <c r="C206" i="68" s="1"/>
  <c r="X74" i="85"/>
  <c r="D206" i="68"/>
  <c r="Y74" i="85"/>
  <c r="E206" i="68" s="1"/>
  <c r="W206" i="68" s="1"/>
  <c r="Z74" i="85"/>
  <c r="F206" i="68" s="1"/>
  <c r="AA74" i="85"/>
  <c r="G206" i="68"/>
  <c r="Y206" i="68" s="1"/>
  <c r="AB74" i="85"/>
  <c r="H206" i="68" s="1"/>
  <c r="Z206" i="68" s="1"/>
  <c r="AC74" i="85"/>
  <c r="I206" i="68" s="1"/>
  <c r="AA206" i="68" s="1"/>
  <c r="AD74" i="85"/>
  <c r="J206" i="68"/>
  <c r="AB206" i="68" s="1"/>
  <c r="AE74" i="85"/>
  <c r="K206" i="68"/>
  <c r="AC206" i="68" s="1"/>
  <c r="AF74" i="85"/>
  <c r="L206" i="68" s="1"/>
  <c r="AD206" i="68" s="1"/>
  <c r="AG74" i="85"/>
  <c r="M206" i="68" s="1"/>
  <c r="AH74" i="85"/>
  <c r="N206" i="68" s="1"/>
  <c r="AF206" i="68" s="1"/>
  <c r="AI74" i="85"/>
  <c r="O206" i="68" s="1"/>
  <c r="AJ74" i="85"/>
  <c r="P206" i="68" s="1"/>
  <c r="AH206" i="68" s="1"/>
  <c r="AK74" i="85"/>
  <c r="Q206" i="68" s="1"/>
  <c r="AI206" i="68" s="1"/>
  <c r="BS206" i="68" s="1"/>
  <c r="AL74" i="85"/>
  <c r="R206" i="68" s="1"/>
  <c r="AJ206" i="68" s="1"/>
  <c r="AM74" i="85"/>
  <c r="S206" i="68"/>
  <c r="AK206" i="68" s="1"/>
  <c r="AN74" i="85"/>
  <c r="T206" i="68" s="1"/>
  <c r="AL206" i="68" s="1"/>
  <c r="AO74" i="85"/>
  <c r="U206" i="68" s="1"/>
  <c r="A75" i="85"/>
  <c r="A207" i="68"/>
  <c r="C75" i="85"/>
  <c r="D75" i="85"/>
  <c r="C207" i="68"/>
  <c r="X75" i="85"/>
  <c r="D207" i="68" s="1"/>
  <c r="V207" i="68" s="1"/>
  <c r="BF207" i="68" s="1"/>
  <c r="Y75" i="85"/>
  <c r="E207" i="68" s="1"/>
  <c r="W207" i="68" s="1"/>
  <c r="BG207" i="68" s="1"/>
  <c r="Z75" i="85"/>
  <c r="F207" i="68"/>
  <c r="X207" i="68" s="1"/>
  <c r="AA75" i="85"/>
  <c r="G207" i="68" s="1"/>
  <c r="Y207" i="68" s="1"/>
  <c r="AB75" i="85"/>
  <c r="H207" i="68" s="1"/>
  <c r="Z207" i="68" s="1"/>
  <c r="AC75" i="85"/>
  <c r="I207" i="68"/>
  <c r="AA207" i="68" s="1"/>
  <c r="BK207" i="68" s="1"/>
  <c r="AD75" i="85"/>
  <c r="J207" i="68" s="1"/>
  <c r="AE75" i="85"/>
  <c r="K207" i="68" s="1"/>
  <c r="AC207" i="68" s="1"/>
  <c r="AF75" i="85"/>
  <c r="L207" i="68" s="1"/>
  <c r="AD207" i="68" s="1"/>
  <c r="AG75" i="85"/>
  <c r="M207" i="68" s="1"/>
  <c r="AE207" i="68" s="1"/>
  <c r="AH75" i="85"/>
  <c r="N207" i="68" s="1"/>
  <c r="AI75" i="85"/>
  <c r="O207" i="68" s="1"/>
  <c r="AJ75" i="85"/>
  <c r="P207" i="68" s="1"/>
  <c r="AH207" i="68" s="1"/>
  <c r="AK75" i="85"/>
  <c r="Q207" i="68" s="1"/>
  <c r="AI207" i="68" s="1"/>
  <c r="AL75" i="85"/>
  <c r="R207" i="68"/>
  <c r="AJ207" i="68" s="1"/>
  <c r="BT207" i="68" s="1"/>
  <c r="AM75" i="85"/>
  <c r="S207" i="68" s="1"/>
  <c r="AK207" i="68" s="1"/>
  <c r="AN75" i="85"/>
  <c r="T207" i="68" s="1"/>
  <c r="AL207" i="68" s="1"/>
  <c r="AO75" i="85"/>
  <c r="U207" i="68" s="1"/>
  <c r="BE207" i="68" s="1"/>
  <c r="A76" i="85"/>
  <c r="A208" i="68" s="1"/>
  <c r="B76" i="85"/>
  <c r="B208" i="68" s="1"/>
  <c r="C76" i="85"/>
  <c r="D76" i="85"/>
  <c r="C208" i="68"/>
  <c r="X76" i="85"/>
  <c r="D208" i="68"/>
  <c r="V208" i="68" s="1"/>
  <c r="Y76" i="85"/>
  <c r="E208" i="68" s="1"/>
  <c r="W208" i="68" s="1"/>
  <c r="Z76" i="85"/>
  <c r="F208" i="68" s="1"/>
  <c r="AA76" i="85"/>
  <c r="G208" i="68" s="1"/>
  <c r="Y208" i="68" s="1"/>
  <c r="AB76" i="85"/>
  <c r="H208" i="68"/>
  <c r="Z208" i="68" s="1"/>
  <c r="BJ208" i="68" s="1"/>
  <c r="AC76" i="85"/>
  <c r="I208" i="68"/>
  <c r="AA208" i="68" s="1"/>
  <c r="AD76" i="85"/>
  <c r="J208" i="68" s="1"/>
  <c r="AB208" i="68"/>
  <c r="AE76" i="85"/>
  <c r="K208" i="68" s="1"/>
  <c r="AC208" i="68" s="1"/>
  <c r="AF76" i="85"/>
  <c r="L208" i="68" s="1"/>
  <c r="AG76" i="85"/>
  <c r="M208" i="68" s="1"/>
  <c r="AE208" i="68" s="1"/>
  <c r="AH76" i="85"/>
  <c r="N208" i="68" s="1"/>
  <c r="AI76" i="85"/>
  <c r="O208" i="68" s="1"/>
  <c r="AG208" i="68" s="1"/>
  <c r="AJ76" i="85"/>
  <c r="P208" i="68" s="1"/>
  <c r="AK76" i="85"/>
  <c r="Q208" i="68"/>
  <c r="AI208" i="68" s="1"/>
  <c r="AL76" i="85"/>
  <c r="R208" i="68" s="1"/>
  <c r="AJ208" i="68" s="1"/>
  <c r="AM76" i="85"/>
  <c r="S208" i="68" s="1"/>
  <c r="AK208" i="68" s="1"/>
  <c r="AN76" i="85"/>
  <c r="T208" i="68" s="1"/>
  <c r="AL208" i="68" s="1"/>
  <c r="AO76" i="85"/>
  <c r="U208" i="68" s="1"/>
  <c r="A77" i="85"/>
  <c r="A209" i="68"/>
  <c r="B77" i="85"/>
  <c r="B209" i="68"/>
  <c r="C77" i="85"/>
  <c r="D77" i="85"/>
  <c r="C209" i="68"/>
  <c r="AX209" i="68" s="1"/>
  <c r="E77" i="85"/>
  <c r="X77" i="85" s="1"/>
  <c r="D209" i="68" s="1"/>
  <c r="Y77" i="85"/>
  <c r="E209" i="68" s="1"/>
  <c r="W209" i="68" s="1"/>
  <c r="Z77" i="85"/>
  <c r="F209" i="68" s="1"/>
  <c r="X209" i="68" s="1"/>
  <c r="AA77" i="85"/>
  <c r="G209" i="68" s="1"/>
  <c r="AB77" i="85"/>
  <c r="H209" i="68" s="1"/>
  <c r="AC77" i="85"/>
  <c r="I209" i="68" s="1"/>
  <c r="AA209" i="68" s="1"/>
  <c r="BK209" i="68" s="1"/>
  <c r="AD77" i="85"/>
  <c r="J209" i="68"/>
  <c r="AB209" i="68" s="1"/>
  <c r="AE77" i="85"/>
  <c r="K209" i="68" s="1"/>
  <c r="AC209" i="68" s="1"/>
  <c r="BM209" i="68" s="1"/>
  <c r="AF77" i="85"/>
  <c r="L209" i="68" s="1"/>
  <c r="AG77" i="85"/>
  <c r="M209" i="68" s="1"/>
  <c r="AE209" i="68" s="1"/>
  <c r="AH77" i="85"/>
  <c r="N209" i="68" s="1"/>
  <c r="AF209" i="68" s="1"/>
  <c r="AI77" i="85"/>
  <c r="O209" i="68"/>
  <c r="AG209" i="68" s="1"/>
  <c r="AJ77" i="85"/>
  <c r="P209" i="68" s="1"/>
  <c r="AK77" i="85"/>
  <c r="Q209" i="68" s="1"/>
  <c r="AL77" i="85"/>
  <c r="R209" i="68" s="1"/>
  <c r="AM77" i="85"/>
  <c r="S209" i="68" s="1"/>
  <c r="AK209" i="68" s="1"/>
  <c r="BU209" i="68" s="1"/>
  <c r="AN77" i="85"/>
  <c r="T209" i="68" s="1"/>
  <c r="AO77" i="85"/>
  <c r="U209" i="68" s="1"/>
  <c r="A87" i="85"/>
  <c r="A283" i="68" s="1"/>
  <c r="B87" i="85"/>
  <c r="B283" i="68" s="1"/>
  <c r="C87" i="85"/>
  <c r="D87" i="85"/>
  <c r="C283" i="68"/>
  <c r="X87" i="85"/>
  <c r="D283" i="68" s="1"/>
  <c r="Y87" i="85"/>
  <c r="E283" i="68" s="1"/>
  <c r="W283" i="68" s="1"/>
  <c r="Z87" i="85"/>
  <c r="F283" i="68" s="1"/>
  <c r="AA87" i="85"/>
  <c r="G283" i="68" s="1"/>
  <c r="AB87" i="85"/>
  <c r="H283" i="68" s="1"/>
  <c r="AC87" i="85"/>
  <c r="I283" i="68" s="1"/>
  <c r="AD87" i="85"/>
  <c r="J283" i="68" s="1"/>
  <c r="AB283" i="68" s="1"/>
  <c r="AE87" i="85"/>
  <c r="K283" i="68" s="1"/>
  <c r="AC283" i="68" s="1"/>
  <c r="BM283" i="68" s="1"/>
  <c r="AF87" i="85"/>
  <c r="L283" i="68"/>
  <c r="AG87" i="85"/>
  <c r="M283" i="68" s="1"/>
  <c r="AE283" i="68" s="1"/>
  <c r="AH87" i="85"/>
  <c r="N283" i="68" s="1"/>
  <c r="AF283" i="68" s="1"/>
  <c r="AI87" i="85"/>
  <c r="O283" i="68" s="1"/>
  <c r="AG283" i="68"/>
  <c r="AJ87" i="85"/>
  <c r="P283" i="68" s="1"/>
  <c r="AH283" i="68" s="1"/>
  <c r="AK87" i="85"/>
  <c r="Q283" i="68" s="1"/>
  <c r="AI283" i="68" s="1"/>
  <c r="BS283" i="68" s="1"/>
  <c r="AL87" i="85"/>
  <c r="R283" i="68" s="1"/>
  <c r="AM87" i="85"/>
  <c r="S283" i="68"/>
  <c r="AK283" i="68" s="1"/>
  <c r="AN87" i="85"/>
  <c r="T283" i="68" s="1"/>
  <c r="AL283" i="68" s="1"/>
  <c r="AO87" i="85"/>
  <c r="U283" i="68" s="1"/>
  <c r="A88" i="85"/>
  <c r="A284" i="68"/>
  <c r="B88" i="85"/>
  <c r="B284" i="68" s="1"/>
  <c r="C88" i="85"/>
  <c r="D88" i="85"/>
  <c r="C284" i="68" s="1"/>
  <c r="X88" i="85"/>
  <c r="D284" i="68"/>
  <c r="V284" i="68" s="1"/>
  <c r="BF284" i="68" s="1"/>
  <c r="Y88" i="85"/>
  <c r="E284" i="68" s="1"/>
  <c r="W284" i="68" s="1"/>
  <c r="Z88" i="85"/>
  <c r="F284" i="68" s="1"/>
  <c r="X284" i="68" s="1"/>
  <c r="AA88" i="85"/>
  <c r="G284" i="68"/>
  <c r="Y284" i="68" s="1"/>
  <c r="AB88" i="85"/>
  <c r="H284" i="68" s="1"/>
  <c r="AC88" i="85"/>
  <c r="I284" i="68" s="1"/>
  <c r="AA284" i="68" s="1"/>
  <c r="AD88" i="85"/>
  <c r="J284" i="68" s="1"/>
  <c r="AE88" i="85"/>
  <c r="K284" i="68" s="1"/>
  <c r="AC284" i="68" s="1"/>
  <c r="AF88" i="85"/>
  <c r="L284" i="68" s="1"/>
  <c r="AD284" i="68" s="1"/>
  <c r="BN284" i="68" s="1"/>
  <c r="AG88" i="85"/>
  <c r="M284" i="68" s="1"/>
  <c r="AE284" i="68" s="1"/>
  <c r="AH88" i="85"/>
  <c r="N284" i="68" s="1"/>
  <c r="AF284" i="68" s="1"/>
  <c r="AI88" i="85"/>
  <c r="O284" i="68" s="1"/>
  <c r="AG284" i="68" s="1"/>
  <c r="AJ88" i="85"/>
  <c r="P284" i="68" s="1"/>
  <c r="AK88" i="85"/>
  <c r="Q284" i="68" s="1"/>
  <c r="AI284" i="68" s="1"/>
  <c r="BS284" i="68" s="1"/>
  <c r="AL88" i="85"/>
  <c r="R284" i="68" s="1"/>
  <c r="AJ284" i="68" s="1"/>
  <c r="AM88" i="85"/>
  <c r="S284" i="68" s="1"/>
  <c r="AK284" i="68"/>
  <c r="BU284" i="68" s="1"/>
  <c r="AN88" i="85"/>
  <c r="T284" i="68" s="1"/>
  <c r="AO88" i="85"/>
  <c r="U284" i="68" s="1"/>
  <c r="A89" i="85"/>
  <c r="C89" i="85"/>
  <c r="D89" i="85"/>
  <c r="C285" i="68" s="1"/>
  <c r="X89" i="85"/>
  <c r="D285" i="68" s="1"/>
  <c r="V285" i="68" s="1"/>
  <c r="Y89" i="85"/>
  <c r="E285" i="68" s="1"/>
  <c r="W285" i="68" s="1"/>
  <c r="Z89" i="85"/>
  <c r="F285" i="68" s="1"/>
  <c r="X285" i="68" s="1"/>
  <c r="AA89" i="85"/>
  <c r="G285" i="68" s="1"/>
  <c r="AB89" i="85"/>
  <c r="H285" i="68" s="1"/>
  <c r="AC89" i="85"/>
  <c r="I285" i="68" s="1"/>
  <c r="AA285" i="68" s="1"/>
  <c r="AD89" i="85"/>
  <c r="J285" i="68" s="1"/>
  <c r="AB285" i="68" s="1"/>
  <c r="BL285" i="68" s="1"/>
  <c r="AE89" i="85"/>
  <c r="K285" i="68" s="1"/>
  <c r="AC285" i="68"/>
  <c r="AF89" i="85"/>
  <c r="L285" i="68" s="1"/>
  <c r="AG89" i="85"/>
  <c r="M285" i="68" s="1"/>
  <c r="AE285" i="68" s="1"/>
  <c r="AH89" i="85"/>
  <c r="N285" i="68" s="1"/>
  <c r="AF285" i="68" s="1"/>
  <c r="AI89" i="85"/>
  <c r="O285" i="68" s="1"/>
  <c r="AG285" i="68" s="1"/>
  <c r="AJ89" i="85"/>
  <c r="P285" i="68" s="1"/>
  <c r="AH285" i="68" s="1"/>
  <c r="AK89" i="85"/>
  <c r="Q285" i="68" s="1"/>
  <c r="AI285" i="68" s="1"/>
  <c r="AL89" i="85"/>
  <c r="R285" i="68" s="1"/>
  <c r="AJ285" i="68" s="1"/>
  <c r="AM89" i="85"/>
  <c r="S285" i="68" s="1"/>
  <c r="AK285" i="68" s="1"/>
  <c r="AN89" i="85"/>
  <c r="T285" i="68" s="1"/>
  <c r="AL285" i="68" s="1"/>
  <c r="AO89" i="85"/>
  <c r="U285" i="68" s="1"/>
  <c r="A90" i="85"/>
  <c r="A286" i="68"/>
  <c r="C90" i="85"/>
  <c r="D90" i="85"/>
  <c r="C286" i="68" s="1"/>
  <c r="G90" i="85"/>
  <c r="Z90" i="85" s="1"/>
  <c r="F286" i="68" s="1"/>
  <c r="X286" i="68" s="1"/>
  <c r="X90" i="85"/>
  <c r="D286" i="68" s="1"/>
  <c r="V286" i="68" s="1"/>
  <c r="Y90" i="85"/>
  <c r="E286" i="68" s="1"/>
  <c r="W286" i="68" s="1"/>
  <c r="AA90" i="85"/>
  <c r="G286" i="68" s="1"/>
  <c r="Y286" i="68" s="1"/>
  <c r="BI286" i="68" s="1"/>
  <c r="AB90" i="85"/>
  <c r="H286" i="68" s="1"/>
  <c r="Z286" i="68" s="1"/>
  <c r="AC90" i="85"/>
  <c r="I286" i="68" s="1"/>
  <c r="AA286" i="68" s="1"/>
  <c r="AD90" i="85"/>
  <c r="J286" i="68" s="1"/>
  <c r="AB286" i="68" s="1"/>
  <c r="AE90" i="85"/>
  <c r="K286" i="68" s="1"/>
  <c r="AC286" i="68" s="1"/>
  <c r="AF90" i="85"/>
  <c r="L286" i="68" s="1"/>
  <c r="AD286" i="68" s="1"/>
  <c r="AG90" i="85"/>
  <c r="M286" i="68" s="1"/>
  <c r="AE286" i="68" s="1"/>
  <c r="AH90" i="85"/>
  <c r="N286" i="68" s="1"/>
  <c r="AF286" i="68" s="1"/>
  <c r="AI90" i="85"/>
  <c r="O286" i="68" s="1"/>
  <c r="AG286" i="68" s="1"/>
  <c r="AJ90" i="85"/>
  <c r="P286" i="68" s="1"/>
  <c r="AH286" i="68" s="1"/>
  <c r="AK90" i="85"/>
  <c r="Q286" i="68" s="1"/>
  <c r="AI286" i="68" s="1"/>
  <c r="AL90" i="85"/>
  <c r="R286" i="68"/>
  <c r="AJ286" i="68" s="1"/>
  <c r="AM90" i="85"/>
  <c r="S286" i="68" s="1"/>
  <c r="AK286" i="68"/>
  <c r="AN90" i="85"/>
  <c r="T286" i="68" s="1"/>
  <c r="AL286" i="68" s="1"/>
  <c r="AO90" i="85"/>
  <c r="U286" i="68" s="1"/>
  <c r="A91" i="85"/>
  <c r="A287" i="68"/>
  <c r="C91" i="85"/>
  <c r="D91" i="85"/>
  <c r="C287" i="68" s="1"/>
  <c r="BD287" i="68" s="1"/>
  <c r="X91" i="85"/>
  <c r="D287" i="68" s="1"/>
  <c r="V287" i="68" s="1"/>
  <c r="Y91" i="85"/>
  <c r="E287" i="68" s="1"/>
  <c r="W287" i="68" s="1"/>
  <c r="Z91" i="85"/>
  <c r="F287" i="68" s="1"/>
  <c r="AA91" i="85"/>
  <c r="G287" i="68" s="1"/>
  <c r="AB91" i="85"/>
  <c r="H287" i="68" s="1"/>
  <c r="AC91" i="85"/>
  <c r="I287" i="68" s="1"/>
  <c r="AA287" i="68" s="1"/>
  <c r="AD91" i="85"/>
  <c r="J287" i="68" s="1"/>
  <c r="AB287" i="68" s="1"/>
  <c r="AE91" i="85"/>
  <c r="K287" i="68" s="1"/>
  <c r="AF91" i="85"/>
  <c r="L287" i="68" s="1"/>
  <c r="AD287" i="68" s="1"/>
  <c r="AG91" i="85"/>
  <c r="M287" i="68" s="1"/>
  <c r="AH91" i="85"/>
  <c r="N287" i="68" s="1"/>
  <c r="AF287" i="68" s="1"/>
  <c r="AI91" i="85"/>
  <c r="O287" i="68" s="1"/>
  <c r="AJ91" i="85"/>
  <c r="P287" i="68" s="1"/>
  <c r="AH287" i="68" s="1"/>
  <c r="AK91" i="85"/>
  <c r="Q287" i="68" s="1"/>
  <c r="AI287" i="68" s="1"/>
  <c r="BS287" i="68" s="1"/>
  <c r="AL91" i="85"/>
  <c r="R287" i="68" s="1"/>
  <c r="AM91" i="85"/>
  <c r="S287" i="68" s="1"/>
  <c r="AN91" i="85"/>
  <c r="T287" i="68" s="1"/>
  <c r="AL287" i="68" s="1"/>
  <c r="AO91" i="85"/>
  <c r="U287" i="68" s="1"/>
  <c r="A92" i="85"/>
  <c r="A288" i="68"/>
  <c r="B92" i="85"/>
  <c r="B288" i="68" s="1"/>
  <c r="C92" i="85"/>
  <c r="D92" i="85"/>
  <c r="C288" i="68"/>
  <c r="BE288" i="68" s="1"/>
  <c r="X92" i="85"/>
  <c r="D288" i="68" s="1"/>
  <c r="V288" i="68" s="1"/>
  <c r="Y92" i="85"/>
  <c r="E288" i="68" s="1"/>
  <c r="W288" i="68" s="1"/>
  <c r="Z92" i="85"/>
  <c r="F288" i="68" s="1"/>
  <c r="AA92" i="85"/>
  <c r="G288" i="68" s="1"/>
  <c r="AB92" i="85"/>
  <c r="H288" i="68" s="1"/>
  <c r="Z288" i="68" s="1"/>
  <c r="AC92" i="85"/>
  <c r="I288" i="68"/>
  <c r="AA288" i="68" s="1"/>
  <c r="BK288" i="68" s="1"/>
  <c r="AD92" i="85"/>
  <c r="J288" i="68" s="1"/>
  <c r="AB288" i="68" s="1"/>
  <c r="AE92" i="85"/>
  <c r="K288" i="68" s="1"/>
  <c r="AF92" i="85"/>
  <c r="L288" i="68" s="1"/>
  <c r="AG92" i="85"/>
  <c r="M288" i="68" s="1"/>
  <c r="AH92" i="85"/>
  <c r="N288" i="68" s="1"/>
  <c r="AF288" i="68" s="1"/>
  <c r="AI92" i="85"/>
  <c r="O288" i="68" s="1"/>
  <c r="AJ92" i="85"/>
  <c r="P288" i="68" s="1"/>
  <c r="AH288" i="68" s="1"/>
  <c r="AK92" i="85"/>
  <c r="Q288" i="68" s="1"/>
  <c r="AL92" i="85"/>
  <c r="R288" i="68" s="1"/>
  <c r="AM92" i="85"/>
  <c r="S288" i="68" s="1"/>
  <c r="AK288" i="68" s="1"/>
  <c r="AN92" i="85"/>
  <c r="T288" i="68" s="1"/>
  <c r="AL288" i="68"/>
  <c r="AO92" i="85"/>
  <c r="U288" i="68" s="1"/>
  <c r="A93" i="85"/>
  <c r="A289" i="68" s="1"/>
  <c r="B93" i="85"/>
  <c r="B289" i="68" s="1"/>
  <c r="C93" i="85"/>
  <c r="D93" i="85"/>
  <c r="C289" i="68" s="1"/>
  <c r="X93" i="85"/>
  <c r="D289" i="68" s="1"/>
  <c r="V289" i="68" s="1"/>
  <c r="BF289" i="68" s="1"/>
  <c r="Y93" i="85"/>
  <c r="E289" i="68" s="1"/>
  <c r="W289" i="68" s="1"/>
  <c r="Z93" i="85"/>
  <c r="F289" i="68" s="1"/>
  <c r="X289" i="68" s="1"/>
  <c r="BH289" i="68" s="1"/>
  <c r="AA93" i="85"/>
  <c r="G289" i="68" s="1"/>
  <c r="AB93" i="85"/>
  <c r="H289" i="68" s="1"/>
  <c r="Z289" i="68" s="1"/>
  <c r="BJ289" i="68" s="1"/>
  <c r="AC93" i="85"/>
  <c r="I289" i="68" s="1"/>
  <c r="AA289" i="68" s="1"/>
  <c r="BK289" i="68" s="1"/>
  <c r="AD93" i="85"/>
  <c r="J289" i="68"/>
  <c r="AB289" i="68" s="1"/>
  <c r="AE93" i="85"/>
  <c r="K289" i="68" s="1"/>
  <c r="AF93" i="85"/>
  <c r="L289" i="68" s="1"/>
  <c r="AD289" i="68" s="1"/>
  <c r="BN289" i="68" s="1"/>
  <c r="AG93" i="85"/>
  <c r="M289" i="68" s="1"/>
  <c r="AE289" i="68" s="1"/>
  <c r="AH93" i="85"/>
  <c r="N289" i="68" s="1"/>
  <c r="AF289" i="68" s="1"/>
  <c r="BP289" i="68" s="1"/>
  <c r="AI93" i="85"/>
  <c r="O289" i="68" s="1"/>
  <c r="AJ93" i="85"/>
  <c r="P289" i="68"/>
  <c r="AK93" i="85"/>
  <c r="Q289" i="68" s="1"/>
  <c r="AL93" i="85"/>
  <c r="R289" i="68" s="1"/>
  <c r="AM93" i="85"/>
  <c r="S289" i="68" s="1"/>
  <c r="AN93" i="85"/>
  <c r="T289" i="68" s="1"/>
  <c r="AO93" i="85"/>
  <c r="U289" i="68" s="1"/>
  <c r="A94" i="85"/>
  <c r="C94" i="85"/>
  <c r="D94" i="85"/>
  <c r="C290" i="68"/>
  <c r="X94" i="85"/>
  <c r="D290" i="68" s="1"/>
  <c r="V290" i="68" s="1"/>
  <c r="Y94" i="85"/>
  <c r="E290" i="68" s="1"/>
  <c r="W290" i="68" s="1"/>
  <c r="Z94" i="85"/>
  <c r="F290" i="68" s="1"/>
  <c r="X290" i="68" s="1"/>
  <c r="AA94" i="85"/>
  <c r="G290" i="68" s="1"/>
  <c r="Y290" i="68" s="1"/>
  <c r="AB94" i="85"/>
  <c r="H290" i="68" s="1"/>
  <c r="AC94" i="85"/>
  <c r="I290" i="68"/>
  <c r="AA290" i="68" s="1"/>
  <c r="AD94" i="85"/>
  <c r="J290" i="68" s="1"/>
  <c r="AE94" i="85"/>
  <c r="K290" i="68" s="1"/>
  <c r="AC290" i="68" s="1"/>
  <c r="AF94" i="85"/>
  <c r="L290" i="68"/>
  <c r="AD290" i="68" s="1"/>
  <c r="AG94" i="85"/>
  <c r="M290" i="68"/>
  <c r="AH94" i="85"/>
  <c r="N290" i="68" s="1"/>
  <c r="AF290" i="68" s="1"/>
  <c r="AI94" i="85"/>
  <c r="O290" i="68" s="1"/>
  <c r="AG290" i="68" s="1"/>
  <c r="AJ94" i="85"/>
  <c r="P290" i="68" s="1"/>
  <c r="AH290" i="68" s="1"/>
  <c r="BR290" i="68" s="1"/>
  <c r="AK94" i="85"/>
  <c r="Q290" i="68" s="1"/>
  <c r="AI290" i="68" s="1"/>
  <c r="AL94" i="85"/>
  <c r="R290" i="68" s="1"/>
  <c r="AJ290" i="68" s="1"/>
  <c r="AM94" i="85"/>
  <c r="S290" i="68" s="1"/>
  <c r="AN94" i="85"/>
  <c r="T290" i="68" s="1"/>
  <c r="AO94" i="85"/>
  <c r="U290" i="68" s="1"/>
  <c r="A95" i="85"/>
  <c r="A291" i="68"/>
  <c r="C95" i="85"/>
  <c r="D95" i="85"/>
  <c r="C291" i="68" s="1"/>
  <c r="X95" i="85"/>
  <c r="D291" i="68" s="1"/>
  <c r="Y95" i="85"/>
  <c r="E291" i="68" s="1"/>
  <c r="Z95" i="85"/>
  <c r="F291" i="68" s="1"/>
  <c r="X291" i="68" s="1"/>
  <c r="AA95" i="85"/>
  <c r="G291" i="68"/>
  <c r="Y291" i="68"/>
  <c r="BI291" i="68" s="1"/>
  <c r="AB95" i="85"/>
  <c r="H291" i="68" s="1"/>
  <c r="AC95" i="85"/>
  <c r="I291" i="68" s="1"/>
  <c r="AD95" i="85"/>
  <c r="J291" i="68" s="1"/>
  <c r="AB291" i="68" s="1"/>
  <c r="AE95" i="85"/>
  <c r="K291" i="68" s="1"/>
  <c r="AC291" i="68" s="1"/>
  <c r="AF95" i="85"/>
  <c r="L291" i="68"/>
  <c r="AD291" i="68"/>
  <c r="BN291" i="68" s="1"/>
  <c r="AG95" i="85"/>
  <c r="M291" i="68" s="1"/>
  <c r="AH95" i="85"/>
  <c r="N291" i="68" s="1"/>
  <c r="AF291" i="68" s="1"/>
  <c r="AI95" i="85"/>
  <c r="O291" i="68" s="1"/>
  <c r="AG291" i="68" s="1"/>
  <c r="AJ95" i="85"/>
  <c r="P291" i="68" s="1"/>
  <c r="AH291" i="68" s="1"/>
  <c r="AK95" i="85"/>
  <c r="Q291" i="68" s="1"/>
  <c r="AI291" i="68" s="1"/>
  <c r="AL95" i="85"/>
  <c r="R291" i="68" s="1"/>
  <c r="AM95" i="85"/>
  <c r="S291" i="68" s="1"/>
  <c r="AK291" i="68" s="1"/>
  <c r="AN95" i="85"/>
  <c r="T291" i="68"/>
  <c r="AL291" i="68" s="1"/>
  <c r="AO95" i="85"/>
  <c r="U291" i="68"/>
  <c r="A96" i="85"/>
  <c r="A292" i="68" s="1"/>
  <c r="C96" i="85"/>
  <c r="D96" i="85"/>
  <c r="C292" i="68" s="1"/>
  <c r="AY292" i="68" s="1"/>
  <c r="X96" i="85"/>
  <c r="D292" i="68" s="1"/>
  <c r="V292" i="68" s="1"/>
  <c r="Y96" i="85"/>
  <c r="E292" i="68"/>
  <c r="W292" i="68" s="1"/>
  <c r="Z96" i="85"/>
  <c r="F292" i="68"/>
  <c r="X292" i="68" s="1"/>
  <c r="AA96" i="85"/>
  <c r="G292" i="68" s="1"/>
  <c r="Y292" i="68" s="1"/>
  <c r="AB96" i="85"/>
  <c r="H292" i="68" s="1"/>
  <c r="AC96" i="85"/>
  <c r="I292" i="68" s="1"/>
  <c r="AD96" i="85"/>
  <c r="J292" i="68" s="1"/>
  <c r="AE96" i="85"/>
  <c r="K292" i="68" s="1"/>
  <c r="AC292" i="68" s="1"/>
  <c r="AF96" i="85"/>
  <c r="L292" i="68" s="1"/>
  <c r="AD292" i="68" s="1"/>
  <c r="AG96" i="85"/>
  <c r="M292" i="68" s="1"/>
  <c r="AE292" i="68" s="1"/>
  <c r="AH96" i="85"/>
  <c r="N292" i="68" s="1"/>
  <c r="AI96" i="85"/>
  <c r="O292" i="68" s="1"/>
  <c r="AG292" i="68" s="1"/>
  <c r="AJ96" i="85"/>
  <c r="P292" i="68" s="1"/>
  <c r="AH292" i="68" s="1"/>
  <c r="AK96" i="85"/>
  <c r="Q292" i="68" s="1"/>
  <c r="AI292" i="68" s="1"/>
  <c r="AL96" i="85"/>
  <c r="R292" i="68" s="1"/>
  <c r="AJ292" i="68" s="1"/>
  <c r="AM96" i="85"/>
  <c r="S292" i="68" s="1"/>
  <c r="AN96" i="85"/>
  <c r="T292" i="68"/>
  <c r="AL292" i="68" s="1"/>
  <c r="AO96" i="85"/>
  <c r="U292" i="68" s="1"/>
  <c r="A97" i="85"/>
  <c r="C97" i="85"/>
  <c r="D97" i="85"/>
  <c r="C293" i="68"/>
  <c r="X97" i="85"/>
  <c r="D293" i="68" s="1"/>
  <c r="Y97" i="85"/>
  <c r="E293" i="68"/>
  <c r="W293" i="68" s="1"/>
  <c r="Z97" i="85"/>
  <c r="F293" i="68"/>
  <c r="X293" i="68" s="1"/>
  <c r="AA97" i="85"/>
  <c r="G293" i="68" s="1"/>
  <c r="Y293" i="68"/>
  <c r="BI293" i="68" s="1"/>
  <c r="AB97" i="85"/>
  <c r="H293" i="68"/>
  <c r="AC97" i="85"/>
  <c r="I293" i="68" s="1"/>
  <c r="AA293" i="68" s="1"/>
  <c r="BK293" i="68" s="1"/>
  <c r="AD97" i="85"/>
  <c r="J293" i="68" s="1"/>
  <c r="AE97" i="85"/>
  <c r="K293" i="68" s="1"/>
  <c r="AC293" i="68" s="1"/>
  <c r="AF97" i="85"/>
  <c r="L293" i="68" s="1"/>
  <c r="AG97" i="85"/>
  <c r="M293" i="68"/>
  <c r="AE293" i="68" s="1"/>
  <c r="AH97" i="85"/>
  <c r="N293" i="68"/>
  <c r="AF293" i="68" s="1"/>
  <c r="BP293" i="68" s="1"/>
  <c r="AI97" i="85"/>
  <c r="O293" i="68" s="1"/>
  <c r="AG293" i="68" s="1"/>
  <c r="BQ293" i="68" s="1"/>
  <c r="AJ97" i="85"/>
  <c r="P293" i="68" s="1"/>
  <c r="AK97" i="85"/>
  <c r="Q293" i="68" s="1"/>
  <c r="AI293" i="68" s="1"/>
  <c r="AL97" i="85"/>
  <c r="R293" i="68"/>
  <c r="AJ293" i="68" s="1"/>
  <c r="BT293" i="68" s="1"/>
  <c r="AM97" i="85"/>
  <c r="S293" i="68" s="1"/>
  <c r="AN97" i="85"/>
  <c r="T293" i="68" s="1"/>
  <c r="AL293" i="68" s="1"/>
  <c r="BV293" i="68" s="1"/>
  <c r="AO97" i="85"/>
  <c r="U293" i="68" s="1"/>
  <c r="A98" i="85"/>
  <c r="C98" i="85"/>
  <c r="D98" i="85"/>
  <c r="C294" i="68"/>
  <c r="X98" i="85"/>
  <c r="D294" i="68" s="1"/>
  <c r="V294" i="68" s="1"/>
  <c r="BF294" i="68" s="1"/>
  <c r="Y98" i="85"/>
  <c r="E294" i="68" s="1"/>
  <c r="Z98" i="85"/>
  <c r="F294" i="68"/>
  <c r="X294" i="68" s="1"/>
  <c r="BH294" i="68" s="1"/>
  <c r="AA98" i="85"/>
  <c r="G294" i="68"/>
  <c r="Y294" i="68" s="1"/>
  <c r="AB98" i="85"/>
  <c r="H294" i="68" s="1"/>
  <c r="Z294" i="68" s="1"/>
  <c r="AC98" i="85"/>
  <c r="I294" i="68" s="1"/>
  <c r="AD98" i="85"/>
  <c r="J294" i="68" s="1"/>
  <c r="AE98" i="85"/>
  <c r="K294" i="68" s="1"/>
  <c r="AC294" i="68" s="1"/>
  <c r="AF98" i="85"/>
  <c r="L294" i="68" s="1"/>
  <c r="AD294" i="68" s="1"/>
  <c r="BN294" i="68" s="1"/>
  <c r="AG98" i="85"/>
  <c r="M294" i="68" s="1"/>
  <c r="AE294" i="68" s="1"/>
  <c r="BO294" i="68" s="1"/>
  <c r="AH98" i="85"/>
  <c r="N294" i="68" s="1"/>
  <c r="AF294" i="68" s="1"/>
  <c r="BP294" i="68" s="1"/>
  <c r="AI98" i="85"/>
  <c r="O294" i="68" s="1"/>
  <c r="AG294" i="68" s="1"/>
  <c r="AJ98" i="85"/>
  <c r="P294" i="68" s="1"/>
  <c r="AH294" i="68" s="1"/>
  <c r="AK98" i="85"/>
  <c r="Q294" i="68" s="1"/>
  <c r="AL98" i="85"/>
  <c r="R294" i="68" s="1"/>
  <c r="AJ294" i="68" s="1"/>
  <c r="AM98" i="85"/>
  <c r="S294" i="68" s="1"/>
  <c r="AK294" i="68" s="1"/>
  <c r="BU294" i="68" s="1"/>
  <c r="AN98" i="85"/>
  <c r="T294" i="68" s="1"/>
  <c r="AL294" i="68" s="1"/>
  <c r="AO98" i="85"/>
  <c r="U294" i="68" s="1"/>
  <c r="A99" i="85"/>
  <c r="A295" i="68" s="1"/>
  <c r="C99" i="85"/>
  <c r="D99" i="85"/>
  <c r="C295" i="68" s="1"/>
  <c r="X99" i="85"/>
  <c r="D295" i="68" s="1"/>
  <c r="V295" i="68" s="1"/>
  <c r="Y99" i="85"/>
  <c r="E295" i="68"/>
  <c r="W295" i="68" s="1"/>
  <c r="BG295" i="68" s="1"/>
  <c r="Z99" i="85"/>
  <c r="F295" i="68" s="1"/>
  <c r="X295" i="68" s="1"/>
  <c r="AA99" i="85"/>
  <c r="G295" i="68" s="1"/>
  <c r="Y295" i="68" s="1"/>
  <c r="AB99" i="85"/>
  <c r="H295" i="68" s="1"/>
  <c r="AC99" i="85"/>
  <c r="I295" i="68" s="1"/>
  <c r="AD99" i="85"/>
  <c r="J295" i="68" s="1"/>
  <c r="AE99" i="85"/>
  <c r="K295" i="68" s="1"/>
  <c r="AF99" i="85"/>
  <c r="L295" i="68"/>
  <c r="AD295" i="68" s="1"/>
  <c r="AG99" i="85"/>
  <c r="M295" i="68"/>
  <c r="AE295" i="68" s="1"/>
  <c r="AH99" i="85"/>
  <c r="N295" i="68"/>
  <c r="AF295" i="68" s="1"/>
  <c r="BP295" i="68" s="1"/>
  <c r="AI99" i="85"/>
  <c r="O295" i="68"/>
  <c r="AG295" i="68" s="1"/>
  <c r="BQ295" i="68" s="1"/>
  <c r="AJ99" i="85"/>
  <c r="P295" i="68" s="1"/>
  <c r="AK99" i="85"/>
  <c r="Q295" i="68" s="1"/>
  <c r="AI295" i="68"/>
  <c r="AL99" i="85"/>
  <c r="R295" i="68" s="1"/>
  <c r="AM99" i="85"/>
  <c r="S295" i="68" s="1"/>
  <c r="AN99" i="85"/>
  <c r="T295" i="68" s="1"/>
  <c r="AL295" i="68" s="1"/>
  <c r="AO99" i="85"/>
  <c r="U295" i="68" s="1"/>
  <c r="A100" i="85"/>
  <c r="C100" i="85"/>
  <c r="D100" i="85"/>
  <c r="C296" i="68"/>
  <c r="X100" i="85"/>
  <c r="D296" i="68" s="1"/>
  <c r="Y100" i="85"/>
  <c r="E296" i="68" s="1"/>
  <c r="Z100" i="85"/>
  <c r="F296" i="68" s="1"/>
  <c r="X296" i="68" s="1"/>
  <c r="AA100" i="85"/>
  <c r="G296" i="68" s="1"/>
  <c r="Y296" i="68" s="1"/>
  <c r="AB100" i="85"/>
  <c r="H296" i="68" s="1"/>
  <c r="Z296" i="68" s="1"/>
  <c r="BJ296" i="68" s="1"/>
  <c r="AC100" i="85"/>
  <c r="I296" i="68" s="1"/>
  <c r="AD100" i="85"/>
  <c r="J296" i="68"/>
  <c r="AB296" i="68" s="1"/>
  <c r="AE100" i="85"/>
  <c r="K296" i="68" s="1"/>
  <c r="AU296" i="68" s="1"/>
  <c r="AC296" i="68"/>
  <c r="AF100" i="85"/>
  <c r="L296" i="68" s="1"/>
  <c r="AD296" i="68" s="1"/>
  <c r="AG100" i="85"/>
  <c r="M296" i="68" s="1"/>
  <c r="AE296" i="68" s="1"/>
  <c r="AH100" i="85"/>
  <c r="N296" i="68"/>
  <c r="AF296" i="68" s="1"/>
  <c r="AI100" i="85"/>
  <c r="O296" i="68" s="1"/>
  <c r="AG296" i="68" s="1"/>
  <c r="BQ296" i="68" s="1"/>
  <c r="AJ100" i="85"/>
  <c r="P296" i="68" s="1"/>
  <c r="AH296" i="68" s="1"/>
  <c r="AK100" i="85"/>
  <c r="Q296" i="68" s="1"/>
  <c r="AI296" i="68"/>
  <c r="AL100" i="85"/>
  <c r="R296" i="68" s="1"/>
  <c r="AM100" i="85"/>
  <c r="S296" i="68" s="1"/>
  <c r="AK296" i="68" s="1"/>
  <c r="AN100" i="85"/>
  <c r="T296" i="68" s="1"/>
  <c r="AL296" i="68" s="1"/>
  <c r="AO100" i="85"/>
  <c r="U296" i="68" s="1"/>
  <c r="A101" i="85"/>
  <c r="B101" i="85"/>
  <c r="B297" i="68" s="1"/>
  <c r="C101" i="85"/>
  <c r="D101" i="85"/>
  <c r="C297" i="68" s="1"/>
  <c r="X101" i="85"/>
  <c r="D297" i="68" s="1"/>
  <c r="Y101" i="85"/>
  <c r="E297" i="68"/>
  <c r="W297" i="68" s="1"/>
  <c r="Z101" i="85"/>
  <c r="F297" i="68" s="1"/>
  <c r="AA101" i="85"/>
  <c r="G297" i="68" s="1"/>
  <c r="AB101" i="85"/>
  <c r="H297" i="68"/>
  <c r="AC101" i="85"/>
  <c r="I297" i="68" s="1"/>
  <c r="AA297" i="68"/>
  <c r="AD101" i="85"/>
  <c r="J297" i="68"/>
  <c r="AB297" i="68" s="1"/>
  <c r="BL297" i="68" s="1"/>
  <c r="AE101" i="85"/>
  <c r="K297" i="68" s="1"/>
  <c r="AF101" i="85"/>
  <c r="L297" i="68" s="1"/>
  <c r="AG101" i="85"/>
  <c r="M297" i="68" s="1"/>
  <c r="AH101" i="85"/>
  <c r="N297" i="68" s="1"/>
  <c r="AF297" i="68" s="1"/>
  <c r="AI101" i="85"/>
  <c r="O297" i="68"/>
  <c r="AG297" i="68" s="1"/>
  <c r="BQ297" i="68" s="1"/>
  <c r="AJ101" i="85"/>
  <c r="P297" i="68"/>
  <c r="AK101" i="85"/>
  <c r="Q297" i="68" s="1"/>
  <c r="AL101" i="85"/>
  <c r="R297" i="68" s="1"/>
  <c r="AM101" i="85"/>
  <c r="S297" i="68" s="1"/>
  <c r="AK297" i="68" s="1"/>
  <c r="BU297" i="68" s="1"/>
  <c r="AN101" i="85"/>
  <c r="T297" i="68" s="1"/>
  <c r="AO101" i="85"/>
  <c r="U297" i="68" s="1"/>
  <c r="A102" i="85"/>
  <c r="B102" i="85"/>
  <c r="B298" i="68" s="1"/>
  <c r="C102" i="85"/>
  <c r="D102" i="85"/>
  <c r="C298" i="68" s="1"/>
  <c r="AN298" i="68" s="1"/>
  <c r="X102" i="85"/>
  <c r="D298" i="68" s="1"/>
  <c r="V298" i="68" s="1"/>
  <c r="Y102" i="85"/>
  <c r="E298" i="68" s="1"/>
  <c r="W298" i="68" s="1"/>
  <c r="Z102" i="85"/>
  <c r="F298" i="68" s="1"/>
  <c r="X298" i="68" s="1"/>
  <c r="AA102" i="85"/>
  <c r="G298" i="68" s="1"/>
  <c r="Y298" i="68"/>
  <c r="AB102" i="85"/>
  <c r="H298" i="68" s="1"/>
  <c r="Z298" i="68" s="1"/>
  <c r="AC102" i="85"/>
  <c r="I298" i="68" s="1"/>
  <c r="AA298" i="68" s="1"/>
  <c r="AD102" i="85"/>
  <c r="J298" i="68" s="1"/>
  <c r="AB298" i="68" s="1"/>
  <c r="AE102" i="85"/>
  <c r="K298" i="68" s="1"/>
  <c r="AC298" i="68" s="1"/>
  <c r="AF102" i="85"/>
  <c r="L298" i="68" s="1"/>
  <c r="AG102" i="85"/>
  <c r="M298" i="68"/>
  <c r="AE298" i="68" s="1"/>
  <c r="BO298" i="68" s="1"/>
  <c r="AH102" i="85"/>
  <c r="N298" i="68"/>
  <c r="AI102" i="85"/>
  <c r="O298" i="68"/>
  <c r="AG298" i="68" s="1"/>
  <c r="BQ298" i="68" s="1"/>
  <c r="AJ102" i="85"/>
  <c r="P298" i="68" s="1"/>
  <c r="AK102" i="85"/>
  <c r="Q298" i="68" s="1"/>
  <c r="AI298" i="68" s="1"/>
  <c r="BS298" i="68" s="1"/>
  <c r="AL102" i="85"/>
  <c r="R298" i="68" s="1"/>
  <c r="AJ298" i="68" s="1"/>
  <c r="AM102" i="85"/>
  <c r="S298" i="68" s="1"/>
  <c r="AK298" i="68"/>
  <c r="AN102" i="85"/>
  <c r="T298" i="68" s="1"/>
  <c r="AL298" i="68" s="1"/>
  <c r="BV298" i="68" s="1"/>
  <c r="AO102" i="85"/>
  <c r="U298" i="68" s="1"/>
  <c r="A103" i="85"/>
  <c r="A299" i="68"/>
  <c r="B103" i="85"/>
  <c r="B299" i="68"/>
  <c r="C103" i="85"/>
  <c r="D103" i="85"/>
  <c r="C299" i="68"/>
  <c r="X103" i="85"/>
  <c r="D299" i="68" s="1"/>
  <c r="Y103" i="85"/>
  <c r="E299" i="68" s="1"/>
  <c r="Z103" i="85"/>
  <c r="F299" i="68" s="1"/>
  <c r="X299" i="68" s="1"/>
  <c r="AA103" i="85"/>
  <c r="G299" i="68" s="1"/>
  <c r="Y299" i="68" s="1"/>
  <c r="AB103" i="85"/>
  <c r="H299" i="68" s="1"/>
  <c r="Z299" i="68" s="1"/>
  <c r="AC103" i="85"/>
  <c r="I299" i="68" s="1"/>
  <c r="AA299" i="68" s="1"/>
  <c r="AD103" i="85"/>
  <c r="J299" i="68"/>
  <c r="AE103" i="85"/>
  <c r="K299" i="68"/>
  <c r="AC299" i="68" s="1"/>
  <c r="AF103" i="85"/>
  <c r="L299" i="68" s="1"/>
  <c r="AD299" i="68" s="1"/>
  <c r="AG103" i="85"/>
  <c r="M299" i="68" s="1"/>
  <c r="AE299" i="68" s="1"/>
  <c r="AH103" i="85"/>
  <c r="N299" i="68" s="1"/>
  <c r="AF299" i="68" s="1"/>
  <c r="AI103" i="85"/>
  <c r="O299" i="68" s="1"/>
  <c r="AJ103" i="85"/>
  <c r="P299" i="68" s="1"/>
  <c r="AK103" i="85"/>
  <c r="Q299" i="68" s="1"/>
  <c r="AL103" i="85"/>
  <c r="R299" i="68" s="1"/>
  <c r="AM103" i="85"/>
  <c r="S299" i="68" s="1"/>
  <c r="AK299" i="68" s="1"/>
  <c r="AN103" i="85"/>
  <c r="T299" i="68" s="1"/>
  <c r="AO103" i="85"/>
  <c r="U299" i="68" s="1"/>
  <c r="A104" i="85"/>
  <c r="A300" i="68" s="1"/>
  <c r="B104" i="85"/>
  <c r="B300" i="68"/>
  <c r="C104" i="85"/>
  <c r="D104" i="85"/>
  <c r="C300" i="68" s="1"/>
  <c r="E104" i="85"/>
  <c r="X104" i="85"/>
  <c r="D300" i="68" s="1"/>
  <c r="V300" i="68" s="1"/>
  <c r="Y104" i="85"/>
  <c r="E300" i="68" s="1"/>
  <c r="W300" i="68" s="1"/>
  <c r="BG300" i="68" s="1"/>
  <c r="Z104" i="85"/>
  <c r="F300" i="68" s="1"/>
  <c r="X300" i="68" s="1"/>
  <c r="AA104" i="85"/>
  <c r="G300" i="68" s="1"/>
  <c r="Y300" i="68" s="1"/>
  <c r="BI300" i="68" s="1"/>
  <c r="AB104" i="85"/>
  <c r="H300" i="68" s="1"/>
  <c r="AC104" i="85"/>
  <c r="I300" i="68" s="1"/>
  <c r="AD104" i="85"/>
  <c r="J300" i="68" s="1"/>
  <c r="AB300" i="68" s="1"/>
  <c r="AE104" i="85"/>
  <c r="K300" i="68" s="1"/>
  <c r="AC300" i="68" s="1"/>
  <c r="BM300" i="68" s="1"/>
  <c r="AF104" i="85"/>
  <c r="L300" i="68" s="1"/>
  <c r="AG104" i="85"/>
  <c r="M300" i="68"/>
  <c r="AE300" i="68" s="1"/>
  <c r="AH104" i="85"/>
  <c r="N300" i="68"/>
  <c r="AF300" i="68" s="1"/>
  <c r="AI104" i="85"/>
  <c r="O300" i="68" s="1"/>
  <c r="AG300" i="68" s="1"/>
  <c r="AJ104" i="85"/>
  <c r="P300" i="68" s="1"/>
  <c r="AH300" i="68" s="1"/>
  <c r="BR300" i="68" s="1"/>
  <c r="AK104" i="85"/>
  <c r="Q300" i="68" s="1"/>
  <c r="AL104" i="85"/>
  <c r="R300" i="68" s="1"/>
  <c r="AJ300" i="68" s="1"/>
  <c r="AM104" i="85"/>
  <c r="S300" i="68" s="1"/>
  <c r="AN104" i="85"/>
  <c r="T300" i="68"/>
  <c r="AL300" i="68" s="1"/>
  <c r="BV300" i="68" s="1"/>
  <c r="AO104" i="85"/>
  <c r="U300" i="68" s="1"/>
  <c r="BE300" i="68" s="1"/>
  <c r="A113" i="85"/>
  <c r="C113" i="85"/>
  <c r="D113" i="85"/>
  <c r="C371" i="68"/>
  <c r="AN371" i="68" s="1"/>
  <c r="G113" i="85"/>
  <c r="H113" i="85" s="1"/>
  <c r="I113" i="85" s="1"/>
  <c r="F371" i="68"/>
  <c r="P371" i="68" s="1"/>
  <c r="A114" i="85"/>
  <c r="A372" i="68"/>
  <c r="C114" i="85"/>
  <c r="D114" i="85"/>
  <c r="C372" i="68" s="1"/>
  <c r="G114" i="85"/>
  <c r="F372" i="68" s="1"/>
  <c r="Z372" i="68" s="1"/>
  <c r="A115" i="85"/>
  <c r="A373" i="68"/>
  <c r="B115" i="85"/>
  <c r="B373" i="68" s="1"/>
  <c r="C115" i="85"/>
  <c r="D115" i="85"/>
  <c r="C373" i="68"/>
  <c r="G115" i="85"/>
  <c r="F373" i="68" s="1"/>
  <c r="A116" i="85"/>
  <c r="A374" i="68" s="1"/>
  <c r="C116" i="85"/>
  <c r="D116" i="85"/>
  <c r="C374" i="68" s="1"/>
  <c r="G116" i="85"/>
  <c r="A117" i="85"/>
  <c r="C117" i="85"/>
  <c r="D117" i="85"/>
  <c r="C375" i="68" s="1"/>
  <c r="G117" i="85"/>
  <c r="H117" i="85" s="1"/>
  <c r="F375" i="68"/>
  <c r="AJ375" i="68" s="1"/>
  <c r="A118" i="85"/>
  <c r="A376" i="68" s="1"/>
  <c r="C118" i="85"/>
  <c r="D118" i="85"/>
  <c r="C376" i="68"/>
  <c r="AN376" i="68" s="1"/>
  <c r="G118" i="85"/>
  <c r="A119" i="85"/>
  <c r="B119" i="85" s="1"/>
  <c r="B377" i="68" s="1"/>
  <c r="A377" i="68"/>
  <c r="C119" i="85"/>
  <c r="D119" i="85"/>
  <c r="C377" i="68" s="1"/>
  <c r="G119" i="85"/>
  <c r="F377" i="68" s="1"/>
  <c r="H119" i="85"/>
  <c r="G377" i="68" s="1"/>
  <c r="A120" i="85"/>
  <c r="A378" i="68"/>
  <c r="C120" i="85"/>
  <c r="D120" i="85"/>
  <c r="C378" i="68" s="1"/>
  <c r="G120" i="85"/>
  <c r="F378" i="68" s="1"/>
  <c r="A121" i="85"/>
  <c r="C121" i="85"/>
  <c r="D121" i="85"/>
  <c r="C379" i="68"/>
  <c r="G121" i="85"/>
  <c r="A122" i="85"/>
  <c r="A380" i="68"/>
  <c r="C122" i="85"/>
  <c r="D122" i="85"/>
  <c r="C380" i="68" s="1"/>
  <c r="G122" i="85"/>
  <c r="F380" i="68" s="1"/>
  <c r="AJ380" i="68"/>
  <c r="A123" i="85"/>
  <c r="A381" i="68" s="1"/>
  <c r="C123" i="85"/>
  <c r="D123" i="85"/>
  <c r="C381" i="68"/>
  <c r="G123" i="85"/>
  <c r="H123" i="85" s="1"/>
  <c r="F381" i="68"/>
  <c r="A124" i="85"/>
  <c r="A382" i="68" s="1"/>
  <c r="C124" i="85"/>
  <c r="D124" i="85"/>
  <c r="C382" i="68"/>
  <c r="G124" i="85"/>
  <c r="A125" i="85"/>
  <c r="A383" i="68"/>
  <c r="C125" i="85"/>
  <c r="D125" i="85"/>
  <c r="C383" i="68" s="1"/>
  <c r="G125" i="85"/>
  <c r="A126" i="85"/>
  <c r="A384" i="68" s="1"/>
  <c r="C126" i="85"/>
  <c r="D126" i="85"/>
  <c r="C384" i="68"/>
  <c r="G126" i="85"/>
  <c r="A127" i="85"/>
  <c r="B127" i="85"/>
  <c r="B385" i="68" s="1"/>
  <c r="A385" i="68"/>
  <c r="C127" i="85"/>
  <c r="D127" i="85"/>
  <c r="C385" i="68" s="1"/>
  <c r="G127" i="85"/>
  <c r="F385" i="68" s="1"/>
  <c r="A128" i="85"/>
  <c r="A386" i="68" s="1"/>
  <c r="C128" i="85"/>
  <c r="D128" i="85"/>
  <c r="C386" i="68"/>
  <c r="G128" i="85"/>
  <c r="F386" i="68" s="1"/>
  <c r="A5" i="103"/>
  <c r="A7" i="104" s="1"/>
  <c r="B5" i="103"/>
  <c r="B7" i="104"/>
  <c r="C5" i="103"/>
  <c r="D5" i="103"/>
  <c r="C7" i="104" s="1"/>
  <c r="A6" i="103"/>
  <c r="A8" i="104"/>
  <c r="B6" i="103"/>
  <c r="B8" i="104"/>
  <c r="C6" i="103"/>
  <c r="D6" i="103"/>
  <c r="C8" i="104" s="1"/>
  <c r="G8" i="104" s="1"/>
  <c r="A7" i="103"/>
  <c r="A9" i="104"/>
  <c r="B7" i="103"/>
  <c r="B9" i="104"/>
  <c r="C7" i="103"/>
  <c r="D7" i="103"/>
  <c r="C9" i="104"/>
  <c r="A8" i="103"/>
  <c r="A10" i="104"/>
  <c r="B8" i="103"/>
  <c r="B10" i="104"/>
  <c r="C8" i="103"/>
  <c r="D8" i="103"/>
  <c r="C10" i="104"/>
  <c r="A9" i="103"/>
  <c r="A11" i="104"/>
  <c r="B9" i="103"/>
  <c r="B11" i="104" s="1"/>
  <c r="C9" i="103"/>
  <c r="D9" i="103"/>
  <c r="C11" i="104"/>
  <c r="A10" i="103"/>
  <c r="A12" i="104"/>
  <c r="B10" i="103"/>
  <c r="B12" i="104"/>
  <c r="C10" i="103"/>
  <c r="D10" i="103"/>
  <c r="C12" i="104"/>
  <c r="E12" i="104" s="1"/>
  <c r="A11" i="103"/>
  <c r="A13" i="104"/>
  <c r="B11" i="103"/>
  <c r="B13" i="104"/>
  <c r="C11" i="103"/>
  <c r="D11" i="103"/>
  <c r="C13" i="104" s="1"/>
  <c r="K13" i="104" s="1"/>
  <c r="A12" i="103"/>
  <c r="A14" i="104" s="1"/>
  <c r="B12" i="103"/>
  <c r="B14" i="104" s="1"/>
  <c r="C12" i="103"/>
  <c r="D12" i="103"/>
  <c r="C14" i="104" s="1"/>
  <c r="G14" i="104" s="1"/>
  <c r="A13" i="103"/>
  <c r="A15" i="104"/>
  <c r="B13" i="103"/>
  <c r="B15" i="104" s="1"/>
  <c r="C13" i="103"/>
  <c r="D13" i="103"/>
  <c r="C15" i="104"/>
  <c r="A14" i="103"/>
  <c r="A16" i="104"/>
  <c r="B14" i="103"/>
  <c r="B16" i="104" s="1"/>
  <c r="C14" i="103"/>
  <c r="D14" i="103"/>
  <c r="C16" i="104" s="1"/>
  <c r="K16" i="104" s="1"/>
  <c r="A15" i="103"/>
  <c r="A17" i="104" s="1"/>
  <c r="B15" i="103"/>
  <c r="B17" i="104" s="1"/>
  <c r="C15" i="103"/>
  <c r="D15" i="103"/>
  <c r="C17" i="104"/>
  <c r="I17" i="104" s="1"/>
  <c r="A16" i="103"/>
  <c r="A18" i="104"/>
  <c r="B16" i="103"/>
  <c r="B18" i="104" s="1"/>
  <c r="C16" i="103"/>
  <c r="D16" i="103"/>
  <c r="C18" i="104" s="1"/>
  <c r="G18" i="104" s="1"/>
  <c r="C11" i="87"/>
  <c r="F31" i="87" s="1"/>
  <c r="F11" i="87"/>
  <c r="C12" i="87"/>
  <c r="E32" i="87" s="1"/>
  <c r="C13" i="87"/>
  <c r="C14" i="87"/>
  <c r="F14" i="87"/>
  <c r="C15" i="87"/>
  <c r="F15" i="87"/>
  <c r="C17" i="87"/>
  <c r="F17" i="87"/>
  <c r="G20" i="87"/>
  <c r="D27" i="87"/>
  <c r="E27" i="87" s="1"/>
  <c r="F27" i="87" s="1"/>
  <c r="G27" i="87" s="1"/>
  <c r="H27" i="87" s="1"/>
  <c r="I27" i="87" s="1"/>
  <c r="J27" i="87" s="1"/>
  <c r="K27" i="87" s="1"/>
  <c r="L27" i="87" s="1"/>
  <c r="M27" i="87" s="1"/>
  <c r="N27" i="87" s="1"/>
  <c r="O27" i="87" s="1"/>
  <c r="P27" i="87" s="1"/>
  <c r="Q27" i="87" s="1"/>
  <c r="R27" i="87" s="1"/>
  <c r="S27" i="87" s="1"/>
  <c r="T27" i="87" s="1"/>
  <c r="U27" i="87" s="1"/>
  <c r="V27" i="87" s="1"/>
  <c r="W27" i="87" s="1"/>
  <c r="X27" i="87" s="1"/>
  <c r="Y27" i="87" s="1"/>
  <c r="Z27" i="87" s="1"/>
  <c r="AA27" i="87" s="1"/>
  <c r="AB27" i="87" s="1"/>
  <c r="AC27" i="87" s="1"/>
  <c r="AD27" i="87" s="1"/>
  <c r="AE27" i="87" s="1"/>
  <c r="AF27" i="87" s="1"/>
  <c r="AG27" i="87" s="1"/>
  <c r="AH27" i="87" s="1"/>
  <c r="AI27" i="87" s="1"/>
  <c r="AJ27" i="87" s="1"/>
  <c r="AK27" i="87" s="1"/>
  <c r="D38" i="87"/>
  <c r="E38" i="87" s="1"/>
  <c r="F38" i="87" s="1"/>
  <c r="G38" i="87" s="1"/>
  <c r="H38" i="87" s="1"/>
  <c r="I38" i="87" s="1"/>
  <c r="J38" i="87" s="1"/>
  <c r="K38" i="87" s="1"/>
  <c r="L38" i="87" s="1"/>
  <c r="M38" i="87" s="1"/>
  <c r="N38" i="87" s="1"/>
  <c r="O38" i="87" s="1"/>
  <c r="P38" i="87" s="1"/>
  <c r="Q38" i="87" s="1"/>
  <c r="R38" i="87" s="1"/>
  <c r="S38" i="87" s="1"/>
  <c r="T38" i="87" s="1"/>
  <c r="D51" i="87"/>
  <c r="E51" i="87" s="1"/>
  <c r="F51" i="87" s="1"/>
  <c r="G51" i="87" s="1"/>
  <c r="H51" i="87" s="1"/>
  <c r="I51" i="87" s="1"/>
  <c r="J51" i="87" s="1"/>
  <c r="K51" i="87" s="1"/>
  <c r="L51" i="87" s="1"/>
  <c r="M51" i="87" s="1"/>
  <c r="N51" i="87" s="1"/>
  <c r="O51" i="87" s="1"/>
  <c r="P51" i="87" s="1"/>
  <c r="Q51" i="87" s="1"/>
  <c r="R51" i="87" s="1"/>
  <c r="S51" i="87" s="1"/>
  <c r="T51" i="87" s="1"/>
  <c r="U51" i="87" s="1"/>
  <c r="V51" i="87" s="1"/>
  <c r="W51" i="87" s="1"/>
  <c r="X51" i="87" s="1"/>
  <c r="Y51" i="87" s="1"/>
  <c r="Z51" i="87" s="1"/>
  <c r="AA51" i="87" s="1"/>
  <c r="AB51" i="87" s="1"/>
  <c r="AC51" i="87" s="1"/>
  <c r="AD51" i="87" s="1"/>
  <c r="AE51" i="87" s="1"/>
  <c r="AF51" i="87" s="1"/>
  <c r="AG51" i="87" s="1"/>
  <c r="AH51" i="87" s="1"/>
  <c r="AI51" i="87" s="1"/>
  <c r="AJ51" i="87" s="1"/>
  <c r="AK51" i="87" s="1"/>
  <c r="B105" i="87"/>
  <c r="B106" i="87"/>
  <c r="B107" i="87"/>
  <c r="B108" i="87"/>
  <c r="B109" i="87"/>
  <c r="B110" i="87"/>
  <c r="B111" i="87"/>
  <c r="B112" i="87"/>
  <c r="J62" i="1"/>
  <c r="F63" i="1"/>
  <c r="C6" i="76"/>
  <c r="D6" i="76"/>
  <c r="D74" i="76" s="1"/>
  <c r="D75" i="76" s="1"/>
  <c r="E6" i="76"/>
  <c r="E61" i="76" s="1"/>
  <c r="F6" i="76"/>
  <c r="F7" i="76" s="1"/>
  <c r="F8" i="76" s="1"/>
  <c r="B7" i="76"/>
  <c r="B8" i="76" s="1"/>
  <c r="D7" i="76"/>
  <c r="C14" i="76"/>
  <c r="D14" i="76"/>
  <c r="E14" i="76"/>
  <c r="C15" i="76"/>
  <c r="D15" i="76"/>
  <c r="E15" i="76"/>
  <c r="B19" i="76"/>
  <c r="C19" i="76"/>
  <c r="D19" i="76"/>
  <c r="E19" i="76"/>
  <c r="F19" i="76"/>
  <c r="B27" i="76"/>
  <c r="B29" i="76"/>
  <c r="B54" i="76"/>
  <c r="B61" i="76"/>
  <c r="C61" i="76"/>
  <c r="B62" i="76"/>
  <c r="C62" i="76"/>
  <c r="D62" i="76"/>
  <c r="E62" i="76"/>
  <c r="B64" i="76"/>
  <c r="B65" i="76"/>
  <c r="C65" i="76"/>
  <c r="B74" i="76"/>
  <c r="B75" i="76" s="1"/>
  <c r="C74" i="76"/>
  <c r="C75" i="76" s="1"/>
  <c r="B82" i="76"/>
  <c r="C82" i="76"/>
  <c r="D82" i="76"/>
  <c r="E82" i="76"/>
  <c r="B88" i="76"/>
  <c r="B89" i="76"/>
  <c r="C88" i="76"/>
  <c r="C89" i="76" s="1"/>
  <c r="B96" i="76"/>
  <c r="C96" i="76"/>
  <c r="E105" i="76"/>
  <c r="F105" i="76" s="1"/>
  <c r="C149" i="76" s="1"/>
  <c r="E106" i="76"/>
  <c r="F106" i="76" s="1"/>
  <c r="E107" i="76"/>
  <c r="F107" i="76" s="1"/>
  <c r="E108" i="76"/>
  <c r="F108" i="76" s="1"/>
  <c r="E109" i="76"/>
  <c r="F109" i="76" s="1"/>
  <c r="E114" i="76"/>
  <c r="F114" i="76" s="1"/>
  <c r="D149" i="76" s="1"/>
  <c r="C349" i="68" s="1"/>
  <c r="E115" i="76"/>
  <c r="F115" i="76" s="1"/>
  <c r="E116" i="76"/>
  <c r="F116" i="76" s="1"/>
  <c r="E121" i="76"/>
  <c r="F121" i="76" s="1"/>
  <c r="E149" i="76" s="1"/>
  <c r="C260" i="68" s="1"/>
  <c r="E122" i="76"/>
  <c r="F122" i="76" s="1"/>
  <c r="E123" i="76"/>
  <c r="F123" i="76" s="1"/>
  <c r="E124" i="76"/>
  <c r="F124" i="76" s="1"/>
  <c r="E129" i="76"/>
  <c r="F129" i="76" s="1"/>
  <c r="F149" i="76" s="1"/>
  <c r="C52" i="104" s="1"/>
  <c r="D130" i="76"/>
  <c r="D43" i="104" s="1"/>
  <c r="D131" i="76"/>
  <c r="E131" i="76"/>
  <c r="F131" i="76" s="1"/>
  <c r="E137" i="76"/>
  <c r="F137" i="76" s="1"/>
  <c r="G149" i="76" s="1"/>
  <c r="C431" i="68" s="1"/>
  <c r="D138" i="76"/>
  <c r="D139" i="76"/>
  <c r="D423" i="68" s="1"/>
  <c r="AN423" i="68" s="1"/>
  <c r="C151" i="76"/>
  <c r="F151" i="76"/>
  <c r="C54" i="104"/>
  <c r="G151" i="76"/>
  <c r="C433" i="68"/>
  <c r="B154" i="76"/>
  <c r="B57" i="104"/>
  <c r="F154" i="76"/>
  <c r="C57" i="104" s="1"/>
  <c r="B160" i="76"/>
  <c r="D160" i="76"/>
  <c r="E160" i="76"/>
  <c r="D161" i="76"/>
  <c r="E161" i="76"/>
  <c r="B162" i="76"/>
  <c r="D162" i="76"/>
  <c r="E162" i="76" s="1"/>
  <c r="B169" i="76"/>
  <c r="D169" i="76"/>
  <c r="E169" i="76" s="1"/>
  <c r="D170" i="76"/>
  <c r="E170" i="76" s="1"/>
  <c r="B171" i="76"/>
  <c r="D171" i="76"/>
  <c r="E171" i="76" s="1"/>
  <c r="B176" i="76"/>
  <c r="D176" i="76"/>
  <c r="E176" i="76"/>
  <c r="D177" i="76"/>
  <c r="E177" i="76" s="1"/>
  <c r="B178" i="76"/>
  <c r="D178" i="76"/>
  <c r="E178" i="76" s="1"/>
  <c r="B183" i="76"/>
  <c r="D183" i="76"/>
  <c r="E183" i="76"/>
  <c r="D184" i="76"/>
  <c r="E184" i="76" s="1"/>
  <c r="B185" i="76"/>
  <c r="D185" i="76"/>
  <c r="E185" i="76" s="1"/>
  <c r="C11" i="100"/>
  <c r="B94" i="100" s="1"/>
  <c r="E11" i="100"/>
  <c r="D31" i="100" s="1"/>
  <c r="D22" i="100"/>
  <c r="D23" i="100" s="1"/>
  <c r="G11" i="100"/>
  <c r="F31" i="100" s="1"/>
  <c r="H11" i="100"/>
  <c r="J11" i="100"/>
  <c r="K11" i="100"/>
  <c r="J40" i="100" s="1"/>
  <c r="L11" i="100"/>
  <c r="K31" i="100" s="1"/>
  <c r="M11" i="100"/>
  <c r="L22" i="100" s="1"/>
  <c r="L23" i="100" s="1"/>
  <c r="N11" i="100"/>
  <c r="M31" i="100" s="1"/>
  <c r="C13" i="100"/>
  <c r="D13" i="100"/>
  <c r="C94" i="100"/>
  <c r="E13" i="100"/>
  <c r="D86" i="100" s="1"/>
  <c r="F13" i="100"/>
  <c r="E86" i="100" s="1"/>
  <c r="G13" i="100"/>
  <c r="H13" i="100"/>
  <c r="G23" i="100" s="1"/>
  <c r="I13" i="100"/>
  <c r="H95" i="100" s="1"/>
  <c r="J13" i="100"/>
  <c r="K13" i="100"/>
  <c r="L13" i="100"/>
  <c r="M13" i="100"/>
  <c r="N13" i="100"/>
  <c r="C22" i="100"/>
  <c r="C23" i="100" s="1"/>
  <c r="E22" i="100"/>
  <c r="E23" i="100" s="1"/>
  <c r="G22" i="100"/>
  <c r="H22" i="100"/>
  <c r="H23" i="100" s="1"/>
  <c r="K22" i="100"/>
  <c r="K23" i="100" s="1"/>
  <c r="B31" i="100"/>
  <c r="B32" i="100" s="1"/>
  <c r="C31" i="100"/>
  <c r="E31" i="100"/>
  <c r="G31" i="100"/>
  <c r="H31" i="100"/>
  <c r="H32" i="100"/>
  <c r="C40" i="100"/>
  <c r="E40" i="100"/>
  <c r="G40" i="100"/>
  <c r="H40" i="100"/>
  <c r="H41" i="100" s="1"/>
  <c r="J41" i="100"/>
  <c r="K40" i="100"/>
  <c r="K41" i="100" s="1"/>
  <c r="A51" i="100"/>
  <c r="A52" i="100" s="1"/>
  <c r="A53" i="100" s="1"/>
  <c r="A54" i="100" s="1"/>
  <c r="A55" i="100" s="1"/>
  <c r="A56" i="100" s="1"/>
  <c r="A57" i="100" s="1"/>
  <c r="A58" i="100" s="1"/>
  <c r="A59" i="100" s="1"/>
  <c r="B60" i="100"/>
  <c r="C60" i="100"/>
  <c r="D60" i="100"/>
  <c r="E60" i="100"/>
  <c r="F60" i="100"/>
  <c r="G60" i="100"/>
  <c r="D90" i="100"/>
  <c r="E90" i="100"/>
  <c r="H90" i="100"/>
  <c r="I90" i="100"/>
  <c r="J90" i="100"/>
  <c r="K90" i="100"/>
  <c r="B108" i="100"/>
  <c r="N11" i="136"/>
  <c r="N12" i="136"/>
  <c r="N13" i="136"/>
  <c r="N14" i="136"/>
  <c r="N15" i="136"/>
  <c r="B16" i="136"/>
  <c r="C16" i="136"/>
  <c r="D16" i="136"/>
  <c r="E16" i="136"/>
  <c r="F16" i="136"/>
  <c r="G16" i="136"/>
  <c r="H16" i="136"/>
  <c r="I16" i="136"/>
  <c r="J16" i="136"/>
  <c r="K16" i="136"/>
  <c r="L16" i="136"/>
  <c r="M16" i="136"/>
  <c r="P16" i="136"/>
  <c r="N32" i="136"/>
  <c r="N33" i="136"/>
  <c r="N34" i="136"/>
  <c r="N35" i="136"/>
  <c r="N36" i="136"/>
  <c r="B37" i="136"/>
  <c r="C37" i="136"/>
  <c r="D37" i="136"/>
  <c r="E37" i="136"/>
  <c r="F37" i="136"/>
  <c r="G37" i="136"/>
  <c r="H37" i="136"/>
  <c r="I37" i="136"/>
  <c r="J37" i="136"/>
  <c r="K37" i="136"/>
  <c r="L37" i="136"/>
  <c r="M37" i="136"/>
  <c r="P37" i="136"/>
  <c r="D80" i="136"/>
  <c r="C9" i="137"/>
  <c r="H9" i="137"/>
  <c r="M9" i="137"/>
  <c r="C10" i="137"/>
  <c r="H10" i="137"/>
  <c r="M10" i="137"/>
  <c r="C11" i="137"/>
  <c r="H11" i="137"/>
  <c r="M11" i="137"/>
  <c r="C12" i="137"/>
  <c r="H12" i="137"/>
  <c r="M12" i="137"/>
  <c r="C13" i="137"/>
  <c r="H13" i="137"/>
  <c r="M13" i="137"/>
  <c r="C14" i="137"/>
  <c r="H14" i="137"/>
  <c r="M14" i="137"/>
  <c r="C15" i="137"/>
  <c r="H15" i="137"/>
  <c r="M15" i="137"/>
  <c r="C16" i="137"/>
  <c r="H16" i="137"/>
  <c r="M16" i="137"/>
  <c r="C17" i="137"/>
  <c r="H17" i="137"/>
  <c r="M17" i="137"/>
  <c r="C18" i="137"/>
  <c r="H18" i="137"/>
  <c r="M18" i="137"/>
  <c r="C19" i="137"/>
  <c r="H19" i="137"/>
  <c r="M19" i="137"/>
  <c r="C20" i="137"/>
  <c r="H20" i="137"/>
  <c r="M20" i="137"/>
  <c r="C21" i="137"/>
  <c r="H21" i="137"/>
  <c r="M21" i="137"/>
  <c r="C22" i="137"/>
  <c r="H22" i="137"/>
  <c r="M22" i="137"/>
  <c r="C23" i="137"/>
  <c r="H23" i="137"/>
  <c r="M23" i="137"/>
  <c r="C24" i="137"/>
  <c r="H24" i="137"/>
  <c r="M24" i="137"/>
  <c r="C25" i="137"/>
  <c r="H25" i="137"/>
  <c r="M25" i="137"/>
  <c r="C26" i="137"/>
  <c r="H26" i="137"/>
  <c r="M26" i="137"/>
  <c r="C27" i="137"/>
  <c r="H27" i="137"/>
  <c r="M27" i="137"/>
  <c r="C28" i="137"/>
  <c r="H28" i="137"/>
  <c r="M28" i="137"/>
  <c r="C29" i="137"/>
  <c r="H29" i="137"/>
  <c r="M29" i="137"/>
  <c r="C30" i="137"/>
  <c r="H30" i="137"/>
  <c r="M30" i="137"/>
  <c r="C31" i="137"/>
  <c r="H31" i="137"/>
  <c r="M31" i="137"/>
  <c r="C32" i="137"/>
  <c r="H32" i="137"/>
  <c r="M32" i="137"/>
  <c r="C33" i="137"/>
  <c r="H33" i="137"/>
  <c r="M33" i="137"/>
  <c r="C34" i="137"/>
  <c r="H34" i="137"/>
  <c r="M34" i="137"/>
  <c r="C35" i="137"/>
  <c r="H35" i="137"/>
  <c r="M35" i="137"/>
  <c r="C36" i="137"/>
  <c r="H36" i="137"/>
  <c r="M36" i="137"/>
  <c r="C37" i="137"/>
  <c r="H37" i="137"/>
  <c r="M37" i="137"/>
  <c r="C38" i="137"/>
  <c r="H38" i="137"/>
  <c r="M38" i="137"/>
  <c r="C39" i="137"/>
  <c r="H39" i="137"/>
  <c r="M39" i="137"/>
  <c r="C40" i="137"/>
  <c r="H40" i="137"/>
  <c r="M40" i="137"/>
  <c r="C41" i="137"/>
  <c r="H41" i="137"/>
  <c r="M41" i="137"/>
  <c r="C42" i="137"/>
  <c r="H42" i="137"/>
  <c r="M42" i="137"/>
  <c r="C43" i="137"/>
  <c r="H43" i="137"/>
  <c r="M43" i="137"/>
  <c r="C44" i="137"/>
  <c r="H44" i="137"/>
  <c r="M44" i="137"/>
  <c r="C45" i="137"/>
  <c r="H45" i="137"/>
  <c r="M45" i="137"/>
  <c r="C46" i="137"/>
  <c r="H46" i="137"/>
  <c r="M46" i="137"/>
  <c r="C47" i="137"/>
  <c r="H47" i="137"/>
  <c r="M47" i="137"/>
  <c r="C48" i="137"/>
  <c r="H48" i="137"/>
  <c r="M48" i="137"/>
  <c r="C49" i="137"/>
  <c r="H49" i="137"/>
  <c r="M49" i="137"/>
  <c r="C50" i="137"/>
  <c r="H50" i="137"/>
  <c r="M50" i="137"/>
  <c r="C51" i="137"/>
  <c r="H51" i="137"/>
  <c r="M51" i="137"/>
  <c r="C52" i="137"/>
  <c r="H52" i="137"/>
  <c r="M52" i="137"/>
  <c r="C53" i="137"/>
  <c r="H53" i="137"/>
  <c r="M53" i="137"/>
  <c r="C54" i="137"/>
  <c r="H54" i="137"/>
  <c r="M54" i="137"/>
  <c r="C55" i="137"/>
  <c r="H55" i="137"/>
  <c r="M55" i="137"/>
  <c r="C56" i="137"/>
  <c r="H56" i="137"/>
  <c r="M56" i="137"/>
  <c r="C57" i="137"/>
  <c r="H57" i="137"/>
  <c r="M57" i="137"/>
  <c r="C58" i="137"/>
  <c r="H58" i="137"/>
  <c r="M58" i="137"/>
  <c r="C59" i="137"/>
  <c r="H59" i="137"/>
  <c r="M59" i="137"/>
  <c r="C60" i="137"/>
  <c r="H60" i="137"/>
  <c r="M60" i="137"/>
  <c r="C61" i="137"/>
  <c r="H61" i="137"/>
  <c r="M61" i="137"/>
  <c r="C62" i="137"/>
  <c r="H62" i="137"/>
  <c r="M62" i="137"/>
  <c r="C63" i="137"/>
  <c r="H63" i="137"/>
  <c r="M63" i="137"/>
  <c r="C64" i="137"/>
  <c r="H64" i="137"/>
  <c r="M64" i="137"/>
  <c r="C65" i="137"/>
  <c r="H65" i="137"/>
  <c r="M65" i="137"/>
  <c r="C66" i="137"/>
  <c r="H66" i="137"/>
  <c r="M66" i="137"/>
  <c r="C67" i="137"/>
  <c r="H67" i="137"/>
  <c r="M67" i="137"/>
  <c r="C68" i="137"/>
  <c r="H68" i="137"/>
  <c r="M68" i="137"/>
  <c r="D72" i="137"/>
  <c r="I72" i="137"/>
  <c r="N72" i="137"/>
  <c r="BA361" i="68"/>
  <c r="P127" i="88" s="1"/>
  <c r="P128" i="88" s="1"/>
  <c r="BL182" i="68"/>
  <c r="AA61" i="88" s="1"/>
  <c r="AA62" i="88" s="1"/>
  <c r="AV182" i="68"/>
  <c r="K61" i="88" s="1"/>
  <c r="N37" i="136"/>
  <c r="AS361" i="68"/>
  <c r="H127" i="88" s="1"/>
  <c r="H128" i="88" s="1"/>
  <c r="N26" i="136"/>
  <c r="BD90" i="68"/>
  <c r="S28" i="88" s="1"/>
  <c r="S29" i="88" s="1"/>
  <c r="AY361" i="68"/>
  <c r="N127" i="88" s="1"/>
  <c r="N128" i="88" s="1"/>
  <c r="AQ361" i="68"/>
  <c r="F127" i="88" s="1"/>
  <c r="F128" i="88" s="1"/>
  <c r="BH182" i="68"/>
  <c r="W61" i="88" s="1"/>
  <c r="W62" i="88" s="1"/>
  <c r="AR182" i="68"/>
  <c r="G61" i="88" s="1"/>
  <c r="BS361" i="68"/>
  <c r="AH127" i="88" s="1"/>
  <c r="AH128" i="88" s="1"/>
  <c r="BE361" i="68"/>
  <c r="T127" i="88" s="1"/>
  <c r="T128" i="88" s="1"/>
  <c r="AW361" i="68"/>
  <c r="L127" i="88" s="1"/>
  <c r="L128" i="88" s="1"/>
  <c r="AO361" i="68"/>
  <c r="D127" i="88" s="1"/>
  <c r="D128" i="88" s="1"/>
  <c r="BT182" i="68"/>
  <c r="AI61" i="88" s="1"/>
  <c r="AI62" i="88" s="1"/>
  <c r="BD182" i="68"/>
  <c r="S61" i="88" s="1"/>
  <c r="S62" i="88" s="1"/>
  <c r="AN182" i="68"/>
  <c r="C61" i="88" s="1"/>
  <c r="C62" i="88" s="1"/>
  <c r="BC361" i="68"/>
  <c r="R127" i="88" s="1"/>
  <c r="R128" i="88" s="1"/>
  <c r="AU361" i="68"/>
  <c r="J127" i="88" s="1"/>
  <c r="J128" i="88" s="1"/>
  <c r="BP182" i="68"/>
  <c r="AE61" i="88" s="1"/>
  <c r="AE62" i="88" s="1"/>
  <c r="AZ182" i="68"/>
  <c r="O61" i="88" s="1"/>
  <c r="O62" i="88" s="1"/>
  <c r="I71" i="137"/>
  <c r="I73" i="137" s="1"/>
  <c r="I74" i="137" s="1"/>
  <c r="N90" i="137"/>
  <c r="N109" i="137"/>
  <c r="N128" i="137"/>
  <c r="N133" i="137" s="1"/>
  <c r="F43" i="104"/>
  <c r="G43" i="104" s="1"/>
  <c r="J43" i="104"/>
  <c r="K43" i="104" s="1"/>
  <c r="E43" i="104"/>
  <c r="H43" i="104"/>
  <c r="I43" i="104" s="1"/>
  <c r="Q12" i="68"/>
  <c r="BA12" i="68" s="1"/>
  <c r="AC12" i="68"/>
  <c r="G95" i="100"/>
  <c r="K54" i="104"/>
  <c r="D44" i="104"/>
  <c r="H44" i="104"/>
  <c r="F44" i="104"/>
  <c r="J44" i="104"/>
  <c r="X204" i="127"/>
  <c r="AB204" i="127"/>
  <c r="AF204" i="127"/>
  <c r="AJ204" i="127"/>
  <c r="Q204" i="127"/>
  <c r="R204" i="127"/>
  <c r="V204" i="127"/>
  <c r="Z204" i="127"/>
  <c r="AD204" i="127"/>
  <c r="AA204" i="127"/>
  <c r="O204" i="127"/>
  <c r="AE204" i="127"/>
  <c r="AN378" i="68"/>
  <c r="A296" i="68"/>
  <c r="B100" i="85"/>
  <c r="B296" i="68" s="1"/>
  <c r="B96" i="85"/>
  <c r="B292" i="68" s="1"/>
  <c r="X8" i="68"/>
  <c r="AJ8" i="68"/>
  <c r="BT8" i="68" s="1"/>
  <c r="T8" i="68"/>
  <c r="BD8" i="68" s="1"/>
  <c r="AF8" i="68"/>
  <c r="BP8" i="68" s="1"/>
  <c r="Q104" i="68"/>
  <c r="BA104" i="68" s="1"/>
  <c r="AC104" i="68"/>
  <c r="BM104" i="68" s="1"/>
  <c r="K94" i="100"/>
  <c r="C79" i="68"/>
  <c r="C171" i="68"/>
  <c r="E74" i="76"/>
  <c r="E65" i="76"/>
  <c r="E64" i="76"/>
  <c r="B99" i="85"/>
  <c r="B295" i="68" s="1"/>
  <c r="S100" i="68"/>
  <c r="AE100" i="68"/>
  <c r="BO100" i="68" s="1"/>
  <c r="P22" i="68"/>
  <c r="AZ22" i="68" s="1"/>
  <c r="AB22" i="68"/>
  <c r="BL22" i="68" s="1"/>
  <c r="S8" i="68"/>
  <c r="BC8" i="68" s="1"/>
  <c r="AE8" i="68"/>
  <c r="BO8" i="68" s="1"/>
  <c r="AP433" i="68"/>
  <c r="AR433" i="68"/>
  <c r="AO433" i="68"/>
  <c r="Z380" i="68"/>
  <c r="P380" i="68"/>
  <c r="A293" i="68"/>
  <c r="B97" i="85"/>
  <c r="B293" i="68" s="1"/>
  <c r="P114" i="68"/>
  <c r="AZ114" i="68" s="1"/>
  <c r="AB114" i="68"/>
  <c r="BL114" i="68" s="1"/>
  <c r="U100" i="68"/>
  <c r="BE100" i="68" s="1"/>
  <c r="AG100" i="68"/>
  <c r="BQ100" i="68" s="1"/>
  <c r="B90" i="100"/>
  <c r="D40" i="100"/>
  <c r="E139" i="76"/>
  <c r="F139" i="76" s="1"/>
  <c r="E130" i="76"/>
  <c r="F130" i="76" s="1"/>
  <c r="C16" i="87"/>
  <c r="AJ297" i="127" s="1"/>
  <c r="E11" i="104"/>
  <c r="I11" i="104"/>
  <c r="K11" i="104"/>
  <c r="E10" i="104"/>
  <c r="K8" i="104"/>
  <c r="E8" i="104"/>
  <c r="I8" i="104"/>
  <c r="B128" i="85"/>
  <c r="B386" i="68" s="1"/>
  <c r="B126" i="85"/>
  <c r="B384" i="68" s="1"/>
  <c r="B124" i="85"/>
  <c r="B382" i="68" s="1"/>
  <c r="H122" i="85"/>
  <c r="G380" i="68" s="1"/>
  <c r="Q380" i="68" s="1"/>
  <c r="BA380" i="68" s="1"/>
  <c r="B122" i="85"/>
  <c r="B380" i="68" s="1"/>
  <c r="B120" i="85"/>
  <c r="B378" i="68" s="1"/>
  <c r="B118" i="85"/>
  <c r="B376" i="68" s="1"/>
  <c r="B116" i="85"/>
  <c r="B374" i="68" s="1"/>
  <c r="B114" i="85"/>
  <c r="B372" i="68" s="1"/>
  <c r="BC299" i="68"/>
  <c r="A298" i="68"/>
  <c r="A294" i="68"/>
  <c r="B98" i="85"/>
  <c r="B294" i="68" s="1"/>
  <c r="A290" i="68"/>
  <c r="B94" i="85"/>
  <c r="B290" i="68" s="1"/>
  <c r="AH100" i="68"/>
  <c r="AP295" i="68"/>
  <c r="BE295" i="68"/>
  <c r="AQ293" i="68"/>
  <c r="BS291" i="68"/>
  <c r="AS289" i="68"/>
  <c r="AX287" i="68"/>
  <c r="AN287" i="68"/>
  <c r="BE287" i="68"/>
  <c r="BC209" i="68"/>
  <c r="AR207" i="68"/>
  <c r="B74" i="85"/>
  <c r="B206" i="68" s="1"/>
  <c r="B72" i="85"/>
  <c r="B204" i="68" s="1"/>
  <c r="B70" i="85"/>
  <c r="B202" i="68" s="1"/>
  <c r="AP201" i="68"/>
  <c r="BB201" i="68"/>
  <c r="BJ201" i="68"/>
  <c r="AQ201" i="68"/>
  <c r="AU201" i="68"/>
  <c r="AY201" i="68"/>
  <c r="BK201" i="68"/>
  <c r="AN201" i="68"/>
  <c r="AR201" i="68"/>
  <c r="AV201" i="68"/>
  <c r="AZ201" i="68"/>
  <c r="BD201" i="68"/>
  <c r="AS201" i="68"/>
  <c r="BA201" i="68"/>
  <c r="BE201" i="68"/>
  <c r="B68" i="85"/>
  <c r="B200" i="68" s="1"/>
  <c r="AO197" i="68"/>
  <c r="AS197" i="68"/>
  <c r="AW197" i="68"/>
  <c r="BA197" i="68"/>
  <c r="BE197" i="68"/>
  <c r="BQ197" i="68"/>
  <c r="AU197" i="68"/>
  <c r="AY197" i="68"/>
  <c r="BC197" i="68"/>
  <c r="AX197" i="68"/>
  <c r="BN197" i="68"/>
  <c r="AT197" i="68"/>
  <c r="BB197" i="68"/>
  <c r="AV197" i="68"/>
  <c r="BD197" i="68"/>
  <c r="BL197" i="68"/>
  <c r="Z114" i="68"/>
  <c r="BJ114" i="68" s="1"/>
  <c r="AL114" i="68"/>
  <c r="BV114" i="68" s="1"/>
  <c r="V114" i="68"/>
  <c r="BF114" i="68" s="1"/>
  <c r="AH114" i="68"/>
  <c r="BR114" i="68" s="1"/>
  <c r="R114" i="68"/>
  <c r="BB114" i="68" s="1"/>
  <c r="AD114" i="68"/>
  <c r="BN114" i="68" s="1"/>
  <c r="AP114" i="68"/>
  <c r="AQ114" i="68"/>
  <c r="W113" i="68"/>
  <c r="BG113" i="68" s="1"/>
  <c r="AI113" i="68"/>
  <c r="BS113" i="68" s="1"/>
  <c r="S113" i="68"/>
  <c r="BC113" i="68" s="1"/>
  <c r="AE113" i="68"/>
  <c r="BO113" i="68" s="1"/>
  <c r="AJ112" i="68"/>
  <c r="BT112" i="68" s="1"/>
  <c r="T112" i="68"/>
  <c r="BD112" i="68" s="1"/>
  <c r="AF112" i="68"/>
  <c r="P112" i="68"/>
  <c r="AZ112" i="68" s="1"/>
  <c r="AB112" i="68"/>
  <c r="BL112" i="68" s="1"/>
  <c r="E44" i="85"/>
  <c r="R44" i="85" s="1"/>
  <c r="D108" i="68" s="1"/>
  <c r="AB108" i="68" s="1"/>
  <c r="BL108" i="68" s="1"/>
  <c r="P106" i="68"/>
  <c r="AZ106" i="68" s="1"/>
  <c r="AB106" i="68"/>
  <c r="BL106" i="68" s="1"/>
  <c r="X105" i="68"/>
  <c r="BH105" i="68" s="1"/>
  <c r="AJ105" i="68"/>
  <c r="BT105" i="68" s="1"/>
  <c r="T105" i="68"/>
  <c r="BD105" i="68" s="1"/>
  <c r="AF105" i="68"/>
  <c r="BP105" i="68" s="1"/>
  <c r="P105" i="68"/>
  <c r="AZ105" i="68" s="1"/>
  <c r="AB105" i="68"/>
  <c r="X104" i="68"/>
  <c r="BH104" i="68" s="1"/>
  <c r="AJ104" i="68"/>
  <c r="BT104" i="68" s="1"/>
  <c r="T104" i="68"/>
  <c r="BD104" i="68" s="1"/>
  <c r="AF104" i="68"/>
  <c r="BP104" i="68" s="1"/>
  <c r="C40" i="85"/>
  <c r="Z103" i="68"/>
  <c r="BJ103" i="68" s="1"/>
  <c r="AL103" i="68"/>
  <c r="BV103" i="68" s="1"/>
  <c r="V103" i="68"/>
  <c r="BF103" i="68" s="1"/>
  <c r="AH103" i="68"/>
  <c r="BR103" i="68" s="1"/>
  <c r="R103" i="68"/>
  <c r="BB103" i="68" s="1"/>
  <c r="AD103" i="68"/>
  <c r="BN103" i="68" s="1"/>
  <c r="C39" i="85"/>
  <c r="Z102" i="68"/>
  <c r="BJ102" i="68" s="1"/>
  <c r="AL102" i="68"/>
  <c r="BV102" i="68" s="1"/>
  <c r="V102" i="68"/>
  <c r="AH102" i="68"/>
  <c r="BR102" i="68" s="1"/>
  <c r="R102" i="68"/>
  <c r="AD102" i="68"/>
  <c r="BN102" i="68" s="1"/>
  <c r="C38" i="85"/>
  <c r="Z101" i="68"/>
  <c r="BJ101" i="68" s="1"/>
  <c r="AL101" i="68"/>
  <c r="BV101" i="68" s="1"/>
  <c r="V101" i="68"/>
  <c r="BF101" i="68" s="1"/>
  <c r="AH101" i="68"/>
  <c r="BR101" i="68" s="1"/>
  <c r="AD101" i="68"/>
  <c r="BN101" i="68" s="1"/>
  <c r="C37" i="85"/>
  <c r="C36" i="85"/>
  <c r="V22" i="68"/>
  <c r="BF22" i="68" s="1"/>
  <c r="AH22" i="68"/>
  <c r="BR22" i="68" s="1"/>
  <c r="R22" i="68"/>
  <c r="BB22" i="68" s="1"/>
  <c r="AD22" i="68"/>
  <c r="BN22" i="68" s="1"/>
  <c r="AN22" i="68"/>
  <c r="AR22" i="68"/>
  <c r="AV22" i="68"/>
  <c r="BH22" i="68"/>
  <c r="AW22" i="68"/>
  <c r="AP22" i="68"/>
  <c r="AT22" i="68"/>
  <c r="AX22" i="68"/>
  <c r="X20" i="68"/>
  <c r="BH20" i="68" s="1"/>
  <c r="AJ20" i="68"/>
  <c r="BT20" i="68" s="1"/>
  <c r="T20" i="68"/>
  <c r="BD20" i="68" s="1"/>
  <c r="AF20" i="68"/>
  <c r="BP20" i="68" s="1"/>
  <c r="P20" i="68"/>
  <c r="AZ20" i="68" s="1"/>
  <c r="AB20" i="68"/>
  <c r="BL20" i="68" s="1"/>
  <c r="T19" i="68"/>
  <c r="AF19" i="68"/>
  <c r="BP19" i="68" s="1"/>
  <c r="P19" i="68"/>
  <c r="AZ19" i="68" s="1"/>
  <c r="AB19" i="68"/>
  <c r="BL19" i="68" s="1"/>
  <c r="X17" i="68"/>
  <c r="BH17" i="68" s="1"/>
  <c r="AJ17" i="68"/>
  <c r="BT17" i="68" s="1"/>
  <c r="T17" i="68"/>
  <c r="BD17" i="68" s="1"/>
  <c r="AF17" i="68"/>
  <c r="BP17" i="68" s="1"/>
  <c r="P17" i="68"/>
  <c r="AZ17" i="68" s="1"/>
  <c r="AB17" i="68"/>
  <c r="BL17" i="68" s="1"/>
  <c r="X16" i="68"/>
  <c r="BH16" i="68" s="1"/>
  <c r="AJ16" i="68"/>
  <c r="T16" i="68"/>
  <c r="BD16" i="68" s="1"/>
  <c r="AF16" i="68"/>
  <c r="BP16" i="68" s="1"/>
  <c r="X15" i="68"/>
  <c r="BH15" i="68" s="1"/>
  <c r="AJ15" i="68"/>
  <c r="BT15" i="68" s="1"/>
  <c r="T15" i="68"/>
  <c r="BD15" i="68" s="1"/>
  <c r="AF15" i="68"/>
  <c r="BP15" i="68" s="1"/>
  <c r="P15" i="68"/>
  <c r="AZ15" i="68" s="1"/>
  <c r="AB15" i="68"/>
  <c r="BL15" i="68" s="1"/>
  <c r="T14" i="68"/>
  <c r="BD14" i="68" s="1"/>
  <c r="AF14" i="68"/>
  <c r="BP14" i="68" s="1"/>
  <c r="P14" i="68"/>
  <c r="AZ14" i="68" s="1"/>
  <c r="AB14" i="68"/>
  <c r="BL14" i="68" s="1"/>
  <c r="AJ12" i="68"/>
  <c r="BT12" i="68" s="1"/>
  <c r="T12" i="68"/>
  <c r="BD12" i="68" s="1"/>
  <c r="AF12" i="68"/>
  <c r="BP12" i="68" s="1"/>
  <c r="C16" i="85"/>
  <c r="Z11" i="68"/>
  <c r="BJ11" i="68" s="1"/>
  <c r="AL11" i="68"/>
  <c r="BV11" i="68" s="1"/>
  <c r="AH11" i="68"/>
  <c r="BR11" i="68" s="1"/>
  <c r="AD11" i="68"/>
  <c r="BN11" i="68" s="1"/>
  <c r="C15" i="85"/>
  <c r="Z10" i="68"/>
  <c r="BJ10" i="68" s="1"/>
  <c r="AL10" i="68"/>
  <c r="BV10" i="68" s="1"/>
  <c r="V10" i="68"/>
  <c r="BF10" i="68" s="1"/>
  <c r="AH10" i="68"/>
  <c r="BR10" i="68" s="1"/>
  <c r="AD10" i="68"/>
  <c r="BN10" i="68" s="1"/>
  <c r="C14" i="85"/>
  <c r="Z9" i="68"/>
  <c r="BJ9" i="68" s="1"/>
  <c r="V9" i="68"/>
  <c r="BF9" i="68" s="1"/>
  <c r="AH9" i="68"/>
  <c r="BR9" i="68" s="1"/>
  <c r="R9" i="68"/>
  <c r="BB9" i="68" s="1"/>
  <c r="C13" i="85"/>
  <c r="C12" i="85"/>
  <c r="E56" i="104"/>
  <c r="E33" i="104"/>
  <c r="E25" i="104"/>
  <c r="I23" i="104"/>
  <c r="I26" i="104" s="1"/>
  <c r="C73" i="105" s="1"/>
  <c r="D73" i="105" s="1"/>
  <c r="E73" i="105" s="1"/>
  <c r="F73" i="105" s="1"/>
  <c r="G73" i="105" s="1"/>
  <c r="BF443" i="68"/>
  <c r="U155" i="88" s="1"/>
  <c r="U156" i="88" s="1"/>
  <c r="AT443" i="68"/>
  <c r="I155" i="88" s="1"/>
  <c r="I156" i="88" s="1"/>
  <c r="AP443" i="68"/>
  <c r="E155" i="88" s="1"/>
  <c r="E156" i="88" s="1"/>
  <c r="AU435" i="68"/>
  <c r="AQ435" i="68"/>
  <c r="AO412" i="68"/>
  <c r="AY411" i="68"/>
  <c r="AO410" i="68"/>
  <c r="AO408" i="68"/>
  <c r="BS407" i="68"/>
  <c r="AO406" i="68"/>
  <c r="AU405" i="68"/>
  <c r="AQ405" i="68"/>
  <c r="AW404" i="68"/>
  <c r="AS404" i="68"/>
  <c r="AO404" i="68"/>
  <c r="BD361" i="68"/>
  <c r="S127" i="88" s="1"/>
  <c r="S128" i="88" s="1"/>
  <c r="AZ361" i="68"/>
  <c r="O127" i="88" s="1"/>
  <c r="O128" i="88" s="1"/>
  <c r="AV361" i="68"/>
  <c r="K127" i="88" s="1"/>
  <c r="K128" i="88" s="1"/>
  <c r="AR361" i="68"/>
  <c r="G127" i="88" s="1"/>
  <c r="G128" i="88" s="1"/>
  <c r="AN361" i="68"/>
  <c r="C127" i="88" s="1"/>
  <c r="C128" i="88" s="1"/>
  <c r="BI353" i="68"/>
  <c r="BE353" i="68"/>
  <c r="BA353" i="68"/>
  <c r="AW353" i="68"/>
  <c r="AS353" i="68"/>
  <c r="AO353" i="68"/>
  <c r="BO351" i="68"/>
  <c r="BC351" i="68"/>
  <c r="AY351" i="68"/>
  <c r="AU351" i="68"/>
  <c r="AQ351" i="68"/>
  <c r="BC327" i="68"/>
  <c r="AY327" i="68"/>
  <c r="AU327" i="68"/>
  <c r="AQ327" i="68"/>
  <c r="BC323" i="68"/>
  <c r="AY323" i="68"/>
  <c r="AU323" i="68"/>
  <c r="AQ323" i="68"/>
  <c r="BT317" i="68"/>
  <c r="BD317" i="68"/>
  <c r="AN317" i="68"/>
  <c r="AS311" i="68"/>
  <c r="BI311" i="68"/>
  <c r="AQ311" i="68"/>
  <c r="AY311" i="68"/>
  <c r="BG311" i="68"/>
  <c r="BO311" i="68"/>
  <c r="AQ309" i="68"/>
  <c r="AU309" i="68"/>
  <c r="AY309" i="68"/>
  <c r="BC309" i="68"/>
  <c r="AO309" i="68"/>
  <c r="AS309" i="68"/>
  <c r="AW309" i="68"/>
  <c r="BA309" i="68"/>
  <c r="BE309" i="68"/>
  <c r="BM309" i="68"/>
  <c r="BU309" i="68"/>
  <c r="BA283" i="68"/>
  <c r="AQ195" i="68"/>
  <c r="AU195" i="68"/>
  <c r="AY195" i="68"/>
  <c r="BC195" i="68"/>
  <c r="BG195" i="68"/>
  <c r="BK195" i="68"/>
  <c r="AO195" i="68"/>
  <c r="AS195" i="68"/>
  <c r="AW195" i="68"/>
  <c r="AR195" i="68"/>
  <c r="AZ195" i="68"/>
  <c r="BH195" i="68"/>
  <c r="AT195" i="68"/>
  <c r="AN195" i="68"/>
  <c r="AV195" i="68"/>
  <c r="BD195" i="68"/>
  <c r="AP195" i="68"/>
  <c r="AR193" i="68"/>
  <c r="AZ193" i="68"/>
  <c r="BD193" i="68"/>
  <c r="AO193" i="68"/>
  <c r="AS193" i="68"/>
  <c r="BA193" i="68"/>
  <c r="BI193" i="68"/>
  <c r="BM193" i="68"/>
  <c r="BU193" i="68"/>
  <c r="AQ193" i="68"/>
  <c r="AU193" i="68"/>
  <c r="AY193" i="68"/>
  <c r="BC193" i="68"/>
  <c r="BG193" i="68"/>
  <c r="AP193" i="68"/>
  <c r="BV193" i="68"/>
  <c r="AX193" i="68"/>
  <c r="BB193" i="68"/>
  <c r="Y114" i="68"/>
  <c r="BI114" i="68" s="1"/>
  <c r="AK114" i="68"/>
  <c r="BU114" i="68" s="1"/>
  <c r="Q114" i="68"/>
  <c r="AC114" i="68"/>
  <c r="Z113" i="68"/>
  <c r="BJ113" i="68" s="1"/>
  <c r="AL113" i="68"/>
  <c r="BV113" i="68" s="1"/>
  <c r="V113" i="68"/>
  <c r="BF113" i="68" s="1"/>
  <c r="AH113" i="68"/>
  <c r="BR113" i="68" s="1"/>
  <c r="R113" i="68"/>
  <c r="BB113" i="68" s="1"/>
  <c r="AD113" i="68"/>
  <c r="BN113" i="68" s="1"/>
  <c r="AP113" i="68"/>
  <c r="AT113" i="68"/>
  <c r="AX113" i="68"/>
  <c r="AQ113" i="68"/>
  <c r="AU113" i="68"/>
  <c r="AY113" i="68"/>
  <c r="AN113" i="68"/>
  <c r="AR113" i="68"/>
  <c r="AO113" i="68"/>
  <c r="AS113" i="68"/>
  <c r="AW113" i="68"/>
  <c r="W112" i="68"/>
  <c r="BG112" i="68" s="1"/>
  <c r="AI112" i="68"/>
  <c r="BS112" i="68" s="1"/>
  <c r="S112" i="68"/>
  <c r="BC112" i="68" s="1"/>
  <c r="AE112" i="68"/>
  <c r="BO112" i="68" s="1"/>
  <c r="AA111" i="68"/>
  <c r="BK111" i="68" s="1"/>
  <c r="AY111" i="68"/>
  <c r="W111" i="68"/>
  <c r="BG111" i="68" s="1"/>
  <c r="AI111" i="68"/>
  <c r="BS111" i="68" s="1"/>
  <c r="AU111" i="68"/>
  <c r="S111" i="68"/>
  <c r="BC111" i="68" s="1"/>
  <c r="AE111" i="68"/>
  <c r="BO111" i="68" s="1"/>
  <c r="AQ111" i="68"/>
  <c r="W110" i="68"/>
  <c r="BG110" i="68" s="1"/>
  <c r="AI110" i="68"/>
  <c r="BS110" i="68" s="1"/>
  <c r="S110" i="68"/>
  <c r="BC110" i="68" s="1"/>
  <c r="AE110" i="68"/>
  <c r="BO110" i="68" s="1"/>
  <c r="AO110" i="68"/>
  <c r="AS110" i="68"/>
  <c r="AW110" i="68"/>
  <c r="AQ110" i="68"/>
  <c r="AU110" i="68"/>
  <c r="AY110" i="68"/>
  <c r="W109" i="68"/>
  <c r="BG109" i="68" s="1"/>
  <c r="AI109" i="68"/>
  <c r="BS109" i="68" s="1"/>
  <c r="S109" i="68"/>
  <c r="BC109" i="68" s="1"/>
  <c r="AE109" i="68"/>
  <c r="BO109" i="68" s="1"/>
  <c r="AQ109" i="68"/>
  <c r="AU109" i="68"/>
  <c r="AY109" i="68"/>
  <c r="AO109" i="68"/>
  <c r="AS109" i="68"/>
  <c r="AW109" i="68"/>
  <c r="W108" i="68"/>
  <c r="AI108" i="68"/>
  <c r="BS108" i="68" s="1"/>
  <c r="S108" i="68"/>
  <c r="BC108" i="68" s="1"/>
  <c r="AE108" i="68"/>
  <c r="BO108" i="68" s="1"/>
  <c r="W107" i="68"/>
  <c r="BG107" i="68" s="1"/>
  <c r="AI107" i="68"/>
  <c r="BS107" i="68" s="1"/>
  <c r="S107" i="68"/>
  <c r="BC107" i="68" s="1"/>
  <c r="AE107" i="68"/>
  <c r="BO107" i="68" s="1"/>
  <c r="AO107" i="68"/>
  <c r="AS107" i="68"/>
  <c r="AW107" i="68"/>
  <c r="AQ107" i="68"/>
  <c r="AU107" i="68"/>
  <c r="AY107" i="68"/>
  <c r="S106" i="68"/>
  <c r="BC106" i="68" s="1"/>
  <c r="AE106" i="68"/>
  <c r="BO106" i="68" s="1"/>
  <c r="AW106" i="68"/>
  <c r="AT106" i="68"/>
  <c r="AQ106" i="68"/>
  <c r="AN106" i="68"/>
  <c r="W104" i="68"/>
  <c r="BG104" i="68" s="1"/>
  <c r="AI104" i="68"/>
  <c r="BS104" i="68" s="1"/>
  <c r="S104" i="68"/>
  <c r="BC104" i="68" s="1"/>
  <c r="AE104" i="68"/>
  <c r="BO104" i="68" s="1"/>
  <c r="Y103" i="68"/>
  <c r="BI103" i="68" s="1"/>
  <c r="AK103" i="68"/>
  <c r="BU103" i="68" s="1"/>
  <c r="U103" i="68"/>
  <c r="BE103" i="68" s="1"/>
  <c r="AG103" i="68"/>
  <c r="BQ103" i="68" s="1"/>
  <c r="Q103" i="68"/>
  <c r="BA103" i="68" s="1"/>
  <c r="AC103" i="68"/>
  <c r="BM103" i="68" s="1"/>
  <c r="Y101" i="68"/>
  <c r="BI101" i="68" s="1"/>
  <c r="AK101" i="68"/>
  <c r="BU101" i="68" s="1"/>
  <c r="U101" i="68"/>
  <c r="BE101" i="68" s="1"/>
  <c r="AG101" i="68"/>
  <c r="BQ101" i="68" s="1"/>
  <c r="Q101" i="68"/>
  <c r="BA101" i="68" s="1"/>
  <c r="AC101" i="68"/>
  <c r="BM101" i="68" s="1"/>
  <c r="Z21" i="68"/>
  <c r="BJ21" i="68" s="1"/>
  <c r="AL21" i="68"/>
  <c r="BV21" i="68" s="1"/>
  <c r="V21" i="68"/>
  <c r="BF21" i="68" s="1"/>
  <c r="AH21" i="68"/>
  <c r="BR21" i="68" s="1"/>
  <c r="R21" i="68"/>
  <c r="BB21" i="68" s="1"/>
  <c r="AD21" i="68"/>
  <c r="BN21" i="68" s="1"/>
  <c r="AP21" i="68"/>
  <c r="AT21" i="68"/>
  <c r="AX21" i="68"/>
  <c r="AN21" i="68"/>
  <c r="AR21" i="68"/>
  <c r="AV21" i="68"/>
  <c r="AA19" i="68"/>
  <c r="W19" i="68"/>
  <c r="BG19" i="68" s="1"/>
  <c r="AI19" i="68"/>
  <c r="BS19" i="68" s="1"/>
  <c r="S19" i="68"/>
  <c r="BC19" i="68" s="1"/>
  <c r="AE19" i="68"/>
  <c r="BO19" i="68" s="1"/>
  <c r="W18" i="68"/>
  <c r="BG18" i="68" s="1"/>
  <c r="AI18" i="68"/>
  <c r="BS18" i="68" s="1"/>
  <c r="S18" i="68"/>
  <c r="BC18" i="68" s="1"/>
  <c r="AE18" i="68"/>
  <c r="BO18" i="68" s="1"/>
  <c r="AO18" i="68"/>
  <c r="AS18" i="68"/>
  <c r="AW18" i="68"/>
  <c r="AQ18" i="68"/>
  <c r="AU18" i="68"/>
  <c r="AY18" i="68"/>
  <c r="W17" i="68"/>
  <c r="BG17" i="68" s="1"/>
  <c r="AI17" i="68"/>
  <c r="BS17" i="68" s="1"/>
  <c r="S17" i="68"/>
  <c r="BC17" i="68" s="1"/>
  <c r="AE17" i="68"/>
  <c r="BO17" i="68" s="1"/>
  <c r="AO17" i="68"/>
  <c r="AP17" i="68"/>
  <c r="AT17" i="68"/>
  <c r="AU17" i="68"/>
  <c r="AY17" i="68"/>
  <c r="AN17" i="68"/>
  <c r="AR17" i="68"/>
  <c r="W16" i="68"/>
  <c r="BG16" i="68" s="1"/>
  <c r="AI16" i="68"/>
  <c r="BS16" i="68" s="1"/>
  <c r="AE16" i="68"/>
  <c r="BO16" i="68" s="1"/>
  <c r="AS16" i="68"/>
  <c r="W15" i="68"/>
  <c r="BG15" i="68" s="1"/>
  <c r="AI15" i="68"/>
  <c r="BS15" i="68" s="1"/>
  <c r="S15" i="68"/>
  <c r="BC15" i="68" s="1"/>
  <c r="AE15" i="68"/>
  <c r="BO15" i="68" s="1"/>
  <c r="AQ15" i="68"/>
  <c r="AU15" i="68"/>
  <c r="AY15" i="68"/>
  <c r="AN15" i="68"/>
  <c r="AR15" i="68"/>
  <c r="AV15" i="68"/>
  <c r="AO15" i="68"/>
  <c r="AS15" i="68"/>
  <c r="AW15" i="68"/>
  <c r="AP15" i="68"/>
  <c r="AT15" i="68"/>
  <c r="AX15" i="68"/>
  <c r="AN14" i="68"/>
  <c r="AR14" i="68"/>
  <c r="AT14" i="68"/>
  <c r="W13" i="68"/>
  <c r="BG13" i="68" s="1"/>
  <c r="AI13" i="68"/>
  <c r="BS13" i="68" s="1"/>
  <c r="S13" i="68"/>
  <c r="BC13" i="68" s="1"/>
  <c r="AE13" i="68"/>
  <c r="BO13" i="68" s="1"/>
  <c r="AO13" i="68"/>
  <c r="AS13" i="68"/>
  <c r="AW13" i="68"/>
  <c r="AX13" i="68"/>
  <c r="AQ13" i="68"/>
  <c r="AU13" i="68"/>
  <c r="AY13" i="68"/>
  <c r="W12" i="68"/>
  <c r="BG12" i="68" s="1"/>
  <c r="AI12" i="68"/>
  <c r="BS12" i="68" s="1"/>
  <c r="S12" i="68"/>
  <c r="BC12" i="68" s="1"/>
  <c r="AE12" i="68"/>
  <c r="BO12" i="68" s="1"/>
  <c r="Y11" i="68"/>
  <c r="BI11" i="68" s="1"/>
  <c r="AK11" i="68"/>
  <c r="BU11" i="68" s="1"/>
  <c r="U11" i="68"/>
  <c r="BE11" i="68" s="1"/>
  <c r="AG11" i="68"/>
  <c r="BQ11" i="68" s="1"/>
  <c r="Q11" i="68"/>
  <c r="BA11" i="68" s="1"/>
  <c r="AC11" i="68"/>
  <c r="BM11" i="68" s="1"/>
  <c r="Y10" i="68"/>
  <c r="BI10" i="68" s="1"/>
  <c r="AK10" i="68"/>
  <c r="BU10" i="68" s="1"/>
  <c r="U10" i="68"/>
  <c r="BE10" i="68" s="1"/>
  <c r="AG10" i="68"/>
  <c r="BQ10" i="68" s="1"/>
  <c r="Q10" i="68"/>
  <c r="BA10" i="68" s="1"/>
  <c r="AC10" i="68"/>
  <c r="BM10" i="68" s="1"/>
  <c r="Y9" i="68"/>
  <c r="BI9" i="68" s="1"/>
  <c r="AK9" i="68"/>
  <c r="BU9" i="68" s="1"/>
  <c r="U9" i="68"/>
  <c r="BE9" i="68" s="1"/>
  <c r="AG9" i="68"/>
  <c r="BQ9" i="68" s="1"/>
  <c r="AC9" i="68"/>
  <c r="BM9" i="68" s="1"/>
  <c r="U8" i="68"/>
  <c r="BE8" i="68" s="1"/>
  <c r="AG8" i="68"/>
  <c r="BQ8" i="68" s="1"/>
  <c r="AQ298" i="68"/>
  <c r="BC298" i="68"/>
  <c r="AW296" i="68"/>
  <c r="BI296" i="68"/>
  <c r="AP296" i="68"/>
  <c r="AT296" i="68"/>
  <c r="AX296" i="68"/>
  <c r="AQ296" i="68"/>
  <c r="AR296" i="68"/>
  <c r="AV296" i="68"/>
  <c r="BD296" i="68"/>
  <c r="AU292" i="68"/>
  <c r="BT292" i="68"/>
  <c r="AO290" i="68"/>
  <c r="AX290" i="68"/>
  <c r="BD288" i="68"/>
  <c r="B91" i="85"/>
  <c r="B287" i="68" s="1"/>
  <c r="AQ208" i="68"/>
  <c r="AN208" i="68"/>
  <c r="AR208" i="68"/>
  <c r="AS208" i="68"/>
  <c r="BU208" i="68"/>
  <c r="B75" i="85"/>
  <c r="B207" i="68" s="1"/>
  <c r="AS206" i="68"/>
  <c r="AX206" i="68"/>
  <c r="BB206" i="68"/>
  <c r="AU206" i="68"/>
  <c r="BC206" i="68"/>
  <c r="BG206" i="68"/>
  <c r="AR206" i="68"/>
  <c r="AV206" i="68"/>
  <c r="BD206" i="68"/>
  <c r="BP206" i="68"/>
  <c r="B73" i="85"/>
  <c r="B205" i="68" s="1"/>
  <c r="AQ204" i="68"/>
  <c r="AU204" i="68"/>
  <c r="AY204" i="68"/>
  <c r="BC204" i="68"/>
  <c r="BK204" i="68"/>
  <c r="AR204" i="68"/>
  <c r="BH204" i="68"/>
  <c r="AO204" i="68"/>
  <c r="AS204" i="68"/>
  <c r="BE204" i="68"/>
  <c r="BQ204" i="68"/>
  <c r="BU204" i="68"/>
  <c r="AP204" i="68"/>
  <c r="AT204" i="68"/>
  <c r="AX204" i="68"/>
  <c r="BJ204" i="68"/>
  <c r="B71" i="85"/>
  <c r="B203" i="68" s="1"/>
  <c r="AO202" i="68"/>
  <c r="AS202" i="68"/>
  <c r="BA202" i="68"/>
  <c r="BE202" i="68"/>
  <c r="AT202" i="68"/>
  <c r="AX202" i="68"/>
  <c r="BB202" i="68"/>
  <c r="AQ202" i="68"/>
  <c r="AY202" i="68"/>
  <c r="BC202" i="68"/>
  <c r="AV202" i="68"/>
  <c r="BL202" i="68"/>
  <c r="B69" i="85"/>
  <c r="B201" i="68" s="1"/>
  <c r="AP200" i="68"/>
  <c r="AX200" i="68"/>
  <c r="BB200" i="68"/>
  <c r="BR200" i="68"/>
  <c r="AR200" i="68"/>
  <c r="AZ200" i="68"/>
  <c r="BC200" i="68"/>
  <c r="BS200" i="68"/>
  <c r="AO200" i="68"/>
  <c r="AW200" i="68"/>
  <c r="BE200" i="68"/>
  <c r="AQ200" i="68"/>
  <c r="AY200" i="68"/>
  <c r="AS200" i="68"/>
  <c r="BA200" i="68"/>
  <c r="B67" i="85"/>
  <c r="B199" i="68" s="1"/>
  <c r="BC198" i="68"/>
  <c r="AT196" i="68"/>
  <c r="BV196" i="68"/>
  <c r="BE196" i="68"/>
  <c r="AJ114" i="68"/>
  <c r="BT114" i="68" s="1"/>
  <c r="T114" i="68"/>
  <c r="BD114" i="68" s="1"/>
  <c r="AF114" i="68"/>
  <c r="BP114" i="68" s="1"/>
  <c r="Y113" i="68"/>
  <c r="BI113" i="68" s="1"/>
  <c r="AK113" i="68"/>
  <c r="BU113" i="68" s="1"/>
  <c r="U113" i="68"/>
  <c r="BE113" i="68" s="1"/>
  <c r="AG113" i="68"/>
  <c r="BQ113" i="68" s="1"/>
  <c r="Q113" i="68"/>
  <c r="BA113" i="68" s="1"/>
  <c r="AC113" i="68"/>
  <c r="BM113" i="68" s="1"/>
  <c r="Z112" i="68"/>
  <c r="BJ112" i="68" s="1"/>
  <c r="AL112" i="68"/>
  <c r="BV112" i="68" s="1"/>
  <c r="V112" i="68"/>
  <c r="BF112" i="68" s="1"/>
  <c r="AH112" i="68"/>
  <c r="R112" i="68"/>
  <c r="AD112" i="68"/>
  <c r="BN112" i="68" s="1"/>
  <c r="V106" i="68"/>
  <c r="BF106" i="68" s="1"/>
  <c r="AH106" i="68"/>
  <c r="BR106" i="68" s="1"/>
  <c r="AH105" i="68"/>
  <c r="BR105" i="68" s="1"/>
  <c r="R105" i="68"/>
  <c r="BB105" i="68" s="1"/>
  <c r="AD105" i="68"/>
  <c r="Z104" i="68"/>
  <c r="BJ104" i="68" s="1"/>
  <c r="AL104" i="68"/>
  <c r="BV104" i="68" s="1"/>
  <c r="V104" i="68"/>
  <c r="BF104" i="68" s="1"/>
  <c r="AH104" i="68"/>
  <c r="BR104" i="68" s="1"/>
  <c r="R104" i="68"/>
  <c r="BB104" i="68" s="1"/>
  <c r="AD104" i="68"/>
  <c r="BN104" i="68" s="1"/>
  <c r="X103" i="68"/>
  <c r="BH103" i="68" s="1"/>
  <c r="AJ103" i="68"/>
  <c r="BT103" i="68" s="1"/>
  <c r="T103" i="68"/>
  <c r="BD103" i="68" s="1"/>
  <c r="AF103" i="68"/>
  <c r="BP103" i="68" s="1"/>
  <c r="P103" i="68"/>
  <c r="AZ103" i="68" s="1"/>
  <c r="AB103" i="68"/>
  <c r="BL103" i="68" s="1"/>
  <c r="X102" i="68"/>
  <c r="BH102" i="68" s="1"/>
  <c r="AJ102" i="68"/>
  <c r="BT102" i="68" s="1"/>
  <c r="T102" i="68"/>
  <c r="AF102" i="68"/>
  <c r="P102" i="68"/>
  <c r="AZ102" i="68" s="1"/>
  <c r="AB102" i="68"/>
  <c r="BL102" i="68" s="1"/>
  <c r="X101" i="68"/>
  <c r="BH101" i="68" s="1"/>
  <c r="AJ101" i="68"/>
  <c r="BT101" i="68" s="1"/>
  <c r="T101" i="68"/>
  <c r="BD101" i="68" s="1"/>
  <c r="AF101" i="68"/>
  <c r="BP101" i="68" s="1"/>
  <c r="P101" i="68"/>
  <c r="AZ101" i="68" s="1"/>
  <c r="AB101" i="68"/>
  <c r="BL101" i="68" s="1"/>
  <c r="P100" i="68"/>
  <c r="AZ100" i="68" s="1"/>
  <c r="AB100" i="68"/>
  <c r="BL100" i="68" s="1"/>
  <c r="AF22" i="68"/>
  <c r="BP22" i="68" s="1"/>
  <c r="Z20" i="68"/>
  <c r="AL20" i="68"/>
  <c r="BV20" i="68" s="1"/>
  <c r="V20" i="68"/>
  <c r="AH20" i="68"/>
  <c r="R20" i="68"/>
  <c r="BB20" i="68" s="1"/>
  <c r="AD20" i="68"/>
  <c r="BN20" i="68" s="1"/>
  <c r="Z19" i="68"/>
  <c r="BJ19" i="68" s="1"/>
  <c r="AL19" i="68"/>
  <c r="BV19" i="68" s="1"/>
  <c r="V19" i="68"/>
  <c r="BF19" i="68" s="1"/>
  <c r="AH19" i="68"/>
  <c r="BR19" i="68" s="1"/>
  <c r="R19" i="68"/>
  <c r="BB19" i="68" s="1"/>
  <c r="AD19" i="68"/>
  <c r="AH18" i="68"/>
  <c r="BR18" i="68" s="1"/>
  <c r="Z17" i="68"/>
  <c r="BJ17" i="68" s="1"/>
  <c r="AL17" i="68"/>
  <c r="BV17" i="68" s="1"/>
  <c r="V17" i="68"/>
  <c r="BF17" i="68" s="1"/>
  <c r="AH17" i="68"/>
  <c r="BR17" i="68" s="1"/>
  <c r="R17" i="68"/>
  <c r="BB17" i="68" s="1"/>
  <c r="AD17" i="68"/>
  <c r="BN17" i="68" s="1"/>
  <c r="Z16" i="68"/>
  <c r="V16" i="68"/>
  <c r="BF16" i="68" s="1"/>
  <c r="AH16" i="68"/>
  <c r="BR16" i="68" s="1"/>
  <c r="R16" i="68"/>
  <c r="BB16" i="68" s="1"/>
  <c r="AD16" i="68"/>
  <c r="BN16" i="68" s="1"/>
  <c r="Z15" i="68"/>
  <c r="BJ15" i="68" s="1"/>
  <c r="AL15" i="68"/>
  <c r="BV15" i="68" s="1"/>
  <c r="V15" i="68"/>
  <c r="BF15" i="68" s="1"/>
  <c r="AH15" i="68"/>
  <c r="BR15" i="68" s="1"/>
  <c r="R15" i="68"/>
  <c r="BB15" i="68" s="1"/>
  <c r="AD15" i="68"/>
  <c r="BN15" i="68" s="1"/>
  <c r="V14" i="68"/>
  <c r="BF14" i="68" s="1"/>
  <c r="AH14" i="68"/>
  <c r="BR14" i="68" s="1"/>
  <c r="Z12" i="68"/>
  <c r="BJ12" i="68" s="1"/>
  <c r="AL12" i="68"/>
  <c r="BV12" i="68" s="1"/>
  <c r="V12" i="68"/>
  <c r="BF12" i="68" s="1"/>
  <c r="AH12" i="68"/>
  <c r="BR12" i="68" s="1"/>
  <c r="X11" i="68"/>
  <c r="BH11" i="68" s="1"/>
  <c r="AJ11" i="68"/>
  <c r="BT11" i="68" s="1"/>
  <c r="T11" i="68"/>
  <c r="BD11" i="68" s="1"/>
  <c r="AF11" i="68"/>
  <c r="BP11" i="68" s="1"/>
  <c r="P11" i="68"/>
  <c r="AZ11" i="68" s="1"/>
  <c r="AB11" i="68"/>
  <c r="BL11" i="68" s="1"/>
  <c r="X10" i="68"/>
  <c r="BH10" i="68" s="1"/>
  <c r="AJ10" i="68"/>
  <c r="BT10" i="68" s="1"/>
  <c r="T10" i="68"/>
  <c r="BD10" i="68" s="1"/>
  <c r="AF10" i="68"/>
  <c r="BP10" i="68" s="1"/>
  <c r="P10" i="68"/>
  <c r="AZ10" i="68" s="1"/>
  <c r="AB10" i="68"/>
  <c r="BL10" i="68" s="1"/>
  <c r="X9" i="68"/>
  <c r="BH9" i="68" s="1"/>
  <c r="AJ9" i="68"/>
  <c r="BT9" i="68" s="1"/>
  <c r="P9" i="68"/>
  <c r="AZ9" i="68" s="1"/>
  <c r="I56" i="104"/>
  <c r="I33" i="104"/>
  <c r="I25" i="104"/>
  <c r="BP443" i="68"/>
  <c r="AE155" i="88" s="1"/>
  <c r="AE156" i="88" s="1"/>
  <c r="AV443" i="68"/>
  <c r="K155" i="88" s="1"/>
  <c r="K156" i="88" s="1"/>
  <c r="AR443" i="68"/>
  <c r="G155" i="88" s="1"/>
  <c r="G156" i="88" s="1"/>
  <c r="AN443" i="68"/>
  <c r="C155" i="88" s="1"/>
  <c r="C156" i="88" s="1"/>
  <c r="BA435" i="68"/>
  <c r="AW435" i="68"/>
  <c r="AS435" i="68"/>
  <c r="AO435" i="68"/>
  <c r="AV430" i="68"/>
  <c r="AR430" i="68"/>
  <c r="AN430" i="68"/>
  <c r="AU413" i="68"/>
  <c r="AO411" i="68"/>
  <c r="BI409" i="68"/>
  <c r="AO409" i="68"/>
  <c r="BS408" i="68"/>
  <c r="AO407" i="68"/>
  <c r="BI405" i="68"/>
  <c r="AW405" i="68"/>
  <c r="AS405" i="68"/>
  <c r="AO405" i="68"/>
  <c r="AU404" i="68"/>
  <c r="BV361" i="68"/>
  <c r="AK127" i="88" s="1"/>
  <c r="AK128" i="88" s="1"/>
  <c r="BR361" i="68"/>
  <c r="AG127" i="88" s="1"/>
  <c r="AG128" i="88" s="1"/>
  <c r="BN361" i="68"/>
  <c r="AC127" i="88" s="1"/>
  <c r="AC128" i="88" s="1"/>
  <c r="BF361" i="68"/>
  <c r="U127" i="88" s="1"/>
  <c r="U128" i="88" s="1"/>
  <c r="BB361" i="68"/>
  <c r="Q127" i="88" s="1"/>
  <c r="Q128" i="88" s="1"/>
  <c r="AX361" i="68"/>
  <c r="M127" i="88" s="1"/>
  <c r="M128" i="88" s="1"/>
  <c r="AT361" i="68"/>
  <c r="I127" i="88" s="1"/>
  <c r="I128" i="88" s="1"/>
  <c r="BC353" i="68"/>
  <c r="AY353" i="68"/>
  <c r="AU353" i="68"/>
  <c r="BE351" i="68"/>
  <c r="BA351" i="68"/>
  <c r="AW351" i="68"/>
  <c r="AS351" i="68"/>
  <c r="AO351" i="68"/>
  <c r="BB348" i="68"/>
  <c r="AX348" i="68"/>
  <c r="AT348" i="68"/>
  <c r="AP348" i="68"/>
  <c r="BU327" i="68"/>
  <c r="BE327" i="68"/>
  <c r="BA327" i="68"/>
  <c r="AW327" i="68"/>
  <c r="AS327" i="68"/>
  <c r="AO327" i="68"/>
  <c r="BI323" i="68"/>
  <c r="BE323" i="68"/>
  <c r="BA323" i="68"/>
  <c r="AW323" i="68"/>
  <c r="AS323" i="68"/>
  <c r="AO323" i="68"/>
  <c r="AR307" i="68"/>
  <c r="BU307" i="68"/>
  <c r="BO286" i="68"/>
  <c r="AN286" i="68"/>
  <c r="AO284" i="68"/>
  <c r="AS284" i="68"/>
  <c r="AW284" i="68"/>
  <c r="BA284" i="68"/>
  <c r="BE284" i="68"/>
  <c r="AP284" i="68"/>
  <c r="AX284" i="68"/>
  <c r="BB284" i="68"/>
  <c r="AQ284" i="68"/>
  <c r="AY284" i="68"/>
  <c r="BC284" i="68"/>
  <c r="BG284" i="68"/>
  <c r="AN284" i="68"/>
  <c r="AN194" i="68"/>
  <c r="AR194" i="68"/>
  <c r="AZ194" i="68"/>
  <c r="AP194" i="68"/>
  <c r="AT194" i="68"/>
  <c r="AX194" i="68"/>
  <c r="BF194" i="68"/>
  <c r="BJ194" i="68"/>
  <c r="AS194" i="68"/>
  <c r="BA194" i="68"/>
  <c r="AU194" i="68"/>
  <c r="BC194" i="68"/>
  <c r="AO194" i="68"/>
  <c r="AW194" i="68"/>
  <c r="BE194" i="68"/>
  <c r="BM194" i="68"/>
  <c r="AQ194" i="68"/>
  <c r="BO194" i="68"/>
  <c r="AO192" i="68"/>
  <c r="AS192" i="68"/>
  <c r="AW192" i="68"/>
  <c r="BI192" i="68"/>
  <c r="AP192" i="68"/>
  <c r="AT192" i="68"/>
  <c r="AX192" i="68"/>
  <c r="BB192" i="68"/>
  <c r="BN192" i="68"/>
  <c r="AR192" i="68"/>
  <c r="AV192" i="68"/>
  <c r="AZ192" i="68"/>
  <c r="BD192" i="68"/>
  <c r="BT192" i="68"/>
  <c r="AY192" i="68"/>
  <c r="AQ192" i="68"/>
  <c r="W114" i="68"/>
  <c r="BG114" i="68" s="1"/>
  <c r="AI114" i="68"/>
  <c r="BS114" i="68" s="1"/>
  <c r="S114" i="68"/>
  <c r="BC114" i="68" s="1"/>
  <c r="AE114" i="68"/>
  <c r="BO114" i="68" s="1"/>
  <c r="AJ113" i="68"/>
  <c r="BT113" i="68" s="1"/>
  <c r="T113" i="68"/>
  <c r="BD113" i="68" s="1"/>
  <c r="AF113" i="68"/>
  <c r="BP113" i="68" s="1"/>
  <c r="P113" i="68"/>
  <c r="AZ113" i="68" s="1"/>
  <c r="AB113" i="68"/>
  <c r="BL113" i="68" s="1"/>
  <c r="Y112" i="68"/>
  <c r="BI112" i="68" s="1"/>
  <c r="AK112" i="68"/>
  <c r="BU112" i="68" s="1"/>
  <c r="U112" i="68"/>
  <c r="BE112" i="68" s="1"/>
  <c r="AG112" i="68"/>
  <c r="BQ112" i="68" s="1"/>
  <c r="Q112" i="68"/>
  <c r="BA112" i="68" s="1"/>
  <c r="AC112" i="68"/>
  <c r="AW111" i="68"/>
  <c r="Y111" i="68"/>
  <c r="BI111" i="68" s="1"/>
  <c r="AK111" i="68"/>
  <c r="BU111" i="68" s="1"/>
  <c r="AS111" i="68"/>
  <c r="U111" i="68"/>
  <c r="BE111" i="68" s="1"/>
  <c r="AG111" i="68"/>
  <c r="BQ111" i="68" s="1"/>
  <c r="AO111" i="68"/>
  <c r="Q111" i="68"/>
  <c r="BA111" i="68" s="1"/>
  <c r="AC111" i="68"/>
  <c r="BM111" i="68" s="1"/>
  <c r="Y110" i="68"/>
  <c r="BI110" i="68" s="1"/>
  <c r="AK110" i="68"/>
  <c r="BU110" i="68" s="1"/>
  <c r="U110" i="68"/>
  <c r="BE110" i="68" s="1"/>
  <c r="AG110" i="68"/>
  <c r="BQ110" i="68" s="1"/>
  <c r="Q110" i="68"/>
  <c r="BA110" i="68" s="1"/>
  <c r="AC110" i="68"/>
  <c r="BM110" i="68" s="1"/>
  <c r="Y109" i="68"/>
  <c r="BI109" i="68" s="1"/>
  <c r="AK109" i="68"/>
  <c r="BU109" i="68" s="1"/>
  <c r="U109" i="68"/>
  <c r="BE109" i="68" s="1"/>
  <c r="AG109" i="68"/>
  <c r="BQ109" i="68" s="1"/>
  <c r="Q109" i="68"/>
  <c r="BA109" i="68" s="1"/>
  <c r="AC109" i="68"/>
  <c r="BM109" i="68" s="1"/>
  <c r="Y108" i="68"/>
  <c r="BI108" i="68" s="1"/>
  <c r="AK108" i="68"/>
  <c r="BU108" i="68" s="1"/>
  <c r="U108" i="68"/>
  <c r="BE108" i="68" s="1"/>
  <c r="AG108" i="68"/>
  <c r="BQ108" i="68" s="1"/>
  <c r="F44" i="85"/>
  <c r="S44" i="85" s="1"/>
  <c r="E108" i="68" s="1"/>
  <c r="Y107" i="68"/>
  <c r="BI107" i="68" s="1"/>
  <c r="AK107" i="68"/>
  <c r="BU107" i="68" s="1"/>
  <c r="Q107" i="68"/>
  <c r="BA107" i="68" s="1"/>
  <c r="AC107" i="68"/>
  <c r="BM107" i="68" s="1"/>
  <c r="Y106" i="68"/>
  <c r="BI106" i="68" s="1"/>
  <c r="AK106" i="68"/>
  <c r="BU106" i="68" s="1"/>
  <c r="U105" i="68"/>
  <c r="BE105" i="68" s="1"/>
  <c r="Y104" i="68"/>
  <c r="BI104" i="68" s="1"/>
  <c r="AK104" i="68"/>
  <c r="BU104" i="68" s="1"/>
  <c r="U104" i="68"/>
  <c r="BE104" i="68" s="1"/>
  <c r="AG104" i="68"/>
  <c r="BQ104" i="68" s="1"/>
  <c r="AQ104" i="68"/>
  <c r="AU104" i="68"/>
  <c r="AY104" i="68"/>
  <c r="AR104" i="68"/>
  <c r="AV104" i="68"/>
  <c r="AO104" i="68"/>
  <c r="AS104" i="68"/>
  <c r="AW104" i="68"/>
  <c r="AP104" i="68"/>
  <c r="AT104" i="68"/>
  <c r="AX104" i="68"/>
  <c r="W103" i="68"/>
  <c r="BG103" i="68" s="1"/>
  <c r="AI103" i="68"/>
  <c r="BS103" i="68" s="1"/>
  <c r="AE103" i="68"/>
  <c r="BO103" i="68" s="1"/>
  <c r="AN103" i="68"/>
  <c r="AR103" i="68"/>
  <c r="AV103" i="68"/>
  <c r="AO103" i="68"/>
  <c r="AS103" i="68"/>
  <c r="AW103" i="68"/>
  <c r="AP103" i="68"/>
  <c r="AT103" i="68"/>
  <c r="AX103" i="68"/>
  <c r="AQ103" i="68"/>
  <c r="AU103" i="68"/>
  <c r="AY103" i="68"/>
  <c r="W101" i="68"/>
  <c r="BG101" i="68" s="1"/>
  <c r="AI101" i="68"/>
  <c r="BS101" i="68" s="1"/>
  <c r="S101" i="68"/>
  <c r="BC101" i="68" s="1"/>
  <c r="AE101" i="68"/>
  <c r="BO101" i="68" s="1"/>
  <c r="AT101" i="68"/>
  <c r="AX101" i="68"/>
  <c r="AQ101" i="68"/>
  <c r="AU101" i="68"/>
  <c r="AY101" i="68"/>
  <c r="AN101" i="68"/>
  <c r="AR101" i="68"/>
  <c r="AV101" i="68"/>
  <c r="AO101" i="68"/>
  <c r="AS101" i="68"/>
  <c r="AT100" i="68"/>
  <c r="X21" i="68"/>
  <c r="BH21" i="68" s="1"/>
  <c r="AJ21" i="68"/>
  <c r="BT21" i="68" s="1"/>
  <c r="T21" i="68"/>
  <c r="BD21" i="68" s="1"/>
  <c r="AF21" i="68"/>
  <c r="BP21" i="68" s="1"/>
  <c r="P21" i="68"/>
  <c r="AZ21" i="68" s="1"/>
  <c r="AB21" i="68"/>
  <c r="BL21" i="68" s="1"/>
  <c r="U20" i="68"/>
  <c r="BE20" i="68" s="1"/>
  <c r="Y19" i="68"/>
  <c r="AK19" i="68"/>
  <c r="BU19" i="68" s="1"/>
  <c r="U19" i="68"/>
  <c r="BE19" i="68" s="1"/>
  <c r="AG19" i="68"/>
  <c r="BQ19" i="68" s="1"/>
  <c r="Q19" i="68"/>
  <c r="BA19" i="68" s="1"/>
  <c r="AC19" i="68"/>
  <c r="BM19" i="68" s="1"/>
  <c r="Y18" i="68"/>
  <c r="BI18" i="68" s="1"/>
  <c r="AK18" i="68"/>
  <c r="BU18" i="68" s="1"/>
  <c r="U18" i="68"/>
  <c r="BE18" i="68" s="1"/>
  <c r="AG18" i="68"/>
  <c r="BQ18" i="68" s="1"/>
  <c r="Q18" i="68"/>
  <c r="BA18" i="68" s="1"/>
  <c r="AC18" i="68"/>
  <c r="BM18" i="68" s="1"/>
  <c r="Y17" i="68"/>
  <c r="BI17" i="68" s="1"/>
  <c r="AK17" i="68"/>
  <c r="BU17" i="68" s="1"/>
  <c r="U17" i="68"/>
  <c r="BE17" i="68" s="1"/>
  <c r="AG17" i="68"/>
  <c r="BQ17" i="68" s="1"/>
  <c r="Q17" i="68"/>
  <c r="BA17" i="68" s="1"/>
  <c r="AC17" i="68"/>
  <c r="BM17" i="68" s="1"/>
  <c r="Y16" i="68"/>
  <c r="BI16" i="68" s="1"/>
  <c r="AK16" i="68"/>
  <c r="BU16" i="68" s="1"/>
  <c r="U16" i="68"/>
  <c r="AG16" i="68"/>
  <c r="F20" i="85"/>
  <c r="S20" i="85" s="1"/>
  <c r="E16" i="68" s="1"/>
  <c r="Y15" i="68"/>
  <c r="BI15" i="68" s="1"/>
  <c r="AK15" i="68"/>
  <c r="BU15" i="68" s="1"/>
  <c r="U15" i="68"/>
  <c r="BE15" i="68" s="1"/>
  <c r="AG15" i="68"/>
  <c r="BQ15" i="68" s="1"/>
  <c r="Q15" i="68"/>
  <c r="BA15" i="68" s="1"/>
  <c r="AC15" i="68"/>
  <c r="BM15" i="68" s="1"/>
  <c r="Y13" i="68"/>
  <c r="BI13" i="68" s="1"/>
  <c r="AK13" i="68"/>
  <c r="BU13" i="68" s="1"/>
  <c r="U13" i="68"/>
  <c r="BE13" i="68" s="1"/>
  <c r="AG13" i="68"/>
  <c r="BQ13" i="68" s="1"/>
  <c r="Q13" i="68"/>
  <c r="BA13" i="68" s="1"/>
  <c r="AC13" i="68"/>
  <c r="BM13" i="68" s="1"/>
  <c r="Y12" i="68"/>
  <c r="BI12" i="68" s="1"/>
  <c r="AK12" i="68"/>
  <c r="BU12" i="68" s="1"/>
  <c r="U12" i="68"/>
  <c r="BE12" i="68" s="1"/>
  <c r="AG12" i="68"/>
  <c r="BQ12" i="68" s="1"/>
  <c r="AT12" i="68"/>
  <c r="AX12" i="68"/>
  <c r="AQ12" i="68"/>
  <c r="AU12" i="68"/>
  <c r="AY12" i="68"/>
  <c r="AR12" i="68"/>
  <c r="AO12" i="68"/>
  <c r="AS12" i="68"/>
  <c r="AW12" i="68"/>
  <c r="W11" i="68"/>
  <c r="BG11" i="68" s="1"/>
  <c r="AI11" i="68"/>
  <c r="BS11" i="68" s="1"/>
  <c r="S11" i="68"/>
  <c r="BC11" i="68" s="1"/>
  <c r="AE11" i="68"/>
  <c r="BO11" i="68" s="1"/>
  <c r="AQ11" i="68"/>
  <c r="AU11" i="68"/>
  <c r="AY11" i="68"/>
  <c r="AN11" i="68"/>
  <c r="AR11" i="68"/>
  <c r="AV11" i="68"/>
  <c r="AO11" i="68"/>
  <c r="AS11" i="68"/>
  <c r="AW11" i="68"/>
  <c r="AP11" i="68"/>
  <c r="AX11" i="68"/>
  <c r="W10" i="68"/>
  <c r="BG10" i="68" s="1"/>
  <c r="AI10" i="68"/>
  <c r="BS10" i="68" s="1"/>
  <c r="S10" i="68"/>
  <c r="BC10" i="68" s="1"/>
  <c r="AE10" i="68"/>
  <c r="BO10" i="68" s="1"/>
  <c r="AN10" i="68"/>
  <c r="AR10" i="68"/>
  <c r="AV10" i="68"/>
  <c r="AO10" i="68"/>
  <c r="AS10" i="68"/>
  <c r="AW10" i="68"/>
  <c r="AT10" i="68"/>
  <c r="AX10" i="68"/>
  <c r="AQ10" i="68"/>
  <c r="AU10" i="68"/>
  <c r="AY10" i="68"/>
  <c r="W9" i="68"/>
  <c r="BG9" i="68" s="1"/>
  <c r="AI9" i="68"/>
  <c r="BS9" i="68" s="1"/>
  <c r="S9" i="68"/>
  <c r="BC9" i="68" s="1"/>
  <c r="AE9" i="68"/>
  <c r="BO9" i="68" s="1"/>
  <c r="AS9" i="68"/>
  <c r="AP9" i="68"/>
  <c r="AT9" i="68"/>
  <c r="AX9" i="68"/>
  <c r="AQ9" i="68"/>
  <c r="AU9" i="68"/>
  <c r="AY9" i="68"/>
  <c r="AN9" i="68"/>
  <c r="AV9" i="68"/>
  <c r="AQ8" i="68"/>
  <c r="AR8" i="68"/>
  <c r="AV8" i="68"/>
  <c r="AS8" i="68"/>
  <c r="I42" i="104"/>
  <c r="BG443" i="68"/>
  <c r="V155" i="88" s="1"/>
  <c r="V156" i="88" s="1"/>
  <c r="AU443" i="68"/>
  <c r="J155" i="88" s="1"/>
  <c r="J156" i="88" s="1"/>
  <c r="BT435" i="68"/>
  <c r="AV435" i="68"/>
  <c r="AR435" i="68"/>
  <c r="AL430" i="68"/>
  <c r="BV430" i="68" s="1"/>
  <c r="AH430" i="68"/>
  <c r="BR430" i="68" s="1"/>
  <c r="AT413" i="68"/>
  <c r="BH409" i="68"/>
  <c r="BT405" i="68"/>
  <c r="BL405" i="68"/>
  <c r="AV405" i="68"/>
  <c r="AR405" i="68"/>
  <c r="AH384" i="68"/>
  <c r="BR384" i="68" s="1"/>
  <c r="AI383" i="68"/>
  <c r="BS383" i="68" s="1"/>
  <c r="AH380" i="68"/>
  <c r="AH376" i="68"/>
  <c r="BR376" i="68" s="1"/>
  <c r="AH372" i="68"/>
  <c r="BR372" i="68" s="1"/>
  <c r="BD351" i="68"/>
  <c r="AZ351" i="68"/>
  <c r="AV351" i="68"/>
  <c r="AR351" i="68"/>
  <c r="BT327" i="68"/>
  <c r="BD327" i="68"/>
  <c r="AZ327" i="68"/>
  <c r="AV327" i="68"/>
  <c r="AR327" i="68"/>
  <c r="BT323" i="68"/>
  <c r="BL323" i="68"/>
  <c r="BD323" i="68"/>
  <c r="AZ323" i="68"/>
  <c r="AV323" i="68"/>
  <c r="AR323" i="68"/>
  <c r="BE317" i="68"/>
  <c r="BA317" i="68"/>
  <c r="AW317" i="68"/>
  <c r="AS317" i="68"/>
  <c r="BR311" i="68"/>
  <c r="BJ311" i="68"/>
  <c r="BB311" i="68"/>
  <c r="AT311" i="68"/>
  <c r="BB309" i="68"/>
  <c r="AT309" i="68"/>
  <c r="AS298" i="68"/>
  <c r="BC258" i="68"/>
  <c r="AY258" i="68"/>
  <c r="AU258" i="68"/>
  <c r="AQ258" i="68"/>
  <c r="AN257" i="68"/>
  <c r="BS237" i="68"/>
  <c r="BO237" i="68"/>
  <c r="BK237" i="68"/>
  <c r="BG237" i="68"/>
  <c r="BC237" i="68"/>
  <c r="AY237" i="68"/>
  <c r="AU237" i="68"/>
  <c r="AQ237" i="68"/>
  <c r="BU236" i="68"/>
  <c r="BM236" i="68"/>
  <c r="BE236" i="68"/>
  <c r="BA236" i="68"/>
  <c r="AW236" i="68"/>
  <c r="AS236" i="68"/>
  <c r="AO236" i="68"/>
  <c r="BS235" i="68"/>
  <c r="BK235" i="68"/>
  <c r="BC235" i="68"/>
  <c r="AY235" i="68"/>
  <c r="AU235" i="68"/>
  <c r="AQ235" i="68"/>
  <c r="BO233" i="68"/>
  <c r="BC233" i="68"/>
  <c r="AY233" i="68"/>
  <c r="AU233" i="68"/>
  <c r="AQ233" i="68"/>
  <c r="BU232" i="68"/>
  <c r="BQ232" i="68"/>
  <c r="BI232" i="68"/>
  <c r="BE232" i="68"/>
  <c r="BA232" i="68"/>
  <c r="AW232" i="68"/>
  <c r="AS232" i="68"/>
  <c r="AO232" i="68"/>
  <c r="BS225" i="68"/>
  <c r="BK225" i="68"/>
  <c r="BC225" i="68"/>
  <c r="AY225" i="68"/>
  <c r="AU225" i="68"/>
  <c r="AQ225" i="68"/>
  <c r="BT224" i="68"/>
  <c r="BP224" i="68"/>
  <c r="BH224" i="68"/>
  <c r="BD224" i="68"/>
  <c r="AZ224" i="68"/>
  <c r="AV224" i="68"/>
  <c r="AR224" i="68"/>
  <c r="BM223" i="68"/>
  <c r="AW223" i="68"/>
  <c r="BT220" i="68"/>
  <c r="BP220" i="68"/>
  <c r="BL220" i="68"/>
  <c r="BH220" i="68"/>
  <c r="BD220" i="68"/>
  <c r="AZ220" i="68"/>
  <c r="AV220" i="68"/>
  <c r="AR220" i="68"/>
  <c r="BQ219" i="68"/>
  <c r="BE219" i="68"/>
  <c r="BA219" i="68"/>
  <c r="AW219" i="68"/>
  <c r="AS219" i="68"/>
  <c r="AO219" i="68"/>
  <c r="BC217" i="68"/>
  <c r="AY217" i="68"/>
  <c r="AU217" i="68"/>
  <c r="AQ217" i="68"/>
  <c r="BP216" i="68"/>
  <c r="BD216" i="68"/>
  <c r="AZ216" i="68"/>
  <c r="AV216" i="68"/>
  <c r="AR216" i="68"/>
  <c r="AU262" i="68"/>
  <c r="AZ259" i="68"/>
  <c r="AR259" i="68"/>
  <c r="BE258" i="68"/>
  <c r="BA258" i="68"/>
  <c r="AW258" i="68"/>
  <c r="AS258" i="68"/>
  <c r="BE237" i="68"/>
  <c r="BA237" i="68"/>
  <c r="AW237" i="68"/>
  <c r="AS237" i="68"/>
  <c r="AO237" i="68"/>
  <c r="BC236" i="68"/>
  <c r="AY236" i="68"/>
  <c r="AU236" i="68"/>
  <c r="BQ235" i="68"/>
  <c r="BI235" i="68"/>
  <c r="BE235" i="68"/>
  <c r="BA235" i="68"/>
  <c r="AW235" i="68"/>
  <c r="AS235" i="68"/>
  <c r="AO235" i="68"/>
  <c r="BU233" i="68"/>
  <c r="BQ233" i="68"/>
  <c r="BM233" i="68"/>
  <c r="BI233" i="68"/>
  <c r="BE233" i="68"/>
  <c r="BA233" i="68"/>
  <c r="AW233" i="68"/>
  <c r="AS233" i="68"/>
  <c r="AO233" i="68"/>
  <c r="BS232" i="68"/>
  <c r="BC232" i="68"/>
  <c r="AY232" i="68"/>
  <c r="AU232" i="68"/>
  <c r="BU225" i="68"/>
  <c r="BQ225" i="68"/>
  <c r="BM225" i="68"/>
  <c r="BE225" i="68"/>
  <c r="BA225" i="68"/>
  <c r="AW225" i="68"/>
  <c r="AS225" i="68"/>
  <c r="AO225" i="68"/>
  <c r="BG219" i="68"/>
  <c r="BC219" i="68"/>
  <c r="AY219" i="68"/>
  <c r="AU219" i="68"/>
  <c r="BM217" i="68"/>
  <c r="BE217" i="68"/>
  <c r="BA217" i="68"/>
  <c r="AW217" i="68"/>
  <c r="AS217" i="68"/>
  <c r="AO217" i="68"/>
  <c r="BD237" i="68"/>
  <c r="AZ237" i="68"/>
  <c r="AV237" i="68"/>
  <c r="AR237" i="68"/>
  <c r="BP235" i="68"/>
  <c r="BD235" i="68"/>
  <c r="AZ235" i="68"/>
  <c r="AV235" i="68"/>
  <c r="AR235" i="68"/>
  <c r="BD233" i="68"/>
  <c r="AZ233" i="68"/>
  <c r="AV233" i="68"/>
  <c r="AR233" i="68"/>
  <c r="BD225" i="68"/>
  <c r="AZ225" i="68"/>
  <c r="AV225" i="68"/>
  <c r="AR225" i="68"/>
  <c r="AT223" i="68"/>
  <c r="BT217" i="68"/>
  <c r="BL217" i="68"/>
  <c r="BD217" i="68"/>
  <c r="AZ217" i="68"/>
  <c r="AV217" i="68"/>
  <c r="AR217" i="68"/>
  <c r="BU182" i="68"/>
  <c r="AJ61" i="88" s="1"/>
  <c r="AJ62" i="88" s="1"/>
  <c r="BQ182" i="68"/>
  <c r="AF61" i="88" s="1"/>
  <c r="AF62" i="88" s="1"/>
  <c r="BM182" i="68"/>
  <c r="AB61" i="88" s="1"/>
  <c r="AB62" i="88" s="1"/>
  <c r="BI182" i="68"/>
  <c r="X61" i="88" s="1"/>
  <c r="X62" i="88" s="1"/>
  <c r="BE182" i="68"/>
  <c r="T61" i="88" s="1"/>
  <c r="T62" i="88" s="1"/>
  <c r="BA182" i="68"/>
  <c r="P61" i="88" s="1"/>
  <c r="P62" i="88" s="1"/>
  <c r="AW182" i="68"/>
  <c r="L61" i="88" s="1"/>
  <c r="L62" i="88" s="1"/>
  <c r="AS182" i="68"/>
  <c r="H61" i="88" s="1"/>
  <c r="AO182" i="68"/>
  <c r="D61" i="88" s="1"/>
  <c r="BE148" i="68"/>
  <c r="AW148" i="68"/>
  <c r="AS148" i="68"/>
  <c r="AO148" i="68"/>
  <c r="BK90" i="68"/>
  <c r="Z28" i="88" s="1"/>
  <c r="Z29" i="88" s="1"/>
  <c r="BC90" i="68"/>
  <c r="R28" i="88" s="1"/>
  <c r="R29" i="88" s="1"/>
  <c r="AY90" i="68"/>
  <c r="N28" i="88" s="1"/>
  <c r="N29" i="88" s="1"/>
  <c r="AU90" i="68"/>
  <c r="J28" i="88" s="1"/>
  <c r="J29" i="88" s="1"/>
  <c r="AQ90" i="68"/>
  <c r="F28" i="88" s="1"/>
  <c r="BQ80" i="68"/>
  <c r="AW80" i="68"/>
  <c r="AS80" i="68"/>
  <c r="AO80" i="68"/>
  <c r="AW76" i="68"/>
  <c r="AS76" i="68"/>
  <c r="AO76" i="68"/>
  <c r="AX53" i="68"/>
  <c r="BJ90" i="68"/>
  <c r="Y28" i="88" s="1"/>
  <c r="Y29" i="88" s="1"/>
  <c r="BF90" i="68"/>
  <c r="U28" i="88" s="1"/>
  <c r="U29" i="88" s="1"/>
  <c r="AX90" i="68"/>
  <c r="M28" i="88" s="1"/>
  <c r="M29" i="88" s="1"/>
  <c r="AT90" i="68"/>
  <c r="I28" i="88" s="1"/>
  <c r="I29" i="88" s="1"/>
  <c r="E28" i="88"/>
  <c r="E29" i="88" s="1"/>
  <c r="AQ53" i="68"/>
  <c r="AU53" i="68"/>
  <c r="AY53" i="68"/>
  <c r="BC53" i="68"/>
  <c r="BK53" i="68"/>
  <c r="BS53" i="68"/>
  <c r="AO53" i="68"/>
  <c r="AS53" i="68"/>
  <c r="AW53" i="68"/>
  <c r="BM53" i="68"/>
  <c r="BU53" i="68"/>
  <c r="AP51" i="68"/>
  <c r="AT51" i="68"/>
  <c r="AX51" i="68"/>
  <c r="BV51" i="68"/>
  <c r="AQ51" i="68"/>
  <c r="AU51" i="68"/>
  <c r="AY51" i="68"/>
  <c r="BO51" i="68"/>
  <c r="AO51" i="68"/>
  <c r="AS51" i="68"/>
  <c r="AW51" i="68"/>
  <c r="BE51" i="68"/>
  <c r="BM51" i="68"/>
  <c r="BU51" i="68"/>
  <c r="AP49" i="68"/>
  <c r="AT49" i="68"/>
  <c r="AX49" i="68"/>
  <c r="AQ49" i="68"/>
  <c r="AU49" i="68"/>
  <c r="AY49" i="68"/>
  <c r="BO49" i="68"/>
  <c r="AO49" i="68"/>
  <c r="AS49" i="68"/>
  <c r="AW49" i="68"/>
  <c r="BA49" i="68"/>
  <c r="BS182" i="68"/>
  <c r="AH61" i="88" s="1"/>
  <c r="AH62" i="88" s="1"/>
  <c r="BO182" i="68"/>
  <c r="AD61" i="88" s="1"/>
  <c r="AD62" i="88" s="1"/>
  <c r="BK182" i="68"/>
  <c r="Z61" i="88" s="1"/>
  <c r="Z62" i="88" s="1"/>
  <c r="BG182" i="68"/>
  <c r="V61" i="88" s="1"/>
  <c r="V62" i="88" s="1"/>
  <c r="BC182" i="68"/>
  <c r="R61" i="88" s="1"/>
  <c r="R62" i="88" s="1"/>
  <c r="AY182" i="68"/>
  <c r="N61" i="88" s="1"/>
  <c r="N62" i="88" s="1"/>
  <c r="AU182" i="68"/>
  <c r="J61" i="88" s="1"/>
  <c r="AQ182" i="68"/>
  <c r="F61" i="88" s="1"/>
  <c r="BS148" i="68"/>
  <c r="BC148" i="68"/>
  <c r="AY148" i="68"/>
  <c r="AU148" i="68"/>
  <c r="AQ148" i="68"/>
  <c r="BQ90" i="68"/>
  <c r="AF28" i="88" s="1"/>
  <c r="AF29" i="88" s="1"/>
  <c r="BM90" i="68"/>
  <c r="AB28" i="88" s="1"/>
  <c r="AB29" i="88" s="1"/>
  <c r="BI90" i="68"/>
  <c r="X28" i="88" s="1"/>
  <c r="X29" i="88" s="1"/>
  <c r="BE90" i="68"/>
  <c r="T28" i="88" s="1"/>
  <c r="T29" i="88" s="1"/>
  <c r="BA90" i="68"/>
  <c r="P28" i="88" s="1"/>
  <c r="P29" i="88" s="1"/>
  <c r="AW90" i="68"/>
  <c r="L28" i="88" s="1"/>
  <c r="AS90" i="68"/>
  <c r="H28" i="88" s="1"/>
  <c r="H29" i="88" s="1"/>
  <c r="BO80" i="68"/>
  <c r="BG80" i="68"/>
  <c r="AY80" i="68"/>
  <c r="AU80" i="68"/>
  <c r="AQ80" i="68"/>
  <c r="BG76" i="68"/>
  <c r="AY76" i="68"/>
  <c r="AU76" i="68"/>
  <c r="AQ76" i="68"/>
  <c r="BA58" i="68"/>
  <c r="AQ54" i="68"/>
  <c r="AU54" i="68"/>
  <c r="AY54" i="68"/>
  <c r="BK54" i="68"/>
  <c r="BS54" i="68"/>
  <c r="AO54" i="68"/>
  <c r="AS54" i="68"/>
  <c r="AW54" i="68"/>
  <c r="AT53" i="68"/>
  <c r="BP49" i="68"/>
  <c r="AZ49" i="68"/>
  <c r="BV182" i="68"/>
  <c r="AK61" i="88" s="1"/>
  <c r="AK62" i="88" s="1"/>
  <c r="BR182" i="68"/>
  <c r="AG61" i="88" s="1"/>
  <c r="AG62" i="88" s="1"/>
  <c r="BN182" i="68"/>
  <c r="AC61" i="88" s="1"/>
  <c r="AC62" i="88" s="1"/>
  <c r="BJ182" i="68"/>
  <c r="Y61" i="88" s="1"/>
  <c r="Y62" i="88" s="1"/>
  <c r="BF182" i="68"/>
  <c r="U61" i="88" s="1"/>
  <c r="U62" i="88" s="1"/>
  <c r="BB182" i="68"/>
  <c r="Q61" i="88" s="1"/>
  <c r="Q62" i="88" s="1"/>
  <c r="AX182" i="68"/>
  <c r="M61" i="88" s="1"/>
  <c r="M62" i="88" s="1"/>
  <c r="AT182" i="68"/>
  <c r="I61" i="88" s="1"/>
  <c r="AX148" i="68"/>
  <c r="AT148" i="68"/>
  <c r="AV90" i="68"/>
  <c r="K28" i="88" s="1"/>
  <c r="K29" i="88" s="1"/>
  <c r="AR90" i="68"/>
  <c r="G28" i="88" s="1"/>
  <c r="G29" i="88" s="1"/>
  <c r="BV80" i="68"/>
  <c r="BF80" i="68"/>
  <c r="AX80" i="68"/>
  <c r="AT80" i="68"/>
  <c r="BV76" i="68"/>
  <c r="BN76" i="68"/>
  <c r="AX76" i="68"/>
  <c r="AT76" i="68"/>
  <c r="AQ59" i="68"/>
  <c r="AU59" i="68"/>
  <c r="AY59" i="68"/>
  <c r="BG59" i="68"/>
  <c r="AO59" i="68"/>
  <c r="AS59" i="68"/>
  <c r="AW59" i="68"/>
  <c r="BI59" i="68"/>
  <c r="BM59" i="68"/>
  <c r="BQ59" i="68"/>
  <c r="AP55" i="68"/>
  <c r="AT55" i="68"/>
  <c r="AX55" i="68"/>
  <c r="BB55" i="68"/>
  <c r="BJ55" i="68"/>
  <c r="BR55" i="68"/>
  <c r="AR55" i="68"/>
  <c r="AV55" i="68"/>
  <c r="BT55" i="68"/>
  <c r="BR54" i="68"/>
  <c r="BJ54" i="68"/>
  <c r="BB54" i="68"/>
  <c r="AT54" i="68"/>
  <c r="AR53" i="68"/>
  <c r="AY52" i="68"/>
  <c r="BE52" i="68"/>
  <c r="AV51" i="68"/>
  <c r="AP50" i="68"/>
  <c r="AT50" i="68"/>
  <c r="AX50" i="68"/>
  <c r="BN50" i="68"/>
  <c r="BV50" i="68"/>
  <c r="AQ50" i="68"/>
  <c r="AU50" i="68"/>
  <c r="AY50" i="68"/>
  <c r="BG50" i="68"/>
  <c r="BO50" i="68"/>
  <c r="AO50" i="68"/>
  <c r="AS50" i="68"/>
  <c r="AW50" i="68"/>
  <c r="BE50" i="68"/>
  <c r="AV49" i="68"/>
  <c r="AS38" i="68"/>
  <c r="I122" i="85"/>
  <c r="D23" i="105"/>
  <c r="D24" i="105" s="1"/>
  <c r="H371" i="68"/>
  <c r="J113" i="85"/>
  <c r="K113" i="85" s="1"/>
  <c r="AK377" i="68"/>
  <c r="BU377" i="68" s="1"/>
  <c r="AQ79" i="68"/>
  <c r="AU79" i="68"/>
  <c r="AY79" i="68"/>
  <c r="AN79" i="68"/>
  <c r="AR79" i="68"/>
  <c r="AV79" i="68"/>
  <c r="BH79" i="68"/>
  <c r="AO79" i="68"/>
  <c r="AS79" i="68"/>
  <c r="AW79" i="68"/>
  <c r="BA79" i="68"/>
  <c r="BI79" i="68"/>
  <c r="BQ79" i="68"/>
  <c r="AP79" i="68"/>
  <c r="AT79" i="68"/>
  <c r="AX79" i="68"/>
  <c r="BF79" i="68"/>
  <c r="BJ79" i="68"/>
  <c r="BR79" i="68"/>
  <c r="AH297" i="127"/>
  <c r="E75" i="76"/>
  <c r="I371" i="68"/>
  <c r="AC371" i="68" s="1"/>
  <c r="BM371" i="68" s="1"/>
  <c r="BC296" i="68"/>
  <c r="X430" i="68"/>
  <c r="BH430" i="68" s="1"/>
  <c r="N430" i="68"/>
  <c r="AX430" i="68" s="1"/>
  <c r="AT258" i="68"/>
  <c r="BD258" i="68"/>
  <c r="AO258" i="68"/>
  <c r="BB258" i="68"/>
  <c r="AR258" i="68"/>
  <c r="BL258" i="68"/>
  <c r="AV258" i="68"/>
  <c r="BA298" i="68"/>
  <c r="BE316" i="68"/>
  <c r="AN405" i="68"/>
  <c r="AP405" i="68"/>
  <c r="AT405" i="68"/>
  <c r="N375" i="68"/>
  <c r="AX375" i="68" s="1"/>
  <c r="X375" i="68"/>
  <c r="N373" i="68"/>
  <c r="AX373" i="68" s="1"/>
  <c r="X373" i="68"/>
  <c r="BH373" i="68" s="1"/>
  <c r="AO434" i="68"/>
  <c r="AW434" i="68"/>
  <c r="BM434" i="68"/>
  <c r="AP393" i="68"/>
  <c r="BJ395" i="68"/>
  <c r="AQ397" i="68"/>
  <c r="AV392" i="68"/>
  <c r="BJ394" i="68"/>
  <c r="AP396" i="68"/>
  <c r="AV398" i="68"/>
  <c r="N386" i="68"/>
  <c r="AH386" i="68"/>
  <c r="N385" i="68"/>
  <c r="AX385" i="68" s="1"/>
  <c r="AH385" i="68"/>
  <c r="BR385" i="68" s="1"/>
  <c r="BA352" i="68"/>
  <c r="AO329" i="68"/>
  <c r="AS329" i="68"/>
  <c r="AW329" i="68"/>
  <c r="BA329" i="68"/>
  <c r="BE329" i="68"/>
  <c r="BJ329" i="68"/>
  <c r="BR329" i="68"/>
  <c r="AP329" i="68"/>
  <c r="AT329" i="68"/>
  <c r="AX329" i="68"/>
  <c r="BB329" i="68"/>
  <c r="AQ329" i="68"/>
  <c r="AU329" i="68"/>
  <c r="AY329" i="68"/>
  <c r="BC329" i="68"/>
  <c r="BB327" i="68"/>
  <c r="BJ327" i="68"/>
  <c r="AP327" i="68"/>
  <c r="BV327" i="68"/>
  <c r="AT327" i="68"/>
  <c r="BR258" i="68"/>
  <c r="AP435" i="68"/>
  <c r="AT435" i="68"/>
  <c r="N380" i="68"/>
  <c r="X380" i="68"/>
  <c r="BH380" i="68" s="1"/>
  <c r="N376" i="68"/>
  <c r="AX376" i="68" s="1"/>
  <c r="X376" i="68"/>
  <c r="BH376" i="68" s="1"/>
  <c r="N374" i="68"/>
  <c r="AX374" i="68" s="1"/>
  <c r="X374" i="68"/>
  <c r="AS430" i="68"/>
  <c r="S430" i="68"/>
  <c r="BC430" i="68" s="1"/>
  <c r="P430" i="68"/>
  <c r="AZ430" i="68" s="1"/>
  <c r="AJ430" i="68"/>
  <c r="BT430" i="68" s="1"/>
  <c r="Z412" i="68"/>
  <c r="BJ412" i="68" s="1"/>
  <c r="AJ412" i="68"/>
  <c r="BT412" i="68" s="1"/>
  <c r="AN408" i="68"/>
  <c r="AJ406" i="68"/>
  <c r="BT406" i="68" s="1"/>
  <c r="AN406" i="68"/>
  <c r="BR406" i="68"/>
  <c r="AP352" i="68"/>
  <c r="AT352" i="68"/>
  <c r="AX352" i="68"/>
  <c r="BB352" i="68"/>
  <c r="AQ352" i="68"/>
  <c r="AU352" i="68"/>
  <c r="AY352" i="68"/>
  <c r="BC352" i="68"/>
  <c r="AN352" i="68"/>
  <c r="AR352" i="68"/>
  <c r="AV352" i="68"/>
  <c r="AZ352" i="68"/>
  <c r="BD352" i="68"/>
  <c r="BK352" i="68"/>
  <c r="BS352" i="68"/>
  <c r="AO317" i="68"/>
  <c r="AP317" i="68"/>
  <c r="AX317" i="68"/>
  <c r="AQ317" i="68"/>
  <c r="AY317" i="68"/>
  <c r="AT317" i="68"/>
  <c r="BB317" i="68"/>
  <c r="AV309" i="68"/>
  <c r="AN309" i="68"/>
  <c r="AZ309" i="68"/>
  <c r="BD309" i="68"/>
  <c r="AP309" i="68"/>
  <c r="BH309" i="68"/>
  <c r="AR309" i="68"/>
  <c r="BL309" i="68"/>
  <c r="AA259" i="68"/>
  <c r="BK259" i="68" s="1"/>
  <c r="U413" i="68"/>
  <c r="BE413" i="68" s="1"/>
  <c r="AX411" i="68"/>
  <c r="BD404" i="68"/>
  <c r="AR404" i="68"/>
  <c r="BD397" i="68"/>
  <c r="AI386" i="68"/>
  <c r="AI385" i="68"/>
  <c r="BS385" i="68" s="1"/>
  <c r="AI384" i="68"/>
  <c r="BS384" i="68" s="1"/>
  <c r="AH378" i="68"/>
  <c r="BR378" i="68" s="1"/>
  <c r="AH377" i="68"/>
  <c r="BR377" i="68" s="1"/>
  <c r="Y374" i="68"/>
  <c r="BI374" i="68" s="1"/>
  <c r="BT352" i="68"/>
  <c r="AS348" i="68"/>
  <c r="BO329" i="68"/>
  <c r="BK329" i="68"/>
  <c r="BQ326" i="68"/>
  <c r="BH326" i="68"/>
  <c r="BB326" i="68"/>
  <c r="AX326" i="68"/>
  <c r="AT326" i="68"/>
  <c r="AP326" i="68"/>
  <c r="AX323" i="68"/>
  <c r="AX315" i="68"/>
  <c r="AP315" i="68"/>
  <c r="BS315" i="68"/>
  <c r="BK315" i="68"/>
  <c r="AU314" i="68"/>
  <c r="AN313" i="68"/>
  <c r="AV313" i="68"/>
  <c r="BD313" i="68"/>
  <c r="AN311" i="68"/>
  <c r="AX311" i="68"/>
  <c r="AZ310" i="68"/>
  <c r="AS310" i="68"/>
  <c r="AP306" i="68"/>
  <c r="AT306" i="68"/>
  <c r="AX306" i="68"/>
  <c r="BB306" i="68"/>
  <c r="BB263" i="68"/>
  <c r="AS263" i="68"/>
  <c r="AF259" i="68"/>
  <c r="BP259" i="68" s="1"/>
  <c r="AX259" i="68"/>
  <c r="BE249" i="68"/>
  <c r="BB235" i="68"/>
  <c r="AN235" i="68"/>
  <c r="AX235" i="68"/>
  <c r="AP235" i="68"/>
  <c r="AN224" i="68"/>
  <c r="BV224" i="68"/>
  <c r="AT224" i="68"/>
  <c r="BA224" i="68"/>
  <c r="AO224" i="68"/>
  <c r="AU224" i="68"/>
  <c r="BC224" i="68"/>
  <c r="BS224" i="68"/>
  <c r="BF224" i="68"/>
  <c r="AP224" i="68"/>
  <c r="AX224" i="68"/>
  <c r="BE224" i="68"/>
  <c r="AQ219" i="68"/>
  <c r="AP219" i="68"/>
  <c r="AX219" i="68"/>
  <c r="BF219" i="68"/>
  <c r="BR219" i="68"/>
  <c r="AR219" i="68"/>
  <c r="AZ219" i="68"/>
  <c r="BV219" i="68"/>
  <c r="BO219" i="68"/>
  <c r="AT219" i="68"/>
  <c r="BB219" i="68"/>
  <c r="AR150" i="68"/>
  <c r="AX150" i="68"/>
  <c r="AZ398" i="68"/>
  <c r="AP361" i="68"/>
  <c r="E127" i="88" s="1"/>
  <c r="E128" i="88" s="1"/>
  <c r="BP348" i="68"/>
  <c r="BU326" i="68"/>
  <c r="BE326" i="68"/>
  <c r="BA326" i="68"/>
  <c r="AW326" i="68"/>
  <c r="AS326" i="68"/>
  <c r="BQ315" i="68"/>
  <c r="BC315" i="68"/>
  <c r="AU315" i="68"/>
  <c r="BL310" i="68"/>
  <c r="AQ310" i="68"/>
  <c r="AV310" i="68"/>
  <c r="BA310" i="68"/>
  <c r="BI310" i="68"/>
  <c r="BA263" i="68"/>
  <c r="BB142" i="68"/>
  <c r="AQ142" i="68"/>
  <c r="AV142" i="68"/>
  <c r="AR142" i="68"/>
  <c r="AW142" i="68"/>
  <c r="AN142" i="68"/>
  <c r="AY142" i="68"/>
  <c r="AO142" i="68"/>
  <c r="AS142" i="68"/>
  <c r="BL352" i="68"/>
  <c r="BQ329" i="68"/>
  <c r="AO263" i="68"/>
  <c r="AW263" i="68"/>
  <c r="BE263" i="68"/>
  <c r="AV249" i="68"/>
  <c r="AZ249" i="68"/>
  <c r="BB249" i="68"/>
  <c r="BV249" i="68"/>
  <c r="BB233" i="68"/>
  <c r="AT233" i="68"/>
  <c r="P168" i="68"/>
  <c r="AZ168" i="68" s="1"/>
  <c r="AB168" i="68"/>
  <c r="BL168" i="68" s="1"/>
  <c r="BL306" i="68"/>
  <c r="BV258" i="68"/>
  <c r="BF258" i="68"/>
  <c r="AX250" i="68"/>
  <c r="BM240" i="68"/>
  <c r="BB240" i="68"/>
  <c r="AW240" i="68"/>
  <c r="AR240" i="68"/>
  <c r="AT234" i="68"/>
  <c r="BF226" i="68"/>
  <c r="AW222" i="68"/>
  <c r="BH222" i="68"/>
  <c r="AN216" i="68"/>
  <c r="BG216" i="68"/>
  <c r="BM215" i="68"/>
  <c r="BC215" i="68"/>
  <c r="AW215" i="68"/>
  <c r="AR215" i="68"/>
  <c r="AX172" i="68"/>
  <c r="AN172" i="68"/>
  <c r="BS172" i="68"/>
  <c r="BD172" i="68"/>
  <c r="AO168" i="68"/>
  <c r="AR168" i="68"/>
  <c r="BA168" i="68"/>
  <c r="AT151" i="68"/>
  <c r="BD151" i="68"/>
  <c r="AW146" i="68"/>
  <c r="AO146" i="68"/>
  <c r="AV145" i="68"/>
  <c r="BR250" i="68"/>
  <c r="AQ238" i="68"/>
  <c r="AV223" i="68"/>
  <c r="BL223" i="68"/>
  <c r="BG222" i="68"/>
  <c r="BK219" i="68"/>
  <c r="BV217" i="68"/>
  <c r="BR217" i="68"/>
  <c r="BU215" i="68"/>
  <c r="BI215" i="68"/>
  <c r="BA215" i="68"/>
  <c r="AV215" i="68"/>
  <c r="E167" i="68"/>
  <c r="AO167" i="68" s="1"/>
  <c r="BE151" i="68"/>
  <c r="AQ151" i="68"/>
  <c r="BD146" i="68"/>
  <c r="AR145" i="68"/>
  <c r="AW145" i="68"/>
  <c r="BS145" i="68"/>
  <c r="AN145" i="68"/>
  <c r="AS145" i="68"/>
  <c r="AY145" i="68"/>
  <c r="BI145" i="68"/>
  <c r="BV58" i="68"/>
  <c r="BF58" i="68"/>
  <c r="BJ219" i="68"/>
  <c r="AP217" i="68"/>
  <c r="AT217" i="68"/>
  <c r="AP215" i="68"/>
  <c r="AT215" i="68"/>
  <c r="AX215" i="68"/>
  <c r="BB215" i="68"/>
  <c r="BH215" i="68"/>
  <c r="AO172" i="68"/>
  <c r="AW172" i="68"/>
  <c r="T168" i="68"/>
  <c r="BD168" i="68" s="1"/>
  <c r="AF168" i="68"/>
  <c r="BP168" i="68" s="1"/>
  <c r="AN161" i="68"/>
  <c r="AR151" i="68"/>
  <c r="AY151" i="68"/>
  <c r="BV146" i="68"/>
  <c r="AR146" i="68"/>
  <c r="AN146" i="68"/>
  <c r="AS146" i="68"/>
  <c r="AY146" i="68"/>
  <c r="AP80" i="68"/>
  <c r="AN80" i="68"/>
  <c r="AR80" i="68"/>
  <c r="BP219" i="68"/>
  <c r="BQ215" i="68"/>
  <c r="AN157" i="68"/>
  <c r="C43" i="88" s="1"/>
  <c r="AJ80" i="127" s="1"/>
  <c r="BT146" i="68"/>
  <c r="BB144" i="68"/>
  <c r="AV143" i="68"/>
  <c r="AQ143" i="68"/>
  <c r="BL142" i="68"/>
  <c r="AN49" i="68"/>
  <c r="AR49" i="68"/>
  <c r="BL145" i="68"/>
  <c r="AT59" i="68"/>
  <c r="AN59" i="68"/>
  <c r="AX59" i="68"/>
  <c r="AP59" i="68"/>
  <c r="AZ59" i="68"/>
  <c r="AV50" i="68"/>
  <c r="BP80" i="68"/>
  <c r="BH80" i="68"/>
  <c r="BD80" i="68"/>
  <c r="AN76" i="68"/>
  <c r="BP59" i="68"/>
  <c r="BH59" i="68"/>
  <c r="BT52" i="68"/>
  <c r="AN197" i="68"/>
  <c r="BB435" i="68"/>
  <c r="AY434" i="68"/>
  <c r="AT434" i="68"/>
  <c r="AP434" i="68"/>
  <c r="AN434" i="68"/>
  <c r="AP430" i="68"/>
  <c r="AO415" i="68"/>
  <c r="AR413" i="68"/>
  <c r="R413" i="68"/>
  <c r="BB413" i="68" s="1"/>
  <c r="AX412" i="68"/>
  <c r="AN409" i="68"/>
  <c r="P406" i="68"/>
  <c r="AZ406" i="68" s="1"/>
  <c r="BV405" i="68"/>
  <c r="AX405" i="68"/>
  <c r="BN434" i="68"/>
  <c r="Z430" i="68"/>
  <c r="BJ430" i="68" s="1"/>
  <c r="BQ434" i="68"/>
  <c r="BA434" i="68"/>
  <c r="AU434" i="68"/>
  <c r="AQ434" i="68"/>
  <c r="BP434" i="68"/>
  <c r="BL413" i="68"/>
  <c r="AP406" i="68"/>
  <c r="BF405" i="68"/>
  <c r="O384" i="68"/>
  <c r="AY384" i="68" s="1"/>
  <c r="AH382" i="68"/>
  <c r="BR382" i="68" s="1"/>
  <c r="AH381" i="68"/>
  <c r="BR381" i="68" s="1"/>
  <c r="O376" i="68"/>
  <c r="AY376" i="68" s="1"/>
  <c r="AH375" i="68"/>
  <c r="AH374" i="68"/>
  <c r="BR374" i="68" s="1"/>
  <c r="AH373" i="68"/>
  <c r="BR373" i="68" s="1"/>
  <c r="BB351" i="68"/>
  <c r="BE348" i="68"/>
  <c r="AO348" i="68"/>
  <c r="BI332" i="68"/>
  <c r="AQ332" i="68"/>
  <c r="BN327" i="68"/>
  <c r="AX327" i="68"/>
  <c r="AN327" i="68"/>
  <c r="BC324" i="68"/>
  <c r="AY324" i="68"/>
  <c r="AU324" i="68"/>
  <c r="AQ324" i="68"/>
  <c r="BV324" i="68"/>
  <c r="BS324" i="68"/>
  <c r="BN324" i="68"/>
  <c r="BK324" i="68"/>
  <c r="BF324" i="68"/>
  <c r="BD315" i="68"/>
  <c r="AZ315" i="68"/>
  <c r="AV315" i="68"/>
  <c r="AR315" i="68"/>
  <c r="AN315" i="68"/>
  <c r="BB314" i="68"/>
  <c r="BJ313" i="68"/>
  <c r="BE313" i="68"/>
  <c r="BA313" i="68"/>
  <c r="AW313" i="68"/>
  <c r="AS313" i="68"/>
  <c r="AO313" i="68"/>
  <c r="BQ263" i="68"/>
  <c r="BI263" i="68"/>
  <c r="BC263" i="68"/>
  <c r="AY263" i="68"/>
  <c r="AU263" i="68"/>
  <c r="AQ263" i="68"/>
  <c r="BV263" i="68"/>
  <c r="BN263" i="68"/>
  <c r="BF263" i="68"/>
  <c r="BN351" i="68"/>
  <c r="AX351" i="68"/>
  <c r="AN351" i="68"/>
  <c r="BC348" i="68"/>
  <c r="AU348" i="68"/>
  <c r="AN347" i="68"/>
  <c r="BH315" i="68"/>
  <c r="AI382" i="68"/>
  <c r="BS382" i="68" s="1"/>
  <c r="AI381" i="68"/>
  <c r="BS381" i="68" s="1"/>
  <c r="AI374" i="68"/>
  <c r="BS374" i="68" s="1"/>
  <c r="BV351" i="68"/>
  <c r="BF351" i="68"/>
  <c r="AY348" i="68"/>
  <c r="AQ348" i="68"/>
  <c r="BL348" i="68"/>
  <c r="AR332" i="68"/>
  <c r="BR327" i="68"/>
  <c r="BD324" i="68"/>
  <c r="AZ324" i="68"/>
  <c r="AV324" i="68"/>
  <c r="AR324" i="68"/>
  <c r="BE315" i="68"/>
  <c r="BA315" i="68"/>
  <c r="AW315" i="68"/>
  <c r="AS315" i="68"/>
  <c r="AO315" i="68"/>
  <c r="BF313" i="68"/>
  <c r="BB313" i="68"/>
  <c r="AX313" i="68"/>
  <c r="AT313" i="68"/>
  <c r="AP313" i="68"/>
  <c r="BB310" i="68"/>
  <c r="AX310" i="68"/>
  <c r="AT310" i="68"/>
  <c r="AP310" i="68"/>
  <c r="BP309" i="68"/>
  <c r="BS263" i="68"/>
  <c r="BK263" i="68"/>
  <c r="BD263" i="68"/>
  <c r="AZ263" i="68"/>
  <c r="AV263" i="68"/>
  <c r="AR263" i="68"/>
  <c r="AN263" i="68"/>
  <c r="BT263" i="68"/>
  <c r="AP259" i="68"/>
  <c r="X259" i="68"/>
  <c r="BH259" i="68" s="1"/>
  <c r="AN258" i="68"/>
  <c r="BJ258" i="68"/>
  <c r="AP258" i="68"/>
  <c r="AX258" i="68"/>
  <c r="V257" i="68"/>
  <c r="BF257" i="68" s="1"/>
  <c r="BU250" i="68"/>
  <c r="BP250" i="68"/>
  <c r="BE250" i="68"/>
  <c r="BA250" i="68"/>
  <c r="AW250" i="68"/>
  <c r="AS250" i="68"/>
  <c r="AO250" i="68"/>
  <c r="BJ250" i="68"/>
  <c r="BS249" i="68"/>
  <c r="BH248" i="68"/>
  <c r="BC248" i="68"/>
  <c r="AU248" i="68"/>
  <c r="AQ248" i="68"/>
  <c r="BQ240" i="68"/>
  <c r="BI240" i="68"/>
  <c r="BC240" i="68"/>
  <c r="AY240" i="68"/>
  <c r="AU240" i="68"/>
  <c r="AQ240" i="68"/>
  <c r="BV237" i="68"/>
  <c r="AP237" i="68"/>
  <c r="AZ236" i="68"/>
  <c r="AR236" i="68"/>
  <c r="AQ236" i="68"/>
  <c r="AX233" i="68"/>
  <c r="AN233" i="68"/>
  <c r="BT232" i="68"/>
  <c r="BL232" i="68"/>
  <c r="BD232" i="68"/>
  <c r="AV232" i="68"/>
  <c r="AN232" i="68"/>
  <c r="BO226" i="68"/>
  <c r="BG226" i="68"/>
  <c r="BB226" i="68"/>
  <c r="AX226" i="68"/>
  <c r="AT226" i="68"/>
  <c r="AP226" i="68"/>
  <c r="BN225" i="68"/>
  <c r="AX225" i="68"/>
  <c r="AN225" i="68"/>
  <c r="BQ224" i="68"/>
  <c r="BI224" i="68"/>
  <c r="BB224" i="68"/>
  <c r="AW224" i="68"/>
  <c r="AQ224" i="68"/>
  <c r="BI222" i="68"/>
  <c r="AQ222" i="68"/>
  <c r="AR222" i="68"/>
  <c r="BD218" i="68"/>
  <c r="BA216" i="68"/>
  <c r="AT216" i="68"/>
  <c r="BC172" i="68"/>
  <c r="AV172" i="68"/>
  <c r="AP172" i="68"/>
  <c r="AS168" i="68"/>
  <c r="AH168" i="68"/>
  <c r="BR168" i="68" s="1"/>
  <c r="AX168" i="68"/>
  <c r="AT168" i="68"/>
  <c r="BJ168" i="68"/>
  <c r="AQ168" i="68"/>
  <c r="AY168" i="68"/>
  <c r="AU151" i="68"/>
  <c r="AP151" i="68"/>
  <c r="AY150" i="68"/>
  <c r="AT150" i="68"/>
  <c r="AN150" i="68"/>
  <c r="AN148" i="68"/>
  <c r="BH218" i="68"/>
  <c r="BF216" i="68"/>
  <c r="AS216" i="68"/>
  <c r="AX216" i="68"/>
  <c r="BC216" i="68"/>
  <c r="BK216" i="68"/>
  <c r="BS216" i="68"/>
  <c r="AO150" i="68"/>
  <c r="AS150" i="68"/>
  <c r="AW150" i="68"/>
  <c r="BC150" i="68"/>
  <c r="BK150" i="68"/>
  <c r="AV148" i="68"/>
  <c r="BM250" i="68"/>
  <c r="BH250" i="68"/>
  <c r="BC250" i="68"/>
  <c r="AY250" i="68"/>
  <c r="AU250" i="68"/>
  <c r="AQ250" i="68"/>
  <c r="BO248" i="68"/>
  <c r="BK248" i="68"/>
  <c r="BA248" i="68"/>
  <c r="AW248" i="68"/>
  <c r="AS248" i="68"/>
  <c r="BN237" i="68"/>
  <c r="AX237" i="68"/>
  <c r="BT236" i="68"/>
  <c r="BL236" i="68"/>
  <c r="BD236" i="68"/>
  <c r="AV236" i="68"/>
  <c r="AN236" i="68"/>
  <c r="BF233" i="68"/>
  <c r="AP233" i="68"/>
  <c r="BP232" i="68"/>
  <c r="BH232" i="68"/>
  <c r="AZ232" i="68"/>
  <c r="AR232" i="68"/>
  <c r="BS226" i="68"/>
  <c r="BK226" i="68"/>
  <c r="BD226" i="68"/>
  <c r="AZ226" i="68"/>
  <c r="AV226" i="68"/>
  <c r="AR226" i="68"/>
  <c r="AN226" i="68"/>
  <c r="BT226" i="68"/>
  <c r="BL226" i="68"/>
  <c r="BV225" i="68"/>
  <c r="BF225" i="68"/>
  <c r="AP225" i="68"/>
  <c r="BJ218" i="68"/>
  <c r="AN217" i="68"/>
  <c r="AX217" i="68"/>
  <c r="BN217" i="68"/>
  <c r="BO216" i="68"/>
  <c r="BE216" i="68"/>
  <c r="AW216" i="68"/>
  <c r="AP216" i="68"/>
  <c r="BJ216" i="68"/>
  <c r="BH172" i="68"/>
  <c r="W168" i="68"/>
  <c r="BG168" i="68" s="1"/>
  <c r="AN168" i="68"/>
  <c r="P167" i="68"/>
  <c r="AZ167" i="68" s="1"/>
  <c r="AN167" i="68"/>
  <c r="BB151" i="68"/>
  <c r="BR151" i="68"/>
  <c r="AO151" i="68"/>
  <c r="AS151" i="68"/>
  <c r="AW151" i="68"/>
  <c r="BK151" i="68"/>
  <c r="BE150" i="68"/>
  <c r="AV150" i="68"/>
  <c r="AQ150" i="68"/>
  <c r="AV248" i="68"/>
  <c r="AR248" i="68"/>
  <c r="BV248" i="68"/>
  <c r="BR236" i="68"/>
  <c r="BJ236" i="68"/>
  <c r="BB236" i="68"/>
  <c r="BQ226" i="68"/>
  <c r="BI226" i="68"/>
  <c r="BC226" i="68"/>
  <c r="AY226" i="68"/>
  <c r="AU226" i="68"/>
  <c r="AQ226" i="68"/>
  <c r="BV226" i="68"/>
  <c r="BN226" i="68"/>
  <c r="BR225" i="68"/>
  <c r="AO218" i="68"/>
  <c r="BM216" i="68"/>
  <c r="BB216" i="68"/>
  <c r="AU216" i="68"/>
  <c r="AO216" i="68"/>
  <c r="AQ172" i="68"/>
  <c r="AU172" i="68"/>
  <c r="AY172" i="68"/>
  <c r="AU168" i="68"/>
  <c r="AL168" i="68"/>
  <c r="BV168" i="68" s="1"/>
  <c r="AU150" i="68"/>
  <c r="AP150" i="68"/>
  <c r="BF150" i="68"/>
  <c r="AR148" i="68"/>
  <c r="BF147" i="68"/>
  <c r="AX147" i="68"/>
  <c r="AT147" i="68"/>
  <c r="AP147" i="68"/>
  <c r="AX146" i="68"/>
  <c r="AT146" i="68"/>
  <c r="AP146" i="68"/>
  <c r="BP146" i="68"/>
  <c r="AX145" i="68"/>
  <c r="AT145" i="68"/>
  <c r="AP145" i="68"/>
  <c r="BH145" i="68"/>
  <c r="AX144" i="68"/>
  <c r="AT144" i="68"/>
  <c r="AP144" i="68"/>
  <c r="BH144" i="68"/>
  <c r="AZ144" i="68"/>
  <c r="BU143" i="68"/>
  <c r="AX143" i="68"/>
  <c r="AT143" i="68"/>
  <c r="AP143" i="68"/>
  <c r="BU142" i="68"/>
  <c r="AX142" i="68"/>
  <c r="AT142" i="68"/>
  <c r="AP142" i="68"/>
  <c r="AZ142" i="68"/>
  <c r="BJ144" i="68"/>
  <c r="AX141" i="68"/>
  <c r="AW55" i="68"/>
  <c r="AO55" i="68"/>
  <c r="BT54" i="68"/>
  <c r="AN54" i="68"/>
  <c r="AR54" i="68"/>
  <c r="AR50" i="68"/>
  <c r="BI55" i="68"/>
  <c r="BA55" i="68"/>
  <c r="AS55" i="68"/>
  <c r="BL54" i="68"/>
  <c r="AV54" i="68"/>
  <c r="AV53" i="68"/>
  <c r="AN51" i="68"/>
  <c r="AZ50" i="68"/>
  <c r="AY55" i="68"/>
  <c r="AR112" i="68"/>
  <c r="AS112" i="68"/>
  <c r="AX112" i="68"/>
  <c r="BB112" i="68"/>
  <c r="AQ112" i="68"/>
  <c r="BK112" i="68"/>
  <c r="BP112" i="68"/>
  <c r="AW112" i="68"/>
  <c r="AU112" i="68"/>
  <c r="AP112" i="68"/>
  <c r="BR112" i="68"/>
  <c r="AY112" i="68"/>
  <c r="AN112" i="68"/>
  <c r="AO112" i="68"/>
  <c r="AT112" i="68"/>
  <c r="BM112" i="68"/>
  <c r="AN203" i="68"/>
  <c r="BA203" i="68"/>
  <c r="BQ203" i="68"/>
  <c r="AX203" i="68"/>
  <c r="BN203" i="68"/>
  <c r="AR203" i="68"/>
  <c r="AO203" i="68"/>
  <c r="BE203" i="68"/>
  <c r="AY203" i="68"/>
  <c r="AV203" i="68"/>
  <c r="BL203" i="68"/>
  <c r="AS203" i="68"/>
  <c r="BI203" i="68"/>
  <c r="AW203" i="68"/>
  <c r="AQ203" i="68"/>
  <c r="AZ203" i="68"/>
  <c r="AT203" i="68"/>
  <c r="BK17" i="68"/>
  <c r="AQ17" i="68"/>
  <c r="AW17" i="68"/>
  <c r="AQ377" i="68"/>
  <c r="BR294" i="68"/>
  <c r="AV17" i="68"/>
  <c r="AX17" i="68"/>
  <c r="AS17" i="68"/>
  <c r="AN377" i="68"/>
  <c r="K15" i="104"/>
  <c r="E15" i="104"/>
  <c r="I15" i="104"/>
  <c r="G15" i="104"/>
  <c r="K9" i="104"/>
  <c r="E9" i="104"/>
  <c r="I9" i="104"/>
  <c r="G9" i="104"/>
  <c r="AN375" i="68"/>
  <c r="BH296" i="68"/>
  <c r="BH293" i="68"/>
  <c r="BV291" i="68"/>
  <c r="A379" i="68"/>
  <c r="B121" i="85"/>
  <c r="B379" i="68" s="1"/>
  <c r="A371" i="68"/>
  <c r="B113" i="85"/>
  <c r="B371" i="68" s="1"/>
  <c r="BG297" i="68"/>
  <c r="A9" i="68"/>
  <c r="B13" i="85"/>
  <c r="B9" i="68" s="1"/>
  <c r="AN404" i="68"/>
  <c r="AX404" i="68"/>
  <c r="AP404" i="68"/>
  <c r="AZ329" i="68"/>
  <c r="BS329" i="68"/>
  <c r="AN329" i="68"/>
  <c r="BD329" i="68"/>
  <c r="AS324" i="68"/>
  <c r="BA324" i="68"/>
  <c r="BP324" i="68"/>
  <c r="BO324" i="68"/>
  <c r="AT324" i="68"/>
  <c r="BB324" i="68"/>
  <c r="BU324" i="68"/>
  <c r="BB323" i="68"/>
  <c r="AX236" i="68"/>
  <c r="BF236" i="68"/>
  <c r="BN236" i="68"/>
  <c r="B44" i="85"/>
  <c r="B108" i="68" s="1"/>
  <c r="B43" i="85"/>
  <c r="B107" i="68" s="1"/>
  <c r="B42" i="85"/>
  <c r="B106" i="68" s="1"/>
  <c r="B41" i="85"/>
  <c r="B105" i="68" s="1"/>
  <c r="B39" i="85"/>
  <c r="B103" i="68" s="1"/>
  <c r="B20" i="85"/>
  <c r="B16" i="68" s="1"/>
  <c r="E35" i="104"/>
  <c r="I35" i="104"/>
  <c r="AY415" i="68"/>
  <c r="AN415" i="68"/>
  <c r="AT404" i="68"/>
  <c r="AV329" i="68"/>
  <c r="AP324" i="68"/>
  <c r="AS238" i="68"/>
  <c r="BV236" i="68"/>
  <c r="BR147" i="68"/>
  <c r="AQ147" i="68"/>
  <c r="AV147" i="68"/>
  <c r="BE147" i="68"/>
  <c r="AR147" i="68"/>
  <c r="AW147" i="68"/>
  <c r="BG141" i="68"/>
  <c r="AV59" i="68"/>
  <c r="AR59" i="68"/>
  <c r="AR52" i="68"/>
  <c r="B63" i="85"/>
  <c r="B195" i="68" s="1"/>
  <c r="B62" i="85"/>
  <c r="B194" i="68"/>
  <c r="B61" i="85"/>
  <c r="B193" i="68" s="1"/>
  <c r="B60" i="85"/>
  <c r="B192" i="68" s="1"/>
  <c r="B40" i="85"/>
  <c r="B104" i="68" s="1"/>
  <c r="B36" i="85"/>
  <c r="B100" i="68" s="1"/>
  <c r="A17" i="68"/>
  <c r="BL331" i="68"/>
  <c r="AO331" i="68"/>
  <c r="AS331" i="68"/>
  <c r="AW331" i="68"/>
  <c r="BA331" i="68"/>
  <c r="BE331" i="68"/>
  <c r="BH331" i="68"/>
  <c r="AP331" i="68"/>
  <c r="AT331" i="68"/>
  <c r="AX331" i="68"/>
  <c r="BB331" i="68"/>
  <c r="BK331" i="68"/>
  <c r="AR329" i="68"/>
  <c r="BE324" i="68"/>
  <c r="AO324" i="68"/>
  <c r="AT323" i="68"/>
  <c r="BL239" i="68"/>
  <c r="BS239" i="68"/>
  <c r="AP239" i="68"/>
  <c r="AT239" i="68"/>
  <c r="AX239" i="68"/>
  <c r="BB239" i="68"/>
  <c r="BK239" i="68"/>
  <c r="BH239" i="68"/>
  <c r="AQ239" i="68"/>
  <c r="AU239" i="68"/>
  <c r="AY239" i="68"/>
  <c r="BC239" i="68"/>
  <c r="BM239" i="68"/>
  <c r="AN237" i="68"/>
  <c r="AT237" i="68"/>
  <c r="BB237" i="68"/>
  <c r="AY147" i="68"/>
  <c r="BC147" i="68"/>
  <c r="BF146" i="68"/>
  <c r="BQ146" i="68"/>
  <c r="AU146" i="68"/>
  <c r="AV146" i="68"/>
  <c r="AP56" i="68"/>
  <c r="BS56" i="68"/>
  <c r="AR56" i="68"/>
  <c r="A10" i="68"/>
  <c r="AO414" i="68"/>
  <c r="BR414" i="68"/>
  <c r="BL404" i="68"/>
  <c r="AQ404" i="68"/>
  <c r="AX324" i="68"/>
  <c r="AN324" i="68"/>
  <c r="AP323" i="68"/>
  <c r="AN323" i="68"/>
  <c r="AT236" i="68"/>
  <c r="AU147" i="68"/>
  <c r="BI326" i="68"/>
  <c r="AY326" i="68"/>
  <c r="AQ326" i="68"/>
  <c r="BO326" i="68"/>
  <c r="BK143" i="68"/>
  <c r="AW143" i="68"/>
  <c r="AN414" i="68"/>
  <c r="BH414" i="68"/>
  <c r="G54" i="104"/>
  <c r="I54" i="104"/>
  <c r="E54" i="104"/>
  <c r="E57" i="104"/>
  <c r="E138" i="76"/>
  <c r="F138" i="76" s="1"/>
  <c r="F140" i="76" s="1"/>
  <c r="G150" i="76" s="1"/>
  <c r="C432" i="68" s="1"/>
  <c r="D422" i="68"/>
  <c r="AU317" i="68"/>
  <c r="BC317" i="68"/>
  <c r="BL317" i="68"/>
  <c r="AV317" i="68"/>
  <c r="AR317" i="68"/>
  <c r="AZ317" i="68"/>
  <c r="E163" i="76"/>
  <c r="E164" i="76" s="1"/>
  <c r="E165" i="76" s="1"/>
  <c r="BD311" i="68"/>
  <c r="AZ311" i="68"/>
  <c r="BA311" i="68"/>
  <c r="AO311" i="68"/>
  <c r="BE311" i="68"/>
  <c r="BU311" i="68"/>
  <c r="BC311" i="68"/>
  <c r="AW311" i="68"/>
  <c r="BM311" i="68"/>
  <c r="AU311" i="68"/>
  <c r="AU433" i="68"/>
  <c r="AW433" i="68"/>
  <c r="BU433" i="68"/>
  <c r="BB433" i="68"/>
  <c r="AN433" i="68"/>
  <c r="BD433" i="68"/>
  <c r="BE433" i="68"/>
  <c r="AT433" i="68"/>
  <c r="AQ433" i="68"/>
  <c r="AV433" i="68"/>
  <c r="AS433" i="68"/>
  <c r="BM433" i="68"/>
  <c r="BK348" i="68"/>
  <c r="AN310" i="68"/>
  <c r="BV250" i="68"/>
  <c r="BO250" i="68"/>
  <c r="BG250" i="68"/>
  <c r="BV216" i="68"/>
  <c r="BR216" i="68"/>
  <c r="BJ76" i="68"/>
  <c r="E186" i="76"/>
  <c r="BN81" i="68"/>
  <c r="BF81" i="68"/>
  <c r="BO317" i="68"/>
  <c r="BG317" i="68"/>
  <c r="AU312" i="68"/>
  <c r="AR310" i="68"/>
  <c r="BD250" i="68"/>
  <c r="BV215" i="68"/>
  <c r="BR215" i="68"/>
  <c r="BN215" i="68"/>
  <c r="BJ215" i="68"/>
  <c r="BF215" i="68"/>
  <c r="AR38" i="68"/>
  <c r="AX286" i="68"/>
  <c r="AO286" i="68"/>
  <c r="AZ286" i="68"/>
  <c r="BS286" i="68"/>
  <c r="AZ206" i="68"/>
  <c r="BK206" i="68"/>
  <c r="AQ206" i="68"/>
  <c r="K17" i="104"/>
  <c r="E17" i="104"/>
  <c r="I10" i="104"/>
  <c r="K10" i="104"/>
  <c r="AO288" i="68"/>
  <c r="AX288" i="68"/>
  <c r="BC288" i="68"/>
  <c r="AN288" i="68"/>
  <c r="AS288" i="68"/>
  <c r="BU288" i="68"/>
  <c r="BF288" i="68"/>
  <c r="AR288" i="68"/>
  <c r="BP288" i="68"/>
  <c r="BV288" i="68"/>
  <c r="AZ288" i="68"/>
  <c r="AU208" i="68"/>
  <c r="BO208" i="68"/>
  <c r="BD208" i="68"/>
  <c r="AW208" i="68"/>
  <c r="AT208" i="68"/>
  <c r="AY208" i="68"/>
  <c r="BS208" i="68"/>
  <c r="BT208" i="68"/>
  <c r="BA208" i="68"/>
  <c r="BQ208" i="68"/>
  <c r="BB208" i="68"/>
  <c r="AW294" i="68"/>
  <c r="K18" i="104"/>
  <c r="E18" i="104"/>
  <c r="I18" i="104"/>
  <c r="AN381" i="68"/>
  <c r="AN295" i="68"/>
  <c r="AO295" i="68"/>
  <c r="AQ295" i="68"/>
  <c r="AV295" i="68"/>
  <c r="AW295" i="68"/>
  <c r="AY295" i="68"/>
  <c r="BD295" i="68"/>
  <c r="BA295" i="68"/>
  <c r="AT283" i="68"/>
  <c r="AU283" i="68"/>
  <c r="AZ283" i="68"/>
  <c r="BE283" i="68"/>
  <c r="AX283" i="68"/>
  <c r="AY283" i="68"/>
  <c r="BD283" i="68"/>
  <c r="AO283" i="68"/>
  <c r="BC283" i="68"/>
  <c r="AW283" i="68"/>
  <c r="BQ283" i="68"/>
  <c r="BD300" i="68"/>
  <c r="AN300" i="68"/>
  <c r="AT300" i="68"/>
  <c r="AQ290" i="68"/>
  <c r="AZ290" i="68"/>
  <c r="AS290" i="68"/>
  <c r="BB290" i="68"/>
  <c r="AU290" i="68"/>
  <c r="BH290" i="68"/>
  <c r="BA290" i="68"/>
  <c r="AP290" i="68"/>
  <c r="AY290" i="68"/>
  <c r="AN290" i="68"/>
  <c r="BN290" i="68"/>
  <c r="AV289" i="68"/>
  <c r="AW289" i="68"/>
  <c r="AT289" i="68"/>
  <c r="AX289" i="68"/>
  <c r="AN289" i="68"/>
  <c r="BL289" i="68"/>
  <c r="BE289" i="68"/>
  <c r="BL209" i="68"/>
  <c r="AW209" i="68"/>
  <c r="AP209" i="68"/>
  <c r="AU209" i="68"/>
  <c r="BP209" i="68"/>
  <c r="AT209" i="68"/>
  <c r="AY209" i="68"/>
  <c r="AO209" i="68"/>
  <c r="BE209" i="68"/>
  <c r="BE206" i="68"/>
  <c r="AT206" i="68"/>
  <c r="AO206" i="68"/>
  <c r="BI206" i="68"/>
  <c r="BH209" i="68"/>
  <c r="BT206" i="68"/>
  <c r="A106" i="68"/>
  <c r="C42" i="85"/>
  <c r="B64" i="85"/>
  <c r="B196" i="68" s="1"/>
  <c r="BB293" i="68"/>
  <c r="BM293" i="68"/>
  <c r="AS293" i="68"/>
  <c r="B95" i="85"/>
  <c r="B291" i="68" s="1"/>
  <c r="AW300" i="68"/>
  <c r="BE290" i="68"/>
  <c r="BL206" i="68"/>
  <c r="BK202" i="68"/>
  <c r="A112" i="68"/>
  <c r="B48" i="85"/>
  <c r="B112" i="68" s="1"/>
  <c r="C48" i="85"/>
  <c r="B21" i="85"/>
  <c r="B17" i="68" s="1"/>
  <c r="C21" i="85"/>
  <c r="A13" i="68"/>
  <c r="B17" i="85"/>
  <c r="B13" i="68" s="1"/>
  <c r="C17" i="85"/>
  <c r="A11" i="68"/>
  <c r="B15" i="85"/>
  <c r="B11" i="68" s="1"/>
  <c r="BD240" i="68"/>
  <c r="AP240" i="68"/>
  <c r="BE240" i="68"/>
  <c r="AY293" i="68"/>
  <c r="AX293" i="68"/>
  <c r="AO293" i="68"/>
  <c r="BO300" i="68"/>
  <c r="BL300" i="68"/>
  <c r="A297" i="68"/>
  <c r="B125" i="85"/>
  <c r="B383" i="68" s="1"/>
  <c r="B123" i="85"/>
  <c r="B381" i="68" s="1"/>
  <c r="BL298" i="68"/>
  <c r="B90" i="85"/>
  <c r="B286" i="68" s="1"/>
  <c r="BO209" i="68"/>
  <c r="BM206" i="68"/>
  <c r="BG202" i="68"/>
  <c r="A109" i="68"/>
  <c r="B45" i="85"/>
  <c r="B109" i="68" s="1"/>
  <c r="A107" i="68"/>
  <c r="C43" i="85"/>
  <c r="AU293" i="68"/>
  <c r="AP293" i="68"/>
  <c r="BA293" i="68"/>
  <c r="BH299" i="68"/>
  <c r="BE293" i="68"/>
  <c r="BV287" i="68"/>
  <c r="BR287" i="68"/>
  <c r="BF287" i="68"/>
  <c r="BU283" i="68"/>
  <c r="BQ193" i="68"/>
  <c r="AV331" i="68"/>
  <c r="AU331" i="68"/>
  <c r="BD331" i="68"/>
  <c r="AQ55" i="68"/>
  <c r="AU55" i="68"/>
  <c r="AO381" i="68"/>
  <c r="BP240" i="68"/>
  <c r="AU143" i="68"/>
  <c r="BS55" i="68"/>
  <c r="BL53" i="68"/>
  <c r="C24" i="85"/>
  <c r="BO236" i="68"/>
  <c r="BG236" i="68"/>
  <c r="BV201" i="68"/>
  <c r="BR201" i="68"/>
  <c r="BG194" i="68"/>
  <c r="G17" i="104"/>
  <c r="G16" i="104"/>
  <c r="I13" i="104"/>
  <c r="G11" i="104"/>
  <c r="G10" i="104"/>
  <c r="BR331" i="68"/>
  <c r="BJ331" i="68"/>
  <c r="BJ326" i="68"/>
  <c r="BV143" i="68"/>
  <c r="BR59" i="68"/>
  <c r="BH55" i="68"/>
  <c r="BI54" i="68"/>
  <c r="BJ53" i="68"/>
  <c r="BT51" i="68"/>
  <c r="BL51" i="68"/>
  <c r="BU50" i="68"/>
  <c r="BM50" i="68"/>
  <c r="BV49" i="68"/>
  <c r="BN49" i="68"/>
  <c r="BF49" i="68"/>
  <c r="AY22" i="68"/>
  <c r="G34" i="104"/>
  <c r="I34" i="104"/>
  <c r="K34" i="104"/>
  <c r="E34" i="104"/>
  <c r="G55" i="104"/>
  <c r="E55" i="104"/>
  <c r="I55" i="104"/>
  <c r="K55" i="104"/>
  <c r="K36" i="104"/>
  <c r="I36" i="104"/>
  <c r="E36" i="104"/>
  <c r="E32" i="104"/>
  <c r="G32" i="104"/>
  <c r="K32" i="104"/>
  <c r="I32" i="104"/>
  <c r="E30" i="104"/>
  <c r="I30" i="104"/>
  <c r="E31" i="104"/>
  <c r="I31" i="104"/>
  <c r="BS325" i="68"/>
  <c r="BC325" i="68"/>
  <c r="AS325" i="68"/>
  <c r="BP325" i="68"/>
  <c r="AV325" i="68"/>
  <c r="AY325" i="68"/>
  <c r="BU325" i="68"/>
  <c r="BE325" i="68"/>
  <c r="AO325" i="68"/>
  <c r="BL325" i="68"/>
  <c r="AR325" i="68"/>
  <c r="BK325" i="68"/>
  <c r="AU325" i="68"/>
  <c r="BA325" i="68"/>
  <c r="BD325" i="68"/>
  <c r="T76" i="68"/>
  <c r="BD76" i="68" s="1"/>
  <c r="AF76" i="68"/>
  <c r="BP76" i="68" s="1"/>
  <c r="BR56" i="68"/>
  <c r="BB56" i="68"/>
  <c r="BJ56" i="68"/>
  <c r="AT56" i="68"/>
  <c r="AT325" i="68"/>
  <c r="BQ56" i="68"/>
  <c r="AV56" i="68"/>
  <c r="AV332" i="68"/>
  <c r="BF332" i="68"/>
  <c r="AU332" i="68"/>
  <c r="AX58" i="68"/>
  <c r="AV58" i="68"/>
  <c r="AN316" i="68"/>
  <c r="AX56" i="68"/>
  <c r="AW52" i="68"/>
  <c r="BR58" i="68"/>
  <c r="BS58" i="68"/>
  <c r="AZ325" i="68"/>
  <c r="AQ325" i="68"/>
  <c r="BH385" i="68"/>
  <c r="Z375" i="68"/>
  <c r="BJ375" i="68" s="1"/>
  <c r="P375" i="68"/>
  <c r="AZ375" i="68" s="1"/>
  <c r="AO372" i="68"/>
  <c r="AK300" i="68"/>
  <c r="BU300" i="68" s="1"/>
  <c r="BC300" i="68"/>
  <c r="BA300" i="68"/>
  <c r="AI300" i="68"/>
  <c r="BS300" i="68" s="1"/>
  <c r="AS300" i="68"/>
  <c r="AA300" i="68"/>
  <c r="BK300" i="68" s="1"/>
  <c r="AI299" i="68"/>
  <c r="BS299" i="68" s="1"/>
  <c r="BA299" i="68"/>
  <c r="AX297" i="68"/>
  <c r="AT297" i="68"/>
  <c r="AY297" i="68"/>
  <c r="AO297" i="68"/>
  <c r="BE297" i="68"/>
  <c r="AQ291" i="68"/>
  <c r="AV291" i="68"/>
  <c r="BE291" i="68"/>
  <c r="AU291" i="68"/>
  <c r="AZ291" i="68"/>
  <c r="BC291" i="68"/>
  <c r="BD291" i="68"/>
  <c r="AG206" i="68"/>
  <c r="BQ206" i="68" s="1"/>
  <c r="AY206" i="68"/>
  <c r="AX196" i="68"/>
  <c r="AN196" i="68"/>
  <c r="BP196" i="68"/>
  <c r="BU196" i="68"/>
  <c r="AV196" i="68"/>
  <c r="AQ196" i="68"/>
  <c r="AS196" i="68"/>
  <c r="AU196" i="68"/>
  <c r="AO196" i="68"/>
  <c r="BN196" i="68"/>
  <c r="BD196" i="68"/>
  <c r="AY196" i="68"/>
  <c r="BA196" i="68"/>
  <c r="BC196" i="68"/>
  <c r="AW196" i="68"/>
  <c r="V192" i="68"/>
  <c r="BF192" i="68" s="1"/>
  <c r="AN192" i="68"/>
  <c r="AO114" i="68"/>
  <c r="AT114" i="68"/>
  <c r="AU114" i="68"/>
  <c r="AR114" i="68"/>
  <c r="AS114" i="68"/>
  <c r="AX114" i="68"/>
  <c r="AY114" i="68"/>
  <c r="AV114" i="68"/>
  <c r="AW114" i="68"/>
  <c r="P76" i="68"/>
  <c r="AZ76" i="68" s="1"/>
  <c r="AB76" i="68"/>
  <c r="BL76" i="68" s="1"/>
  <c r="AP52" i="68"/>
  <c r="BV52" i="68"/>
  <c r="BC52" i="68"/>
  <c r="BS52" i="68"/>
  <c r="AT52" i="68"/>
  <c r="AQ52" i="68"/>
  <c r="AX52" i="68"/>
  <c r="AU52" i="68"/>
  <c r="BK52" i="68"/>
  <c r="AS52" i="68"/>
  <c r="BS31" i="68"/>
  <c r="BK56" i="68"/>
  <c r="AQ56" i="68"/>
  <c r="BI56" i="68"/>
  <c r="AV52" i="68"/>
  <c r="AZ332" i="68"/>
  <c r="AZ348" i="68"/>
  <c r="BN332" i="68"/>
  <c r="AY332" i="68"/>
  <c r="E347" i="68"/>
  <c r="F347" i="68" s="1"/>
  <c r="BD348" i="68"/>
  <c r="BL52" i="68"/>
  <c r="AB75" i="68"/>
  <c r="BL75" i="68" s="1"/>
  <c r="AN58" i="68"/>
  <c r="BN58" i="68"/>
  <c r="AG259" i="68"/>
  <c r="BQ259" i="68" s="1"/>
  <c r="BU52" i="68"/>
  <c r="AO52" i="68"/>
  <c r="BT325" i="68"/>
  <c r="AW325" i="68"/>
  <c r="AX291" i="68"/>
  <c r="AP371" i="68"/>
  <c r="AQ58" i="68"/>
  <c r="AO58" i="68"/>
  <c r="BJ58" i="68"/>
  <c r="BH58" i="68"/>
  <c r="AU58" i="68"/>
  <c r="AS58" i="68"/>
  <c r="BI58" i="68"/>
  <c r="AY58" i="68"/>
  <c r="AW58" i="68"/>
  <c r="AT58" i="68"/>
  <c r="AX325" i="68"/>
  <c r="AN325" i="68"/>
  <c r="AW56" i="68"/>
  <c r="AN52" i="68"/>
  <c r="AN332" i="68"/>
  <c r="BD332" i="68"/>
  <c r="BV332" i="68"/>
  <c r="AN348" i="68"/>
  <c r="P75" i="68"/>
  <c r="AZ75" i="68" s="1"/>
  <c r="AR58" i="68"/>
  <c r="AP58" i="68"/>
  <c r="BM52" i="68"/>
  <c r="BQ58" i="68"/>
  <c r="BM325" i="68"/>
  <c r="AN114" i="68"/>
  <c r="BL194" i="68"/>
  <c r="BD262" i="68"/>
  <c r="AR76" i="68"/>
  <c r="BM114" i="68"/>
  <c r="O383" i="68"/>
  <c r="AY383" i="68" s="1"/>
  <c r="AO383" i="68"/>
  <c r="BA114" i="68"/>
  <c r="BT284" i="68"/>
  <c r="Y100" i="68"/>
  <c r="BI100" i="68" s="1"/>
  <c r="AK100" i="68"/>
  <c r="BU100" i="68" s="1"/>
  <c r="AO443" i="68"/>
  <c r="D155" i="88" s="1"/>
  <c r="D156" i="88" s="1"/>
  <c r="BA443" i="68"/>
  <c r="P155" i="88" s="1"/>
  <c r="P156" i="88" s="1"/>
  <c r="AU396" i="68"/>
  <c r="AS398" i="68"/>
  <c r="AW392" i="68"/>
  <c r="AS395" i="68"/>
  <c r="AN396" i="68"/>
  <c r="AS397" i="68"/>
  <c r="BQ234" i="68"/>
  <c r="BS292" i="68"/>
  <c r="BM290" i="68"/>
  <c r="AY398" i="68"/>
  <c r="BS396" i="68"/>
  <c r="Y386" i="68"/>
  <c r="BI386" i="68" s="1"/>
  <c r="AQ315" i="68"/>
  <c r="AV311" i="68"/>
  <c r="AY310" i="68"/>
  <c r="BU310" i="68"/>
  <c r="BP248" i="68"/>
  <c r="AV168" i="68"/>
  <c r="AN160" i="68"/>
  <c r="AN66" i="68"/>
  <c r="BH8" i="68"/>
  <c r="AP372" i="68"/>
  <c r="BQ201" i="68"/>
  <c r="BS197" i="68"/>
  <c r="BM197" i="68"/>
  <c r="BV396" i="68"/>
  <c r="BJ396" i="68"/>
  <c r="BF396" i="68"/>
  <c r="S76" i="68"/>
  <c r="BC76" i="68" s="1"/>
  <c r="BO289" i="68"/>
  <c r="BM196" i="68"/>
  <c r="BO397" i="68"/>
  <c r="AZ250" i="68"/>
  <c r="BH240" i="68"/>
  <c r="AL289" i="68"/>
  <c r="BV289" i="68" s="1"/>
  <c r="BD289" i="68"/>
  <c r="BA287" i="68"/>
  <c r="AL284" i="68"/>
  <c r="BV284" i="68" s="1"/>
  <c r="BD284" i="68"/>
  <c r="AT205" i="68"/>
  <c r="AX205" i="68"/>
  <c r="AQ205" i="68"/>
  <c r="AN205" i="68"/>
  <c r="BH205" i="68"/>
  <c r="AW205" i="68"/>
  <c r="BB205" i="68"/>
  <c r="AR205" i="68"/>
  <c r="BP205" i="68"/>
  <c r="BA205" i="68"/>
  <c r="BF205" i="68"/>
  <c r="BK205" i="68"/>
  <c r="AZ205" i="68"/>
  <c r="BE205" i="68"/>
  <c r="BV205" i="68"/>
  <c r="BM205" i="68"/>
  <c r="AL194" i="68"/>
  <c r="BV194" i="68" s="1"/>
  <c r="BD194" i="68"/>
  <c r="AI192" i="68"/>
  <c r="BS192" i="68" s="1"/>
  <c r="BA192" i="68"/>
  <c r="O379" i="68"/>
  <c r="AY379" i="68" s="1"/>
  <c r="Y379" i="68"/>
  <c r="BI379" i="68" s="1"/>
  <c r="AI379" i="68"/>
  <c r="BS379" i="68" s="1"/>
  <c r="O373" i="68"/>
  <c r="AY373" i="68" s="1"/>
  <c r="Y373" i="68"/>
  <c r="BI373" i="68" s="1"/>
  <c r="AI373" i="68"/>
  <c r="BS373" i="68" s="1"/>
  <c r="AR218" i="68"/>
  <c r="AS218" i="68"/>
  <c r="AP218" i="68"/>
  <c r="AV218" i="68"/>
  <c r="BE218" i="68"/>
  <c r="BR218" i="68"/>
  <c r="BM218" i="68"/>
  <c r="AN218" i="68"/>
  <c r="AT218" i="68"/>
  <c r="BO218" i="68"/>
  <c r="AQ218" i="68"/>
  <c r="AZ218" i="68"/>
  <c r="BL218" i="68"/>
  <c r="AY173" i="68"/>
  <c r="BL141" i="68"/>
  <c r="AY141" i="68"/>
  <c r="AP141" i="68"/>
  <c r="BM141" i="68"/>
  <c r="AW141" i="68"/>
  <c r="BC141" i="68"/>
  <c r="AS141" i="68"/>
  <c r="AT141" i="68"/>
  <c r="AQ141" i="68"/>
  <c r="BK141" i="68"/>
  <c r="AV141" i="68"/>
  <c r="AN141" i="68"/>
  <c r="AU218" i="68"/>
  <c r="BA218" i="68"/>
  <c r="BB218" i="68"/>
  <c r="BA238" i="68"/>
  <c r="BP43" i="68"/>
  <c r="AR234" i="68"/>
  <c r="BB234" i="68"/>
  <c r="AO234" i="68"/>
  <c r="BQ307" i="68"/>
  <c r="AN307" i="68"/>
  <c r="AY296" i="68"/>
  <c r="AQ294" i="68"/>
  <c r="BD294" i="68"/>
  <c r="BC294" i="68"/>
  <c r="AX294" i="68"/>
  <c r="AN294" i="68"/>
  <c r="BJ294" i="68"/>
  <c r="AP294" i="68"/>
  <c r="AR294" i="68"/>
  <c r="AZ294" i="68"/>
  <c r="BE294" i="68"/>
  <c r="AU294" i="68"/>
  <c r="AJ289" i="68"/>
  <c r="BT289" i="68" s="1"/>
  <c r="BB289" i="68"/>
  <c r="AK287" i="68"/>
  <c r="BU287" i="68" s="1"/>
  <c r="BC287" i="68"/>
  <c r="Z415" i="68"/>
  <c r="BJ415" i="68" s="1"/>
  <c r="AI377" i="68"/>
  <c r="BS377" i="68" s="1"/>
  <c r="AO377" i="68"/>
  <c r="AO371" i="68"/>
  <c r="AI371" i="68"/>
  <c r="BS371" i="68" s="1"/>
  <c r="AN314" i="68"/>
  <c r="BD238" i="68"/>
  <c r="AN238" i="68"/>
  <c r="BB238" i="68"/>
  <c r="BP238" i="68"/>
  <c r="AZ238" i="68"/>
  <c r="BN238" i="68"/>
  <c r="AX238" i="68"/>
  <c r="AR238" i="68"/>
  <c r="AT238" i="68"/>
  <c r="AU238" i="68"/>
  <c r="BM238" i="68"/>
  <c r="BS238" i="68"/>
  <c r="BV238" i="68"/>
  <c r="BC238" i="68"/>
  <c r="AY238" i="68"/>
  <c r="AO238" i="68"/>
  <c r="AO141" i="68"/>
  <c r="AS316" i="68"/>
  <c r="BU238" i="68"/>
  <c r="BQ218" i="68"/>
  <c r="BI218" i="68"/>
  <c r="AX218" i="68"/>
  <c r="BT218" i="68"/>
  <c r="AY316" i="68"/>
  <c r="BB307" i="68"/>
  <c r="AX316" i="68"/>
  <c r="BB33" i="68"/>
  <c r="BO41" i="68"/>
  <c r="BN141" i="68"/>
  <c r="AU141" i="68"/>
  <c r="AZ234" i="68"/>
  <c r="BE238" i="68"/>
  <c r="BG316" i="68"/>
  <c r="AU234" i="68"/>
  <c r="BF238" i="68"/>
  <c r="BH238" i="68"/>
  <c r="BA296" i="68"/>
  <c r="AB292" i="68"/>
  <c r="BL292" i="68" s="1"/>
  <c r="AT292" i="68"/>
  <c r="AE202" i="68"/>
  <c r="BO202" i="68" s="1"/>
  <c r="AW202" i="68"/>
  <c r="AJ196" i="68"/>
  <c r="BT196" i="68" s="1"/>
  <c r="BB196" i="68"/>
  <c r="AD193" i="68"/>
  <c r="BN193" i="68" s="1"/>
  <c r="AV193" i="68"/>
  <c r="O375" i="68"/>
  <c r="AY375" i="68" s="1"/>
  <c r="AI375" i="68"/>
  <c r="AO375" i="68"/>
  <c r="BF316" i="68"/>
  <c r="BA316" i="68"/>
  <c r="BD316" i="68"/>
  <c r="AO316" i="68"/>
  <c r="AR316" i="68"/>
  <c r="BP316" i="68"/>
  <c r="AT316" i="68"/>
  <c r="BQ316" i="68"/>
  <c r="AU316" i="68"/>
  <c r="BN316" i="68"/>
  <c r="BO316" i="68"/>
  <c r="AW316" i="68"/>
  <c r="AZ316" i="68"/>
  <c r="AP316" i="68"/>
  <c r="BI316" i="68"/>
  <c r="AQ316" i="68"/>
  <c r="AV314" i="68"/>
  <c r="AD314" i="68"/>
  <c r="BN314" i="68" s="1"/>
  <c r="AX307" i="68"/>
  <c r="AV307" i="68"/>
  <c r="AS307" i="68"/>
  <c r="BI307" i="68"/>
  <c r="AQ307" i="68"/>
  <c r="BJ307" i="68"/>
  <c r="AZ307" i="68"/>
  <c r="BP307" i="68"/>
  <c r="AW307" i="68"/>
  <c r="BM307" i="68"/>
  <c r="AU307" i="68"/>
  <c r="BK307" i="68"/>
  <c r="AT307" i="68"/>
  <c r="BD307" i="68"/>
  <c r="BA307" i="68"/>
  <c r="AY307" i="68"/>
  <c r="BH307" i="68"/>
  <c r="BE307" i="68"/>
  <c r="BC307" i="68"/>
  <c r="BM234" i="68"/>
  <c r="AW234" i="68"/>
  <c r="BC234" i="68"/>
  <c r="BI234" i="68"/>
  <c r="AS234" i="68"/>
  <c r="AY234" i="68"/>
  <c r="BE234" i="68"/>
  <c r="BV234" i="68"/>
  <c r="BT234" i="68"/>
  <c r="BA234" i="68"/>
  <c r="BL234" i="68"/>
  <c r="BN234" i="68"/>
  <c r="BJ234" i="68"/>
  <c r="AY29" i="68"/>
  <c r="BG32" i="68"/>
  <c r="AY43" i="68"/>
  <c r="AX30" i="68"/>
  <c r="AO41" i="68"/>
  <c r="AN43" i="68"/>
  <c r="BV316" i="68"/>
  <c r="AW238" i="68"/>
  <c r="BB294" i="68"/>
  <c r="AY294" i="68"/>
  <c r="BP218" i="68"/>
  <c r="AY218" i="68"/>
  <c r="BC316" i="68"/>
  <c r="BB316" i="68"/>
  <c r="AZ40" i="68"/>
  <c r="AY33" i="68"/>
  <c r="BC218" i="68"/>
  <c r="AP238" i="68"/>
  <c r="BU218" i="68"/>
  <c r="BF234" i="68"/>
  <c r="BO238" i="68"/>
  <c r="AV316" i="68"/>
  <c r="BJ238" i="68"/>
  <c r="BU234" i="68"/>
  <c r="BB194" i="68"/>
  <c r="BT307" i="68"/>
  <c r="BD205" i="68"/>
  <c r="BU298" i="68"/>
  <c r="BQ195" i="68"/>
  <c r="AO430" i="68"/>
  <c r="AW430" i="68"/>
  <c r="AQ232" i="68"/>
  <c r="BF232" i="68"/>
  <c r="AP232" i="68"/>
  <c r="AP291" i="68"/>
  <c r="AQ353" i="68"/>
  <c r="BB353" i="68"/>
  <c r="BM12" i="68"/>
  <c r="BG209" i="68"/>
  <c r="BL208" i="68"/>
  <c r="BP326" i="68"/>
  <c r="BJ317" i="68"/>
  <c r="AT315" i="68"/>
  <c r="BP315" i="68"/>
  <c r="BI315" i="68"/>
  <c r="BB250" i="68"/>
  <c r="AY143" i="68"/>
  <c r="BR142" i="68"/>
  <c r="BN142" i="68"/>
  <c r="BJ142" i="68"/>
  <c r="AN124" i="68"/>
  <c r="AN128" i="68"/>
  <c r="AQ133" i="68"/>
  <c r="AO123" i="68"/>
  <c r="AN127" i="68"/>
  <c r="AV132" i="68"/>
  <c r="AN121" i="68"/>
  <c r="AO131" i="68"/>
  <c r="AY133" i="68"/>
  <c r="AX135" i="68"/>
  <c r="BH383" i="68"/>
  <c r="BE195" i="68"/>
  <c r="BQ433" i="68"/>
  <c r="BS333" i="68"/>
  <c r="BV232" i="68"/>
  <c r="U76" i="68"/>
  <c r="BE76" i="68" s="1"/>
  <c r="AG76" i="68"/>
  <c r="BQ76" i="68" s="1"/>
  <c r="BT294" i="68"/>
  <c r="BV208" i="68"/>
  <c r="BK208" i="68"/>
  <c r="BF327" i="68"/>
  <c r="BT309" i="68"/>
  <c r="BT250" i="68"/>
  <c r="AR250" i="68"/>
  <c r="BJ237" i="68"/>
  <c r="AP168" i="68"/>
  <c r="AU81" i="68"/>
  <c r="AT81" i="68"/>
  <c r="AY81" i="68"/>
  <c r="BL134" i="68"/>
  <c r="BR124" i="68"/>
  <c r="BD134" i="68"/>
  <c r="BE124" i="68"/>
  <c r="BB135" i="68"/>
  <c r="BP126" i="68"/>
  <c r="BD81" i="68"/>
  <c r="AN75" i="68"/>
  <c r="P377" i="68"/>
  <c r="AZ377" i="68" s="1"/>
  <c r="Z377" i="68"/>
  <c r="BJ377" i="68" s="1"/>
  <c r="AJ377" i="68"/>
  <c r="BT377" i="68" s="1"/>
  <c r="AP377" i="68"/>
  <c r="BH374" i="68"/>
  <c r="X287" i="68"/>
  <c r="BH287" i="68" s="1"/>
  <c r="AP287" i="68"/>
  <c r="AL203" i="68"/>
  <c r="BV203" i="68" s="1"/>
  <c r="BD203" i="68"/>
  <c r="BE35" i="68"/>
  <c r="BA41" i="68"/>
  <c r="AZ41" i="68"/>
  <c r="AX36" i="68"/>
  <c r="AY42" i="68"/>
  <c r="AU40" i="68"/>
  <c r="AO35" i="68"/>
  <c r="AP30" i="68"/>
  <c r="AT32" i="68"/>
  <c r="AS31" i="68"/>
  <c r="AO379" i="68"/>
  <c r="AN379" i="68"/>
  <c r="Z292" i="68"/>
  <c r="BJ292" i="68" s="1"/>
  <c r="AR292" i="68"/>
  <c r="AH289" i="68"/>
  <c r="BR289" i="68" s="1"/>
  <c r="AZ289" i="68"/>
  <c r="X283" i="68"/>
  <c r="BH283" i="68" s="1"/>
  <c r="AP283" i="68"/>
  <c r="AJ209" i="68"/>
  <c r="BT209" i="68" s="1"/>
  <c r="BB209" i="68"/>
  <c r="AF208" i="68"/>
  <c r="BP208" i="68" s="1"/>
  <c r="AX208" i="68"/>
  <c r="AJ203" i="68"/>
  <c r="BT203" i="68" s="1"/>
  <c r="BB203" i="68"/>
  <c r="AV41" i="68"/>
  <c r="AS40" i="68"/>
  <c r="AX43" i="68"/>
  <c r="AU39" i="68"/>
  <c r="AU43" i="68"/>
  <c r="AT33" i="68"/>
  <c r="AW32" i="68"/>
  <c r="BP31" i="68"/>
  <c r="BS30" i="68"/>
  <c r="BC30" i="68"/>
  <c r="AP29" i="68"/>
  <c r="AS28" i="68"/>
  <c r="BJ35" i="68"/>
  <c r="AT35" i="68"/>
  <c r="AW34" i="68"/>
  <c r="BS32" i="68"/>
  <c r="AP31" i="68"/>
  <c r="AS30" i="68"/>
  <c r="AV29" i="68"/>
  <c r="AY28" i="68"/>
  <c r="BE31" i="68"/>
  <c r="AO31" i="68"/>
  <c r="AR30" i="68"/>
  <c r="BK29" i="68"/>
  <c r="AU29" i="68"/>
  <c r="AX28" i="68"/>
  <c r="AP33" i="68"/>
  <c r="AS32" i="68"/>
  <c r="AV31" i="68"/>
  <c r="AY30" i="68"/>
  <c r="BE28" i="68"/>
  <c r="AO28" i="68"/>
  <c r="BS36" i="68"/>
  <c r="BC36" i="68"/>
  <c r="AP35" i="68"/>
  <c r="AS34" i="68"/>
  <c r="AV33" i="68"/>
  <c r="AY32" i="68"/>
  <c r="BE30" i="68"/>
  <c r="AO30" i="68"/>
  <c r="AR29" i="68"/>
  <c r="AU28" i="68"/>
  <c r="BT30" i="68"/>
  <c r="BD30" i="68"/>
  <c r="AN30" i="68"/>
  <c r="AQ29" i="68"/>
  <c r="AT28" i="68"/>
  <c r="AO32" i="68"/>
  <c r="AR31" i="68"/>
  <c r="AU30" i="68"/>
  <c r="AX29" i="68"/>
  <c r="BO36" i="68"/>
  <c r="AY36" i="68"/>
  <c r="BR35" i="68"/>
  <c r="BB35" i="68"/>
  <c r="AO34" i="68"/>
  <c r="AR33" i="68"/>
  <c r="AU32" i="68"/>
  <c r="AX31" i="68"/>
  <c r="BD29" i="68"/>
  <c r="AN29" i="68"/>
  <c r="AQ28" i="68"/>
  <c r="AW31" i="68"/>
  <c r="BS29" i="68"/>
  <c r="BC29" i="68"/>
  <c r="AN31" i="68"/>
  <c r="AT29" i="68"/>
  <c r="AQ32" i="68"/>
  <c r="AW30" i="68"/>
  <c r="BC28" i="68"/>
  <c r="BG40" i="68"/>
  <c r="AQ33" i="68"/>
  <c r="AQ43" i="68"/>
  <c r="BO42" i="68"/>
  <c r="AN36" i="68"/>
  <c r="AO29" i="68"/>
  <c r="BD32" i="68"/>
  <c r="AN35" i="68"/>
  <c r="AV39" i="68"/>
  <c r="AP40" i="68"/>
  <c r="AS41" i="68"/>
  <c r="AO42" i="68"/>
  <c r="AV32" i="68"/>
  <c r="BB34" i="68"/>
  <c r="AU35" i="68"/>
  <c r="AP36" i="68"/>
  <c r="BG39" i="68"/>
  <c r="AY40" i="68"/>
  <c r="BG41" i="68"/>
  <c r="AT30" i="68"/>
  <c r="AN32" i="68"/>
  <c r="AW33" i="68"/>
  <c r="AR34" i="68"/>
  <c r="AQ35" i="68"/>
  <c r="AR36" i="68"/>
  <c r="BB39" i="68"/>
  <c r="AX39" i="68"/>
  <c r="AN40" i="68"/>
  <c r="AQ41" i="68"/>
  <c r="BG42" i="68"/>
  <c r="AR32" i="68"/>
  <c r="BR34" i="68"/>
  <c r="BO39" i="68"/>
  <c r="AR42" i="68"/>
  <c r="AR43" i="68"/>
  <c r="BT28" i="68"/>
  <c r="AT34" i="68"/>
  <c r="AQ39" i="68"/>
  <c r="AV42" i="68"/>
  <c r="AS43" i="68"/>
  <c r="BP39" i="68"/>
  <c r="BA42" i="68"/>
  <c r="BM40" i="68"/>
  <c r="BD34" i="68"/>
  <c r="BH39" i="68"/>
  <c r="BR33" i="68"/>
  <c r="BR32" i="68"/>
  <c r="BB32" i="68"/>
  <c r="AX35" i="68"/>
  <c r="BD33" i="68"/>
  <c r="BP29" i="68"/>
  <c r="AP32" i="68"/>
  <c r="AV30" i="68"/>
  <c r="AT43" i="68"/>
  <c r="BB42" i="68"/>
  <c r="AP28" i="68"/>
  <c r="BE29" i="68"/>
  <c r="AY31" i="68"/>
  <c r="BJ34" i="68"/>
  <c r="AS35" i="68"/>
  <c r="AO36" i="68"/>
  <c r="AT40" i="68"/>
  <c r="AW41" i="68"/>
  <c r="AS42" i="68"/>
  <c r="AS29" i="68"/>
  <c r="AV36" i="68"/>
  <c r="AO39" i="68"/>
  <c r="BO40" i="68"/>
  <c r="AP41" i="68"/>
  <c r="AP42" i="68"/>
  <c r="AX32" i="68"/>
  <c r="AX34" i="68"/>
  <c r="AV35" i="68"/>
  <c r="AW36" i="68"/>
  <c r="AR40" i="68"/>
  <c r="BP40" i="68"/>
  <c r="AU41" i="68"/>
  <c r="AQ42" i="68"/>
  <c r="AX33" i="68"/>
  <c r="AW40" i="68"/>
  <c r="AV43" i="68"/>
  <c r="BS35" i="68"/>
  <c r="BB40" i="68"/>
  <c r="AW43" i="68"/>
  <c r="AZ42" i="68"/>
  <c r="BL39" i="68"/>
  <c r="BP42" i="68"/>
  <c r="BQ41" i="68"/>
  <c r="BA39" i="68"/>
  <c r="BJ36" i="68"/>
  <c r="BT31" i="68"/>
  <c r="AQ30" i="68"/>
  <c r="AW28" i="68"/>
  <c r="AN33" i="68"/>
  <c r="AT31" i="68"/>
  <c r="AR41" i="68"/>
  <c r="AN42" i="68"/>
  <c r="BR40" i="68"/>
  <c r="BP32" i="68"/>
  <c r="AR28" i="68"/>
  <c r="BU29" i="68"/>
  <c r="BO31" i="68"/>
  <c r="AS33" i="68"/>
  <c r="AP34" i="68"/>
  <c r="AY35" i="68"/>
  <c r="AT36" i="68"/>
  <c r="AN39" i="68"/>
  <c r="AX40" i="68"/>
  <c r="AW42" i="68"/>
  <c r="BC31" i="68"/>
  <c r="BJ33" i="68"/>
  <c r="AQ34" i="68"/>
  <c r="BK35" i="68"/>
  <c r="BB36" i="68"/>
  <c r="AS39" i="68"/>
  <c r="AQ40" i="68"/>
  <c r="AT41" i="68"/>
  <c r="AT42" i="68"/>
  <c r="AW29" i="68"/>
  <c r="AQ31" i="68"/>
  <c r="BF34" i="68"/>
  <c r="BC35" i="68"/>
  <c r="AP39" i="68"/>
  <c r="AV40" i="68"/>
  <c r="BB41" i="68"/>
  <c r="AY41" i="68"/>
  <c r="AU42" i="68"/>
  <c r="BD28" i="68"/>
  <c r="AS36" i="68"/>
  <c r="AN41" i="68"/>
  <c r="BB43" i="68"/>
  <c r="BG43" i="68"/>
  <c r="AZ39" i="68"/>
  <c r="BI39" i="68"/>
  <c r="BL36" i="68"/>
  <c r="BD36" i="68"/>
  <c r="BC34" i="68"/>
  <c r="BM42" i="68"/>
  <c r="BT43" i="68"/>
  <c r="AT39" i="68"/>
  <c r="AX42" i="68"/>
  <c r="AW39" i="68"/>
  <c r="AV34" i="68"/>
  <c r="AV28" i="68"/>
  <c r="AO40" i="68"/>
  <c r="BS28" i="68"/>
  <c r="AU36" i="68"/>
  <c r="AN380" i="68"/>
  <c r="AP380" i="68"/>
  <c r="AH299" i="68"/>
  <c r="BR299" i="68" s="1"/>
  <c r="AZ299" i="68"/>
  <c r="V296" i="68"/>
  <c r="BF296" i="68" s="1"/>
  <c r="AN296" i="68"/>
  <c r="AB293" i="68"/>
  <c r="BL293" i="68" s="1"/>
  <c r="AT293" i="68"/>
  <c r="AL290" i="68"/>
  <c r="BV290" i="68" s="1"/>
  <c r="BD290" i="68"/>
  <c r="AD288" i="68"/>
  <c r="BN288" i="68" s="1"/>
  <c r="AV288" i="68"/>
  <c r="AB207" i="68"/>
  <c r="BL207" i="68" s="1"/>
  <c r="AT207" i="68"/>
  <c r="AV294" i="68"/>
  <c r="BU39" i="68"/>
  <c r="AO43" i="68"/>
  <c r="AN34" i="68"/>
  <c r="BR36" i="68"/>
  <c r="AO33" i="68"/>
  <c r="AX41" i="68"/>
  <c r="AU33" i="68"/>
  <c r="AR39" i="68"/>
  <c r="AU34" i="68"/>
  <c r="BD31" i="68"/>
  <c r="AZ380" i="68"/>
  <c r="BR380" i="68"/>
  <c r="BT380" i="68"/>
  <c r="BJ380" i="68"/>
  <c r="AT430" i="68"/>
  <c r="AD430" i="68"/>
  <c r="BN430" i="68" s="1"/>
  <c r="BD239" i="68"/>
  <c r="BE239" i="68"/>
  <c r="AN239" i="68"/>
  <c r="AS239" i="68"/>
  <c r="AT235" i="68"/>
  <c r="BN235" i="68"/>
  <c r="AO384" i="68"/>
  <c r="AQ300" i="68"/>
  <c r="AQ443" i="68"/>
  <c r="F155" i="88" s="1"/>
  <c r="F156" i="88" s="1"/>
  <c r="AW443" i="68"/>
  <c r="L155" i="88" s="1"/>
  <c r="L156" i="88" s="1"/>
  <c r="AS443" i="68"/>
  <c r="H155" i="88" s="1"/>
  <c r="H156" i="88" s="1"/>
  <c r="BO441" i="68"/>
  <c r="BO443" i="68" s="1"/>
  <c r="AD155" i="88" s="1"/>
  <c r="AD156" i="88" s="1"/>
  <c r="AV404" i="68"/>
  <c r="AP351" i="68"/>
  <c r="AT351" i="68"/>
  <c r="AP300" i="68"/>
  <c r="BP300" i="68"/>
  <c r="AU300" i="68"/>
  <c r="BF300" i="68"/>
  <c r="AN407" i="68"/>
  <c r="O385" i="68"/>
  <c r="Y385" i="68"/>
  <c r="BI385" i="68" s="1"/>
  <c r="X372" i="68"/>
  <c r="BH372" i="68" s="1"/>
  <c r="N372" i="68"/>
  <c r="AX372" i="68" s="1"/>
  <c r="AN372" i="68"/>
  <c r="BQ300" i="68"/>
  <c r="BQ294" i="68"/>
  <c r="BP286" i="68"/>
  <c r="AG430" i="68"/>
  <c r="BQ430" i="68" s="1"/>
  <c r="W430" i="68"/>
  <c r="BG430" i="68" s="1"/>
  <c r="AW352" i="68"/>
  <c r="AS352" i="68"/>
  <c r="AS172" i="68"/>
  <c r="BP172" i="68"/>
  <c r="BP297" i="68"/>
  <c r="BV292" i="68"/>
  <c r="AT291" i="68"/>
  <c r="AE430" i="68"/>
  <c r="BO430" i="68" s="1"/>
  <c r="AY405" i="68"/>
  <c r="N377" i="68"/>
  <c r="AX377" i="68" s="1"/>
  <c r="X377" i="68"/>
  <c r="BH377" i="68" s="1"/>
  <c r="BT300" i="68"/>
  <c r="AX300" i="68"/>
  <c r="BH300" i="68"/>
  <c r="BM284" i="68"/>
  <c r="BS202" i="68"/>
  <c r="BD430" i="68"/>
  <c r="AI376" i="68"/>
  <c r="BS376" i="68" s="1"/>
  <c r="Y376" i="68"/>
  <c r="BI376" i="68" s="1"/>
  <c r="BK361" i="68"/>
  <c r="Z127" i="88" s="1"/>
  <c r="Z128" i="88" s="1"/>
  <c r="BE352" i="68"/>
  <c r="BG248" i="68"/>
  <c r="AX248" i="68"/>
  <c r="AP248" i="68"/>
  <c r="AP54" i="68"/>
  <c r="AX54" i="68"/>
  <c r="AN339" i="68"/>
  <c r="AN331" i="68"/>
  <c r="BT331" i="68"/>
  <c r="AR311" i="68"/>
  <c r="BF311" i="68"/>
  <c r="AP311" i="68"/>
  <c r="BF310" i="68"/>
  <c r="AX309" i="68"/>
  <c r="AU249" i="68"/>
  <c r="AQ215" i="68"/>
  <c r="AO215" i="68"/>
  <c r="AS215" i="68"/>
  <c r="AU144" i="68"/>
  <c r="AY144" i="68"/>
  <c r="BJ310" i="68"/>
  <c r="AU310" i="68"/>
  <c r="BD310" i="68"/>
  <c r="AZ258" i="68"/>
  <c r="AS240" i="68"/>
  <c r="AV240" i="68"/>
  <c r="AX240" i="68"/>
  <c r="U168" i="68"/>
  <c r="BE168" i="68" s="1"/>
  <c r="AG168" i="68"/>
  <c r="BQ168" i="68" s="1"/>
  <c r="AZ56" i="68"/>
  <c r="AU56" i="68"/>
  <c r="BH56" i="68"/>
  <c r="BA43" i="68"/>
  <c r="BD35" i="68"/>
  <c r="BL434" i="68"/>
  <c r="BT361" i="68"/>
  <c r="AI127" i="88" s="1"/>
  <c r="AI128" i="88" s="1"/>
  <c r="BL361" i="68"/>
  <c r="AA127" i="88" s="1"/>
  <c r="AA128" i="88" s="1"/>
  <c r="BC331" i="68"/>
  <c r="BC310" i="68"/>
  <c r="AO310" i="68"/>
  <c r="BR310" i="68"/>
  <c r="AO240" i="68"/>
  <c r="BK238" i="68"/>
  <c r="BG238" i="68"/>
  <c r="AQ234" i="68"/>
  <c r="BD234" i="68"/>
  <c r="AJ168" i="68"/>
  <c r="BT168" i="68" s="1"/>
  <c r="X168" i="68"/>
  <c r="BH168" i="68" s="1"/>
  <c r="BH43" i="68"/>
  <c r="BD43" i="68"/>
  <c r="BP41" i="68"/>
  <c r="BH325" i="68"/>
  <c r="BJ259" i="68"/>
  <c r="BL250" i="68"/>
  <c r="AT250" i="68"/>
  <c r="BR237" i="68"/>
  <c r="BB232" i="68"/>
  <c r="BT215" i="68"/>
  <c r="BF168" i="68"/>
  <c r="BM144" i="68"/>
  <c r="BG143" i="68"/>
  <c r="AN143" i="68"/>
  <c r="BI143" i="68"/>
  <c r="BA143" i="68"/>
  <c r="AO143" i="68"/>
  <c r="BA141" i="68"/>
  <c r="BD135" i="68"/>
  <c r="AX133" i="68"/>
  <c r="AT132" i="68"/>
  <c r="AV131" i="68"/>
  <c r="AS128" i="68"/>
  <c r="BC127" i="68"/>
  <c r="BQ125" i="68"/>
  <c r="AP121" i="68"/>
  <c r="AH76" i="68"/>
  <c r="BR76" i="68" s="1"/>
  <c r="V76" i="68"/>
  <c r="BF76" i="68" s="1"/>
  <c r="AP76" i="68"/>
  <c r="BC55" i="68"/>
  <c r="BO43" i="68"/>
  <c r="BU248" i="68"/>
  <c r="BD141" i="68"/>
  <c r="AU125" i="68"/>
  <c r="BT81" i="68"/>
  <c r="AN81" i="68"/>
  <c r="BU81" i="68"/>
  <c r="BN42" i="68"/>
  <c r="R371" i="68"/>
  <c r="BB371" i="68" s="1"/>
  <c r="AR371" i="68"/>
  <c r="AB371" i="68"/>
  <c r="BL371" i="68" s="1"/>
  <c r="AL371" i="68"/>
  <c r="BV371" i="68" s="1"/>
  <c r="AQ380" i="68"/>
  <c r="S371" i="68"/>
  <c r="BC371" i="68" s="1"/>
  <c r="V299" i="68"/>
  <c r="BF299" i="68" s="1"/>
  <c r="AN299" i="68"/>
  <c r="X297" i="68"/>
  <c r="BH297" i="68" s="1"/>
  <c r="AP297" i="68"/>
  <c r="AJ295" i="68"/>
  <c r="BT295" i="68" s="1"/>
  <c r="BB295" i="68"/>
  <c r="AK292" i="68"/>
  <c r="BU292" i="68" s="1"/>
  <c r="BC292" i="68"/>
  <c r="AE290" i="68"/>
  <c r="BO290" i="68" s="1"/>
  <c r="AW290" i="68"/>
  <c r="Z290" i="68"/>
  <c r="BJ290" i="68" s="1"/>
  <c r="AR290" i="68"/>
  <c r="AJ288" i="68"/>
  <c r="BT288" i="68" s="1"/>
  <c r="BB288" i="68"/>
  <c r="AS285" i="68"/>
  <c r="BM285" i="68"/>
  <c r="AT285" i="68"/>
  <c r="AU285" i="68"/>
  <c r="AN285" i="68"/>
  <c r="BP285" i="68"/>
  <c r="AW285" i="68"/>
  <c r="AX285" i="68"/>
  <c r="AY285" i="68"/>
  <c r="BD285" i="68"/>
  <c r="BT285" i="68"/>
  <c r="BA285" i="68"/>
  <c r="BU285" i="68"/>
  <c r="BB285" i="68"/>
  <c r="BC285" i="68"/>
  <c r="AO285" i="68"/>
  <c r="BE285" i="68"/>
  <c r="AP285" i="68"/>
  <c r="AA283" i="68"/>
  <c r="BK283" i="68" s="1"/>
  <c r="AS283" i="68"/>
  <c r="Y283" i="68"/>
  <c r="BI283" i="68" s="1"/>
  <c r="AQ283" i="68"/>
  <c r="AD208" i="68"/>
  <c r="BN208" i="68" s="1"/>
  <c r="AV208" i="68"/>
  <c r="AV207" i="68"/>
  <c r="AS207" i="68"/>
  <c r="BM207" i="68"/>
  <c r="BR207" i="68"/>
  <c r="BC207" i="68"/>
  <c r="BS207" i="68"/>
  <c r="AZ207" i="68"/>
  <c r="AW207" i="68"/>
  <c r="BU207" i="68"/>
  <c r="BB207" i="68"/>
  <c r="BV207" i="68"/>
  <c r="AN207" i="68"/>
  <c r="BD207" i="68"/>
  <c r="BA207" i="68"/>
  <c r="AP207" i="68"/>
  <c r="AQ207" i="68"/>
  <c r="BH207" i="68"/>
  <c r="BJ207" i="68"/>
  <c r="AO207" i="68"/>
  <c r="AU207" i="68"/>
  <c r="BI207" i="68"/>
  <c r="BO207" i="68"/>
  <c r="V206" i="68"/>
  <c r="BF206" i="68" s="1"/>
  <c r="AN206" i="68"/>
  <c r="AK205" i="68"/>
  <c r="BU205" i="68" s="1"/>
  <c r="BC205" i="68"/>
  <c r="AL204" i="68"/>
  <c r="BV204" i="68" s="1"/>
  <c r="BD204" i="68"/>
  <c r="AI204" i="68"/>
  <c r="BS204" i="68" s="1"/>
  <c r="BA204" i="68"/>
  <c r="AC202" i="68"/>
  <c r="BM202" i="68" s="1"/>
  <c r="AU202" i="68"/>
  <c r="Z202" i="68"/>
  <c r="BJ202" i="68" s="1"/>
  <c r="AR202" i="68"/>
  <c r="AB200" i="68"/>
  <c r="BL200" i="68" s="1"/>
  <c r="AT200" i="68"/>
  <c r="AN198" i="68"/>
  <c r="BD198" i="68"/>
  <c r="BT198" i="68"/>
  <c r="BB198" i="68"/>
  <c r="BR198" i="68"/>
  <c r="BE198" i="68"/>
  <c r="AY198" i="68"/>
  <c r="BQ198" i="68"/>
  <c r="BS198" i="68"/>
  <c r="AR198" i="68"/>
  <c r="BH198" i="68"/>
  <c r="AP198" i="68"/>
  <c r="BV198" i="68"/>
  <c r="BM198" i="68"/>
  <c r="AS198" i="68"/>
  <c r="AU198" i="68"/>
  <c r="BP198" i="68"/>
  <c r="AQ198" i="68"/>
  <c r="BK198" i="68"/>
  <c r="AV198" i="68"/>
  <c r="AT198" i="68"/>
  <c r="AO198" i="68"/>
  <c r="BA198" i="68"/>
  <c r="AZ198" i="68"/>
  <c r="AX198" i="68"/>
  <c r="AW198" i="68"/>
  <c r="BI198" i="68"/>
  <c r="X196" i="68"/>
  <c r="BH196" i="68" s="1"/>
  <c r="AP196" i="68"/>
  <c r="AJ195" i="68"/>
  <c r="BT195" i="68" s="1"/>
  <c r="BB195" i="68"/>
  <c r="AD194" i="68"/>
  <c r="BN194" i="68" s="1"/>
  <c r="AV194" i="68"/>
  <c r="AB193" i="68"/>
  <c r="BL193" i="68" s="1"/>
  <c r="AT193" i="68"/>
  <c r="AK105" i="68"/>
  <c r="BU105" i="68" s="1"/>
  <c r="Y105" i="68"/>
  <c r="BI105" i="68" s="1"/>
  <c r="S105" i="68"/>
  <c r="BC105" i="68" s="1"/>
  <c r="AE105" i="68"/>
  <c r="BO105" i="68" s="1"/>
  <c r="Q105" i="68"/>
  <c r="BA105" i="68" s="1"/>
  <c r="AC105" i="68"/>
  <c r="BM105" i="68" s="1"/>
  <c r="AQ105" i="68"/>
  <c r="AN105" i="68"/>
  <c r="AS105" i="68"/>
  <c r="AP105" i="68"/>
  <c r="AR105" i="68"/>
  <c r="AW105" i="68"/>
  <c r="AT105" i="68"/>
  <c r="AY105" i="68"/>
  <c r="AV105" i="68"/>
  <c r="AO105" i="68"/>
  <c r="BN105" i="68"/>
  <c r="P104" i="68"/>
  <c r="AZ104" i="68" s="1"/>
  <c r="AN104" i="68"/>
  <c r="AB104" i="68"/>
  <c r="BL104" i="68" s="1"/>
  <c r="AY100" i="68"/>
  <c r="BR100" i="68"/>
  <c r="AQ100" i="68"/>
  <c r="AN100" i="68"/>
  <c r="AW100" i="68"/>
  <c r="BC100" i="68"/>
  <c r="AU22" i="68"/>
  <c r="W22" i="68"/>
  <c r="BG22" i="68" s="1"/>
  <c r="AI22" i="68"/>
  <c r="BS22" i="68" s="1"/>
  <c r="AG22" i="68"/>
  <c r="BQ22" i="68" s="1"/>
  <c r="AS22" i="68"/>
  <c r="AQ22" i="68"/>
  <c r="S22" i="68"/>
  <c r="BC22" i="68" s="1"/>
  <c r="AE22" i="68"/>
  <c r="BO22" i="68" s="1"/>
  <c r="AC22" i="68"/>
  <c r="BM22" i="68" s="1"/>
  <c r="AO22" i="68"/>
  <c r="Q22" i="68"/>
  <c r="BA22" i="68" s="1"/>
  <c r="AA21" i="68"/>
  <c r="BK21" i="68" s="1"/>
  <c r="AY21" i="68"/>
  <c r="AW21" i="68"/>
  <c r="Y21" i="68"/>
  <c r="BI21" i="68" s="1"/>
  <c r="AK21" i="68"/>
  <c r="BU21" i="68" s="1"/>
  <c r="W21" i="68"/>
  <c r="BG21" i="68" s="1"/>
  <c r="AI21" i="68"/>
  <c r="BS21" i="68" s="1"/>
  <c r="AU21" i="68"/>
  <c r="AG21" i="68"/>
  <c r="BQ21" i="68" s="1"/>
  <c r="U21" i="68"/>
  <c r="BE21" i="68" s="1"/>
  <c r="AS21" i="68"/>
  <c r="AQ21" i="68"/>
  <c r="S21" i="68"/>
  <c r="BC21" i="68" s="1"/>
  <c r="AE21" i="68"/>
  <c r="BO21" i="68" s="1"/>
  <c r="AO21" i="68"/>
  <c r="Q21" i="68"/>
  <c r="BA21" i="68" s="1"/>
  <c r="AC21" i="68"/>
  <c r="BM21" i="68" s="1"/>
  <c r="Y20" i="68"/>
  <c r="BI20" i="68" s="1"/>
  <c r="AK20" i="68"/>
  <c r="BU20" i="68" s="1"/>
  <c r="W20" i="68"/>
  <c r="BG20" i="68" s="1"/>
  <c r="AI20" i="68"/>
  <c r="BS20" i="68" s="1"/>
  <c r="S20" i="68"/>
  <c r="BC20" i="68" s="1"/>
  <c r="AE20" i="68"/>
  <c r="BO20" i="68" s="1"/>
  <c r="AC20" i="68"/>
  <c r="BM20" i="68" s="1"/>
  <c r="Q20" i="68"/>
  <c r="BA20" i="68" s="1"/>
  <c r="AP20" i="68"/>
  <c r="AU20" i="68"/>
  <c r="AN20" i="68"/>
  <c r="AS20" i="68"/>
  <c r="AT20" i="68"/>
  <c r="AY20" i="68"/>
  <c r="AR20" i="68"/>
  <c r="AW20" i="68"/>
  <c r="AX20" i="68"/>
  <c r="AV20" i="68"/>
  <c r="BR20" i="68"/>
  <c r="AO20" i="68"/>
  <c r="Z18" i="68"/>
  <c r="BJ18" i="68" s="1"/>
  <c r="AX18" i="68"/>
  <c r="AL18" i="68"/>
  <c r="BV18" i="68" s="1"/>
  <c r="X18" i="68"/>
  <c r="BH18" i="68" s="1"/>
  <c r="AJ18" i="68"/>
  <c r="BT18" i="68" s="1"/>
  <c r="AV18" i="68"/>
  <c r="AT18" i="68"/>
  <c r="V18" i="68"/>
  <c r="BF18" i="68" s="1"/>
  <c r="T18" i="68"/>
  <c r="BD18" i="68" s="1"/>
  <c r="AF18" i="68"/>
  <c r="BP18" i="68" s="1"/>
  <c r="AR18" i="68"/>
  <c r="R18" i="68"/>
  <c r="BB18" i="68" s="1"/>
  <c r="AD18" i="68"/>
  <c r="BN18" i="68" s="1"/>
  <c r="AP18" i="68"/>
  <c r="AN18" i="68"/>
  <c r="P18" i="68"/>
  <c r="AZ18" i="68" s="1"/>
  <c r="AB18" i="68"/>
  <c r="BL18" i="68" s="1"/>
  <c r="AP16" i="68"/>
  <c r="AU16" i="68"/>
  <c r="AN16" i="68"/>
  <c r="AW16" i="68"/>
  <c r="BQ16" i="68"/>
  <c r="BT16" i="68"/>
  <c r="AT16" i="68"/>
  <c r="AY16" i="68"/>
  <c r="AR16" i="68"/>
  <c r="AX16" i="68"/>
  <c r="BK16" i="68"/>
  <c r="AV16" i="68"/>
  <c r="AQ16" i="68"/>
  <c r="AE14" i="68"/>
  <c r="BO14" i="68" s="1"/>
  <c r="AQ14" i="68"/>
  <c r="AA8" i="68"/>
  <c r="BK8" i="68" s="1"/>
  <c r="AY8" i="68"/>
  <c r="Z8" i="68"/>
  <c r="BJ8" i="68" s="1"/>
  <c r="AX8" i="68"/>
  <c r="AL8" i="68"/>
  <c r="BV8" i="68" s="1"/>
  <c r="Z13" i="68"/>
  <c r="BJ13" i="68" s="1"/>
  <c r="AL13" i="68"/>
  <c r="BV13" i="68" s="1"/>
  <c r="X13" i="68"/>
  <c r="BH13" i="68" s="1"/>
  <c r="AV13" i="68"/>
  <c r="AH13" i="68"/>
  <c r="BR13" i="68" s="1"/>
  <c r="AT13" i="68"/>
  <c r="V13" i="68"/>
  <c r="BF13" i="68" s="1"/>
  <c r="T13" i="68"/>
  <c r="BD13" i="68" s="1"/>
  <c r="AF13" i="68"/>
  <c r="BP13" i="68" s="1"/>
  <c r="AR13" i="68"/>
  <c r="AP13" i="68"/>
  <c r="R13" i="68"/>
  <c r="BB13" i="68" s="1"/>
  <c r="AD13" i="68"/>
  <c r="BN13" i="68" s="1"/>
  <c r="AN13" i="68"/>
  <c r="P13" i="68"/>
  <c r="AZ13" i="68" s="1"/>
  <c r="AB13" i="68"/>
  <c r="BL13" i="68" s="1"/>
  <c r="P12" i="68"/>
  <c r="AZ12" i="68" s="1"/>
  <c r="AB12" i="68"/>
  <c r="BL12" i="68" s="1"/>
  <c r="AN12" i="68"/>
  <c r="Y8" i="68"/>
  <c r="BI8" i="68" s="1"/>
  <c r="AK8" i="68"/>
  <c r="BU8" i="68" s="1"/>
  <c r="Q8" i="68"/>
  <c r="BA8" i="68" s="1"/>
  <c r="AO8" i="68"/>
  <c r="AC8" i="68"/>
  <c r="BM8" i="68" s="1"/>
  <c r="AS100" i="68"/>
  <c r="S14" i="68"/>
  <c r="BC14" i="68" s="1"/>
  <c r="U22" i="68"/>
  <c r="BE22" i="68" s="1"/>
  <c r="AA377" i="68"/>
  <c r="BK377" i="68" s="1"/>
  <c r="Q377" i="68"/>
  <c r="BA377" i="68" s="1"/>
  <c r="AW8" i="68"/>
  <c r="BJ198" i="68"/>
  <c r="AP292" i="68"/>
  <c r="AQ20" i="68"/>
  <c r="AJ13" i="68"/>
  <c r="BT13" i="68" s="1"/>
  <c r="AV326" i="68"/>
  <c r="BM326" i="68"/>
  <c r="BE16" i="68"/>
  <c r="BL105" i="68"/>
  <c r="BO198" i="68"/>
  <c r="AN412" i="68"/>
  <c r="AP412" i="68"/>
  <c r="N384" i="68"/>
  <c r="AX384" i="68" s="1"/>
  <c r="X384" i="68"/>
  <c r="BH384" i="68" s="1"/>
  <c r="Y378" i="68"/>
  <c r="BI378" i="68" s="1"/>
  <c r="AI378" i="68"/>
  <c r="BS378" i="68" s="1"/>
  <c r="O378" i="68"/>
  <c r="AY378" i="68" s="1"/>
  <c r="AO378" i="68"/>
  <c r="BF220" i="68"/>
  <c r="AN220" i="68"/>
  <c r="BV220" i="68"/>
  <c r="AS220" i="68"/>
  <c r="AX220" i="68"/>
  <c r="BC220" i="68"/>
  <c r="BS220" i="68"/>
  <c r="AO220" i="68"/>
  <c r="AT220" i="68"/>
  <c r="AY220" i="68"/>
  <c r="BE220" i="68"/>
  <c r="AP220" i="68"/>
  <c r="AU220" i="68"/>
  <c r="BA220" i="68"/>
  <c r="BB220" i="68"/>
  <c r="BN220" i="68"/>
  <c r="BQ220" i="68"/>
  <c r="AQ220" i="68"/>
  <c r="Y168" i="68"/>
  <c r="BI168" i="68" s="1"/>
  <c r="AK168" i="68"/>
  <c r="BU168" i="68" s="1"/>
  <c r="AW168" i="68"/>
  <c r="BJ16" i="68"/>
  <c r="BJ20" i="68"/>
  <c r="BI299" i="68"/>
  <c r="BR291" i="68"/>
  <c r="BN207" i="68"/>
  <c r="R430" i="68"/>
  <c r="BB430" i="68" s="1"/>
  <c r="AB430" i="68"/>
  <c r="BL430" i="68" s="1"/>
  <c r="Y381" i="68"/>
  <c r="BI381" i="68" s="1"/>
  <c r="O381" i="68"/>
  <c r="AY381" i="68" s="1"/>
  <c r="AP263" i="68"/>
  <c r="AT263" i="68"/>
  <c r="AX263" i="68"/>
  <c r="BR263" i="68"/>
  <c r="BF20" i="68"/>
  <c r="AS205" i="68"/>
  <c r="BL205" i="68"/>
  <c r="AV205" i="68"/>
  <c r="BO205" i="68"/>
  <c r="AU205" i="68"/>
  <c r="AO287" i="68"/>
  <c r="AT287" i="68"/>
  <c r="AO289" i="68"/>
  <c r="BH291" i="68"/>
  <c r="AY291" i="68"/>
  <c r="BC297" i="68"/>
  <c r="P372" i="68"/>
  <c r="AZ372" i="68" s="1"/>
  <c r="AN384" i="68"/>
  <c r="AY300" i="68"/>
  <c r="BN205" i="68"/>
  <c r="AL413" i="68"/>
  <c r="BV413" i="68" s="1"/>
  <c r="BT306" i="68"/>
  <c r="BD306" i="68"/>
  <c r="AN306" i="68"/>
  <c r="AY306" i="68"/>
  <c r="AW220" i="68"/>
  <c r="BV296" i="68"/>
  <c r="BN296" i="68"/>
  <c r="BV285" i="68"/>
  <c r="V430" i="68"/>
  <c r="BF430" i="68" s="1"/>
  <c r="AN410" i="68"/>
  <c r="Y383" i="68"/>
  <c r="BI383" i="68" s="1"/>
  <c r="N382" i="68"/>
  <c r="AX382" i="68" s="1"/>
  <c r="BD353" i="68"/>
  <c r="BA348" i="68"/>
  <c r="AI348" i="68"/>
  <c r="BS348" i="68" s="1"/>
  <c r="AY224" i="68"/>
  <c r="BK224" i="68"/>
  <c r="BN224" i="68"/>
  <c r="AQ146" i="68"/>
  <c r="BV295" i="68"/>
  <c r="BS295" i="68"/>
  <c r="BN295" i="68"/>
  <c r="BF295" i="68"/>
  <c r="BQ291" i="68"/>
  <c r="BL291" i="68"/>
  <c r="BO285" i="68"/>
  <c r="BF285" i="68"/>
  <c r="O371" i="68"/>
  <c r="AY371" i="68" s="1"/>
  <c r="Y371" i="68"/>
  <c r="BI371" i="68" s="1"/>
  <c r="BP353" i="68"/>
  <c r="AT353" i="68"/>
  <c r="AV353" i="68"/>
  <c r="AR348" i="68"/>
  <c r="AV348" i="68"/>
  <c r="BK220" i="68"/>
  <c r="BU286" i="68"/>
  <c r="BM286" i="68"/>
  <c r="BQ209" i="68"/>
  <c r="BF208" i="68"/>
  <c r="BQ200" i="68"/>
  <c r="BI200" i="68"/>
  <c r="BV434" i="68"/>
  <c r="AN421" i="68"/>
  <c r="C143" i="88" s="1"/>
  <c r="G412" i="68"/>
  <c r="AA412" i="68" s="1"/>
  <c r="BK412" i="68" s="1"/>
  <c r="P412" i="68"/>
  <c r="AZ412" i="68" s="1"/>
  <c r="AO392" i="68"/>
  <c r="AN394" i="68"/>
  <c r="AO395" i="68"/>
  <c r="AW395" i="68"/>
  <c r="AR396" i="68"/>
  <c r="BK396" i="68"/>
  <c r="AY397" i="68"/>
  <c r="AO397" i="68"/>
  <c r="AW397" i="68"/>
  <c r="AT398" i="68"/>
  <c r="BB392" i="68"/>
  <c r="AS392" i="68"/>
  <c r="AN393" i="68"/>
  <c r="AH371" i="68"/>
  <c r="BR371" i="68" s="1"/>
  <c r="X371" i="68"/>
  <c r="BH371" i="68" s="1"/>
  <c r="AN353" i="68"/>
  <c r="AN341" i="68"/>
  <c r="AN340" i="68"/>
  <c r="AV333" i="68"/>
  <c r="AZ333" i="68"/>
  <c r="BR333" i="68"/>
  <c r="BD333" i="68"/>
  <c r="BP333" i="68"/>
  <c r="AN333" i="68"/>
  <c r="BG324" i="68"/>
  <c r="AP242" i="68"/>
  <c r="AT242" i="68"/>
  <c r="AX242" i="68"/>
  <c r="BB242" i="68"/>
  <c r="BF242" i="68"/>
  <c r="BO242" i="68"/>
  <c r="BV242" i="68"/>
  <c r="AQ242" i="68"/>
  <c r="AU242" i="68"/>
  <c r="AY242" i="68"/>
  <c r="BC242" i="68"/>
  <c r="AN242" i="68"/>
  <c r="AR242" i="68"/>
  <c r="AV242" i="68"/>
  <c r="AZ242" i="68"/>
  <c r="BD242" i="68"/>
  <c r="BU242" i="68"/>
  <c r="AO226" i="68"/>
  <c r="AW226" i="68"/>
  <c r="BA226" i="68"/>
  <c r="AS224" i="68"/>
  <c r="AO145" i="68"/>
  <c r="BF145" i="68"/>
  <c r="BK145" i="68"/>
  <c r="AQ145" i="68"/>
  <c r="BJ263" i="68"/>
  <c r="BT242" i="68"/>
  <c r="BM242" i="68"/>
  <c r="BG242" i="68"/>
  <c r="BT239" i="68"/>
  <c r="BU220" i="68"/>
  <c r="BQ216" i="68"/>
  <c r="T38" i="68"/>
  <c r="BD38" i="68" s="1"/>
  <c r="AF38" i="68"/>
  <c r="BP38" i="68" s="1"/>
  <c r="AN250" i="68"/>
  <c r="BL242" i="68"/>
  <c r="BU240" i="68"/>
  <c r="BA240" i="68"/>
  <c r="AT240" i="68"/>
  <c r="AN240" i="68"/>
  <c r="BA239" i="68"/>
  <c r="AP234" i="68"/>
  <c r="BM220" i="68"/>
  <c r="AY216" i="68"/>
  <c r="AS144" i="68"/>
  <c r="BA144" i="68"/>
  <c r="U129" i="68"/>
  <c r="BE129" i="68" s="1"/>
  <c r="AS129" i="68"/>
  <c r="AG129" i="68"/>
  <c r="BQ129" i="68" s="1"/>
  <c r="BH395" i="68"/>
  <c r="X381" i="68"/>
  <c r="BH381" i="68" s="1"/>
  <c r="X378" i="68"/>
  <c r="BH378" i="68" s="1"/>
  <c r="BM324" i="68"/>
  <c r="AY315" i="68"/>
  <c r="BI250" i="68"/>
  <c r="AV250" i="68"/>
  <c r="BN250" i="68"/>
  <c r="BB248" i="68"/>
  <c r="BN248" i="68"/>
  <c r="BR242" i="68"/>
  <c r="BO240" i="68"/>
  <c r="AZ240" i="68"/>
  <c r="BR240" i="68"/>
  <c r="BJ240" i="68"/>
  <c r="BG240" i="68"/>
  <c r="BU239" i="68"/>
  <c r="AV239" i="68"/>
  <c r="BN239" i="68"/>
  <c r="AN234" i="68"/>
  <c r="AW218" i="68"/>
  <c r="AQ216" i="68"/>
  <c r="S168" i="68"/>
  <c r="BC168" i="68" s="1"/>
  <c r="BN145" i="68"/>
  <c r="AO144" i="68"/>
  <c r="AV76" i="68"/>
  <c r="X76" i="68"/>
  <c r="BH76" i="68" s="1"/>
  <c r="AJ76" i="68"/>
  <c r="BT76" i="68" s="1"/>
  <c r="BC81" i="68"/>
  <c r="AP81" i="68"/>
  <c r="AI76" i="68"/>
  <c r="BS76" i="68" s="1"/>
  <c r="AS56" i="68"/>
  <c r="AR35" i="68"/>
  <c r="AN69" i="68"/>
  <c r="Y288" i="68"/>
  <c r="BI288" i="68" s="1"/>
  <c r="AQ288" i="68"/>
  <c r="AG287" i="68"/>
  <c r="BQ287" i="68" s="1"/>
  <c r="AY287" i="68"/>
  <c r="AH284" i="68"/>
  <c r="BR284" i="68" s="1"/>
  <c r="AZ284" i="68"/>
  <c r="AL209" i="68"/>
  <c r="BV209" i="68" s="1"/>
  <c r="BD209" i="68"/>
  <c r="AG207" i="68"/>
  <c r="BQ207" i="68" s="1"/>
  <c r="AY207" i="68"/>
  <c r="AE204" i="68"/>
  <c r="BO204" i="68" s="1"/>
  <c r="AW204" i="68"/>
  <c r="X111" i="68"/>
  <c r="BH111" i="68" s="1"/>
  <c r="AJ111" i="68"/>
  <c r="BT111" i="68" s="1"/>
  <c r="AV111" i="68"/>
  <c r="P111" i="68"/>
  <c r="AZ111" i="68" s="1"/>
  <c r="AB111" i="68"/>
  <c r="BL111" i="68" s="1"/>
  <c r="AN111" i="68"/>
  <c r="AV110" i="68"/>
  <c r="X110" i="68"/>
  <c r="BH110" i="68" s="1"/>
  <c r="AJ110" i="68"/>
  <c r="BT110" i="68" s="1"/>
  <c r="AP110" i="68"/>
  <c r="AD110" i="68"/>
  <c r="BN110" i="68" s="1"/>
  <c r="R110" i="68"/>
  <c r="BB110" i="68" s="1"/>
  <c r="X109" i="68"/>
  <c r="BH109" i="68" s="1"/>
  <c r="AV109" i="68"/>
  <c r="AJ109" i="68"/>
  <c r="BT109" i="68" s="1"/>
  <c r="AP109" i="68"/>
  <c r="AD109" i="68"/>
  <c r="BN109" i="68" s="1"/>
  <c r="R109" i="68"/>
  <c r="BB109" i="68" s="1"/>
  <c r="AL108" i="68"/>
  <c r="BV108" i="68" s="1"/>
  <c r="Z108" i="68"/>
  <c r="BJ108" i="68" s="1"/>
  <c r="AH108" i="68"/>
  <c r="BR108" i="68" s="1"/>
  <c r="V108" i="68"/>
  <c r="BF108" i="68" s="1"/>
  <c r="AL107" i="68"/>
  <c r="BV107" i="68" s="1"/>
  <c r="AX107" i="68"/>
  <c r="Z107" i="68"/>
  <c r="BJ107" i="68" s="1"/>
  <c r="AH107" i="68"/>
  <c r="BR107" i="68" s="1"/>
  <c r="AT107" i="68"/>
  <c r="V107" i="68"/>
  <c r="BF107" i="68" s="1"/>
  <c r="AP107" i="68"/>
  <c r="AD107" i="68"/>
  <c r="BN107" i="68" s="1"/>
  <c r="R107" i="68"/>
  <c r="BB107" i="68" s="1"/>
  <c r="W102" i="68"/>
  <c r="BG102" i="68" s="1"/>
  <c r="AI102" i="68"/>
  <c r="BS102" i="68" s="1"/>
  <c r="S102" i="68"/>
  <c r="BC102" i="68" s="1"/>
  <c r="AE102" i="68"/>
  <c r="BO102" i="68" s="1"/>
  <c r="AC102" i="68"/>
  <c r="BM102" i="68" s="1"/>
  <c r="Q102" i="68"/>
  <c r="BA102" i="68" s="1"/>
  <c r="BA330" i="68"/>
  <c r="AS330" i="68"/>
  <c r="BB330" i="68"/>
  <c r="BN330" i="68"/>
  <c r="AX330" i="68"/>
  <c r="AO330" i="68"/>
  <c r="BV330" i="68"/>
  <c r="AP330" i="68"/>
  <c r="BD330" i="68"/>
  <c r="AN330" i="68"/>
  <c r="BK330" i="68"/>
  <c r="AU330" i="68"/>
  <c r="BP330" i="68"/>
  <c r="AZ330" i="68"/>
  <c r="BG330" i="68"/>
  <c r="AV330" i="68"/>
  <c r="BS330" i="68"/>
  <c r="BC330" i="68"/>
  <c r="BH330" i="68"/>
  <c r="BO330" i="68"/>
  <c r="AR330" i="68"/>
  <c r="AY330" i="68"/>
  <c r="BM330" i="68"/>
  <c r="AT330" i="68"/>
  <c r="BE330" i="68"/>
  <c r="AW330" i="68"/>
  <c r="AQ330" i="68"/>
  <c r="BU330" i="68"/>
  <c r="AN221" i="68"/>
  <c r="AT221" i="68"/>
  <c r="AX221" i="68"/>
  <c r="BN221" i="68"/>
  <c r="BJ221" i="68"/>
  <c r="BR221" i="68"/>
  <c r="BO221" i="68"/>
  <c r="AY221" i="68"/>
  <c r="BQ221" i="68"/>
  <c r="BA221" i="68"/>
  <c r="AR221" i="68"/>
  <c r="BK221" i="68"/>
  <c r="AU221" i="68"/>
  <c r="AW221" i="68"/>
  <c r="BT221" i="68"/>
  <c r="BD221" i="68"/>
  <c r="BG221" i="68"/>
  <c r="AQ221" i="68"/>
  <c r="BI221" i="68"/>
  <c r="AS221" i="68"/>
  <c r="AZ221" i="68"/>
  <c r="BC221" i="68"/>
  <c r="BL221" i="68"/>
  <c r="AP221" i="68"/>
  <c r="AV221" i="68"/>
  <c r="BF221" i="68"/>
  <c r="BE221" i="68"/>
  <c r="BB221" i="68"/>
  <c r="BV221" i="68"/>
  <c r="BS221" i="68"/>
  <c r="AO221" i="68"/>
  <c r="W291" i="68"/>
  <c r="BG291" i="68" s="1"/>
  <c r="AO291" i="68"/>
  <c r="AG288" i="68"/>
  <c r="BQ288" i="68" s="1"/>
  <c r="AY288" i="68"/>
  <c r="AZ285" i="68"/>
  <c r="Z284" i="68"/>
  <c r="BJ284" i="68" s="1"/>
  <c r="AR284" i="68"/>
  <c r="AD209" i="68"/>
  <c r="BN209" i="68" s="1"/>
  <c r="AV209" i="68"/>
  <c r="V209" i="68"/>
  <c r="BF209" i="68" s="1"/>
  <c r="AN209" i="68"/>
  <c r="AL202" i="68"/>
  <c r="BV202" i="68" s="1"/>
  <c r="BD202" i="68"/>
  <c r="V202" i="68"/>
  <c r="BF202" i="68" s="1"/>
  <c r="AN202" i="68"/>
  <c r="AB201" i="68"/>
  <c r="BL201" i="68" s="1"/>
  <c r="AT201" i="68"/>
  <c r="AU199" i="68"/>
  <c r="AS199" i="68"/>
  <c r="BI199" i="68"/>
  <c r="AN199" i="68"/>
  <c r="BT199" i="68"/>
  <c r="BN199" i="68"/>
  <c r="BJ199" i="68"/>
  <c r="AY199" i="68"/>
  <c r="AW199" i="68"/>
  <c r="BM199" i="68"/>
  <c r="AV199" i="68"/>
  <c r="AP199" i="68"/>
  <c r="BV199" i="68"/>
  <c r="BP199" i="68"/>
  <c r="BR199" i="68"/>
  <c r="AQ199" i="68"/>
  <c r="AO199" i="68"/>
  <c r="BU199" i="68"/>
  <c r="BB199" i="68"/>
  <c r="BC199" i="68"/>
  <c r="BA199" i="68"/>
  <c r="BD199" i="68"/>
  <c r="AR199" i="68"/>
  <c r="BG199" i="68"/>
  <c r="BE199" i="68"/>
  <c r="BL199" i="68"/>
  <c r="AZ199" i="68"/>
  <c r="AT199" i="68"/>
  <c r="BS199" i="68"/>
  <c r="BQ199" i="68"/>
  <c r="AX199" i="68"/>
  <c r="Z197" i="68"/>
  <c r="BJ197" i="68" s="1"/>
  <c r="AR197" i="68"/>
  <c r="AH196" i="68"/>
  <c r="BR196" i="68" s="1"/>
  <c r="AZ196" i="68"/>
  <c r="Z196" i="68"/>
  <c r="BJ196" i="68" s="1"/>
  <c r="AR196" i="68"/>
  <c r="AF195" i="68"/>
  <c r="BP195" i="68" s="1"/>
  <c r="AX195" i="68"/>
  <c r="AG194" i="68"/>
  <c r="BQ194" i="68" s="1"/>
  <c r="AY194" i="68"/>
  <c r="AK192" i="68"/>
  <c r="BU192" i="68" s="1"/>
  <c r="BC192" i="68"/>
  <c r="AC192" i="68"/>
  <c r="BM192" i="68" s="1"/>
  <c r="AU192" i="68"/>
  <c r="Z111" i="68"/>
  <c r="BJ111" i="68" s="1"/>
  <c r="AL111" i="68"/>
  <c r="BV111" i="68" s="1"/>
  <c r="AX111" i="68"/>
  <c r="AR111" i="68"/>
  <c r="T111" i="68"/>
  <c r="BD111" i="68" s="1"/>
  <c r="AF111" i="68"/>
  <c r="BP111" i="68" s="1"/>
  <c r="AL110" i="68"/>
  <c r="BV110" i="68" s="1"/>
  <c r="AX110" i="68"/>
  <c r="Z110" i="68"/>
  <c r="BJ110" i="68" s="1"/>
  <c r="T110" i="68"/>
  <c r="BD110" i="68" s="1"/>
  <c r="AF110" i="68"/>
  <c r="BP110" i="68" s="1"/>
  <c r="AR110" i="68"/>
  <c r="AT109" i="68"/>
  <c r="AH109" i="68"/>
  <c r="BR109" i="68" s="1"/>
  <c r="V109" i="68"/>
  <c r="BF109" i="68" s="1"/>
  <c r="AN109" i="68"/>
  <c r="P109" i="68"/>
  <c r="AZ109" i="68" s="1"/>
  <c r="AB109" i="68"/>
  <c r="BL109" i="68" s="1"/>
  <c r="T108" i="68"/>
  <c r="BD108" i="68" s="1"/>
  <c r="AF108" i="68"/>
  <c r="BP108" i="68" s="1"/>
  <c r="T107" i="68"/>
  <c r="BD107" i="68" s="1"/>
  <c r="AF107" i="68"/>
  <c r="BP107" i="68" s="1"/>
  <c r="AR107" i="68"/>
  <c r="Y102" i="68"/>
  <c r="BI102" i="68" s="1"/>
  <c r="AK102" i="68"/>
  <c r="BU102" i="68" s="1"/>
  <c r="U102" i="68"/>
  <c r="BE102" i="68" s="1"/>
  <c r="AG102" i="68"/>
  <c r="BQ102" i="68" s="1"/>
  <c r="AW102" i="68"/>
  <c r="BB102" i="68"/>
  <c r="AQ102" i="68"/>
  <c r="AV102" i="68"/>
  <c r="BP102" i="68"/>
  <c r="AP102" i="68"/>
  <c r="BF102" i="68"/>
  <c r="AU102" i="68"/>
  <c r="AO102" i="68"/>
  <c r="AT102" i="68"/>
  <c r="AY102" i="68"/>
  <c r="AN102" i="68"/>
  <c r="BD102" i="68"/>
  <c r="AR102" i="68"/>
  <c r="AX102" i="68"/>
  <c r="AS102" i="68"/>
  <c r="W223" i="68"/>
  <c r="BG223" i="68" s="1"/>
  <c r="Y289" i="68"/>
  <c r="BI289" i="68" s="1"/>
  <c r="AQ289" i="68"/>
  <c r="Y287" i="68"/>
  <c r="BI287" i="68" s="1"/>
  <c r="AQ287" i="68"/>
  <c r="AE206" i="68"/>
  <c r="BO206" i="68" s="1"/>
  <c r="AW206" i="68"/>
  <c r="AG205" i="68"/>
  <c r="BQ205" i="68" s="1"/>
  <c r="AY205" i="68"/>
  <c r="AL200" i="68"/>
  <c r="BV200" i="68" s="1"/>
  <c r="BD200" i="68"/>
  <c r="AD200" i="68"/>
  <c r="BN200" i="68" s="1"/>
  <c r="AV200" i="68"/>
  <c r="V200" i="68"/>
  <c r="BF200" i="68" s="1"/>
  <c r="AN200" i="68"/>
  <c r="AH197" i="68"/>
  <c r="BR197" i="68" s="1"/>
  <c r="AZ197" i="68"/>
  <c r="AE193" i="68"/>
  <c r="BO193" i="68" s="1"/>
  <c r="AW193" i="68"/>
  <c r="AT111" i="68"/>
  <c r="V111" i="68"/>
  <c r="BF111" i="68" s="1"/>
  <c r="AH111" i="68"/>
  <c r="BR111" i="68" s="1"/>
  <c r="AD111" i="68"/>
  <c r="BN111" i="68" s="1"/>
  <c r="AP111" i="68"/>
  <c r="R111" i="68"/>
  <c r="BB111" i="68" s="1"/>
  <c r="AH110" i="68"/>
  <c r="BR110" i="68" s="1"/>
  <c r="AT110" i="68"/>
  <c r="V110" i="68"/>
  <c r="BF110" i="68" s="1"/>
  <c r="AB110" i="68"/>
  <c r="BL110" i="68" s="1"/>
  <c r="P110" i="68"/>
  <c r="AZ110" i="68" s="1"/>
  <c r="AN110" i="68"/>
  <c r="AL109" i="68"/>
  <c r="BV109" i="68" s="1"/>
  <c r="Z109" i="68"/>
  <c r="BJ109" i="68" s="1"/>
  <c r="AX109" i="68"/>
  <c r="AF109" i="68"/>
  <c r="BP109" i="68" s="1"/>
  <c r="AR109" i="68"/>
  <c r="T109" i="68"/>
  <c r="BD109" i="68" s="1"/>
  <c r="AJ108" i="68"/>
  <c r="BT108" i="68" s="1"/>
  <c r="X108" i="68"/>
  <c r="BH108" i="68" s="1"/>
  <c r="AD108" i="68"/>
  <c r="BN108" i="68" s="1"/>
  <c r="R108" i="68"/>
  <c r="BB108" i="68" s="1"/>
  <c r="AY108" i="68"/>
  <c r="AR108" i="68"/>
  <c r="AT108" i="68"/>
  <c r="BG108" i="68"/>
  <c r="AV108" i="68"/>
  <c r="AS108" i="68"/>
  <c r="AX108" i="68"/>
  <c r="AP108" i="68"/>
  <c r="AQ108" i="68"/>
  <c r="AU108" i="68"/>
  <c r="AN108" i="68"/>
  <c r="AW108" i="68"/>
  <c r="X107" i="68"/>
  <c r="BH107" i="68" s="1"/>
  <c r="AJ107" i="68"/>
  <c r="BT107" i="68" s="1"/>
  <c r="AV107" i="68"/>
  <c r="P107" i="68"/>
  <c r="AZ107" i="68" s="1"/>
  <c r="AN107" i="68"/>
  <c r="AB107" i="68"/>
  <c r="BL107" i="68" s="1"/>
  <c r="AN19" i="68"/>
  <c r="AV19" i="68"/>
  <c r="AT19" i="68"/>
  <c r="AR19" i="68"/>
  <c r="AU19" i="68"/>
  <c r="AP19" i="68"/>
  <c r="AW19" i="68"/>
  <c r="AY19" i="68"/>
  <c r="AQ19" i="68"/>
  <c r="AS19" i="68"/>
  <c r="BI19" i="68"/>
  <c r="AO19" i="68"/>
  <c r="AX19" i="68"/>
  <c r="AE348" i="68"/>
  <c r="BO348" i="68" s="1"/>
  <c r="AW348" i="68"/>
  <c r="AK80" i="127"/>
  <c r="AF80" i="127"/>
  <c r="AC80" i="127"/>
  <c r="AB80" i="127"/>
  <c r="V80" i="127"/>
  <c r="AE80" i="127"/>
  <c r="AA80" i="127"/>
  <c r="AD80" i="127"/>
  <c r="Y80" i="127"/>
  <c r="P80" i="127"/>
  <c r="S80" i="127"/>
  <c r="Q80" i="127"/>
  <c r="X80" i="127"/>
  <c r="AG80" i="127"/>
  <c r="AI80" i="127"/>
  <c r="AH80" i="127"/>
  <c r="O80" i="127"/>
  <c r="Z295" i="68"/>
  <c r="BJ295" i="68" s="1"/>
  <c r="AR295" i="68"/>
  <c r="AB294" i="68"/>
  <c r="BL294" i="68" s="1"/>
  <c r="AT294" i="68"/>
  <c r="AD293" i="68"/>
  <c r="BN293" i="68" s="1"/>
  <c r="AV293" i="68"/>
  <c r="V293" i="68"/>
  <c r="BF293" i="68" s="1"/>
  <c r="AN293" i="68"/>
  <c r="AF292" i="68"/>
  <c r="BP292" i="68" s="1"/>
  <c r="AX292" i="68"/>
  <c r="BK19" i="68"/>
  <c r="AN374" i="68"/>
  <c r="AO374" i="68"/>
  <c r="AO373" i="68"/>
  <c r="AN373" i="68"/>
  <c r="W299" i="68"/>
  <c r="BG299" i="68" s="1"/>
  <c r="AO299" i="68"/>
  <c r="AL297" i="68"/>
  <c r="BV297" i="68" s="1"/>
  <c r="BD297" i="68"/>
  <c r="AD297" i="68"/>
  <c r="BN297" i="68" s="1"/>
  <c r="AV297" i="68"/>
  <c r="V297" i="68"/>
  <c r="BF297" i="68" s="1"/>
  <c r="AN297" i="68"/>
  <c r="AA296" i="68"/>
  <c r="BK296" i="68" s="1"/>
  <c r="AS296" i="68"/>
  <c r="AK295" i="68"/>
  <c r="BU295" i="68" s="1"/>
  <c r="BC295" i="68"/>
  <c r="BN19" i="68"/>
  <c r="BD19" i="68"/>
  <c r="AO386" i="68"/>
  <c r="AN386" i="68"/>
  <c r="AY385" i="68"/>
  <c r="AP385" i="68"/>
  <c r="AN385" i="68"/>
  <c r="AO385" i="68"/>
  <c r="P381" i="68"/>
  <c r="AZ381" i="68" s="1"/>
  <c r="AP381" i="68"/>
  <c r="AJ381" i="68"/>
  <c r="BT381" i="68" s="1"/>
  <c r="BM299" i="68"/>
  <c r="Z285" i="68"/>
  <c r="BJ285" i="68" s="1"/>
  <c r="AR285" i="68"/>
  <c r="AD283" i="68"/>
  <c r="BN283" i="68" s="1"/>
  <c r="AV283" i="68"/>
  <c r="O382" i="68"/>
  <c r="AY382" i="68" s="1"/>
  <c r="Y382" i="68"/>
  <c r="BI382" i="68" s="1"/>
  <c r="AO382" i="68"/>
  <c r="O380" i="68"/>
  <c r="AY380" i="68" s="1"/>
  <c r="Y380" i="68"/>
  <c r="BI380" i="68" s="1"/>
  <c r="AI380" i="68"/>
  <c r="BS380" i="68" s="1"/>
  <c r="AO380" i="68"/>
  <c r="BH332" i="68"/>
  <c r="AP332" i="68"/>
  <c r="AX332" i="68"/>
  <c r="BO332" i="68"/>
  <c r="AS332" i="68"/>
  <c r="BA332" i="68"/>
  <c r="BG332" i="68"/>
  <c r="AT332" i="68"/>
  <c r="BB332" i="68"/>
  <c r="AO332" i="68"/>
  <c r="BP332" i="68"/>
  <c r="AW332" i="68"/>
  <c r="BE332" i="68"/>
  <c r="Z381" i="68"/>
  <c r="BJ381" i="68" s="1"/>
  <c r="AH297" i="68"/>
  <c r="BR297" i="68" s="1"/>
  <c r="AZ297" i="68"/>
  <c r="Z297" i="68"/>
  <c r="BJ297" i="68" s="1"/>
  <c r="AR297" i="68"/>
  <c r="AH293" i="68"/>
  <c r="BR293" i="68" s="1"/>
  <c r="AZ293" i="68"/>
  <c r="Z293" i="68"/>
  <c r="BJ293" i="68" s="1"/>
  <c r="AR293" i="68"/>
  <c r="AA291" i="68"/>
  <c r="BK291" i="68" s="1"/>
  <c r="AS291" i="68"/>
  <c r="AK289" i="68"/>
  <c r="BU289" i="68" s="1"/>
  <c r="BC289" i="68"/>
  <c r="AC289" i="68"/>
  <c r="BM289" i="68" s="1"/>
  <c r="AU289" i="68"/>
  <c r="AC287" i="68"/>
  <c r="BM287" i="68" s="1"/>
  <c r="AU287" i="68"/>
  <c r="AD285" i="68"/>
  <c r="BN285" i="68" s="1"/>
  <c r="AV285" i="68"/>
  <c r="AH209" i="68"/>
  <c r="BR209" i="68" s="1"/>
  <c r="AZ209" i="68"/>
  <c r="Z209" i="68"/>
  <c r="BJ209" i="68" s="1"/>
  <c r="AR209" i="68"/>
  <c r="AA430" i="68"/>
  <c r="BK430" i="68" s="1"/>
  <c r="AQ430" i="68"/>
  <c r="Q430" i="68"/>
  <c r="BA430" i="68" s="1"/>
  <c r="AK430" i="68"/>
  <c r="BU430" i="68" s="1"/>
  <c r="AO298" i="68"/>
  <c r="AX295" i="68"/>
  <c r="AB299" i="68"/>
  <c r="BL299" i="68" s="1"/>
  <c r="AT299" i="68"/>
  <c r="BL296" i="68"/>
  <c r="AJ291" i="68"/>
  <c r="BT291" i="68" s="1"/>
  <c r="BB291" i="68"/>
  <c r="Z283" i="68"/>
  <c r="BJ283" i="68" s="1"/>
  <c r="AR283" i="68"/>
  <c r="T413" i="68"/>
  <c r="BD413" i="68" s="1"/>
  <c r="BP203" i="68"/>
  <c r="O372" i="68"/>
  <c r="AY372" i="68" s="1"/>
  <c r="Y372" i="68"/>
  <c r="BI372" i="68" s="1"/>
  <c r="AX151" i="68"/>
  <c r="BV151" i="68"/>
  <c r="BO151" i="68"/>
  <c r="AN151" i="68"/>
  <c r="O430" i="68"/>
  <c r="AY430" i="68" s="1"/>
  <c r="AI430" i="68"/>
  <c r="BS430" i="68" s="1"/>
  <c r="Y430" i="68"/>
  <c r="BI430" i="68" s="1"/>
  <c r="N383" i="68"/>
  <c r="AX383" i="68" s="1"/>
  <c r="AH383" i="68"/>
  <c r="BR383" i="68" s="1"/>
  <c r="AH379" i="68"/>
  <c r="BR379" i="68" s="1"/>
  <c r="X379" i="68"/>
  <c r="BH379" i="68" s="1"/>
  <c r="O377" i="68"/>
  <c r="AY377" i="68" s="1"/>
  <c r="Y377" i="68"/>
  <c r="BI377" i="68" s="1"/>
  <c r="AO326" i="68"/>
  <c r="AN326" i="68"/>
  <c r="AZ326" i="68"/>
  <c r="BR326" i="68"/>
  <c r="AR326" i="68"/>
  <c r="BC326" i="68"/>
  <c r="AU326" i="68"/>
  <c r="BD326" i="68"/>
  <c r="AN435" i="68"/>
  <c r="BJ435" i="68"/>
  <c r="AI372" i="68"/>
  <c r="BS372" i="68" s="1"/>
  <c r="BH353" i="68"/>
  <c r="BL333" i="68"/>
  <c r="AO333" i="68"/>
  <c r="AS333" i="68"/>
  <c r="AW333" i="68"/>
  <c r="BA333" i="68"/>
  <c r="BE333" i="68"/>
  <c r="BH333" i="68"/>
  <c r="BJ333" i="68"/>
  <c r="AP333" i="68"/>
  <c r="AT333" i="68"/>
  <c r="AX333" i="68"/>
  <c r="BB333" i="68"/>
  <c r="BK333" i="68"/>
  <c r="BT333" i="68"/>
  <c r="AQ333" i="68"/>
  <c r="AU333" i="68"/>
  <c r="AY333" i="68"/>
  <c r="BC333" i="68"/>
  <c r="BI329" i="68"/>
  <c r="AP325" i="68"/>
  <c r="BB325" i="68"/>
  <c r="AQ313" i="68"/>
  <c r="AZ313" i="68"/>
  <c r="AR313" i="68"/>
  <c r="BC313" i="68"/>
  <c r="BN313" i="68"/>
  <c r="BQ313" i="68"/>
  <c r="AU313" i="68"/>
  <c r="AO222" i="68"/>
  <c r="BE222" i="68"/>
  <c r="BD219" i="68"/>
  <c r="BN219" i="68"/>
  <c r="BS219" i="68"/>
  <c r="AN219" i="68"/>
  <c r="AP148" i="68"/>
  <c r="N371" i="68"/>
  <c r="AX371" i="68" s="1"/>
  <c r="AZ353" i="68"/>
  <c r="AR353" i="68"/>
  <c r="AO352" i="68"/>
  <c r="AZ331" i="68"/>
  <c r="AR331" i="68"/>
  <c r="BJ325" i="68"/>
  <c r="BI313" i="68"/>
  <c r="AS306" i="68"/>
  <c r="AC168" i="68"/>
  <c r="BM168" i="68" s="1"/>
  <c r="BQ147" i="68"/>
  <c r="BT147" i="68"/>
  <c r="AO147" i="68"/>
  <c r="AX353" i="68"/>
  <c r="AP353" i="68"/>
  <c r="BS331" i="68"/>
  <c r="AY331" i="68"/>
  <c r="AQ331" i="68"/>
  <c r="AY313" i="68"/>
  <c r="BR307" i="68"/>
  <c r="AP307" i="68"/>
  <c r="BM306" i="68"/>
  <c r="AO306" i="68"/>
  <c r="AU306" i="68"/>
  <c r="AZ306" i="68"/>
  <c r="BE306" i="68"/>
  <c r="BI306" i="68"/>
  <c r="BK306" i="68"/>
  <c r="BS306" i="68"/>
  <c r="AQ306" i="68"/>
  <c r="AV306" i="68"/>
  <c r="BA306" i="68"/>
  <c r="AR306" i="68"/>
  <c r="AW306" i="68"/>
  <c r="BC306" i="68"/>
  <c r="BU306" i="68"/>
  <c r="BB225" i="68"/>
  <c r="BV222" i="68"/>
  <c r="BJ222" i="68"/>
  <c r="AV219" i="68"/>
  <c r="AT172" i="68"/>
  <c r="AR172" i="68"/>
  <c r="AZ239" i="68"/>
  <c r="AR239" i="68"/>
  <c r="BR239" i="68"/>
  <c r="BR234" i="68"/>
  <c r="AX234" i="68"/>
  <c r="AX232" i="68"/>
  <c r="BU226" i="68"/>
  <c r="AS226" i="68"/>
  <c r="BN216" i="68"/>
  <c r="BP215" i="68"/>
  <c r="AY215" i="68"/>
  <c r="AN215" i="68"/>
  <c r="AW144" i="68"/>
  <c r="AR144" i="68"/>
  <c r="BV144" i="68"/>
  <c r="AW239" i="68"/>
  <c r="AO239" i="68"/>
  <c r="BP234" i="68"/>
  <c r="AV234" i="68"/>
  <c r="AT232" i="68"/>
  <c r="BN232" i="68"/>
  <c r="BE226" i="68"/>
  <c r="BI220" i="68"/>
  <c r="BE215" i="68"/>
  <c r="AU215" i="68"/>
  <c r="BO215" i="68"/>
  <c r="BL215" i="68"/>
  <c r="AV144" i="68"/>
  <c r="AQ144" i="68"/>
  <c r="AR129" i="68"/>
  <c r="AP53" i="68"/>
  <c r="AN53" i="68"/>
  <c r="BT53" i="68"/>
  <c r="AH38" i="68"/>
  <c r="BR38" i="68" s="1"/>
  <c r="Q76" i="68"/>
  <c r="BA76" i="68" s="1"/>
  <c r="AC76" i="68"/>
  <c r="BM76" i="68" s="1"/>
  <c r="BE81" i="68"/>
  <c r="AO81" i="68"/>
  <c r="AS81" i="68"/>
  <c r="AW81" i="68"/>
  <c r="AO120" i="68"/>
  <c r="BQ121" i="68"/>
  <c r="AQ123" i="68"/>
  <c r="BM81" i="68"/>
  <c r="AX81" i="68"/>
  <c r="AR81" i="68"/>
  <c r="AR51" i="68"/>
  <c r="BD51" i="68"/>
  <c r="BL81" i="68"/>
  <c r="AV81" i="68"/>
  <c r="AQ81" i="68"/>
  <c r="AK76" i="68"/>
  <c r="BU76" i="68" s="1"/>
  <c r="BA56" i="68"/>
  <c r="AO56" i="68"/>
  <c r="BT56" i="68"/>
  <c r="AN50" i="68"/>
  <c r="AP43" i="68"/>
  <c r="AZ43" i="68"/>
  <c r="BA40" i="68"/>
  <c r="AY39" i="68"/>
  <c r="AW35" i="68"/>
  <c r="AY34" i="68"/>
  <c r="AN28" i="68"/>
  <c r="AY56" i="68"/>
  <c r="AN56" i="68"/>
  <c r="C149" i="68"/>
  <c r="BB149" i="68" s="1"/>
  <c r="C57" i="68"/>
  <c r="BL57" i="68" s="1"/>
  <c r="AS57" i="68"/>
  <c r="AX57" i="68"/>
  <c r="BF57" i="68"/>
  <c r="BK57" i="68"/>
  <c r="AQ57" i="68"/>
  <c r="BT57" i="68"/>
  <c r="AP57" i="68"/>
  <c r="BM57" i="68"/>
  <c r="AU57" i="68"/>
  <c r="AV57" i="68"/>
  <c r="AN57" i="68"/>
  <c r="BC57" i="68"/>
  <c r="AZ57" i="68"/>
  <c r="BR57" i="68"/>
  <c r="BV57" i="68"/>
  <c r="AW57" i="68"/>
  <c r="AR57" i="68"/>
  <c r="BJ57" i="68"/>
  <c r="BD57" i="68"/>
  <c r="BS57" i="68"/>
  <c r="BH57" i="68"/>
  <c r="BI57" i="68"/>
  <c r="AT57" i="68"/>
  <c r="BE57" i="68"/>
  <c r="BQ57" i="68"/>
  <c r="AO57" i="68"/>
  <c r="BA57" i="68"/>
  <c r="BP57" i="68"/>
  <c r="BU57" i="68"/>
  <c r="BN57" i="68"/>
  <c r="BG57" i="68"/>
  <c r="BD149" i="68"/>
  <c r="BO149" i="68"/>
  <c r="BN149" i="68"/>
  <c r="BG149" i="68"/>
  <c r="BS149" i="68"/>
  <c r="AX37" i="68" l="1"/>
  <c r="Z37" i="68"/>
  <c r="BJ37" i="68" s="1"/>
  <c r="AN55" i="68"/>
  <c r="P55" i="68"/>
  <c r="AZ55" i="68" s="1"/>
  <c r="V38" i="68"/>
  <c r="BF38" i="68" s="1"/>
  <c r="AV37" i="68"/>
  <c r="AX38" i="68"/>
  <c r="U80" i="127"/>
  <c r="R80" i="127"/>
  <c r="T80" i="127"/>
  <c r="BK130" i="68"/>
  <c r="AC129" i="68"/>
  <c r="BM129" i="68" s="1"/>
  <c r="AN129" i="68"/>
  <c r="Q129" i="68"/>
  <c r="BA129" i="68" s="1"/>
  <c r="AY129" i="68"/>
  <c r="P129" i="68"/>
  <c r="AZ129" i="68" s="1"/>
  <c r="AF130" i="68"/>
  <c r="BP130" i="68" s="1"/>
  <c r="AN130" i="68"/>
  <c r="AY130" i="68"/>
  <c r="BP249" i="68"/>
  <c r="AW249" i="68"/>
  <c r="AR249" i="68"/>
  <c r="BT249" i="68"/>
  <c r="BE248" i="68"/>
  <c r="AY248" i="68"/>
  <c r="AY252" i="68" s="1"/>
  <c r="BQ249" i="68"/>
  <c r="BH249" i="68"/>
  <c r="BH252" i="68" s="1"/>
  <c r="AP249" i="68"/>
  <c r="AY249" i="68"/>
  <c r="AZ248" i="68"/>
  <c r="AZ252" i="68" s="1"/>
  <c r="AT249" i="68"/>
  <c r="AT252" i="68" s="1"/>
  <c r="BC249" i="68"/>
  <c r="AN249" i="68"/>
  <c r="BD248" i="68"/>
  <c r="BA249" i="68"/>
  <c r="AN248" i="68"/>
  <c r="C76" i="88" s="1"/>
  <c r="AX249" i="68"/>
  <c r="BM249" i="68"/>
  <c r="BJ248" i="68"/>
  <c r="BJ252" i="68" s="1"/>
  <c r="AQ249" i="68"/>
  <c r="BK249" i="68"/>
  <c r="BK252" i="68" s="1"/>
  <c r="BS248" i="68"/>
  <c r="BS252" i="68" s="1"/>
  <c r="BD249" i="68"/>
  <c r="AS249" i="68"/>
  <c r="BL249" i="68"/>
  <c r="BI248" i="68"/>
  <c r="BT248" i="68"/>
  <c r="BR251" i="68"/>
  <c r="BI249" i="68"/>
  <c r="BI252" i="68" s="1"/>
  <c r="BR249" i="68"/>
  <c r="BN249" i="68"/>
  <c r="BN252" i="68" s="1"/>
  <c r="AX434" i="68"/>
  <c r="BA433" i="68"/>
  <c r="BB80" i="68"/>
  <c r="BL433" i="68"/>
  <c r="BS168" i="68"/>
  <c r="BB264" i="68"/>
  <c r="BJ433" i="68"/>
  <c r="BI76" i="68"/>
  <c r="BG264" i="68"/>
  <c r="BT433" i="68"/>
  <c r="BL263" i="68"/>
  <c r="BU80" i="68"/>
  <c r="I51" i="104"/>
  <c r="E51" i="104"/>
  <c r="BO434" i="68"/>
  <c r="BR433" i="68"/>
  <c r="G51" i="104"/>
  <c r="BB434" i="68"/>
  <c r="BO76" i="68"/>
  <c r="BB76" i="68"/>
  <c r="AA406" i="68"/>
  <c r="BK406" i="68" s="1"/>
  <c r="Q406" i="68"/>
  <c r="BA406" i="68" s="1"/>
  <c r="AQ406" i="68"/>
  <c r="H406" i="68"/>
  <c r="AK406" i="68"/>
  <c r="BU406" i="68" s="1"/>
  <c r="AN413" i="68"/>
  <c r="AI413" i="68"/>
  <c r="BS413" i="68" s="1"/>
  <c r="BS416" i="68" s="1"/>
  <c r="Z406" i="68"/>
  <c r="BJ406" i="68" s="1"/>
  <c r="AO413" i="68"/>
  <c r="AJ409" i="68"/>
  <c r="BT409" i="68" s="1"/>
  <c r="Y413" i="68"/>
  <c r="BI413" i="68" s="1"/>
  <c r="BI416" i="68" s="1"/>
  <c r="X150" i="88" s="1"/>
  <c r="N413" i="68"/>
  <c r="AX413" i="68" s="1"/>
  <c r="AX416" i="68" s="1"/>
  <c r="M150" i="88" s="1"/>
  <c r="AZ443" i="68"/>
  <c r="O155" i="88" s="1"/>
  <c r="O156" i="88" s="1"/>
  <c r="V413" i="68"/>
  <c r="BF413" i="68" s="1"/>
  <c r="AH413" i="68"/>
  <c r="BR413" i="68" s="1"/>
  <c r="BJ443" i="68"/>
  <c r="Y155" i="88" s="1"/>
  <c r="Y156" i="88" s="1"/>
  <c r="AF413" i="68"/>
  <c r="BP413" i="68" s="1"/>
  <c r="G19" i="104"/>
  <c r="C44" i="105" s="1"/>
  <c r="D44" i="105" s="1"/>
  <c r="E44" i="105" s="1"/>
  <c r="F44" i="105" s="1"/>
  <c r="G44" i="105" s="1"/>
  <c r="H44" i="105" s="1"/>
  <c r="I44" i="105" s="1"/>
  <c r="J44" i="105" s="1"/>
  <c r="BE308" i="68"/>
  <c r="AZ308" i="68"/>
  <c r="BJ308" i="68"/>
  <c r="BO308" i="68"/>
  <c r="BI308" i="68"/>
  <c r="AV308" i="68"/>
  <c r="AX308" i="68"/>
  <c r="BG308" i="68"/>
  <c r="BB308" i="68"/>
  <c r="AR308" i="68"/>
  <c r="BM308" i="68"/>
  <c r="BA308" i="68"/>
  <c r="AW308" i="68"/>
  <c r="BV308" i="68"/>
  <c r="AU308" i="68"/>
  <c r="AQ308" i="68"/>
  <c r="BR308" i="68"/>
  <c r="AY308" i="68"/>
  <c r="AP308" i="68"/>
  <c r="AS308" i="68"/>
  <c r="BN308" i="68"/>
  <c r="BD308" i="68"/>
  <c r="AT308" i="68"/>
  <c r="BF308" i="68"/>
  <c r="AR121" i="68"/>
  <c r="AR128" i="68"/>
  <c r="AO135" i="68"/>
  <c r="BR125" i="68"/>
  <c r="AP135" i="68"/>
  <c r="AV135" i="68"/>
  <c r="BN125" i="68"/>
  <c r="BA134" i="68"/>
  <c r="BJ125" i="68"/>
  <c r="AP131" i="68"/>
  <c r="AZ133" i="68"/>
  <c r="AS124" i="68"/>
  <c r="AU131" i="68"/>
  <c r="AS132" i="68"/>
  <c r="BU122" i="68"/>
  <c r="AY132" i="68"/>
  <c r="AY127" i="68"/>
  <c r="AU133" i="68"/>
  <c r="BU125" i="68"/>
  <c r="BP149" i="68"/>
  <c r="BU120" i="68"/>
  <c r="AT149" i="68"/>
  <c r="AT152" i="68" s="1"/>
  <c r="I56" i="88" s="1"/>
  <c r="BT123" i="68"/>
  <c r="BI149" i="68"/>
  <c r="BI152" i="68" s="1"/>
  <c r="X56" i="88" s="1"/>
  <c r="BU149" i="68"/>
  <c r="BC149" i="68"/>
  <c r="BC152" i="68" s="1"/>
  <c r="R56" i="88" s="1"/>
  <c r="BK149" i="68"/>
  <c r="BK152" i="68" s="1"/>
  <c r="Z56" i="88" s="1"/>
  <c r="AU123" i="68"/>
  <c r="BO122" i="68"/>
  <c r="AQ121" i="68"/>
  <c r="AS120" i="68"/>
  <c r="BF262" i="68"/>
  <c r="BC123" i="68"/>
  <c r="BN126" i="68"/>
  <c r="AO127" i="68"/>
  <c r="AY125" i="68"/>
  <c r="BC124" i="68"/>
  <c r="BT122" i="68"/>
  <c r="AX120" i="68"/>
  <c r="BE123" i="68"/>
  <c r="BM125" i="68"/>
  <c r="AW126" i="68"/>
  <c r="AO128" i="68"/>
  <c r="AR131" i="68"/>
  <c r="AP132" i="68"/>
  <c r="AT133" i="68"/>
  <c r="AZ135" i="68"/>
  <c r="BR173" i="68"/>
  <c r="BH120" i="68"/>
  <c r="BI126" i="68"/>
  <c r="BC134" i="68"/>
  <c r="BM123" i="68"/>
  <c r="BG131" i="68"/>
  <c r="AZ134" i="68"/>
  <c r="BJ124" i="68"/>
  <c r="BS133" i="68"/>
  <c r="BH134" i="68"/>
  <c r="AT131" i="68"/>
  <c r="AS126" i="68"/>
  <c r="AX121" i="68"/>
  <c r="AR133" i="68"/>
  <c r="AV127" i="68"/>
  <c r="AO124" i="68"/>
  <c r="AV133" i="68"/>
  <c r="AT128" i="68"/>
  <c r="AT124" i="68"/>
  <c r="AQ120" i="68"/>
  <c r="AT251" i="68"/>
  <c r="AP173" i="68"/>
  <c r="BQ173" i="68"/>
  <c r="BE312" i="68"/>
  <c r="BS312" i="68"/>
  <c r="AN308" i="68"/>
  <c r="AN264" i="68"/>
  <c r="G52" i="104"/>
  <c r="K52" i="104"/>
  <c r="E52" i="104"/>
  <c r="I52" i="104"/>
  <c r="BJ171" i="68"/>
  <c r="AV171" i="68"/>
  <c r="BN171" i="68"/>
  <c r="AO171" i="68"/>
  <c r="BR171" i="68"/>
  <c r="AS171" i="68"/>
  <c r="AP171" i="68"/>
  <c r="AQ171" i="68"/>
  <c r="AW171" i="68"/>
  <c r="AT171" i="68"/>
  <c r="AU171" i="68"/>
  <c r="BE171" i="68"/>
  <c r="AX171" i="68"/>
  <c r="AY171" i="68"/>
  <c r="BM171" i="68"/>
  <c r="BF171" i="68"/>
  <c r="AR171" i="68"/>
  <c r="AN312" i="68"/>
  <c r="AP312" i="68"/>
  <c r="AQ312" i="68"/>
  <c r="AS312" i="68"/>
  <c r="AV312" i="68"/>
  <c r="AO312" i="68"/>
  <c r="AY312" i="68"/>
  <c r="BD312" i="68"/>
  <c r="BC312" i="68"/>
  <c r="BK312" i="68"/>
  <c r="AT312" i="68"/>
  <c r="BA312" i="68"/>
  <c r="AV262" i="68"/>
  <c r="AS262" i="68"/>
  <c r="AZ262" i="68"/>
  <c r="AO262" i="68"/>
  <c r="AR262" i="68"/>
  <c r="BK262" i="68"/>
  <c r="AQ262" i="68"/>
  <c r="BU262" i="68"/>
  <c r="BG262" i="68"/>
  <c r="BM262" i="68"/>
  <c r="BC262" i="68"/>
  <c r="BR262" i="68"/>
  <c r="AX262" i="68"/>
  <c r="BE262" i="68"/>
  <c r="AY262" i="68"/>
  <c r="AW262" i="68"/>
  <c r="AP262" i="68"/>
  <c r="BM251" i="68"/>
  <c r="BD251" i="68"/>
  <c r="BU123" i="68"/>
  <c r="BQ127" i="68"/>
  <c r="BH127" i="68"/>
  <c r="AQ125" i="68"/>
  <c r="AV123" i="68"/>
  <c r="AT121" i="68"/>
  <c r="AW121" i="68"/>
  <c r="AR123" i="68"/>
  <c r="AO125" i="68"/>
  <c r="BG127" i="68"/>
  <c r="AW128" i="68"/>
  <c r="BD132" i="68"/>
  <c r="AX132" i="68"/>
  <c r="BB134" i="68"/>
  <c r="AQ135" i="68"/>
  <c r="AO308" i="68"/>
  <c r="BC122" i="68"/>
  <c r="BO127" i="68"/>
  <c r="BQ135" i="68"/>
  <c r="BI124" i="68"/>
  <c r="BV131" i="68"/>
  <c r="BS134" i="68"/>
  <c r="BU124" i="68"/>
  <c r="BP134" i="68"/>
  <c r="AS135" i="68"/>
  <c r="AS133" i="68"/>
  <c r="AV128" i="68"/>
  <c r="AW125" i="68"/>
  <c r="AV120" i="68"/>
  <c r="AQ132" i="68"/>
  <c r="AX126" i="68"/>
  <c r="AY122" i="68"/>
  <c r="BA132" i="68"/>
  <c r="BJ127" i="68"/>
  <c r="AW123" i="68"/>
  <c r="AT264" i="68"/>
  <c r="AS173" i="68"/>
  <c r="AX312" i="68"/>
  <c r="AN262" i="68"/>
  <c r="BA264" i="68"/>
  <c r="BU128" i="68"/>
  <c r="BM128" i="68"/>
  <c r="BE128" i="68"/>
  <c r="BA121" i="68"/>
  <c r="BG124" i="68"/>
  <c r="BA126" i="68"/>
  <c r="BS125" i="68"/>
  <c r="AP123" i="68"/>
  <c r="AO121" i="68"/>
  <c r="BV121" i="68"/>
  <c r="AX123" i="68"/>
  <c r="AT125" i="68"/>
  <c r="AP127" i="68"/>
  <c r="BI131" i="68"/>
  <c r="BG132" i="68"/>
  <c r="BI133" i="68"/>
  <c r="BK134" i="68"/>
  <c r="AU135" i="68"/>
  <c r="BV122" i="68"/>
  <c r="BS127" i="68"/>
  <c r="BK121" i="68"/>
  <c r="AZ127" i="68"/>
  <c r="BN132" i="68"/>
  <c r="BC135" i="68"/>
  <c r="BI127" i="68"/>
  <c r="BS135" i="68"/>
  <c r="BN264" i="68"/>
  <c r="AN135" i="68"/>
  <c r="AN133" i="68"/>
  <c r="AQ128" i="68"/>
  <c r="AP125" i="68"/>
  <c r="AW135" i="68"/>
  <c r="BJ132" i="68"/>
  <c r="AP126" i="68"/>
  <c r="AN122" i="68"/>
  <c r="AU132" i="68"/>
  <c r="AT127" i="68"/>
  <c r="AN123" i="68"/>
  <c r="BB312" i="68"/>
  <c r="BS171" i="68"/>
  <c r="BC308" i="68"/>
  <c r="BR131" i="68"/>
  <c r="BJ131" i="68"/>
  <c r="BB131" i="68"/>
  <c r="BU251" i="68"/>
  <c r="AT173" i="68"/>
  <c r="BB173" i="68"/>
  <c r="AQ149" i="68"/>
  <c r="AQ152" i="68" s="1"/>
  <c r="F56" i="88" s="1"/>
  <c r="BV123" i="68"/>
  <c r="AP149" i="68"/>
  <c r="BS120" i="68"/>
  <c r="AT262" i="68"/>
  <c r="AY149" i="68"/>
  <c r="BA149" i="68"/>
  <c r="BA152" i="68" s="1"/>
  <c r="P56" i="88" s="1"/>
  <c r="AZ149" i="68"/>
  <c r="AZ152" i="68" s="1"/>
  <c r="O56" i="88" s="1"/>
  <c r="BF149" i="68"/>
  <c r="AY57" i="68"/>
  <c r="BO57" i="68"/>
  <c r="BO60" i="68" s="1"/>
  <c r="AD23" i="88" s="1"/>
  <c r="BR123" i="68"/>
  <c r="BF122" i="68"/>
  <c r="BR120" i="68"/>
  <c r="BP120" i="68"/>
  <c r="AN173" i="68"/>
  <c r="BI121" i="68"/>
  <c r="BK124" i="68"/>
  <c r="AV126" i="68"/>
  <c r="BE125" i="68"/>
  <c r="BQ123" i="68"/>
  <c r="BJ120" i="68"/>
  <c r="BA122" i="68"/>
  <c r="AR124" i="68"/>
  <c r="BF126" i="68"/>
  <c r="AU127" i="68"/>
  <c r="BL131" i="68"/>
  <c r="BL132" i="68"/>
  <c r="BL133" i="68"/>
  <c r="BQ134" i="68"/>
  <c r="AY135" i="68"/>
  <c r="BD123" i="68"/>
  <c r="BL128" i="68"/>
  <c r="BO121" i="68"/>
  <c r="BL127" i="68"/>
  <c r="BQ132" i="68"/>
  <c r="BF120" i="68"/>
  <c r="BD131" i="68"/>
  <c r="BK135" i="68"/>
  <c r="BC133" i="68"/>
  <c r="BF128" i="68"/>
  <c r="AX124" i="68"/>
  <c r="AR135" i="68"/>
  <c r="AX131" i="68"/>
  <c r="BT126" i="68"/>
  <c r="AV121" i="68"/>
  <c r="AO132" i="68"/>
  <c r="AU126" i="68"/>
  <c r="AV122" i="68"/>
  <c r="BA173" i="68"/>
  <c r="BF173" i="68"/>
  <c r="AQ173" i="68"/>
  <c r="BJ251" i="68"/>
  <c r="BB262" i="68"/>
  <c r="AS251" i="68"/>
  <c r="AQ251" i="68"/>
  <c r="AQ252" i="68" s="1"/>
  <c r="BB251" i="68"/>
  <c r="AW251" i="68"/>
  <c r="AU251" i="68"/>
  <c r="AU252" i="68" s="1"/>
  <c r="AP251" i="68"/>
  <c r="BA251" i="68"/>
  <c r="BA252" i="68" s="1"/>
  <c r="AY251" i="68"/>
  <c r="AN251" i="68"/>
  <c r="AN252" i="68" s="1"/>
  <c r="C78" i="88" s="1"/>
  <c r="BE251" i="68"/>
  <c r="BE252" i="68" s="1"/>
  <c r="BC251" i="68"/>
  <c r="BC252" i="68" s="1"/>
  <c r="AR251" i="68"/>
  <c r="BK251" i="68"/>
  <c r="BI251" i="68"/>
  <c r="AV251" i="68"/>
  <c r="BQ251" i="68"/>
  <c r="BN251" i="68"/>
  <c r="AO251" i="68"/>
  <c r="BH251" i="68"/>
  <c r="AZ251" i="68"/>
  <c r="BK171" i="68"/>
  <c r="BT149" i="68"/>
  <c r="BT152" i="68" s="1"/>
  <c r="AI56" i="88" s="1"/>
  <c r="BL121" i="68"/>
  <c r="AW149" i="68"/>
  <c r="BE121" i="68"/>
  <c r="BL149" i="68"/>
  <c r="AV149" i="68"/>
  <c r="AV152" i="68" s="1"/>
  <c r="K56" i="88" s="1"/>
  <c r="BE149" i="68"/>
  <c r="AX122" i="68"/>
  <c r="BD122" i="68"/>
  <c r="BM120" i="68"/>
  <c r="BE120" i="68"/>
  <c r="BJ173" i="68"/>
  <c r="BM121" i="68"/>
  <c r="BS124" i="68"/>
  <c r="AR126" i="68"/>
  <c r="AY124" i="68"/>
  <c r="AZ122" i="68"/>
  <c r="AU120" i="68"/>
  <c r="AQ122" i="68"/>
  <c r="AW124" i="68"/>
  <c r="BL126" i="68"/>
  <c r="AZ128" i="68"/>
  <c r="BO131" i="68"/>
  <c r="BO132" i="68"/>
  <c r="BR133" i="68"/>
  <c r="AQ134" i="68"/>
  <c r="BV135" i="68"/>
  <c r="BS123" i="68"/>
  <c r="BQ131" i="68"/>
  <c r="BH122" i="68"/>
  <c r="BP127" i="68"/>
  <c r="BF133" i="68"/>
  <c r="BN120" i="68"/>
  <c r="BH131" i="68"/>
  <c r="AX134" i="68"/>
  <c r="AW132" i="68"/>
  <c r="AX127" i="68"/>
  <c r="AP124" i="68"/>
  <c r="AW134" i="68"/>
  <c r="AS131" i="68"/>
  <c r="AV125" i="68"/>
  <c r="AT120" i="68"/>
  <c r="AW131" i="68"/>
  <c r="AO126" i="68"/>
  <c r="AS121" i="68"/>
  <c r="BN173" i="68"/>
  <c r="BL173" i="68"/>
  <c r="AW173" i="68"/>
  <c r="AR127" i="68"/>
  <c r="BJ262" i="68"/>
  <c r="BV251" i="68"/>
  <c r="BU171" i="68"/>
  <c r="BP132" i="68"/>
  <c r="BH132" i="68"/>
  <c r="AZ132" i="68"/>
  <c r="AY264" i="68"/>
  <c r="AS264" i="68"/>
  <c r="AU264" i="68"/>
  <c r="AO264" i="68"/>
  <c r="AQ264" i="68"/>
  <c r="BR264" i="68"/>
  <c r="BV264" i="68"/>
  <c r="BU264" i="68"/>
  <c r="BD264" i="68"/>
  <c r="AP264" i="68"/>
  <c r="BJ264" i="68"/>
  <c r="BM264" i="68"/>
  <c r="AZ264" i="68"/>
  <c r="BF264" i="68"/>
  <c r="BE264" i="68"/>
  <c r="AV264" i="68"/>
  <c r="BC264" i="68"/>
  <c r="AW264" i="68"/>
  <c r="AX264" i="68"/>
  <c r="BC171" i="68"/>
  <c r="BR149" i="68"/>
  <c r="AS149" i="68"/>
  <c r="BI122" i="68"/>
  <c r="BM149" i="68"/>
  <c r="BM152" i="68" s="1"/>
  <c r="AB56" i="88" s="1"/>
  <c r="AO149" i="68"/>
  <c r="AO152" i="68" s="1"/>
  <c r="D56" i="88" s="1"/>
  <c r="BV149" i="68"/>
  <c r="BV152" i="68" s="1"/>
  <c r="AK56" i="88" s="1"/>
  <c r="BQ149" i="68"/>
  <c r="BQ152" i="68" s="1"/>
  <c r="AF56" i="88" s="1"/>
  <c r="AR149" i="68"/>
  <c r="BB57" i="68"/>
  <c r="BJ123" i="68"/>
  <c r="AT122" i="68"/>
  <c r="AY121" i="68"/>
  <c r="BB120" i="68"/>
  <c r="BC120" i="68"/>
  <c r="BH312" i="68"/>
  <c r="AV173" i="68"/>
  <c r="BN122" i="68"/>
  <c r="BB125" i="68"/>
  <c r="AW127" i="68"/>
  <c r="AN126" i="68"/>
  <c r="AU124" i="68"/>
  <c r="AU122" i="68"/>
  <c r="AP120" i="68"/>
  <c r="AW122" i="68"/>
  <c r="BM124" i="68"/>
  <c r="BR126" i="68"/>
  <c r="BN128" i="68"/>
  <c r="BS131" i="68"/>
  <c r="BR132" i="68"/>
  <c r="BU133" i="68"/>
  <c r="AU134" i="68"/>
  <c r="BC125" i="68"/>
  <c r="BM132" i="68"/>
  <c r="BL122" i="68"/>
  <c r="BB128" i="68"/>
  <c r="BN133" i="68"/>
  <c r="BV120" i="68"/>
  <c r="BE132" i="68"/>
  <c r="AS134" i="68"/>
  <c r="AR132" i="68"/>
  <c r="AQ127" i="68"/>
  <c r="AS123" i="68"/>
  <c r="AR134" i="68"/>
  <c r="AU128" i="68"/>
  <c r="AN125" i="68"/>
  <c r="AV134" i="68"/>
  <c r="AQ131" i="68"/>
  <c r="BB126" i="68"/>
  <c r="BU121" i="68"/>
  <c r="BH173" i="68"/>
  <c r="BV173" i="68"/>
  <c r="AR173" i="68"/>
  <c r="AU173" i="68"/>
  <c r="BN262" i="68"/>
  <c r="BM312" i="68"/>
  <c r="AX128" i="68"/>
  <c r="BP251" i="68"/>
  <c r="BP252" i="68" s="1"/>
  <c r="AN171" i="68"/>
  <c r="AO133" i="68"/>
  <c r="BO133" i="68"/>
  <c r="BG133" i="68"/>
  <c r="AU149" i="68"/>
  <c r="AU152" i="68" s="1"/>
  <c r="J56" i="88" s="1"/>
  <c r="BK122" i="68"/>
  <c r="AX149" i="68"/>
  <c r="AN149" i="68"/>
  <c r="BH149" i="68"/>
  <c r="BH152" i="68" s="1"/>
  <c r="W56" i="88" s="1"/>
  <c r="BJ149" i="68"/>
  <c r="BJ152" i="68" s="1"/>
  <c r="Y56" i="88" s="1"/>
  <c r="AY123" i="68"/>
  <c r="AP122" i="68"/>
  <c r="AU121" i="68"/>
  <c r="AW120" i="68"/>
  <c r="AZ120" i="68"/>
  <c r="BP312" i="68"/>
  <c r="AZ123" i="68"/>
  <c r="AZ126" i="68"/>
  <c r="AS127" i="68"/>
  <c r="BH126" i="68"/>
  <c r="AQ124" i="68"/>
  <c r="AO122" i="68"/>
  <c r="BB123" i="68"/>
  <c r="BI125" i="68"/>
  <c r="AQ126" i="68"/>
  <c r="BT128" i="68"/>
  <c r="AN131" i="68"/>
  <c r="BU132" i="68"/>
  <c r="AP133" i="68"/>
  <c r="AY134" i="68"/>
  <c r="BK125" i="68"/>
  <c r="BT132" i="68"/>
  <c r="BP122" i="68"/>
  <c r="BC131" i="68"/>
  <c r="BV133" i="68"/>
  <c r="BB124" i="68"/>
  <c r="BK133" i="68"/>
  <c r="AN134" i="68"/>
  <c r="AY131" i="68"/>
  <c r="AY126" i="68"/>
  <c r="AR122" i="68"/>
  <c r="AW133" i="68"/>
  <c r="AP128" i="68"/>
  <c r="AV124" i="68"/>
  <c r="AP134" i="68"/>
  <c r="AY128" i="68"/>
  <c r="AS125" i="68"/>
  <c r="AR120" i="68"/>
  <c r="AX251" i="68"/>
  <c r="AX173" i="68"/>
  <c r="AO173" i="68"/>
  <c r="BV262" i="68"/>
  <c r="AW312" i="68"/>
  <c r="AR312" i="68"/>
  <c r="BB171" i="68"/>
  <c r="AS393" i="68"/>
  <c r="BN392" i="68"/>
  <c r="BR394" i="68"/>
  <c r="AX396" i="68"/>
  <c r="AZ397" i="68"/>
  <c r="BK392" i="68"/>
  <c r="AU394" i="68"/>
  <c r="AU399" i="68" s="1"/>
  <c r="J149" i="88" s="1"/>
  <c r="BG396" i="68"/>
  <c r="BL396" i="68"/>
  <c r="BC395" i="68"/>
  <c r="BT393" i="68"/>
  <c r="AR395" i="68"/>
  <c r="BB394" i="68"/>
  <c r="BB398" i="68"/>
  <c r="AW393" i="68"/>
  <c r="BV392" i="68"/>
  <c r="AP394" i="68"/>
  <c r="BN396" i="68"/>
  <c r="AQ398" i="68"/>
  <c r="BS392" i="68"/>
  <c r="BA394" i="68"/>
  <c r="AN397" i="68"/>
  <c r="AZ395" i="68"/>
  <c r="AV393" i="68"/>
  <c r="AV396" i="68"/>
  <c r="AX394" i="68"/>
  <c r="BP397" i="68"/>
  <c r="BI396" i="68"/>
  <c r="BD393" i="68"/>
  <c r="AQ392" i="68"/>
  <c r="AT394" i="68"/>
  <c r="AO396" i="68"/>
  <c r="AU398" i="68"/>
  <c r="AQ393" i="68"/>
  <c r="BM395" i="68"/>
  <c r="AR397" i="68"/>
  <c r="BU394" i="68"/>
  <c r="BP396" i="68"/>
  <c r="AV394" i="68"/>
  <c r="AP397" i="68"/>
  <c r="BV393" i="68"/>
  <c r="BH397" i="68"/>
  <c r="BP392" i="68"/>
  <c r="BN393" i="68"/>
  <c r="AU392" i="68"/>
  <c r="BU395" i="68"/>
  <c r="AS396" i="68"/>
  <c r="BT392" i="68"/>
  <c r="AU393" i="68"/>
  <c r="AQ395" i="68"/>
  <c r="AV397" i="68"/>
  <c r="BJ398" i="68"/>
  <c r="BL393" i="68"/>
  <c r="AZ396" i="68"/>
  <c r="AN395" i="68"/>
  <c r="AW398" i="68"/>
  <c r="BG398" i="68"/>
  <c r="AP392" i="68"/>
  <c r="AO394" i="68"/>
  <c r="BI392" i="68"/>
  <c r="AP395" i="68"/>
  <c r="AW396" i="68"/>
  <c r="AN392" i="68"/>
  <c r="AN399" i="68" s="1"/>
  <c r="C149" i="88" s="1"/>
  <c r="BH393" i="68"/>
  <c r="AU395" i="68"/>
  <c r="AN398" i="68"/>
  <c r="BT397" i="68"/>
  <c r="AT392" i="68"/>
  <c r="AS394" i="68"/>
  <c r="BA393" i="68"/>
  <c r="AT395" i="68"/>
  <c r="BI397" i="68"/>
  <c r="AR392" i="68"/>
  <c r="BD394" i="68"/>
  <c r="BB395" i="68"/>
  <c r="AR398" i="68"/>
  <c r="BQ397" i="68"/>
  <c r="AO393" i="68"/>
  <c r="BF392" i="68"/>
  <c r="AT393" i="68"/>
  <c r="BT395" i="68"/>
  <c r="AU397" i="68"/>
  <c r="BC392" i="68"/>
  <c r="AQ394" i="68"/>
  <c r="AT396" i="68"/>
  <c r="BO398" i="68"/>
  <c r="BA397" i="68"/>
  <c r="BP395" i="68"/>
  <c r="BQ393" i="68"/>
  <c r="AW394" i="68"/>
  <c r="AO398" i="68"/>
  <c r="BE395" i="68"/>
  <c r="BN398" i="68"/>
  <c r="BU135" i="68"/>
  <c r="BM135" i="68"/>
  <c r="BU134" i="68"/>
  <c r="BE134" i="68"/>
  <c r="BO313" i="68"/>
  <c r="BG313" i="68"/>
  <c r="BV312" i="68"/>
  <c r="BN312" i="68"/>
  <c r="BF312" i="68"/>
  <c r="BP311" i="68"/>
  <c r="BH311" i="68"/>
  <c r="BR306" i="68"/>
  <c r="BJ306" i="68"/>
  <c r="BO224" i="68"/>
  <c r="BG217" i="68"/>
  <c r="BP173" i="68"/>
  <c r="AZ173" i="68"/>
  <c r="BN135" i="68"/>
  <c r="BF135" i="68"/>
  <c r="BV134" i="68"/>
  <c r="BN134" i="68"/>
  <c r="BF134" i="68"/>
  <c r="BP133" i="68"/>
  <c r="BH133" i="68"/>
  <c r="BV128" i="68"/>
  <c r="K44" i="104"/>
  <c r="K45" i="104" s="1"/>
  <c r="C96" i="105" s="1"/>
  <c r="BP398" i="68"/>
  <c r="BT396" i="68"/>
  <c r="BD396" i="68"/>
  <c r="AX395" i="68"/>
  <c r="BP394" i="68"/>
  <c r="BH394" i="68"/>
  <c r="AZ394" i="68"/>
  <c r="BR393" i="68"/>
  <c r="BJ393" i="68"/>
  <c r="BB393" i="68"/>
  <c r="BL392" i="68"/>
  <c r="BD392" i="68"/>
  <c r="BT312" i="68"/>
  <c r="BL312" i="68"/>
  <c r="BT264" i="68"/>
  <c r="BL264" i="68"/>
  <c r="BT262" i="68"/>
  <c r="BL262" i="68"/>
  <c r="BT251" i="68"/>
  <c r="BT252" i="68" s="1"/>
  <c r="BT135" i="68"/>
  <c r="BL135" i="68"/>
  <c r="BT134" i="68"/>
  <c r="BA131" i="68"/>
  <c r="BD128" i="68"/>
  <c r="BU127" i="68"/>
  <c r="BM127" i="68"/>
  <c r="BE127" i="68"/>
  <c r="BV126" i="68"/>
  <c r="BV125" i="68"/>
  <c r="BF125" i="68"/>
  <c r="BV124" i="68"/>
  <c r="BN124" i="68"/>
  <c r="BF124" i="68"/>
  <c r="BN123" i="68"/>
  <c r="BF123" i="68"/>
  <c r="G44" i="104"/>
  <c r="BT351" i="68"/>
  <c r="BL351" i="68"/>
  <c r="BT316" i="68"/>
  <c r="BL316" i="68"/>
  <c r="BV315" i="68"/>
  <c r="BT313" i="68"/>
  <c r="BS264" i="68"/>
  <c r="BK264" i="68"/>
  <c r="BS262" i="68"/>
  <c r="BL224" i="68"/>
  <c r="BU173" i="68"/>
  <c r="BM173" i="68"/>
  <c r="BE173" i="68"/>
  <c r="BM133" i="68"/>
  <c r="BE133" i="68"/>
  <c r="BV132" i="68"/>
  <c r="BF132" i="68"/>
  <c r="AZ131" i="68"/>
  <c r="BQ130" i="68"/>
  <c r="BS128" i="68"/>
  <c r="BK128" i="68"/>
  <c r="BC128" i="68"/>
  <c r="BT127" i="68"/>
  <c r="BD127" i="68"/>
  <c r="BU126" i="68"/>
  <c r="BM126" i="68"/>
  <c r="BE126" i="68"/>
  <c r="I44" i="104"/>
  <c r="G56" i="104"/>
  <c r="BV398" i="68"/>
  <c r="BF398" i="68"/>
  <c r="AX398" i="68"/>
  <c r="BR396" i="68"/>
  <c r="BB396" i="68"/>
  <c r="BL395" i="68"/>
  <c r="BV394" i="68"/>
  <c r="BN394" i="68"/>
  <c r="BF394" i="68"/>
  <c r="BP393" i="68"/>
  <c r="AZ393" i="68"/>
  <c r="BR392" i="68"/>
  <c r="BS351" i="68"/>
  <c r="BK351" i="68"/>
  <c r="BN348" i="68"/>
  <c r="BI348" i="68"/>
  <c r="BS316" i="68"/>
  <c r="BK316" i="68"/>
  <c r="BU315" i="68"/>
  <c r="BM315" i="68"/>
  <c r="BS313" i="68"/>
  <c r="BK313" i="68"/>
  <c r="BR312" i="68"/>
  <c r="BJ312" i="68"/>
  <c r="BT311" i="68"/>
  <c r="BL311" i="68"/>
  <c r="BL307" i="68"/>
  <c r="BN306" i="68"/>
  <c r="BF306" i="68"/>
  <c r="BS217" i="68"/>
  <c r="BK217" i="68"/>
  <c r="BT173" i="68"/>
  <c r="BD173" i="68"/>
  <c r="BJ135" i="68"/>
  <c r="BR134" i="68"/>
  <c r="BJ134" i="68"/>
  <c r="BT133" i="68"/>
  <c r="BD133" i="68"/>
  <c r="BR128" i="68"/>
  <c r="BJ128" i="68"/>
  <c r="E44" i="104"/>
  <c r="BM398" i="68"/>
  <c r="BE398" i="68"/>
  <c r="BG397" i="68"/>
  <c r="BQ396" i="68"/>
  <c r="BA396" i="68"/>
  <c r="BS395" i="68"/>
  <c r="BK395" i="68"/>
  <c r="BM394" i="68"/>
  <c r="BE394" i="68"/>
  <c r="BE399" i="68" s="1"/>
  <c r="T149" i="88" s="1"/>
  <c r="BO393" i="68"/>
  <c r="BO399" i="68" s="1"/>
  <c r="AD149" i="88" s="1"/>
  <c r="BG393" i="68"/>
  <c r="BG399" i="68" s="1"/>
  <c r="V149" i="88" s="1"/>
  <c r="AY393" i="68"/>
  <c r="BQ392" i="68"/>
  <c r="BQ399" i="68" s="1"/>
  <c r="AF149" i="88" s="1"/>
  <c r="BA392" i="68"/>
  <c r="BA399" i="68" s="1"/>
  <c r="P149" i="88" s="1"/>
  <c r="BR351" i="68"/>
  <c r="BJ351" i="68"/>
  <c r="BR348" i="68"/>
  <c r="BH348" i="68"/>
  <c r="BR316" i="68"/>
  <c r="BJ316" i="68"/>
  <c r="BR313" i="68"/>
  <c r="BQ312" i="68"/>
  <c r="BI312" i="68"/>
  <c r="BS311" i="68"/>
  <c r="BK311" i="68"/>
  <c r="BQ264" i="68"/>
  <c r="BI264" i="68"/>
  <c r="BQ262" i="68"/>
  <c r="BI262" i="68"/>
  <c r="BR224" i="68"/>
  <c r="BS173" i="68"/>
  <c r="BK173" i="68"/>
  <c r="BC173" i="68"/>
  <c r="BI135" i="68"/>
  <c r="BA135" i="68"/>
  <c r="BI134" i="68"/>
  <c r="BN131" i="68"/>
  <c r="BF131" i="68"/>
  <c r="BC130" i="68"/>
  <c r="BQ128" i="68"/>
  <c r="BI128" i="68"/>
  <c r="BA128" i="68"/>
  <c r="BR127" i="68"/>
  <c r="BB127" i="68"/>
  <c r="BK126" i="68"/>
  <c r="BC126" i="68"/>
  <c r="BS122" i="68"/>
  <c r="BQ36" i="68"/>
  <c r="BI36" i="68"/>
  <c r="BA36" i="68"/>
  <c r="BQ35" i="68"/>
  <c r="BI35" i="68"/>
  <c r="BV397" i="68"/>
  <c r="BH396" i="68"/>
  <c r="BT394" i="68"/>
  <c r="BL394" i="68"/>
  <c r="BF393" i="68"/>
  <c r="AX393" i="68"/>
  <c r="BH392" i="68"/>
  <c r="AZ392" i="68"/>
  <c r="BQ351" i="68"/>
  <c r="BI351" i="68"/>
  <c r="BM348" i="68"/>
  <c r="BP264" i="68"/>
  <c r="BH264" i="68"/>
  <c r="BP262" i="68"/>
  <c r="BH262" i="68"/>
  <c r="BQ217" i="68"/>
  <c r="BI217" i="68"/>
  <c r="BT216" i="68"/>
  <c r="BJ133" i="68"/>
  <c r="BB133" i="68"/>
  <c r="BS132" i="68"/>
  <c r="BK132" i="68"/>
  <c r="BC132" i="68"/>
  <c r="BU131" i="68"/>
  <c r="BM131" i="68"/>
  <c r="BE131" i="68"/>
  <c r="BV130" i="68"/>
  <c r="BN130" i="68"/>
  <c r="BP128" i="68"/>
  <c r="BH128" i="68"/>
  <c r="AZ33" i="68"/>
  <c r="BH32" i="68"/>
  <c r="AZ32" i="68"/>
  <c r="BS398" i="68"/>
  <c r="BS399" i="68" s="1"/>
  <c r="AH149" i="88" s="1"/>
  <c r="BK398" i="68"/>
  <c r="BC398" i="68"/>
  <c r="BM397" i="68"/>
  <c r="BE397" i="68"/>
  <c r="BO396" i="68"/>
  <c r="AY396" i="68"/>
  <c r="BQ395" i="68"/>
  <c r="BI395" i="68"/>
  <c r="BI399" i="68" s="1"/>
  <c r="BA395" i="68"/>
  <c r="BS394" i="68"/>
  <c r="BU393" i="68"/>
  <c r="BM393" i="68"/>
  <c r="BM399" i="68" s="1"/>
  <c r="AB149" i="88" s="1"/>
  <c r="BE393" i="68"/>
  <c r="BO392" i="68"/>
  <c r="BG392" i="68"/>
  <c r="AY392" i="68"/>
  <c r="BP351" i="68"/>
  <c r="BH351" i="68"/>
  <c r="BV348" i="68"/>
  <c r="BH316" i="68"/>
  <c r="BR315" i="68"/>
  <c r="BJ315" i="68"/>
  <c r="BH313" i="68"/>
  <c r="BO312" i="68"/>
  <c r="BG312" i="68"/>
  <c r="BQ311" i="68"/>
  <c r="BO264" i="68"/>
  <c r="BO262" i="68"/>
  <c r="BO249" i="68"/>
  <c r="BG249" i="68"/>
  <c r="BP221" i="68"/>
  <c r="BH221" i="68"/>
  <c r="BV218" i="68"/>
  <c r="BN218" i="68"/>
  <c r="BP217" i="68"/>
  <c r="BH217" i="68"/>
  <c r="BO135" i="68"/>
  <c r="BG135" i="68"/>
  <c r="BO134" i="68"/>
  <c r="BG134" i="68"/>
  <c r="BQ133" i="68"/>
  <c r="BA133" i="68"/>
  <c r="BT131" i="68"/>
  <c r="AW130" i="68"/>
  <c r="BA130" i="68"/>
  <c r="BO128" i="68"/>
  <c r="BG128" i="68"/>
  <c r="BQ126" i="68"/>
  <c r="BU40" i="68"/>
  <c r="BM39" i="68"/>
  <c r="BE39" i="68"/>
  <c r="G38" i="104"/>
  <c r="C46" i="105" s="1"/>
  <c r="D46" i="105" s="1"/>
  <c r="E46" i="105" s="1"/>
  <c r="F46" i="105" s="1"/>
  <c r="G46" i="105" s="1"/>
  <c r="H46" i="105" s="1"/>
  <c r="I46" i="105" s="1"/>
  <c r="J46" i="105" s="1"/>
  <c r="K46" i="105" s="1"/>
  <c r="L46" i="105" s="1"/>
  <c r="M46" i="105" s="1"/>
  <c r="N46" i="105" s="1"/>
  <c r="O46" i="105" s="1"/>
  <c r="AI222" i="68"/>
  <c r="BS222" i="68" s="1"/>
  <c r="AF129" i="68"/>
  <c r="BP129" i="68" s="1"/>
  <c r="Z413" i="68"/>
  <c r="BJ413" i="68" s="1"/>
  <c r="AS222" i="68"/>
  <c r="F167" i="68"/>
  <c r="AD167" i="68" s="1"/>
  <c r="BN167" i="68" s="1"/>
  <c r="AC167" i="68"/>
  <c r="BM167" i="68" s="1"/>
  <c r="X347" i="68"/>
  <c r="BH347" i="68" s="1"/>
  <c r="AP347" i="68"/>
  <c r="G347" i="68"/>
  <c r="AQ347" i="68" s="1"/>
  <c r="AF266" i="127"/>
  <c r="U204" i="127"/>
  <c r="E31" i="87"/>
  <c r="G86" i="100"/>
  <c r="G32" i="100"/>
  <c r="C41" i="100"/>
  <c r="F32" i="100"/>
  <c r="G41" i="100"/>
  <c r="M32" i="100"/>
  <c r="D32" i="100"/>
  <c r="B40" i="100"/>
  <c r="B41" i="100" s="1"/>
  <c r="B22" i="100"/>
  <c r="B23" i="100" s="1"/>
  <c r="K32" i="100"/>
  <c r="L90" i="100"/>
  <c r="L31" i="100"/>
  <c r="L32" i="100" s="1"/>
  <c r="BT308" i="68"/>
  <c r="BN315" i="68"/>
  <c r="BR314" i="68"/>
  <c r="AO257" i="68"/>
  <c r="BT353" i="68"/>
  <c r="BL353" i="68"/>
  <c r="BQ308" i="68"/>
  <c r="BH225" i="68"/>
  <c r="BS353" i="68"/>
  <c r="BK353" i="68"/>
  <c r="BG314" i="68"/>
  <c r="BG318" i="68" s="1"/>
  <c r="V121" i="88" s="1"/>
  <c r="BO225" i="68"/>
  <c r="BG225" i="68"/>
  <c r="BJ224" i="68"/>
  <c r="BT121" i="68"/>
  <c r="BJ353" i="68"/>
  <c r="BL216" i="68"/>
  <c r="BG224" i="68"/>
  <c r="AU349" i="68"/>
  <c r="BU349" i="68"/>
  <c r="BM349" i="68"/>
  <c r="AQ349" i="68"/>
  <c r="AW349" i="68"/>
  <c r="BI349" i="68"/>
  <c r="AP349" i="68"/>
  <c r="AR349" i="68"/>
  <c r="AZ349" i="68"/>
  <c r="AS349" i="68"/>
  <c r="BT349" i="68"/>
  <c r="BE349" i="68"/>
  <c r="BP349" i="68"/>
  <c r="BA349" i="68"/>
  <c r="AO349" i="68"/>
  <c r="BQ349" i="68"/>
  <c r="BH349" i="68"/>
  <c r="AN349" i="68"/>
  <c r="BJ349" i="68"/>
  <c r="BB349" i="68"/>
  <c r="AV349" i="68"/>
  <c r="BC349" i="68"/>
  <c r="AX349" i="68"/>
  <c r="BF349" i="68"/>
  <c r="BD349" i="68"/>
  <c r="BL349" i="68"/>
  <c r="AY349" i="68"/>
  <c r="AT349" i="68"/>
  <c r="BT432" i="68"/>
  <c r="AT432" i="68"/>
  <c r="AY432" i="68"/>
  <c r="AU432" i="68"/>
  <c r="BD432" i="68"/>
  <c r="BJ432" i="68"/>
  <c r="BC432" i="68"/>
  <c r="B30" i="76"/>
  <c r="BQ309" i="68"/>
  <c r="BI309" i="68"/>
  <c r="BE259" i="68"/>
  <c r="BO259" i="68"/>
  <c r="AO259" i="68"/>
  <c r="BL222" i="68"/>
  <c r="BP314" i="68"/>
  <c r="BH314" i="68"/>
  <c r="AW310" i="68"/>
  <c r="BV259" i="68"/>
  <c r="AN259" i="68"/>
  <c r="BP81" i="68"/>
  <c r="BH81" i="68"/>
  <c r="AZ81" i="68"/>
  <c r="BU34" i="68"/>
  <c r="F117" i="76"/>
  <c r="D150" i="76" s="1"/>
  <c r="C350" i="68" s="1"/>
  <c r="BC350" i="68" s="1"/>
  <c r="E24" i="104"/>
  <c r="C8" i="76"/>
  <c r="BF314" i="68"/>
  <c r="BV309" i="68"/>
  <c r="BN309" i="68"/>
  <c r="BF309" i="68"/>
  <c r="BP308" i="68"/>
  <c r="AT259" i="68"/>
  <c r="BF223" i="68"/>
  <c r="BF227" i="68" s="1"/>
  <c r="BS259" i="68"/>
  <c r="AS259" i="68"/>
  <c r="BP222" i="68"/>
  <c r="BD121" i="68"/>
  <c r="F125" i="76"/>
  <c r="E150" i="76" s="1"/>
  <c r="C261" i="68" s="1"/>
  <c r="AZ261" i="68" s="1"/>
  <c r="BT314" i="68"/>
  <c r="BL314" i="68"/>
  <c r="BR259" i="68"/>
  <c r="BG218" i="68"/>
  <c r="BA35" i="68"/>
  <c r="BQ34" i="68"/>
  <c r="AS252" i="68"/>
  <c r="C7" i="76"/>
  <c r="BK314" i="68"/>
  <c r="BK318" i="68" s="1"/>
  <c r="Z121" i="88" s="1"/>
  <c r="BS309" i="68"/>
  <c r="BK309" i="68"/>
  <c r="AY259" i="68"/>
  <c r="BI259" i="68"/>
  <c r="BF218" i="68"/>
  <c r="F132" i="76"/>
  <c r="F150" i="76" s="1"/>
  <c r="C53" i="104" s="1"/>
  <c r="BJ314" i="68"/>
  <c r="BL313" i="68"/>
  <c r="BR309" i="68"/>
  <c r="BJ309" i="68"/>
  <c r="BL308" i="68"/>
  <c r="BM80" i="68"/>
  <c r="BE80" i="68"/>
  <c r="BO35" i="68"/>
  <c r="BG35" i="68"/>
  <c r="AR260" i="68"/>
  <c r="AX260" i="68"/>
  <c r="AP260" i="68"/>
  <c r="BE260" i="68"/>
  <c r="BN260" i="68"/>
  <c r="BF260" i="68"/>
  <c r="BU260" i="68"/>
  <c r="AU260" i="68"/>
  <c r="BV260" i="68"/>
  <c r="AQ260" i="68"/>
  <c r="BM260" i="68"/>
  <c r="AN260" i="68"/>
  <c r="BK260" i="68"/>
  <c r="BC260" i="68"/>
  <c r="AT260" i="68"/>
  <c r="BD260" i="68"/>
  <c r="AV260" i="68"/>
  <c r="BS260" i="68"/>
  <c r="AW260" i="68"/>
  <c r="BT260" i="68"/>
  <c r="BL260" i="68"/>
  <c r="AZ260" i="68"/>
  <c r="BB260" i="68"/>
  <c r="BA260" i="68"/>
  <c r="AS260" i="68"/>
  <c r="BG260" i="68"/>
  <c r="BP260" i="68"/>
  <c r="BQ260" i="68"/>
  <c r="BI260" i="68"/>
  <c r="AT350" i="68"/>
  <c r="C77" i="68"/>
  <c r="BN77" i="68" s="1"/>
  <c r="C169" i="68"/>
  <c r="BV169" i="68" s="1"/>
  <c r="BE431" i="68"/>
  <c r="AZ431" i="68"/>
  <c r="BD431" i="68"/>
  <c r="BO431" i="68"/>
  <c r="BP431" i="68"/>
  <c r="BA431" i="68"/>
  <c r="AV431" i="68"/>
  <c r="AW431" i="68"/>
  <c r="BQ431" i="68"/>
  <c r="AS431" i="68"/>
  <c r="BM431" i="68"/>
  <c r="AX431" i="68"/>
  <c r="BH431" i="68"/>
  <c r="AO431" i="68"/>
  <c r="BI431" i="68"/>
  <c r="AT431" i="68"/>
  <c r="BN431" i="68"/>
  <c r="AY431" i="68"/>
  <c r="AP431" i="68"/>
  <c r="AQ431" i="68"/>
  <c r="AU431" i="68"/>
  <c r="BU431" i="68"/>
  <c r="BF431" i="68"/>
  <c r="BG431" i="68"/>
  <c r="AR431" i="68"/>
  <c r="BV431" i="68"/>
  <c r="AN431" i="68"/>
  <c r="F110" i="76"/>
  <c r="C150" i="76" s="1"/>
  <c r="G24" i="104"/>
  <c r="AZ434" i="68"/>
  <c r="BP352" i="68"/>
  <c r="BH352" i="68"/>
  <c r="BO310" i="68"/>
  <c r="BG310" i="68"/>
  <c r="BO307" i="68"/>
  <c r="BG307" i="68"/>
  <c r="BO251" i="68"/>
  <c r="BG251" i="68"/>
  <c r="BD215" i="68"/>
  <c r="BG215" i="68"/>
  <c r="BO171" i="68"/>
  <c r="BG171" i="68"/>
  <c r="BA169" i="68"/>
  <c r="BT125" i="68"/>
  <c r="BL125" i="68"/>
  <c r="BD125" i="68"/>
  <c r="BT124" i="68"/>
  <c r="BL124" i="68"/>
  <c r="BD124" i="68"/>
  <c r="BE122" i="68"/>
  <c r="BN121" i="68"/>
  <c r="BF121" i="68"/>
  <c r="AN120" i="68"/>
  <c r="BO120" i="68"/>
  <c r="BG120" i="68"/>
  <c r="AY120" i="68"/>
  <c r="BQ81" i="68"/>
  <c r="BI81" i="68"/>
  <c r="BA81" i="68"/>
  <c r="BV79" i="68"/>
  <c r="BN79" i="68"/>
  <c r="BU38" i="68"/>
  <c r="BM38" i="68"/>
  <c r="AS434" i="68"/>
  <c r="BO352" i="68"/>
  <c r="BG352" i="68"/>
  <c r="BV310" i="68"/>
  <c r="BN310" i="68"/>
  <c r="BS308" i="68"/>
  <c r="BK308" i="68"/>
  <c r="BV307" i="68"/>
  <c r="BF307" i="68"/>
  <c r="BP258" i="68"/>
  <c r="BV171" i="68"/>
  <c r="BU79" i="68"/>
  <c r="BM79" i="68"/>
  <c r="BE79" i="68"/>
  <c r="BH38" i="68"/>
  <c r="BL38" i="68"/>
  <c r="BL44" i="68" s="1"/>
  <c r="AA22" i="88" s="1"/>
  <c r="BM34" i="68"/>
  <c r="BU33" i="68"/>
  <c r="BM33" i="68"/>
  <c r="BE33" i="68"/>
  <c r="BU32" i="68"/>
  <c r="BM32" i="68"/>
  <c r="BE32" i="68"/>
  <c r="BV31" i="68"/>
  <c r="BN31" i="68"/>
  <c r="BF31" i="68"/>
  <c r="BF30" i="68"/>
  <c r="BN29" i="68"/>
  <c r="BF29" i="68"/>
  <c r="BV28" i="68"/>
  <c r="BV44" i="68" s="1"/>
  <c r="AK22" i="88" s="1"/>
  <c r="BN28" i="68"/>
  <c r="BF28" i="68"/>
  <c r="K57" i="104"/>
  <c r="BV352" i="68"/>
  <c r="BN352" i="68"/>
  <c r="BF352" i="68"/>
  <c r="BT79" i="68"/>
  <c r="BL79" i="68"/>
  <c r="BD79" i="68"/>
  <c r="BO349" i="68"/>
  <c r="BG349" i="68"/>
  <c r="E179" i="76"/>
  <c r="C328" i="68" s="1"/>
  <c r="E172" i="76"/>
  <c r="C241" i="68" s="1"/>
  <c r="I57" i="104"/>
  <c r="K25" i="104"/>
  <c r="BE434" i="68"/>
  <c r="BJ260" i="68"/>
  <c r="BH258" i="68"/>
  <c r="BL251" i="68"/>
  <c r="BT171" i="68"/>
  <c r="BL171" i="68"/>
  <c r="BD171" i="68"/>
  <c r="AV130" i="68"/>
  <c r="BL130" i="68"/>
  <c r="BA125" i="68"/>
  <c r="BQ124" i="68"/>
  <c r="BA124" i="68"/>
  <c r="BA123" i="68"/>
  <c r="BR122" i="68"/>
  <c r="BJ122" i="68"/>
  <c r="BB122" i="68"/>
  <c r="BS121" i="68"/>
  <c r="BC121" i="68"/>
  <c r="BT120" i="68"/>
  <c r="BL120" i="68"/>
  <c r="BD120" i="68"/>
  <c r="BI80" i="68"/>
  <c r="BA80" i="68"/>
  <c r="BS79" i="68"/>
  <c r="BK79" i="68"/>
  <c r="BC79" i="68"/>
  <c r="BK34" i="68"/>
  <c r="BC33" i="68"/>
  <c r="BC32" i="68"/>
  <c r="BV349" i="68"/>
  <c r="BN349" i="68"/>
  <c r="BB252" i="68"/>
  <c r="G57" i="104"/>
  <c r="BP433" i="68"/>
  <c r="BH433" i="68"/>
  <c r="AZ433" i="68"/>
  <c r="BR432" i="68"/>
  <c r="BB432" i="68"/>
  <c r="BT431" i="68"/>
  <c r="BL431" i="68"/>
  <c r="BS310" i="68"/>
  <c r="BK310" i="68"/>
  <c r="BH308" i="68"/>
  <c r="BS307" i="68"/>
  <c r="BT258" i="68"/>
  <c r="BH219" i="68"/>
  <c r="BK215" i="68"/>
  <c r="BD129" i="68"/>
  <c r="BP125" i="68"/>
  <c r="BH125" i="68"/>
  <c r="AZ125" i="68"/>
  <c r="AZ136" i="68" s="1"/>
  <c r="O55" i="88" s="1"/>
  <c r="BP124" i="68"/>
  <c r="BH124" i="68"/>
  <c r="AZ124" i="68"/>
  <c r="BP123" i="68"/>
  <c r="BH123" i="68"/>
  <c r="BQ122" i="68"/>
  <c r="BR121" i="68"/>
  <c r="BK120" i="68"/>
  <c r="BQ38" i="68"/>
  <c r="BS434" i="68"/>
  <c r="BK434" i="68"/>
  <c r="BC434" i="68"/>
  <c r="BQ432" i="68"/>
  <c r="BI432" i="68"/>
  <c r="BS431" i="68"/>
  <c r="BK431" i="68"/>
  <c r="BC431" i="68"/>
  <c r="BM258" i="68"/>
  <c r="BG258" i="68"/>
  <c r="AT130" i="68"/>
  <c r="AX125" i="68"/>
  <c r="BG125" i="68"/>
  <c r="BO123" i="68"/>
  <c r="BG123" i="68"/>
  <c r="BI34" i="68"/>
  <c r="BA34" i="68"/>
  <c r="BQ33" i="68"/>
  <c r="BI33" i="68"/>
  <c r="BA33" i="68"/>
  <c r="BQ32" i="68"/>
  <c r="BI32" i="68"/>
  <c r="BA32" i="68"/>
  <c r="BR31" i="68"/>
  <c r="BJ31" i="68"/>
  <c r="BB31" i="68"/>
  <c r="BR30" i="68"/>
  <c r="BR44" i="68" s="1"/>
  <c r="AG22" i="88" s="1"/>
  <c r="BJ30" i="68"/>
  <c r="BB30" i="68"/>
  <c r="BR29" i="68"/>
  <c r="BJ29" i="68"/>
  <c r="BB29" i="68"/>
  <c r="BR28" i="68"/>
  <c r="BJ28" i="68"/>
  <c r="BB28" i="68"/>
  <c r="K24" i="104"/>
  <c r="BV433" i="68"/>
  <c r="BN433" i="68"/>
  <c r="BF433" i="68"/>
  <c r="AX433" i="68"/>
  <c r="BR431" i="68"/>
  <c r="BJ431" i="68"/>
  <c r="BB431" i="68"/>
  <c r="BQ310" i="68"/>
  <c r="BQ171" i="68"/>
  <c r="BI171" i="68"/>
  <c r="BA171" i="68"/>
  <c r="BS169" i="68"/>
  <c r="AS122" i="68"/>
  <c r="BG122" i="68"/>
  <c r="BP121" i="68"/>
  <c r="BH121" i="68"/>
  <c r="AZ121" i="68"/>
  <c r="BQ120" i="68"/>
  <c r="BI120" i="68"/>
  <c r="BA120" i="68"/>
  <c r="BK38" i="68"/>
  <c r="BC38" i="68"/>
  <c r="BC44" i="68" s="1"/>
  <c r="R22" i="88" s="1"/>
  <c r="BQ31" i="68"/>
  <c r="BI31" i="68"/>
  <c r="BA31" i="68"/>
  <c r="BQ30" i="68"/>
  <c r="BI30" i="68"/>
  <c r="BA30" i="68"/>
  <c r="BQ29" i="68"/>
  <c r="BI29" i="68"/>
  <c r="BA29" i="68"/>
  <c r="BQ28" i="68"/>
  <c r="BI28" i="68"/>
  <c r="BA28" i="68"/>
  <c r="BS349" i="68"/>
  <c r="BK349" i="68"/>
  <c r="BF315" i="68"/>
  <c r="BU308" i="68"/>
  <c r="BP171" i="68"/>
  <c r="BH171" i="68"/>
  <c r="AZ171" i="68"/>
  <c r="BD130" i="68"/>
  <c r="BI129" i="68"/>
  <c r="BD126" i="68"/>
  <c r="BR81" i="68"/>
  <c r="BJ81" i="68"/>
  <c r="BB81" i="68"/>
  <c r="BO79" i="68"/>
  <c r="BG79" i="68"/>
  <c r="BM75" i="68"/>
  <c r="BV38" i="68"/>
  <c r="AP38" i="68"/>
  <c r="BO34" i="68"/>
  <c r="BG34" i="68"/>
  <c r="BO33" i="68"/>
  <c r="BG33" i="68"/>
  <c r="BO32" i="68"/>
  <c r="BP30" i="68"/>
  <c r="BH30" i="68"/>
  <c r="BH29" i="68"/>
  <c r="AZ29" i="68"/>
  <c r="BP28" i="68"/>
  <c r="BH28" i="68"/>
  <c r="BH44" i="68" s="1"/>
  <c r="W22" i="88" s="1"/>
  <c r="AZ28" i="68"/>
  <c r="BR349" i="68"/>
  <c r="AP375" i="68"/>
  <c r="BT375" i="68"/>
  <c r="AB295" i="68"/>
  <c r="BL295" i="68" s="1"/>
  <c r="AT295" i="68"/>
  <c r="U107" i="68"/>
  <c r="BE107" i="68" s="1"/>
  <c r="AG107" i="68"/>
  <c r="BQ107" i="68" s="1"/>
  <c r="X19" i="68"/>
  <c r="BH19" i="68" s="1"/>
  <c r="AJ19" i="68"/>
  <c r="BT19" i="68" s="1"/>
  <c r="F379" i="68"/>
  <c r="H121" i="85"/>
  <c r="G379" i="68" s="1"/>
  <c r="F376" i="68"/>
  <c r="H118" i="85"/>
  <c r="Z300" i="68"/>
  <c r="BJ300" i="68" s="1"/>
  <c r="AR300" i="68"/>
  <c r="AA295" i="68"/>
  <c r="BK295" i="68" s="1"/>
  <c r="AS295" i="68"/>
  <c r="BC208" i="68"/>
  <c r="AK203" i="68"/>
  <c r="BU203" i="68" s="1"/>
  <c r="BC203" i="68"/>
  <c r="Y197" i="68"/>
  <c r="BI197" i="68" s="1"/>
  <c r="AQ197" i="68"/>
  <c r="X113" i="68"/>
  <c r="BH113" i="68" s="1"/>
  <c r="AV113" i="68"/>
  <c r="V11" i="68"/>
  <c r="BF11" i="68" s="1"/>
  <c r="AT11" i="68"/>
  <c r="V204" i="68"/>
  <c r="BF204" i="68" s="1"/>
  <c r="AN204" i="68"/>
  <c r="X197" i="68"/>
  <c r="AP197" i="68"/>
  <c r="U114" i="68"/>
  <c r="BE114" i="68" s="1"/>
  <c r="AG114" i="68"/>
  <c r="BQ114" i="68" s="1"/>
  <c r="AV112" i="68"/>
  <c r="X112" i="68"/>
  <c r="BH112" i="68" s="1"/>
  <c r="AV12" i="68"/>
  <c r="X12" i="68"/>
  <c r="BH12" i="68" s="1"/>
  <c r="R12" i="68"/>
  <c r="BB12" i="68" s="1"/>
  <c r="AD12" i="68"/>
  <c r="BN12" i="68" s="1"/>
  <c r="AP12" i="68"/>
  <c r="T9" i="68"/>
  <c r="BD9" i="68" s="1"/>
  <c r="AF9" i="68"/>
  <c r="BP9" i="68" s="1"/>
  <c r="BP23" i="68" s="1"/>
  <c r="AE21" i="88" s="1"/>
  <c r="AR9" i="68"/>
  <c r="H125" i="85"/>
  <c r="G383" i="68" s="1"/>
  <c r="F383" i="68"/>
  <c r="AI195" i="68"/>
  <c r="BS195" i="68" s="1"/>
  <c r="BA195" i="68"/>
  <c r="V193" i="68"/>
  <c r="BF193" i="68" s="1"/>
  <c r="AN193" i="68"/>
  <c r="R101" i="68"/>
  <c r="BB101" i="68" s="1"/>
  <c r="AP101" i="68"/>
  <c r="AJ297" i="68"/>
  <c r="BT297" i="68" s="1"/>
  <c r="BB297" i="68"/>
  <c r="AK293" i="68"/>
  <c r="BU293" i="68" s="1"/>
  <c r="BC293" i="68"/>
  <c r="AC200" i="68"/>
  <c r="BM200" i="68" s="1"/>
  <c r="AU200" i="68"/>
  <c r="P16" i="68"/>
  <c r="AZ16" i="68" s="1"/>
  <c r="AB16" i="68"/>
  <c r="BL16" i="68" s="1"/>
  <c r="AP10" i="68"/>
  <c r="R10" i="68"/>
  <c r="BB10" i="68" s="1"/>
  <c r="Q9" i="68"/>
  <c r="BA9" i="68" s="1"/>
  <c r="AO9" i="68"/>
  <c r="AK290" i="68"/>
  <c r="BU290" i="68" s="1"/>
  <c r="BC290" i="68"/>
  <c r="BG298" i="68"/>
  <c r="BM298" i="68"/>
  <c r="BF298" i="68"/>
  <c r="BR288" i="68"/>
  <c r="BR283" i="68"/>
  <c r="BL283" i="68"/>
  <c r="BI201" i="68"/>
  <c r="BK197" i="68"/>
  <c r="BK196" i="68"/>
  <c r="BK210" i="68" s="1"/>
  <c r="Z87" i="88" s="1"/>
  <c r="BJ195" i="68"/>
  <c r="BR194" i="68"/>
  <c r="BK194" i="68"/>
  <c r="BR192" i="68"/>
  <c r="BL192" i="68"/>
  <c r="BN287" i="68"/>
  <c r="BG287" i="68"/>
  <c r="BR375" i="68"/>
  <c r="BR387" i="68" s="1"/>
  <c r="AG148" i="88" s="1"/>
  <c r="AX380" i="68"/>
  <c r="AO208" i="68"/>
  <c r="AZ296" i="68"/>
  <c r="H114" i="85"/>
  <c r="BE298" i="68"/>
  <c r="BK298" i="68"/>
  <c r="BN286" i="68"/>
  <c r="BH286" i="68"/>
  <c r="BM208" i="68"/>
  <c r="BV206" i="68"/>
  <c r="BJ206" i="68"/>
  <c r="BS205" i="68"/>
  <c r="BM201" i="68"/>
  <c r="BP192" i="68"/>
  <c r="BJ192" i="68"/>
  <c r="BU299" i="68"/>
  <c r="BV283" i="68"/>
  <c r="BO196" i="68"/>
  <c r="BO192" i="68"/>
  <c r="BK113" i="68"/>
  <c r="AP298" i="68"/>
  <c r="AW293" i="68"/>
  <c r="AZ371" i="68"/>
  <c r="BP299" i="68"/>
  <c r="BJ299" i="68"/>
  <c r="BR285" i="68"/>
  <c r="BR301" i="68" s="1"/>
  <c r="AG120" i="88" s="1"/>
  <c r="BK285" i="68"/>
  <c r="BO283" i="68"/>
  <c r="BE208" i="68"/>
  <c r="BN206" i="68"/>
  <c r="BF201" i="68"/>
  <c r="BM195" i="68"/>
  <c r="BM210" i="68" s="1"/>
  <c r="AB87" i="88" s="1"/>
  <c r="BV192" i="68"/>
  <c r="BH192" i="68"/>
  <c r="BG208" i="68"/>
  <c r="AV290" i="68"/>
  <c r="AR298" i="68"/>
  <c r="AX201" i="68"/>
  <c r="AS287" i="68"/>
  <c r="H128" i="85"/>
  <c r="BI295" i="68"/>
  <c r="BI294" i="68"/>
  <c r="BK290" i="68"/>
  <c r="BK287" i="68"/>
  <c r="BK286" i="68"/>
  <c r="BG283" i="68"/>
  <c r="BI205" i="68"/>
  <c r="BS196" i="68"/>
  <c r="BS210" i="68" s="1"/>
  <c r="AH87" i="88" s="1"/>
  <c r="BS375" i="68"/>
  <c r="BS386" i="68"/>
  <c r="BS387" i="68" s="1"/>
  <c r="AH148" i="88" s="1"/>
  <c r="BH375" i="68"/>
  <c r="AW298" i="68"/>
  <c r="BC201" i="68"/>
  <c r="AS299" i="68"/>
  <c r="Z371" i="68"/>
  <c r="BJ371" i="68" s="1"/>
  <c r="G371" i="68"/>
  <c r="BN299" i="68"/>
  <c r="BT298" i="68"/>
  <c r="BH298" i="68"/>
  <c r="BH295" i="68"/>
  <c r="BV294" i="68"/>
  <c r="BS293" i="68"/>
  <c r="BQ292" i="68"/>
  <c r="BP290" i="68"/>
  <c r="BL288" i="68"/>
  <c r="BR286" i="68"/>
  <c r="BQ284" i="68"/>
  <c r="BN202" i="68"/>
  <c r="BV195" i="68"/>
  <c r="AJ386" i="68"/>
  <c r="BT386" i="68" s="1"/>
  <c r="AP386" i="68"/>
  <c r="P386" i="68"/>
  <c r="AZ386" i="68" s="1"/>
  <c r="AD298" i="68"/>
  <c r="BN298" i="68" s="1"/>
  <c r="AV298" i="68"/>
  <c r="W296" i="68"/>
  <c r="BG296" i="68" s="1"/>
  <c r="AO296" i="68"/>
  <c r="AC295" i="68"/>
  <c r="BM295" i="68" s="1"/>
  <c r="AU295" i="68"/>
  <c r="AY289" i="68"/>
  <c r="AG289" i="68"/>
  <c r="BQ289" i="68" s="1"/>
  <c r="AI288" i="68"/>
  <c r="BS288" i="68" s="1"/>
  <c r="BA288" i="68"/>
  <c r="AC203" i="68"/>
  <c r="BM203" i="68" s="1"/>
  <c r="AU203" i="68"/>
  <c r="AU210" i="68" s="1"/>
  <c r="J87" i="88" s="1"/>
  <c r="P373" i="68"/>
  <c r="AZ373" i="68" s="1"/>
  <c r="AJ373" i="68"/>
  <c r="BT373" i="68" s="1"/>
  <c r="Z373" i="68"/>
  <c r="BJ373" i="68" s="1"/>
  <c r="AP373" i="68"/>
  <c r="AJ299" i="68"/>
  <c r="BT299" i="68" s="1"/>
  <c r="BB299" i="68"/>
  <c r="AH298" i="68"/>
  <c r="BR298" i="68" s="1"/>
  <c r="AZ298" i="68"/>
  <c r="AE297" i="68"/>
  <c r="BO297" i="68" s="1"/>
  <c r="AW297" i="68"/>
  <c r="AE287" i="68"/>
  <c r="BO287" i="68" s="1"/>
  <c r="AW287" i="68"/>
  <c r="AE201" i="68"/>
  <c r="BO201" i="68" s="1"/>
  <c r="AW201" i="68"/>
  <c r="AW210" i="68" s="1"/>
  <c r="L87" i="88" s="1"/>
  <c r="Q108" i="68"/>
  <c r="BA108" i="68" s="1"/>
  <c r="AO108" i="68"/>
  <c r="AV300" i="68"/>
  <c r="AD300" i="68"/>
  <c r="BN300" i="68" s="1"/>
  <c r="AQ297" i="68"/>
  <c r="Y297" i="68"/>
  <c r="BI297" i="68" s="1"/>
  <c r="BA294" i="68"/>
  <c r="AI294" i="68"/>
  <c r="BS294" i="68" s="1"/>
  <c r="W294" i="68"/>
  <c r="BG294" i="68" s="1"/>
  <c r="AO294" i="68"/>
  <c r="V291" i="68"/>
  <c r="BF291" i="68" s="1"/>
  <c r="AN291" i="68"/>
  <c r="AJ287" i="68"/>
  <c r="BB287" i="68"/>
  <c r="Y209" i="68"/>
  <c r="BI209" i="68" s="1"/>
  <c r="AQ209" i="68"/>
  <c r="W205" i="68"/>
  <c r="BG205" i="68" s="1"/>
  <c r="AO205" i="68"/>
  <c r="AI297" i="68"/>
  <c r="BS297" i="68" s="1"/>
  <c r="BA297" i="68"/>
  <c r="AC297" i="68"/>
  <c r="BM297" i="68" s="1"/>
  <c r="AU297" i="68"/>
  <c r="AE291" i="68"/>
  <c r="BO291" i="68" s="1"/>
  <c r="AW291" i="68"/>
  <c r="Z291" i="68"/>
  <c r="BJ291" i="68" s="1"/>
  <c r="AR291" i="68"/>
  <c r="AI209" i="68"/>
  <c r="BS209" i="68" s="1"/>
  <c r="BA209" i="68"/>
  <c r="AH202" i="68"/>
  <c r="BR202" i="68" s="1"/>
  <c r="AZ202" i="68"/>
  <c r="AZ210" i="68" s="1"/>
  <c r="O87" i="88" s="1"/>
  <c r="AG299" i="68"/>
  <c r="BQ299" i="68" s="1"/>
  <c r="AY299" i="68"/>
  <c r="AA294" i="68"/>
  <c r="BK294" i="68" s="1"/>
  <c r="AS294" i="68"/>
  <c r="AE288" i="68"/>
  <c r="BO288" i="68" s="1"/>
  <c r="AW288" i="68"/>
  <c r="AH208" i="68"/>
  <c r="BR208" i="68" s="1"/>
  <c r="AZ208" i="68"/>
  <c r="AD204" i="68"/>
  <c r="BN204" i="68" s="1"/>
  <c r="AV204" i="68"/>
  <c r="W201" i="68"/>
  <c r="BG201" i="68" s="1"/>
  <c r="AO201" i="68"/>
  <c r="G381" i="68"/>
  <c r="I123" i="85"/>
  <c r="AA292" i="68"/>
  <c r="BK292" i="68" s="1"/>
  <c r="AS292" i="68"/>
  <c r="AT290" i="68"/>
  <c r="AB290" i="68"/>
  <c r="BL290" i="68" s="1"/>
  <c r="AI289" i="68"/>
  <c r="BS289" i="68" s="1"/>
  <c r="BA289" i="68"/>
  <c r="X288" i="68"/>
  <c r="BH288" i="68" s="1"/>
  <c r="AP288" i="68"/>
  <c r="AB284" i="68"/>
  <c r="BL284" i="68" s="1"/>
  <c r="AT284" i="68"/>
  <c r="AJ204" i="68"/>
  <c r="BT204" i="68" s="1"/>
  <c r="BB204" i="68"/>
  <c r="AC288" i="68"/>
  <c r="BM288" i="68" s="1"/>
  <c r="AU288" i="68"/>
  <c r="X206" i="68"/>
  <c r="BH206" i="68" s="1"/>
  <c r="AP206" i="68"/>
  <c r="X203" i="68"/>
  <c r="BH203" i="68" s="1"/>
  <c r="AP203" i="68"/>
  <c r="X202" i="68"/>
  <c r="BH202" i="68" s="1"/>
  <c r="AP202" i="68"/>
  <c r="Q16" i="68"/>
  <c r="BA16" i="68" s="1"/>
  <c r="AO16" i="68"/>
  <c r="AC16" i="68"/>
  <c r="BM16" i="68" s="1"/>
  <c r="P378" i="68"/>
  <c r="AZ378" i="68" s="1"/>
  <c r="AP378" i="68"/>
  <c r="AJ378" i="68"/>
  <c r="BT378" i="68" s="1"/>
  <c r="Z378" i="68"/>
  <c r="BJ378" i="68" s="1"/>
  <c r="AH295" i="68"/>
  <c r="BR295" i="68" s="1"/>
  <c r="AZ295" i="68"/>
  <c r="Z287" i="68"/>
  <c r="BJ287" i="68" s="1"/>
  <c r="AR287" i="68"/>
  <c r="AJ283" i="68"/>
  <c r="BT283" i="68" s="1"/>
  <c r="BB283" i="68"/>
  <c r="V283" i="68"/>
  <c r="BF283" i="68" s="1"/>
  <c r="AN283" i="68"/>
  <c r="AF207" i="68"/>
  <c r="BP207" i="68" s="1"/>
  <c r="AX207" i="68"/>
  <c r="AH204" i="68"/>
  <c r="BR204" i="68" s="1"/>
  <c r="AZ204" i="68"/>
  <c r="AK380" i="68"/>
  <c r="BU380" i="68" s="1"/>
  <c r="AZ300" i="68"/>
  <c r="BR386" i="68"/>
  <c r="AQ292" i="68"/>
  <c r="AV299" i="68"/>
  <c r="H120" i="85"/>
  <c r="BP296" i="68"/>
  <c r="BQ290" i="68"/>
  <c r="BG290" i="68"/>
  <c r="BH284" i="68"/>
  <c r="BH301" i="68" s="1"/>
  <c r="W120" i="88" s="1"/>
  <c r="BS203" i="68"/>
  <c r="AO300" i="68"/>
  <c r="AX386" i="68"/>
  <c r="AW292" i="68"/>
  <c r="BD298" i="68"/>
  <c r="AP289" i="68"/>
  <c r="AR299" i="68"/>
  <c r="AJ379" i="68"/>
  <c r="BT379" i="68" s="1"/>
  <c r="I125" i="85"/>
  <c r="BR292" i="68"/>
  <c r="BF290" i="68"/>
  <c r="BI208" i="68"/>
  <c r="BK200" i="68"/>
  <c r="BI384" i="68"/>
  <c r="AW299" i="68"/>
  <c r="BF292" i="68"/>
  <c r="BU291" i="68"/>
  <c r="AS209" i="68"/>
  <c r="AJ371" i="68"/>
  <c r="BT371" i="68" s="1"/>
  <c r="BV197" i="68"/>
  <c r="BO197" i="68"/>
  <c r="Q379" i="68"/>
  <c r="BA379" i="68" s="1"/>
  <c r="AN292" i="68"/>
  <c r="AQ299" i="68"/>
  <c r="AO376" i="68"/>
  <c r="AO387" i="68" s="1"/>
  <c r="D148" i="88" s="1"/>
  <c r="H115" i="85"/>
  <c r="BK297" i="68"/>
  <c r="BR296" i="68"/>
  <c r="BM296" i="68"/>
  <c r="BI292" i="68"/>
  <c r="BT290" i="68"/>
  <c r="BH197" i="68"/>
  <c r="AS371" i="68"/>
  <c r="AA380" i="68"/>
  <c r="BK380" i="68" s="1"/>
  <c r="AA379" i="68"/>
  <c r="BK379" i="68" s="1"/>
  <c r="BA206" i="68"/>
  <c r="AT288" i="68"/>
  <c r="AT298" i="68"/>
  <c r="AU298" i="68"/>
  <c r="AX299" i="68"/>
  <c r="BJ372" i="68"/>
  <c r="BJ298" i="68"/>
  <c r="AS297" i="68"/>
  <c r="BN292" i="68"/>
  <c r="BH292" i="68"/>
  <c r="BJ288" i="68"/>
  <c r="BH285" i="68"/>
  <c r="BO284" i="68"/>
  <c r="BI284" i="68"/>
  <c r="BO203" i="68"/>
  <c r="P108" i="68"/>
  <c r="AZ108" i="68" s="1"/>
  <c r="AZ115" i="68" s="1"/>
  <c r="O54" i="88" s="1"/>
  <c r="BP291" i="68"/>
  <c r="BG285" i="68"/>
  <c r="AP205" i="68"/>
  <c r="BT197" i="68"/>
  <c r="BG197" i="68"/>
  <c r="BF196" i="68"/>
  <c r="BF210" i="68" s="1"/>
  <c r="U87" i="88" s="1"/>
  <c r="BP194" i="68"/>
  <c r="BH194" i="68"/>
  <c r="AB18" i="85"/>
  <c r="N14" i="68" s="1"/>
  <c r="BK13" i="68"/>
  <c r="AX381" i="68"/>
  <c r="BF197" i="68"/>
  <c r="BR193" i="68"/>
  <c r="Z18" i="85"/>
  <c r="L14" i="68" s="1"/>
  <c r="E12" i="85"/>
  <c r="R12" i="85" s="1"/>
  <c r="D8" i="68" s="1"/>
  <c r="BI22" i="68"/>
  <c r="BS285" i="68"/>
  <c r="BR206" i="68"/>
  <c r="BK105" i="68"/>
  <c r="W18" i="85"/>
  <c r="I14" i="68" s="1"/>
  <c r="BI375" i="68"/>
  <c r="BI387" i="68" s="1"/>
  <c r="X148" i="88" s="1"/>
  <c r="BK22" i="68"/>
  <c r="AX379" i="68"/>
  <c r="BJ22" i="68"/>
  <c r="BM294" i="68"/>
  <c r="BM292" i="68"/>
  <c r="BM291" i="68"/>
  <c r="BS290" i="68"/>
  <c r="BI290" i="68"/>
  <c r="BG288" i="68"/>
  <c r="BQ285" i="68"/>
  <c r="BP284" i="68"/>
  <c r="BI204" i="68"/>
  <c r="BQ202" i="68"/>
  <c r="BK20" i="68"/>
  <c r="BU22" i="68"/>
  <c r="BL196" i="68"/>
  <c r="BK12" i="68"/>
  <c r="AX378" i="68"/>
  <c r="AY374" i="68"/>
  <c r="BT22" i="68"/>
  <c r="BP204" i="68"/>
  <c r="BG204" i="68"/>
  <c r="BK203" i="68"/>
  <c r="BF203" i="68"/>
  <c r="BP197" i="68"/>
  <c r="BP210" i="68" s="1"/>
  <c r="AE87" i="88" s="1"/>
  <c r="BG196" i="68"/>
  <c r="BU194" i="68"/>
  <c r="BK110" i="68"/>
  <c r="BK109" i="68"/>
  <c r="E38" i="104"/>
  <c r="C18" i="105" s="1"/>
  <c r="D18" i="105" s="1"/>
  <c r="E18" i="105" s="1"/>
  <c r="F18" i="105" s="1"/>
  <c r="G18" i="105" s="1"/>
  <c r="H18" i="105" s="1"/>
  <c r="I18" i="105" s="1"/>
  <c r="J18" i="105" s="1"/>
  <c r="K18" i="105" s="1"/>
  <c r="L18" i="105" s="1"/>
  <c r="M18" i="105" s="1"/>
  <c r="N18" i="105" s="1"/>
  <c r="BM248" i="68"/>
  <c r="AP414" i="68"/>
  <c r="AY386" i="68"/>
  <c r="AX210" i="68"/>
  <c r="M87" i="88" s="1"/>
  <c r="AR210" i="68"/>
  <c r="G87" i="88" s="1"/>
  <c r="Y347" i="68"/>
  <c r="BI347" i="68" s="1"/>
  <c r="BI298" i="68"/>
  <c r="F32" i="87"/>
  <c r="D173" i="127"/>
  <c r="F34" i="87"/>
  <c r="G79" i="87" s="1"/>
  <c r="G160" i="127" s="1"/>
  <c r="F33" i="87"/>
  <c r="G70" i="87" s="1"/>
  <c r="H70" i="87" s="1"/>
  <c r="Y37" i="68"/>
  <c r="BI37" i="68" s="1"/>
  <c r="Z38" i="68"/>
  <c r="BJ38" i="68" s="1"/>
  <c r="C52" i="105"/>
  <c r="BD314" i="68"/>
  <c r="BC314" i="68"/>
  <c r="AS314" i="68"/>
  <c r="AQ259" i="68"/>
  <c r="AP223" i="68"/>
  <c r="BD223" i="68"/>
  <c r="AZ222" i="68"/>
  <c r="AP222" i="68"/>
  <c r="AY222" i="68"/>
  <c r="BB223" i="68"/>
  <c r="AX222" i="68"/>
  <c r="AU223" i="68"/>
  <c r="AS223" i="68"/>
  <c r="AS227" i="68" s="1"/>
  <c r="H88" i="88" s="1"/>
  <c r="BC223" i="68"/>
  <c r="AN223" i="68"/>
  <c r="AW259" i="68"/>
  <c r="P130" i="68"/>
  <c r="AZ130" i="68" s="1"/>
  <c r="AV129" i="68"/>
  <c r="X129" i="68"/>
  <c r="BH129" i="68" s="1"/>
  <c r="AW129" i="68"/>
  <c r="AQ129" i="68"/>
  <c r="AE129" i="68"/>
  <c r="BO129" i="68" s="1"/>
  <c r="AH130" i="68"/>
  <c r="BR130" i="68" s="1"/>
  <c r="AR130" i="68"/>
  <c r="X130" i="68"/>
  <c r="BH130" i="68" s="1"/>
  <c r="AK129" i="68"/>
  <c r="BU129" i="68" s="1"/>
  <c r="AJ130" i="68"/>
  <c r="BT130" i="68" s="1"/>
  <c r="AU130" i="68"/>
  <c r="AQ130" i="68"/>
  <c r="AI130" i="68"/>
  <c r="BS130" i="68" s="1"/>
  <c r="AE130" i="68"/>
  <c r="BO130" i="68" s="1"/>
  <c r="V130" i="68"/>
  <c r="BF130" i="68" s="1"/>
  <c r="AE38" i="68"/>
  <c r="BO38" i="68" s="1"/>
  <c r="AK37" i="68"/>
  <c r="BU37" i="68" s="1"/>
  <c r="AR37" i="68"/>
  <c r="AQ38" i="68"/>
  <c r="AQ37" i="68"/>
  <c r="R37" i="68"/>
  <c r="BB37" i="68" s="1"/>
  <c r="AA37" i="68"/>
  <c r="BK37" i="68" s="1"/>
  <c r="BK44" i="68" s="1"/>
  <c r="Z22" i="88" s="1"/>
  <c r="AF37" i="68"/>
  <c r="BP37" i="68" s="1"/>
  <c r="AD38" i="68"/>
  <c r="BN38" i="68" s="1"/>
  <c r="R38" i="68"/>
  <c r="BB38" i="68" s="1"/>
  <c r="AP37" i="68"/>
  <c r="BK103" i="68"/>
  <c r="BV227" i="68"/>
  <c r="AK88" i="88" s="1"/>
  <c r="AN37" i="68"/>
  <c r="AJ37" i="68"/>
  <c r="BT37" i="68" s="1"/>
  <c r="AY38" i="68"/>
  <c r="AY44" i="68" s="1"/>
  <c r="N22" i="88" s="1"/>
  <c r="P37" i="68"/>
  <c r="AZ37" i="68" s="1"/>
  <c r="BB90" i="68"/>
  <c r="Q28" i="88" s="1"/>
  <c r="Q29" i="88" s="1"/>
  <c r="AP314" i="68"/>
  <c r="AX314" i="68"/>
  <c r="AX318" i="68" s="1"/>
  <c r="M121" i="88" s="1"/>
  <c r="AO314" i="68"/>
  <c r="AO318" i="68" s="1"/>
  <c r="D121" i="88" s="1"/>
  <c r="AW314" i="68"/>
  <c r="AQ314" i="68"/>
  <c r="AQ318" i="68" s="1"/>
  <c r="F121" i="88" s="1"/>
  <c r="AA111" i="127"/>
  <c r="AG111" i="127"/>
  <c r="AF111" i="127"/>
  <c r="AJ111" i="127"/>
  <c r="AE111" i="127"/>
  <c r="Z111" i="127"/>
  <c r="AI111" i="127"/>
  <c r="Y111" i="127"/>
  <c r="AV222" i="68"/>
  <c r="AV227" i="68" s="1"/>
  <c r="K88" i="88" s="1"/>
  <c r="BU252" i="68"/>
  <c r="AP252" i="68"/>
  <c r="AR223" i="68"/>
  <c r="AR227" i="68" s="1"/>
  <c r="G88" i="88" s="1"/>
  <c r="W259" i="68"/>
  <c r="BG259" i="68" s="1"/>
  <c r="BR252" i="68"/>
  <c r="BT210" i="68"/>
  <c r="AI87" i="88" s="1"/>
  <c r="AV252" i="68"/>
  <c r="AZ223" i="68"/>
  <c r="BI227" i="68"/>
  <c r="X88" i="88" s="1"/>
  <c r="AB259" i="68"/>
  <c r="BL259" i="68" s="1"/>
  <c r="BD222" i="68"/>
  <c r="BD227" i="68" s="1"/>
  <c r="S88" i="88" s="1"/>
  <c r="AV210" i="68"/>
  <c r="K87" i="88" s="1"/>
  <c r="BD259" i="68"/>
  <c r="AU222" i="68"/>
  <c r="AN222" i="68"/>
  <c r="BC222" i="68"/>
  <c r="AT222" i="68"/>
  <c r="AT227" i="68" s="1"/>
  <c r="I88" i="88" s="1"/>
  <c r="AX223" i="68"/>
  <c r="BB222" i="68"/>
  <c r="BH227" i="68"/>
  <c r="W88" i="88" s="1"/>
  <c r="BA259" i="68"/>
  <c r="AQ223" i="68"/>
  <c r="AQ227" i="68" s="1"/>
  <c r="F88" i="88" s="1"/>
  <c r="AV38" i="68"/>
  <c r="AV44" i="68" s="1"/>
  <c r="K22" i="88" s="1"/>
  <c r="BU60" i="68"/>
  <c r="AJ23" i="88" s="1"/>
  <c r="AN38" i="68"/>
  <c r="AG37" i="68"/>
  <c r="BQ37" i="68" s="1"/>
  <c r="AP60" i="68"/>
  <c r="E23" i="88" s="1"/>
  <c r="U37" i="68"/>
  <c r="BE37" i="68" s="1"/>
  <c r="AW60" i="68"/>
  <c r="L23" i="88" s="1"/>
  <c r="AJ38" i="68"/>
  <c r="BT38" i="68" s="1"/>
  <c r="AQ23" i="68"/>
  <c r="F21" i="88" s="1"/>
  <c r="AA174" i="127"/>
  <c r="R174" i="127"/>
  <c r="T174" i="127"/>
  <c r="Y174" i="127"/>
  <c r="AE174" i="127"/>
  <c r="Q174" i="127"/>
  <c r="AG174" i="127"/>
  <c r="X174" i="127"/>
  <c r="Z408" i="68"/>
  <c r="BJ408" i="68" s="1"/>
  <c r="AP408" i="68"/>
  <c r="G414" i="68"/>
  <c r="G408" i="68"/>
  <c r="AK408" i="68" s="1"/>
  <c r="BU408" i="68" s="1"/>
  <c r="BD443" i="68"/>
  <c r="S155" i="88" s="1"/>
  <c r="S156" i="88" s="1"/>
  <c r="AJ414" i="68"/>
  <c r="BT414" i="68" s="1"/>
  <c r="AJ408" i="68"/>
  <c r="BT408" i="68" s="1"/>
  <c r="P414" i="68"/>
  <c r="AZ414" i="68" s="1"/>
  <c r="AS130" i="68"/>
  <c r="AP129" i="68"/>
  <c r="AX129" i="68"/>
  <c r="R129" i="68"/>
  <c r="BB129" i="68" s="1"/>
  <c r="U130" i="68"/>
  <c r="BE130" i="68" s="1"/>
  <c r="AP152" i="68"/>
  <c r="E56" i="88" s="1"/>
  <c r="Z129" i="68"/>
  <c r="BJ129" i="68" s="1"/>
  <c r="R167" i="68"/>
  <c r="BB167" i="68" s="1"/>
  <c r="AX130" i="68"/>
  <c r="AU129" i="68"/>
  <c r="AI129" i="68"/>
  <c r="BS129" i="68" s="1"/>
  <c r="Z130" i="68"/>
  <c r="BJ130" i="68" s="1"/>
  <c r="AP130" i="68"/>
  <c r="BD152" i="68"/>
  <c r="S56" i="88" s="1"/>
  <c r="L29" i="88"/>
  <c r="AW38" i="68"/>
  <c r="AW44" i="68" s="1"/>
  <c r="L22" i="88" s="1"/>
  <c r="Y38" i="68"/>
  <c r="BI38" i="68" s="1"/>
  <c r="V37" i="68"/>
  <c r="BF37" i="68" s="1"/>
  <c r="AT37" i="68"/>
  <c r="AT44" i="68" s="1"/>
  <c r="I22" i="88" s="1"/>
  <c r="AO38" i="68"/>
  <c r="Z407" i="68"/>
  <c r="BJ407" i="68" s="1"/>
  <c r="H412" i="68"/>
  <c r="BC443" i="68"/>
  <c r="R155" i="88" s="1"/>
  <c r="R156" i="88" s="1"/>
  <c r="AP413" i="68"/>
  <c r="AJ413" i="68"/>
  <c r="BT413" i="68" s="1"/>
  <c r="AA18" i="88"/>
  <c r="BA60" i="68"/>
  <c r="P23" i="88" s="1"/>
  <c r="BN60" i="68"/>
  <c r="AC23" i="88" s="1"/>
  <c r="BV60" i="68"/>
  <c r="AK23" i="88" s="1"/>
  <c r="BI60" i="68"/>
  <c r="X23" i="88" s="1"/>
  <c r="AO75" i="68"/>
  <c r="BF60" i="68"/>
  <c r="U23" i="88" s="1"/>
  <c r="AT60" i="68"/>
  <c r="I23" i="88" s="1"/>
  <c r="AY60" i="68"/>
  <c r="N23" i="88" s="1"/>
  <c r="BP60" i="68"/>
  <c r="AE23" i="88" s="1"/>
  <c r="AZ60" i="68"/>
  <c r="O23" i="88" s="1"/>
  <c r="BS60" i="68"/>
  <c r="AH23" i="88" s="1"/>
  <c r="BC60" i="68"/>
  <c r="R23" i="88" s="1"/>
  <c r="BE60" i="68"/>
  <c r="T23" i="88" s="1"/>
  <c r="BH60" i="68"/>
  <c r="W23" i="88" s="1"/>
  <c r="AS60" i="68"/>
  <c r="H23" i="88" s="1"/>
  <c r="Q75" i="68"/>
  <c r="BA75" i="68" s="1"/>
  <c r="AO60" i="68"/>
  <c r="D23" i="88" s="1"/>
  <c r="BJ60" i="68"/>
  <c r="Y23" i="88" s="1"/>
  <c r="AV60" i="68"/>
  <c r="K23" i="88" s="1"/>
  <c r="AQ60" i="68"/>
  <c r="F23" i="88" s="1"/>
  <c r="F75" i="68"/>
  <c r="R75" i="68" s="1"/>
  <c r="BB75" i="68" s="1"/>
  <c r="BG60" i="68"/>
  <c r="V23" i="88" s="1"/>
  <c r="BQ60" i="68"/>
  <c r="AF23" i="88" s="1"/>
  <c r="AU60" i="68"/>
  <c r="J23" i="88" s="1"/>
  <c r="I412" i="68"/>
  <c r="AJ410" i="68"/>
  <c r="BT410" i="68" s="1"/>
  <c r="G415" i="68"/>
  <c r="AC413" i="68"/>
  <c r="BM413" i="68" s="1"/>
  <c r="AS413" i="68"/>
  <c r="BB443" i="68"/>
  <c r="Q155" i="88" s="1"/>
  <c r="Q156" i="88" s="1"/>
  <c r="Z410" i="68"/>
  <c r="BJ410" i="68" s="1"/>
  <c r="AJ415" i="68"/>
  <c r="BT415" i="68" s="1"/>
  <c r="BL443" i="68"/>
  <c r="AA155" i="88" s="1"/>
  <c r="AA156" i="88" s="1"/>
  <c r="R406" i="68"/>
  <c r="BB406" i="68" s="1"/>
  <c r="AP415" i="68"/>
  <c r="G410" i="68"/>
  <c r="AA410" i="68" s="1"/>
  <c r="BK410" i="68" s="1"/>
  <c r="P410" i="68"/>
  <c r="AZ410" i="68" s="1"/>
  <c r="BQ210" i="68"/>
  <c r="AF87" i="88" s="1"/>
  <c r="AQ210" i="68"/>
  <c r="F87" i="88" s="1"/>
  <c r="W257" i="68"/>
  <c r="BG257" i="68" s="1"/>
  <c r="F257" i="68"/>
  <c r="BK227" i="68"/>
  <c r="Z88" i="88" s="1"/>
  <c r="BS227" i="68"/>
  <c r="AH88" i="88" s="1"/>
  <c r="AX252" i="68"/>
  <c r="AW252" i="68"/>
  <c r="BA223" i="68"/>
  <c r="BA227" i="68" s="1"/>
  <c r="P88" i="88" s="1"/>
  <c r="AS210" i="68"/>
  <c r="H87" i="88" s="1"/>
  <c r="BN210" i="68"/>
  <c r="AC87" i="88" s="1"/>
  <c r="BO252" i="68"/>
  <c r="BL252" i="68"/>
  <c r="BL227" i="68"/>
  <c r="AA88" i="88" s="1"/>
  <c r="BE227" i="68"/>
  <c r="T88" i="88" s="1"/>
  <c r="BV252" i="68"/>
  <c r="AT210" i="68"/>
  <c r="I87" i="88" s="1"/>
  <c r="AY210" i="68"/>
  <c r="N87" i="88" s="1"/>
  <c r="BD210" i="68"/>
  <c r="S87" i="88" s="1"/>
  <c r="V259" i="68"/>
  <c r="BF259" i="68" s="1"/>
  <c r="BU152" i="68"/>
  <c r="AJ56" i="88" s="1"/>
  <c r="AN115" i="68"/>
  <c r="C47" i="88" s="1"/>
  <c r="AG84" i="127" s="1"/>
  <c r="AQ115" i="68"/>
  <c r="F54" i="88" s="1"/>
  <c r="BR60" i="68"/>
  <c r="AG23" i="88" s="1"/>
  <c r="BO23" i="68"/>
  <c r="AD21" i="88" s="1"/>
  <c r="U38" i="68"/>
  <c r="BE38" i="68" s="1"/>
  <c r="AE37" i="68"/>
  <c r="BO37" i="68" s="1"/>
  <c r="Q38" i="68"/>
  <c r="BA38" i="68" s="1"/>
  <c r="P38" i="68"/>
  <c r="AZ38" i="68" s="1"/>
  <c r="O18" i="88"/>
  <c r="AD103" i="137"/>
  <c r="AD84" i="137"/>
  <c r="AD122" i="137"/>
  <c r="AD93" i="137"/>
  <c r="U100" i="137"/>
  <c r="U81" i="137"/>
  <c r="U119" i="137"/>
  <c r="U90" i="137"/>
  <c r="E6" i="140"/>
  <c r="F6" i="140" s="1"/>
  <c r="G6" i="140" s="1"/>
  <c r="H6" i="140" s="1"/>
  <c r="I6" i="140" s="1"/>
  <c r="J6" i="140" s="1"/>
  <c r="K6" i="140" s="1"/>
  <c r="L6" i="140" s="1"/>
  <c r="M6" i="140" s="1"/>
  <c r="N6" i="140" s="1"/>
  <c r="O6" i="140" s="1"/>
  <c r="P6" i="140" s="1"/>
  <c r="Q6" i="140" s="1"/>
  <c r="R6" i="140" s="1"/>
  <c r="S6" i="140" s="1"/>
  <c r="T6" i="140" s="1"/>
  <c r="U6" i="140" s="1"/>
  <c r="V6" i="140" s="1"/>
  <c r="W6" i="140" s="1"/>
  <c r="X6" i="140" s="1"/>
  <c r="Y6" i="140" s="1"/>
  <c r="Z6" i="140" s="1"/>
  <c r="AA6" i="140" s="1"/>
  <c r="AB6" i="140" s="1"/>
  <c r="AC6" i="140" s="1"/>
  <c r="AD6" i="140" s="1"/>
  <c r="AE6" i="140" s="1"/>
  <c r="AF6" i="140" s="1"/>
  <c r="AG6" i="140" s="1"/>
  <c r="AH6" i="140" s="1"/>
  <c r="AI6" i="140" s="1"/>
  <c r="AJ6" i="140" s="1"/>
  <c r="AK6" i="140" s="1"/>
  <c r="AL6" i="140" s="1"/>
  <c r="AM6" i="140" s="1"/>
  <c r="AN6" i="140" s="1"/>
  <c r="AO6" i="140" s="1"/>
  <c r="AP6" i="140" s="1"/>
  <c r="AQ6" i="140" s="1"/>
  <c r="AR6" i="140" s="1"/>
  <c r="AS6" i="140" s="1"/>
  <c r="AT6" i="140" s="1"/>
  <c r="AU6" i="140" s="1"/>
  <c r="AV6" i="140" s="1"/>
  <c r="AW6" i="140" s="1"/>
  <c r="AX6" i="140" s="1"/>
  <c r="AY6" i="140" s="1"/>
  <c r="AZ6" i="140" s="1"/>
  <c r="BA6" i="140" s="1"/>
  <c r="BB6" i="140" s="1"/>
  <c r="BC6" i="140" s="1"/>
  <c r="BD6" i="140" s="1"/>
  <c r="BE6" i="140" s="1"/>
  <c r="BF6" i="140" s="1"/>
  <c r="BG6" i="140" s="1"/>
  <c r="BH6" i="140" s="1"/>
  <c r="BI6" i="140" s="1"/>
  <c r="BJ6" i="140" s="1"/>
  <c r="R22" i="140"/>
  <c r="G38" i="140" s="1"/>
  <c r="BJ22" i="140"/>
  <c r="O41" i="140" s="1"/>
  <c r="Q22" i="140"/>
  <c r="F38" i="140" s="1"/>
  <c r="AX22" i="140"/>
  <c r="O40" i="140" s="1"/>
  <c r="N22" i="140"/>
  <c r="O37" i="140" s="1"/>
  <c r="AT22" i="140"/>
  <c r="K40" i="140" s="1"/>
  <c r="AH22" i="140"/>
  <c r="K39" i="140" s="1"/>
  <c r="AG22" i="140"/>
  <c r="J39" i="140" s="1"/>
  <c r="AD22" i="140"/>
  <c r="G39" i="140" s="1"/>
  <c r="AR314" i="68"/>
  <c r="AR318" i="68" s="1"/>
  <c r="G121" i="88" s="1"/>
  <c r="BU441" i="68"/>
  <c r="BU443" i="68" s="1"/>
  <c r="AJ155" i="88" s="1"/>
  <c r="AJ156" i="88" s="1"/>
  <c r="BK443" i="68"/>
  <c r="Z155" i="88" s="1"/>
  <c r="Z156" i="88" s="1"/>
  <c r="BH416" i="68"/>
  <c r="W150" i="88" s="1"/>
  <c r="AO416" i="68"/>
  <c r="D150" i="88" s="1"/>
  <c r="AQ408" i="68"/>
  <c r="P407" i="68"/>
  <c r="AZ407" i="68" s="1"/>
  <c r="AA408" i="68"/>
  <c r="BK408" i="68" s="1"/>
  <c r="AJ407" i="68"/>
  <c r="BT407" i="68" s="1"/>
  <c r="AP407" i="68"/>
  <c r="Q408" i="68"/>
  <c r="BA408" i="68" s="1"/>
  <c r="AQ407" i="68"/>
  <c r="AP409" i="68"/>
  <c r="G409" i="68"/>
  <c r="Q409" i="68" s="1"/>
  <c r="BA409" i="68" s="1"/>
  <c r="Z409" i="68"/>
  <c r="BJ409" i="68" s="1"/>
  <c r="BP399" i="68"/>
  <c r="AE149" i="88" s="1"/>
  <c r="AO399" i="68"/>
  <c r="D149" i="88" s="1"/>
  <c r="AC174" i="127"/>
  <c r="AH174" i="127"/>
  <c r="Z174" i="127"/>
  <c r="S174" i="127"/>
  <c r="W174" i="127"/>
  <c r="AJ174" i="127"/>
  <c r="V174" i="127"/>
  <c r="AF174" i="127"/>
  <c r="P174" i="127"/>
  <c r="AK174" i="127"/>
  <c r="U174" i="127"/>
  <c r="AB174" i="127"/>
  <c r="O174" i="127"/>
  <c r="AD174" i="127"/>
  <c r="AI174" i="127"/>
  <c r="C108" i="105"/>
  <c r="D107" i="105"/>
  <c r="E107" i="105" s="1"/>
  <c r="F107" i="105" s="1"/>
  <c r="D79" i="105"/>
  <c r="D80" i="105" s="1"/>
  <c r="C80" i="105"/>
  <c r="D52" i="105"/>
  <c r="E51" i="105"/>
  <c r="E52" i="105" s="1"/>
  <c r="BG152" i="68"/>
  <c r="V56" i="88" s="1"/>
  <c r="AW152" i="68"/>
  <c r="L56" i="88" s="1"/>
  <c r="BR152" i="68"/>
  <c r="AG56" i="88" s="1"/>
  <c r="AY152" i="68"/>
  <c r="N56" i="88" s="1"/>
  <c r="AX152" i="68"/>
  <c r="M56" i="88" s="1"/>
  <c r="BF152" i="68"/>
  <c r="U56" i="88" s="1"/>
  <c r="BS141" i="68"/>
  <c r="BS152" i="68" s="1"/>
  <c r="AH56" i="88" s="1"/>
  <c r="F62" i="88"/>
  <c r="Y84" i="127"/>
  <c r="AI84" i="127"/>
  <c r="BL115" i="68"/>
  <c r="AA54" i="88" s="1"/>
  <c r="BI115" i="68"/>
  <c r="X54" i="88" s="1"/>
  <c r="G62" i="88"/>
  <c r="AT115" i="68"/>
  <c r="I54" i="88" s="1"/>
  <c r="D62" i="88"/>
  <c r="E98" i="127"/>
  <c r="AW115" i="68"/>
  <c r="L54" i="88" s="1"/>
  <c r="BU115" i="68"/>
  <c r="AJ54" i="88" s="1"/>
  <c r="I62" i="88"/>
  <c r="H62" i="88"/>
  <c r="K62" i="88"/>
  <c r="E62" i="88"/>
  <c r="F98" i="127"/>
  <c r="J62" i="88"/>
  <c r="AC130" i="68"/>
  <c r="BM130" i="68" s="1"/>
  <c r="BE318" i="68"/>
  <c r="T121" i="88" s="1"/>
  <c r="BD318" i="68"/>
  <c r="S121" i="88" s="1"/>
  <c r="AN318" i="68"/>
  <c r="C114" i="88" s="1"/>
  <c r="P147" i="127" s="1"/>
  <c r="K174" i="127"/>
  <c r="J33" i="87"/>
  <c r="K74" i="87" s="1"/>
  <c r="L74" i="87" s="1"/>
  <c r="M74" i="87" s="1"/>
  <c r="N74" i="87" s="1"/>
  <c r="O74" i="87" s="1"/>
  <c r="P74" i="87" s="1"/>
  <c r="Q74" i="87" s="1"/>
  <c r="R74" i="87" s="1"/>
  <c r="S74" i="87" s="1"/>
  <c r="T74" i="87" s="1"/>
  <c r="U74" i="87" s="1"/>
  <c r="V74" i="87" s="1"/>
  <c r="W74" i="87" s="1"/>
  <c r="X74" i="87" s="1"/>
  <c r="Y74" i="87" s="1"/>
  <c r="Z74" i="87" s="1"/>
  <c r="AA74" i="87" s="1"/>
  <c r="AB74" i="87" s="1"/>
  <c r="AC74" i="87" s="1"/>
  <c r="AD74" i="87" s="1"/>
  <c r="AE74" i="87" s="1"/>
  <c r="AF74" i="87" s="1"/>
  <c r="AG74" i="87" s="1"/>
  <c r="AH74" i="87" s="1"/>
  <c r="AI74" i="87" s="1"/>
  <c r="AJ74" i="87" s="1"/>
  <c r="AK74" i="87" s="1"/>
  <c r="AG297" i="127"/>
  <c r="R266" i="127"/>
  <c r="AI297" i="127"/>
  <c r="AG266" i="127"/>
  <c r="AB297" i="127"/>
  <c r="AH266" i="127"/>
  <c r="K266" i="127"/>
  <c r="J174" i="127"/>
  <c r="H34" i="87"/>
  <c r="I81" i="87" s="1"/>
  <c r="J81" i="87" s="1"/>
  <c r="K81" i="87" s="1"/>
  <c r="L81" i="87" s="1"/>
  <c r="M81" i="87" s="1"/>
  <c r="N81" i="87" s="1"/>
  <c r="O81" i="87" s="1"/>
  <c r="P81" i="87" s="1"/>
  <c r="Q81" i="87" s="1"/>
  <c r="E33" i="87"/>
  <c r="AI38" i="68"/>
  <c r="BS38" i="68" s="1"/>
  <c r="BL60" i="68"/>
  <c r="AA23" i="88" s="1"/>
  <c r="BT60" i="68"/>
  <c r="AI23" i="88" s="1"/>
  <c r="BM60" i="68"/>
  <c r="AB23" i="88" s="1"/>
  <c r="AX60" i="68"/>
  <c r="M23" i="88" s="1"/>
  <c r="BB60" i="68"/>
  <c r="Q23" i="88" s="1"/>
  <c r="BK60" i="68"/>
  <c r="Z23" i="88" s="1"/>
  <c r="Z49" i="127"/>
  <c r="T49" i="127"/>
  <c r="X49" i="127"/>
  <c r="R49" i="127"/>
  <c r="AE49" i="127"/>
  <c r="Y49" i="127"/>
  <c r="AC49" i="127"/>
  <c r="AJ49" i="127"/>
  <c r="AN70" i="68"/>
  <c r="C12" i="88" s="1"/>
  <c r="R51" i="127" s="1"/>
  <c r="F29" i="88"/>
  <c r="AD297" i="127"/>
  <c r="X297" i="127"/>
  <c r="Z297" i="127"/>
  <c r="T297" i="127"/>
  <c r="S297" i="127"/>
  <c r="U297" i="127"/>
  <c r="AC266" i="127"/>
  <c r="R297" i="127"/>
  <c r="AJ266" i="127"/>
  <c r="K297" i="127"/>
  <c r="J297" i="127"/>
  <c r="AD298" i="127"/>
  <c r="C18" i="87"/>
  <c r="S235" i="127" s="1"/>
  <c r="X266" i="127"/>
  <c r="K204" i="127"/>
  <c r="AK204" i="127"/>
  <c r="T204" i="127"/>
  <c r="J31" i="87"/>
  <c r="K56" i="87" s="1"/>
  <c r="G31" i="87"/>
  <c r="H53" i="87" s="1"/>
  <c r="I53" i="87" s="1"/>
  <c r="J53" i="87" s="1"/>
  <c r="K53" i="87" s="1"/>
  <c r="L53" i="87" s="1"/>
  <c r="M53" i="87" s="1"/>
  <c r="N53" i="87" s="1"/>
  <c r="O53" i="87" s="1"/>
  <c r="P53" i="87" s="1"/>
  <c r="D174" i="127"/>
  <c r="AF298" i="127"/>
  <c r="K298" i="127"/>
  <c r="Z298" i="127"/>
  <c r="T266" i="127"/>
  <c r="W204" i="127"/>
  <c r="AG204" i="127"/>
  <c r="P204" i="127"/>
  <c r="AE297" i="127"/>
  <c r="AC297" i="127"/>
  <c r="W297" i="127"/>
  <c r="Y297" i="127"/>
  <c r="V297" i="127"/>
  <c r="P297" i="127"/>
  <c r="D297" i="127"/>
  <c r="O297" i="127"/>
  <c r="Q297" i="127"/>
  <c r="J204" i="127"/>
  <c r="Q298" i="127"/>
  <c r="AB298" i="127"/>
  <c r="AK297" i="127"/>
  <c r="S266" i="127"/>
  <c r="AH204" i="127"/>
  <c r="U38" i="87"/>
  <c r="V38" i="87" s="1"/>
  <c r="W38" i="87" s="1"/>
  <c r="X38" i="87" s="1"/>
  <c r="Y38" i="87" s="1"/>
  <c r="Z38" i="87" s="1"/>
  <c r="AA38" i="87" s="1"/>
  <c r="AB38" i="87" s="1"/>
  <c r="AC38" i="87" s="1"/>
  <c r="AD38" i="87" s="1"/>
  <c r="AE38" i="87" s="1"/>
  <c r="AF38" i="87" s="1"/>
  <c r="AG38" i="87" s="1"/>
  <c r="AH38" i="87" s="1"/>
  <c r="AI38" i="87" s="1"/>
  <c r="AJ38" i="87" s="1"/>
  <c r="AK38" i="87" s="1"/>
  <c r="W266" i="127"/>
  <c r="J266" i="127"/>
  <c r="E47" i="87"/>
  <c r="F47" i="87" s="1"/>
  <c r="M32" i="87"/>
  <c r="N68" i="87" s="1"/>
  <c r="O68" i="87" s="1"/>
  <c r="P68" i="87" s="1"/>
  <c r="Q68" i="87" s="1"/>
  <c r="R68" i="87" s="1"/>
  <c r="S68" i="87" s="1"/>
  <c r="T68" i="87" s="1"/>
  <c r="U68" i="87" s="1"/>
  <c r="V68" i="87" s="1"/>
  <c r="W68" i="87" s="1"/>
  <c r="X68" i="87" s="1"/>
  <c r="Y68" i="87" s="1"/>
  <c r="Z68" i="87" s="1"/>
  <c r="AA68" i="87" s="1"/>
  <c r="AB68" i="87" s="1"/>
  <c r="AC68" i="87" s="1"/>
  <c r="AD68" i="87" s="1"/>
  <c r="AE68" i="87" s="1"/>
  <c r="AF68" i="87" s="1"/>
  <c r="AG68" i="87" s="1"/>
  <c r="AH68" i="87" s="1"/>
  <c r="AI68" i="87" s="1"/>
  <c r="AJ68" i="87" s="1"/>
  <c r="AK68" i="87" s="1"/>
  <c r="I32" i="87"/>
  <c r="J64" i="87" s="1"/>
  <c r="K64" i="87" s="1"/>
  <c r="L64" i="87" s="1"/>
  <c r="M64" i="87" s="1"/>
  <c r="N64" i="87" s="1"/>
  <c r="O64" i="87" s="1"/>
  <c r="P64" i="87" s="1"/>
  <c r="Q64" i="87" s="1"/>
  <c r="R64" i="87" s="1"/>
  <c r="S64" i="87" s="1"/>
  <c r="T64" i="87" s="1"/>
  <c r="U64" i="87" s="1"/>
  <c r="V64" i="87" s="1"/>
  <c r="W64" i="87" s="1"/>
  <c r="X64" i="87" s="1"/>
  <c r="Y64" i="87" s="1"/>
  <c r="Z64" i="87" s="1"/>
  <c r="AA64" i="87" s="1"/>
  <c r="AB64" i="87" s="1"/>
  <c r="AC64" i="87" s="1"/>
  <c r="AD64" i="87" s="1"/>
  <c r="AE64" i="87" s="1"/>
  <c r="AF64" i="87" s="1"/>
  <c r="AG64" i="87" s="1"/>
  <c r="AH64" i="87" s="1"/>
  <c r="AI64" i="87" s="1"/>
  <c r="AJ64" i="87" s="1"/>
  <c r="AK64" i="87" s="1"/>
  <c r="E45" i="87"/>
  <c r="E46" i="87" s="1"/>
  <c r="F45" i="87"/>
  <c r="G45" i="87" s="1"/>
  <c r="D45" i="87"/>
  <c r="AI266" i="127"/>
  <c r="AK266" i="127"/>
  <c r="AB266" i="127"/>
  <c r="D43" i="87"/>
  <c r="F43" i="87"/>
  <c r="E43" i="87"/>
  <c r="E44" i="87" s="1"/>
  <c r="K34" i="87"/>
  <c r="H32" i="87"/>
  <c r="I63" i="87" s="1"/>
  <c r="J63" i="87" s="1"/>
  <c r="K63" i="87" s="1"/>
  <c r="L63" i="87" s="1"/>
  <c r="M63" i="87" s="1"/>
  <c r="N63" i="87" s="1"/>
  <c r="O63" i="87" s="1"/>
  <c r="P63" i="87" s="1"/>
  <c r="Q63" i="87" s="1"/>
  <c r="AE266" i="127"/>
  <c r="AD266" i="127"/>
  <c r="Y266" i="127"/>
  <c r="P266" i="127"/>
  <c r="AH298" i="127"/>
  <c r="E34" i="87"/>
  <c r="O266" i="127"/>
  <c r="Z266" i="127"/>
  <c r="U266" i="127"/>
  <c r="L266" i="127"/>
  <c r="M33" i="87"/>
  <c r="N77" i="87" s="1"/>
  <c r="O77" i="87" s="1"/>
  <c r="P77" i="87" s="1"/>
  <c r="Q77" i="87" s="1"/>
  <c r="R77" i="87" s="1"/>
  <c r="S77" i="87" s="1"/>
  <c r="T77" i="87" s="1"/>
  <c r="U77" i="87" s="1"/>
  <c r="V77" i="87" s="1"/>
  <c r="W77" i="87" s="1"/>
  <c r="X77" i="87" s="1"/>
  <c r="Y77" i="87" s="1"/>
  <c r="Z77" i="87" s="1"/>
  <c r="AA77" i="87" s="1"/>
  <c r="AB77" i="87" s="1"/>
  <c r="AC77" i="87" s="1"/>
  <c r="AD77" i="87" s="1"/>
  <c r="AE77" i="87" s="1"/>
  <c r="AF77" i="87" s="1"/>
  <c r="AG77" i="87" s="1"/>
  <c r="AH77" i="87" s="1"/>
  <c r="AI77" i="87" s="1"/>
  <c r="AJ77" i="87" s="1"/>
  <c r="AK77" i="87" s="1"/>
  <c r="L31" i="87"/>
  <c r="M58" i="87" s="1"/>
  <c r="AA266" i="127"/>
  <c r="V266" i="127"/>
  <c r="Q266" i="127"/>
  <c r="J173" i="127"/>
  <c r="K31" i="87"/>
  <c r="L57" i="87" s="1"/>
  <c r="M57" i="87" s="1"/>
  <c r="A7" i="135"/>
  <c r="N204" i="127"/>
  <c r="H31" i="87"/>
  <c r="I54" i="87" s="1"/>
  <c r="H33" i="87"/>
  <c r="I72" i="87" s="1"/>
  <c r="J72" i="87" s="1"/>
  <c r="K72" i="87" s="1"/>
  <c r="L72" i="87" s="1"/>
  <c r="M72" i="87" s="1"/>
  <c r="N72" i="87" s="1"/>
  <c r="O72" i="87" s="1"/>
  <c r="P72" i="87" s="1"/>
  <c r="Q72" i="87" s="1"/>
  <c r="R72" i="87" s="1"/>
  <c r="S72" i="87" s="1"/>
  <c r="T72" i="87" s="1"/>
  <c r="U72" i="87" s="1"/>
  <c r="V72" i="87" s="1"/>
  <c r="W72" i="87" s="1"/>
  <c r="X72" i="87" s="1"/>
  <c r="Y72" i="87" s="1"/>
  <c r="Z72" i="87" s="1"/>
  <c r="AA72" i="87" s="1"/>
  <c r="AB72" i="87" s="1"/>
  <c r="AC72" i="87" s="1"/>
  <c r="AD72" i="87" s="1"/>
  <c r="AE72" i="87" s="1"/>
  <c r="AF72" i="87" s="1"/>
  <c r="AG72" i="87" s="1"/>
  <c r="AH72" i="87" s="1"/>
  <c r="AI72" i="87" s="1"/>
  <c r="AJ72" i="87" s="1"/>
  <c r="AK72" i="87" s="1"/>
  <c r="N31" i="87"/>
  <c r="O60" i="87" s="1"/>
  <c r="P60" i="87" s="1"/>
  <c r="Q60" i="87" s="1"/>
  <c r="R60" i="87" s="1"/>
  <c r="S60" i="87" s="1"/>
  <c r="T60" i="87" s="1"/>
  <c r="U60" i="87" s="1"/>
  <c r="V60" i="87" s="1"/>
  <c r="W60" i="87" s="1"/>
  <c r="X60" i="87" s="1"/>
  <c r="Y60" i="87" s="1"/>
  <c r="Z60" i="87" s="1"/>
  <c r="AA60" i="87" s="1"/>
  <c r="AB60" i="87" s="1"/>
  <c r="AC60" i="87" s="1"/>
  <c r="AD60" i="87" s="1"/>
  <c r="AE60" i="87" s="1"/>
  <c r="AF60" i="87" s="1"/>
  <c r="AG60" i="87" s="1"/>
  <c r="AH60" i="87" s="1"/>
  <c r="AI60" i="87" s="1"/>
  <c r="AJ60" i="87" s="1"/>
  <c r="AK60" i="87" s="1"/>
  <c r="N174" i="127"/>
  <c r="N173" i="127"/>
  <c r="N32" i="87"/>
  <c r="O69" i="87" s="1"/>
  <c r="N266" i="127"/>
  <c r="N33" i="87"/>
  <c r="N297" i="127"/>
  <c r="N34" i="87"/>
  <c r="O87" i="87" s="1"/>
  <c r="BL318" i="68"/>
  <c r="AA121" i="88" s="1"/>
  <c r="BV318" i="68"/>
  <c r="AK121" i="88" s="1"/>
  <c r="BN318" i="68"/>
  <c r="AC121" i="88" s="1"/>
  <c r="AV318" i="68"/>
  <c r="K121" i="88" s="1"/>
  <c r="BK284" i="68"/>
  <c r="BR318" i="68"/>
  <c r="AG121" i="88" s="1"/>
  <c r="AT314" i="68"/>
  <c r="AT318" i="68" s="1"/>
  <c r="I121" i="88" s="1"/>
  <c r="BP313" i="68"/>
  <c r="BP318" i="68" s="1"/>
  <c r="AE121" i="88" s="1"/>
  <c r="BJ318" i="68"/>
  <c r="Y121" i="88" s="1"/>
  <c r="BH318" i="68"/>
  <c r="W121" i="88" s="1"/>
  <c r="AP318" i="68"/>
  <c r="E121" i="88" s="1"/>
  <c r="K38" i="104"/>
  <c r="C102" i="105" s="1"/>
  <c r="D102" i="105" s="1"/>
  <c r="E102" i="105" s="1"/>
  <c r="F102" i="105" s="1"/>
  <c r="G102" i="105" s="1"/>
  <c r="H102" i="105" s="1"/>
  <c r="I102" i="105" s="1"/>
  <c r="J102" i="105" s="1"/>
  <c r="K102" i="105" s="1"/>
  <c r="L102" i="105" s="1"/>
  <c r="M102" i="105" s="1"/>
  <c r="N102" i="105" s="1"/>
  <c r="O102" i="105" s="1"/>
  <c r="P102" i="105" s="1"/>
  <c r="Q102" i="105" s="1"/>
  <c r="R102" i="105" s="1"/>
  <c r="S102" i="105" s="1"/>
  <c r="T102" i="105" s="1"/>
  <c r="U102" i="105" s="1"/>
  <c r="V102" i="105" s="1"/>
  <c r="W102" i="105" s="1"/>
  <c r="X102" i="105" s="1"/>
  <c r="Y102" i="105" s="1"/>
  <c r="I38" i="104"/>
  <c r="C74" i="105" s="1"/>
  <c r="D74" i="105" s="1"/>
  <c r="E74" i="105" s="1"/>
  <c r="F74" i="105" s="1"/>
  <c r="G74" i="105" s="1"/>
  <c r="H74" i="105" s="1"/>
  <c r="I74" i="105" s="1"/>
  <c r="R298" i="127"/>
  <c r="K19" i="104"/>
  <c r="C100" i="105" s="1"/>
  <c r="D100" i="105" s="1"/>
  <c r="X298" i="127"/>
  <c r="V298" i="127"/>
  <c r="N298" i="127"/>
  <c r="AK298" i="127"/>
  <c r="T298" i="127"/>
  <c r="AE298" i="127"/>
  <c r="J298" i="127"/>
  <c r="D298" i="127"/>
  <c r="AG298" i="127"/>
  <c r="AA298" i="127"/>
  <c r="AC298" i="127"/>
  <c r="W298" i="127"/>
  <c r="E23" i="105"/>
  <c r="Y298" i="127"/>
  <c r="S298" i="127"/>
  <c r="U298" i="127"/>
  <c r="AJ298" i="127"/>
  <c r="O298" i="127"/>
  <c r="C109" i="88"/>
  <c r="AN342" i="68"/>
  <c r="C111" i="88" s="1"/>
  <c r="V144" i="127" s="1"/>
  <c r="BJ227" i="68"/>
  <c r="Y88" i="88" s="1"/>
  <c r="AI37" i="68"/>
  <c r="BS37" i="68" s="1"/>
  <c r="AU37" i="68"/>
  <c r="W37" i="68"/>
  <c r="BG37" i="68" s="1"/>
  <c r="AO37" i="68"/>
  <c r="AC37" i="68"/>
  <c r="BM37" i="68" s="1"/>
  <c r="Q37" i="68"/>
  <c r="BA37" i="68" s="1"/>
  <c r="BL210" i="68"/>
  <c r="AA87" i="88" s="1"/>
  <c r="BR227" i="68"/>
  <c r="AG88" i="88" s="1"/>
  <c r="BR115" i="68"/>
  <c r="AG54" i="88" s="1"/>
  <c r="BC115" i="68"/>
  <c r="R54" i="88" s="1"/>
  <c r="BD44" i="68"/>
  <c r="S22" i="88" s="1"/>
  <c r="AR60" i="68"/>
  <c r="G23" i="88" s="1"/>
  <c r="BB210" i="68"/>
  <c r="Q87" i="88" s="1"/>
  <c r="BB152" i="68"/>
  <c r="Q56" i="88" s="1"/>
  <c r="AF49" i="127"/>
  <c r="Q49" i="127"/>
  <c r="BC23" i="68"/>
  <c r="R21" i="88" s="1"/>
  <c r="AI49" i="127"/>
  <c r="O49" i="127"/>
  <c r="W49" i="127"/>
  <c r="BO210" i="68"/>
  <c r="AD87" i="88" s="1"/>
  <c r="BU227" i="68"/>
  <c r="AJ88" i="88" s="1"/>
  <c r="S49" i="127"/>
  <c r="AW227" i="68"/>
  <c r="L88" i="88" s="1"/>
  <c r="BM252" i="68"/>
  <c r="BB318" i="68"/>
  <c r="Q121" i="88" s="1"/>
  <c r="AR23" i="68"/>
  <c r="G21" i="88" s="1"/>
  <c r="AA49" i="127"/>
  <c r="P49" i="127"/>
  <c r="AK49" i="127"/>
  <c r="V49" i="127"/>
  <c r="AD49" i="127"/>
  <c r="AE84" i="127"/>
  <c r="AJ84" i="127"/>
  <c r="BN152" i="68"/>
  <c r="AC56" i="88" s="1"/>
  <c r="BP152" i="68"/>
  <c r="AE56" i="88" s="1"/>
  <c r="AH49" i="127"/>
  <c r="U49" i="127"/>
  <c r="AX44" i="68"/>
  <c r="M22" i="88" s="1"/>
  <c r="BN227" i="68"/>
  <c r="AC88" i="88" s="1"/>
  <c r="BV210" i="68"/>
  <c r="AK87" i="88" s="1"/>
  <c r="V111" i="127"/>
  <c r="S111" i="127"/>
  <c r="AK111" i="127"/>
  <c r="R111" i="127"/>
  <c r="P111" i="127"/>
  <c r="AH111" i="127"/>
  <c r="AB111" i="127"/>
  <c r="T111" i="127"/>
  <c r="U111" i="127"/>
  <c r="AD111" i="127"/>
  <c r="X111" i="127"/>
  <c r="Q111" i="127"/>
  <c r="AC111" i="127"/>
  <c r="W111" i="127"/>
  <c r="BE152" i="68"/>
  <c r="T56" i="88" s="1"/>
  <c r="AG49" i="127"/>
  <c r="AB49" i="127"/>
  <c r="AY416" i="68"/>
  <c r="N150" i="88" s="1"/>
  <c r="BG252" i="68"/>
  <c r="AU318" i="68"/>
  <c r="J121" i="88" s="1"/>
  <c r="AX387" i="68"/>
  <c r="M148" i="88" s="1"/>
  <c r="AY387" i="68"/>
  <c r="N148" i="88" s="1"/>
  <c r="BR210" i="68"/>
  <c r="AG87" i="88" s="1"/>
  <c r="BO115" i="68"/>
  <c r="AD54" i="88" s="1"/>
  <c r="BD60" i="68"/>
  <c r="S23" i="88" s="1"/>
  <c r="BA210" i="68"/>
  <c r="P87" i="88" s="1"/>
  <c r="AN210" i="68"/>
  <c r="C80" i="88" s="1"/>
  <c r="G411" i="68"/>
  <c r="P411" i="68"/>
  <c r="AZ411" i="68" s="1"/>
  <c r="AJ411" i="68"/>
  <c r="BT411" i="68" s="1"/>
  <c r="AP411" i="68"/>
  <c r="AN60" i="68"/>
  <c r="C16" i="88" s="1"/>
  <c r="BO227" i="68"/>
  <c r="AD88" i="88" s="1"/>
  <c r="BP227" i="68"/>
  <c r="AE88" i="88" s="1"/>
  <c r="AW399" i="68"/>
  <c r="L149" i="88" s="1"/>
  <c r="AU38" i="68"/>
  <c r="AT129" i="68"/>
  <c r="V129" i="68"/>
  <c r="BF129" i="68" s="1"/>
  <c r="AH129" i="68"/>
  <c r="BR129" i="68" s="1"/>
  <c r="BT90" i="68"/>
  <c r="AI28" i="88" s="1"/>
  <c r="AI29" i="88" s="1"/>
  <c r="BH90" i="68"/>
  <c r="W28" i="88" s="1"/>
  <c r="W29" i="88" s="1"/>
  <c r="BL90" i="68"/>
  <c r="AA28" i="88" s="1"/>
  <c r="AA29" i="88" s="1"/>
  <c r="AZ90" i="68"/>
  <c r="O28" i="88" s="1"/>
  <c r="O29" i="88" s="1"/>
  <c r="BO318" i="68"/>
  <c r="AD121" i="88" s="1"/>
  <c r="AS318" i="68"/>
  <c r="H121" i="88" s="1"/>
  <c r="BG227" i="68"/>
  <c r="V88" i="88" s="1"/>
  <c r="BM227" i="68"/>
  <c r="AB88" i="88" s="1"/>
  <c r="BC210" i="68"/>
  <c r="R87" i="88" s="1"/>
  <c r="H409" i="68"/>
  <c r="AK259" i="68"/>
  <c r="BU259" i="68" s="1"/>
  <c r="BC259" i="68"/>
  <c r="AC259" i="68"/>
  <c r="BM259" i="68" s="1"/>
  <c r="AU259" i="68"/>
  <c r="AO252" i="68"/>
  <c r="AB147" i="68"/>
  <c r="BL147" i="68" s="1"/>
  <c r="AN147" i="68"/>
  <c r="BG90" i="68"/>
  <c r="V28" i="88" s="1"/>
  <c r="V29" i="88" s="1"/>
  <c r="BS90" i="68"/>
  <c r="AH28" i="88" s="1"/>
  <c r="AH29" i="88" s="1"/>
  <c r="BF318" i="68"/>
  <c r="U121" i="88" s="1"/>
  <c r="BT227" i="68"/>
  <c r="AI88" i="88" s="1"/>
  <c r="AZ314" i="68"/>
  <c r="AZ318" i="68" s="1"/>
  <c r="O121" i="88" s="1"/>
  <c r="H407" i="68"/>
  <c r="I407" i="68" s="1"/>
  <c r="Q407" i="68"/>
  <c r="BA407" i="68" s="1"/>
  <c r="AK407" i="68"/>
  <c r="BU407" i="68" s="1"/>
  <c r="AJ259" i="68"/>
  <c r="BT259" i="68" s="1"/>
  <c r="BB259" i="68"/>
  <c r="BC318" i="68"/>
  <c r="R121" i="88" s="1"/>
  <c r="BF115" i="68"/>
  <c r="U54" i="88" s="1"/>
  <c r="AX227" i="68"/>
  <c r="M88" i="88" s="1"/>
  <c r="AN424" i="68"/>
  <c r="C144" i="88" s="1"/>
  <c r="BI210" i="68"/>
  <c r="X87" i="88" s="1"/>
  <c r="AO130" i="68"/>
  <c r="BE210" i="68"/>
  <c r="T87" i="88" s="1"/>
  <c r="BQ169" i="68"/>
  <c r="AG314" i="68"/>
  <c r="BQ314" i="68" s="1"/>
  <c r="AY314" i="68"/>
  <c r="AY318" i="68" s="1"/>
  <c r="N121" i="88" s="1"/>
  <c r="AD259" i="68"/>
  <c r="BN259" i="68" s="1"/>
  <c r="AV259" i="68"/>
  <c r="AP227" i="68"/>
  <c r="E88" i="88" s="1"/>
  <c r="AR252" i="68"/>
  <c r="BI441" i="68"/>
  <c r="AY443" i="68"/>
  <c r="N155" i="88" s="1"/>
  <c r="N156" i="88" s="1"/>
  <c r="Q413" i="68"/>
  <c r="BA413" i="68" s="1"/>
  <c r="AK413" i="68"/>
  <c r="BU413" i="68" s="1"/>
  <c r="AA413" i="68"/>
  <c r="BK413" i="68" s="1"/>
  <c r="BH441" i="68"/>
  <c r="AX443" i="68"/>
  <c r="M155" i="88" s="1"/>
  <c r="M156" i="88" s="1"/>
  <c r="AW413" i="68"/>
  <c r="AG413" i="68"/>
  <c r="BQ413" i="68" s="1"/>
  <c r="AG223" i="68"/>
  <c r="BQ223" i="68" s="1"/>
  <c r="BQ227" i="68" s="1"/>
  <c r="AF88" i="88" s="1"/>
  <c r="AY223" i="68"/>
  <c r="AY227" i="68" s="1"/>
  <c r="N88" i="88" s="1"/>
  <c r="AN162" i="68"/>
  <c r="C45" i="88" s="1"/>
  <c r="BQ105" i="68"/>
  <c r="AI314" i="68"/>
  <c r="BS314" i="68" s="1"/>
  <c r="BS318" i="68" s="1"/>
  <c r="AH121" i="88" s="1"/>
  <c r="BA314" i="68"/>
  <c r="BA318" i="68" s="1"/>
  <c r="P121" i="88" s="1"/>
  <c r="BG289" i="68"/>
  <c r="BH329" i="68"/>
  <c r="BU314" i="68"/>
  <c r="R130" i="68"/>
  <c r="BB130" i="68" s="1"/>
  <c r="BO295" i="68"/>
  <c r="BG200" i="68"/>
  <c r="BM310" i="68"/>
  <c r="BM318" i="68" s="1"/>
  <c r="AB121" i="88" s="1"/>
  <c r="BR235" i="68"/>
  <c r="BK9" i="68"/>
  <c r="BU197" i="68"/>
  <c r="BU434" i="68"/>
  <c r="BU312" i="68"/>
  <c r="BP283" i="68"/>
  <c r="BI132" i="68"/>
  <c r="AW273" i="68"/>
  <c r="L94" i="88" s="1"/>
  <c r="L95" i="88" s="1"/>
  <c r="BC273" i="68"/>
  <c r="R94" i="88" s="1"/>
  <c r="R95" i="88" s="1"/>
  <c r="AV273" i="68"/>
  <c r="K94" i="88" s="1"/>
  <c r="K95" i="88" s="1"/>
  <c r="BP273" i="68"/>
  <c r="AE94" i="88" s="1"/>
  <c r="AE95" i="88" s="1"/>
  <c r="AX273" i="68"/>
  <c r="M94" i="88" s="1"/>
  <c r="M95" i="88" s="1"/>
  <c r="BG273" i="68"/>
  <c r="V94" i="88" s="1"/>
  <c r="V95" i="88" s="1"/>
  <c r="C29" i="88"/>
  <c r="D26" i="127"/>
  <c r="BG22" i="140"/>
  <c r="L41" i="140" s="1"/>
  <c r="AQ22" i="140"/>
  <c r="H40" i="140" s="1"/>
  <c r="AA22" i="140"/>
  <c r="D39" i="140" s="1"/>
  <c r="K22" i="140"/>
  <c r="L37" i="140" s="1"/>
  <c r="BF22" i="140"/>
  <c r="K41" i="140" s="1"/>
  <c r="AP22" i="140"/>
  <c r="G40" i="140" s="1"/>
  <c r="Z22" i="140"/>
  <c r="O38" i="140" s="1"/>
  <c r="J22" i="140"/>
  <c r="K37" i="140" s="1"/>
  <c r="BE22" i="140"/>
  <c r="J41" i="140" s="1"/>
  <c r="AO22" i="140"/>
  <c r="F40" i="140" s="1"/>
  <c r="Y22" i="140"/>
  <c r="N38" i="140" s="1"/>
  <c r="I22" i="140"/>
  <c r="J37" i="140" s="1"/>
  <c r="BB22" i="140"/>
  <c r="G41" i="140" s="1"/>
  <c r="AL22" i="140"/>
  <c r="O39" i="140" s="1"/>
  <c r="V22" i="140"/>
  <c r="K38" i="140" s="1"/>
  <c r="F22" i="140"/>
  <c r="G37" i="140" s="1"/>
  <c r="AY22" i="140"/>
  <c r="D41" i="140" s="1"/>
  <c r="AI22" i="140"/>
  <c r="L39" i="140" s="1"/>
  <c r="S22" i="140"/>
  <c r="H38" i="140" s="1"/>
  <c r="C22" i="140"/>
  <c r="M34" i="87"/>
  <c r="J32" i="87"/>
  <c r="G32" i="87"/>
  <c r="H62" i="87" s="1"/>
  <c r="J34" i="87"/>
  <c r="K33" i="87"/>
  <c r="M298" i="127"/>
  <c r="I34" i="87"/>
  <c r="J82" i="87" s="1"/>
  <c r="K82" i="87" s="1"/>
  <c r="L82" i="87" s="1"/>
  <c r="M82" i="87" s="1"/>
  <c r="N82" i="87" s="1"/>
  <c r="O82" i="87" s="1"/>
  <c r="P82" i="87" s="1"/>
  <c r="Q82" i="87" s="1"/>
  <c r="R82" i="87" s="1"/>
  <c r="S82" i="87" s="1"/>
  <c r="T82" i="87" s="1"/>
  <c r="U82" i="87" s="1"/>
  <c r="V82" i="87" s="1"/>
  <c r="W82" i="87" s="1"/>
  <c r="X82" i="87" s="1"/>
  <c r="Y82" i="87" s="1"/>
  <c r="Z82" i="87" s="1"/>
  <c r="AA82" i="87" s="1"/>
  <c r="AB82" i="87" s="1"/>
  <c r="AC82" i="87" s="1"/>
  <c r="AD82" i="87" s="1"/>
  <c r="AE82" i="87" s="1"/>
  <c r="AF82" i="87" s="1"/>
  <c r="AG82" i="87" s="1"/>
  <c r="AH82" i="87" s="1"/>
  <c r="AI82" i="87" s="1"/>
  <c r="AJ82" i="87" s="1"/>
  <c r="AK82" i="87" s="1"/>
  <c r="M31" i="87"/>
  <c r="N59" i="87" s="1"/>
  <c r="O59" i="87" s="1"/>
  <c r="P59" i="87" s="1"/>
  <c r="Q59" i="87" s="1"/>
  <c r="R59" i="87" s="1"/>
  <c r="S59" i="87" s="1"/>
  <c r="T59" i="87" s="1"/>
  <c r="U59" i="87" s="1"/>
  <c r="V59" i="87" s="1"/>
  <c r="W59" i="87" s="1"/>
  <c r="X59" i="87" s="1"/>
  <c r="Y59" i="87" s="1"/>
  <c r="Z59" i="87" s="1"/>
  <c r="AA59" i="87" s="1"/>
  <c r="AB59" i="87" s="1"/>
  <c r="AC59" i="87" s="1"/>
  <c r="AD59" i="87" s="1"/>
  <c r="AE59" i="87" s="1"/>
  <c r="AF59" i="87" s="1"/>
  <c r="AG59" i="87" s="1"/>
  <c r="AH59" i="87" s="1"/>
  <c r="AI59" i="87" s="1"/>
  <c r="AJ59" i="87" s="1"/>
  <c r="AK59" i="87" s="1"/>
  <c r="G33" i="87"/>
  <c r="H71" i="87" s="1"/>
  <c r="I71" i="87" s="1"/>
  <c r="J71" i="87" s="1"/>
  <c r="K71" i="87" s="1"/>
  <c r="L71" i="87" s="1"/>
  <c r="M71" i="87" s="1"/>
  <c r="N71" i="87" s="1"/>
  <c r="O71" i="87" s="1"/>
  <c r="G34" i="87"/>
  <c r="H80" i="87" s="1"/>
  <c r="D99" i="127"/>
  <c r="L174" i="127"/>
  <c r="L173" i="127"/>
  <c r="I31" i="87"/>
  <c r="J55" i="87" s="1"/>
  <c r="K55" i="87" s="1"/>
  <c r="L55" i="87" s="1"/>
  <c r="M55" i="87" s="1"/>
  <c r="N55" i="87" s="1"/>
  <c r="O55" i="87" s="1"/>
  <c r="P55" i="87" s="1"/>
  <c r="Q55" i="87" s="1"/>
  <c r="R55" i="87" s="1"/>
  <c r="S55" i="87" s="1"/>
  <c r="T55" i="87" s="1"/>
  <c r="U55" i="87" s="1"/>
  <c r="V55" i="87" s="1"/>
  <c r="W55" i="87" s="1"/>
  <c r="X55" i="87" s="1"/>
  <c r="Y55" i="87" s="1"/>
  <c r="Z55" i="87" s="1"/>
  <c r="AA55" i="87" s="1"/>
  <c r="AB55" i="87" s="1"/>
  <c r="AC55" i="87" s="1"/>
  <c r="AD55" i="87" s="1"/>
  <c r="AE55" i="87" s="1"/>
  <c r="AF55" i="87" s="1"/>
  <c r="AG55" i="87" s="1"/>
  <c r="AH55" i="87" s="1"/>
  <c r="AI55" i="87" s="1"/>
  <c r="AJ55" i="87" s="1"/>
  <c r="AK55" i="87" s="1"/>
  <c r="L33" i="87"/>
  <c r="M76" i="87" s="1"/>
  <c r="N76" i="87" s="1"/>
  <c r="O76" i="87" s="1"/>
  <c r="P76" i="87" s="1"/>
  <c r="Q76" i="87" s="1"/>
  <c r="R76" i="87" s="1"/>
  <c r="S76" i="87" s="1"/>
  <c r="T76" i="87" s="1"/>
  <c r="U76" i="87" s="1"/>
  <c r="V76" i="87" s="1"/>
  <c r="W76" i="87" s="1"/>
  <c r="X76" i="87" s="1"/>
  <c r="Y76" i="87" s="1"/>
  <c r="Z76" i="87" s="1"/>
  <c r="AA76" i="87" s="1"/>
  <c r="AB76" i="87" s="1"/>
  <c r="AC76" i="87" s="1"/>
  <c r="AD76" i="87" s="1"/>
  <c r="AE76" i="87" s="1"/>
  <c r="AF76" i="87" s="1"/>
  <c r="AG76" i="87" s="1"/>
  <c r="AH76" i="87" s="1"/>
  <c r="AI76" i="87" s="1"/>
  <c r="AJ76" i="87" s="1"/>
  <c r="AK76" i="87" s="1"/>
  <c r="G61" i="87"/>
  <c r="L297" i="127"/>
  <c r="L32" i="87"/>
  <c r="I33" i="87"/>
  <c r="J73" i="87" s="1"/>
  <c r="K73" i="87" s="1"/>
  <c r="L73" i="87" s="1"/>
  <c r="M73" i="87" s="1"/>
  <c r="N73" i="87" s="1"/>
  <c r="O73" i="87" s="1"/>
  <c r="P73" i="87" s="1"/>
  <c r="Q73" i="87" s="1"/>
  <c r="R73" i="87" s="1"/>
  <c r="S73" i="87" s="1"/>
  <c r="T73" i="87" s="1"/>
  <c r="U73" i="87" s="1"/>
  <c r="V73" i="87" s="1"/>
  <c r="W73" i="87" s="1"/>
  <c r="X73" i="87" s="1"/>
  <c r="Y73" i="87" s="1"/>
  <c r="Z73" i="87" s="1"/>
  <c r="AA73" i="87" s="1"/>
  <c r="AB73" i="87" s="1"/>
  <c r="AC73" i="87" s="1"/>
  <c r="AD73" i="87" s="1"/>
  <c r="AE73" i="87" s="1"/>
  <c r="AF73" i="87" s="1"/>
  <c r="AG73" i="87" s="1"/>
  <c r="AH73" i="87" s="1"/>
  <c r="AI73" i="87" s="1"/>
  <c r="AJ73" i="87" s="1"/>
  <c r="AK73" i="87" s="1"/>
  <c r="K32" i="87"/>
  <c r="L34" i="87"/>
  <c r="L298" i="127"/>
  <c r="D161" i="127"/>
  <c r="BD22" i="140"/>
  <c r="I41" i="140" s="1"/>
  <c r="AV22" i="140"/>
  <c r="M40" i="140" s="1"/>
  <c r="AN22" i="140"/>
  <c r="E40" i="140" s="1"/>
  <c r="AF22" i="140"/>
  <c r="I39" i="140" s="1"/>
  <c r="X22" i="140"/>
  <c r="M38" i="140" s="1"/>
  <c r="P22" i="140"/>
  <c r="E38" i="140" s="1"/>
  <c r="H22" i="140"/>
  <c r="I37" i="140" s="1"/>
  <c r="BC22" i="140"/>
  <c r="H41" i="140" s="1"/>
  <c r="AU22" i="140"/>
  <c r="L40" i="140" s="1"/>
  <c r="AM22" i="140"/>
  <c r="D40" i="140" s="1"/>
  <c r="AE22" i="140"/>
  <c r="H39" i="140" s="1"/>
  <c r="W22" i="140"/>
  <c r="L38" i="140" s="1"/>
  <c r="O22" i="140"/>
  <c r="D38" i="140" s="1"/>
  <c r="G22" i="140"/>
  <c r="H37" i="140" s="1"/>
  <c r="BI22" i="140"/>
  <c r="N41" i="140" s="1"/>
  <c r="BA22" i="140"/>
  <c r="F41" i="140" s="1"/>
  <c r="AS22" i="140"/>
  <c r="J40" i="140" s="1"/>
  <c r="AK22" i="140"/>
  <c r="N39" i="140" s="1"/>
  <c r="AC22" i="140"/>
  <c r="F39" i="140" s="1"/>
  <c r="U22" i="140"/>
  <c r="J38" i="140" s="1"/>
  <c r="M22" i="140"/>
  <c r="N37" i="140" s="1"/>
  <c r="E22" i="140"/>
  <c r="F37" i="140" s="1"/>
  <c r="BH22" i="140"/>
  <c r="M41" i="140" s="1"/>
  <c r="AZ22" i="140"/>
  <c r="E41" i="140" s="1"/>
  <c r="AR22" i="140"/>
  <c r="I40" i="140" s="1"/>
  <c r="AJ22" i="140"/>
  <c r="M39" i="140" s="1"/>
  <c r="AB22" i="140"/>
  <c r="E39" i="140" s="1"/>
  <c r="T22" i="140"/>
  <c r="I38" i="140" s="1"/>
  <c r="L22" i="140"/>
  <c r="M37" i="140" s="1"/>
  <c r="AN301" i="68"/>
  <c r="C113" i="88" s="1"/>
  <c r="AI146" i="127" s="1"/>
  <c r="BM301" i="68"/>
  <c r="AB120" i="88" s="1"/>
  <c r="BI361" i="68"/>
  <c r="X127" i="88" s="1"/>
  <c r="X128" i="88" s="1"/>
  <c r="N16" i="136"/>
  <c r="AZ273" i="68"/>
  <c r="O94" i="88" s="1"/>
  <c r="O95" i="88" s="1"/>
  <c r="BB273" i="68"/>
  <c r="Q94" i="88" s="1"/>
  <c r="Q95" i="88" s="1"/>
  <c r="AS273" i="68"/>
  <c r="H94" i="88" s="1"/>
  <c r="H95" i="88" s="1"/>
  <c r="BQ273" i="68"/>
  <c r="AF94" i="88" s="1"/>
  <c r="AF95" i="88" s="1"/>
  <c r="BK273" i="68"/>
  <c r="Z94" i="88" s="1"/>
  <c r="Z95" i="88" s="1"/>
  <c r="BD273" i="68"/>
  <c r="S94" i="88" s="1"/>
  <c r="S95" i="88" s="1"/>
  <c r="BT273" i="68"/>
  <c r="AI94" i="88" s="1"/>
  <c r="AI95" i="88" s="1"/>
  <c r="BN273" i="68"/>
  <c r="AC94" i="88" s="1"/>
  <c r="AC95" i="88" s="1"/>
  <c r="BO273" i="68"/>
  <c r="AD94" i="88" s="1"/>
  <c r="AD95" i="88" s="1"/>
  <c r="BV273" i="68"/>
  <c r="AK94" i="88" s="1"/>
  <c r="AK95" i="88" s="1"/>
  <c r="BH273" i="68"/>
  <c r="W94" i="88" s="1"/>
  <c r="W95" i="88" s="1"/>
  <c r="BA273" i="68"/>
  <c r="P94" i="88" s="1"/>
  <c r="P95" i="88" s="1"/>
  <c r="BE273" i="68"/>
  <c r="T94" i="88" s="1"/>
  <c r="T95" i="88" s="1"/>
  <c r="BF273" i="68"/>
  <c r="U94" i="88" s="1"/>
  <c r="U95" i="88" s="1"/>
  <c r="AP273" i="68"/>
  <c r="E94" i="88" s="1"/>
  <c r="E95" i="88" s="1"/>
  <c r="AQ273" i="68"/>
  <c r="F94" i="88" s="1"/>
  <c r="F95" i="88" s="1"/>
  <c r="BM273" i="68"/>
  <c r="AB94" i="88" s="1"/>
  <c r="AB95" i="88" s="1"/>
  <c r="BS273" i="68"/>
  <c r="AH94" i="88" s="1"/>
  <c r="AH95" i="88" s="1"/>
  <c r="AR273" i="68"/>
  <c r="G94" i="88" s="1"/>
  <c r="G95" i="88" s="1"/>
  <c r="AY273" i="68"/>
  <c r="N94" i="88" s="1"/>
  <c r="N95" i="88" s="1"/>
  <c r="AU273" i="68"/>
  <c r="J94" i="88" s="1"/>
  <c r="J95" i="88" s="1"/>
  <c r="BL273" i="68"/>
  <c r="AA94" i="88" s="1"/>
  <c r="AA95" i="88" s="1"/>
  <c r="AT273" i="68"/>
  <c r="I94" i="88" s="1"/>
  <c r="I95" i="88" s="1"/>
  <c r="BI273" i="68"/>
  <c r="X94" i="88" s="1"/>
  <c r="X95" i="88" s="1"/>
  <c r="AO273" i="68"/>
  <c r="D94" i="88" s="1"/>
  <c r="D95" i="88" s="1"/>
  <c r="BR273" i="68"/>
  <c r="AG94" i="88" s="1"/>
  <c r="AG95" i="88" s="1"/>
  <c r="BU273" i="68"/>
  <c r="AJ94" i="88" s="1"/>
  <c r="AJ95" i="88" s="1"/>
  <c r="BJ273" i="68"/>
  <c r="Y94" i="88" s="1"/>
  <c r="Y95" i="88" s="1"/>
  <c r="J28" i="87"/>
  <c r="K28" i="87"/>
  <c r="E126" i="127"/>
  <c r="B34" i="127"/>
  <c r="M174" i="127"/>
  <c r="M173" i="127"/>
  <c r="L28" i="87"/>
  <c r="M28" i="87"/>
  <c r="M297" i="127"/>
  <c r="M266" i="127"/>
  <c r="D64" i="127"/>
  <c r="D130" i="127"/>
  <c r="E28" i="127"/>
  <c r="H73" i="105"/>
  <c r="K44" i="105"/>
  <c r="J74" i="105"/>
  <c r="V84" i="127"/>
  <c r="T84" i="127"/>
  <c r="W84" i="127"/>
  <c r="AK412" i="68"/>
  <c r="BU412" i="68" s="1"/>
  <c r="AQ412" i="68"/>
  <c r="Q412" i="68"/>
  <c r="BA412" i="68" s="1"/>
  <c r="BJ210" i="68"/>
  <c r="AR412" i="68"/>
  <c r="R412" i="68"/>
  <c r="BB412" i="68" s="1"/>
  <c r="AR44" i="68"/>
  <c r="AS44" i="68"/>
  <c r="H22" i="88" s="1"/>
  <c r="BI318" i="68"/>
  <c r="X121" i="88" s="1"/>
  <c r="W347" i="68"/>
  <c r="BG347" i="68" s="1"/>
  <c r="AO347" i="68"/>
  <c r="BT318" i="68"/>
  <c r="AI121" i="88" s="1"/>
  <c r="BR416" i="68"/>
  <c r="AG150" i="88" s="1"/>
  <c r="Q410" i="68"/>
  <c r="BA410" i="68" s="1"/>
  <c r="H410" i="68"/>
  <c r="AQ410" i="68"/>
  <c r="J122" i="85"/>
  <c r="H380" i="68"/>
  <c r="AO227" i="68"/>
  <c r="BD23" i="68"/>
  <c r="AQ261" i="68"/>
  <c r="BO261" i="68"/>
  <c r="AO261" i="68"/>
  <c r="BE261" i="68"/>
  <c r="AN416" i="68"/>
  <c r="C150" i="88" s="1"/>
  <c r="BE432" i="68"/>
  <c r="BO432" i="68"/>
  <c r="BS432" i="68"/>
  <c r="AV432" i="68"/>
  <c r="AX432" i="68"/>
  <c r="BN432" i="68"/>
  <c r="AZ432" i="68"/>
  <c r="BK432" i="68"/>
  <c r="BM432" i="68"/>
  <c r="AN432" i="68"/>
  <c r="BP432" i="68"/>
  <c r="AQ432" i="68"/>
  <c r="AO432" i="68"/>
  <c r="BH432" i="68"/>
  <c r="AW432" i="68"/>
  <c r="AS432" i="68"/>
  <c r="BU432" i="68"/>
  <c r="AP432" i="68"/>
  <c r="BL432" i="68"/>
  <c r="BF432" i="68"/>
  <c r="AR432" i="68"/>
  <c r="BA432" i="68"/>
  <c r="BV432" i="68"/>
  <c r="BG432" i="68"/>
  <c r="BM169" i="68"/>
  <c r="Z80" i="127"/>
  <c r="W80" i="127"/>
  <c r="BN241" i="68"/>
  <c r="BN243" i="68" s="1"/>
  <c r="AR241" i="68"/>
  <c r="AR243" i="68" s="1"/>
  <c r="BJ241" i="68"/>
  <c r="L113" i="85"/>
  <c r="J371" i="68"/>
  <c r="AY241" i="68"/>
  <c r="AY243" i="68" s="1"/>
  <c r="BR260" i="68"/>
  <c r="AO260" i="68"/>
  <c r="H126" i="85"/>
  <c r="F384" i="68"/>
  <c r="AY286" i="68"/>
  <c r="AR286" i="68"/>
  <c r="BF286" i="68"/>
  <c r="AV286" i="68"/>
  <c r="BJ286" i="68"/>
  <c r="BJ301" i="68" s="1"/>
  <c r="BG286" i="68"/>
  <c r="AP286" i="68"/>
  <c r="BA286" i="68"/>
  <c r="BQ286" i="68"/>
  <c r="BT286" i="68"/>
  <c r="Y285" i="68"/>
  <c r="BI285" i="68" s="1"/>
  <c r="AQ285" i="68"/>
  <c r="X208" i="68"/>
  <c r="BH208" i="68" s="1"/>
  <c r="BH210" i="68" s="1"/>
  <c r="AP208" i="68"/>
  <c r="AP210" i="68" s="1"/>
  <c r="AU284" i="68"/>
  <c r="BC286" i="68"/>
  <c r="BC301" i="68" s="1"/>
  <c r="AU286" i="68"/>
  <c r="C67" i="105"/>
  <c r="I45" i="104"/>
  <c r="C68" i="105" s="1"/>
  <c r="AQ286" i="68"/>
  <c r="AC108" i="68"/>
  <c r="BM108" i="68" s="1"/>
  <c r="BV286" i="68"/>
  <c r="Q167" i="68"/>
  <c r="BA167" i="68" s="1"/>
  <c r="BB286" i="68"/>
  <c r="AT286" i="68"/>
  <c r="AW286" i="68"/>
  <c r="BH260" i="68"/>
  <c r="AY260" i="68"/>
  <c r="AS286" i="68"/>
  <c r="BL286" i="68"/>
  <c r="BE286" i="68"/>
  <c r="BO260" i="68"/>
  <c r="BD286" i="68"/>
  <c r="AX298" i="68"/>
  <c r="AX301" i="68" s="1"/>
  <c r="AF298" i="68"/>
  <c r="BP298" i="68" s="1"/>
  <c r="BB296" i="68"/>
  <c r="AJ296" i="68"/>
  <c r="BT296" i="68" s="1"/>
  <c r="D28" i="87"/>
  <c r="D204" i="127"/>
  <c r="D266" i="127"/>
  <c r="D33" i="87"/>
  <c r="F41" i="87" s="1"/>
  <c r="I7" i="104"/>
  <c r="E7" i="104"/>
  <c r="I117" i="85"/>
  <c r="G375" i="68"/>
  <c r="BB300" i="68"/>
  <c r="AN383" i="68"/>
  <c r="BP287" i="68"/>
  <c r="BT287" i="68"/>
  <c r="AV287" i="68"/>
  <c r="AZ287" i="68"/>
  <c r="BL287" i="68"/>
  <c r="D71" i="137"/>
  <c r="D73" i="137" s="1"/>
  <c r="D74" i="137" s="1"/>
  <c r="D31" i="87"/>
  <c r="M22" i="100"/>
  <c r="M23" i="100" s="1"/>
  <c r="M85" i="100"/>
  <c r="M40" i="100"/>
  <c r="M41" i="100" s="1"/>
  <c r="M90" i="100"/>
  <c r="M94" i="100"/>
  <c r="N94" i="100" s="1"/>
  <c r="AL299" i="68"/>
  <c r="BV299" i="68" s="1"/>
  <c r="BD299" i="68"/>
  <c r="I16" i="104"/>
  <c r="L12" i="85"/>
  <c r="Y12" i="85" s="1"/>
  <c r="K8" i="68" s="1"/>
  <c r="Y18" i="85"/>
  <c r="K14" i="68" s="1"/>
  <c r="E16" i="104"/>
  <c r="Z379" i="68"/>
  <c r="BJ379" i="68" s="1"/>
  <c r="I119" i="85"/>
  <c r="N71" i="137"/>
  <c r="N73" i="137" s="1"/>
  <c r="N74" i="137" s="1"/>
  <c r="AF297" i="127"/>
  <c r="AI298" i="127"/>
  <c r="P298" i="127"/>
  <c r="AA297" i="127"/>
  <c r="BE292" i="68"/>
  <c r="AZ292" i="68"/>
  <c r="BB292" i="68"/>
  <c r="BD292" i="68"/>
  <c r="BG292" i="68"/>
  <c r="AO292" i="68"/>
  <c r="AO301" i="68" s="1"/>
  <c r="BO292" i="68"/>
  <c r="BA292" i="68"/>
  <c r="AV292" i="68"/>
  <c r="D34" i="87"/>
  <c r="E42" i="87" s="1"/>
  <c r="H127" i="85"/>
  <c r="AN382" i="68"/>
  <c r="BH382" i="68"/>
  <c r="F40" i="100"/>
  <c r="F41" i="100" s="1"/>
  <c r="D8" i="76"/>
  <c r="D64" i="76"/>
  <c r="Z385" i="68"/>
  <c r="BJ385" i="68" s="1"/>
  <c r="P385" i="68"/>
  <c r="AZ385" i="68" s="1"/>
  <c r="AJ385" i="68"/>
  <c r="BT385" i="68" s="1"/>
  <c r="J22" i="100"/>
  <c r="J23" i="100" s="1"/>
  <c r="J31" i="100"/>
  <c r="J32" i="100" s="1"/>
  <c r="D32" i="87"/>
  <c r="E40" i="87" s="1"/>
  <c r="Y204" i="127"/>
  <c r="AI204" i="127"/>
  <c r="L204" i="127"/>
  <c r="AC204" i="127"/>
  <c r="A375" i="68"/>
  <c r="B117" i="85"/>
  <c r="B375" i="68" s="1"/>
  <c r="BG293" i="68"/>
  <c r="BD293" i="68"/>
  <c r="BO293" i="68"/>
  <c r="C32" i="100"/>
  <c r="K85" i="100"/>
  <c r="D65" i="76"/>
  <c r="B89" i="85"/>
  <c r="B285" i="68" s="1"/>
  <c r="A285" i="68"/>
  <c r="F86" i="100"/>
  <c r="I22" i="100"/>
  <c r="I23" i="100" s="1"/>
  <c r="I40" i="100"/>
  <c r="I41" i="100" s="1"/>
  <c r="H116" i="85"/>
  <c r="F374" i="68"/>
  <c r="E7" i="76"/>
  <c r="E8" i="76" s="1"/>
  <c r="F95" i="100"/>
  <c r="N95" i="100" s="1"/>
  <c r="E32" i="100"/>
  <c r="C86" i="100"/>
  <c r="C90" i="100"/>
  <c r="AR289" i="68"/>
  <c r="AJ372" i="68"/>
  <c r="BT372" i="68" s="1"/>
  <c r="I121" i="85"/>
  <c r="I31" i="100"/>
  <c r="I32" i="100" s="1"/>
  <c r="L85" i="100"/>
  <c r="L40" i="100"/>
  <c r="L41" i="100" s="1"/>
  <c r="L94" i="100"/>
  <c r="AY433" i="68"/>
  <c r="BS433" i="68"/>
  <c r="BC433" i="68"/>
  <c r="BG433" i="68"/>
  <c r="BK433" i="68"/>
  <c r="BO433" i="68"/>
  <c r="AU299" i="68"/>
  <c r="BE299" i="68"/>
  <c r="BK299" i="68"/>
  <c r="BO299" i="68"/>
  <c r="AV284" i="68"/>
  <c r="BB298" i="68"/>
  <c r="AY298" i="68"/>
  <c r="BA291" i="68"/>
  <c r="AP299" i="68"/>
  <c r="D41" i="100"/>
  <c r="Z386" i="68"/>
  <c r="BJ386" i="68" s="1"/>
  <c r="S204" i="127"/>
  <c r="M204" i="127"/>
  <c r="F22" i="100"/>
  <c r="F23" i="100" s="1"/>
  <c r="D61" i="76"/>
  <c r="H124" i="85"/>
  <c r="F382" i="68"/>
  <c r="BU296" i="68"/>
  <c r="BO296" i="68"/>
  <c r="BS296" i="68"/>
  <c r="BE296" i="68"/>
  <c r="A113" i="68"/>
  <c r="B49" i="85"/>
  <c r="B113" i="68" s="1"/>
  <c r="C49" i="85"/>
  <c r="BG198" i="68"/>
  <c r="BG210" i="68" s="1"/>
  <c r="T42" i="85"/>
  <c r="F106" i="68" s="1"/>
  <c r="G36" i="85"/>
  <c r="T36" i="85" s="1"/>
  <c r="F100" i="68" s="1"/>
  <c r="BU206" i="68"/>
  <c r="BU210" i="68" s="1"/>
  <c r="AB41" i="85"/>
  <c r="N105" i="68" s="1"/>
  <c r="O42" i="85"/>
  <c r="AU430" i="68"/>
  <c r="U430" i="68"/>
  <c r="BE430" i="68" s="1"/>
  <c r="C64" i="76"/>
  <c r="W42" i="85"/>
  <c r="I106" i="68" s="1"/>
  <c r="V42" i="85"/>
  <c r="H106" i="68" s="1"/>
  <c r="I36" i="85"/>
  <c r="V36" i="85" s="1"/>
  <c r="H100" i="68" s="1"/>
  <c r="AV395" i="68"/>
  <c r="AV399" i="68" s="1"/>
  <c r="K149" i="88" s="1"/>
  <c r="BL398" i="68"/>
  <c r="AP398" i="68"/>
  <c r="BC394" i="68"/>
  <c r="BJ397" i="68"/>
  <c r="BD398" i="68"/>
  <c r="AR393" i="68"/>
  <c r="BV395" i="68"/>
  <c r="AT397" i="68"/>
  <c r="BN395" i="68"/>
  <c r="BN397" i="68"/>
  <c r="AQ396" i="68"/>
  <c r="AQ399" i="68" s="1"/>
  <c r="F149" i="88" s="1"/>
  <c r="BH398" i="68"/>
  <c r="BH399" i="68" s="1"/>
  <c r="W149" i="88" s="1"/>
  <c r="AY394" i="68"/>
  <c r="BF397" i="68"/>
  <c r="BF395" i="68"/>
  <c r="BT398" i="68"/>
  <c r="BK394" i="68"/>
  <c r="BK399" i="68" s="1"/>
  <c r="Z149" i="88" s="1"/>
  <c r="AR394" i="68"/>
  <c r="AX397" i="68"/>
  <c r="BR397" i="68"/>
  <c r="BU397" i="68"/>
  <c r="BR395" i="68"/>
  <c r="BB397" i="68"/>
  <c r="BB399" i="68" s="1"/>
  <c r="Q149" i="88" s="1"/>
  <c r="AC42" i="85"/>
  <c r="O106" i="68" s="1"/>
  <c r="Z42" i="85"/>
  <c r="L106" i="68" s="1"/>
  <c r="M36" i="85"/>
  <c r="Z36" i="85" s="1"/>
  <c r="L100" i="68" s="1"/>
  <c r="A101" i="68"/>
  <c r="B37" i="85"/>
  <c r="B101" i="68" s="1"/>
  <c r="F42" i="85"/>
  <c r="Y41" i="85"/>
  <c r="K105" i="68" s="1"/>
  <c r="L42" i="85"/>
  <c r="BQ20" i="68"/>
  <c r="AC18" i="85"/>
  <c r="O14" i="68" s="1"/>
  <c r="K12" i="85"/>
  <c r="X12" i="85" s="1"/>
  <c r="J8" i="68" s="1"/>
  <c r="BK435" i="68"/>
  <c r="AA18" i="85"/>
  <c r="M14" i="68" s="1"/>
  <c r="G23" i="104"/>
  <c r="G26" i="104" s="1"/>
  <c r="E23" i="104"/>
  <c r="K23" i="104"/>
  <c r="BF347" i="68"/>
  <c r="BF239" i="68"/>
  <c r="BP239" i="68"/>
  <c r="BJ239" i="68"/>
  <c r="C20" i="85"/>
  <c r="BL237" i="68"/>
  <c r="BP237" i="68"/>
  <c r="BH237" i="68"/>
  <c r="BT237" i="68"/>
  <c r="Y130" i="68"/>
  <c r="BI130" i="68" s="1"/>
  <c r="AK130" i="68"/>
  <c r="BU130" i="68" s="1"/>
  <c r="G18" i="85"/>
  <c r="BJ348" i="68"/>
  <c r="B25" i="85"/>
  <c r="B21" i="68" s="1"/>
  <c r="S18" i="85"/>
  <c r="E14" i="68" s="1"/>
  <c r="A14" i="68"/>
  <c r="E42" i="104"/>
  <c r="G42" i="104"/>
  <c r="BM361" i="68"/>
  <c r="BH434" i="68"/>
  <c r="BQ248" i="68"/>
  <c r="BQ252" i="68" s="1"/>
  <c r="BJ242" i="68"/>
  <c r="BF235" i="68"/>
  <c r="M133" i="137"/>
  <c r="AR141" i="68"/>
  <c r="N112" i="137"/>
  <c r="J114" i="137"/>
  <c r="BC129" i="68"/>
  <c r="BO435" i="68"/>
  <c r="BV235" i="68"/>
  <c r="N91" i="137"/>
  <c r="N110" i="137"/>
  <c r="AV434" i="68"/>
  <c r="BD434" i="68"/>
  <c r="N113" i="137"/>
  <c r="BC435" i="68"/>
  <c r="AW242" i="68"/>
  <c r="N93" i="137"/>
  <c r="N94" i="137"/>
  <c r="AS242" i="68"/>
  <c r="AS143" i="68"/>
  <c r="AS152" i="68" s="1"/>
  <c r="H56" i="88" s="1"/>
  <c r="AR143" i="68"/>
  <c r="BO141" i="68"/>
  <c r="BO152" i="68" s="1"/>
  <c r="D126" i="127"/>
  <c r="G95" i="137"/>
  <c r="N92" i="137"/>
  <c r="N67" i="136"/>
  <c r="B133" i="137"/>
  <c r="K133" i="137"/>
  <c r="N47" i="136"/>
  <c r="AL22" i="68"/>
  <c r="BV22" i="68" s="1"/>
  <c r="BR135" i="68"/>
  <c r="AT134" i="68"/>
  <c r="BM134" i="68"/>
  <c r="AN132" i="68"/>
  <c r="BB132" i="68"/>
  <c r="BS126" i="68"/>
  <c r="AR125" i="68"/>
  <c r="BH135" i="68"/>
  <c r="BP135" i="68"/>
  <c r="AO134" i="68"/>
  <c r="BP131" i="68"/>
  <c r="AT123" i="68"/>
  <c r="AT135" i="68"/>
  <c r="BE135" i="68"/>
  <c r="BT44" i="68" l="1"/>
  <c r="AI22" i="88" s="1"/>
  <c r="AP44" i="68"/>
  <c r="E22" i="88" s="1"/>
  <c r="AN44" i="68"/>
  <c r="C15" i="88" s="1"/>
  <c r="AB54" i="127" s="1"/>
  <c r="K26" i="104"/>
  <c r="C101" i="105" s="1"/>
  <c r="E26" i="104"/>
  <c r="C17" i="105" s="1"/>
  <c r="AD75" i="68"/>
  <c r="BN75" i="68" s="1"/>
  <c r="AP75" i="68"/>
  <c r="BQ44" i="68"/>
  <c r="AF22" i="88" s="1"/>
  <c r="G75" i="68"/>
  <c r="H75" i="68" s="1"/>
  <c r="BM44" i="68"/>
  <c r="AB22" i="88" s="1"/>
  <c r="BG44" i="68"/>
  <c r="V22" i="88" s="1"/>
  <c r="BL136" i="68"/>
  <c r="AA55" i="88" s="1"/>
  <c r="BG136" i="68"/>
  <c r="V55" i="88" s="1"/>
  <c r="AA84" i="127"/>
  <c r="BE136" i="68"/>
  <c r="T55" i="88" s="1"/>
  <c r="R84" i="127"/>
  <c r="AD84" i="127"/>
  <c r="S84" i="127"/>
  <c r="AK84" i="127"/>
  <c r="Z84" i="127"/>
  <c r="BK136" i="68"/>
  <c r="Z55" i="88" s="1"/>
  <c r="AV136" i="68"/>
  <c r="K55" i="88" s="1"/>
  <c r="BN136" i="68"/>
  <c r="AC55" i="88" s="1"/>
  <c r="BV136" i="68"/>
  <c r="AK55" i="88" s="1"/>
  <c r="AN152" i="68"/>
  <c r="C49" i="88" s="1"/>
  <c r="AY136" i="68"/>
  <c r="N55" i="88" s="1"/>
  <c r="BQ136" i="68"/>
  <c r="AF55" i="88" s="1"/>
  <c r="BD136" i="68"/>
  <c r="S55" i="88" s="1"/>
  <c r="BU136" i="68"/>
  <c r="P84" i="127"/>
  <c r="AW136" i="68"/>
  <c r="L55" i="88" s="1"/>
  <c r="BA136" i="68"/>
  <c r="P55" i="88" s="1"/>
  <c r="G167" i="68"/>
  <c r="H167" i="68" s="1"/>
  <c r="I167" i="68" s="1"/>
  <c r="J167" i="68" s="1"/>
  <c r="AP136" i="68"/>
  <c r="E55" i="88" s="1"/>
  <c r="O84" i="127"/>
  <c r="AP167" i="68"/>
  <c r="BL152" i="68"/>
  <c r="AA56" i="88" s="1"/>
  <c r="AN136" i="68"/>
  <c r="C48" i="88" s="1"/>
  <c r="D85" i="127" s="1"/>
  <c r="AS136" i="68"/>
  <c r="H55" i="88" s="1"/>
  <c r="H347" i="68"/>
  <c r="AK113" i="127"/>
  <c r="AE113" i="127"/>
  <c r="R113" i="127"/>
  <c r="V113" i="127"/>
  <c r="AD113" i="127"/>
  <c r="AC113" i="127"/>
  <c r="AF113" i="127"/>
  <c r="W113" i="127"/>
  <c r="AJ113" i="127"/>
  <c r="U113" i="127"/>
  <c r="AA113" i="127"/>
  <c r="AG113" i="127"/>
  <c r="Z113" i="127"/>
  <c r="AH113" i="127"/>
  <c r="X113" i="127"/>
  <c r="Y113" i="127"/>
  <c r="S113" i="127"/>
  <c r="T113" i="127"/>
  <c r="P113" i="127"/>
  <c r="AI113" i="127"/>
  <c r="AB113" i="127"/>
  <c r="O113" i="127"/>
  <c r="Q113" i="127"/>
  <c r="BH261" i="68"/>
  <c r="BK261" i="68"/>
  <c r="BD261" i="68"/>
  <c r="AT261" i="68"/>
  <c r="BN301" i="68"/>
  <c r="AC120" i="88" s="1"/>
  <c r="BD252" i="68"/>
  <c r="BI261" i="68"/>
  <c r="AY261" i="68"/>
  <c r="AU261" i="68"/>
  <c r="BP261" i="68"/>
  <c r="BL261" i="68"/>
  <c r="BR261" i="68"/>
  <c r="AH51" i="127"/>
  <c r="BC169" i="68"/>
  <c r="BK169" i="68"/>
  <c r="BI77" i="68"/>
  <c r="BQ77" i="68"/>
  <c r="BF261" i="68"/>
  <c r="AS261" i="68"/>
  <c r="BG261" i="68"/>
  <c r="BT261" i="68"/>
  <c r="BS301" i="68"/>
  <c r="BK301" i="68"/>
  <c r="Z120" i="88" s="1"/>
  <c r="AX261" i="68"/>
  <c r="BA77" i="68"/>
  <c r="BM261" i="68"/>
  <c r="BU261" i="68"/>
  <c r="AZ416" i="68"/>
  <c r="O150" i="88" s="1"/>
  <c r="BU399" i="68"/>
  <c r="AJ149" i="88" s="1"/>
  <c r="AT399" i="68"/>
  <c r="I149" i="88" s="1"/>
  <c r="AX399" i="68"/>
  <c r="M149" i="88" s="1"/>
  <c r="BV399" i="68"/>
  <c r="AK149" i="88" s="1"/>
  <c r="AR406" i="68"/>
  <c r="AB406" i="68"/>
  <c r="BL406" i="68" s="1"/>
  <c r="BT399" i="68"/>
  <c r="AI149" i="88" s="1"/>
  <c r="BC399" i="68"/>
  <c r="R149" i="88" s="1"/>
  <c r="BD399" i="68"/>
  <c r="S149" i="88" s="1"/>
  <c r="AP399" i="68"/>
  <c r="E149" i="88" s="1"/>
  <c r="H408" i="68"/>
  <c r="AB408" i="68" s="1"/>
  <c r="BL408" i="68" s="1"/>
  <c r="I406" i="68"/>
  <c r="S406" i="68" s="1"/>
  <c r="BC406" i="68" s="1"/>
  <c r="AS399" i="68"/>
  <c r="H149" i="88" s="1"/>
  <c r="BJ399" i="68"/>
  <c r="Y149" i="88" s="1"/>
  <c r="AY399" i="68"/>
  <c r="BL399" i="68"/>
  <c r="AA149" i="88" s="1"/>
  <c r="BH387" i="68"/>
  <c r="AL406" i="68"/>
  <c r="BV406" i="68" s="1"/>
  <c r="E108" i="105"/>
  <c r="AC299" i="127"/>
  <c r="Y299" i="127"/>
  <c r="AI299" i="127"/>
  <c r="M299" i="127"/>
  <c r="AG299" i="127"/>
  <c r="AH299" i="127"/>
  <c r="O299" i="127"/>
  <c r="K299" i="127"/>
  <c r="T299" i="127"/>
  <c r="P299" i="127"/>
  <c r="AF299" i="127"/>
  <c r="L299" i="127"/>
  <c r="S299" i="127"/>
  <c r="AB299" i="127"/>
  <c r="R299" i="127"/>
  <c r="U299" i="127"/>
  <c r="Z299" i="127"/>
  <c r="Q299" i="127"/>
  <c r="V299" i="127"/>
  <c r="N299" i="127"/>
  <c r="AE299" i="127"/>
  <c r="X299" i="127"/>
  <c r="J299" i="127"/>
  <c r="D299" i="127"/>
  <c r="W299" i="127"/>
  <c r="AK299" i="127"/>
  <c r="AA299" i="127"/>
  <c r="AJ299" i="127"/>
  <c r="AD299" i="127"/>
  <c r="BV261" i="68"/>
  <c r="AW261" i="68"/>
  <c r="AV261" i="68"/>
  <c r="BJ44" i="68"/>
  <c r="Y22" i="88" s="1"/>
  <c r="AQ44" i="68"/>
  <c r="F22" i="88" s="1"/>
  <c r="AQ136" i="68"/>
  <c r="F55" i="88" s="1"/>
  <c r="BF350" i="68"/>
  <c r="BJ261" i="68"/>
  <c r="BI350" i="68"/>
  <c r="BL350" i="68"/>
  <c r="BC261" i="68"/>
  <c r="BB261" i="68"/>
  <c r="BE350" i="68"/>
  <c r="AZ399" i="68"/>
  <c r="O149" i="88" s="1"/>
  <c r="AZ227" i="68"/>
  <c r="O88" i="88" s="1"/>
  <c r="BN44" i="68"/>
  <c r="AC22" i="88" s="1"/>
  <c r="BT350" i="68"/>
  <c r="BA261" i="68"/>
  <c r="AR261" i="68"/>
  <c r="AW318" i="68"/>
  <c r="L121" i="88" s="1"/>
  <c r="AK410" i="68"/>
  <c r="BU410" i="68" s="1"/>
  <c r="BU301" i="68"/>
  <c r="AJ120" i="88" s="1"/>
  <c r="AS301" i="68"/>
  <c r="AD54" i="127"/>
  <c r="S51" i="127"/>
  <c r="BT136" i="68"/>
  <c r="AI55" i="88" s="1"/>
  <c r="BC136" i="68"/>
  <c r="R55" i="88" s="1"/>
  <c r="BI301" i="68"/>
  <c r="X120" i="88" s="1"/>
  <c r="BF301" i="68"/>
  <c r="U120" i="88" s="1"/>
  <c r="BQ318" i="68"/>
  <c r="AF121" i="88" s="1"/>
  <c r="AF51" i="127"/>
  <c r="BF44" i="68"/>
  <c r="U22" i="88" s="1"/>
  <c r="BU44" i="68"/>
  <c r="AJ22" i="88" s="1"/>
  <c r="AO210" i="68"/>
  <c r="D80" i="88" s="1"/>
  <c r="AW301" i="68"/>
  <c r="L120" i="88" s="1"/>
  <c r="P51" i="127"/>
  <c r="AT301" i="68"/>
  <c r="I120" i="88" s="1"/>
  <c r="BQ301" i="68"/>
  <c r="AF120" i="88" s="1"/>
  <c r="G47" i="87"/>
  <c r="H47" i="87" s="1"/>
  <c r="I47" i="87" s="1"/>
  <c r="J47" i="87" s="1"/>
  <c r="K47" i="87" s="1"/>
  <c r="L47" i="87" s="1"/>
  <c r="M47" i="87" s="1"/>
  <c r="N47" i="87" s="1"/>
  <c r="O47" i="87" s="1"/>
  <c r="P47" i="87" s="1"/>
  <c r="Q47" i="87" s="1"/>
  <c r="R47" i="87" s="1"/>
  <c r="S47" i="87" s="1"/>
  <c r="T47" i="87" s="1"/>
  <c r="U47" i="87" s="1"/>
  <c r="V47" i="87" s="1"/>
  <c r="W47" i="87" s="1"/>
  <c r="X47" i="87" s="1"/>
  <c r="Y47" i="87" s="1"/>
  <c r="Z47" i="87" s="1"/>
  <c r="AA47" i="87" s="1"/>
  <c r="AB47" i="87" s="1"/>
  <c r="AC47" i="87" s="1"/>
  <c r="AD47" i="87" s="1"/>
  <c r="AE47" i="87" s="1"/>
  <c r="AF47" i="87" s="1"/>
  <c r="AG47" i="87" s="1"/>
  <c r="AH47" i="87" s="1"/>
  <c r="AI47" i="87" s="1"/>
  <c r="AJ47" i="87" s="1"/>
  <c r="AK47" i="87" s="1"/>
  <c r="N23" i="100"/>
  <c r="O23" i="100" s="1"/>
  <c r="N32" i="100"/>
  <c r="O32" i="100" s="1"/>
  <c r="N41" i="100"/>
  <c r="O41" i="100" s="1"/>
  <c r="N90" i="100"/>
  <c r="BR350" i="68"/>
  <c r="BJ350" i="68"/>
  <c r="BD350" i="68"/>
  <c r="BV350" i="68"/>
  <c r="AR350" i="68"/>
  <c r="AP350" i="68"/>
  <c r="BF169" i="68"/>
  <c r="BO350" i="68"/>
  <c r="AO350" i="68"/>
  <c r="BN169" i="68"/>
  <c r="BS350" i="68"/>
  <c r="BF77" i="68"/>
  <c r="BM350" i="68"/>
  <c r="BS261" i="68"/>
  <c r="AN261" i="68"/>
  <c r="BN261" i="68"/>
  <c r="AX350" i="68"/>
  <c r="BP44" i="68"/>
  <c r="AE22" i="88" s="1"/>
  <c r="BU350" i="68"/>
  <c r="BQ261" i="68"/>
  <c r="AP261" i="68"/>
  <c r="AY350" i="68"/>
  <c r="BS44" i="68"/>
  <c r="AH22" i="88" s="1"/>
  <c r="Q51" i="127"/>
  <c r="BI169" i="68"/>
  <c r="AQ350" i="68"/>
  <c r="BQ350" i="68"/>
  <c r="AZ350" i="68"/>
  <c r="B34" i="76"/>
  <c r="B31" i="76"/>
  <c r="BP350" i="68"/>
  <c r="BB350" i="68"/>
  <c r="AN350" i="68"/>
  <c r="BH350" i="68"/>
  <c r="AU350" i="68"/>
  <c r="BA350" i="68"/>
  <c r="AV350" i="68"/>
  <c r="G53" i="104"/>
  <c r="I53" i="104"/>
  <c r="K53" i="104"/>
  <c r="E53" i="104"/>
  <c r="BK350" i="68"/>
  <c r="BN350" i="68"/>
  <c r="BG350" i="68"/>
  <c r="AS350" i="68"/>
  <c r="AW350" i="68"/>
  <c r="BH328" i="68"/>
  <c r="BH334" i="68" s="1"/>
  <c r="W122" i="88" s="1"/>
  <c r="AP328" i="68"/>
  <c r="AP334" i="68" s="1"/>
  <c r="E122" i="88" s="1"/>
  <c r="BL328" i="68"/>
  <c r="BL334" i="68" s="1"/>
  <c r="AA122" i="88" s="1"/>
  <c r="AQ328" i="68"/>
  <c r="AQ334" i="68" s="1"/>
  <c r="F122" i="88" s="1"/>
  <c r="AY328" i="68"/>
  <c r="AY334" i="68" s="1"/>
  <c r="N122" i="88" s="1"/>
  <c r="BS328" i="68"/>
  <c r="BS334" i="68" s="1"/>
  <c r="AH122" i="88" s="1"/>
  <c r="BF328" i="68"/>
  <c r="BF334" i="68" s="1"/>
  <c r="U122" i="88" s="1"/>
  <c r="BU328" i="68"/>
  <c r="BU334" i="68" s="1"/>
  <c r="AJ122" i="88" s="1"/>
  <c r="BC328" i="68"/>
  <c r="BC334" i="68" s="1"/>
  <c r="R122" i="88" s="1"/>
  <c r="BM328" i="68"/>
  <c r="BM334" i="68" s="1"/>
  <c r="AZ328" i="68"/>
  <c r="AZ334" i="68" s="1"/>
  <c r="O122" i="88" s="1"/>
  <c r="BK328" i="68"/>
  <c r="BK334" i="68" s="1"/>
  <c r="Z122" i="88" s="1"/>
  <c r="BG328" i="68"/>
  <c r="BG334" i="68" s="1"/>
  <c r="V122" i="88" s="1"/>
  <c r="AT328" i="68"/>
  <c r="AT334" i="68" s="1"/>
  <c r="I122" i="88" s="1"/>
  <c r="BB328" i="68"/>
  <c r="BB334" i="68" s="1"/>
  <c r="Q122" i="88" s="1"/>
  <c r="BD328" i="68"/>
  <c r="BD334" i="68" s="1"/>
  <c r="S122" i="88" s="1"/>
  <c r="BA328" i="68"/>
  <c r="BA334" i="68" s="1"/>
  <c r="P122" i="88" s="1"/>
  <c r="AN328" i="68"/>
  <c r="AN334" i="68" s="1"/>
  <c r="C115" i="88" s="1"/>
  <c r="AR328" i="68"/>
  <c r="AR334" i="68" s="1"/>
  <c r="G122" i="88" s="1"/>
  <c r="BP328" i="68"/>
  <c r="BP334" i="68" s="1"/>
  <c r="AE122" i="88" s="1"/>
  <c r="BV328" i="68"/>
  <c r="BV334" i="68" s="1"/>
  <c r="AK122" i="88" s="1"/>
  <c r="AU328" i="68"/>
  <c r="AU334" i="68" s="1"/>
  <c r="J122" i="88" s="1"/>
  <c r="BQ328" i="68"/>
  <c r="BQ334" i="68" s="1"/>
  <c r="AF122" i="88" s="1"/>
  <c r="BT328" i="68"/>
  <c r="BT334" i="68" s="1"/>
  <c r="AI122" i="88" s="1"/>
  <c r="AS328" i="68"/>
  <c r="AS334" i="68" s="1"/>
  <c r="H122" i="88" s="1"/>
  <c r="BO328" i="68"/>
  <c r="BO334" i="68" s="1"/>
  <c r="AD122" i="88" s="1"/>
  <c r="BJ328" i="68"/>
  <c r="BJ334" i="68" s="1"/>
  <c r="Y122" i="88" s="1"/>
  <c r="AO328" i="68"/>
  <c r="AO334" i="68" s="1"/>
  <c r="D122" i="88" s="1"/>
  <c r="AW328" i="68"/>
  <c r="AW334" i="68" s="1"/>
  <c r="L122" i="88" s="1"/>
  <c r="BE328" i="68"/>
  <c r="BE334" i="68" s="1"/>
  <c r="T122" i="88" s="1"/>
  <c r="AX328" i="68"/>
  <c r="AX334" i="68" s="1"/>
  <c r="M122" i="88" s="1"/>
  <c r="AV328" i="68"/>
  <c r="AV334" i="68" s="1"/>
  <c r="K122" i="88" s="1"/>
  <c r="BR328" i="68"/>
  <c r="BR334" i="68" s="1"/>
  <c r="AG122" i="88" s="1"/>
  <c r="BI328" i="68"/>
  <c r="BI334" i="68" s="1"/>
  <c r="X122" i="88" s="1"/>
  <c r="BN328" i="68"/>
  <c r="BN334" i="68" s="1"/>
  <c r="C170" i="68"/>
  <c r="C78" i="68"/>
  <c r="AQ77" i="68"/>
  <c r="AU77" i="68"/>
  <c r="AY77" i="68"/>
  <c r="AT77" i="68"/>
  <c r="BK77" i="68"/>
  <c r="AV77" i="68"/>
  <c r="AN77" i="68"/>
  <c r="AR77" i="68"/>
  <c r="BL77" i="68"/>
  <c r="BJ77" i="68"/>
  <c r="AO77" i="68"/>
  <c r="AS77" i="68"/>
  <c r="BD77" i="68"/>
  <c r="BE77" i="68"/>
  <c r="AP77" i="68"/>
  <c r="AW77" i="68"/>
  <c r="BU77" i="68"/>
  <c r="BC77" i="68"/>
  <c r="BT77" i="68"/>
  <c r="BB77" i="68"/>
  <c r="BS77" i="68"/>
  <c r="AX77" i="68"/>
  <c r="BR77" i="68"/>
  <c r="BM77" i="68"/>
  <c r="BG77" i="68"/>
  <c r="AZ77" i="68"/>
  <c r="BV77" i="68"/>
  <c r="BO77" i="68"/>
  <c r="BH77" i="68"/>
  <c r="BI241" i="68"/>
  <c r="BI243" i="68" s="1"/>
  <c r="X89" i="88" s="1"/>
  <c r="AN241" i="68"/>
  <c r="AN243" i="68" s="1"/>
  <c r="C82" i="88" s="1"/>
  <c r="Y117" i="127" s="1"/>
  <c r="BP241" i="68"/>
  <c r="AS241" i="68"/>
  <c r="AS243" i="68" s="1"/>
  <c r="H89" i="88" s="1"/>
  <c r="BA241" i="68"/>
  <c r="BA243" i="68" s="1"/>
  <c r="P89" i="88" s="1"/>
  <c r="AV241" i="68"/>
  <c r="AV243" i="68" s="1"/>
  <c r="K89" i="88" s="1"/>
  <c r="AP241" i="68"/>
  <c r="AP243" i="68" s="1"/>
  <c r="E89" i="88" s="1"/>
  <c r="BD241" i="68"/>
  <c r="BD243" i="68" s="1"/>
  <c r="S89" i="88" s="1"/>
  <c r="BS241" i="68"/>
  <c r="BS243" i="68" s="1"/>
  <c r="AH89" i="88" s="1"/>
  <c r="BC241" i="68"/>
  <c r="BC243" i="68" s="1"/>
  <c r="R89" i="88" s="1"/>
  <c r="AT241" i="68"/>
  <c r="AT243" i="68" s="1"/>
  <c r="I89" i="88" s="1"/>
  <c r="BL241" i="68"/>
  <c r="BL243" i="68" s="1"/>
  <c r="AA89" i="88" s="1"/>
  <c r="AW241" i="68"/>
  <c r="AW243" i="68" s="1"/>
  <c r="L89" i="88" s="1"/>
  <c r="BH241" i="68"/>
  <c r="BH243" i="68" s="1"/>
  <c r="W89" i="88" s="1"/>
  <c r="BG241" i="68"/>
  <c r="BG243" i="68" s="1"/>
  <c r="V89" i="88" s="1"/>
  <c r="AQ241" i="68"/>
  <c r="AQ243" i="68" s="1"/>
  <c r="F89" i="88" s="1"/>
  <c r="BF241" i="68"/>
  <c r="BQ241" i="68"/>
  <c r="BQ243" i="68" s="1"/>
  <c r="AF89" i="88" s="1"/>
  <c r="BO241" i="68"/>
  <c r="BO243" i="68" s="1"/>
  <c r="AD89" i="88" s="1"/>
  <c r="BT241" i="68"/>
  <c r="BT243" i="68" s="1"/>
  <c r="AI89" i="88" s="1"/>
  <c r="AX241" i="68"/>
  <c r="AX243" i="68" s="1"/>
  <c r="M89" i="88" s="1"/>
  <c r="AO241" i="68"/>
  <c r="AO243" i="68" s="1"/>
  <c r="D82" i="88" s="1"/>
  <c r="AU241" i="68"/>
  <c r="AU243" i="68" s="1"/>
  <c r="J89" i="88" s="1"/>
  <c r="BV241" i="68"/>
  <c r="BV243" i="68" s="1"/>
  <c r="AK89" i="88" s="1"/>
  <c r="BM241" i="68"/>
  <c r="BM243" i="68" s="1"/>
  <c r="AB89" i="88" s="1"/>
  <c r="BU241" i="68"/>
  <c r="BU243" i="68" s="1"/>
  <c r="AJ89" i="88" s="1"/>
  <c r="BE241" i="68"/>
  <c r="BE243" i="68" s="1"/>
  <c r="T89" i="88" s="1"/>
  <c r="AZ241" i="68"/>
  <c r="AZ243" i="68" s="1"/>
  <c r="O89" i="88" s="1"/>
  <c r="BR241" i="68"/>
  <c r="BR243" i="68" s="1"/>
  <c r="AG89" i="88" s="1"/>
  <c r="BK241" i="68"/>
  <c r="BK243" i="68" s="1"/>
  <c r="Z89" i="88" s="1"/>
  <c r="BB241" i="68"/>
  <c r="BB243" i="68" s="1"/>
  <c r="BP77" i="68"/>
  <c r="AN169" i="68"/>
  <c r="BJ169" i="68"/>
  <c r="AW169" i="68"/>
  <c r="BD169" i="68"/>
  <c r="AQ169" i="68"/>
  <c r="BO169" i="68"/>
  <c r="BT169" i="68"/>
  <c r="BG169" i="68"/>
  <c r="BB169" i="68"/>
  <c r="AP169" i="68"/>
  <c r="AV169" i="68"/>
  <c r="AZ169" i="68"/>
  <c r="AR169" i="68"/>
  <c r="BL169" i="68"/>
  <c r="BR169" i="68"/>
  <c r="BH169" i="68"/>
  <c r="AS169" i="68"/>
  <c r="BP169" i="68"/>
  <c r="BE169" i="68"/>
  <c r="AO169" i="68"/>
  <c r="AX169" i="68"/>
  <c r="AY169" i="68"/>
  <c r="BU169" i="68"/>
  <c r="AT169" i="68"/>
  <c r="AU169" i="68"/>
  <c r="AF84" i="127"/>
  <c r="AA371" i="68"/>
  <c r="BK371" i="68" s="1"/>
  <c r="AQ371" i="68"/>
  <c r="AK371" i="68"/>
  <c r="BU371" i="68" s="1"/>
  <c r="Q371" i="68"/>
  <c r="BA371" i="68" s="1"/>
  <c r="G386" i="68"/>
  <c r="I128" i="85"/>
  <c r="AB84" i="127"/>
  <c r="U84" i="127"/>
  <c r="G372" i="68"/>
  <c r="I114" i="85"/>
  <c r="I118" i="85"/>
  <c r="G376" i="68"/>
  <c r="P383" i="68"/>
  <c r="AZ383" i="68" s="1"/>
  <c r="AJ383" i="68"/>
  <c r="BT383" i="68" s="1"/>
  <c r="Z383" i="68"/>
  <c r="BJ383" i="68" s="1"/>
  <c r="AP383" i="68"/>
  <c r="P376" i="68"/>
  <c r="AZ376" i="68" s="1"/>
  <c r="Z376" i="68"/>
  <c r="BJ376" i="68" s="1"/>
  <c r="AP376" i="68"/>
  <c r="AJ376" i="68"/>
  <c r="BT376" i="68" s="1"/>
  <c r="AH84" i="127"/>
  <c r="AA383" i="68"/>
  <c r="BK383" i="68" s="1"/>
  <c r="Q383" i="68"/>
  <c r="BA383" i="68" s="1"/>
  <c r="AK383" i="68"/>
  <c r="BU383" i="68" s="1"/>
  <c r="AQ383" i="68"/>
  <c r="AK379" i="68"/>
  <c r="BU379" i="68" s="1"/>
  <c r="AQ379" i="68"/>
  <c r="P379" i="68"/>
  <c r="AZ379" i="68" s="1"/>
  <c r="AP379" i="68"/>
  <c r="S115" i="127"/>
  <c r="AB115" i="127"/>
  <c r="R115" i="127"/>
  <c r="W115" i="127"/>
  <c r="V115" i="127"/>
  <c r="X115" i="127"/>
  <c r="AG115" i="127"/>
  <c r="AJ115" i="127"/>
  <c r="AF115" i="127"/>
  <c r="AA115" i="127"/>
  <c r="AI115" i="127"/>
  <c r="AC115" i="127"/>
  <c r="Z115" i="127"/>
  <c r="Y115" i="127"/>
  <c r="AK115" i="127"/>
  <c r="Q115" i="127"/>
  <c r="AE115" i="127"/>
  <c r="AD115" i="127"/>
  <c r="P115" i="127"/>
  <c r="U115" i="127"/>
  <c r="T115" i="127"/>
  <c r="AH115" i="127"/>
  <c r="X84" i="127"/>
  <c r="AX14" i="68"/>
  <c r="AX23" i="68" s="1"/>
  <c r="M21" i="88" s="1"/>
  <c r="Z14" i="68"/>
  <c r="BJ14" i="68" s="1"/>
  <c r="BJ23" i="68" s="1"/>
  <c r="Y21" i="88" s="1"/>
  <c r="AL14" i="68"/>
  <c r="BV14" i="68" s="1"/>
  <c r="BV23" i="68" s="1"/>
  <c r="AK21" i="88" s="1"/>
  <c r="H383" i="68"/>
  <c r="J125" i="85"/>
  <c r="P8" i="68"/>
  <c r="AZ8" i="68" s="1"/>
  <c r="AZ23" i="68" s="1"/>
  <c r="O21" i="88" s="1"/>
  <c r="AB8" i="68"/>
  <c r="BL8" i="68" s="1"/>
  <c r="BL23" i="68" s="1"/>
  <c r="AA21" i="88" s="1"/>
  <c r="AN8" i="68"/>
  <c r="AN23" i="68" s="1"/>
  <c r="C14" i="88" s="1"/>
  <c r="O53" i="127" s="1"/>
  <c r="AV14" i="68"/>
  <c r="AV23" i="68" s="1"/>
  <c r="K21" i="88" s="1"/>
  <c r="X14" i="68"/>
  <c r="BH14" i="68" s="1"/>
  <c r="BH23" i="68" s="1"/>
  <c r="W21" i="88" s="1"/>
  <c r="AJ14" i="68"/>
  <c r="BT14" i="68" s="1"/>
  <c r="BT23" i="68" s="1"/>
  <c r="AI21" i="88" s="1"/>
  <c r="Q84" i="127"/>
  <c r="AC84" i="127"/>
  <c r="G373" i="68"/>
  <c r="I115" i="85"/>
  <c r="U14" i="68"/>
  <c r="BE14" i="68" s="1"/>
  <c r="BE23" i="68" s="1"/>
  <c r="T21" i="88" s="1"/>
  <c r="AS14" i="68"/>
  <c r="AS23" i="68" s="1"/>
  <c r="H21" i="88" s="1"/>
  <c r="AG14" i="68"/>
  <c r="BQ14" i="68" s="1"/>
  <c r="BQ23" i="68" s="1"/>
  <c r="AF21" i="88" s="1"/>
  <c r="H381" i="68"/>
  <c r="J123" i="85"/>
  <c r="AQ381" i="68"/>
  <c r="Q381" i="68"/>
  <c r="BA381" i="68" s="1"/>
  <c r="AK381" i="68"/>
  <c r="BU381" i="68" s="1"/>
  <c r="AA381" i="68"/>
  <c r="BK381" i="68" s="1"/>
  <c r="G378" i="68"/>
  <c r="I120" i="85"/>
  <c r="D108" i="105"/>
  <c r="I19" i="104"/>
  <c r="AJ53" i="127"/>
  <c r="AU227" i="68"/>
  <c r="J88" i="88" s="1"/>
  <c r="AA53" i="127"/>
  <c r="H79" i="87"/>
  <c r="H160" i="127" s="1"/>
  <c r="G55" i="127"/>
  <c r="J50" i="127"/>
  <c r="E79" i="105"/>
  <c r="F79" i="105" s="1"/>
  <c r="BO44" i="68"/>
  <c r="AD22" i="88" s="1"/>
  <c r="BI44" i="68"/>
  <c r="X22" i="88" s="1"/>
  <c r="BB44" i="68"/>
  <c r="Q22" i="88" s="1"/>
  <c r="BB227" i="68"/>
  <c r="Q88" i="88" s="1"/>
  <c r="BC227" i="68"/>
  <c r="R88" i="88" s="1"/>
  <c r="AN227" i="68"/>
  <c r="C81" i="88" s="1"/>
  <c r="BM136" i="68"/>
  <c r="AB55" i="88" s="1"/>
  <c r="BO136" i="68"/>
  <c r="AD55" i="88" s="1"/>
  <c r="BH136" i="68"/>
  <c r="W55" i="88" s="1"/>
  <c r="AR136" i="68"/>
  <c r="G55" i="88" s="1"/>
  <c r="AU136" i="68"/>
  <c r="J55" i="88" s="1"/>
  <c r="AX136" i="68"/>
  <c r="M55" i="88" s="1"/>
  <c r="BR136" i="68"/>
  <c r="AG55" i="88" s="1"/>
  <c r="BJ136" i="68"/>
  <c r="Y55" i="88" s="1"/>
  <c r="BF136" i="68"/>
  <c r="U55" i="88" s="1"/>
  <c r="AZ44" i="68"/>
  <c r="O22" i="88" s="1"/>
  <c r="T53" i="127"/>
  <c r="AG53" i="127"/>
  <c r="BA44" i="68"/>
  <c r="P22" i="88" s="1"/>
  <c r="S53" i="127"/>
  <c r="AO44" i="68"/>
  <c r="D22" i="88" s="1"/>
  <c r="V53" i="127"/>
  <c r="AF53" i="127"/>
  <c r="P53" i="127"/>
  <c r="AF144" i="127"/>
  <c r="AF147" i="127"/>
  <c r="V147" i="127"/>
  <c r="AI147" i="127"/>
  <c r="O147" i="127"/>
  <c r="Y147" i="127"/>
  <c r="AC147" i="127"/>
  <c r="W147" i="127"/>
  <c r="AB147" i="127"/>
  <c r="X147" i="127"/>
  <c r="AD147" i="127"/>
  <c r="K147" i="127"/>
  <c r="AH147" i="127"/>
  <c r="U147" i="127"/>
  <c r="AE146" i="127"/>
  <c r="AQ75" i="68"/>
  <c r="BE44" i="68"/>
  <c r="T22" i="88" s="1"/>
  <c r="BJ416" i="68"/>
  <c r="Y150" i="88" s="1"/>
  <c r="AQ414" i="68"/>
  <c r="H414" i="68"/>
  <c r="AA414" i="68"/>
  <c r="BK414" i="68" s="1"/>
  <c r="Q414" i="68"/>
  <c r="BA414" i="68" s="1"/>
  <c r="AK414" i="68"/>
  <c r="BU414" i="68" s="1"/>
  <c r="AP416" i="68"/>
  <c r="E150" i="88" s="1"/>
  <c r="AF167" i="68"/>
  <c r="BP167" i="68" s="1"/>
  <c r="BS136" i="68"/>
  <c r="AH55" i="88" s="1"/>
  <c r="R407" i="68"/>
  <c r="BB407" i="68" s="1"/>
  <c r="AK409" i="68"/>
  <c r="BU409" i="68" s="1"/>
  <c r="BT416" i="68"/>
  <c r="AI150" i="88" s="1"/>
  <c r="AA409" i="68"/>
  <c r="BK409" i="68" s="1"/>
  <c r="AB412" i="68"/>
  <c r="BL412" i="68" s="1"/>
  <c r="AL412" i="68"/>
  <c r="BV412" i="68" s="1"/>
  <c r="AQ409" i="68"/>
  <c r="T54" i="127"/>
  <c r="AB51" i="127"/>
  <c r="AU44" i="68"/>
  <c r="J22" i="88" s="1"/>
  <c r="Q415" i="68"/>
  <c r="BA415" i="68" s="1"/>
  <c r="AK415" i="68"/>
  <c r="BU415" i="68" s="1"/>
  <c r="H415" i="68"/>
  <c r="AA415" i="68"/>
  <c r="BK415" i="68" s="1"/>
  <c r="AQ415" i="68"/>
  <c r="S412" i="68"/>
  <c r="BC412" i="68" s="1"/>
  <c r="J412" i="68"/>
  <c r="AC412" i="68"/>
  <c r="BM412" i="68" s="1"/>
  <c r="AS412" i="68"/>
  <c r="J406" i="68"/>
  <c r="AS406" i="68"/>
  <c r="AC406" i="68"/>
  <c r="BM406" i="68" s="1"/>
  <c r="X257" i="68"/>
  <c r="BH257" i="68" s="1"/>
  <c r="G257" i="68"/>
  <c r="AP257" i="68"/>
  <c r="G129" i="127"/>
  <c r="F51" i="105"/>
  <c r="G51" i="105" s="1"/>
  <c r="BK6" i="140"/>
  <c r="BL6" i="140" s="1"/>
  <c r="BU6" i="140"/>
  <c r="CF6" i="140" s="1"/>
  <c r="CQ6" i="140" s="1"/>
  <c r="DB6" i="140" s="1"/>
  <c r="DM6" i="140" s="1"/>
  <c r="U121" i="137"/>
  <c r="U92" i="137"/>
  <c r="U83" i="137"/>
  <c r="U102" i="137"/>
  <c r="Y122" i="137"/>
  <c r="Y93" i="137"/>
  <c r="Y103" i="137"/>
  <c r="Y84" i="137"/>
  <c r="W123" i="137"/>
  <c r="W94" i="137"/>
  <c r="W85" i="137"/>
  <c r="W104" i="137"/>
  <c r="U120" i="137"/>
  <c r="U91" i="137"/>
  <c r="U101" i="137"/>
  <c r="U82" i="137"/>
  <c r="D37" i="140"/>
  <c r="Z119" i="137"/>
  <c r="Z90" i="137"/>
  <c r="Z100" i="137"/>
  <c r="Z81" i="137"/>
  <c r="J42" i="140"/>
  <c r="AB81" i="137"/>
  <c r="AB119" i="137"/>
  <c r="AB90" i="137"/>
  <c r="AB100" i="137"/>
  <c r="L42" i="140"/>
  <c r="V120" i="137"/>
  <c r="V91" i="137"/>
  <c r="V101" i="137"/>
  <c r="V82" i="137"/>
  <c r="T104" i="137"/>
  <c r="T85" i="137"/>
  <c r="T123" i="137"/>
  <c r="T94" i="137"/>
  <c r="P41" i="140"/>
  <c r="AC121" i="137"/>
  <c r="AC92" i="137"/>
  <c r="AC83" i="137"/>
  <c r="AC102" i="137"/>
  <c r="Z122" i="137"/>
  <c r="Z93" i="137"/>
  <c r="Z84" i="137"/>
  <c r="Z103" i="137"/>
  <c r="AC123" i="137"/>
  <c r="AC94" i="137"/>
  <c r="AC104" i="137"/>
  <c r="AC85" i="137"/>
  <c r="AD123" i="137"/>
  <c r="AD94" i="137"/>
  <c r="AD104" i="137"/>
  <c r="AD85" i="137"/>
  <c r="Y119" i="137"/>
  <c r="Y90" i="137"/>
  <c r="Y100" i="137"/>
  <c r="Y81" i="137"/>
  <c r="I42" i="140"/>
  <c r="AA104" i="137"/>
  <c r="AA85" i="137"/>
  <c r="AA123" i="137"/>
  <c r="AA94" i="137"/>
  <c r="AE103" i="137"/>
  <c r="AE84" i="137"/>
  <c r="AE122" i="137"/>
  <c r="AE93" i="137"/>
  <c r="V100" i="137"/>
  <c r="V81" i="137"/>
  <c r="V119" i="137"/>
  <c r="V90" i="137"/>
  <c r="F42" i="140"/>
  <c r="X90" i="137"/>
  <c r="X100" i="137"/>
  <c r="X81" i="137"/>
  <c r="X119" i="137"/>
  <c r="H42" i="140"/>
  <c r="AC100" i="137"/>
  <c r="AC81" i="137"/>
  <c r="AC119" i="137"/>
  <c r="AC90" i="137"/>
  <c r="M42" i="140"/>
  <c r="AD100" i="137"/>
  <c r="AD81" i="137"/>
  <c r="AD119" i="137"/>
  <c r="AD90" i="137"/>
  <c r="N42" i="140"/>
  <c r="T82" i="137"/>
  <c r="T120" i="137"/>
  <c r="T91" i="137"/>
  <c r="T101" i="137"/>
  <c r="P38" i="140"/>
  <c r="AC120" i="137"/>
  <c r="AC101" i="137"/>
  <c r="AC82" i="137"/>
  <c r="AC91" i="137"/>
  <c r="X120" i="137"/>
  <c r="X91" i="137"/>
  <c r="X101" i="137"/>
  <c r="X82" i="137"/>
  <c r="AD120" i="137"/>
  <c r="AD91" i="137"/>
  <c r="AD101" i="137"/>
  <c r="AD82" i="137"/>
  <c r="T102" i="137"/>
  <c r="T83" i="137"/>
  <c r="T121" i="137"/>
  <c r="T92" i="137"/>
  <c r="P39" i="140"/>
  <c r="AE123" i="137"/>
  <c r="AE94" i="137"/>
  <c r="AE85" i="137"/>
  <c r="AE104" i="137"/>
  <c r="Y120" i="137"/>
  <c r="Y91" i="137"/>
  <c r="Y82" i="137"/>
  <c r="Y101" i="137"/>
  <c r="Z101" i="137"/>
  <c r="Z82" i="137"/>
  <c r="Z120" i="137"/>
  <c r="Z91" i="137"/>
  <c r="AB101" i="137"/>
  <c r="AB82" i="137"/>
  <c r="AB120" i="137"/>
  <c r="AB91" i="137"/>
  <c r="Y102" i="137"/>
  <c r="Y83" i="137"/>
  <c r="Y121" i="137"/>
  <c r="Y92" i="137"/>
  <c r="AB121" i="137"/>
  <c r="AB92" i="137"/>
  <c r="AB102" i="137"/>
  <c r="AB83" i="137"/>
  <c r="V103" i="137"/>
  <c r="V84" i="137"/>
  <c r="V122" i="137"/>
  <c r="V93" i="137"/>
  <c r="X122" i="137"/>
  <c r="X93" i="137"/>
  <c r="X103" i="137"/>
  <c r="X84" i="137"/>
  <c r="W102" i="137"/>
  <c r="W83" i="137"/>
  <c r="W121" i="137"/>
  <c r="W92" i="137"/>
  <c r="W120" i="137"/>
  <c r="W91" i="137"/>
  <c r="W101" i="137"/>
  <c r="W82" i="137"/>
  <c r="U103" i="137"/>
  <c r="U84" i="137"/>
  <c r="U122" i="137"/>
  <c r="U93" i="137"/>
  <c r="Z104" i="137"/>
  <c r="Z85" i="137"/>
  <c r="Z123" i="137"/>
  <c r="Z94" i="137"/>
  <c r="AB123" i="137"/>
  <c r="AB104" i="137"/>
  <c r="AB85" i="137"/>
  <c r="AB94" i="137"/>
  <c r="Z102" i="137"/>
  <c r="Z83" i="137"/>
  <c r="Z121" i="137"/>
  <c r="Z92" i="137"/>
  <c r="V83" i="137"/>
  <c r="V121" i="137"/>
  <c r="V92" i="137"/>
  <c r="V102" i="137"/>
  <c r="AD121" i="137"/>
  <c r="AD92" i="137"/>
  <c r="AD102" i="137"/>
  <c r="AD83" i="137"/>
  <c r="T103" i="137"/>
  <c r="T84" i="137"/>
  <c r="T122" i="137"/>
  <c r="T93" i="137"/>
  <c r="P40" i="140"/>
  <c r="AC103" i="137"/>
  <c r="AC84" i="137"/>
  <c r="AC122" i="137"/>
  <c r="AC93" i="137"/>
  <c r="W100" i="137"/>
  <c r="W81" i="137"/>
  <c r="W119" i="137"/>
  <c r="W90" i="137"/>
  <c r="G42" i="140"/>
  <c r="AA119" i="137"/>
  <c r="AA90" i="137"/>
  <c r="AA100" i="137"/>
  <c r="AA81" i="137"/>
  <c r="K42" i="140"/>
  <c r="AA121" i="137"/>
  <c r="AA92" i="137"/>
  <c r="AA102" i="137"/>
  <c r="AA83" i="137"/>
  <c r="X102" i="137"/>
  <c r="X83" i="137"/>
  <c r="X121" i="137"/>
  <c r="X92" i="137"/>
  <c r="AB103" i="137"/>
  <c r="AB84" i="137"/>
  <c r="AB122" i="137"/>
  <c r="AB93" i="137"/>
  <c r="Y104" i="137"/>
  <c r="Y85" i="137"/>
  <c r="Y123" i="137"/>
  <c r="Y94" i="137"/>
  <c r="AA101" i="137"/>
  <c r="AA82" i="137"/>
  <c r="AA120" i="137"/>
  <c r="AA91" i="137"/>
  <c r="AE120" i="137"/>
  <c r="AE91" i="137"/>
  <c r="AE101" i="137"/>
  <c r="AE82" i="137"/>
  <c r="AA103" i="137"/>
  <c r="AA84" i="137"/>
  <c r="AA122" i="137"/>
  <c r="AA93" i="137"/>
  <c r="U123" i="137"/>
  <c r="U94" i="137"/>
  <c r="U104" i="137"/>
  <c r="U85" i="137"/>
  <c r="V123" i="137"/>
  <c r="V94" i="137"/>
  <c r="V104" i="137"/>
  <c r="V85" i="137"/>
  <c r="X85" i="137"/>
  <c r="X123" i="137"/>
  <c r="X94" i="137"/>
  <c r="X104" i="137"/>
  <c r="AE102" i="137"/>
  <c r="AE83" i="137"/>
  <c r="AE121" i="137"/>
  <c r="AE92" i="137"/>
  <c r="W93" i="137"/>
  <c r="W103" i="137"/>
  <c r="W84" i="137"/>
  <c r="W122" i="137"/>
  <c r="AE100" i="137"/>
  <c r="AE81" i="137"/>
  <c r="AE119" i="137"/>
  <c r="AE90" i="137"/>
  <c r="O42" i="140"/>
  <c r="E42" i="140"/>
  <c r="Z147" i="127"/>
  <c r="AA147" i="127"/>
  <c r="AK147" i="127"/>
  <c r="Q147" i="127"/>
  <c r="AG147" i="127"/>
  <c r="R9" i="137" a="1"/>
  <c r="S147" i="127"/>
  <c r="AJ147" i="127"/>
  <c r="T147" i="127"/>
  <c r="R147" i="127"/>
  <c r="AE147" i="127"/>
  <c r="BU318" i="68"/>
  <c r="AJ121" i="88" s="1"/>
  <c r="R81" i="87"/>
  <c r="S81" i="87" s="1"/>
  <c r="T81" i="87" s="1"/>
  <c r="U81" i="87" s="1"/>
  <c r="V81" i="87" s="1"/>
  <c r="W81" i="87" s="1"/>
  <c r="X81" i="87" s="1"/>
  <c r="Y81" i="87" s="1"/>
  <c r="Z81" i="87" s="1"/>
  <c r="AA81" i="87" s="1"/>
  <c r="AB81" i="87" s="1"/>
  <c r="AC81" i="87" s="1"/>
  <c r="AD81" i="87" s="1"/>
  <c r="AE81" i="87" s="1"/>
  <c r="AF81" i="87" s="1"/>
  <c r="AG81" i="87" s="1"/>
  <c r="AH81" i="87" s="1"/>
  <c r="AI81" i="87" s="1"/>
  <c r="AJ81" i="87" s="1"/>
  <c r="AK81" i="87" s="1"/>
  <c r="D44" i="87"/>
  <c r="D46" i="87"/>
  <c r="F42" i="87"/>
  <c r="G42" i="87" s="1"/>
  <c r="R63" i="87"/>
  <c r="S63" i="87" s="1"/>
  <c r="T63" i="87" s="1"/>
  <c r="U63" i="87" s="1"/>
  <c r="V63" i="87" s="1"/>
  <c r="W63" i="87" s="1"/>
  <c r="X63" i="87" s="1"/>
  <c r="Y63" i="87" s="1"/>
  <c r="Z63" i="87" s="1"/>
  <c r="AA63" i="87" s="1"/>
  <c r="AB63" i="87" s="1"/>
  <c r="AC63" i="87" s="1"/>
  <c r="AD63" i="87" s="1"/>
  <c r="AE63" i="87" s="1"/>
  <c r="AF63" i="87" s="1"/>
  <c r="AG63" i="87" s="1"/>
  <c r="AH63" i="87" s="1"/>
  <c r="AI63" i="87" s="1"/>
  <c r="AJ63" i="87" s="1"/>
  <c r="AK63" i="87" s="1"/>
  <c r="K148" i="127"/>
  <c r="L84" i="87"/>
  <c r="M84" i="87" s="1"/>
  <c r="N84" i="87" s="1"/>
  <c r="O84" i="87" s="1"/>
  <c r="P84" i="87" s="1"/>
  <c r="Q84" i="87" s="1"/>
  <c r="R84" i="87" s="1"/>
  <c r="S84" i="87" s="1"/>
  <c r="T84" i="87" s="1"/>
  <c r="U84" i="87" s="1"/>
  <c r="V84" i="87" s="1"/>
  <c r="W84" i="87" s="1"/>
  <c r="X84" i="87" s="1"/>
  <c r="Y84" i="87" s="1"/>
  <c r="Z84" i="87" s="1"/>
  <c r="AA84" i="87" s="1"/>
  <c r="AB84" i="87" s="1"/>
  <c r="AC84" i="87" s="1"/>
  <c r="AD84" i="87" s="1"/>
  <c r="AE84" i="87" s="1"/>
  <c r="AF84" i="87" s="1"/>
  <c r="AG84" i="87" s="1"/>
  <c r="AH84" i="87" s="1"/>
  <c r="AI84" i="87" s="1"/>
  <c r="AJ84" i="87" s="1"/>
  <c r="AK84" i="87" s="1"/>
  <c r="G98" i="127"/>
  <c r="J148" i="127"/>
  <c r="K83" i="87"/>
  <c r="L83" i="87" s="1"/>
  <c r="M83" i="87" s="1"/>
  <c r="N83" i="87" s="1"/>
  <c r="O83" i="87" s="1"/>
  <c r="P83" i="87" s="1"/>
  <c r="Q83" i="87" s="1"/>
  <c r="R83" i="87" s="1"/>
  <c r="S83" i="87" s="1"/>
  <c r="T83" i="87" s="1"/>
  <c r="U83" i="87" s="1"/>
  <c r="V83" i="87" s="1"/>
  <c r="W83" i="87" s="1"/>
  <c r="X83" i="87" s="1"/>
  <c r="Y83" i="87" s="1"/>
  <c r="Z83" i="87" s="1"/>
  <c r="AA83" i="87" s="1"/>
  <c r="AB83" i="87" s="1"/>
  <c r="AC83" i="87" s="1"/>
  <c r="AD83" i="87" s="1"/>
  <c r="AE83" i="87" s="1"/>
  <c r="AF83" i="87" s="1"/>
  <c r="AG83" i="87" s="1"/>
  <c r="AH83" i="87" s="1"/>
  <c r="AI83" i="87" s="1"/>
  <c r="AJ83" i="87" s="1"/>
  <c r="AK83" i="87" s="1"/>
  <c r="G52" i="87"/>
  <c r="G67" i="127" s="1"/>
  <c r="G68" i="127" s="1"/>
  <c r="I70" i="87"/>
  <c r="H129" i="127"/>
  <c r="L148" i="127"/>
  <c r="M85" i="87"/>
  <c r="N85" i="87" s="1"/>
  <c r="O85" i="87" s="1"/>
  <c r="P85" i="87" s="1"/>
  <c r="Q85" i="87" s="1"/>
  <c r="R85" i="87" s="1"/>
  <c r="S85" i="87" s="1"/>
  <c r="T85" i="87" s="1"/>
  <c r="U85" i="87" s="1"/>
  <c r="V85" i="87" s="1"/>
  <c r="W85" i="87" s="1"/>
  <c r="X85" i="87" s="1"/>
  <c r="Y85" i="87" s="1"/>
  <c r="Z85" i="87" s="1"/>
  <c r="AA85" i="87" s="1"/>
  <c r="AB85" i="87" s="1"/>
  <c r="AC85" i="87" s="1"/>
  <c r="AD85" i="87" s="1"/>
  <c r="AE85" i="87" s="1"/>
  <c r="AF85" i="87" s="1"/>
  <c r="AG85" i="87" s="1"/>
  <c r="AH85" i="87" s="1"/>
  <c r="AI85" i="87" s="1"/>
  <c r="AJ85" i="87" s="1"/>
  <c r="AK85" i="87" s="1"/>
  <c r="M148" i="127"/>
  <c r="N86" i="87"/>
  <c r="O86" i="87" s="1"/>
  <c r="P86" i="87" s="1"/>
  <c r="Q86" i="87" s="1"/>
  <c r="R86" i="87" s="1"/>
  <c r="S86" i="87" s="1"/>
  <c r="T86" i="87" s="1"/>
  <c r="U86" i="87" s="1"/>
  <c r="V86" i="87" s="1"/>
  <c r="W86" i="87" s="1"/>
  <c r="X86" i="87" s="1"/>
  <c r="Y86" i="87" s="1"/>
  <c r="Z86" i="87" s="1"/>
  <c r="AA86" i="87" s="1"/>
  <c r="AB86" i="87" s="1"/>
  <c r="AC86" i="87" s="1"/>
  <c r="AD86" i="87" s="1"/>
  <c r="AE86" i="87" s="1"/>
  <c r="AF86" i="87" s="1"/>
  <c r="AG86" i="87" s="1"/>
  <c r="AH86" i="87" s="1"/>
  <c r="AI86" i="87" s="1"/>
  <c r="AJ86" i="87" s="1"/>
  <c r="AK86" i="87" s="1"/>
  <c r="J81" i="127"/>
  <c r="K65" i="87"/>
  <c r="L65" i="87" s="1"/>
  <c r="M65" i="87" s="1"/>
  <c r="N65" i="87" s="1"/>
  <c r="O65" i="87" s="1"/>
  <c r="P65" i="87" s="1"/>
  <c r="Q65" i="87" s="1"/>
  <c r="R65" i="87" s="1"/>
  <c r="S65" i="87" s="1"/>
  <c r="T65" i="87" s="1"/>
  <c r="U65" i="87" s="1"/>
  <c r="V65" i="87" s="1"/>
  <c r="W65" i="87" s="1"/>
  <c r="X65" i="87" s="1"/>
  <c r="Y65" i="87" s="1"/>
  <c r="Z65" i="87" s="1"/>
  <c r="AA65" i="87" s="1"/>
  <c r="AB65" i="87" s="1"/>
  <c r="AC65" i="87" s="1"/>
  <c r="AD65" i="87" s="1"/>
  <c r="AE65" i="87" s="1"/>
  <c r="AF65" i="87" s="1"/>
  <c r="AG65" i="87" s="1"/>
  <c r="AH65" i="87" s="1"/>
  <c r="AI65" i="87" s="1"/>
  <c r="AJ65" i="87" s="1"/>
  <c r="AK65" i="87" s="1"/>
  <c r="L56" i="87"/>
  <c r="M56" i="87" s="1"/>
  <c r="N56" i="87" s="1"/>
  <c r="O56" i="87" s="1"/>
  <c r="P56" i="87" s="1"/>
  <c r="Q56" i="87" s="1"/>
  <c r="R56" i="87" s="1"/>
  <c r="S56" i="87" s="1"/>
  <c r="T56" i="87" s="1"/>
  <c r="U56" i="87" s="1"/>
  <c r="V56" i="87" s="1"/>
  <c r="W56" i="87" s="1"/>
  <c r="X56" i="87" s="1"/>
  <c r="Y56" i="87" s="1"/>
  <c r="Z56" i="87" s="1"/>
  <c r="AA56" i="87" s="1"/>
  <c r="AB56" i="87" s="1"/>
  <c r="AC56" i="87" s="1"/>
  <c r="AD56" i="87" s="1"/>
  <c r="AE56" i="87" s="1"/>
  <c r="AF56" i="87" s="1"/>
  <c r="AG56" i="87" s="1"/>
  <c r="AH56" i="87" s="1"/>
  <c r="AI56" i="87" s="1"/>
  <c r="AJ56" i="87" s="1"/>
  <c r="AK56" i="87" s="1"/>
  <c r="K84" i="127"/>
  <c r="L66" i="87"/>
  <c r="M66" i="87" s="1"/>
  <c r="N66" i="87" s="1"/>
  <c r="O66" i="87" s="1"/>
  <c r="P66" i="87" s="1"/>
  <c r="Q66" i="87" s="1"/>
  <c r="R66" i="87" s="1"/>
  <c r="S66" i="87" s="1"/>
  <c r="T66" i="87" s="1"/>
  <c r="U66" i="87" s="1"/>
  <c r="V66" i="87" s="1"/>
  <c r="W66" i="87" s="1"/>
  <c r="X66" i="87" s="1"/>
  <c r="Y66" i="87" s="1"/>
  <c r="Z66" i="87" s="1"/>
  <c r="AA66" i="87" s="1"/>
  <c r="AB66" i="87" s="1"/>
  <c r="AC66" i="87" s="1"/>
  <c r="AD66" i="87" s="1"/>
  <c r="AE66" i="87" s="1"/>
  <c r="AF66" i="87" s="1"/>
  <c r="AG66" i="87" s="1"/>
  <c r="AH66" i="87" s="1"/>
  <c r="AI66" i="87" s="1"/>
  <c r="AJ66" i="87" s="1"/>
  <c r="AK66" i="87" s="1"/>
  <c r="L81" i="127"/>
  <c r="M67" i="87"/>
  <c r="N67" i="87" s="1"/>
  <c r="O67" i="87" s="1"/>
  <c r="P67" i="87" s="1"/>
  <c r="Q67" i="87" s="1"/>
  <c r="R67" i="87" s="1"/>
  <c r="S67" i="87" s="1"/>
  <c r="T67" i="87" s="1"/>
  <c r="U67" i="87" s="1"/>
  <c r="V67" i="87" s="1"/>
  <c r="W67" i="87" s="1"/>
  <c r="X67" i="87" s="1"/>
  <c r="Y67" i="87" s="1"/>
  <c r="Z67" i="87" s="1"/>
  <c r="AA67" i="87" s="1"/>
  <c r="AB67" i="87" s="1"/>
  <c r="AC67" i="87" s="1"/>
  <c r="AD67" i="87" s="1"/>
  <c r="AE67" i="87" s="1"/>
  <c r="AF67" i="87" s="1"/>
  <c r="AG67" i="87" s="1"/>
  <c r="AH67" i="87" s="1"/>
  <c r="AI67" i="87" s="1"/>
  <c r="AJ67" i="87" s="1"/>
  <c r="AK67" i="87" s="1"/>
  <c r="K114" i="127"/>
  <c r="L75" i="87"/>
  <c r="M75" i="87" s="1"/>
  <c r="N75" i="87" s="1"/>
  <c r="O75" i="87" s="1"/>
  <c r="P75" i="87" s="1"/>
  <c r="Q75" i="87" s="1"/>
  <c r="R75" i="87" s="1"/>
  <c r="S75" i="87" s="1"/>
  <c r="T75" i="87" s="1"/>
  <c r="U75" i="87" s="1"/>
  <c r="V75" i="87" s="1"/>
  <c r="W75" i="87" s="1"/>
  <c r="X75" i="87" s="1"/>
  <c r="Y75" i="87" s="1"/>
  <c r="Z75" i="87" s="1"/>
  <c r="AA75" i="87" s="1"/>
  <c r="AB75" i="87" s="1"/>
  <c r="AC75" i="87" s="1"/>
  <c r="AD75" i="87" s="1"/>
  <c r="AE75" i="87" s="1"/>
  <c r="AF75" i="87" s="1"/>
  <c r="AG75" i="87" s="1"/>
  <c r="AH75" i="87" s="1"/>
  <c r="AI75" i="87" s="1"/>
  <c r="AJ75" i="87" s="1"/>
  <c r="AK75" i="87" s="1"/>
  <c r="O115" i="127"/>
  <c r="O78" i="87"/>
  <c r="AF86" i="127"/>
  <c r="AG86" i="127"/>
  <c r="BB136" i="68"/>
  <c r="Q55" i="88" s="1"/>
  <c r="M86" i="127"/>
  <c r="J53" i="127"/>
  <c r="N57" i="87"/>
  <c r="O57" i="87" s="1"/>
  <c r="P57" i="87" s="1"/>
  <c r="Q57" i="87" s="1"/>
  <c r="R57" i="87" s="1"/>
  <c r="S57" i="87" s="1"/>
  <c r="T57" i="87" s="1"/>
  <c r="U57" i="87" s="1"/>
  <c r="V57" i="87" s="1"/>
  <c r="W57" i="87" s="1"/>
  <c r="X57" i="87" s="1"/>
  <c r="Y57" i="87" s="1"/>
  <c r="Z57" i="87" s="1"/>
  <c r="AA57" i="87" s="1"/>
  <c r="AB57" i="87" s="1"/>
  <c r="AC57" i="87" s="1"/>
  <c r="AD57" i="87" s="1"/>
  <c r="AE57" i="87" s="1"/>
  <c r="AF57" i="87" s="1"/>
  <c r="AG57" i="87" s="1"/>
  <c r="AH57" i="87" s="1"/>
  <c r="AI57" i="87" s="1"/>
  <c r="AJ57" i="87" s="1"/>
  <c r="AK57" i="87" s="1"/>
  <c r="J54" i="127"/>
  <c r="J51" i="127"/>
  <c r="J54" i="87"/>
  <c r="K54" i="87" s="1"/>
  <c r="L54" i="87" s="1"/>
  <c r="M54" i="87" s="1"/>
  <c r="N54" i="87" s="1"/>
  <c r="O54" i="87" s="1"/>
  <c r="P54" i="87" s="1"/>
  <c r="Q54" i="87" s="1"/>
  <c r="R54" i="87" s="1"/>
  <c r="S54" i="87" s="1"/>
  <c r="T54" i="87" s="1"/>
  <c r="U54" i="87" s="1"/>
  <c r="V54" i="87" s="1"/>
  <c r="W54" i="87" s="1"/>
  <c r="X54" i="87" s="1"/>
  <c r="Y54" i="87" s="1"/>
  <c r="Z54" i="87" s="1"/>
  <c r="AA54" i="87" s="1"/>
  <c r="AB54" i="87" s="1"/>
  <c r="AC54" i="87" s="1"/>
  <c r="AD54" i="87" s="1"/>
  <c r="AE54" i="87" s="1"/>
  <c r="AF54" i="87" s="1"/>
  <c r="AG54" i="87" s="1"/>
  <c r="AH54" i="87" s="1"/>
  <c r="AI54" i="87" s="1"/>
  <c r="AJ54" i="87" s="1"/>
  <c r="AK54" i="87" s="1"/>
  <c r="G41" i="87"/>
  <c r="H41" i="87" s="1"/>
  <c r="I41" i="87" s="1"/>
  <c r="J41" i="87" s="1"/>
  <c r="K41" i="87" s="1"/>
  <c r="L41" i="87" s="1"/>
  <c r="M41" i="87" s="1"/>
  <c r="N41" i="87" s="1"/>
  <c r="J52" i="127"/>
  <c r="N58" i="87"/>
  <c r="O58" i="87" s="1"/>
  <c r="P58" i="87" s="1"/>
  <c r="Q58" i="87" s="1"/>
  <c r="R58" i="87" s="1"/>
  <c r="S58" i="87" s="1"/>
  <c r="T58" i="87" s="1"/>
  <c r="U58" i="87" s="1"/>
  <c r="V58" i="87" s="1"/>
  <c r="W58" i="87" s="1"/>
  <c r="X58" i="87" s="1"/>
  <c r="Y58" i="87" s="1"/>
  <c r="Z58" i="87" s="1"/>
  <c r="AA58" i="87" s="1"/>
  <c r="AB58" i="87" s="1"/>
  <c r="AC58" i="87" s="1"/>
  <c r="AD58" i="87" s="1"/>
  <c r="AE58" i="87" s="1"/>
  <c r="AF58" i="87" s="1"/>
  <c r="AG58" i="87" s="1"/>
  <c r="AH58" i="87" s="1"/>
  <c r="AI58" i="87" s="1"/>
  <c r="AJ58" i="87" s="1"/>
  <c r="AK58" i="87" s="1"/>
  <c r="J49" i="127"/>
  <c r="N115" i="127"/>
  <c r="K81" i="127"/>
  <c r="N49" i="127"/>
  <c r="N52" i="127"/>
  <c r="J144" i="127"/>
  <c r="L147" i="127"/>
  <c r="Q235" i="127"/>
  <c r="V235" i="127"/>
  <c r="M53" i="127"/>
  <c r="K82" i="127"/>
  <c r="AI235" i="127"/>
  <c r="Z235" i="127"/>
  <c r="AH235" i="127"/>
  <c r="K83" i="127"/>
  <c r="K80" i="127"/>
  <c r="F96" i="87"/>
  <c r="D235" i="127"/>
  <c r="G43" i="87"/>
  <c r="G44" i="87" s="1"/>
  <c r="G93" i="87" s="1"/>
  <c r="F90" i="87"/>
  <c r="U51" i="127"/>
  <c r="AG51" i="127"/>
  <c r="AD51" i="127"/>
  <c r="O51" i="127"/>
  <c r="AI51" i="127"/>
  <c r="Z51" i="127"/>
  <c r="T51" i="127"/>
  <c r="AJ51" i="127"/>
  <c r="X51" i="127"/>
  <c r="AE51" i="127"/>
  <c r="Y51" i="127"/>
  <c r="AC51" i="127"/>
  <c r="W51" i="127"/>
  <c r="AK51" i="127"/>
  <c r="AA51" i="127"/>
  <c r="V51" i="127"/>
  <c r="K54" i="127"/>
  <c r="L235" i="127"/>
  <c r="AB235" i="127"/>
  <c r="K49" i="127"/>
  <c r="U235" i="127"/>
  <c r="L53" i="127"/>
  <c r="T235" i="127"/>
  <c r="AK235" i="127"/>
  <c r="D68" i="127"/>
  <c r="K51" i="127"/>
  <c r="R235" i="127"/>
  <c r="AG235" i="127"/>
  <c r="AF235" i="127"/>
  <c r="AC235" i="127"/>
  <c r="AD235" i="127"/>
  <c r="K235" i="127"/>
  <c r="P235" i="127"/>
  <c r="Y235" i="127"/>
  <c r="W235" i="127"/>
  <c r="N235" i="127"/>
  <c r="K50" i="127"/>
  <c r="F44" i="87"/>
  <c r="F93" i="87" s="1"/>
  <c r="AE235" i="127"/>
  <c r="O235" i="127"/>
  <c r="J235" i="127"/>
  <c r="K52" i="127"/>
  <c r="AA235" i="127"/>
  <c r="X235" i="127"/>
  <c r="K53" i="127"/>
  <c r="M235" i="127"/>
  <c r="AJ235" i="127"/>
  <c r="J80" i="127"/>
  <c r="K145" i="127"/>
  <c r="N51" i="127"/>
  <c r="Q53" i="87"/>
  <c r="R53" i="87" s="1"/>
  <c r="S53" i="87" s="1"/>
  <c r="T53" i="87" s="1"/>
  <c r="U53" i="87" s="1"/>
  <c r="V53" i="87" s="1"/>
  <c r="W53" i="87" s="1"/>
  <c r="X53" i="87" s="1"/>
  <c r="Y53" i="87" s="1"/>
  <c r="Z53" i="87" s="1"/>
  <c r="AA53" i="87" s="1"/>
  <c r="AB53" i="87" s="1"/>
  <c r="AC53" i="87" s="1"/>
  <c r="AD53" i="87" s="1"/>
  <c r="AE53" i="87" s="1"/>
  <c r="AF53" i="87" s="1"/>
  <c r="AG53" i="87" s="1"/>
  <c r="AH53" i="87" s="1"/>
  <c r="AI53" i="87" s="1"/>
  <c r="AJ53" i="87" s="1"/>
  <c r="AK53" i="87" s="1"/>
  <c r="J83" i="127"/>
  <c r="K143" i="127"/>
  <c r="J86" i="127"/>
  <c r="J84" i="127"/>
  <c r="K142" i="127"/>
  <c r="K144" i="127"/>
  <c r="F46" i="87"/>
  <c r="F99" i="87" s="1"/>
  <c r="A8" i="135"/>
  <c r="N50" i="127"/>
  <c r="L84" i="127"/>
  <c r="L86" i="127"/>
  <c r="N53" i="127"/>
  <c r="L83" i="127"/>
  <c r="L80" i="127"/>
  <c r="F40" i="87"/>
  <c r="G40" i="87" s="1"/>
  <c r="E39" i="87"/>
  <c r="L114" i="127"/>
  <c r="AA146" i="127"/>
  <c r="E24" i="105"/>
  <c r="F23" i="105"/>
  <c r="F108" i="105"/>
  <c r="G107" i="105"/>
  <c r="AG146" i="127"/>
  <c r="AB146" i="127"/>
  <c r="AJ146" i="127"/>
  <c r="U175" i="127"/>
  <c r="D175" i="127"/>
  <c r="AF175" i="127"/>
  <c r="AK175" i="127"/>
  <c r="AB175" i="127"/>
  <c r="AI175" i="127"/>
  <c r="N175" i="127"/>
  <c r="AE175" i="127"/>
  <c r="J175" i="127"/>
  <c r="P175" i="127"/>
  <c r="O175" i="127"/>
  <c r="AG175" i="127"/>
  <c r="AH175" i="127"/>
  <c r="AD175" i="127"/>
  <c r="AC175" i="127"/>
  <c r="Z175" i="127"/>
  <c r="T175" i="127"/>
  <c r="S175" i="127"/>
  <c r="L175" i="127"/>
  <c r="Q175" i="127"/>
  <c r="W175" i="127"/>
  <c r="V175" i="127"/>
  <c r="AA175" i="127"/>
  <c r="X175" i="127"/>
  <c r="K175" i="127"/>
  <c r="AJ175" i="127"/>
  <c r="Y175" i="127"/>
  <c r="BO301" i="68"/>
  <c r="AD120" i="88" s="1"/>
  <c r="BP301" i="68"/>
  <c r="AE120" i="88" s="1"/>
  <c r="AC86" i="127"/>
  <c r="V146" i="127"/>
  <c r="AL409" i="68"/>
  <c r="BV409" i="68" s="1"/>
  <c r="R409" i="68"/>
  <c r="BB409" i="68" s="1"/>
  <c r="I409" i="68"/>
  <c r="AR409" i="68"/>
  <c r="AB409" i="68"/>
  <c r="BL409" i="68" s="1"/>
  <c r="AQ411" i="68"/>
  <c r="Q411" i="68"/>
  <c r="BA411" i="68" s="1"/>
  <c r="AA411" i="68"/>
  <c r="BK411" i="68" s="1"/>
  <c r="AK411" i="68"/>
  <c r="BU411" i="68" s="1"/>
  <c r="H411" i="68"/>
  <c r="AA144" i="127"/>
  <c r="AI144" i="127"/>
  <c r="AG144" i="127"/>
  <c r="R144" i="127"/>
  <c r="P144" i="127"/>
  <c r="S144" i="127"/>
  <c r="U144" i="127"/>
  <c r="T144" i="127"/>
  <c r="W144" i="127"/>
  <c r="AJ144" i="127"/>
  <c r="Y144" i="127"/>
  <c r="AE144" i="127"/>
  <c r="AC144" i="127"/>
  <c r="AK144" i="127"/>
  <c r="AH144" i="127"/>
  <c r="X144" i="127"/>
  <c r="O144" i="127"/>
  <c r="AD144" i="127"/>
  <c r="Q144" i="127"/>
  <c r="Z144" i="127"/>
  <c r="AB144" i="127"/>
  <c r="BI136" i="68"/>
  <c r="X55" i="88" s="1"/>
  <c r="BN399" i="68"/>
  <c r="AC149" i="88" s="1"/>
  <c r="AK82" i="127"/>
  <c r="AI82" i="127"/>
  <c r="V82" i="127"/>
  <c r="O82" i="127"/>
  <c r="T82" i="127"/>
  <c r="Z82" i="127"/>
  <c r="AF82" i="127"/>
  <c r="X82" i="127"/>
  <c r="AD82" i="127"/>
  <c r="S82" i="127"/>
  <c r="AE82" i="127"/>
  <c r="AB82" i="127"/>
  <c r="P82" i="127"/>
  <c r="R82" i="127"/>
  <c r="AJ82" i="127"/>
  <c r="AC82" i="127"/>
  <c r="AG82" i="127"/>
  <c r="AA82" i="127"/>
  <c r="U82" i="127"/>
  <c r="AH82" i="127"/>
  <c r="W82" i="127"/>
  <c r="Y82" i="127"/>
  <c r="Q82" i="127"/>
  <c r="O146" i="127"/>
  <c r="BP136" i="68"/>
  <c r="AE55" i="88" s="1"/>
  <c r="BF243" i="68"/>
  <c r="U89" i="88" s="1"/>
  <c r="BP243" i="68"/>
  <c r="AE89" i="88" s="1"/>
  <c r="BR399" i="68"/>
  <c r="AG149" i="88" s="1"/>
  <c r="BD301" i="68"/>
  <c r="R175" i="127"/>
  <c r="U146" i="127"/>
  <c r="K86" i="127"/>
  <c r="T146" i="127"/>
  <c r="BS441" i="68"/>
  <c r="BS443" i="68" s="1"/>
  <c r="AH155" i="88" s="1"/>
  <c r="AH156" i="88" s="1"/>
  <c r="BI443" i="68"/>
  <c r="X155" i="88" s="1"/>
  <c r="X156" i="88" s="1"/>
  <c r="AI142" i="127"/>
  <c r="R142" i="127"/>
  <c r="AB142" i="127"/>
  <c r="U142" i="127"/>
  <c r="O142" i="127"/>
  <c r="AE142" i="127"/>
  <c r="Y142" i="127"/>
  <c r="AF142" i="127"/>
  <c r="Z142" i="127"/>
  <c r="AG142" i="127"/>
  <c r="T142" i="127"/>
  <c r="P142" i="127"/>
  <c r="AJ142" i="127"/>
  <c r="Q142" i="127"/>
  <c r="W142" i="127"/>
  <c r="AA142" i="127"/>
  <c r="S142" i="127"/>
  <c r="S8" i="127" s="1"/>
  <c r="AK142" i="127"/>
  <c r="V142" i="127"/>
  <c r="X142" i="127"/>
  <c r="AH142" i="127"/>
  <c r="AC142" i="127"/>
  <c r="AD142" i="127"/>
  <c r="AZ301" i="68"/>
  <c r="O120" i="88" s="1"/>
  <c r="AA86" i="127"/>
  <c r="W86" i="127"/>
  <c r="Q86" i="127"/>
  <c r="P86" i="127"/>
  <c r="O86" i="127"/>
  <c r="AE86" i="127"/>
  <c r="AB86" i="127"/>
  <c r="T86" i="127"/>
  <c r="V86" i="127"/>
  <c r="AK86" i="127"/>
  <c r="Y86" i="127"/>
  <c r="AJ86" i="127"/>
  <c r="Z86" i="127"/>
  <c r="S86" i="127"/>
  <c r="AD86" i="127"/>
  <c r="AI86" i="127"/>
  <c r="U86" i="127"/>
  <c r="AR152" i="68"/>
  <c r="G56" i="88" s="1"/>
  <c r="X86" i="127"/>
  <c r="AO136" i="68"/>
  <c r="D55" i="88" s="1"/>
  <c r="AY301" i="68"/>
  <c r="N120" i="88" s="1"/>
  <c r="M175" i="127"/>
  <c r="P146" i="127"/>
  <c r="R86" i="127"/>
  <c r="L82" i="127"/>
  <c r="AD146" i="127"/>
  <c r="AB407" i="68"/>
  <c r="BL407" i="68" s="1"/>
  <c r="AL407" i="68"/>
  <c r="BV407" i="68" s="1"/>
  <c r="AR407" i="68"/>
  <c r="S75" i="68"/>
  <c r="BC75" i="68" s="1"/>
  <c r="AE75" i="68"/>
  <c r="BO75" i="68" s="1"/>
  <c r="AC146" i="127"/>
  <c r="BJ243" i="68"/>
  <c r="Y89" i="88" s="1"/>
  <c r="AP301" i="68"/>
  <c r="E120" i="88" s="1"/>
  <c r="AH86" i="127"/>
  <c r="J82" i="127"/>
  <c r="Z146" i="127"/>
  <c r="BR441" i="68"/>
  <c r="BR443" i="68" s="1"/>
  <c r="AG155" i="88" s="1"/>
  <c r="AG156" i="88" s="1"/>
  <c r="BH443" i="68"/>
  <c r="W155" i="88" s="1"/>
  <c r="W156" i="88" s="1"/>
  <c r="R54" i="127"/>
  <c r="O54" i="127"/>
  <c r="S54" i="127"/>
  <c r="AC54" i="127"/>
  <c r="AH54" i="127"/>
  <c r="U54" i="127"/>
  <c r="AG54" i="127"/>
  <c r="AK54" i="127"/>
  <c r="V54" i="127"/>
  <c r="Q54" i="127"/>
  <c r="AF54" i="127"/>
  <c r="W54" i="127"/>
  <c r="Z54" i="127"/>
  <c r="X54" i="127"/>
  <c r="Y54" i="127"/>
  <c r="AJ54" i="127"/>
  <c r="AE54" i="127"/>
  <c r="X146" i="127"/>
  <c r="AF146" i="127"/>
  <c r="AK146" i="127"/>
  <c r="Q146" i="127"/>
  <c r="R146" i="127"/>
  <c r="S146" i="127"/>
  <c r="Y146" i="127"/>
  <c r="AH146" i="127"/>
  <c r="W146" i="127"/>
  <c r="K146" i="127"/>
  <c r="H42" i="87"/>
  <c r="I42" i="87" s="1"/>
  <c r="J42" i="87" s="1"/>
  <c r="L115" i="127"/>
  <c r="L111" i="127"/>
  <c r="K112" i="127"/>
  <c r="L113" i="127"/>
  <c r="L112" i="127"/>
  <c r="K115" i="127"/>
  <c r="J145" i="127"/>
  <c r="J143" i="127"/>
  <c r="J142" i="127"/>
  <c r="J147" i="127"/>
  <c r="J146" i="127"/>
  <c r="BV6" i="140"/>
  <c r="CG6" i="140" s="1"/>
  <c r="CR6" i="140" s="1"/>
  <c r="DC6" i="140" s="1"/>
  <c r="DN6" i="140" s="1"/>
  <c r="AQ301" i="68"/>
  <c r="F120" i="88" s="1"/>
  <c r="BL301" i="68"/>
  <c r="AA120" i="88" s="1"/>
  <c r="L144" i="127"/>
  <c r="L146" i="127"/>
  <c r="L143" i="127"/>
  <c r="L145" i="127"/>
  <c r="L142" i="127"/>
  <c r="M115" i="127"/>
  <c r="K113" i="127"/>
  <c r="K111" i="127"/>
  <c r="N54" i="127"/>
  <c r="M147" i="127"/>
  <c r="O117" i="127"/>
  <c r="N142" i="127"/>
  <c r="N143" i="127"/>
  <c r="N144" i="127"/>
  <c r="N147" i="127"/>
  <c r="N146" i="127"/>
  <c r="N145" i="127"/>
  <c r="N148" i="127"/>
  <c r="N82" i="127"/>
  <c r="N83" i="127"/>
  <c r="N80" i="127"/>
  <c r="N81" i="127"/>
  <c r="N86" i="127"/>
  <c r="O114" i="127"/>
  <c r="O112" i="127"/>
  <c r="O111" i="127"/>
  <c r="N84" i="127"/>
  <c r="L51" i="127"/>
  <c r="L50" i="127"/>
  <c r="L52" i="127"/>
  <c r="L49" i="127"/>
  <c r="L54" i="127"/>
  <c r="N114" i="127"/>
  <c r="M113" i="127"/>
  <c r="M112" i="127"/>
  <c r="N111" i="127"/>
  <c r="N112" i="127"/>
  <c r="M111" i="127"/>
  <c r="M114" i="127"/>
  <c r="N113" i="127"/>
  <c r="M144" i="127"/>
  <c r="M145" i="127"/>
  <c r="M143" i="127"/>
  <c r="M146" i="127"/>
  <c r="M142" i="127"/>
  <c r="M82" i="127"/>
  <c r="M84" i="127"/>
  <c r="M83" i="127"/>
  <c r="M80" i="127"/>
  <c r="M81" i="127"/>
  <c r="M54" i="127"/>
  <c r="M52" i="127"/>
  <c r="M50" i="127"/>
  <c r="M49" i="127"/>
  <c r="M51" i="127"/>
  <c r="M120" i="88"/>
  <c r="B101" i="100"/>
  <c r="C101" i="100" s="1"/>
  <c r="D101" i="100" s="1"/>
  <c r="E101" i="100" s="1"/>
  <c r="D429" i="68" s="1"/>
  <c r="F101" i="100"/>
  <c r="B102" i="100"/>
  <c r="C102" i="100" s="1"/>
  <c r="D102" i="100" s="1"/>
  <c r="E102" i="100" s="1"/>
  <c r="H50" i="104" s="1"/>
  <c r="I50" i="104" s="1"/>
  <c r="F102" i="100"/>
  <c r="K74" i="105"/>
  <c r="C45" i="105"/>
  <c r="Y87" i="88"/>
  <c r="Y14" i="68"/>
  <c r="BI14" i="68" s="1"/>
  <c r="BI23" i="68" s="1"/>
  <c r="AK14" i="68"/>
  <c r="BU14" i="68" s="1"/>
  <c r="BU23" i="68" s="1"/>
  <c r="AW14" i="68"/>
  <c r="AW23" i="68" s="1"/>
  <c r="Z382" i="68"/>
  <c r="BJ382" i="68" s="1"/>
  <c r="AJ382" i="68"/>
  <c r="BT382" i="68" s="1"/>
  <c r="P382" i="68"/>
  <c r="AZ382" i="68" s="1"/>
  <c r="AP382" i="68"/>
  <c r="D142" i="127"/>
  <c r="D144" i="127"/>
  <c r="D146" i="127"/>
  <c r="D148" i="127"/>
  <c r="D147" i="127"/>
  <c r="D145" i="127"/>
  <c r="D143" i="127"/>
  <c r="D88" i="87"/>
  <c r="D216" i="127" s="1"/>
  <c r="BV301" i="68"/>
  <c r="AJ384" i="68"/>
  <c r="BT384" i="68" s="1"/>
  <c r="AP384" i="68"/>
  <c r="P384" i="68"/>
  <c r="AZ384" i="68" s="1"/>
  <c r="Z384" i="68"/>
  <c r="BJ384" i="68" s="1"/>
  <c r="AC89" i="88"/>
  <c r="D81" i="88"/>
  <c r="O18" i="105"/>
  <c r="L44" i="105"/>
  <c r="C39" i="105"/>
  <c r="G45" i="104"/>
  <c r="C40" i="105" s="1"/>
  <c r="X106" i="68"/>
  <c r="BH106" i="68" s="1"/>
  <c r="AV106" i="68"/>
  <c r="AJ106" i="68"/>
  <c r="BT106" i="68" s="1"/>
  <c r="Z105" i="68"/>
  <c r="BJ105" i="68" s="1"/>
  <c r="AL105" i="68"/>
  <c r="BV105" i="68" s="1"/>
  <c r="AX105" i="68"/>
  <c r="B103" i="100"/>
  <c r="C103" i="100" s="1"/>
  <c r="D103" i="100" s="1"/>
  <c r="E103" i="100" s="1"/>
  <c r="F50" i="104" s="1"/>
  <c r="G50" i="104" s="1"/>
  <c r="F103" i="100"/>
  <c r="AD56" i="88"/>
  <c r="C11" i="105"/>
  <c r="E45" i="104"/>
  <c r="C12" i="105" s="1"/>
  <c r="AA106" i="68"/>
  <c r="BK106" i="68" s="1"/>
  <c r="BK115" i="68" s="1"/>
  <c r="AY106" i="68"/>
  <c r="AY115" i="68" s="1"/>
  <c r="AJ87" i="88"/>
  <c r="G382" i="68"/>
  <c r="I124" i="85"/>
  <c r="D114" i="127"/>
  <c r="D112" i="127"/>
  <c r="D111" i="127"/>
  <c r="D115" i="127"/>
  <c r="BE301" i="68"/>
  <c r="G384" i="68"/>
  <c r="I126" i="85"/>
  <c r="AB122" i="88"/>
  <c r="T100" i="68"/>
  <c r="BD100" i="68" s="1"/>
  <c r="AF100" i="68"/>
  <c r="BP100" i="68" s="1"/>
  <c r="AR100" i="68"/>
  <c r="R100" i="68"/>
  <c r="BB100" i="68" s="1"/>
  <c r="AD100" i="68"/>
  <c r="BN100" i="68" s="1"/>
  <c r="AP100" i="68"/>
  <c r="AV301" i="68"/>
  <c r="P374" i="68"/>
  <c r="AZ374" i="68" s="1"/>
  <c r="AJ374" i="68"/>
  <c r="BT374" i="68" s="1"/>
  <c r="Z374" i="68"/>
  <c r="BJ374" i="68" s="1"/>
  <c r="AP374" i="68"/>
  <c r="BT301" i="68"/>
  <c r="N89" i="88"/>
  <c r="U88" i="88"/>
  <c r="D86" i="127"/>
  <c r="D84" i="127"/>
  <c r="D83" i="127"/>
  <c r="D80" i="127"/>
  <c r="D81" i="127"/>
  <c r="D82" i="127"/>
  <c r="G89" i="88"/>
  <c r="N149" i="88"/>
  <c r="AT136" i="68"/>
  <c r="Q14" i="68"/>
  <c r="BA14" i="68" s="1"/>
  <c r="BA23" i="68" s="1"/>
  <c r="AC14" i="68"/>
  <c r="BM14" i="68" s="1"/>
  <c r="BM23" i="68" s="1"/>
  <c r="AO14" i="68"/>
  <c r="AO23" i="68" s="1"/>
  <c r="AH8" i="68"/>
  <c r="BR8" i="68" s="1"/>
  <c r="BR23" i="68" s="1"/>
  <c r="V8" i="68"/>
  <c r="BF8" i="68" s="1"/>
  <c r="BF23" i="68" s="1"/>
  <c r="AT8" i="68"/>
  <c r="AT23" i="68" s="1"/>
  <c r="T106" i="68"/>
  <c r="BD106" i="68" s="1"/>
  <c r="AF106" i="68"/>
  <c r="BP106" i="68" s="1"/>
  <c r="AR106" i="68"/>
  <c r="AD106" i="68"/>
  <c r="BN106" i="68" s="1"/>
  <c r="AP106" i="68"/>
  <c r="R106" i="68"/>
  <c r="BB106" i="68" s="1"/>
  <c r="G374" i="68"/>
  <c r="I116" i="85"/>
  <c r="J268" i="127"/>
  <c r="R268" i="127"/>
  <c r="N268" i="127"/>
  <c r="AG268" i="127"/>
  <c r="O268" i="127"/>
  <c r="K268" i="127"/>
  <c r="AA268" i="127"/>
  <c r="V268" i="127"/>
  <c r="T268" i="127"/>
  <c r="U268" i="127"/>
  <c r="AC268" i="127"/>
  <c r="Y268" i="127"/>
  <c r="L268" i="127"/>
  <c r="X268" i="127"/>
  <c r="D268" i="127"/>
  <c r="M268" i="127"/>
  <c r="AJ268" i="127"/>
  <c r="S268" i="127"/>
  <c r="Z268" i="127"/>
  <c r="AF268" i="127"/>
  <c r="Q268" i="127"/>
  <c r="AI268" i="127"/>
  <c r="AE268" i="127"/>
  <c r="AB268" i="127"/>
  <c r="AK268" i="127"/>
  <c r="AH268" i="127"/>
  <c r="AD268" i="127"/>
  <c r="P268" i="127"/>
  <c r="W268" i="127"/>
  <c r="AB127" i="88"/>
  <c r="AB42" i="85"/>
  <c r="N106" i="68" s="1"/>
  <c r="O36" i="85"/>
  <c r="AB36" i="85" s="1"/>
  <c r="N100" i="68" s="1"/>
  <c r="I380" i="68"/>
  <c r="K122" i="85"/>
  <c r="AA14" i="68"/>
  <c r="BK14" i="68" s="1"/>
  <c r="BK23" i="68" s="1"/>
  <c r="AY14" i="68"/>
  <c r="AY23" i="68" s="1"/>
  <c r="V87" i="88"/>
  <c r="BA301" i="68"/>
  <c r="K167" i="68"/>
  <c r="AT167" i="68"/>
  <c r="V167" i="68"/>
  <c r="BF167" i="68" s="1"/>
  <c r="AH167" i="68"/>
  <c r="BR167" i="68" s="1"/>
  <c r="C72" i="105"/>
  <c r="W87" i="88"/>
  <c r="AG106" i="68"/>
  <c r="BQ106" i="68" s="1"/>
  <c r="BQ115" i="68" s="1"/>
  <c r="AS106" i="68"/>
  <c r="AS115" i="68" s="1"/>
  <c r="U106" i="68"/>
  <c r="BE106" i="68" s="1"/>
  <c r="BE115" i="68" s="1"/>
  <c r="AT371" i="68"/>
  <c r="T371" i="68"/>
  <c r="BD371" i="68" s="1"/>
  <c r="AD371" i="68"/>
  <c r="BN371" i="68" s="1"/>
  <c r="N114" i="137"/>
  <c r="D113" i="127"/>
  <c r="N95" i="137"/>
  <c r="Y42" i="85"/>
  <c r="K106" i="68" s="1"/>
  <c r="L36" i="85"/>
  <c r="Y36" i="85" s="1"/>
  <c r="K100" i="68" s="1"/>
  <c r="J121" i="85"/>
  <c r="H379" i="68"/>
  <c r="R120" i="88"/>
  <c r="BG301" i="68"/>
  <c r="J407" i="68"/>
  <c r="AC407" i="68"/>
  <c r="BM407" i="68" s="1"/>
  <c r="S407" i="68"/>
  <c r="BC407" i="68" s="1"/>
  <c r="AS407" i="68"/>
  <c r="I410" i="68"/>
  <c r="AL410" i="68"/>
  <c r="BV410" i="68" s="1"/>
  <c r="AB410" i="68"/>
  <c r="BL410" i="68" s="1"/>
  <c r="AR410" i="68"/>
  <c r="R410" i="68"/>
  <c r="BB410" i="68" s="1"/>
  <c r="AD55" i="127"/>
  <c r="S55" i="127"/>
  <c r="AH55" i="127"/>
  <c r="AJ55" i="127"/>
  <c r="Z55" i="127"/>
  <c r="N55" i="127"/>
  <c r="AA55" i="127"/>
  <c r="AG55" i="127"/>
  <c r="AE55" i="127"/>
  <c r="W55" i="127"/>
  <c r="AK55" i="127"/>
  <c r="T55" i="127"/>
  <c r="R55" i="127"/>
  <c r="L55" i="127"/>
  <c r="P55" i="127"/>
  <c r="X55" i="127"/>
  <c r="AI55" i="127"/>
  <c r="AB55" i="127"/>
  <c r="J55" i="127"/>
  <c r="M55" i="127"/>
  <c r="V55" i="127"/>
  <c r="AF55" i="127"/>
  <c r="U55" i="127"/>
  <c r="Q55" i="127"/>
  <c r="O55" i="127"/>
  <c r="AC55" i="127"/>
  <c r="K55" i="127"/>
  <c r="Y55" i="127"/>
  <c r="I73" i="105"/>
  <c r="X100" i="68"/>
  <c r="BH100" i="68" s="1"/>
  <c r="AJ100" i="68"/>
  <c r="BT100" i="68" s="1"/>
  <c r="AV100" i="68"/>
  <c r="S120" i="88"/>
  <c r="K371" i="68"/>
  <c r="M113" i="85"/>
  <c r="C108" i="88"/>
  <c r="C9" i="88"/>
  <c r="G48" i="127" s="1"/>
  <c r="C42" i="88"/>
  <c r="D79" i="127" s="1"/>
  <c r="C75" i="88"/>
  <c r="C141" i="88"/>
  <c r="C9" i="105"/>
  <c r="F203" i="127" s="1"/>
  <c r="G12" i="85"/>
  <c r="T12" i="85" s="1"/>
  <c r="F8" i="68" s="1"/>
  <c r="T18" i="85"/>
  <c r="F14" i="68" s="1"/>
  <c r="W105" i="68"/>
  <c r="BG105" i="68" s="1"/>
  <c r="AI105" i="68"/>
  <c r="BS105" i="68" s="1"/>
  <c r="AU105" i="68"/>
  <c r="AR399" i="68"/>
  <c r="G149" i="88" s="1"/>
  <c r="AU14" i="68"/>
  <c r="AI14" i="68"/>
  <c r="BS14" i="68" s="1"/>
  <c r="W14" i="68"/>
  <c r="BG14" i="68" s="1"/>
  <c r="D50" i="127"/>
  <c r="D55" i="127"/>
  <c r="D52" i="127"/>
  <c r="D54" i="127"/>
  <c r="D51" i="127"/>
  <c r="D49" i="127"/>
  <c r="D53" i="127"/>
  <c r="AU301" i="68"/>
  <c r="Y120" i="88"/>
  <c r="Q89" i="88"/>
  <c r="G22" i="88"/>
  <c r="P46" i="105"/>
  <c r="D94" i="87"/>
  <c r="F36" i="85"/>
  <c r="S36" i="85" s="1"/>
  <c r="E100" i="68" s="1"/>
  <c r="S42" i="85"/>
  <c r="E106" i="68" s="1"/>
  <c r="AU8" i="68"/>
  <c r="W8" i="68"/>
  <c r="BG8" i="68" s="1"/>
  <c r="AI8" i="68"/>
  <c r="BS8" i="68" s="1"/>
  <c r="AA375" i="68"/>
  <c r="BK375" i="68" s="1"/>
  <c r="Q375" i="68"/>
  <c r="BA375" i="68" s="1"/>
  <c r="AQ375" i="68"/>
  <c r="AK375" i="68"/>
  <c r="BU375" i="68" s="1"/>
  <c r="X149" i="88"/>
  <c r="E100" i="105"/>
  <c r="D116" i="127"/>
  <c r="G385" i="68"/>
  <c r="I127" i="85"/>
  <c r="D120" i="88"/>
  <c r="H377" i="68"/>
  <c r="J119" i="85"/>
  <c r="D100" i="87"/>
  <c r="P267" i="127"/>
  <c r="N267" i="127"/>
  <c r="U267" i="127"/>
  <c r="AE267" i="127"/>
  <c r="AC267" i="127"/>
  <c r="Q267" i="127"/>
  <c r="W267" i="127"/>
  <c r="T267" i="127"/>
  <c r="L267" i="127"/>
  <c r="Z267" i="127"/>
  <c r="AF267" i="127"/>
  <c r="AG267" i="127"/>
  <c r="V267" i="127"/>
  <c r="AA267" i="127"/>
  <c r="AK267" i="127"/>
  <c r="O267" i="127"/>
  <c r="AI267" i="127"/>
  <c r="X267" i="127"/>
  <c r="M267" i="127"/>
  <c r="J267" i="127"/>
  <c r="AD267" i="127"/>
  <c r="Y267" i="127"/>
  <c r="AJ267" i="127"/>
  <c r="R267" i="127"/>
  <c r="AB267" i="127"/>
  <c r="D267" i="127"/>
  <c r="S267" i="127"/>
  <c r="K267" i="127"/>
  <c r="AH267" i="127"/>
  <c r="AJ55" i="88"/>
  <c r="AH120" i="88"/>
  <c r="W148" i="88"/>
  <c r="H375" i="68"/>
  <c r="J117" i="85"/>
  <c r="AH150" i="88"/>
  <c r="AC122" i="88"/>
  <c r="D17" i="105"/>
  <c r="BF399" i="68"/>
  <c r="U149" i="88" s="1"/>
  <c r="N86" i="100"/>
  <c r="N85" i="100"/>
  <c r="AN387" i="68"/>
  <c r="E19" i="104"/>
  <c r="H120" i="88"/>
  <c r="BB301" i="68"/>
  <c r="E87" i="88"/>
  <c r="AR301" i="68"/>
  <c r="S21" i="88"/>
  <c r="AB380" i="68"/>
  <c r="BL380" i="68" s="1"/>
  <c r="AR380" i="68"/>
  <c r="R380" i="68"/>
  <c r="BB380" i="68" s="1"/>
  <c r="AL380" i="68"/>
  <c r="BV380" i="68" s="1"/>
  <c r="I75" i="68"/>
  <c r="T75" i="68"/>
  <c r="BD75" i="68" s="1"/>
  <c r="AF75" i="68"/>
  <c r="BP75" i="68" s="1"/>
  <c r="AR75" i="68"/>
  <c r="Z102" i="105"/>
  <c r="AA54" i="127" l="1"/>
  <c r="P54" i="127"/>
  <c r="AI54" i="127"/>
  <c r="F52" i="105"/>
  <c r="BT115" i="68"/>
  <c r="AS167" i="68"/>
  <c r="AG167" i="68"/>
  <c r="BQ167" i="68" s="1"/>
  <c r="T167" i="68"/>
  <c r="BD167" i="68" s="1"/>
  <c r="U167" i="68"/>
  <c r="BE167" i="68" s="1"/>
  <c r="S167" i="68"/>
  <c r="BC167" i="68" s="1"/>
  <c r="AE167" i="68"/>
  <c r="BO167" i="68" s="1"/>
  <c r="AQ167" i="68"/>
  <c r="AR167" i="68"/>
  <c r="AR347" i="68"/>
  <c r="I347" i="68"/>
  <c r="Z347" i="68"/>
  <c r="BJ347" i="68" s="1"/>
  <c r="AL408" i="68"/>
  <c r="BV408" i="68" s="1"/>
  <c r="I408" i="68"/>
  <c r="R408" i="68"/>
  <c r="BB408" i="68" s="1"/>
  <c r="AR408" i="68"/>
  <c r="L117" i="127"/>
  <c r="AJ12" i="127"/>
  <c r="X117" i="127"/>
  <c r="E80" i="105"/>
  <c r="T12" i="127"/>
  <c r="AA117" i="127"/>
  <c r="M117" i="127"/>
  <c r="M14" i="127" s="1"/>
  <c r="AE117" i="127"/>
  <c r="AC117" i="127"/>
  <c r="K117" i="127"/>
  <c r="S117" i="127"/>
  <c r="V117" i="127"/>
  <c r="W117" i="127"/>
  <c r="P117" i="127"/>
  <c r="AH117" i="127"/>
  <c r="N117" i="127"/>
  <c r="N14" i="127" s="1"/>
  <c r="T117" i="127"/>
  <c r="AD117" i="127"/>
  <c r="AG117" i="127"/>
  <c r="D117" i="127"/>
  <c r="D14" i="127" s="1"/>
  <c r="Q117" i="127"/>
  <c r="AK117" i="127"/>
  <c r="B32" i="76"/>
  <c r="B33" i="76" s="1"/>
  <c r="B36" i="76" s="1"/>
  <c r="B37" i="76" s="1"/>
  <c r="B10" i="76" s="1"/>
  <c r="AI117" i="127"/>
  <c r="AI14" i="127" s="1"/>
  <c r="R117" i="127"/>
  <c r="R14" i="127" s="1"/>
  <c r="U117" i="127"/>
  <c r="AB117" i="127"/>
  <c r="AF117" i="127"/>
  <c r="Z117" i="127"/>
  <c r="BD78" i="68"/>
  <c r="AO78" i="68"/>
  <c r="BI78" i="68"/>
  <c r="BG78" i="68"/>
  <c r="BT78" i="68"/>
  <c r="BB78" i="68"/>
  <c r="AP78" i="68"/>
  <c r="BA78" i="68"/>
  <c r="BR78" i="68"/>
  <c r="BC78" i="68"/>
  <c r="BQ78" i="68"/>
  <c r="AY78" i="68"/>
  <c r="BS78" i="68"/>
  <c r="AX78" i="68"/>
  <c r="BO78" i="68"/>
  <c r="AT78" i="68"/>
  <c r="AU78" i="68"/>
  <c r="AV78" i="68"/>
  <c r="BJ78" i="68"/>
  <c r="BK78" i="68"/>
  <c r="BL78" i="68"/>
  <c r="AW78" i="68"/>
  <c r="AN78" i="68"/>
  <c r="AR78" i="68"/>
  <c r="AS78" i="68"/>
  <c r="AQ78" i="68"/>
  <c r="BF78" i="68"/>
  <c r="BE78" i="68"/>
  <c r="BH78" i="68"/>
  <c r="AZ78" i="68"/>
  <c r="BV78" i="68"/>
  <c r="BU78" i="68"/>
  <c r="BN78" i="68"/>
  <c r="BM78" i="68"/>
  <c r="BP78" i="68"/>
  <c r="AO170" i="68"/>
  <c r="BV170" i="68"/>
  <c r="BQ170" i="68"/>
  <c r="BT170" i="68"/>
  <c r="AQ170" i="68"/>
  <c r="AU170" i="68"/>
  <c r="BO170" i="68"/>
  <c r="BL170" i="68"/>
  <c r="BG170" i="68"/>
  <c r="BK170" i="68"/>
  <c r="AX170" i="68"/>
  <c r="BD170" i="68"/>
  <c r="AN170" i="68"/>
  <c r="AR170" i="68"/>
  <c r="AV170" i="68"/>
  <c r="AS170" i="68"/>
  <c r="AW170" i="68"/>
  <c r="BN170" i="68"/>
  <c r="BI170" i="68"/>
  <c r="AT170" i="68"/>
  <c r="BC170" i="68"/>
  <c r="AP170" i="68"/>
  <c r="BA170" i="68"/>
  <c r="BS170" i="68"/>
  <c r="BF170" i="68"/>
  <c r="AY170" i="68"/>
  <c r="BP170" i="68"/>
  <c r="BH170" i="68"/>
  <c r="AZ170" i="68"/>
  <c r="BR170" i="68"/>
  <c r="BJ170" i="68"/>
  <c r="BU170" i="68"/>
  <c r="BB170" i="68"/>
  <c r="BM170" i="68"/>
  <c r="BE170" i="68"/>
  <c r="C13" i="105"/>
  <c r="AJ117" i="127"/>
  <c r="Z148" i="127"/>
  <c r="Z14" i="127" s="1"/>
  <c r="AA148" i="127"/>
  <c r="AA14" i="127" s="1"/>
  <c r="S148" i="127"/>
  <c r="AI148" i="127"/>
  <c r="AG148" i="127"/>
  <c r="X148" i="127"/>
  <c r="AF148" i="127"/>
  <c r="AH148" i="127"/>
  <c r="AJ148" i="127"/>
  <c r="AJ14" i="127" s="1"/>
  <c r="P148" i="127"/>
  <c r="P14" i="127" s="1"/>
  <c r="R148" i="127"/>
  <c r="O148" i="127"/>
  <c r="AE148" i="127"/>
  <c r="T148" i="127"/>
  <c r="AB148" i="127"/>
  <c r="Q148" i="127"/>
  <c r="AC148" i="127"/>
  <c r="AC14" i="127" s="1"/>
  <c r="U148" i="127"/>
  <c r="V148" i="127"/>
  <c r="W148" i="127"/>
  <c r="AK148" i="127"/>
  <c r="AD148" i="127"/>
  <c r="Y148" i="127"/>
  <c r="Y14" i="127" s="1"/>
  <c r="X53" i="127"/>
  <c r="X12" i="127" s="1"/>
  <c r="R53" i="127"/>
  <c r="R12" i="127" s="1"/>
  <c r="AH53" i="127"/>
  <c r="AH12" i="127" s="1"/>
  <c r="H386" i="68"/>
  <c r="J128" i="85"/>
  <c r="Q386" i="68"/>
  <c r="BA386" i="68" s="1"/>
  <c r="AA386" i="68"/>
  <c r="BK386" i="68" s="1"/>
  <c r="AK386" i="68"/>
  <c r="BU386" i="68" s="1"/>
  <c r="AQ386" i="68"/>
  <c r="AK53" i="127"/>
  <c r="AK12" i="127" s="1"/>
  <c r="Q376" i="68"/>
  <c r="BA376" i="68" s="1"/>
  <c r="AK376" i="68"/>
  <c r="BU376" i="68" s="1"/>
  <c r="AQ376" i="68"/>
  <c r="AA376" i="68"/>
  <c r="BK376" i="68" s="1"/>
  <c r="AD53" i="127"/>
  <c r="AD12" i="127" s="1"/>
  <c r="AE53" i="127"/>
  <c r="Q53" i="127"/>
  <c r="Q12" i="127" s="1"/>
  <c r="H376" i="68"/>
  <c r="J118" i="85"/>
  <c r="J114" i="85"/>
  <c r="H372" i="68"/>
  <c r="Q372" i="68"/>
  <c r="BA372" i="68" s="1"/>
  <c r="AA372" i="68"/>
  <c r="BK372" i="68" s="1"/>
  <c r="AK372" i="68"/>
  <c r="BU372" i="68" s="1"/>
  <c r="AQ372" i="68"/>
  <c r="AA12" i="127"/>
  <c r="Y53" i="127"/>
  <c r="Y12" i="127" s="1"/>
  <c r="K123" i="85"/>
  <c r="I381" i="68"/>
  <c r="J115" i="85"/>
  <c r="H373" i="68"/>
  <c r="AR381" i="68"/>
  <c r="R381" i="68"/>
  <c r="BB381" i="68" s="1"/>
  <c r="AB381" i="68"/>
  <c r="BL381" i="68" s="1"/>
  <c r="AL381" i="68"/>
  <c r="BV381" i="68" s="1"/>
  <c r="AA373" i="68"/>
  <c r="BK373" i="68" s="1"/>
  <c r="Q373" i="68"/>
  <c r="BA373" i="68" s="1"/>
  <c r="AK373" i="68"/>
  <c r="BU373" i="68" s="1"/>
  <c r="AQ373" i="68"/>
  <c r="H378" i="68"/>
  <c r="J120" i="85"/>
  <c r="AK378" i="68"/>
  <c r="BU378" i="68" s="1"/>
  <c r="AA378" i="68"/>
  <c r="BK378" i="68" s="1"/>
  <c r="Q378" i="68"/>
  <c r="BA378" i="68" s="1"/>
  <c r="AQ378" i="68"/>
  <c r="I383" i="68"/>
  <c r="K125" i="85"/>
  <c r="AR383" i="68"/>
  <c r="R383" i="68"/>
  <c r="BB383" i="68" s="1"/>
  <c r="AB383" i="68"/>
  <c r="BL383" i="68" s="1"/>
  <c r="AL383" i="68"/>
  <c r="BV383" i="68" s="1"/>
  <c r="AI53" i="127"/>
  <c r="AI12" i="127" s="1"/>
  <c r="AC53" i="127"/>
  <c r="AC12" i="127" s="1"/>
  <c r="U53" i="127"/>
  <c r="U12" i="127" s="1"/>
  <c r="W53" i="127"/>
  <c r="W12" i="127" s="1"/>
  <c r="AB53" i="127"/>
  <c r="AB12" i="127" s="1"/>
  <c r="Z53" i="127"/>
  <c r="Z12" i="127" s="1"/>
  <c r="AP387" i="68"/>
  <c r="E148" i="88" s="1"/>
  <c r="S12" i="127"/>
  <c r="P12" i="127"/>
  <c r="V12" i="127"/>
  <c r="AF12" i="127"/>
  <c r="G62" i="127"/>
  <c r="AE12" i="127"/>
  <c r="AG12" i="127"/>
  <c r="AR115" i="68"/>
  <c r="G54" i="88" s="1"/>
  <c r="BU416" i="68"/>
  <c r="AJ150" i="88" s="1"/>
  <c r="R414" i="68"/>
  <c r="BB414" i="68" s="1"/>
  <c r="AB414" i="68"/>
  <c r="BL414" i="68" s="1"/>
  <c r="AR414" i="68"/>
  <c r="AL414" i="68"/>
  <c r="BV414" i="68" s="1"/>
  <c r="I414" i="68"/>
  <c r="BT387" i="68"/>
  <c r="AI148" i="88" s="1"/>
  <c r="BA416" i="68"/>
  <c r="P150" i="88" s="1"/>
  <c r="AQ416" i="68"/>
  <c r="F150" i="88" s="1"/>
  <c r="BK416" i="68"/>
  <c r="Z150" i="88" s="1"/>
  <c r="AU23" i="68"/>
  <c r="J21" i="88" s="1"/>
  <c r="BJ387" i="68"/>
  <c r="Y148" i="88" s="1"/>
  <c r="AD412" i="68"/>
  <c r="BN412" i="68" s="1"/>
  <c r="T412" i="68"/>
  <c r="BD412" i="68" s="1"/>
  <c r="AT412" i="68"/>
  <c r="K412" i="68"/>
  <c r="AB415" i="68"/>
  <c r="BL415" i="68" s="1"/>
  <c r="AL415" i="68"/>
  <c r="BV415" i="68" s="1"/>
  <c r="R415" i="68"/>
  <c r="BB415" i="68" s="1"/>
  <c r="AR415" i="68"/>
  <c r="I415" i="68"/>
  <c r="AD406" i="68"/>
  <c r="BN406" i="68" s="1"/>
  <c r="AT406" i="68"/>
  <c r="T406" i="68"/>
  <c r="BD406" i="68" s="1"/>
  <c r="K406" i="68"/>
  <c r="H257" i="68"/>
  <c r="AQ257" i="68"/>
  <c r="Y257" i="68"/>
  <c r="BI257" i="68" s="1"/>
  <c r="T100" i="137"/>
  <c r="T81" i="137"/>
  <c r="T119" i="137"/>
  <c r="T90" i="137"/>
  <c r="P37" i="140"/>
  <c r="P42" i="140" s="1"/>
  <c r="D42" i="140"/>
  <c r="R9" i="137"/>
  <c r="R24" i="137"/>
  <c r="R40" i="137"/>
  <c r="R56" i="137"/>
  <c r="R11" i="137"/>
  <c r="R27" i="137"/>
  <c r="R43" i="137"/>
  <c r="R59" i="137"/>
  <c r="R14" i="137"/>
  <c r="R30" i="137"/>
  <c r="R46" i="137"/>
  <c r="R62" i="137"/>
  <c r="R15" i="137"/>
  <c r="R31" i="137"/>
  <c r="R47" i="137"/>
  <c r="R63" i="137"/>
  <c r="R16" i="137"/>
  <c r="R32" i="137"/>
  <c r="R48" i="137"/>
  <c r="R64" i="137"/>
  <c r="R19" i="137"/>
  <c r="R35" i="137"/>
  <c r="R51" i="137"/>
  <c r="R67" i="137"/>
  <c r="R22" i="137"/>
  <c r="R38" i="137"/>
  <c r="R54" i="137"/>
  <c r="R23" i="137"/>
  <c r="R39" i="137"/>
  <c r="R55" i="137"/>
  <c r="R13" i="137"/>
  <c r="R44" i="137"/>
  <c r="R10" i="137"/>
  <c r="R17" i="137"/>
  <c r="R36" i="137"/>
  <c r="R66" i="137"/>
  <c r="R61" i="137"/>
  <c r="R28" i="137"/>
  <c r="R58" i="137"/>
  <c r="R65" i="137"/>
  <c r="R53" i="137"/>
  <c r="R20" i="137"/>
  <c r="R50" i="137"/>
  <c r="R57" i="137"/>
  <c r="R45" i="137"/>
  <c r="R12" i="137"/>
  <c r="R42" i="137"/>
  <c r="R49" i="137"/>
  <c r="R37" i="137"/>
  <c r="R68" i="137"/>
  <c r="R34" i="137"/>
  <c r="R41" i="137"/>
  <c r="R29" i="137"/>
  <c r="R60" i="137"/>
  <c r="R26" i="137"/>
  <c r="R33" i="137"/>
  <c r="R21" i="137"/>
  <c r="R52" i="137"/>
  <c r="R18" i="137"/>
  <c r="R25" i="137"/>
  <c r="H52" i="87"/>
  <c r="O12" i="127"/>
  <c r="J70" i="87"/>
  <c r="I129" i="127"/>
  <c r="G61" i="127"/>
  <c r="J408" i="68"/>
  <c r="S408" i="68"/>
  <c r="BC408" i="68" s="1"/>
  <c r="AS408" i="68"/>
  <c r="AC408" i="68"/>
  <c r="BM408" i="68" s="1"/>
  <c r="AG14" i="127"/>
  <c r="AI8" i="127"/>
  <c r="R8" i="127"/>
  <c r="V8" i="127"/>
  <c r="Z8" i="127"/>
  <c r="Q8" i="127"/>
  <c r="AH8" i="127"/>
  <c r="AF8" i="127"/>
  <c r="U8" i="127"/>
  <c r="AG8" i="127"/>
  <c r="Y8" i="127"/>
  <c r="X8" i="127"/>
  <c r="AB8" i="127"/>
  <c r="AA8" i="127"/>
  <c r="W8" i="127"/>
  <c r="P8" i="127"/>
  <c r="H45" i="87"/>
  <c r="G96" i="87"/>
  <c r="O8" i="127"/>
  <c r="H43" i="87"/>
  <c r="G90" i="87"/>
  <c r="K8" i="127"/>
  <c r="AD8" i="127"/>
  <c r="AC8" i="127"/>
  <c r="AE8" i="127"/>
  <c r="AJ8" i="127"/>
  <c r="T8" i="127"/>
  <c r="K12" i="127"/>
  <c r="AK8" i="127"/>
  <c r="F39" i="87"/>
  <c r="G39" i="87" s="1"/>
  <c r="K42" i="87"/>
  <c r="L42" i="87" s="1"/>
  <c r="M42" i="87" s="1"/>
  <c r="N42" i="87" s="1"/>
  <c r="O42" i="87" s="1"/>
  <c r="G46" i="87"/>
  <c r="G99" i="87" s="1"/>
  <c r="A9" i="135"/>
  <c r="H40" i="87"/>
  <c r="I40" i="87" s="1"/>
  <c r="J40" i="87" s="1"/>
  <c r="K40" i="87" s="1"/>
  <c r="L40" i="87" s="1"/>
  <c r="M40" i="87" s="1"/>
  <c r="N40" i="87" s="1"/>
  <c r="O40" i="87" s="1"/>
  <c r="L14" i="127"/>
  <c r="L12" i="127"/>
  <c r="G79" i="105"/>
  <c r="F80" i="105"/>
  <c r="G52" i="105"/>
  <c r="H51" i="105"/>
  <c r="H107" i="105"/>
  <c r="G108" i="105"/>
  <c r="F24" i="105"/>
  <c r="G23" i="105"/>
  <c r="J409" i="68"/>
  <c r="S409" i="68"/>
  <c r="BC409" i="68" s="1"/>
  <c r="AC409" i="68"/>
  <c r="BM409" i="68" s="1"/>
  <c r="AS409" i="68"/>
  <c r="K14" i="127"/>
  <c r="AL411" i="68"/>
  <c r="BV411" i="68" s="1"/>
  <c r="I411" i="68"/>
  <c r="R411" i="68"/>
  <c r="BB411" i="68" s="1"/>
  <c r="AR411" i="68"/>
  <c r="AB411" i="68"/>
  <c r="BL411" i="68" s="1"/>
  <c r="AV115" i="68"/>
  <c r="K54" i="88" s="1"/>
  <c r="Q14" i="127"/>
  <c r="BS23" i="68"/>
  <c r="AH21" i="88" s="1"/>
  <c r="BB115" i="68"/>
  <c r="Q54" i="88" s="1"/>
  <c r="O14" i="127"/>
  <c r="BM6" i="140"/>
  <c r="BW6" i="140"/>
  <c r="CH6" i="140" s="1"/>
  <c r="CS6" i="140" s="1"/>
  <c r="DD6" i="140" s="1"/>
  <c r="L8" i="127"/>
  <c r="N12" i="127"/>
  <c r="M12" i="127"/>
  <c r="N8" i="127"/>
  <c r="M8" i="127"/>
  <c r="D8" i="127"/>
  <c r="D12" i="127"/>
  <c r="T48" i="127"/>
  <c r="AB48" i="127"/>
  <c r="N48" i="127"/>
  <c r="R48" i="127"/>
  <c r="J48" i="127"/>
  <c r="U48" i="127"/>
  <c r="AD48" i="127"/>
  <c r="Z48" i="127"/>
  <c r="L48" i="127"/>
  <c r="AI48" i="127"/>
  <c r="W48" i="127"/>
  <c r="AH48" i="127"/>
  <c r="P48" i="127"/>
  <c r="AK48" i="127"/>
  <c r="K48" i="127"/>
  <c r="AG48" i="127"/>
  <c r="AF48" i="127"/>
  <c r="O48" i="127"/>
  <c r="S48" i="127"/>
  <c r="X48" i="127"/>
  <c r="AA48" i="127"/>
  <c r="Y48" i="127"/>
  <c r="AJ48" i="127"/>
  <c r="AC48" i="127"/>
  <c r="V48" i="127"/>
  <c r="M48" i="127"/>
  <c r="Q48" i="127"/>
  <c r="AE48" i="127"/>
  <c r="J73" i="105"/>
  <c r="AC380" i="68"/>
  <c r="BM380" i="68" s="1"/>
  <c r="S380" i="68"/>
  <c r="BC380" i="68" s="1"/>
  <c r="AS380" i="68"/>
  <c r="K120" i="88"/>
  <c r="AQ384" i="68"/>
  <c r="Q384" i="68"/>
  <c r="BA384" i="68" s="1"/>
  <c r="AA384" i="68"/>
  <c r="BK384" i="68" s="1"/>
  <c r="AK384" i="68"/>
  <c r="BU384" i="68" s="1"/>
  <c r="AK120" i="88"/>
  <c r="AE141" i="127"/>
  <c r="N141" i="127"/>
  <c r="AK141" i="127"/>
  <c r="AG141" i="127"/>
  <c r="V141" i="127"/>
  <c r="AA141" i="127"/>
  <c r="Q141" i="127"/>
  <c r="AD141" i="127"/>
  <c r="Z141" i="127"/>
  <c r="T141" i="127"/>
  <c r="AH141" i="127"/>
  <c r="AB141" i="127"/>
  <c r="R141" i="127"/>
  <c r="W141" i="127"/>
  <c r="M141" i="127"/>
  <c r="U141" i="127"/>
  <c r="AF141" i="127"/>
  <c r="S141" i="127"/>
  <c r="Y141" i="127"/>
  <c r="L141" i="127"/>
  <c r="X141" i="127"/>
  <c r="AC141" i="127"/>
  <c r="J141" i="127"/>
  <c r="P141" i="127"/>
  <c r="O141" i="127"/>
  <c r="K141" i="127"/>
  <c r="AJ141" i="127"/>
  <c r="AI141" i="127"/>
  <c r="I55" i="88"/>
  <c r="AP115" i="68"/>
  <c r="N54" i="88"/>
  <c r="M44" i="105"/>
  <c r="BG23" i="68"/>
  <c r="D13" i="127"/>
  <c r="AT407" i="68"/>
  <c r="T407" i="68"/>
  <c r="BD407" i="68" s="1"/>
  <c r="K407" i="68"/>
  <c r="AD407" i="68"/>
  <c r="BN407" i="68" s="1"/>
  <c r="D277" i="127"/>
  <c r="D72" i="105"/>
  <c r="BN115" i="68"/>
  <c r="F129" i="127"/>
  <c r="F124" i="127"/>
  <c r="F123" i="127"/>
  <c r="Z54" i="88"/>
  <c r="D45" i="105"/>
  <c r="K119" i="85"/>
  <c r="I377" i="68"/>
  <c r="V120" i="88"/>
  <c r="Z100" i="68"/>
  <c r="BJ100" i="68" s="1"/>
  <c r="AL100" i="68"/>
  <c r="BV100" i="68" s="1"/>
  <c r="AX100" i="68"/>
  <c r="AI120" i="88"/>
  <c r="T120" i="88"/>
  <c r="P18" i="105"/>
  <c r="E88" i="87"/>
  <c r="D222" i="127"/>
  <c r="D217" i="127"/>
  <c r="R14" i="68"/>
  <c r="BB14" i="68" s="1"/>
  <c r="AP14" i="68"/>
  <c r="AD14" i="68"/>
  <c r="BN14" i="68" s="1"/>
  <c r="T54" i="88"/>
  <c r="D91" i="87"/>
  <c r="D309" i="127" s="1"/>
  <c r="L74" i="105"/>
  <c r="AL377" i="68"/>
  <c r="BV377" i="68" s="1"/>
  <c r="AR377" i="68"/>
  <c r="R377" i="68"/>
  <c r="BB377" i="68" s="1"/>
  <c r="AB377" i="68"/>
  <c r="BL377" i="68" s="1"/>
  <c r="C16" i="105"/>
  <c r="F100" i="105"/>
  <c r="Q100" i="68"/>
  <c r="BA100" i="68" s="1"/>
  <c r="AC100" i="68"/>
  <c r="BM100" i="68" s="1"/>
  <c r="AO100" i="68"/>
  <c r="R8" i="68"/>
  <c r="BB8" i="68" s="1"/>
  <c r="AD8" i="68"/>
  <c r="BN8" i="68" s="1"/>
  <c r="AP8" i="68"/>
  <c r="AU371" i="68"/>
  <c r="AE371" i="68"/>
  <c r="BO371" i="68" s="1"/>
  <c r="U371" i="68"/>
  <c r="BE371" i="68" s="1"/>
  <c r="I379" i="68"/>
  <c r="K121" i="85"/>
  <c r="H54" i="88"/>
  <c r="BP115" i="68"/>
  <c r="N206" i="127"/>
  <c r="W206" i="127"/>
  <c r="AK206" i="127"/>
  <c r="O206" i="127"/>
  <c r="AG206" i="127"/>
  <c r="Z206" i="127"/>
  <c r="AF206" i="127"/>
  <c r="V206" i="127"/>
  <c r="Y206" i="127"/>
  <c r="X206" i="127"/>
  <c r="AD206" i="127"/>
  <c r="J206" i="127"/>
  <c r="K206" i="127"/>
  <c r="AB206" i="127"/>
  <c r="AJ206" i="127"/>
  <c r="AC206" i="127"/>
  <c r="Q206" i="127"/>
  <c r="R206" i="127"/>
  <c r="P206" i="127"/>
  <c r="L206" i="127"/>
  <c r="D206" i="127"/>
  <c r="U206" i="127"/>
  <c r="AE206" i="127"/>
  <c r="T206" i="127"/>
  <c r="M206" i="127"/>
  <c r="AH206" i="127"/>
  <c r="AA206" i="127"/>
  <c r="S206" i="127"/>
  <c r="AI206" i="127"/>
  <c r="D141" i="127"/>
  <c r="E100" i="87"/>
  <c r="D191" i="127"/>
  <c r="D185" i="127"/>
  <c r="Q120" i="88"/>
  <c r="AF54" i="88"/>
  <c r="P120" i="88"/>
  <c r="AB128" i="88"/>
  <c r="I21" i="88"/>
  <c r="BD115" i="68"/>
  <c r="AD205" i="127"/>
  <c r="X205" i="127"/>
  <c r="Q205" i="127"/>
  <c r="Y205" i="127"/>
  <c r="W205" i="127"/>
  <c r="AI205" i="127"/>
  <c r="K205" i="127"/>
  <c r="AK205" i="127"/>
  <c r="AF205" i="127"/>
  <c r="Z205" i="127"/>
  <c r="P205" i="127"/>
  <c r="M205" i="127"/>
  <c r="S205" i="127"/>
  <c r="R205" i="127"/>
  <c r="AE205" i="127"/>
  <c r="AB205" i="127"/>
  <c r="V205" i="127"/>
  <c r="AA205" i="127"/>
  <c r="AG205" i="127"/>
  <c r="O205" i="127"/>
  <c r="U205" i="127"/>
  <c r="L205" i="127"/>
  <c r="J205" i="127"/>
  <c r="T205" i="127"/>
  <c r="AH205" i="127"/>
  <c r="AJ205" i="127"/>
  <c r="D205" i="127"/>
  <c r="AC205" i="127"/>
  <c r="N205" i="127"/>
  <c r="L371" i="68"/>
  <c r="N113" i="85"/>
  <c r="M371" i="68" s="1"/>
  <c r="B99" i="100"/>
  <c r="C99" i="100" s="1"/>
  <c r="D99" i="100" s="1"/>
  <c r="E99" i="100" s="1"/>
  <c r="D50" i="104" s="1"/>
  <c r="F99" i="100"/>
  <c r="D101" i="105"/>
  <c r="E94" i="87"/>
  <c r="D278" i="127"/>
  <c r="D279" i="127"/>
  <c r="D284" i="127"/>
  <c r="AS410" i="68"/>
  <c r="J410" i="68"/>
  <c r="AC410" i="68"/>
  <c r="BM410" i="68" s="1"/>
  <c r="S410" i="68"/>
  <c r="BC410" i="68" s="1"/>
  <c r="AU167" i="68"/>
  <c r="L167" i="68"/>
  <c r="W167" i="68"/>
  <c r="BG167" i="68" s="1"/>
  <c r="AI167" i="68"/>
  <c r="BS167" i="68" s="1"/>
  <c r="U21" i="88"/>
  <c r="H382" i="68"/>
  <c r="J124" i="85"/>
  <c r="D237" i="127"/>
  <c r="Y237" i="127"/>
  <c r="AJ237" i="127"/>
  <c r="AD237" i="127"/>
  <c r="J237" i="127"/>
  <c r="M237" i="127"/>
  <c r="Z237" i="127"/>
  <c r="AH237" i="127"/>
  <c r="P237" i="127"/>
  <c r="K237" i="127"/>
  <c r="AI237" i="127"/>
  <c r="Q237" i="127"/>
  <c r="AC237" i="127"/>
  <c r="AG237" i="127"/>
  <c r="X237" i="127"/>
  <c r="V237" i="127"/>
  <c r="N237" i="127"/>
  <c r="W237" i="127"/>
  <c r="O237" i="127"/>
  <c r="T237" i="127"/>
  <c r="AE237" i="127"/>
  <c r="U237" i="127"/>
  <c r="AF237" i="127"/>
  <c r="S237" i="127"/>
  <c r="AK237" i="127"/>
  <c r="R237" i="127"/>
  <c r="AA237" i="127"/>
  <c r="L237" i="127"/>
  <c r="AB237" i="127"/>
  <c r="AJ116" i="127"/>
  <c r="AD116" i="127"/>
  <c r="Q116" i="127"/>
  <c r="AB116" i="127"/>
  <c r="L116" i="127"/>
  <c r="U116" i="127"/>
  <c r="Y116" i="127"/>
  <c r="X116" i="127"/>
  <c r="P116" i="127"/>
  <c r="W116" i="127"/>
  <c r="O116" i="127"/>
  <c r="N116" i="127"/>
  <c r="AA116" i="127"/>
  <c r="M116" i="127"/>
  <c r="K116" i="127"/>
  <c r="AE116" i="127"/>
  <c r="R116" i="127"/>
  <c r="Z116" i="127"/>
  <c r="AG116" i="127"/>
  <c r="S116" i="127"/>
  <c r="AC116" i="127"/>
  <c r="V116" i="127"/>
  <c r="T116" i="127"/>
  <c r="AK116" i="127"/>
  <c r="AI116" i="127"/>
  <c r="AH116" i="127"/>
  <c r="AF116" i="127"/>
  <c r="AC106" i="68"/>
  <c r="BM106" i="68" s="1"/>
  <c r="AO106" i="68"/>
  <c r="Q106" i="68"/>
  <c r="BA106" i="68" s="1"/>
  <c r="H385" i="68"/>
  <c r="J127" i="85"/>
  <c r="J120" i="88"/>
  <c r="AK385" i="68"/>
  <c r="BU385" i="68" s="1"/>
  <c r="Q385" i="68"/>
  <c r="BA385" i="68" s="1"/>
  <c r="AA385" i="68"/>
  <c r="BK385" i="68" s="1"/>
  <c r="AQ385" i="68"/>
  <c r="AD172" i="127"/>
  <c r="AD181" i="127" s="1"/>
  <c r="T172" i="127"/>
  <c r="T181" i="127" s="1"/>
  <c r="Q172" i="127"/>
  <c r="Q181" i="127" s="1"/>
  <c r="C145" i="88"/>
  <c r="Y172" i="127"/>
  <c r="Y181" i="127" s="1"/>
  <c r="AE172" i="127"/>
  <c r="AE181" i="127" s="1"/>
  <c r="AF172" i="127"/>
  <c r="AF181" i="127" s="1"/>
  <c r="L172" i="127"/>
  <c r="L181" i="127" s="1"/>
  <c r="AI172" i="127"/>
  <c r="AI181" i="127" s="1"/>
  <c r="O172" i="127"/>
  <c r="O181" i="127" s="1"/>
  <c r="J172" i="127"/>
  <c r="J181" i="127" s="1"/>
  <c r="R172" i="127"/>
  <c r="R181" i="127" s="1"/>
  <c r="W172" i="127"/>
  <c r="W181" i="127" s="1"/>
  <c r="AG172" i="127"/>
  <c r="AG181" i="127" s="1"/>
  <c r="U172" i="127"/>
  <c r="U181" i="127" s="1"/>
  <c r="K172" i="127"/>
  <c r="K181" i="127" s="1"/>
  <c r="AJ172" i="127"/>
  <c r="AJ181" i="127" s="1"/>
  <c r="M172" i="127"/>
  <c r="M181" i="127" s="1"/>
  <c r="N172" i="127"/>
  <c r="N181" i="127" s="1"/>
  <c r="X172" i="127"/>
  <c r="X181" i="127" s="1"/>
  <c r="AH172" i="127"/>
  <c r="AH181" i="127" s="1"/>
  <c r="V172" i="127"/>
  <c r="V181" i="127" s="1"/>
  <c r="AK172" i="127"/>
  <c r="AK181" i="127" s="1"/>
  <c r="D172" i="127"/>
  <c r="D181" i="127" s="1"/>
  <c r="AA172" i="127"/>
  <c r="AA181" i="127" s="1"/>
  <c r="P172" i="127"/>
  <c r="P181" i="127" s="1"/>
  <c r="AC172" i="127"/>
  <c r="AC181" i="127" s="1"/>
  <c r="Z172" i="127"/>
  <c r="Z181" i="127" s="1"/>
  <c r="S172" i="127"/>
  <c r="S181" i="127" s="1"/>
  <c r="AB172" i="127"/>
  <c r="AB181" i="127" s="1"/>
  <c r="AI106" i="68"/>
  <c r="BS106" i="68" s="1"/>
  <c r="AU106" i="68"/>
  <c r="W106" i="68"/>
  <c r="BG106" i="68" s="1"/>
  <c r="N21" i="88"/>
  <c r="D21" i="88"/>
  <c r="G60" i="127" s="1"/>
  <c r="L21" i="88"/>
  <c r="AN429" i="68"/>
  <c r="X429" i="68"/>
  <c r="BH429" i="68" s="1"/>
  <c r="N429" i="68"/>
  <c r="AX429" i="68" s="1"/>
  <c r="E429" i="68"/>
  <c r="AH429" i="68"/>
  <c r="BR429" i="68" s="1"/>
  <c r="F122" i="127"/>
  <c r="C65" i="105"/>
  <c r="C37" i="105"/>
  <c r="C93" i="105"/>
  <c r="W100" i="68"/>
  <c r="BG100" i="68" s="1"/>
  <c r="AI100" i="68"/>
  <c r="BS100" i="68" s="1"/>
  <c r="AU100" i="68"/>
  <c r="AG21" i="88"/>
  <c r="Q382" i="68"/>
  <c r="BA382" i="68" s="1"/>
  <c r="AQ382" i="68"/>
  <c r="AK382" i="68"/>
  <c r="BU382" i="68" s="1"/>
  <c r="AA382" i="68"/>
  <c r="BK382" i="68" s="1"/>
  <c r="AA236" i="127"/>
  <c r="O236" i="127"/>
  <c r="X236" i="127"/>
  <c r="T236" i="127"/>
  <c r="AC236" i="127"/>
  <c r="J236" i="127"/>
  <c r="U236" i="127"/>
  <c r="AK236" i="127"/>
  <c r="P236" i="127"/>
  <c r="AF236" i="127"/>
  <c r="AI236" i="127"/>
  <c r="N236" i="127"/>
  <c r="M236" i="127"/>
  <c r="AE236" i="127"/>
  <c r="V236" i="127"/>
  <c r="AJ236" i="127"/>
  <c r="W236" i="127"/>
  <c r="K236" i="127"/>
  <c r="Y236" i="127"/>
  <c r="L236" i="127"/>
  <c r="AB236" i="127"/>
  <c r="R236" i="127"/>
  <c r="Q236" i="127"/>
  <c r="AH236" i="127"/>
  <c r="AG236" i="127"/>
  <c r="AD236" i="127"/>
  <c r="S236" i="127"/>
  <c r="D236" i="127"/>
  <c r="Z236" i="127"/>
  <c r="AA102" i="105"/>
  <c r="Q46" i="105"/>
  <c r="D48" i="127"/>
  <c r="U110" i="127"/>
  <c r="V110" i="127"/>
  <c r="L110" i="127"/>
  <c r="AD110" i="127"/>
  <c r="AJ110" i="127"/>
  <c r="X110" i="127"/>
  <c r="AG110" i="127"/>
  <c r="AK110" i="127"/>
  <c r="O110" i="127"/>
  <c r="AB110" i="127"/>
  <c r="S110" i="127"/>
  <c r="K110" i="127"/>
  <c r="W110" i="127"/>
  <c r="M110" i="127"/>
  <c r="Q110" i="127"/>
  <c r="R110" i="127"/>
  <c r="AF110" i="127"/>
  <c r="P110" i="127"/>
  <c r="Y110" i="127"/>
  <c r="AC110" i="127"/>
  <c r="D110" i="127"/>
  <c r="Z110" i="127"/>
  <c r="AI110" i="127"/>
  <c r="T110" i="127"/>
  <c r="N110" i="127"/>
  <c r="AH110" i="127"/>
  <c r="AA110" i="127"/>
  <c r="AE110" i="127"/>
  <c r="BH115" i="68"/>
  <c r="Z21" i="88"/>
  <c r="H374" i="68"/>
  <c r="J116" i="85"/>
  <c r="AB21" i="88"/>
  <c r="AJ21" i="88"/>
  <c r="R375" i="68"/>
  <c r="BB375" i="68" s="1"/>
  <c r="AR375" i="68"/>
  <c r="AB375" i="68"/>
  <c r="BL375" i="68" s="1"/>
  <c r="AL375" i="68"/>
  <c r="BV375" i="68" s="1"/>
  <c r="D97" i="87"/>
  <c r="D247" i="127" s="1"/>
  <c r="AB379" i="68"/>
  <c r="BL379" i="68" s="1"/>
  <c r="AL379" i="68"/>
  <c r="BV379" i="68" s="1"/>
  <c r="R379" i="68"/>
  <c r="BB379" i="68" s="1"/>
  <c r="AR379" i="68"/>
  <c r="AX106" i="68"/>
  <c r="AL106" i="68"/>
  <c r="BV106" i="68" s="1"/>
  <c r="Z106" i="68"/>
  <c r="BJ106" i="68" s="1"/>
  <c r="J75" i="68"/>
  <c r="AS75" i="68"/>
  <c r="U75" i="68"/>
  <c r="BE75" i="68" s="1"/>
  <c r="AG75" i="68"/>
  <c r="BQ75" i="68" s="1"/>
  <c r="C148" i="88"/>
  <c r="B100" i="100"/>
  <c r="C100" i="100" s="1"/>
  <c r="D100" i="100" s="1"/>
  <c r="E100" i="100" s="1"/>
  <c r="J50" i="104" s="1"/>
  <c r="K50" i="104" s="1"/>
  <c r="F100" i="100"/>
  <c r="AI54" i="88"/>
  <c r="G120" i="88"/>
  <c r="E17" i="105"/>
  <c r="K117" i="85"/>
  <c r="I375" i="68"/>
  <c r="D186" i="127"/>
  <c r="E62" i="127"/>
  <c r="V79" i="127"/>
  <c r="AI79" i="127"/>
  <c r="AF79" i="127"/>
  <c r="AG79" i="127"/>
  <c r="T79" i="127"/>
  <c r="N79" i="127"/>
  <c r="X79" i="127"/>
  <c r="L79" i="127"/>
  <c r="AE79" i="127"/>
  <c r="J79" i="127"/>
  <c r="K79" i="127"/>
  <c r="M79" i="127"/>
  <c r="AB79" i="127"/>
  <c r="R79" i="127"/>
  <c r="AK79" i="127"/>
  <c r="S79" i="127"/>
  <c r="W79" i="127"/>
  <c r="O79" i="127"/>
  <c r="P79" i="127"/>
  <c r="AC79" i="127"/>
  <c r="AJ79" i="127"/>
  <c r="Z79" i="127"/>
  <c r="AH79" i="127"/>
  <c r="AA79" i="127"/>
  <c r="Q79" i="127"/>
  <c r="AD79" i="127"/>
  <c r="U79" i="127"/>
  <c r="Y79" i="127"/>
  <c r="Z85" i="127"/>
  <c r="AK85" i="127"/>
  <c r="Y85" i="127"/>
  <c r="AE85" i="127"/>
  <c r="S85" i="127"/>
  <c r="L85" i="127"/>
  <c r="T85" i="127"/>
  <c r="K85" i="127"/>
  <c r="U85" i="127"/>
  <c r="X85" i="127"/>
  <c r="M85" i="127"/>
  <c r="AA85" i="127"/>
  <c r="N85" i="127"/>
  <c r="AH85" i="127"/>
  <c r="W85" i="127"/>
  <c r="AB85" i="127"/>
  <c r="P85" i="127"/>
  <c r="AF85" i="127"/>
  <c r="AC85" i="127"/>
  <c r="AG85" i="127"/>
  <c r="AJ85" i="127"/>
  <c r="AI85" i="127"/>
  <c r="J85" i="127"/>
  <c r="AD85" i="127"/>
  <c r="Q85" i="127"/>
  <c r="V85" i="127"/>
  <c r="R85" i="127"/>
  <c r="O85" i="127"/>
  <c r="J380" i="68"/>
  <c r="L122" i="85"/>
  <c r="AQ374" i="68"/>
  <c r="Q374" i="68"/>
  <c r="BA374" i="68" s="1"/>
  <c r="AK374" i="68"/>
  <c r="BU374" i="68" s="1"/>
  <c r="AA374" i="68"/>
  <c r="BK374" i="68" s="1"/>
  <c r="P21" i="88"/>
  <c r="AZ387" i="68"/>
  <c r="H384" i="68"/>
  <c r="J126" i="85"/>
  <c r="X21" i="88"/>
  <c r="AE14" i="127" l="1"/>
  <c r="AF14" i="127"/>
  <c r="X14" i="127"/>
  <c r="AA347" i="68"/>
  <c r="BK347" i="68" s="1"/>
  <c r="AS347" i="68"/>
  <c r="J347" i="68"/>
  <c r="BV416" i="68"/>
  <c r="AK150" i="88" s="1"/>
  <c r="AH14" i="127"/>
  <c r="W14" i="127"/>
  <c r="AK14" i="127"/>
  <c r="AD14" i="127"/>
  <c r="T14" i="127"/>
  <c r="AB14" i="127"/>
  <c r="V14" i="127"/>
  <c r="U14" i="127"/>
  <c r="S14" i="127"/>
  <c r="F10" i="76"/>
  <c r="C10" i="76"/>
  <c r="E10" i="76"/>
  <c r="B90" i="76"/>
  <c r="B91" i="76" s="1"/>
  <c r="B11" i="76"/>
  <c r="D10" i="76"/>
  <c r="B59" i="76"/>
  <c r="B58" i="76"/>
  <c r="B60" i="76"/>
  <c r="B76" i="76"/>
  <c r="B77" i="76" s="1"/>
  <c r="B80" i="76" s="1"/>
  <c r="B81" i="76" s="1"/>
  <c r="B83" i="76" s="1"/>
  <c r="R372" i="68"/>
  <c r="BB372" i="68" s="1"/>
  <c r="AR372" i="68"/>
  <c r="AB372" i="68"/>
  <c r="BL372" i="68" s="1"/>
  <c r="AL372" i="68"/>
  <c r="BV372" i="68" s="1"/>
  <c r="I372" i="68"/>
  <c r="K114" i="85"/>
  <c r="I386" i="68"/>
  <c r="K128" i="85"/>
  <c r="AB386" i="68"/>
  <c r="BL386" i="68" s="1"/>
  <c r="R386" i="68"/>
  <c r="BB386" i="68" s="1"/>
  <c r="AR386" i="68"/>
  <c r="AL386" i="68"/>
  <c r="BV386" i="68" s="1"/>
  <c r="I376" i="68"/>
  <c r="K118" i="85"/>
  <c r="AL376" i="68"/>
  <c r="BV376" i="68" s="1"/>
  <c r="AR376" i="68"/>
  <c r="R376" i="68"/>
  <c r="BB376" i="68" s="1"/>
  <c r="AB376" i="68"/>
  <c r="BL376" i="68" s="1"/>
  <c r="J383" i="68"/>
  <c r="L125" i="85"/>
  <c r="I378" i="68"/>
  <c r="K120" i="85"/>
  <c r="S383" i="68"/>
  <c r="BC383" i="68" s="1"/>
  <c r="AC383" i="68"/>
  <c r="BM383" i="68" s="1"/>
  <c r="AS383" i="68"/>
  <c r="AL378" i="68"/>
  <c r="BV378" i="68" s="1"/>
  <c r="R378" i="68"/>
  <c r="BB378" i="68" s="1"/>
  <c r="AR378" i="68"/>
  <c r="AB378" i="68"/>
  <c r="BL378" i="68" s="1"/>
  <c r="R373" i="68"/>
  <c r="BB373" i="68" s="1"/>
  <c r="AL373" i="68"/>
  <c r="BV373" i="68" s="1"/>
  <c r="AR373" i="68"/>
  <c r="AB373" i="68"/>
  <c r="BL373" i="68" s="1"/>
  <c r="I373" i="68"/>
  <c r="K115" i="85"/>
  <c r="S381" i="68"/>
  <c r="BC381" i="68" s="1"/>
  <c r="AS381" i="68"/>
  <c r="AC381" i="68"/>
  <c r="BM381" i="68" s="1"/>
  <c r="J381" i="68"/>
  <c r="L123" i="85"/>
  <c r="AF13" i="127"/>
  <c r="J414" i="68"/>
  <c r="AS414" i="68"/>
  <c r="S414" i="68"/>
  <c r="BC414" i="68" s="1"/>
  <c r="AC414" i="68"/>
  <c r="BM414" i="68" s="1"/>
  <c r="AR416" i="68"/>
  <c r="G150" i="88" s="1"/>
  <c r="AE406" i="68"/>
  <c r="BO406" i="68" s="1"/>
  <c r="AU406" i="68"/>
  <c r="L406" i="68"/>
  <c r="U406" i="68"/>
  <c r="BE406" i="68" s="1"/>
  <c r="AE412" i="68"/>
  <c r="BO412" i="68" s="1"/>
  <c r="L412" i="68"/>
  <c r="AU412" i="68"/>
  <c r="U412" i="68"/>
  <c r="BE412" i="68" s="1"/>
  <c r="BL416" i="68"/>
  <c r="AA150" i="88" s="1"/>
  <c r="BB416" i="68"/>
  <c r="Q150" i="88" s="1"/>
  <c r="S415" i="68"/>
  <c r="BC415" i="68" s="1"/>
  <c r="J415" i="68"/>
  <c r="AC415" i="68"/>
  <c r="BM415" i="68" s="1"/>
  <c r="AS415" i="68"/>
  <c r="AR257" i="68"/>
  <c r="I257" i="68"/>
  <c r="Z257" i="68"/>
  <c r="BJ257" i="68" s="1"/>
  <c r="BG115" i="68"/>
  <c r="V54" i="88" s="1"/>
  <c r="V35" i="137"/>
  <c r="AA35" i="137"/>
  <c r="AF35" i="137"/>
  <c r="AF61" i="137"/>
  <c r="V61" i="137"/>
  <c r="AA61" i="137"/>
  <c r="AA33" i="137"/>
  <c r="AF33" i="137"/>
  <c r="V33" i="137"/>
  <c r="AA49" i="137"/>
  <c r="AF49" i="137"/>
  <c r="V49" i="137"/>
  <c r="AA65" i="137"/>
  <c r="V65" i="137"/>
  <c r="AF44" i="137"/>
  <c r="V44" i="137"/>
  <c r="AA44" i="137"/>
  <c r="AF67" i="137"/>
  <c r="V67" i="137"/>
  <c r="AA67" i="137"/>
  <c r="AA63" i="137"/>
  <c r="AF63" i="137"/>
  <c r="V63" i="137"/>
  <c r="V59" i="137"/>
  <c r="AA59" i="137"/>
  <c r="AF59" i="137"/>
  <c r="AF60" i="137"/>
  <c r="V60" i="137"/>
  <c r="AA60" i="137"/>
  <c r="V27" i="137"/>
  <c r="AA27" i="137"/>
  <c r="AF27" i="137"/>
  <c r="AF29" i="137"/>
  <c r="V29" i="137"/>
  <c r="AA29" i="137"/>
  <c r="AA39" i="137"/>
  <c r="AF39" i="137"/>
  <c r="V39" i="137"/>
  <c r="AF26" i="137"/>
  <c r="AA26" i="137"/>
  <c r="V26" i="137"/>
  <c r="V42" i="137"/>
  <c r="AA42" i="137"/>
  <c r="AF42" i="137"/>
  <c r="AA58" i="137"/>
  <c r="AF58" i="137"/>
  <c r="V58" i="137"/>
  <c r="AF13" i="137"/>
  <c r="V13" i="137"/>
  <c r="AA13" i="137"/>
  <c r="AF51" i="137"/>
  <c r="AA51" i="137"/>
  <c r="V51" i="137"/>
  <c r="AA47" i="137"/>
  <c r="AF47" i="137"/>
  <c r="V47" i="137"/>
  <c r="V43" i="137"/>
  <c r="AA43" i="137"/>
  <c r="AF43" i="137"/>
  <c r="AA55" i="137"/>
  <c r="AF55" i="137"/>
  <c r="V55" i="137"/>
  <c r="V11" i="137"/>
  <c r="AA11" i="137"/>
  <c r="AF11" i="137"/>
  <c r="AF25" i="137"/>
  <c r="V25" i="137"/>
  <c r="AA25" i="137"/>
  <c r="AF41" i="137"/>
  <c r="V41" i="137"/>
  <c r="AA41" i="137"/>
  <c r="AA57" i="137"/>
  <c r="AF57" i="137"/>
  <c r="V57" i="137"/>
  <c r="V66" i="137"/>
  <c r="AA66" i="137"/>
  <c r="AF66" i="137"/>
  <c r="AA23" i="137"/>
  <c r="AF23" i="137"/>
  <c r="V23" i="137"/>
  <c r="V64" i="137"/>
  <c r="AF64" i="137"/>
  <c r="AA64" i="137"/>
  <c r="AA62" i="137"/>
  <c r="AF62" i="137"/>
  <c r="V62" i="137"/>
  <c r="V56" i="137"/>
  <c r="AA56" i="137"/>
  <c r="AF56" i="137"/>
  <c r="V31" i="137"/>
  <c r="AA31" i="137"/>
  <c r="AF31" i="137"/>
  <c r="AF19" i="137"/>
  <c r="V19" i="137"/>
  <c r="AA19" i="137"/>
  <c r="V18" i="137"/>
  <c r="AA18" i="137"/>
  <c r="AF18" i="137"/>
  <c r="AF34" i="137"/>
  <c r="V34" i="137"/>
  <c r="AA34" i="137"/>
  <c r="V50" i="137"/>
  <c r="AA50" i="137"/>
  <c r="AF50" i="137"/>
  <c r="AF36" i="137"/>
  <c r="V36" i="137"/>
  <c r="AA36" i="137"/>
  <c r="AA54" i="137"/>
  <c r="AF54" i="137"/>
  <c r="V54" i="137"/>
  <c r="V48" i="137"/>
  <c r="AA48" i="137"/>
  <c r="AF48" i="137"/>
  <c r="AA46" i="137"/>
  <c r="AF46" i="137"/>
  <c r="V46" i="137"/>
  <c r="AA40" i="137"/>
  <c r="V40" i="137"/>
  <c r="AF40" i="137"/>
  <c r="AF28" i="137"/>
  <c r="V28" i="137"/>
  <c r="AA28" i="137"/>
  <c r="V45" i="137"/>
  <c r="AA45" i="137"/>
  <c r="AF45" i="137"/>
  <c r="AF52" i="137"/>
  <c r="V52" i="137"/>
  <c r="AA52" i="137"/>
  <c r="AF68" i="137"/>
  <c r="V68" i="137"/>
  <c r="AA68" i="137"/>
  <c r="AF20" i="137"/>
  <c r="V20" i="137"/>
  <c r="AA20" i="137"/>
  <c r="AA17" i="137"/>
  <c r="AF17" i="137"/>
  <c r="V17" i="137"/>
  <c r="AA38" i="137"/>
  <c r="AF38" i="137"/>
  <c r="V38" i="137"/>
  <c r="AA32" i="137"/>
  <c r="V32" i="137"/>
  <c r="AF32" i="137"/>
  <c r="AA30" i="137"/>
  <c r="AF30" i="137"/>
  <c r="V30" i="137"/>
  <c r="AA24" i="137"/>
  <c r="AF24" i="137"/>
  <c r="V24" i="137"/>
  <c r="AF12" i="137"/>
  <c r="V12" i="137"/>
  <c r="AA12" i="137"/>
  <c r="AA15" i="137"/>
  <c r="AF15" i="137"/>
  <c r="V15" i="137"/>
  <c r="V21" i="137"/>
  <c r="AA21" i="137"/>
  <c r="AF21" i="137"/>
  <c r="AA37" i="137"/>
  <c r="AF37" i="137"/>
  <c r="V37" i="137"/>
  <c r="AF53" i="137"/>
  <c r="V53" i="137"/>
  <c r="AA53" i="137"/>
  <c r="AA10" i="137"/>
  <c r="AF10" i="137"/>
  <c r="V10" i="137"/>
  <c r="AA22" i="137"/>
  <c r="V22" i="137"/>
  <c r="AF22" i="137"/>
  <c r="AA16" i="137"/>
  <c r="V16" i="137"/>
  <c r="AF16" i="137"/>
  <c r="AA14" i="137"/>
  <c r="AF14" i="137"/>
  <c r="V14" i="137"/>
  <c r="V9" i="137"/>
  <c r="AA9" i="137"/>
  <c r="AF9" i="137"/>
  <c r="H67" i="127"/>
  <c r="H62" i="127"/>
  <c r="H61" i="127"/>
  <c r="I52" i="87"/>
  <c r="I61" i="127" s="1"/>
  <c r="K70" i="87"/>
  <c r="J129" i="127"/>
  <c r="K408" i="68"/>
  <c r="AD408" i="68"/>
  <c r="BN408" i="68" s="1"/>
  <c r="AT408" i="68"/>
  <c r="T408" i="68"/>
  <c r="BD408" i="68" s="1"/>
  <c r="I43" i="87"/>
  <c r="I44" i="87" s="1"/>
  <c r="I93" i="87" s="1"/>
  <c r="H90" i="87"/>
  <c r="H44" i="87"/>
  <c r="I45" i="87"/>
  <c r="H96" i="87"/>
  <c r="AI13" i="127"/>
  <c r="V13" i="127"/>
  <c r="AK13" i="127"/>
  <c r="X13" i="127"/>
  <c r="U13" i="127"/>
  <c r="AB13" i="127"/>
  <c r="Q13" i="127"/>
  <c r="S13" i="127"/>
  <c r="AG13" i="127"/>
  <c r="AE13" i="127"/>
  <c r="H46" i="87"/>
  <c r="H99" i="87" s="1"/>
  <c r="A10" i="135"/>
  <c r="AA10" i="127"/>
  <c r="AD10" i="127"/>
  <c r="AK10" i="127"/>
  <c r="H23" i="105"/>
  <c r="G24" i="105"/>
  <c r="I107" i="105"/>
  <c r="H108" i="105"/>
  <c r="V10" i="127"/>
  <c r="H52" i="105"/>
  <c r="I51" i="105"/>
  <c r="H79" i="105"/>
  <c r="G80" i="105"/>
  <c r="AP23" i="68"/>
  <c r="AH13" i="127"/>
  <c r="BN23" i="68"/>
  <c r="AC21" i="88" s="1"/>
  <c r="BA387" i="68"/>
  <c r="P148" i="88" s="1"/>
  <c r="K13" i="127"/>
  <c r="T13" i="127"/>
  <c r="BB23" i="68"/>
  <c r="Q21" i="88" s="1"/>
  <c r="J411" i="68"/>
  <c r="AC411" i="68"/>
  <c r="BM411" i="68" s="1"/>
  <c r="BM416" i="68" s="1"/>
  <c r="AB150" i="88" s="1"/>
  <c r="AS411" i="68"/>
  <c r="S411" i="68"/>
  <c r="BC411" i="68" s="1"/>
  <c r="AO115" i="68"/>
  <c r="D54" i="88" s="1"/>
  <c r="AT409" i="68"/>
  <c r="K409" i="68"/>
  <c r="T409" i="68"/>
  <c r="BD409" i="68" s="1"/>
  <c r="AD409" i="68"/>
  <c r="BN409" i="68" s="1"/>
  <c r="R13" i="127"/>
  <c r="AC13" i="127"/>
  <c r="M13" i="127"/>
  <c r="Y13" i="127"/>
  <c r="BM115" i="68"/>
  <c r="AB54" i="88" s="1"/>
  <c r="P13" i="127"/>
  <c r="Z13" i="127"/>
  <c r="W9" i="127"/>
  <c r="Z10" i="127"/>
  <c r="D9" i="127"/>
  <c r="P9" i="127"/>
  <c r="AJ13" i="127"/>
  <c r="V9" i="127"/>
  <c r="BN6" i="140"/>
  <c r="BX6" i="140"/>
  <c r="CI6" i="140" s="1"/>
  <c r="CT6" i="140" s="1"/>
  <c r="DE6" i="140" s="1"/>
  <c r="O13" i="127"/>
  <c r="N10" i="127"/>
  <c r="N13" i="127"/>
  <c r="D10" i="127"/>
  <c r="F17" i="105"/>
  <c r="V75" i="68"/>
  <c r="BF75" i="68" s="1"/>
  <c r="K75" i="68"/>
  <c r="AT75" i="68"/>
  <c r="AH75" i="68"/>
  <c r="BR75" i="68" s="1"/>
  <c r="Q296" i="127"/>
  <c r="Q305" i="127" s="1"/>
  <c r="Y296" i="127"/>
  <c r="Y305" i="127" s="1"/>
  <c r="AG296" i="127"/>
  <c r="AG305" i="127" s="1"/>
  <c r="W296" i="127"/>
  <c r="W305" i="127" s="1"/>
  <c r="V296" i="127"/>
  <c r="V305" i="127" s="1"/>
  <c r="R296" i="127"/>
  <c r="R305" i="127" s="1"/>
  <c r="D296" i="127"/>
  <c r="D305" i="127" s="1"/>
  <c r="T296" i="127"/>
  <c r="T305" i="127" s="1"/>
  <c r="J296" i="127"/>
  <c r="J305" i="127" s="1"/>
  <c r="AF296" i="127"/>
  <c r="AF305" i="127" s="1"/>
  <c r="M296" i="127"/>
  <c r="M305" i="127" s="1"/>
  <c r="U296" i="127"/>
  <c r="U305" i="127" s="1"/>
  <c r="AA296" i="127"/>
  <c r="AA305" i="127" s="1"/>
  <c r="K296" i="127"/>
  <c r="K305" i="127" s="1"/>
  <c r="AE296" i="127"/>
  <c r="AE305" i="127" s="1"/>
  <c r="AB296" i="127"/>
  <c r="AB305" i="127" s="1"/>
  <c r="O296" i="127"/>
  <c r="O305" i="127" s="1"/>
  <c r="C97" i="105"/>
  <c r="S296" i="127"/>
  <c r="S305" i="127" s="1"/>
  <c r="AH296" i="127"/>
  <c r="AH305" i="127" s="1"/>
  <c r="P296" i="127"/>
  <c r="P305" i="127" s="1"/>
  <c r="AK296" i="127"/>
  <c r="AK305" i="127" s="1"/>
  <c r="AI296" i="127"/>
  <c r="AI305" i="127" s="1"/>
  <c r="X296" i="127"/>
  <c r="X305" i="127" s="1"/>
  <c r="Z296" i="127"/>
  <c r="Z305" i="127" s="1"/>
  <c r="AC296" i="127"/>
  <c r="AC305" i="127" s="1"/>
  <c r="AD296" i="127"/>
  <c r="AD305" i="127" s="1"/>
  <c r="N296" i="127"/>
  <c r="N305" i="127" s="1"/>
  <c r="L296" i="127"/>
  <c r="L305" i="127" s="1"/>
  <c r="AJ296" i="127"/>
  <c r="AJ305" i="127" s="1"/>
  <c r="AD410" i="68"/>
  <c r="BN410" i="68" s="1"/>
  <c r="AT410" i="68"/>
  <c r="T410" i="68"/>
  <c r="BD410" i="68" s="1"/>
  <c r="K410" i="68"/>
  <c r="AC10" i="127"/>
  <c r="AG10" i="127"/>
  <c r="F28" i="127"/>
  <c r="F130" i="127"/>
  <c r="AJ234" i="127"/>
  <c r="AJ243" i="127" s="1"/>
  <c r="Y234" i="127"/>
  <c r="Y243" i="127" s="1"/>
  <c r="L234" i="127"/>
  <c r="L243" i="127" s="1"/>
  <c r="J234" i="127"/>
  <c r="J243" i="127" s="1"/>
  <c r="V234" i="127"/>
  <c r="V243" i="127" s="1"/>
  <c r="C41" i="105"/>
  <c r="W234" i="127"/>
  <c r="W243" i="127" s="1"/>
  <c r="AD234" i="127"/>
  <c r="AD243" i="127" s="1"/>
  <c r="Z234" i="127"/>
  <c r="Z243" i="127" s="1"/>
  <c r="AB234" i="127"/>
  <c r="AB243" i="127" s="1"/>
  <c r="AE234" i="127"/>
  <c r="AE243" i="127" s="1"/>
  <c r="P234" i="127"/>
  <c r="P243" i="127" s="1"/>
  <c r="M234" i="127"/>
  <c r="M243" i="127" s="1"/>
  <c r="R234" i="127"/>
  <c r="R243" i="127" s="1"/>
  <c r="X234" i="127"/>
  <c r="X243" i="127" s="1"/>
  <c r="AK234" i="127"/>
  <c r="AK243" i="127" s="1"/>
  <c r="Q234" i="127"/>
  <c r="Q243" i="127" s="1"/>
  <c r="AA234" i="127"/>
  <c r="AA243" i="127" s="1"/>
  <c r="AI234" i="127"/>
  <c r="AI243" i="127" s="1"/>
  <c r="T234" i="127"/>
  <c r="T243" i="127" s="1"/>
  <c r="AG234" i="127"/>
  <c r="AG243" i="127" s="1"/>
  <c r="U234" i="127"/>
  <c r="U243" i="127" s="1"/>
  <c r="AH234" i="127"/>
  <c r="AH243" i="127" s="1"/>
  <c r="N234" i="127"/>
  <c r="N243" i="127" s="1"/>
  <c r="O234" i="127"/>
  <c r="O243" i="127" s="1"/>
  <c r="D234" i="127"/>
  <c r="D243" i="127" s="1"/>
  <c r="K234" i="127"/>
  <c r="K243" i="127" s="1"/>
  <c r="AC234" i="127"/>
  <c r="AC243" i="127" s="1"/>
  <c r="AF234" i="127"/>
  <c r="AF243" i="127" s="1"/>
  <c r="S234" i="127"/>
  <c r="S243" i="127" s="1"/>
  <c r="Z9" i="127"/>
  <c r="D192" i="127"/>
  <c r="D30" i="127"/>
  <c r="AH10" i="127"/>
  <c r="K380" i="68"/>
  <c r="M122" i="85"/>
  <c r="T380" i="68"/>
  <c r="BD380" i="68" s="1"/>
  <c r="AD380" i="68"/>
  <c r="BN380" i="68" s="1"/>
  <c r="AT380" i="68"/>
  <c r="K126" i="85"/>
  <c r="I384" i="68"/>
  <c r="Q265" i="127"/>
  <c r="Q274" i="127" s="1"/>
  <c r="AG265" i="127"/>
  <c r="AG274" i="127" s="1"/>
  <c r="C69" i="105"/>
  <c r="P265" i="127"/>
  <c r="P274" i="127" s="1"/>
  <c r="AJ265" i="127"/>
  <c r="AJ274" i="127" s="1"/>
  <c r="K265" i="127"/>
  <c r="K274" i="127" s="1"/>
  <c r="T265" i="127"/>
  <c r="T274" i="127" s="1"/>
  <c r="Z265" i="127"/>
  <c r="Z274" i="127" s="1"/>
  <c r="S265" i="127"/>
  <c r="S274" i="127" s="1"/>
  <c r="L265" i="127"/>
  <c r="L274" i="127" s="1"/>
  <c r="M265" i="127"/>
  <c r="M274" i="127" s="1"/>
  <c r="W265" i="127"/>
  <c r="W274" i="127" s="1"/>
  <c r="V265" i="127"/>
  <c r="V274" i="127" s="1"/>
  <c r="AB265" i="127"/>
  <c r="AB274" i="127" s="1"/>
  <c r="Y265" i="127"/>
  <c r="Y274" i="127" s="1"/>
  <c r="N265" i="127"/>
  <c r="N274" i="127" s="1"/>
  <c r="U265" i="127"/>
  <c r="U274" i="127" s="1"/>
  <c r="AI265" i="127"/>
  <c r="AI274" i="127" s="1"/>
  <c r="AA265" i="127"/>
  <c r="AA274" i="127" s="1"/>
  <c r="AF265" i="127"/>
  <c r="AF274" i="127" s="1"/>
  <c r="J265" i="127"/>
  <c r="J274" i="127" s="1"/>
  <c r="X265" i="127"/>
  <c r="X274" i="127" s="1"/>
  <c r="O265" i="127"/>
  <c r="O274" i="127" s="1"/>
  <c r="AE265" i="127"/>
  <c r="AE274" i="127" s="1"/>
  <c r="AD265" i="127"/>
  <c r="AD274" i="127" s="1"/>
  <c r="AC265" i="127"/>
  <c r="AC274" i="127" s="1"/>
  <c r="D265" i="127"/>
  <c r="D274" i="127" s="1"/>
  <c r="AK265" i="127"/>
  <c r="AK274" i="127" s="1"/>
  <c r="R265" i="127"/>
  <c r="R274" i="127" s="1"/>
  <c r="AH265" i="127"/>
  <c r="AH274" i="127" s="1"/>
  <c r="U9" i="127"/>
  <c r="AF9" i="127"/>
  <c r="F100" i="87"/>
  <c r="M10" i="127"/>
  <c r="AJ10" i="127"/>
  <c r="O10" i="127"/>
  <c r="AS377" i="68"/>
  <c r="AC377" i="68"/>
  <c r="BM377" i="68" s="1"/>
  <c r="S377" i="68"/>
  <c r="BC377" i="68" s="1"/>
  <c r="I385" i="68"/>
  <c r="K127" i="85"/>
  <c r="M167" i="68"/>
  <c r="X167" i="68"/>
  <c r="BH167" i="68" s="1"/>
  <c r="AJ167" i="68"/>
  <c r="BT167" i="68" s="1"/>
  <c r="AV167" i="68"/>
  <c r="E101" i="105"/>
  <c r="O9" i="127"/>
  <c r="AK9" i="127"/>
  <c r="T10" i="127"/>
  <c r="AB10" i="127"/>
  <c r="L119" i="85"/>
  <c r="J377" i="68"/>
  <c r="E45" i="105"/>
  <c r="AL385" i="68"/>
  <c r="BV385" i="68" s="1"/>
  <c r="AR385" i="68"/>
  <c r="AB385" i="68"/>
  <c r="BL385" i="68" s="1"/>
  <c r="R385" i="68"/>
  <c r="BB385" i="68" s="1"/>
  <c r="K124" i="85"/>
  <c r="I382" i="68"/>
  <c r="N9" i="127"/>
  <c r="AG9" i="127"/>
  <c r="K9" i="127"/>
  <c r="AE10" i="127"/>
  <c r="K10" i="127"/>
  <c r="W10" i="127"/>
  <c r="J379" i="68"/>
  <c r="L121" i="85"/>
  <c r="D16" i="105"/>
  <c r="D215" i="127"/>
  <c r="M74" i="105"/>
  <c r="AC54" i="88"/>
  <c r="N44" i="105"/>
  <c r="AR384" i="68"/>
  <c r="R384" i="68"/>
  <c r="BB384" i="68" s="1"/>
  <c r="AL384" i="68"/>
  <c r="BV384" i="68" s="1"/>
  <c r="AB384" i="68"/>
  <c r="BL384" i="68" s="1"/>
  <c r="R46" i="105"/>
  <c r="L13" i="127"/>
  <c r="AR382" i="68"/>
  <c r="AL382" i="68"/>
  <c r="BV382" i="68" s="1"/>
  <c r="AB382" i="68"/>
  <c r="BL382" i="68" s="1"/>
  <c r="R382" i="68"/>
  <c r="BB382" i="68" s="1"/>
  <c r="AC9" i="127"/>
  <c r="AA9" i="127"/>
  <c r="AI9" i="127"/>
  <c r="S54" i="88"/>
  <c r="U10" i="127"/>
  <c r="S379" i="68"/>
  <c r="BC379" i="68" s="1"/>
  <c r="AC379" i="68"/>
  <c r="BM379" i="68" s="1"/>
  <c r="AS379" i="68"/>
  <c r="E26" i="127"/>
  <c r="E68" i="127"/>
  <c r="D285" i="127"/>
  <c r="D33" i="127"/>
  <c r="D31" i="127"/>
  <c r="D223" i="127"/>
  <c r="AX115" i="68"/>
  <c r="O148" i="88"/>
  <c r="W13" i="127"/>
  <c r="AJ9" i="127"/>
  <c r="AB9" i="127"/>
  <c r="Y9" i="127"/>
  <c r="L10" i="127"/>
  <c r="X10" i="127"/>
  <c r="AE54" i="88"/>
  <c r="F88" i="87"/>
  <c r="BV115" i="68"/>
  <c r="E72" i="105"/>
  <c r="V21" i="88"/>
  <c r="W54" i="88"/>
  <c r="Y429" i="68"/>
  <c r="BI429" i="68" s="1"/>
  <c r="O429" i="68"/>
  <c r="AY429" i="68" s="1"/>
  <c r="AO429" i="68"/>
  <c r="F429" i="68"/>
  <c r="AI429" i="68"/>
  <c r="BS429" i="68" s="1"/>
  <c r="BU387" i="68"/>
  <c r="AS375" i="68"/>
  <c r="S375" i="68"/>
  <c r="BC375" i="68" s="1"/>
  <c r="AC375" i="68"/>
  <c r="BM375" i="68" s="1"/>
  <c r="D184" i="127"/>
  <c r="AU115" i="68"/>
  <c r="E60" i="127"/>
  <c r="W371" i="68"/>
  <c r="BG371" i="68" s="1"/>
  <c r="AG371" i="68"/>
  <c r="BQ371" i="68" s="1"/>
  <c r="AW371" i="68"/>
  <c r="AH9" i="127"/>
  <c r="AE9" i="127"/>
  <c r="Q9" i="127"/>
  <c r="P10" i="127"/>
  <c r="Y10" i="127"/>
  <c r="BA115" i="68"/>
  <c r="D308" i="127"/>
  <c r="D310" i="127"/>
  <c r="E91" i="87"/>
  <c r="D315" i="127"/>
  <c r="BJ115" i="68"/>
  <c r="E97" i="87"/>
  <c r="D246" i="127"/>
  <c r="D253" i="127"/>
  <c r="D248" i="127"/>
  <c r="E160" i="127"/>
  <c r="BK387" i="68"/>
  <c r="AD13" i="127"/>
  <c r="L117" i="85"/>
  <c r="J375" i="68"/>
  <c r="BS115" i="68"/>
  <c r="F94" i="87"/>
  <c r="V371" i="68"/>
  <c r="BF371" i="68" s="1"/>
  <c r="AV371" i="68"/>
  <c r="AF371" i="68"/>
  <c r="BP371" i="68" s="1"/>
  <c r="T9" i="127"/>
  <c r="R9" i="127"/>
  <c r="X9" i="127"/>
  <c r="AI10" i="127"/>
  <c r="R10" i="127"/>
  <c r="Q18" i="105"/>
  <c r="E54" i="88"/>
  <c r="K73" i="105"/>
  <c r="S9" i="127"/>
  <c r="AD9" i="127"/>
  <c r="Q10" i="127"/>
  <c r="AF10" i="127"/>
  <c r="AQ387" i="68"/>
  <c r="I374" i="68"/>
  <c r="K116" i="85"/>
  <c r="AA13" i="127"/>
  <c r="AR374" i="68"/>
  <c r="AB374" i="68"/>
  <c r="BL374" i="68" s="1"/>
  <c r="AL374" i="68"/>
  <c r="BV374" i="68" s="1"/>
  <c r="R374" i="68"/>
  <c r="BB374" i="68" s="1"/>
  <c r="AB102" i="105"/>
  <c r="AJ203" i="127"/>
  <c r="AJ212" i="127" s="1"/>
  <c r="Z203" i="127"/>
  <c r="Z212" i="127" s="1"/>
  <c r="L203" i="127"/>
  <c r="L212" i="127" s="1"/>
  <c r="AC203" i="127"/>
  <c r="AC212" i="127" s="1"/>
  <c r="S203" i="127"/>
  <c r="S212" i="127" s="1"/>
  <c r="K203" i="127"/>
  <c r="K212" i="127" s="1"/>
  <c r="AF203" i="127"/>
  <c r="AF212" i="127" s="1"/>
  <c r="AI203" i="127"/>
  <c r="AI212" i="127" s="1"/>
  <c r="N203" i="127"/>
  <c r="N212" i="127" s="1"/>
  <c r="Y203" i="127"/>
  <c r="Y212" i="127" s="1"/>
  <c r="M203" i="127"/>
  <c r="M212" i="127" s="1"/>
  <c r="R203" i="127"/>
  <c r="R212" i="127" s="1"/>
  <c r="AH203" i="127"/>
  <c r="AH212" i="127" s="1"/>
  <c r="AE203" i="127"/>
  <c r="AE212" i="127" s="1"/>
  <c r="W203" i="127"/>
  <c r="W212" i="127" s="1"/>
  <c r="V203" i="127"/>
  <c r="V212" i="127" s="1"/>
  <c r="J203" i="127"/>
  <c r="J212" i="127" s="1"/>
  <c r="X203" i="127"/>
  <c r="X212" i="127" s="1"/>
  <c r="O203" i="127"/>
  <c r="O212" i="127" s="1"/>
  <c r="D203" i="127"/>
  <c r="D212" i="127" s="1"/>
  <c r="AB203" i="127"/>
  <c r="AB212" i="127" s="1"/>
  <c r="AD203" i="127"/>
  <c r="AD212" i="127" s="1"/>
  <c r="T203" i="127"/>
  <c r="T212" i="127" s="1"/>
  <c r="AG203" i="127"/>
  <c r="AG212" i="127" s="1"/>
  <c r="Q203" i="127"/>
  <c r="Q212" i="127" s="1"/>
  <c r="AK203" i="127"/>
  <c r="AK212" i="127" s="1"/>
  <c r="U203" i="127"/>
  <c r="U212" i="127" s="1"/>
  <c r="P203" i="127"/>
  <c r="P212" i="127" s="1"/>
  <c r="AA203" i="127"/>
  <c r="AA212" i="127" s="1"/>
  <c r="L9" i="127"/>
  <c r="M9" i="127"/>
  <c r="S10" i="127"/>
  <c r="E21" i="88"/>
  <c r="H60" i="127" s="1"/>
  <c r="G100" i="105"/>
  <c r="AE407" i="68"/>
  <c r="BO407" i="68" s="1"/>
  <c r="U407" i="68"/>
  <c r="BE407" i="68" s="1"/>
  <c r="AU407" i="68"/>
  <c r="L407" i="68"/>
  <c r="AT347" i="68" l="1"/>
  <c r="K347" i="68"/>
  <c r="AB347" i="68"/>
  <c r="BL347" i="68" s="1"/>
  <c r="BC416" i="68"/>
  <c r="R150" i="88" s="1"/>
  <c r="B66" i="76"/>
  <c r="B67" i="76" s="1"/>
  <c r="C155" i="76" s="1"/>
  <c r="D11" i="76"/>
  <c r="D12" i="76" s="1"/>
  <c r="D16" i="76" s="1"/>
  <c r="D18" i="76" s="1"/>
  <c r="D20" i="76" s="1"/>
  <c r="D76" i="76"/>
  <c r="D77" i="76" s="1"/>
  <c r="D80" i="76" s="1"/>
  <c r="D81" i="76" s="1"/>
  <c r="D83" i="76" s="1"/>
  <c r="D58" i="76"/>
  <c r="D59" i="76"/>
  <c r="B12" i="76"/>
  <c r="B16" i="76"/>
  <c r="B18" i="76" s="1"/>
  <c r="B20" i="76" s="1"/>
  <c r="B95" i="76"/>
  <c r="B97" i="76" s="1"/>
  <c r="B94" i="76"/>
  <c r="E76" i="76"/>
  <c r="E77" i="76" s="1"/>
  <c r="E80" i="76" s="1"/>
  <c r="E81" i="76" s="1"/>
  <c r="E83" i="76" s="1"/>
  <c r="E59" i="76"/>
  <c r="E11" i="76"/>
  <c r="E12" i="76" s="1"/>
  <c r="E16" i="76" s="1"/>
  <c r="E18" i="76" s="1"/>
  <c r="E20" i="76" s="1"/>
  <c r="E58" i="76"/>
  <c r="E66" i="76" s="1"/>
  <c r="E67" i="76" s="1"/>
  <c r="G155" i="76" s="1"/>
  <c r="C436" i="68" s="1"/>
  <c r="AQ436" i="68" s="1"/>
  <c r="C59" i="76"/>
  <c r="C11" i="76"/>
  <c r="C12" i="76" s="1"/>
  <c r="C16" i="76" s="1"/>
  <c r="C18" i="76" s="1"/>
  <c r="C20" i="76" s="1"/>
  <c r="C76" i="76"/>
  <c r="C77" i="76" s="1"/>
  <c r="C80" i="76" s="1"/>
  <c r="C81" i="76" s="1"/>
  <c r="C83" i="76" s="1"/>
  <c r="C58" i="76"/>
  <c r="C90" i="76"/>
  <c r="C91" i="76" s="1"/>
  <c r="C60" i="76"/>
  <c r="F11" i="76"/>
  <c r="F12" i="76" s="1"/>
  <c r="F16" i="76" s="1"/>
  <c r="F18" i="76" s="1"/>
  <c r="F20" i="76" s="1"/>
  <c r="B41" i="76"/>
  <c r="B44" i="76" s="1"/>
  <c r="B45" i="76" s="1"/>
  <c r="L128" i="85"/>
  <c r="J386" i="68"/>
  <c r="AC386" i="68"/>
  <c r="BM386" i="68" s="1"/>
  <c r="S386" i="68"/>
  <c r="BC386" i="68" s="1"/>
  <c r="AS386" i="68"/>
  <c r="J376" i="68"/>
  <c r="L118" i="85"/>
  <c r="L114" i="85"/>
  <c r="J372" i="68"/>
  <c r="AC376" i="68"/>
  <c r="BM376" i="68" s="1"/>
  <c r="AS376" i="68"/>
  <c r="S376" i="68"/>
  <c r="BC376" i="68" s="1"/>
  <c r="AS372" i="68"/>
  <c r="S372" i="68"/>
  <c r="BC372" i="68" s="1"/>
  <c r="AC372" i="68"/>
  <c r="BM372" i="68" s="1"/>
  <c r="S373" i="68"/>
  <c r="BC373" i="68" s="1"/>
  <c r="AC373" i="68"/>
  <c r="BM373" i="68" s="1"/>
  <c r="AS373" i="68"/>
  <c r="M123" i="85"/>
  <c r="K381" i="68"/>
  <c r="AT381" i="68"/>
  <c r="AD381" i="68"/>
  <c r="BN381" i="68" s="1"/>
  <c r="T381" i="68"/>
  <c r="BD381" i="68" s="1"/>
  <c r="J378" i="68"/>
  <c r="L120" i="85"/>
  <c r="AS378" i="68"/>
  <c r="AC378" i="68"/>
  <c r="BM378" i="68" s="1"/>
  <c r="S378" i="68"/>
  <c r="BC378" i="68" s="1"/>
  <c r="M125" i="85"/>
  <c r="K383" i="68"/>
  <c r="J373" i="68"/>
  <c r="L115" i="85"/>
  <c r="T383" i="68"/>
  <c r="BD383" i="68" s="1"/>
  <c r="AD383" i="68"/>
  <c r="BN383" i="68" s="1"/>
  <c r="AT383" i="68"/>
  <c r="BL387" i="68"/>
  <c r="AA148" i="88" s="1"/>
  <c r="I62" i="127"/>
  <c r="I67" i="127"/>
  <c r="J52" i="87"/>
  <c r="J61" i="127" s="1"/>
  <c r="AS416" i="68"/>
  <c r="H150" i="88" s="1"/>
  <c r="AT414" i="68"/>
  <c r="K414" i="68"/>
  <c r="T414" i="68"/>
  <c r="BD414" i="68" s="1"/>
  <c r="AD414" i="68"/>
  <c r="BN414" i="68" s="1"/>
  <c r="AV412" i="68"/>
  <c r="V412" i="68"/>
  <c r="BF412" i="68" s="1"/>
  <c r="M412" i="68"/>
  <c r="AF412" i="68"/>
  <c r="BP412" i="68" s="1"/>
  <c r="AD415" i="68"/>
  <c r="BN415" i="68" s="1"/>
  <c r="AT415" i="68"/>
  <c r="K415" i="68"/>
  <c r="T415" i="68"/>
  <c r="BD415" i="68" s="1"/>
  <c r="AF406" i="68"/>
  <c r="BP406" i="68" s="1"/>
  <c r="AV406" i="68"/>
  <c r="M406" i="68"/>
  <c r="V406" i="68"/>
  <c r="BF406" i="68" s="1"/>
  <c r="J257" i="68"/>
  <c r="AA257" i="68"/>
  <c r="BK257" i="68" s="1"/>
  <c r="AS257" i="68"/>
  <c r="I60" i="127"/>
  <c r="AB71" i="137"/>
  <c r="AG71" i="137"/>
  <c r="W71" i="137"/>
  <c r="H93" i="87"/>
  <c r="L70" i="87"/>
  <c r="K129" i="127"/>
  <c r="L408" i="68"/>
  <c r="AU408" i="68"/>
  <c r="U408" i="68"/>
  <c r="BE408" i="68" s="1"/>
  <c r="AE408" i="68"/>
  <c r="BO408" i="68" s="1"/>
  <c r="AR387" i="68"/>
  <c r="J45" i="87"/>
  <c r="I96" i="87"/>
  <c r="J43" i="87"/>
  <c r="J44" i="87" s="1"/>
  <c r="J93" i="87" s="1"/>
  <c r="I90" i="87"/>
  <c r="R7" i="127"/>
  <c r="H39" i="87"/>
  <c r="I46" i="87"/>
  <c r="I99" i="87" s="1"/>
  <c r="A11" i="135"/>
  <c r="J107" i="105"/>
  <c r="I108" i="105"/>
  <c r="I23" i="105"/>
  <c r="H24" i="105"/>
  <c r="I79" i="105"/>
  <c r="H80" i="105"/>
  <c r="I52" i="105"/>
  <c r="J51" i="105"/>
  <c r="K411" i="68"/>
  <c r="AT411" i="68"/>
  <c r="AD411" i="68"/>
  <c r="BN411" i="68" s="1"/>
  <c r="T411" i="68"/>
  <c r="BD411" i="68" s="1"/>
  <c r="BD416" i="68" s="1"/>
  <c r="S150" i="88" s="1"/>
  <c r="BV387" i="68"/>
  <c r="AK148" i="88" s="1"/>
  <c r="AU409" i="68"/>
  <c r="AE409" i="68"/>
  <c r="BO409" i="68" s="1"/>
  <c r="U409" i="68"/>
  <c r="BE409" i="68" s="1"/>
  <c r="L409" i="68"/>
  <c r="Q7" i="127"/>
  <c r="AF7" i="127"/>
  <c r="Z7" i="127"/>
  <c r="BO6" i="140"/>
  <c r="BY6" i="140"/>
  <c r="CJ6" i="140" s="1"/>
  <c r="CU6" i="140" s="1"/>
  <c r="DF6" i="140" s="1"/>
  <c r="J384" i="68"/>
  <c r="L126" i="85"/>
  <c r="N122" i="85"/>
  <c r="M380" i="68" s="1"/>
  <c r="L380" i="68"/>
  <c r="L410" i="68"/>
  <c r="AU410" i="68"/>
  <c r="U410" i="68"/>
  <c r="BE410" i="68" s="1"/>
  <c r="AE410" i="68"/>
  <c r="BO410" i="68" s="1"/>
  <c r="F72" i="105"/>
  <c r="AW167" i="68"/>
  <c r="Y167" i="68"/>
  <c r="BI167" i="68" s="1"/>
  <c r="AK167" i="68"/>
  <c r="BU167" i="68" s="1"/>
  <c r="N167" i="68"/>
  <c r="U380" i="68"/>
  <c r="BE380" i="68" s="1"/>
  <c r="AU380" i="68"/>
  <c r="AE380" i="68"/>
  <c r="BO380" i="68" s="1"/>
  <c r="AC102" i="105"/>
  <c r="J374" i="68"/>
  <c r="L116" i="85"/>
  <c r="AH54" i="88"/>
  <c r="AD7" i="127"/>
  <c r="Y54" i="88"/>
  <c r="O44" i="105"/>
  <c r="E16" i="105"/>
  <c r="J385" i="68"/>
  <c r="L127" i="85"/>
  <c r="N7" i="127"/>
  <c r="AK7" i="127"/>
  <c r="G17" i="105"/>
  <c r="AE7" i="127"/>
  <c r="H100" i="105"/>
  <c r="AC374" i="68"/>
  <c r="BM374" i="68" s="1"/>
  <c r="AS374" i="68"/>
  <c r="S374" i="68"/>
  <c r="BC374" i="68" s="1"/>
  <c r="S385" i="68"/>
  <c r="BC385" i="68" s="1"/>
  <c r="AC385" i="68"/>
  <c r="BM385" i="68" s="1"/>
  <c r="AS385" i="68"/>
  <c r="F45" i="105"/>
  <c r="P7" i="127"/>
  <c r="M7" i="127"/>
  <c r="M407" i="68"/>
  <c r="V407" i="68"/>
  <c r="BF407" i="68" s="1"/>
  <c r="AF407" i="68"/>
  <c r="BP407" i="68" s="1"/>
  <c r="AV407" i="68"/>
  <c r="BB387" i="68"/>
  <c r="O7" i="127"/>
  <c r="D316" i="127"/>
  <c r="D34" i="127"/>
  <c r="J54" i="88"/>
  <c r="AK54" i="88"/>
  <c r="T7" i="127"/>
  <c r="D7" i="127"/>
  <c r="U7" i="127"/>
  <c r="F91" i="87"/>
  <c r="AJ148" i="88"/>
  <c r="S7" i="127"/>
  <c r="L7" i="127"/>
  <c r="S46" i="105"/>
  <c r="T377" i="68"/>
  <c r="BD377" i="68" s="1"/>
  <c r="AT377" i="68"/>
  <c r="AD377" i="68"/>
  <c r="BN377" i="68" s="1"/>
  <c r="AH7" i="127"/>
  <c r="G100" i="87"/>
  <c r="V7" i="127"/>
  <c r="AI7" i="127"/>
  <c r="M121" i="85"/>
  <c r="K379" i="68"/>
  <c r="S382" i="68"/>
  <c r="BC382" i="68" s="1"/>
  <c r="AC382" i="68"/>
  <c r="BM382" i="68" s="1"/>
  <c r="AS382" i="68"/>
  <c r="AB7" i="127"/>
  <c r="K377" i="68"/>
  <c r="M119" i="85"/>
  <c r="G88" i="87"/>
  <c r="X7" i="127"/>
  <c r="AA7" i="127"/>
  <c r="Y7" i="127"/>
  <c r="AD379" i="68"/>
  <c r="BN379" i="68" s="1"/>
  <c r="AT379" i="68"/>
  <c r="T379" i="68"/>
  <c r="BD379" i="68" s="1"/>
  <c r="J382" i="68"/>
  <c r="L124" i="85"/>
  <c r="W7" i="127"/>
  <c r="AC7" i="127"/>
  <c r="L75" i="68"/>
  <c r="AU75" i="68"/>
  <c r="W75" i="68"/>
  <c r="BG75" i="68" s="1"/>
  <c r="AI75" i="68"/>
  <c r="BS75" i="68" s="1"/>
  <c r="G148" i="88"/>
  <c r="R18" i="105"/>
  <c r="Z148" i="88"/>
  <c r="D32" i="127"/>
  <c r="D254" i="127"/>
  <c r="F148" i="88"/>
  <c r="P54" i="88"/>
  <c r="F101" i="105"/>
  <c r="T375" i="68"/>
  <c r="BD375" i="68" s="1"/>
  <c r="AD375" i="68"/>
  <c r="BN375" i="68" s="1"/>
  <c r="AT375" i="68"/>
  <c r="E161" i="127"/>
  <c r="E29" i="127"/>
  <c r="F97" i="87"/>
  <c r="AJ429" i="68"/>
  <c r="BT429" i="68" s="1"/>
  <c r="AP429" i="68"/>
  <c r="P429" i="68"/>
  <c r="AZ429" i="68" s="1"/>
  <c r="G429" i="68"/>
  <c r="Z429" i="68"/>
  <c r="BJ429" i="68" s="1"/>
  <c r="K7" i="127"/>
  <c r="G94" i="87"/>
  <c r="BH436" i="68"/>
  <c r="AS436" i="68"/>
  <c r="AR436" i="68"/>
  <c r="AX436" i="68"/>
  <c r="AP436" i="68"/>
  <c r="AZ436" i="68"/>
  <c r="BS436" i="68"/>
  <c r="BS437" i="68" s="1"/>
  <c r="BS442" i="68" s="1"/>
  <c r="BS444" i="68" s="1"/>
  <c r="AT436" i="68"/>
  <c r="AY436" i="68"/>
  <c r="N151" i="88" s="1"/>
  <c r="AO436" i="68"/>
  <c r="AO437" i="68" s="1"/>
  <c r="AO442" i="68" s="1"/>
  <c r="AO444" i="68" s="1"/>
  <c r="BO436" i="68"/>
  <c r="BU436" i="68"/>
  <c r="AN436" i="68"/>
  <c r="BM436" i="68"/>
  <c r="BB436" i="68"/>
  <c r="BE436" i="68"/>
  <c r="BQ436" i="68"/>
  <c r="BG436" i="68"/>
  <c r="BP436" i="68"/>
  <c r="BF436" i="68"/>
  <c r="BK436" i="68"/>
  <c r="BT436" i="68"/>
  <c r="BN436" i="68"/>
  <c r="BA436" i="68"/>
  <c r="BI436" i="68"/>
  <c r="BI437" i="68" s="1"/>
  <c r="BI442" i="68" s="1"/>
  <c r="BI444" i="68" s="1"/>
  <c r="BL436" i="68"/>
  <c r="AV436" i="68"/>
  <c r="BR436" i="68"/>
  <c r="AG7" i="127"/>
  <c r="L73" i="105"/>
  <c r="M117" i="85"/>
  <c r="K375" i="68"/>
  <c r="M54" i="88"/>
  <c r="E99" i="127"/>
  <c r="E27" i="127"/>
  <c r="N74" i="105"/>
  <c r="AJ7" i="127"/>
  <c r="S384" i="68"/>
  <c r="BC384" i="68" s="1"/>
  <c r="AS384" i="68"/>
  <c r="AC384" i="68"/>
  <c r="BM384" i="68" s="1"/>
  <c r="AU347" i="68" l="1"/>
  <c r="L347" i="68"/>
  <c r="AC347" i="68"/>
  <c r="BM347" i="68" s="1"/>
  <c r="BJ436" i="68"/>
  <c r="BD436" i="68"/>
  <c r="AU436" i="68"/>
  <c r="BV436" i="68"/>
  <c r="BC436" i="68"/>
  <c r="AW436" i="68"/>
  <c r="D66" i="76"/>
  <c r="D67" i="76" s="1"/>
  <c r="F155" i="76" s="1"/>
  <c r="C58" i="104" s="1"/>
  <c r="C94" i="76"/>
  <c r="C95" i="76"/>
  <c r="C97" i="76" s="1"/>
  <c r="C66" i="76"/>
  <c r="C67" i="76" s="1"/>
  <c r="C174" i="68"/>
  <c r="C82" i="68"/>
  <c r="M114" i="85"/>
  <c r="K372" i="68"/>
  <c r="M118" i="85"/>
  <c r="K376" i="68"/>
  <c r="T376" i="68"/>
  <c r="BD376" i="68" s="1"/>
  <c r="AT376" i="68"/>
  <c r="AD376" i="68"/>
  <c r="BN376" i="68" s="1"/>
  <c r="AD386" i="68"/>
  <c r="BN386" i="68" s="1"/>
  <c r="AT386" i="68"/>
  <c r="T386" i="68"/>
  <c r="BD386" i="68" s="1"/>
  <c r="AT372" i="68"/>
  <c r="AD372" i="68"/>
  <c r="BN372" i="68" s="1"/>
  <c r="T372" i="68"/>
  <c r="BD372" i="68" s="1"/>
  <c r="K386" i="68"/>
  <c r="M128" i="85"/>
  <c r="T373" i="68"/>
  <c r="BD373" i="68" s="1"/>
  <c r="AD373" i="68"/>
  <c r="BN373" i="68" s="1"/>
  <c r="AT373" i="68"/>
  <c r="U383" i="68"/>
  <c r="BE383" i="68" s="1"/>
  <c r="AU383" i="68"/>
  <c r="AE383" i="68"/>
  <c r="BO383" i="68" s="1"/>
  <c r="N125" i="85"/>
  <c r="M383" i="68" s="1"/>
  <c r="L383" i="68"/>
  <c r="AE381" i="68"/>
  <c r="BO381" i="68" s="1"/>
  <c r="U381" i="68"/>
  <c r="BE381" i="68" s="1"/>
  <c r="AU381" i="68"/>
  <c r="L381" i="68"/>
  <c r="N123" i="85"/>
  <c r="M381" i="68" s="1"/>
  <c r="K378" i="68"/>
  <c r="M120" i="85"/>
  <c r="M115" i="85"/>
  <c r="K373" i="68"/>
  <c r="AT378" i="68"/>
  <c r="T378" i="68"/>
  <c r="BD378" i="68" s="1"/>
  <c r="AD378" i="68"/>
  <c r="BN378" i="68" s="1"/>
  <c r="J67" i="127"/>
  <c r="J60" i="127"/>
  <c r="K52" i="87"/>
  <c r="K62" i="127" s="1"/>
  <c r="J62" i="127"/>
  <c r="AE414" i="68"/>
  <c r="BO414" i="68" s="1"/>
  <c r="U414" i="68"/>
  <c r="BE414" i="68" s="1"/>
  <c r="AU414" i="68"/>
  <c r="L414" i="68"/>
  <c r="AU415" i="68"/>
  <c r="U415" i="68"/>
  <c r="BE415" i="68" s="1"/>
  <c r="AE415" i="68"/>
  <c r="BO415" i="68" s="1"/>
  <c r="L415" i="68"/>
  <c r="BN416" i="68"/>
  <c r="AC150" i="88" s="1"/>
  <c r="D151" i="88"/>
  <c r="D152" i="88" s="1"/>
  <c r="D158" i="88" s="1"/>
  <c r="AT416" i="68"/>
  <c r="I150" i="88" s="1"/>
  <c r="W406" i="68"/>
  <c r="BG406" i="68" s="1"/>
  <c r="AG406" i="68"/>
  <c r="BQ406" i="68" s="1"/>
  <c r="AW406" i="68"/>
  <c r="AW412" i="68"/>
  <c r="AG412" i="68"/>
  <c r="BQ412" i="68" s="1"/>
  <c r="W412" i="68"/>
  <c r="BG412" i="68" s="1"/>
  <c r="AT257" i="68"/>
  <c r="K257" i="68"/>
  <c r="AB257" i="68"/>
  <c r="BL257" i="68" s="1"/>
  <c r="M70" i="87"/>
  <c r="L129" i="127"/>
  <c r="V408" i="68"/>
  <c r="BF408" i="68" s="1"/>
  <c r="M408" i="68"/>
  <c r="AF408" i="68"/>
  <c r="BP408" i="68" s="1"/>
  <c r="AV408" i="68"/>
  <c r="K43" i="87"/>
  <c r="K44" i="87" s="1"/>
  <c r="K93" i="87" s="1"/>
  <c r="J90" i="87"/>
  <c r="K45" i="87"/>
  <c r="J96" i="87"/>
  <c r="I39" i="87"/>
  <c r="J46" i="87"/>
  <c r="J99" i="87" s="1"/>
  <c r="A12" i="135"/>
  <c r="K51" i="105"/>
  <c r="J52" i="105"/>
  <c r="K107" i="105"/>
  <c r="J108" i="105"/>
  <c r="J79" i="105"/>
  <c r="I80" i="105"/>
  <c r="I24" i="105"/>
  <c r="J23" i="105"/>
  <c r="AV409" i="68"/>
  <c r="M409" i="68"/>
  <c r="V409" i="68"/>
  <c r="BF409" i="68" s="1"/>
  <c r="AF409" i="68"/>
  <c r="BP409" i="68" s="1"/>
  <c r="L411" i="68"/>
  <c r="AU411" i="68"/>
  <c r="U411" i="68"/>
  <c r="BE411" i="68" s="1"/>
  <c r="AE411" i="68"/>
  <c r="BO411" i="68" s="1"/>
  <c r="AY437" i="68"/>
  <c r="AY442" i="68" s="1"/>
  <c r="AY444" i="68" s="1"/>
  <c r="AH151" i="88"/>
  <c r="AH152" i="88" s="1"/>
  <c r="AH158" i="88" s="1"/>
  <c r="BP6" i="140"/>
  <c r="BZ6" i="140"/>
  <c r="CK6" i="140" s="1"/>
  <c r="CV6" i="140" s="1"/>
  <c r="DG6" i="140" s="1"/>
  <c r="D35" i="127"/>
  <c r="D25" i="127" s="1"/>
  <c r="N152" i="88"/>
  <c r="N158" i="88" s="1"/>
  <c r="BC387" i="68"/>
  <c r="S18" i="105"/>
  <c r="T46" i="105"/>
  <c r="G91" i="87"/>
  <c r="BJ437" i="68"/>
  <c r="BJ442" i="68" s="1"/>
  <c r="BJ444" i="68" s="1"/>
  <c r="Y151" i="88"/>
  <c r="H88" i="87"/>
  <c r="N119" i="85"/>
  <c r="M377" i="68" s="1"/>
  <c r="L377" i="68"/>
  <c r="AS387" i="68"/>
  <c r="M116" i="85"/>
  <c r="K374" i="68"/>
  <c r="AQ429" i="68"/>
  <c r="H429" i="68"/>
  <c r="AK429" i="68"/>
  <c r="BU429" i="68" s="1"/>
  <c r="AA429" i="68"/>
  <c r="BK429" i="68" s="1"/>
  <c r="Q429" i="68"/>
  <c r="BA429" i="68" s="1"/>
  <c r="AU377" i="68"/>
  <c r="AE377" i="68"/>
  <c r="BO377" i="68" s="1"/>
  <c r="U377" i="68"/>
  <c r="BE377" i="68" s="1"/>
  <c r="BM387" i="68"/>
  <c r="K385" i="68"/>
  <c r="M127" i="85"/>
  <c r="T374" i="68"/>
  <c r="BD374" i="68" s="1"/>
  <c r="AD374" i="68"/>
  <c r="BN374" i="68" s="1"/>
  <c r="AT374" i="68"/>
  <c r="AT385" i="68"/>
  <c r="AD385" i="68"/>
  <c r="BN385" i="68" s="1"/>
  <c r="T385" i="68"/>
  <c r="BD385" i="68" s="1"/>
  <c r="I100" i="105"/>
  <c r="AD102" i="105"/>
  <c r="H61" i="87"/>
  <c r="G97" i="87"/>
  <c r="T382" i="68"/>
  <c r="BD382" i="68" s="1"/>
  <c r="AD382" i="68"/>
  <c r="BN382" i="68" s="1"/>
  <c r="AT382" i="68"/>
  <c r="AG407" i="68"/>
  <c r="BQ407" i="68" s="1"/>
  <c r="W407" i="68"/>
  <c r="BG407" i="68" s="1"/>
  <c r="AW407" i="68"/>
  <c r="V410" i="68"/>
  <c r="BF410" i="68" s="1"/>
  <c r="M410" i="68"/>
  <c r="AV410" i="68"/>
  <c r="AF410" i="68"/>
  <c r="BP410" i="68" s="1"/>
  <c r="F16" i="105"/>
  <c r="U375" i="68"/>
  <c r="BE375" i="68" s="1"/>
  <c r="AE375" i="68"/>
  <c r="BO375" i="68" s="1"/>
  <c r="AU375" i="68"/>
  <c r="AX437" i="68"/>
  <c r="AX442" i="68" s="1"/>
  <c r="AX444" i="68" s="1"/>
  <c r="M151" i="88"/>
  <c r="AU379" i="68"/>
  <c r="AE379" i="68"/>
  <c r="BO379" i="68" s="1"/>
  <c r="U379" i="68"/>
  <c r="BE379" i="68" s="1"/>
  <c r="AV380" i="68"/>
  <c r="AF380" i="68"/>
  <c r="BP380" i="68" s="1"/>
  <c r="V380" i="68"/>
  <c r="BF380" i="68" s="1"/>
  <c r="N121" i="85"/>
  <c r="M379" i="68" s="1"/>
  <c r="L379" i="68"/>
  <c r="H17" i="105"/>
  <c r="P44" i="105"/>
  <c r="AG380" i="68"/>
  <c r="BQ380" i="68" s="1"/>
  <c r="W380" i="68"/>
  <c r="BG380" i="68" s="1"/>
  <c r="AW380" i="68"/>
  <c r="Z167" i="68"/>
  <c r="BJ167" i="68" s="1"/>
  <c r="AX167" i="68"/>
  <c r="O167" i="68"/>
  <c r="AL167" i="68"/>
  <c r="BV167" i="68" s="1"/>
  <c r="K384" i="68"/>
  <c r="M126" i="85"/>
  <c r="H100" i="87"/>
  <c r="O74" i="105"/>
  <c r="N117" i="85"/>
  <c r="M375" i="68" s="1"/>
  <c r="L375" i="68"/>
  <c r="G101" i="105"/>
  <c r="M73" i="105"/>
  <c r="W151" i="88"/>
  <c r="BH437" i="68"/>
  <c r="BH442" i="68" s="1"/>
  <c r="BH444" i="68" s="1"/>
  <c r="G45" i="105"/>
  <c r="AV75" i="68"/>
  <c r="AJ75" i="68"/>
  <c r="BT75" i="68" s="1"/>
  <c r="X75" i="68"/>
  <c r="BH75" i="68" s="1"/>
  <c r="M75" i="68"/>
  <c r="T384" i="68"/>
  <c r="BD384" i="68" s="1"/>
  <c r="AT384" i="68"/>
  <c r="AD384" i="68"/>
  <c r="BN384" i="68" s="1"/>
  <c r="O151" i="88"/>
  <c r="AZ437" i="68"/>
  <c r="AZ442" i="68" s="1"/>
  <c r="AZ444" i="68" s="1"/>
  <c r="AP437" i="68"/>
  <c r="AP442" i="68" s="1"/>
  <c r="AP444" i="68" s="1"/>
  <c r="E151" i="88"/>
  <c r="K382" i="68"/>
  <c r="M124" i="85"/>
  <c r="BT437" i="68"/>
  <c r="BT442" i="68" s="1"/>
  <c r="BT444" i="68" s="1"/>
  <c r="AI151" i="88"/>
  <c r="AN437" i="68"/>
  <c r="AN442" i="68" s="1"/>
  <c r="AN444" i="68" s="1"/>
  <c r="AN445" i="68" s="1"/>
  <c r="AO445" i="68" s="1"/>
  <c r="C151" i="88"/>
  <c r="H94" i="87"/>
  <c r="X151" i="88"/>
  <c r="BR437" i="68"/>
  <c r="BR442" i="68" s="1"/>
  <c r="BR444" i="68" s="1"/>
  <c r="AG151" i="88"/>
  <c r="Q148" i="88"/>
  <c r="G72" i="105"/>
  <c r="M347" i="68" l="1"/>
  <c r="AD347" i="68"/>
  <c r="BN347" i="68" s="1"/>
  <c r="AV347" i="68"/>
  <c r="BO416" i="68"/>
  <c r="AD150" i="88" s="1"/>
  <c r="K60" i="127"/>
  <c r="K61" i="127"/>
  <c r="L52" i="87"/>
  <c r="BS82" i="68"/>
  <c r="BI82" i="68"/>
  <c r="AZ82" i="68"/>
  <c r="BG82" i="68"/>
  <c r="BB82" i="68"/>
  <c r="AS82" i="68"/>
  <c r="BK82" i="68"/>
  <c r="BA82" i="68"/>
  <c r="BO82" i="68"/>
  <c r="BQ82" i="68"/>
  <c r="AW82" i="68"/>
  <c r="BU82" i="68"/>
  <c r="BR82" i="68"/>
  <c r="BE82" i="68"/>
  <c r="AP82" i="68"/>
  <c r="BM82" i="68"/>
  <c r="BT82" i="68"/>
  <c r="AI24" i="88" s="1"/>
  <c r="BC82" i="68"/>
  <c r="BD82" i="68"/>
  <c r="BH82" i="68"/>
  <c r="W24" i="88" s="1"/>
  <c r="AX82" i="68"/>
  <c r="BL82" i="68"/>
  <c r="AQ82" i="68"/>
  <c r="AR82" i="68"/>
  <c r="AV82" i="68"/>
  <c r="AV83" i="68" s="1"/>
  <c r="AV89" i="68" s="1"/>
  <c r="AV91" i="68" s="1"/>
  <c r="BF82" i="68"/>
  <c r="AO82" i="68"/>
  <c r="AU82" i="68"/>
  <c r="AN82" i="68"/>
  <c r="BP82" i="68"/>
  <c r="BN82" i="68"/>
  <c r="BJ82" i="68"/>
  <c r="BV82" i="68"/>
  <c r="AY82" i="68"/>
  <c r="AT82" i="68"/>
  <c r="BE174" i="68"/>
  <c r="BB174" i="68"/>
  <c r="AU174" i="68"/>
  <c r="BQ174" i="68"/>
  <c r="AO174" i="68"/>
  <c r="AP174" i="68"/>
  <c r="AY174" i="68"/>
  <c r="BF174" i="68"/>
  <c r="BL174" i="68"/>
  <c r="AX174" i="68"/>
  <c r="AX175" i="68" s="1"/>
  <c r="AX181" i="68" s="1"/>
  <c r="AX183" i="68" s="1"/>
  <c r="BU174" i="68"/>
  <c r="BH174" i="68"/>
  <c r="BS174" i="68"/>
  <c r="BV174" i="68"/>
  <c r="BV175" i="68" s="1"/>
  <c r="BV181" i="68" s="1"/>
  <c r="BV183" i="68" s="1"/>
  <c r="AZ174" i="68"/>
  <c r="AR174" i="68"/>
  <c r="BJ174" i="68"/>
  <c r="BJ175" i="68" s="1"/>
  <c r="BJ181" i="68" s="1"/>
  <c r="BJ183" i="68" s="1"/>
  <c r="AS174" i="68"/>
  <c r="AW174" i="68"/>
  <c r="BP174" i="68"/>
  <c r="BM174" i="68"/>
  <c r="BC174" i="68"/>
  <c r="BI174" i="68"/>
  <c r="BN174" i="68"/>
  <c r="AN174" i="68"/>
  <c r="BO174" i="68"/>
  <c r="BA174" i="68"/>
  <c r="AV174" i="68"/>
  <c r="BD174" i="68"/>
  <c r="BR174" i="68"/>
  <c r="AT174" i="68"/>
  <c r="BG174" i="68"/>
  <c r="BT174" i="68"/>
  <c r="BK174" i="68"/>
  <c r="AQ174" i="68"/>
  <c r="E155" i="76"/>
  <c r="D155" i="76"/>
  <c r="E58" i="104"/>
  <c r="I58" i="104"/>
  <c r="K58" i="104"/>
  <c r="G58" i="104"/>
  <c r="L386" i="68"/>
  <c r="N128" i="85"/>
  <c r="M386" i="68" s="1"/>
  <c r="AE386" i="68"/>
  <c r="BO386" i="68" s="1"/>
  <c r="AU386" i="68"/>
  <c r="U386" i="68"/>
  <c r="BE386" i="68" s="1"/>
  <c r="AE376" i="68"/>
  <c r="BO376" i="68" s="1"/>
  <c r="AU376" i="68"/>
  <c r="U376" i="68"/>
  <c r="BE376" i="68" s="1"/>
  <c r="L376" i="68"/>
  <c r="N118" i="85"/>
  <c r="M376" i="68" s="1"/>
  <c r="U372" i="68"/>
  <c r="BE372" i="68" s="1"/>
  <c r="AE372" i="68"/>
  <c r="BO372" i="68" s="1"/>
  <c r="AU372" i="68"/>
  <c r="N114" i="85"/>
  <c r="M372" i="68" s="1"/>
  <c r="L372" i="68"/>
  <c r="L373" i="68"/>
  <c r="N115" i="85"/>
  <c r="M373" i="68" s="1"/>
  <c r="AV383" i="68"/>
  <c r="V383" i="68"/>
  <c r="BF383" i="68" s="1"/>
  <c r="AF383" i="68"/>
  <c r="BP383" i="68" s="1"/>
  <c r="L378" i="68"/>
  <c r="N120" i="85"/>
  <c r="M378" i="68" s="1"/>
  <c r="AG383" i="68"/>
  <c r="BQ383" i="68" s="1"/>
  <c r="W383" i="68"/>
  <c r="BG383" i="68" s="1"/>
  <c r="AW383" i="68"/>
  <c r="U378" i="68"/>
  <c r="BE378" i="68" s="1"/>
  <c r="AU378" i="68"/>
  <c r="AE378" i="68"/>
  <c r="BO378" i="68" s="1"/>
  <c r="W381" i="68"/>
  <c r="BG381" i="68" s="1"/>
  <c r="AG381" i="68"/>
  <c r="BQ381" i="68" s="1"/>
  <c r="AW381" i="68"/>
  <c r="AF381" i="68"/>
  <c r="BP381" i="68" s="1"/>
  <c r="AV381" i="68"/>
  <c r="V381" i="68"/>
  <c r="BF381" i="68" s="1"/>
  <c r="U373" i="68"/>
  <c r="BE373" i="68" s="1"/>
  <c r="AU373" i="68"/>
  <c r="AE373" i="68"/>
  <c r="BO373" i="68" s="1"/>
  <c r="K67" i="127"/>
  <c r="BE416" i="68"/>
  <c r="T150" i="88" s="1"/>
  <c r="AU416" i="68"/>
  <c r="J150" i="88" s="1"/>
  <c r="V414" i="68"/>
  <c r="BF414" i="68" s="1"/>
  <c r="AF414" i="68"/>
  <c r="BP414" i="68" s="1"/>
  <c r="M414" i="68"/>
  <c r="AV414" i="68"/>
  <c r="AV415" i="68"/>
  <c r="V415" i="68"/>
  <c r="BF415" i="68" s="1"/>
  <c r="M415" i="68"/>
  <c r="AF415" i="68"/>
  <c r="BP415" i="68" s="1"/>
  <c r="L257" i="68"/>
  <c r="AC257" i="68"/>
  <c r="BM257" i="68" s="1"/>
  <c r="AU257" i="68"/>
  <c r="L62" i="127"/>
  <c r="L61" i="127"/>
  <c r="L60" i="127"/>
  <c r="H98" i="127"/>
  <c r="N70" i="87"/>
  <c r="M129" i="127"/>
  <c r="AW408" i="68"/>
  <c r="AG408" i="68"/>
  <c r="BQ408" i="68" s="1"/>
  <c r="W408" i="68"/>
  <c r="BG408" i="68" s="1"/>
  <c r="M52" i="87"/>
  <c r="L67" i="127"/>
  <c r="L45" i="87"/>
  <c r="K96" i="87"/>
  <c r="L43" i="87"/>
  <c r="L44" i="87" s="1"/>
  <c r="L93" i="87" s="1"/>
  <c r="K90" i="87"/>
  <c r="J39" i="87"/>
  <c r="K46" i="87"/>
  <c r="K99" i="87" s="1"/>
  <c r="A13" i="135"/>
  <c r="J80" i="105"/>
  <c r="K79" i="105"/>
  <c r="J24" i="105"/>
  <c r="K23" i="105"/>
  <c r="L107" i="105"/>
  <c r="K108" i="105"/>
  <c r="L51" i="105"/>
  <c r="K52" i="105"/>
  <c r="AG409" i="68"/>
  <c r="BQ409" i="68" s="1"/>
  <c r="AW409" i="68"/>
  <c r="W409" i="68"/>
  <c r="BG409" i="68" s="1"/>
  <c r="AF411" i="68"/>
  <c r="BP411" i="68" s="1"/>
  <c r="M411" i="68"/>
  <c r="AV411" i="68"/>
  <c r="V411" i="68"/>
  <c r="BF411" i="68" s="1"/>
  <c r="BQ6" i="140"/>
  <c r="C9" i="140" s="1"/>
  <c r="CA6" i="140"/>
  <c r="CL6" i="140" s="1"/>
  <c r="CW6" i="140" s="1"/>
  <c r="DH6" i="140" s="1"/>
  <c r="AP445" i="68"/>
  <c r="AT387" i="68"/>
  <c r="P151" i="88"/>
  <c r="BA437" i="68"/>
  <c r="BA442" i="68" s="1"/>
  <c r="BA444" i="68" s="1"/>
  <c r="AE374" i="68"/>
  <c r="BO374" i="68" s="1"/>
  <c r="AU374" i="68"/>
  <c r="U374" i="68"/>
  <c r="BE374" i="68" s="1"/>
  <c r="AG152" i="88"/>
  <c r="AG158" i="88" s="1"/>
  <c r="I94" i="87"/>
  <c r="H101" i="105"/>
  <c r="M152" i="88"/>
  <c r="M158" i="88" s="1"/>
  <c r="BN387" i="68"/>
  <c r="Z151" i="88"/>
  <c r="BK437" i="68"/>
  <c r="BK442" i="68" s="1"/>
  <c r="BK444" i="68" s="1"/>
  <c r="L374" i="68"/>
  <c r="N116" i="85"/>
  <c r="M374" i="68" s="1"/>
  <c r="I88" i="87"/>
  <c r="BD387" i="68"/>
  <c r="AJ151" i="88"/>
  <c r="BU437" i="68"/>
  <c r="BU442" i="68" s="1"/>
  <c r="BU444" i="68" s="1"/>
  <c r="H148" i="88"/>
  <c r="H91" i="87"/>
  <c r="D187" i="127"/>
  <c r="C152" i="88"/>
  <c r="C158" i="88" s="1"/>
  <c r="C160" i="88" s="1"/>
  <c r="D160" i="88" s="1"/>
  <c r="I100" i="87"/>
  <c r="L384" i="68"/>
  <c r="N126" i="85"/>
  <c r="M384" i="68" s="1"/>
  <c r="N127" i="85"/>
  <c r="M385" i="68" s="1"/>
  <c r="L385" i="68"/>
  <c r="R429" i="68"/>
  <c r="BB429" i="68" s="1"/>
  <c r="I429" i="68"/>
  <c r="AB429" i="68"/>
  <c r="BL429" i="68" s="1"/>
  <c r="AL429" i="68"/>
  <c r="BV429" i="68" s="1"/>
  <c r="AR429" i="68"/>
  <c r="H45" i="105"/>
  <c r="AI152" i="88"/>
  <c r="AI158" i="88" s="1"/>
  <c r="AE384" i="68"/>
  <c r="BO384" i="68" s="1"/>
  <c r="U384" i="68"/>
  <c r="BE384" i="68" s="1"/>
  <c r="AU384" i="68"/>
  <c r="I61" i="87"/>
  <c r="U385" i="68"/>
  <c r="BE385" i="68" s="1"/>
  <c r="AU385" i="68"/>
  <c r="AE385" i="68"/>
  <c r="BO385" i="68" s="1"/>
  <c r="AQ437" i="68"/>
  <c r="AQ442" i="68" s="1"/>
  <c r="AQ444" i="68" s="1"/>
  <c r="F151" i="88"/>
  <c r="O152" i="88"/>
  <c r="O158" i="88" s="1"/>
  <c r="G16" i="105"/>
  <c r="AB148" i="88"/>
  <c r="U46" i="105"/>
  <c r="AY167" i="68"/>
  <c r="AA167" i="68"/>
  <c r="BK167" i="68" s="1"/>
  <c r="AW410" i="68"/>
  <c r="W410" i="68"/>
  <c r="BG410" i="68" s="1"/>
  <c r="AG410" i="68"/>
  <c r="BQ410" i="68" s="1"/>
  <c r="H97" i="87"/>
  <c r="AE102" i="105"/>
  <c r="I79" i="87"/>
  <c r="Y152" i="88"/>
  <c r="Y158" i="88" s="1"/>
  <c r="H72" i="105"/>
  <c r="AF375" i="68"/>
  <c r="BP375" i="68" s="1"/>
  <c r="V375" i="68"/>
  <c r="BF375" i="68" s="1"/>
  <c r="AV375" i="68"/>
  <c r="X152" i="88"/>
  <c r="X158" i="88" s="1"/>
  <c r="N75" i="68"/>
  <c r="Y75" i="68"/>
  <c r="BI75" i="68" s="1"/>
  <c r="AW75" i="68"/>
  <c r="AK75" i="68"/>
  <c r="BU75" i="68" s="1"/>
  <c r="AG379" i="68"/>
  <c r="BQ379" i="68" s="1"/>
  <c r="AW379" i="68"/>
  <c r="W379" i="68"/>
  <c r="BG379" i="68" s="1"/>
  <c r="AF377" i="68"/>
  <c r="BP377" i="68" s="1"/>
  <c r="V377" i="68"/>
  <c r="BF377" i="68" s="1"/>
  <c r="AV377" i="68"/>
  <c r="AG375" i="68"/>
  <c r="BQ375" i="68" s="1"/>
  <c r="W375" i="68"/>
  <c r="BG375" i="68" s="1"/>
  <c r="AW375" i="68"/>
  <c r="AU382" i="68"/>
  <c r="AE382" i="68"/>
  <c r="BO382" i="68" s="1"/>
  <c r="U382" i="68"/>
  <c r="BE382" i="68" s="1"/>
  <c r="N73" i="105"/>
  <c r="I17" i="105"/>
  <c r="AG377" i="68"/>
  <c r="BQ377" i="68" s="1"/>
  <c r="AW377" i="68"/>
  <c r="W377" i="68"/>
  <c r="BG377" i="68" s="1"/>
  <c r="AK57" i="88"/>
  <c r="AK58" i="88" s="1"/>
  <c r="AK64" i="88" s="1"/>
  <c r="W152" i="88"/>
  <c r="W158" i="88" s="1"/>
  <c r="Q44" i="105"/>
  <c r="V379" i="68"/>
  <c r="BF379" i="68" s="1"/>
  <c r="AF379" i="68"/>
  <c r="BP379" i="68" s="1"/>
  <c r="AV379" i="68"/>
  <c r="L382" i="68"/>
  <c r="N124" i="85"/>
  <c r="M382" i="68" s="1"/>
  <c r="E152" i="88"/>
  <c r="E158" i="88" s="1"/>
  <c r="BT83" i="68"/>
  <c r="BT89" i="68" s="1"/>
  <c r="BT91" i="68" s="1"/>
  <c r="P74" i="105"/>
  <c r="J100" i="105"/>
  <c r="T18" i="105"/>
  <c r="R148" i="88"/>
  <c r="K24" i="88" l="1"/>
  <c r="N347" i="68"/>
  <c r="AW347" i="68"/>
  <c r="AE347" i="68"/>
  <c r="BO347" i="68" s="1"/>
  <c r="BH83" i="68"/>
  <c r="BH89" i="68" s="1"/>
  <c r="BH91" i="68" s="1"/>
  <c r="Y57" i="88"/>
  <c r="Y58" i="88" s="1"/>
  <c r="Y64" i="88" s="1"/>
  <c r="M57" i="88"/>
  <c r="M58" i="88" s="1"/>
  <c r="M64" i="88" s="1"/>
  <c r="C265" i="68"/>
  <c r="C354" i="68"/>
  <c r="BD175" i="68"/>
  <c r="BD181" i="68" s="1"/>
  <c r="BD183" i="68" s="1"/>
  <c r="S57" i="88"/>
  <c r="S58" i="88" s="1"/>
  <c r="S64" i="88" s="1"/>
  <c r="AB57" i="88"/>
  <c r="AB58" i="88" s="1"/>
  <c r="BM175" i="68"/>
  <c r="BM181" i="68" s="1"/>
  <c r="BM183" i="68" s="1"/>
  <c r="BS175" i="68"/>
  <c r="BS181" i="68" s="1"/>
  <c r="BS183" i="68" s="1"/>
  <c r="AH57" i="88"/>
  <c r="AH58" i="88" s="1"/>
  <c r="AH64" i="88" s="1"/>
  <c r="D57" i="88"/>
  <c r="D58" i="88" s="1"/>
  <c r="D64" i="88" s="1"/>
  <c r="AO175" i="68"/>
  <c r="AO181" i="68" s="1"/>
  <c r="AO183" i="68" s="1"/>
  <c r="G24" i="88"/>
  <c r="AR83" i="68"/>
  <c r="AR89" i="68" s="1"/>
  <c r="AR91" i="68" s="1"/>
  <c r="AB24" i="88"/>
  <c r="AB25" i="88" s="1"/>
  <c r="AB31" i="88" s="1"/>
  <c r="BM83" i="68"/>
  <c r="BM89" i="68" s="1"/>
  <c r="BM91" i="68" s="1"/>
  <c r="BA83" i="68"/>
  <c r="BA89" i="68" s="1"/>
  <c r="BA91" i="68" s="1"/>
  <c r="P24" i="88"/>
  <c r="P25" i="88" s="1"/>
  <c r="P31" i="88" s="1"/>
  <c r="K57" i="88"/>
  <c r="K58" i="88" s="1"/>
  <c r="K64" i="88" s="1"/>
  <c r="AV175" i="68"/>
  <c r="AV181" i="68" s="1"/>
  <c r="AV183" i="68" s="1"/>
  <c r="BP175" i="68"/>
  <c r="BP181" i="68" s="1"/>
  <c r="BP183" i="68" s="1"/>
  <c r="AE57" i="88"/>
  <c r="AE58" i="88" s="1"/>
  <c r="AE64" i="88" s="1"/>
  <c r="W57" i="88"/>
  <c r="W58" i="88" s="1"/>
  <c r="W64" i="88" s="1"/>
  <c r="BH175" i="68"/>
  <c r="BH181" i="68" s="1"/>
  <c r="BH183" i="68" s="1"/>
  <c r="BQ175" i="68"/>
  <c r="BQ181" i="68" s="1"/>
  <c r="BQ183" i="68" s="1"/>
  <c r="AF57" i="88"/>
  <c r="AF58" i="88" s="1"/>
  <c r="AF64" i="88" s="1"/>
  <c r="BN83" i="68"/>
  <c r="BN89" i="68" s="1"/>
  <c r="BN91" i="68" s="1"/>
  <c r="AC24" i="88"/>
  <c r="AC25" i="88" s="1"/>
  <c r="AC31" i="88" s="1"/>
  <c r="F24" i="88"/>
  <c r="AQ83" i="68"/>
  <c r="AQ89" i="68" s="1"/>
  <c r="AQ91" i="68" s="1"/>
  <c r="E24" i="88"/>
  <c r="AP83" i="68"/>
  <c r="AP89" i="68" s="1"/>
  <c r="AP91" i="68" s="1"/>
  <c r="F57" i="88"/>
  <c r="F58" i="88" s="1"/>
  <c r="F64" i="88" s="1"/>
  <c r="AQ175" i="68"/>
  <c r="AQ181" i="68" s="1"/>
  <c r="AQ183" i="68" s="1"/>
  <c r="P57" i="88"/>
  <c r="P58" i="88" s="1"/>
  <c r="P64" i="88" s="1"/>
  <c r="BA175" i="68"/>
  <c r="BA181" i="68" s="1"/>
  <c r="BA183" i="68" s="1"/>
  <c r="L57" i="88"/>
  <c r="L58" i="88" s="1"/>
  <c r="L64" i="88" s="1"/>
  <c r="AW175" i="68"/>
  <c r="AW181" i="68" s="1"/>
  <c r="AW183" i="68" s="1"/>
  <c r="BU175" i="68"/>
  <c r="BU181" i="68" s="1"/>
  <c r="BU183" i="68" s="1"/>
  <c r="AJ57" i="88"/>
  <c r="AJ58" i="88" s="1"/>
  <c r="AJ64" i="88" s="1"/>
  <c r="J57" i="88"/>
  <c r="J58" i="88" s="1"/>
  <c r="J64" i="88" s="1"/>
  <c r="AU175" i="68"/>
  <c r="AU181" i="68" s="1"/>
  <c r="AU183" i="68" s="1"/>
  <c r="BP83" i="68"/>
  <c r="BP89" i="68" s="1"/>
  <c r="BP91" i="68" s="1"/>
  <c r="AE24" i="88"/>
  <c r="AE25" i="88" s="1"/>
  <c r="AE31" i="88" s="1"/>
  <c r="BL83" i="68"/>
  <c r="BL89" i="68" s="1"/>
  <c r="BL91" i="68" s="1"/>
  <c r="AA24" i="88"/>
  <c r="AA25" i="88" s="1"/>
  <c r="AA31" i="88" s="1"/>
  <c r="BE83" i="68"/>
  <c r="BE89" i="68" s="1"/>
  <c r="BE91" i="68" s="1"/>
  <c r="T24" i="88"/>
  <c r="T25" i="88" s="1"/>
  <c r="T31" i="88" s="1"/>
  <c r="H24" i="88"/>
  <c r="AS83" i="68"/>
  <c r="AS89" i="68" s="1"/>
  <c r="AS91" i="68" s="1"/>
  <c r="AD57" i="88"/>
  <c r="AD58" i="88" s="1"/>
  <c r="AD64" i="88" s="1"/>
  <c r="BO175" i="68"/>
  <c r="BO181" i="68" s="1"/>
  <c r="BO183" i="68" s="1"/>
  <c r="AS175" i="68"/>
  <c r="AS181" i="68" s="1"/>
  <c r="AS183" i="68" s="1"/>
  <c r="H57" i="88"/>
  <c r="H58" i="88" s="1"/>
  <c r="H64" i="88" s="1"/>
  <c r="BB175" i="68"/>
  <c r="BB181" i="68" s="1"/>
  <c r="BB183" i="68" s="1"/>
  <c r="Q57" i="88"/>
  <c r="Q58" i="88" s="1"/>
  <c r="Q64" i="88" s="1"/>
  <c r="C17" i="88"/>
  <c r="AN83" i="68"/>
  <c r="AN89" i="68" s="1"/>
  <c r="AN91" i="68" s="1"/>
  <c r="AN92" i="68" s="1"/>
  <c r="AG24" i="88"/>
  <c r="AG25" i="88" s="1"/>
  <c r="AG31" i="88" s="1"/>
  <c r="BR83" i="68"/>
  <c r="BR89" i="68" s="1"/>
  <c r="BR91" i="68" s="1"/>
  <c r="BB83" i="68"/>
  <c r="BB89" i="68" s="1"/>
  <c r="BB91" i="68" s="1"/>
  <c r="Q24" i="88"/>
  <c r="Q25" i="88" s="1"/>
  <c r="Q31" i="88" s="1"/>
  <c r="G59" i="104"/>
  <c r="G63" i="104" s="1"/>
  <c r="G65" i="104" s="1"/>
  <c r="G66" i="104" s="1"/>
  <c r="C47" i="105"/>
  <c r="BT175" i="68"/>
  <c r="BT181" i="68" s="1"/>
  <c r="BT183" i="68" s="1"/>
  <c r="AI57" i="88"/>
  <c r="AI58" i="88" s="1"/>
  <c r="AI64" i="88" s="1"/>
  <c r="AN175" i="68"/>
  <c r="AN181" i="68" s="1"/>
  <c r="AN183" i="68" s="1"/>
  <c r="AN184" i="68" s="1"/>
  <c r="C50" i="88"/>
  <c r="AA57" i="88"/>
  <c r="AA58" i="88" s="1"/>
  <c r="AA64" i="88" s="1"/>
  <c r="BL175" i="68"/>
  <c r="BL181" i="68" s="1"/>
  <c r="BL183" i="68" s="1"/>
  <c r="BE175" i="68"/>
  <c r="BE181" i="68" s="1"/>
  <c r="BE183" i="68" s="1"/>
  <c r="T57" i="88"/>
  <c r="T58" i="88" s="1"/>
  <c r="T64" i="88" s="1"/>
  <c r="AU83" i="68"/>
  <c r="AU89" i="68" s="1"/>
  <c r="AU91" i="68" s="1"/>
  <c r="J24" i="88"/>
  <c r="J25" i="88" s="1"/>
  <c r="J31" i="88" s="1"/>
  <c r="BG83" i="68"/>
  <c r="BG89" i="68" s="1"/>
  <c r="BG91" i="68" s="1"/>
  <c r="V24" i="88"/>
  <c r="V25" i="88" s="1"/>
  <c r="V31" i="88" s="1"/>
  <c r="K59" i="104"/>
  <c r="K63" i="104" s="1"/>
  <c r="K65" i="104" s="1"/>
  <c r="K66" i="104" s="1"/>
  <c r="C103" i="105"/>
  <c r="V57" i="88"/>
  <c r="V58" i="88" s="1"/>
  <c r="V64" i="88" s="1"/>
  <c r="BG175" i="68"/>
  <c r="BG181" i="68" s="1"/>
  <c r="BG183" i="68" s="1"/>
  <c r="BN175" i="68"/>
  <c r="BN181" i="68" s="1"/>
  <c r="BN183" i="68" s="1"/>
  <c r="AC57" i="88"/>
  <c r="AC58" i="88" s="1"/>
  <c r="AC64" i="88" s="1"/>
  <c r="G57" i="88"/>
  <c r="G58" i="88" s="1"/>
  <c r="G64" i="88" s="1"/>
  <c r="AR175" i="68"/>
  <c r="AR181" i="68" s="1"/>
  <c r="AR183" i="68" s="1"/>
  <c r="U57" i="88"/>
  <c r="U58" i="88" s="1"/>
  <c r="U64" i="88" s="1"/>
  <c r="BF175" i="68"/>
  <c r="BF181" i="68" s="1"/>
  <c r="BF183" i="68" s="1"/>
  <c r="AT83" i="68"/>
  <c r="AT89" i="68" s="1"/>
  <c r="AT91" i="68" s="1"/>
  <c r="I24" i="88"/>
  <c r="D24" i="88"/>
  <c r="AO83" i="68"/>
  <c r="AO89" i="68" s="1"/>
  <c r="AO91" i="68" s="1"/>
  <c r="S24" i="88"/>
  <c r="S25" i="88" s="1"/>
  <c r="S31" i="88" s="1"/>
  <c r="BD83" i="68"/>
  <c r="BD89" i="68" s="1"/>
  <c r="BD91" i="68" s="1"/>
  <c r="O24" i="88"/>
  <c r="O25" i="88" s="1"/>
  <c r="O31" i="88" s="1"/>
  <c r="AZ83" i="68"/>
  <c r="AZ89" i="68" s="1"/>
  <c r="AZ91" i="68" s="1"/>
  <c r="I59" i="104"/>
  <c r="I63" i="104" s="1"/>
  <c r="I65" i="104" s="1"/>
  <c r="I66" i="104" s="1"/>
  <c r="C75" i="105"/>
  <c r="AT175" i="68"/>
  <c r="AT181" i="68" s="1"/>
  <c r="AT183" i="68" s="1"/>
  <c r="I57" i="88"/>
  <c r="I58" i="88" s="1"/>
  <c r="I64" i="88" s="1"/>
  <c r="X57" i="88"/>
  <c r="X58" i="88" s="1"/>
  <c r="X64" i="88" s="1"/>
  <c r="BI175" i="68"/>
  <c r="BI181" i="68" s="1"/>
  <c r="BI183" i="68" s="1"/>
  <c r="O57" i="88"/>
  <c r="O58" i="88" s="1"/>
  <c r="O64" i="88" s="1"/>
  <c r="AZ175" i="68"/>
  <c r="AZ181" i="68" s="1"/>
  <c r="AZ183" i="68" s="1"/>
  <c r="BF83" i="68"/>
  <c r="BF89" i="68" s="1"/>
  <c r="BF91" i="68" s="1"/>
  <c r="U24" i="88"/>
  <c r="U25" i="88" s="1"/>
  <c r="U31" i="88" s="1"/>
  <c r="R24" i="88"/>
  <c r="R25" i="88" s="1"/>
  <c r="R31" i="88" s="1"/>
  <c r="BC83" i="68"/>
  <c r="BC89" i="68" s="1"/>
  <c r="BC91" i="68" s="1"/>
  <c r="BQ83" i="68"/>
  <c r="BQ89" i="68" s="1"/>
  <c r="BQ91" i="68" s="1"/>
  <c r="AF24" i="88"/>
  <c r="AF25" i="88" s="1"/>
  <c r="AF31" i="88" s="1"/>
  <c r="E59" i="104"/>
  <c r="E63" i="104" s="1"/>
  <c r="E65" i="104" s="1"/>
  <c r="E66" i="104" s="1"/>
  <c r="C19" i="105"/>
  <c r="AG57" i="88"/>
  <c r="AG58" i="88" s="1"/>
  <c r="AG64" i="88" s="1"/>
  <c r="BR175" i="68"/>
  <c r="BR181" i="68" s="1"/>
  <c r="BR183" i="68" s="1"/>
  <c r="BC175" i="68"/>
  <c r="BC181" i="68" s="1"/>
  <c r="BC183" i="68" s="1"/>
  <c r="R57" i="88"/>
  <c r="R58" i="88" s="1"/>
  <c r="R64" i="88" s="1"/>
  <c r="E57" i="88"/>
  <c r="E58" i="88" s="1"/>
  <c r="E64" i="88" s="1"/>
  <c r="AP175" i="68"/>
  <c r="AP181" i="68" s="1"/>
  <c r="AP183" i="68" s="1"/>
  <c r="AD24" i="88"/>
  <c r="AD25" i="88" s="1"/>
  <c r="AD31" i="88" s="1"/>
  <c r="BO83" i="68"/>
  <c r="BO89" i="68" s="1"/>
  <c r="BO91" i="68" s="1"/>
  <c r="BS83" i="68"/>
  <c r="BS89" i="68" s="1"/>
  <c r="BS91" i="68" s="1"/>
  <c r="AH24" i="88"/>
  <c r="AH25" i="88" s="1"/>
  <c r="AH31" i="88" s="1"/>
  <c r="AF372" i="68"/>
  <c r="BP372" i="68" s="1"/>
  <c r="AV372" i="68"/>
  <c r="V372" i="68"/>
  <c r="BF372" i="68" s="1"/>
  <c r="W372" i="68"/>
  <c r="BG372" i="68" s="1"/>
  <c r="AG372" i="68"/>
  <c r="BQ372" i="68" s="1"/>
  <c r="AW372" i="68"/>
  <c r="AG376" i="68"/>
  <c r="BQ376" i="68" s="1"/>
  <c r="AW376" i="68"/>
  <c r="W376" i="68"/>
  <c r="BG376" i="68" s="1"/>
  <c r="AG386" i="68"/>
  <c r="BQ386" i="68" s="1"/>
  <c r="W386" i="68"/>
  <c r="BG386" i="68" s="1"/>
  <c r="AW386" i="68"/>
  <c r="V376" i="68"/>
  <c r="BF376" i="68" s="1"/>
  <c r="AF376" i="68"/>
  <c r="BP376" i="68" s="1"/>
  <c r="AV376" i="68"/>
  <c r="V386" i="68"/>
  <c r="BF386" i="68" s="1"/>
  <c r="AV386" i="68"/>
  <c r="AF386" i="68"/>
  <c r="BP386" i="68" s="1"/>
  <c r="AG378" i="68"/>
  <c r="BQ378" i="68" s="1"/>
  <c r="W378" i="68"/>
  <c r="BG378" i="68" s="1"/>
  <c r="AW378" i="68"/>
  <c r="V378" i="68"/>
  <c r="BF378" i="68" s="1"/>
  <c r="AV378" i="68"/>
  <c r="AF378" i="68"/>
  <c r="BP378" i="68" s="1"/>
  <c r="AW373" i="68"/>
  <c r="W373" i="68"/>
  <c r="BG373" i="68" s="1"/>
  <c r="AG373" i="68"/>
  <c r="BQ373" i="68" s="1"/>
  <c r="AV373" i="68"/>
  <c r="AF373" i="68"/>
  <c r="BP373" i="68" s="1"/>
  <c r="V373" i="68"/>
  <c r="BF373" i="68" s="1"/>
  <c r="AG414" i="68"/>
  <c r="BQ414" i="68" s="1"/>
  <c r="AW414" i="68"/>
  <c r="W414" i="68"/>
  <c r="BG414" i="68" s="1"/>
  <c r="AV416" i="68"/>
  <c r="K150" i="88" s="1"/>
  <c r="BF416" i="68"/>
  <c r="U150" i="88" s="1"/>
  <c r="AW415" i="68"/>
  <c r="AG415" i="68"/>
  <c r="BQ415" i="68" s="1"/>
  <c r="W415" i="68"/>
  <c r="BG415" i="68" s="1"/>
  <c r="BP416" i="68"/>
  <c r="AE150" i="88" s="1"/>
  <c r="AV257" i="68"/>
  <c r="AD257" i="68"/>
  <c r="BN257" i="68" s="1"/>
  <c r="M257" i="68"/>
  <c r="AB64" i="88"/>
  <c r="AT23" i="140"/>
  <c r="AT24" i="140" s="1"/>
  <c r="G31" i="140"/>
  <c r="AM23" i="140"/>
  <c r="AM24" i="140" s="1"/>
  <c r="H31" i="140"/>
  <c r="AN23" i="140"/>
  <c r="AN24" i="140" s="1"/>
  <c r="D32" i="140"/>
  <c r="BE23" i="140"/>
  <c r="BE24" i="140" s="1"/>
  <c r="M32" i="140"/>
  <c r="BF23" i="140"/>
  <c r="BF24" i="140" s="1"/>
  <c r="H29" i="140"/>
  <c r="BG23" i="140"/>
  <c r="BG24" i="140" s="1"/>
  <c r="O32" i="140"/>
  <c r="BI23" i="140"/>
  <c r="BI24" i="140" s="1"/>
  <c r="AR23" i="140"/>
  <c r="AR24" i="140" s="1"/>
  <c r="E31" i="140"/>
  <c r="N28" i="140"/>
  <c r="AA23" i="140"/>
  <c r="AA24" i="140" s="1"/>
  <c r="J29" i="140"/>
  <c r="K31" i="140"/>
  <c r="AK23" i="140"/>
  <c r="AK24" i="140" s="1"/>
  <c r="BB23" i="140"/>
  <c r="BB24" i="140" s="1"/>
  <c r="O31" i="140"/>
  <c r="AU23" i="140"/>
  <c r="AU24" i="140" s="1"/>
  <c r="K32" i="140"/>
  <c r="AV23" i="140"/>
  <c r="AV24" i="140" s="1"/>
  <c r="L32" i="140"/>
  <c r="I28" i="140"/>
  <c r="N31" i="140"/>
  <c r="J28" i="140"/>
  <c r="C23" i="140"/>
  <c r="K28" i="140"/>
  <c r="E23" i="140"/>
  <c r="E24" i="140" s="1"/>
  <c r="E28" i="140"/>
  <c r="AZ23" i="140"/>
  <c r="AZ24" i="140" s="1"/>
  <c r="M31" i="140"/>
  <c r="O28" i="140"/>
  <c r="AC23" i="140"/>
  <c r="AC24" i="140" s="1"/>
  <c r="V23" i="140"/>
  <c r="V24" i="140" s="1"/>
  <c r="O30" i="140"/>
  <c r="D31" i="140"/>
  <c r="BJ23" i="140"/>
  <c r="BJ24" i="140" s="1"/>
  <c r="J32" i="140"/>
  <c r="BC23" i="140"/>
  <c r="BC24" i="140" s="1"/>
  <c r="M28" i="140"/>
  <c r="BD23" i="140"/>
  <c r="BD24" i="140" s="1"/>
  <c r="I23" i="140"/>
  <c r="I24" i="140" s="1"/>
  <c r="D29" i="140"/>
  <c r="J23" i="140"/>
  <c r="J24" i="140" s="1"/>
  <c r="E29" i="140"/>
  <c r="K23" i="140"/>
  <c r="K24" i="140" s="1"/>
  <c r="F29" i="140"/>
  <c r="M23" i="140"/>
  <c r="M24" i="140" s="1"/>
  <c r="F31" i="140"/>
  <c r="BH23" i="140"/>
  <c r="BH24" i="140" s="1"/>
  <c r="H32" i="140"/>
  <c r="N23" i="140"/>
  <c r="N24" i="140" s="1"/>
  <c r="G30" i="140"/>
  <c r="Z23" i="140"/>
  <c r="Z24" i="140" s="1"/>
  <c r="I30" i="140"/>
  <c r="L28" i="140"/>
  <c r="O23" i="140"/>
  <c r="O24" i="140" s="1"/>
  <c r="F23" i="140"/>
  <c r="F24" i="140" s="1"/>
  <c r="F28" i="140"/>
  <c r="K30" i="140"/>
  <c r="G28" i="140"/>
  <c r="I32" i="140"/>
  <c r="H28" i="140"/>
  <c r="Q23" i="140"/>
  <c r="Q24" i="140" s="1"/>
  <c r="L29" i="140"/>
  <c r="R23" i="140"/>
  <c r="R24" i="140" s="1"/>
  <c r="M29" i="140"/>
  <c r="S23" i="140"/>
  <c r="S24" i="140" s="1"/>
  <c r="N29" i="140"/>
  <c r="U23" i="140"/>
  <c r="U24" i="140" s="1"/>
  <c r="D23" i="140"/>
  <c r="D24" i="140" s="1"/>
  <c r="D28" i="140"/>
  <c r="Y23" i="140"/>
  <c r="Y24" i="140" s="1"/>
  <c r="I29" i="140"/>
  <c r="H23" i="140"/>
  <c r="H24" i="140" s="1"/>
  <c r="F30" i="140"/>
  <c r="G29" i="140"/>
  <c r="AD23" i="140"/>
  <c r="AD24" i="140" s="1"/>
  <c r="D30" i="140"/>
  <c r="W23" i="140"/>
  <c r="W24" i="140" s="1"/>
  <c r="E30" i="140"/>
  <c r="X23" i="140"/>
  <c r="X24" i="140" s="1"/>
  <c r="N30" i="140"/>
  <c r="AO23" i="140"/>
  <c r="AO24" i="140" s="1"/>
  <c r="J31" i="140"/>
  <c r="AP23" i="140"/>
  <c r="AP24" i="140" s="1"/>
  <c r="F32" i="140"/>
  <c r="AQ23" i="140"/>
  <c r="AQ24" i="140" s="1"/>
  <c r="L31" i="140"/>
  <c r="AS23" i="140"/>
  <c r="AS24" i="140" s="1"/>
  <c r="AB23" i="140"/>
  <c r="AB24" i="140" s="1"/>
  <c r="O29" i="140"/>
  <c r="K29" i="140"/>
  <c r="AG23" i="140"/>
  <c r="AG24" i="140" s="1"/>
  <c r="AL23" i="140"/>
  <c r="AL24" i="140" s="1"/>
  <c r="L30" i="140"/>
  <c r="AE23" i="140"/>
  <c r="AE24" i="140" s="1"/>
  <c r="M30" i="140"/>
  <c r="AF23" i="140"/>
  <c r="AF24" i="140" s="1"/>
  <c r="I31" i="140"/>
  <c r="AW23" i="140"/>
  <c r="AW24" i="140" s="1"/>
  <c r="E32" i="140"/>
  <c r="AX23" i="140"/>
  <c r="AX24" i="140" s="1"/>
  <c r="N32" i="140"/>
  <c r="AY23" i="140"/>
  <c r="AY24" i="140" s="1"/>
  <c r="G32" i="140"/>
  <c r="BA23" i="140"/>
  <c r="BA24" i="140" s="1"/>
  <c r="AJ23" i="140"/>
  <c r="AJ24" i="140" s="1"/>
  <c r="J30" i="140"/>
  <c r="G23" i="140"/>
  <c r="G24" i="140" s="1"/>
  <c r="H30" i="140"/>
  <c r="L23" i="140"/>
  <c r="L24" i="140" s="1"/>
  <c r="P23" i="140"/>
  <c r="P24" i="140" s="1"/>
  <c r="AH23" i="140"/>
  <c r="AH24" i="140" s="1"/>
  <c r="AI23" i="140"/>
  <c r="AI24" i="140" s="1"/>
  <c r="T23" i="140"/>
  <c r="T24" i="140" s="1"/>
  <c r="M60" i="127"/>
  <c r="M61" i="127"/>
  <c r="M62" i="127"/>
  <c r="O70" i="87"/>
  <c r="N129" i="127"/>
  <c r="N52" i="87"/>
  <c r="M67" i="127"/>
  <c r="M43" i="87"/>
  <c r="M44" i="87" s="1"/>
  <c r="M93" i="87" s="1"/>
  <c r="L90" i="87"/>
  <c r="M45" i="87"/>
  <c r="L96" i="87"/>
  <c r="K39" i="87"/>
  <c r="L46" i="87"/>
  <c r="L99" i="87" s="1"/>
  <c r="A14" i="135"/>
  <c r="M51" i="105"/>
  <c r="L52" i="105"/>
  <c r="L108" i="105"/>
  <c r="M107" i="105"/>
  <c r="L23" i="105"/>
  <c r="K24" i="105"/>
  <c r="L79" i="105"/>
  <c r="K80" i="105"/>
  <c r="W411" i="68"/>
  <c r="BG411" i="68" s="1"/>
  <c r="AW411" i="68"/>
  <c r="AG411" i="68"/>
  <c r="BQ411" i="68" s="1"/>
  <c r="CB6" i="140"/>
  <c r="CM6" i="140" s="1"/>
  <c r="CX6" i="140" s="1"/>
  <c r="DI6" i="140" s="1"/>
  <c r="BR6" i="140"/>
  <c r="AQ445" i="68"/>
  <c r="BI83" i="68"/>
  <c r="BI89" i="68" s="1"/>
  <c r="BI91" i="68" s="1"/>
  <c r="X24" i="88"/>
  <c r="J88" i="87"/>
  <c r="BE387" i="68"/>
  <c r="K100" i="105"/>
  <c r="O75" i="68"/>
  <c r="AL75" i="68"/>
  <c r="BV75" i="68" s="1"/>
  <c r="Z75" i="68"/>
  <c r="BJ75" i="68" s="1"/>
  <c r="AX75" i="68"/>
  <c r="I101" i="105"/>
  <c r="AU387" i="68"/>
  <c r="O73" i="105"/>
  <c r="J79" i="87"/>
  <c r="H16" i="105"/>
  <c r="F152" i="88"/>
  <c r="F158" i="88" s="1"/>
  <c r="J61" i="87"/>
  <c r="J100" i="87"/>
  <c r="AW374" i="68"/>
  <c r="AG374" i="68"/>
  <c r="BQ374" i="68" s="1"/>
  <c r="W374" i="68"/>
  <c r="BG374" i="68" s="1"/>
  <c r="BO387" i="68"/>
  <c r="I72" i="105"/>
  <c r="BK175" i="68"/>
  <c r="BK181" i="68" s="1"/>
  <c r="BK183" i="68" s="1"/>
  <c r="Z57" i="88"/>
  <c r="AR437" i="68"/>
  <c r="AR442" i="68" s="1"/>
  <c r="AR444" i="68" s="1"/>
  <c r="G151" i="88"/>
  <c r="V374" i="68"/>
  <c r="BF374" i="68" s="1"/>
  <c r="AV374" i="68"/>
  <c r="AF374" i="68"/>
  <c r="BP374" i="68" s="1"/>
  <c r="AK151" i="88"/>
  <c r="AK152" i="88" s="1"/>
  <c r="AK158" i="88" s="1"/>
  <c r="BV437" i="68"/>
  <c r="BV442" i="68" s="1"/>
  <c r="BV444" i="68" s="1"/>
  <c r="P152" i="88"/>
  <c r="P158" i="88" s="1"/>
  <c r="BL437" i="68"/>
  <c r="BL442" i="68" s="1"/>
  <c r="BL444" i="68" s="1"/>
  <c r="AA151" i="88"/>
  <c r="I91" i="87"/>
  <c r="Z152" i="88"/>
  <c r="Z158" i="88" s="1"/>
  <c r="AF382" i="68"/>
  <c r="BP382" i="68" s="1"/>
  <c r="AV382" i="68"/>
  <c r="V382" i="68"/>
  <c r="BF382" i="68" s="1"/>
  <c r="AC429" i="68"/>
  <c r="BM429" i="68" s="1"/>
  <c r="L429" i="68"/>
  <c r="AS429" i="68"/>
  <c r="J429" i="68"/>
  <c r="S429" i="68"/>
  <c r="BC429" i="68" s="1"/>
  <c r="I148" i="88"/>
  <c r="K25" i="88"/>
  <c r="K31" i="88" s="1"/>
  <c r="R44" i="105"/>
  <c r="I45" i="105"/>
  <c r="Q151" i="88"/>
  <c r="BB437" i="68"/>
  <c r="BB442" i="68" s="1"/>
  <c r="BB444" i="68" s="1"/>
  <c r="N57" i="88"/>
  <c r="AY175" i="68"/>
  <c r="AY181" i="68" s="1"/>
  <c r="AY183" i="68" s="1"/>
  <c r="AF102" i="105"/>
  <c r="AF385" i="68"/>
  <c r="BP385" i="68" s="1"/>
  <c r="V385" i="68"/>
  <c r="BF385" i="68" s="1"/>
  <c r="AV385" i="68"/>
  <c r="E160" i="88"/>
  <c r="AC148" i="88"/>
  <c r="W382" i="68"/>
  <c r="BG382" i="68" s="1"/>
  <c r="AG382" i="68"/>
  <c r="BQ382" i="68" s="1"/>
  <c r="AW382" i="68"/>
  <c r="W25" i="88"/>
  <c r="W31" i="88" s="1"/>
  <c r="J17" i="105"/>
  <c r="Q74" i="105"/>
  <c r="AG385" i="68"/>
  <c r="BQ385" i="68" s="1"/>
  <c r="W385" i="68"/>
  <c r="BG385" i="68" s="1"/>
  <c r="AW385" i="68"/>
  <c r="W384" i="68"/>
  <c r="BG384" i="68" s="1"/>
  <c r="AW384" i="68"/>
  <c r="AG384" i="68"/>
  <c r="BQ384" i="68" s="1"/>
  <c r="D188" i="127"/>
  <c r="D194" i="127" s="1"/>
  <c r="D196" i="127" s="1"/>
  <c r="AJ152" i="88"/>
  <c r="AJ158" i="88" s="1"/>
  <c r="J94" i="87"/>
  <c r="I97" i="87"/>
  <c r="V46" i="105"/>
  <c r="AV384" i="68"/>
  <c r="V384" i="68"/>
  <c r="BF384" i="68" s="1"/>
  <c r="AF384" i="68"/>
  <c r="BP384" i="68" s="1"/>
  <c r="S148" i="88"/>
  <c r="U18" i="105"/>
  <c r="AJ24" i="88"/>
  <c r="BU83" i="68"/>
  <c r="BU89" i="68" s="1"/>
  <c r="BU91" i="68" s="1"/>
  <c r="AI25" i="88"/>
  <c r="AI31" i="88" s="1"/>
  <c r="AW83" i="68"/>
  <c r="AW89" i="68" s="1"/>
  <c r="AW91" i="68" s="1"/>
  <c r="L24" i="88"/>
  <c r="AF347" i="68" l="1"/>
  <c r="BP347" i="68" s="1"/>
  <c r="AX347" i="68"/>
  <c r="O347" i="68"/>
  <c r="AO92" i="68"/>
  <c r="AP92" i="68" s="1"/>
  <c r="AQ92" i="68" s="1"/>
  <c r="AR92" i="68" s="1"/>
  <c r="AS92" i="68" s="1"/>
  <c r="AT92" i="68" s="1"/>
  <c r="AU92" i="68" s="1"/>
  <c r="AV92" i="68" s="1"/>
  <c r="AW92" i="68" s="1"/>
  <c r="M63" i="127"/>
  <c r="C130" i="135"/>
  <c r="G63" i="127"/>
  <c r="G64" i="127" s="1"/>
  <c r="E63" i="127"/>
  <c r="E64" i="127" s="1"/>
  <c r="D25" i="88"/>
  <c r="D31" i="88" s="1"/>
  <c r="N56" i="127"/>
  <c r="N57" i="127" s="1"/>
  <c r="S56" i="127"/>
  <c r="S57" i="127" s="1"/>
  <c r="X56" i="127"/>
  <c r="X57" i="127" s="1"/>
  <c r="AA56" i="127"/>
  <c r="AA57" i="127" s="1"/>
  <c r="W56" i="127"/>
  <c r="W57" i="127" s="1"/>
  <c r="AE56" i="127"/>
  <c r="AE57" i="127" s="1"/>
  <c r="AI56" i="127"/>
  <c r="AI57" i="127" s="1"/>
  <c r="T56" i="127"/>
  <c r="T57" i="127" s="1"/>
  <c r="R56" i="127"/>
  <c r="R57" i="127" s="1"/>
  <c r="Q56" i="127"/>
  <c r="Q57" i="127" s="1"/>
  <c r="AD56" i="127"/>
  <c r="AD57" i="127" s="1"/>
  <c r="AJ56" i="127"/>
  <c r="AJ57" i="127" s="1"/>
  <c r="C18" i="88"/>
  <c r="C31" i="88" s="1"/>
  <c r="C33" i="88" s="1"/>
  <c r="M56" i="127"/>
  <c r="M57" i="127" s="1"/>
  <c r="U56" i="127"/>
  <c r="U57" i="127" s="1"/>
  <c r="AH56" i="127"/>
  <c r="AH57" i="127" s="1"/>
  <c r="J56" i="127"/>
  <c r="J57" i="127" s="1"/>
  <c r="D56" i="127"/>
  <c r="D57" i="127" s="1"/>
  <c r="D70" i="127" s="1"/>
  <c r="D72" i="127" s="1"/>
  <c r="AB56" i="127"/>
  <c r="AB57" i="127" s="1"/>
  <c r="P56" i="127"/>
  <c r="P57" i="127" s="1"/>
  <c r="L56" i="127"/>
  <c r="L57" i="127" s="1"/>
  <c r="AG56" i="127"/>
  <c r="AG57" i="127" s="1"/>
  <c r="V56" i="127"/>
  <c r="V57" i="127" s="1"/>
  <c r="AK56" i="127"/>
  <c r="AK57" i="127" s="1"/>
  <c r="Z56" i="127"/>
  <c r="Z57" i="127" s="1"/>
  <c r="O56" i="127"/>
  <c r="O57" i="127" s="1"/>
  <c r="K56" i="127"/>
  <c r="K57" i="127" s="1"/>
  <c r="AC56" i="127"/>
  <c r="AC57" i="127" s="1"/>
  <c r="AF56" i="127"/>
  <c r="AF57" i="127" s="1"/>
  <c r="Y56" i="127"/>
  <c r="Y57" i="127" s="1"/>
  <c r="K63" i="127"/>
  <c r="H25" i="88"/>
  <c r="H31" i="88" s="1"/>
  <c r="D280" i="127"/>
  <c r="D281" i="127" s="1"/>
  <c r="D287" i="127" s="1"/>
  <c r="D289" i="127" s="1"/>
  <c r="D75" i="105"/>
  <c r="C76" i="105"/>
  <c r="C82" i="105" s="1"/>
  <c r="C84" i="105" s="1"/>
  <c r="I25" i="88"/>
  <c r="I31" i="88" s="1"/>
  <c r="L63" i="127"/>
  <c r="C48" i="105"/>
  <c r="C54" i="105" s="1"/>
  <c r="C56" i="105" s="1"/>
  <c r="D47" i="105"/>
  <c r="D249" i="127"/>
  <c r="D250" i="127" s="1"/>
  <c r="D256" i="127" s="1"/>
  <c r="D258" i="127" s="1"/>
  <c r="H63" i="127"/>
  <c r="E25" i="88"/>
  <c r="E31" i="88" s="1"/>
  <c r="C20" i="105"/>
  <c r="D218" i="127"/>
  <c r="D219" i="127" s="1"/>
  <c r="D19" i="105"/>
  <c r="E19" i="105" s="1"/>
  <c r="C104" i="105"/>
  <c r="C110" i="105" s="1"/>
  <c r="C112" i="105" s="1"/>
  <c r="D103" i="105"/>
  <c r="D311" i="127"/>
  <c r="D312" i="127" s="1"/>
  <c r="D318" i="127" s="1"/>
  <c r="D320" i="127" s="1"/>
  <c r="I63" i="127"/>
  <c r="F25" i="88"/>
  <c r="F31" i="88" s="1"/>
  <c r="G25" i="88"/>
  <c r="G31" i="88" s="1"/>
  <c r="J63" i="127"/>
  <c r="O87" i="127"/>
  <c r="O88" i="127" s="1"/>
  <c r="X87" i="127"/>
  <c r="X88" i="127" s="1"/>
  <c r="AC87" i="127"/>
  <c r="AC88" i="127" s="1"/>
  <c r="L87" i="127"/>
  <c r="L88" i="127" s="1"/>
  <c r="AG87" i="127"/>
  <c r="AG88" i="127" s="1"/>
  <c r="T87" i="127"/>
  <c r="T88" i="127" s="1"/>
  <c r="AB87" i="127"/>
  <c r="AB88" i="127" s="1"/>
  <c r="Y87" i="127"/>
  <c r="Y88" i="127" s="1"/>
  <c r="AK87" i="127"/>
  <c r="AK88" i="127" s="1"/>
  <c r="W87" i="127"/>
  <c r="W88" i="127" s="1"/>
  <c r="U87" i="127"/>
  <c r="U88" i="127" s="1"/>
  <c r="K87" i="127"/>
  <c r="K88" i="127" s="1"/>
  <c r="J87" i="127"/>
  <c r="J88" i="127" s="1"/>
  <c r="AJ87" i="127"/>
  <c r="AJ88" i="127" s="1"/>
  <c r="AD87" i="127"/>
  <c r="AD88" i="127" s="1"/>
  <c r="S87" i="127"/>
  <c r="S88" i="127" s="1"/>
  <c r="V87" i="127"/>
  <c r="V88" i="127" s="1"/>
  <c r="AF87" i="127"/>
  <c r="AF88" i="127" s="1"/>
  <c r="N87" i="127"/>
  <c r="N88" i="127" s="1"/>
  <c r="P87" i="127"/>
  <c r="P88" i="127" s="1"/>
  <c r="Z87" i="127"/>
  <c r="Z88" i="127" s="1"/>
  <c r="R87" i="127"/>
  <c r="R88" i="127" s="1"/>
  <c r="D87" i="127"/>
  <c r="D88" i="127" s="1"/>
  <c r="AA87" i="127"/>
  <c r="AA88" i="127" s="1"/>
  <c r="AH87" i="127"/>
  <c r="AH88" i="127" s="1"/>
  <c r="Q87" i="127"/>
  <c r="Q88" i="127" s="1"/>
  <c r="C51" i="88"/>
  <c r="C64" i="88" s="1"/>
  <c r="C66" i="88" s="1"/>
  <c r="D66" i="88" s="1"/>
  <c r="E66" i="88" s="1"/>
  <c r="F66" i="88" s="1"/>
  <c r="G66" i="88" s="1"/>
  <c r="H66" i="88" s="1"/>
  <c r="I66" i="88" s="1"/>
  <c r="J66" i="88" s="1"/>
  <c r="K66" i="88" s="1"/>
  <c r="L66" i="88" s="1"/>
  <c r="M66" i="88" s="1"/>
  <c r="M87" i="127"/>
  <c r="M88" i="127" s="1"/>
  <c r="AE87" i="127"/>
  <c r="AE88" i="127" s="1"/>
  <c r="AI87" i="127"/>
  <c r="AI88" i="127" s="1"/>
  <c r="AO184" i="68"/>
  <c r="AP184" i="68" s="1"/>
  <c r="AQ184" i="68" s="1"/>
  <c r="AR184" i="68" s="1"/>
  <c r="AS184" i="68" s="1"/>
  <c r="AT184" i="68" s="1"/>
  <c r="AU184" i="68" s="1"/>
  <c r="AV184" i="68" s="1"/>
  <c r="AW184" i="68" s="1"/>
  <c r="AX184" i="68" s="1"/>
  <c r="AY184" i="68" s="1"/>
  <c r="AZ184" i="68" s="1"/>
  <c r="BA184" i="68" s="1"/>
  <c r="BB184" i="68" s="1"/>
  <c r="BC184" i="68" s="1"/>
  <c r="BD184" i="68" s="1"/>
  <c r="BE184" i="68" s="1"/>
  <c r="BF184" i="68" s="1"/>
  <c r="BG184" i="68" s="1"/>
  <c r="BH184" i="68" s="1"/>
  <c r="BI184" i="68" s="1"/>
  <c r="BJ184" i="68" s="1"/>
  <c r="BK184" i="68" s="1"/>
  <c r="BL184" i="68" s="1"/>
  <c r="BM184" i="68" s="1"/>
  <c r="BN184" i="68" s="1"/>
  <c r="BO184" i="68" s="1"/>
  <c r="BP184" i="68" s="1"/>
  <c r="BQ184" i="68" s="1"/>
  <c r="BR184" i="68" s="1"/>
  <c r="BS184" i="68" s="1"/>
  <c r="BT184" i="68" s="1"/>
  <c r="BU184" i="68" s="1"/>
  <c r="BV184" i="68" s="1"/>
  <c r="AN185" i="68" s="1"/>
  <c r="AX354" i="68"/>
  <c r="AY354" i="68"/>
  <c r="BD354" i="68"/>
  <c r="AS354" i="68"/>
  <c r="BF354" i="68"/>
  <c r="BH354" i="68"/>
  <c r="BB354" i="68"/>
  <c r="BP354" i="68"/>
  <c r="AZ354" i="68"/>
  <c r="BK354" i="68"/>
  <c r="AQ354" i="68"/>
  <c r="BQ354" i="68"/>
  <c r="BI354" i="68"/>
  <c r="AT354" i="68"/>
  <c r="AN354" i="68"/>
  <c r="BS354" i="68"/>
  <c r="BU354" i="68"/>
  <c r="BM354" i="68"/>
  <c r="BL354" i="68"/>
  <c r="AP354" i="68"/>
  <c r="BT354" i="68"/>
  <c r="AU354" i="68"/>
  <c r="BO354" i="68"/>
  <c r="BR354" i="68"/>
  <c r="BG354" i="68"/>
  <c r="BV354" i="68"/>
  <c r="BC354" i="68"/>
  <c r="BN354" i="68"/>
  <c r="AR354" i="68"/>
  <c r="BA354" i="68"/>
  <c r="AW354" i="68"/>
  <c r="AV354" i="68"/>
  <c r="AO354" i="68"/>
  <c r="BJ354" i="68"/>
  <c r="BE354" i="68"/>
  <c r="BN265" i="68"/>
  <c r="BN266" i="68" s="1"/>
  <c r="BN272" i="68" s="1"/>
  <c r="BN274" i="68" s="1"/>
  <c r="AT265" i="68"/>
  <c r="BT265" i="68"/>
  <c r="BI265" i="68"/>
  <c r="AR265" i="68"/>
  <c r="BP265" i="68"/>
  <c r="BE265" i="68"/>
  <c r="BF265" i="68"/>
  <c r="AV265" i="68"/>
  <c r="AV266" i="68" s="1"/>
  <c r="AV272" i="68" s="1"/>
  <c r="AV274" i="68" s="1"/>
  <c r="BK265" i="68"/>
  <c r="AZ265" i="68"/>
  <c r="BQ265" i="68"/>
  <c r="BG265" i="68"/>
  <c r="BA265" i="68"/>
  <c r="AN265" i="68"/>
  <c r="AP265" i="68"/>
  <c r="AS265" i="68"/>
  <c r="BS265" i="68"/>
  <c r="BH265" i="68"/>
  <c r="BM265" i="68"/>
  <c r="BU265" i="68"/>
  <c r="BC265" i="68"/>
  <c r="BV265" i="68"/>
  <c r="BJ265" i="68"/>
  <c r="BO265" i="68"/>
  <c r="AO265" i="68"/>
  <c r="AW265" i="68"/>
  <c r="BB265" i="68"/>
  <c r="AX265" i="68"/>
  <c r="BR265" i="68"/>
  <c r="AQ265" i="68"/>
  <c r="BL265" i="68"/>
  <c r="AU265" i="68"/>
  <c r="BD265" i="68"/>
  <c r="AY265" i="68"/>
  <c r="N62" i="127"/>
  <c r="N61" i="127"/>
  <c r="N60" i="127"/>
  <c r="N63" i="127"/>
  <c r="BQ416" i="68"/>
  <c r="AF150" i="88" s="1"/>
  <c r="AW416" i="68"/>
  <c r="L150" i="88" s="1"/>
  <c r="BG416" i="68"/>
  <c r="V150" i="88" s="1"/>
  <c r="N257" i="68"/>
  <c r="AW257" i="68"/>
  <c r="AE257" i="68"/>
  <c r="BO257" i="68" s="1"/>
  <c r="AD111" i="137"/>
  <c r="AC44" i="136"/>
  <c r="AC23" i="136"/>
  <c r="AC54" i="136"/>
  <c r="AC34" i="136"/>
  <c r="AC13" i="136"/>
  <c r="AC64" i="136"/>
  <c r="AC129" i="137"/>
  <c r="AC110" i="137"/>
  <c r="AB53" i="136"/>
  <c r="AB33" i="136"/>
  <c r="AB12" i="136"/>
  <c r="AB63" i="136"/>
  <c r="AB43" i="136"/>
  <c r="AB22" i="136"/>
  <c r="V128" i="137"/>
  <c r="U42" i="136"/>
  <c r="U21" i="136"/>
  <c r="U52" i="136"/>
  <c r="U32" i="136"/>
  <c r="U11" i="136"/>
  <c r="U62" i="136"/>
  <c r="F33" i="140"/>
  <c r="X132" i="137"/>
  <c r="X113" i="137"/>
  <c r="W66" i="136"/>
  <c r="W46" i="136"/>
  <c r="W56" i="136"/>
  <c r="W36" i="136"/>
  <c r="W15" i="136"/>
  <c r="W25" i="136"/>
  <c r="T110" i="137"/>
  <c r="S43" i="136"/>
  <c r="S22" i="136"/>
  <c r="P29" i="140"/>
  <c r="S53" i="136"/>
  <c r="S33" i="136"/>
  <c r="S12" i="136"/>
  <c r="S63" i="136"/>
  <c r="AE130" i="137"/>
  <c r="AE111" i="137"/>
  <c r="AD13" i="136"/>
  <c r="AD34" i="136"/>
  <c r="AD64" i="136"/>
  <c r="AD44" i="136"/>
  <c r="AD23" i="136"/>
  <c r="AD54" i="136"/>
  <c r="Z52" i="136"/>
  <c r="K33" i="140"/>
  <c r="Z32" i="136"/>
  <c r="Z11" i="136"/>
  <c r="Z62" i="136"/>
  <c r="Z42" i="136"/>
  <c r="Z21" i="136"/>
  <c r="U112" i="137"/>
  <c r="U131" i="137"/>
  <c r="T65" i="136"/>
  <c r="T45" i="136"/>
  <c r="T24" i="136"/>
  <c r="T55" i="136"/>
  <c r="T14" i="136"/>
  <c r="T35" i="136"/>
  <c r="W132" i="137"/>
  <c r="V66" i="136"/>
  <c r="V46" i="136"/>
  <c r="V25" i="136"/>
  <c r="V56" i="136"/>
  <c r="V36" i="136"/>
  <c r="V15" i="136"/>
  <c r="AC111" i="137"/>
  <c r="AC130" i="137"/>
  <c r="AB64" i="136"/>
  <c r="AB44" i="136"/>
  <c r="AB23" i="136"/>
  <c r="AB54" i="136"/>
  <c r="AB34" i="136"/>
  <c r="AB13" i="136"/>
  <c r="Y129" i="137"/>
  <c r="Y110" i="137"/>
  <c r="X53" i="136"/>
  <c r="X22" i="136"/>
  <c r="X33" i="136"/>
  <c r="X12" i="136"/>
  <c r="X63" i="136"/>
  <c r="X43" i="136"/>
  <c r="C24" i="140"/>
  <c r="Q9" i="137" a="1"/>
  <c r="AE131" i="137"/>
  <c r="AE112" i="137"/>
  <c r="AD35" i="136"/>
  <c r="AD14" i="136"/>
  <c r="AD65" i="136"/>
  <c r="AD55" i="136"/>
  <c r="AD45" i="136"/>
  <c r="AD24" i="136"/>
  <c r="T113" i="137"/>
  <c r="S56" i="136"/>
  <c r="S66" i="136"/>
  <c r="S46" i="136"/>
  <c r="P32" i="140"/>
  <c r="S25" i="136"/>
  <c r="S15" i="136"/>
  <c r="S36" i="136"/>
  <c r="AE129" i="137"/>
  <c r="AD33" i="136"/>
  <c r="AD12" i="136"/>
  <c r="AD63" i="136"/>
  <c r="AD43" i="136"/>
  <c r="AD53" i="136"/>
  <c r="AD22" i="136"/>
  <c r="AC132" i="137"/>
  <c r="AC113" i="137"/>
  <c r="AB66" i="136"/>
  <c r="AB46" i="136"/>
  <c r="AB25" i="136"/>
  <c r="AB56" i="136"/>
  <c r="AB36" i="136"/>
  <c r="AB15" i="136"/>
  <c r="AB131" i="137"/>
  <c r="AB112" i="137"/>
  <c r="AA35" i="136"/>
  <c r="AA14" i="136"/>
  <c r="AA45" i="136"/>
  <c r="AA55" i="136"/>
  <c r="AA24" i="136"/>
  <c r="AA65" i="136"/>
  <c r="U130" i="137"/>
  <c r="U111" i="137"/>
  <c r="T54" i="136"/>
  <c r="T34" i="136"/>
  <c r="T13" i="136"/>
  <c r="T23" i="136"/>
  <c r="T64" i="136"/>
  <c r="T44" i="136"/>
  <c r="AB129" i="137"/>
  <c r="AB110" i="137"/>
  <c r="AA33" i="136"/>
  <c r="AA53" i="136"/>
  <c r="AA12" i="136"/>
  <c r="AA22" i="136"/>
  <c r="AA43" i="136"/>
  <c r="AA63" i="136"/>
  <c r="V131" i="137"/>
  <c r="V112" i="137"/>
  <c r="U35" i="136"/>
  <c r="U14" i="136"/>
  <c r="U65" i="136"/>
  <c r="U55" i="136"/>
  <c r="U45" i="136"/>
  <c r="U24" i="136"/>
  <c r="Y21" i="136"/>
  <c r="J33" i="140"/>
  <c r="Y52" i="136"/>
  <c r="Y42" i="136"/>
  <c r="Y32" i="136"/>
  <c r="Y11" i="136"/>
  <c r="Y62" i="136"/>
  <c r="V111" i="137"/>
  <c r="U64" i="136"/>
  <c r="U44" i="136"/>
  <c r="U23" i="136"/>
  <c r="U54" i="136"/>
  <c r="U34" i="136"/>
  <c r="U13" i="136"/>
  <c r="S55" i="136"/>
  <c r="S35" i="136"/>
  <c r="S14" i="136"/>
  <c r="S24" i="136"/>
  <c r="S45" i="136"/>
  <c r="P31" i="140"/>
  <c r="S65" i="136"/>
  <c r="AD113" i="137"/>
  <c r="AD132" i="137"/>
  <c r="AC56" i="136"/>
  <c r="AC36" i="136"/>
  <c r="AC15" i="136"/>
  <c r="AC25" i="136"/>
  <c r="AC66" i="136"/>
  <c r="AC46" i="136"/>
  <c r="AB130" i="137"/>
  <c r="AB111" i="137"/>
  <c r="AA54" i="136"/>
  <c r="AA13" i="136"/>
  <c r="AA64" i="136"/>
  <c r="AA44" i="136"/>
  <c r="AA23" i="136"/>
  <c r="AA34" i="136"/>
  <c r="S62" i="136"/>
  <c r="S42" i="136"/>
  <c r="S21" i="136"/>
  <c r="S32" i="136"/>
  <c r="P28" i="140"/>
  <c r="S11" i="136"/>
  <c r="D33" i="140"/>
  <c r="S52" i="136"/>
  <c r="AA62" i="136"/>
  <c r="AA42" i="136"/>
  <c r="AA21" i="136"/>
  <c r="AA32" i="136"/>
  <c r="AA11" i="136"/>
  <c r="L33" i="140"/>
  <c r="AA52" i="136"/>
  <c r="AB42" i="136"/>
  <c r="AB62" i="136"/>
  <c r="AB21" i="136"/>
  <c r="AB52" i="136"/>
  <c r="AB32" i="136"/>
  <c r="AB11" i="136"/>
  <c r="M33" i="140"/>
  <c r="AE109" i="137"/>
  <c r="AD32" i="136"/>
  <c r="AD11" i="136"/>
  <c r="AD52" i="136"/>
  <c r="AD62" i="136"/>
  <c r="AD42" i="136"/>
  <c r="AD21" i="136"/>
  <c r="O33" i="140"/>
  <c r="AD131" i="137"/>
  <c r="AD112" i="137"/>
  <c r="AC55" i="136"/>
  <c r="AC35" i="136"/>
  <c r="AC14" i="136"/>
  <c r="AC65" i="136"/>
  <c r="AC45" i="136"/>
  <c r="AC24" i="136"/>
  <c r="AE132" i="137"/>
  <c r="AE113" i="137"/>
  <c r="AD36" i="136"/>
  <c r="AD15" i="136"/>
  <c r="AD56" i="136"/>
  <c r="AD66" i="136"/>
  <c r="AD46" i="136"/>
  <c r="AD25" i="136"/>
  <c r="X131" i="137"/>
  <c r="X112" i="137"/>
  <c r="W65" i="136"/>
  <c r="W45" i="136"/>
  <c r="W24" i="136"/>
  <c r="W55" i="136"/>
  <c r="W35" i="136"/>
  <c r="W14" i="136"/>
  <c r="AD128" i="137"/>
  <c r="AC62" i="136"/>
  <c r="AC42" i="136"/>
  <c r="AC21" i="136"/>
  <c r="AC11" i="136"/>
  <c r="AC52" i="136"/>
  <c r="N33" i="140"/>
  <c r="AC32" i="136"/>
  <c r="X130" i="137"/>
  <c r="X111" i="137"/>
  <c r="W44" i="136"/>
  <c r="W54" i="136"/>
  <c r="W34" i="136"/>
  <c r="W13" i="136"/>
  <c r="W64" i="136"/>
  <c r="W23" i="136"/>
  <c r="V113" i="137"/>
  <c r="V132" i="137"/>
  <c r="U15" i="136"/>
  <c r="U36" i="136"/>
  <c r="U66" i="136"/>
  <c r="U46" i="136"/>
  <c r="U25" i="136"/>
  <c r="U56" i="136"/>
  <c r="S13" i="136"/>
  <c r="S64" i="136"/>
  <c r="S44" i="136"/>
  <c r="P30" i="140"/>
  <c r="S23" i="136"/>
  <c r="S34" i="136"/>
  <c r="S54" i="136"/>
  <c r="W11" i="136"/>
  <c r="W42" i="136"/>
  <c r="W62" i="136"/>
  <c r="W21" i="136"/>
  <c r="W32" i="136"/>
  <c r="H33" i="140"/>
  <c r="W52" i="136"/>
  <c r="Y130" i="137"/>
  <c r="Y111" i="137"/>
  <c r="X44" i="136"/>
  <c r="X23" i="136"/>
  <c r="X54" i="136"/>
  <c r="X64" i="136"/>
  <c r="X34" i="136"/>
  <c r="X13" i="136"/>
  <c r="V129" i="137"/>
  <c r="U63" i="136"/>
  <c r="U43" i="136"/>
  <c r="U22" i="136"/>
  <c r="U53" i="136"/>
  <c r="U33" i="136"/>
  <c r="U12" i="136"/>
  <c r="AC131" i="137"/>
  <c r="AC112" i="137"/>
  <c r="AB65" i="136"/>
  <c r="AB45" i="136"/>
  <c r="AB24" i="136"/>
  <c r="AB14" i="136"/>
  <c r="AB55" i="136"/>
  <c r="AB35" i="136"/>
  <c r="X11" i="136"/>
  <c r="X62" i="136"/>
  <c r="X32" i="136"/>
  <c r="X42" i="136"/>
  <c r="I33" i="140"/>
  <c r="X21" i="136"/>
  <c r="X52" i="136"/>
  <c r="AA131" i="137"/>
  <c r="AA112" i="137"/>
  <c r="Z55" i="136"/>
  <c r="Z35" i="136"/>
  <c r="Z14" i="136"/>
  <c r="Z24" i="136"/>
  <c r="Z65" i="136"/>
  <c r="Z45" i="136"/>
  <c r="AA130" i="137"/>
  <c r="AA111" i="137"/>
  <c r="Z54" i="136"/>
  <c r="Z34" i="136"/>
  <c r="Z13" i="136"/>
  <c r="Z64" i="136"/>
  <c r="Z44" i="136"/>
  <c r="Z23" i="136"/>
  <c r="U132" i="137"/>
  <c r="U113" i="137"/>
  <c r="T15" i="136"/>
  <c r="T36" i="136"/>
  <c r="T66" i="136"/>
  <c r="T46" i="136"/>
  <c r="T25" i="136"/>
  <c r="T56" i="136"/>
  <c r="Y132" i="137"/>
  <c r="Y113" i="137"/>
  <c r="X46" i="136"/>
  <c r="X25" i="136"/>
  <c r="X66" i="136"/>
  <c r="X56" i="136"/>
  <c r="X36" i="136"/>
  <c r="X15" i="136"/>
  <c r="Z132" i="137"/>
  <c r="Z113" i="137"/>
  <c r="Y66" i="136"/>
  <c r="Y46" i="136"/>
  <c r="Y25" i="136"/>
  <c r="Y15" i="136"/>
  <c r="Y56" i="136"/>
  <c r="Y36" i="136"/>
  <c r="AB132" i="137"/>
  <c r="AB113" i="137"/>
  <c r="AA25" i="136"/>
  <c r="AA56" i="136"/>
  <c r="AA46" i="136"/>
  <c r="AA15" i="136"/>
  <c r="AA36" i="136"/>
  <c r="AA66" i="136"/>
  <c r="Z129" i="137"/>
  <c r="Z110" i="137"/>
  <c r="Y43" i="136"/>
  <c r="Y22" i="136"/>
  <c r="Y53" i="136"/>
  <c r="Y63" i="136"/>
  <c r="Y33" i="136"/>
  <c r="Y12" i="136"/>
  <c r="X110" i="137"/>
  <c r="X129" i="137"/>
  <c r="W33" i="136"/>
  <c r="W12" i="136"/>
  <c r="W63" i="136"/>
  <c r="W53" i="136"/>
  <c r="W43" i="136"/>
  <c r="W22" i="136"/>
  <c r="W131" i="137"/>
  <c r="W112" i="137"/>
  <c r="V35" i="136"/>
  <c r="V14" i="136"/>
  <c r="V65" i="136"/>
  <c r="V45" i="136"/>
  <c r="V24" i="136"/>
  <c r="V55" i="136"/>
  <c r="Y112" i="137"/>
  <c r="Y131" i="137"/>
  <c r="X65" i="136"/>
  <c r="X45" i="136"/>
  <c r="X24" i="136"/>
  <c r="X55" i="136"/>
  <c r="X35" i="136"/>
  <c r="X14" i="136"/>
  <c r="AA132" i="137"/>
  <c r="AA113" i="137"/>
  <c r="Z36" i="136"/>
  <c r="Z15" i="136"/>
  <c r="Z66" i="136"/>
  <c r="Z46" i="136"/>
  <c r="Z25" i="136"/>
  <c r="Z56" i="136"/>
  <c r="Z130" i="137"/>
  <c r="Z111" i="137"/>
  <c r="Y34" i="136"/>
  <c r="Y54" i="136"/>
  <c r="Y13" i="136"/>
  <c r="Y64" i="136"/>
  <c r="Y44" i="136"/>
  <c r="Y23" i="136"/>
  <c r="AA129" i="137"/>
  <c r="AA110" i="137"/>
  <c r="Z22" i="136"/>
  <c r="Z53" i="136"/>
  <c r="Z33" i="136"/>
  <c r="Z12" i="136"/>
  <c r="Z43" i="136"/>
  <c r="Z63" i="136"/>
  <c r="Z131" i="137"/>
  <c r="Z112" i="137"/>
  <c r="Y65" i="136"/>
  <c r="Y45" i="136"/>
  <c r="Y24" i="136"/>
  <c r="Y55" i="136"/>
  <c r="Y35" i="136"/>
  <c r="Y14" i="136"/>
  <c r="W129" i="137"/>
  <c r="V53" i="136"/>
  <c r="V33" i="136"/>
  <c r="V12" i="136"/>
  <c r="V63" i="136"/>
  <c r="V43" i="136"/>
  <c r="V22" i="136"/>
  <c r="AD129" i="137"/>
  <c r="AD110" i="137"/>
  <c r="AC22" i="136"/>
  <c r="AC53" i="136"/>
  <c r="AC33" i="136"/>
  <c r="AC12" i="136"/>
  <c r="AC43" i="136"/>
  <c r="AC63" i="136"/>
  <c r="W109" i="137"/>
  <c r="G33" i="140"/>
  <c r="V62" i="136"/>
  <c r="V42" i="136"/>
  <c r="V21" i="136"/>
  <c r="V52" i="136"/>
  <c r="V32" i="136"/>
  <c r="V11" i="136"/>
  <c r="W130" i="137"/>
  <c r="W111" i="137"/>
  <c r="V64" i="136"/>
  <c r="V44" i="136"/>
  <c r="V23" i="136"/>
  <c r="V54" i="136"/>
  <c r="V34" i="136"/>
  <c r="V13" i="136"/>
  <c r="U129" i="137"/>
  <c r="U110" i="137"/>
  <c r="T22" i="136"/>
  <c r="T53" i="136"/>
  <c r="T33" i="136"/>
  <c r="T12" i="136"/>
  <c r="T43" i="136"/>
  <c r="T63" i="136"/>
  <c r="T62" i="136"/>
  <c r="T42" i="136"/>
  <c r="T21" i="136"/>
  <c r="T52" i="136"/>
  <c r="E33" i="140"/>
  <c r="T32" i="136"/>
  <c r="T11" i="136"/>
  <c r="O129" i="127"/>
  <c r="AR445" i="68"/>
  <c r="O52" i="87"/>
  <c r="N67" i="127"/>
  <c r="N45" i="87"/>
  <c r="N96" i="87" s="1"/>
  <c r="M96" i="87"/>
  <c r="N43" i="87"/>
  <c r="N44" i="87" s="1"/>
  <c r="N93" i="87" s="1"/>
  <c r="M90" i="87"/>
  <c r="L39" i="87"/>
  <c r="M46" i="87"/>
  <c r="M99" i="87" s="1"/>
  <c r="A15" i="135"/>
  <c r="L24" i="105"/>
  <c r="M23" i="105"/>
  <c r="N107" i="105"/>
  <c r="M108" i="105"/>
  <c r="L80" i="105"/>
  <c r="M79" i="105"/>
  <c r="M52" i="105"/>
  <c r="N51" i="105"/>
  <c r="CC6" i="140"/>
  <c r="CN6" i="140" s="1"/>
  <c r="CY6" i="140" s="1"/>
  <c r="DJ6" i="140" s="1"/>
  <c r="BS6" i="140"/>
  <c r="F160" i="88"/>
  <c r="AJ25" i="88"/>
  <c r="AJ31" i="88" s="1"/>
  <c r="AG102" i="105"/>
  <c r="H151" i="88"/>
  <c r="AS437" i="68"/>
  <c r="AS442" i="68" s="1"/>
  <c r="AS444" i="68" s="1"/>
  <c r="Z58" i="88"/>
  <c r="Z64" i="88" s="1"/>
  <c r="R74" i="105"/>
  <c r="S44" i="105"/>
  <c r="V429" i="68"/>
  <c r="BF429" i="68" s="1"/>
  <c r="AF429" i="68"/>
  <c r="BP429" i="68" s="1"/>
  <c r="M429" i="68"/>
  <c r="AV429" i="68"/>
  <c r="P73" i="105"/>
  <c r="J45" i="105"/>
  <c r="AB151" i="88"/>
  <c r="BM437" i="68"/>
  <c r="BM442" i="68" s="1"/>
  <c r="BM444" i="68" s="1"/>
  <c r="I16" i="105"/>
  <c r="K88" i="87"/>
  <c r="J72" i="105"/>
  <c r="J148" i="88"/>
  <c r="K94" i="87"/>
  <c r="V18" i="105"/>
  <c r="N58" i="88"/>
  <c r="N64" i="88" s="1"/>
  <c r="AD148" i="88"/>
  <c r="L100" i="105"/>
  <c r="BG387" i="68"/>
  <c r="K61" i="87"/>
  <c r="X25" i="88"/>
  <c r="X31" i="88" s="1"/>
  <c r="W46" i="105"/>
  <c r="BQ387" i="68"/>
  <c r="J101" i="105"/>
  <c r="AX83" i="68"/>
  <c r="AX89" i="68" s="1"/>
  <c r="AX91" i="68" s="1"/>
  <c r="M24" i="88"/>
  <c r="BP387" i="68"/>
  <c r="AW387" i="68"/>
  <c r="BJ83" i="68"/>
  <c r="BJ89" i="68" s="1"/>
  <c r="BJ91" i="68" s="1"/>
  <c r="Y24" i="88"/>
  <c r="L25" i="88"/>
  <c r="L31" i="88" s="1"/>
  <c r="J91" i="87"/>
  <c r="BF387" i="68"/>
  <c r="AA75" i="68"/>
  <c r="BK75" i="68" s="1"/>
  <c r="AY75" i="68"/>
  <c r="J97" i="87"/>
  <c r="R151" i="88"/>
  <c r="BC437" i="68"/>
  <c r="BC442" i="68" s="1"/>
  <c r="BC444" i="68" s="1"/>
  <c r="G152" i="88"/>
  <c r="G158" i="88" s="1"/>
  <c r="K100" i="87"/>
  <c r="AV387" i="68"/>
  <c r="AK24" i="88"/>
  <c r="AK25" i="88" s="1"/>
  <c r="AK31" i="88" s="1"/>
  <c r="BV83" i="68"/>
  <c r="BV89" i="68" s="1"/>
  <c r="BV91" i="68" s="1"/>
  <c r="K17" i="105"/>
  <c r="Q152" i="88"/>
  <c r="Q158" i="88" s="1"/>
  <c r="T429" i="68"/>
  <c r="BD429" i="68" s="1"/>
  <c r="AD429" i="68"/>
  <c r="BN429" i="68" s="1"/>
  <c r="AT429" i="68"/>
  <c r="K429" i="68"/>
  <c r="AA152" i="88"/>
  <c r="AA158" i="88" s="1"/>
  <c r="K79" i="87"/>
  <c r="T148" i="88"/>
  <c r="N123" i="88" l="1"/>
  <c r="AG347" i="68"/>
  <c r="BQ347" i="68" s="1"/>
  <c r="AF123" i="88" s="1"/>
  <c r="AF124" i="88" s="1"/>
  <c r="AF130" i="88" s="1"/>
  <c r="AY347" i="68"/>
  <c r="P347" i="68"/>
  <c r="AY355" i="68"/>
  <c r="AY360" i="68" s="1"/>
  <c r="AY362" i="68" s="1"/>
  <c r="BQ355" i="68"/>
  <c r="BQ360" i="68" s="1"/>
  <c r="BQ362" i="68" s="1"/>
  <c r="C26" i="105"/>
  <c r="C28" i="105" s="1"/>
  <c r="C21" i="105"/>
  <c r="D225" i="127"/>
  <c r="D227" i="127" s="1"/>
  <c r="V90" i="88"/>
  <c r="V91" i="88" s="1"/>
  <c r="V97" i="88" s="1"/>
  <c r="BG266" i="68"/>
  <c r="BG272" i="68" s="1"/>
  <c r="BG274" i="68" s="1"/>
  <c r="G90" i="88"/>
  <c r="G91" i="88" s="1"/>
  <c r="G97" i="88" s="1"/>
  <c r="AR266" i="68"/>
  <c r="AR272" i="68" s="1"/>
  <c r="AR274" i="68" s="1"/>
  <c r="K123" i="88"/>
  <c r="K124" i="88" s="1"/>
  <c r="K130" i="88" s="1"/>
  <c r="AV355" i="68"/>
  <c r="AV360" i="68" s="1"/>
  <c r="AV362" i="68" s="1"/>
  <c r="AE123" i="88"/>
  <c r="AE124" i="88" s="1"/>
  <c r="AE130" i="88" s="1"/>
  <c r="BP355" i="68"/>
  <c r="BP360" i="68" s="1"/>
  <c r="BP362" i="68" s="1"/>
  <c r="AB90" i="88"/>
  <c r="AB91" i="88" s="1"/>
  <c r="AB97" i="88" s="1"/>
  <c r="BM266" i="68"/>
  <c r="BM272" i="68" s="1"/>
  <c r="BM274" i="68" s="1"/>
  <c r="BI266" i="68"/>
  <c r="BI272" i="68" s="1"/>
  <c r="BI274" i="68" s="1"/>
  <c r="X90" i="88"/>
  <c r="X91" i="88" s="1"/>
  <c r="X97" i="88" s="1"/>
  <c r="L123" i="88"/>
  <c r="L124" i="88" s="1"/>
  <c r="L130" i="88" s="1"/>
  <c r="AW355" i="68"/>
  <c r="AW360" i="68" s="1"/>
  <c r="AW362" i="68" s="1"/>
  <c r="BO355" i="68"/>
  <c r="BO360" i="68" s="1"/>
  <c r="BO362" i="68" s="1"/>
  <c r="AD123" i="88"/>
  <c r="AD124" i="88" s="1"/>
  <c r="AD130" i="88" s="1"/>
  <c r="AN355" i="68"/>
  <c r="AN360" i="68" s="1"/>
  <c r="AN362" i="68" s="1"/>
  <c r="AN363" i="68" s="1"/>
  <c r="C116" i="88"/>
  <c r="E75" i="105"/>
  <c r="D76" i="105"/>
  <c r="D82" i="105" s="1"/>
  <c r="D84" i="105" s="1"/>
  <c r="W90" i="88"/>
  <c r="W91" i="88" s="1"/>
  <c r="W97" i="88" s="1"/>
  <c r="BH266" i="68"/>
  <c r="BH272" i="68" s="1"/>
  <c r="BH274" i="68" s="1"/>
  <c r="AU355" i="68"/>
  <c r="AU360" i="68" s="1"/>
  <c r="AU362" i="68" s="1"/>
  <c r="J123" i="88"/>
  <c r="J124" i="88" s="1"/>
  <c r="J130" i="88" s="1"/>
  <c r="AT355" i="68"/>
  <c r="AT360" i="68" s="1"/>
  <c r="AT362" i="68" s="1"/>
  <c r="I123" i="88"/>
  <c r="I124" i="88" s="1"/>
  <c r="I130" i="88" s="1"/>
  <c r="BH355" i="68"/>
  <c r="BH360" i="68" s="1"/>
  <c r="BH362" i="68" s="1"/>
  <c r="W123" i="88"/>
  <c r="W124" i="88" s="1"/>
  <c r="W130" i="88" s="1"/>
  <c r="AO266" i="68"/>
  <c r="AO272" i="68" s="1"/>
  <c r="AO274" i="68" s="1"/>
  <c r="D83" i="88"/>
  <c r="BK266" i="68"/>
  <c r="BK272" i="68" s="1"/>
  <c r="BK274" i="68" s="1"/>
  <c r="Z90" i="88"/>
  <c r="Z91" i="88" s="1"/>
  <c r="Z97" i="88" s="1"/>
  <c r="I90" i="88"/>
  <c r="I91" i="88" s="1"/>
  <c r="I97" i="88" s="1"/>
  <c r="AT266" i="68"/>
  <c r="AT272" i="68" s="1"/>
  <c r="AT274" i="68" s="1"/>
  <c r="AR355" i="68"/>
  <c r="AR360" i="68" s="1"/>
  <c r="AR362" i="68" s="1"/>
  <c r="G123" i="88"/>
  <c r="G124" i="88" s="1"/>
  <c r="G130" i="88" s="1"/>
  <c r="X123" i="88"/>
  <c r="X124" i="88" s="1"/>
  <c r="X130" i="88" s="1"/>
  <c r="BI355" i="68"/>
  <c r="BI360" i="68" s="1"/>
  <c r="BI362" i="68" s="1"/>
  <c r="U123" i="88"/>
  <c r="U124" i="88" s="1"/>
  <c r="U130" i="88" s="1"/>
  <c r="BF355" i="68"/>
  <c r="BF360" i="68" s="1"/>
  <c r="BF362" i="68" s="1"/>
  <c r="K90" i="88"/>
  <c r="K91" i="88" s="1"/>
  <c r="K97" i="88" s="1"/>
  <c r="J90" i="88"/>
  <c r="J91" i="88" s="1"/>
  <c r="J97" i="88" s="1"/>
  <c r="AU266" i="68"/>
  <c r="AU272" i="68" s="1"/>
  <c r="AU274" i="68" s="1"/>
  <c r="AS266" i="68"/>
  <c r="AS272" i="68" s="1"/>
  <c r="AS274" i="68" s="1"/>
  <c r="H90" i="88"/>
  <c r="H91" i="88" s="1"/>
  <c r="H97" i="88" s="1"/>
  <c r="AC123" i="88"/>
  <c r="AC124" i="88" s="1"/>
  <c r="AC130" i="88" s="1"/>
  <c r="BN355" i="68"/>
  <c r="BN360" i="68" s="1"/>
  <c r="BN362" i="68" s="1"/>
  <c r="AP355" i="68"/>
  <c r="AP360" i="68" s="1"/>
  <c r="AP362" i="68" s="1"/>
  <c r="E123" i="88"/>
  <c r="E124" i="88" s="1"/>
  <c r="E130" i="88" s="1"/>
  <c r="H123" i="88"/>
  <c r="H124" i="88" s="1"/>
  <c r="H130" i="88" s="1"/>
  <c r="AS355" i="68"/>
  <c r="AS360" i="68" s="1"/>
  <c r="AS362" i="68" s="1"/>
  <c r="D104" i="105"/>
  <c r="D110" i="105" s="1"/>
  <c r="D112" i="105" s="1"/>
  <c r="E103" i="105"/>
  <c r="E47" i="105"/>
  <c r="D48" i="105"/>
  <c r="D54" i="105" s="1"/>
  <c r="D56" i="105" s="1"/>
  <c r="BL266" i="68"/>
  <c r="BL272" i="68" s="1"/>
  <c r="BL274" i="68" s="1"/>
  <c r="AA90" i="88"/>
  <c r="AA91" i="88" s="1"/>
  <c r="AA97" i="88" s="1"/>
  <c r="Y90" i="88"/>
  <c r="Y91" i="88" s="1"/>
  <c r="Y97" i="88" s="1"/>
  <c r="BJ266" i="68"/>
  <c r="BJ272" i="68" s="1"/>
  <c r="BJ274" i="68" s="1"/>
  <c r="AP266" i="68"/>
  <c r="AP272" i="68" s="1"/>
  <c r="AP274" i="68" s="1"/>
  <c r="E90" i="88"/>
  <c r="U90" i="88"/>
  <c r="U91" i="88" s="1"/>
  <c r="U97" i="88" s="1"/>
  <c r="BF266" i="68"/>
  <c r="BF272" i="68" s="1"/>
  <c r="BF274" i="68" s="1"/>
  <c r="AA123" i="88"/>
  <c r="AA124" i="88" s="1"/>
  <c r="AA130" i="88" s="1"/>
  <c r="BL355" i="68"/>
  <c r="BL360" i="68" s="1"/>
  <c r="BL362" i="68" s="1"/>
  <c r="AQ355" i="68"/>
  <c r="AQ360" i="68" s="1"/>
  <c r="AQ362" i="68" s="1"/>
  <c r="F123" i="88"/>
  <c r="F124" i="88" s="1"/>
  <c r="F130" i="88" s="1"/>
  <c r="F90" i="88"/>
  <c r="F91" i="88" s="1"/>
  <c r="F97" i="88" s="1"/>
  <c r="AQ266" i="68"/>
  <c r="AQ272" i="68" s="1"/>
  <c r="AQ274" i="68" s="1"/>
  <c r="C83" i="88"/>
  <c r="AN266" i="68"/>
  <c r="AN272" i="68" s="1"/>
  <c r="AN274" i="68" s="1"/>
  <c r="AN275" i="68" s="1"/>
  <c r="BJ355" i="68"/>
  <c r="BJ360" i="68" s="1"/>
  <c r="BJ362" i="68" s="1"/>
  <c r="Y123" i="88"/>
  <c r="Y124" i="88" s="1"/>
  <c r="Y130" i="88" s="1"/>
  <c r="BM355" i="68"/>
  <c r="BM360" i="68" s="1"/>
  <c r="BM362" i="68" s="1"/>
  <c r="AB123" i="88"/>
  <c r="AB124" i="88" s="1"/>
  <c r="AB130" i="88" s="1"/>
  <c r="Z123" i="88"/>
  <c r="Z124" i="88" s="1"/>
  <c r="Z130" i="88" s="1"/>
  <c r="BK355" i="68"/>
  <c r="BK360" i="68" s="1"/>
  <c r="BK362" i="68" s="1"/>
  <c r="D20" i="105"/>
  <c r="D26" i="105" s="1"/>
  <c r="AO355" i="68"/>
  <c r="AO360" i="68" s="1"/>
  <c r="AO362" i="68" s="1"/>
  <c r="AO363" i="68" s="1"/>
  <c r="D123" i="88"/>
  <c r="D124" i="88" s="1"/>
  <c r="D130" i="88" s="1"/>
  <c r="V123" i="88"/>
  <c r="V124" i="88" s="1"/>
  <c r="V130" i="88" s="1"/>
  <c r="BG355" i="68"/>
  <c r="BG360" i="68" s="1"/>
  <c r="BG362" i="68" s="1"/>
  <c r="M123" i="88"/>
  <c r="M124" i="88" s="1"/>
  <c r="M130" i="88" s="1"/>
  <c r="AX355" i="68"/>
  <c r="AX360" i="68" s="1"/>
  <c r="AX362" i="68" s="1"/>
  <c r="D33" i="88"/>
  <c r="E33" i="88" s="1"/>
  <c r="F33" i="88" s="1"/>
  <c r="G33" i="88" s="1"/>
  <c r="H33" i="88" s="1"/>
  <c r="I33" i="88" s="1"/>
  <c r="J33" i="88" s="1"/>
  <c r="K33" i="88" s="1"/>
  <c r="L33" i="88" s="1"/>
  <c r="AC90" i="88"/>
  <c r="AC91" i="88" s="1"/>
  <c r="AC97" i="88" s="1"/>
  <c r="N64" i="127"/>
  <c r="O67" i="127"/>
  <c r="O62" i="127"/>
  <c r="O61" i="127"/>
  <c r="O60" i="127"/>
  <c r="O63" i="127"/>
  <c r="AX92" i="68"/>
  <c r="BO266" i="68"/>
  <c r="BO272" i="68" s="1"/>
  <c r="BO274" i="68" s="1"/>
  <c r="AD90" i="88"/>
  <c r="AD91" i="88" s="1"/>
  <c r="AD97" i="88" s="1"/>
  <c r="L90" i="88"/>
  <c r="L91" i="88" s="1"/>
  <c r="L97" i="88" s="1"/>
  <c r="AW266" i="68"/>
  <c r="AW272" i="68" s="1"/>
  <c r="AW274" i="68" s="1"/>
  <c r="AX257" i="68"/>
  <c r="O257" i="68"/>
  <c r="AF257" i="68"/>
  <c r="BP257" i="68" s="1"/>
  <c r="B130" i="135"/>
  <c r="T57" i="136"/>
  <c r="X26" i="136"/>
  <c r="W57" i="136"/>
  <c r="X86" i="137"/>
  <c r="AD16" i="136"/>
  <c r="AB37" i="136"/>
  <c r="AB86" i="137"/>
  <c r="AC86" i="137"/>
  <c r="V47" i="136"/>
  <c r="U95" i="137"/>
  <c r="W86" i="137"/>
  <c r="W67" i="136"/>
  <c r="V26" i="136"/>
  <c r="Z47" i="136"/>
  <c r="AB57" i="136"/>
  <c r="T16" i="136"/>
  <c r="V37" i="136"/>
  <c r="T37" i="136"/>
  <c r="V16" i="136"/>
  <c r="X57" i="136"/>
  <c r="AD57" i="136"/>
  <c r="AB16" i="136"/>
  <c r="AA67" i="136"/>
  <c r="Y95" i="137"/>
  <c r="X109" i="137"/>
  <c r="X114" i="137" s="1"/>
  <c r="X105" i="137"/>
  <c r="AE13" i="136"/>
  <c r="AD109" i="137"/>
  <c r="AD114" i="137" s="1"/>
  <c r="AD105" i="137"/>
  <c r="AD37" i="136"/>
  <c r="AA57" i="136"/>
  <c r="AB109" i="137"/>
  <c r="AB114" i="137" s="1"/>
  <c r="AB105" i="137"/>
  <c r="S26" i="136"/>
  <c r="AE21" i="136"/>
  <c r="AE35" i="136"/>
  <c r="Y67" i="136"/>
  <c r="Z105" i="137"/>
  <c r="Z109" i="137"/>
  <c r="Z114" i="137" s="1"/>
  <c r="AE15" i="136"/>
  <c r="Z67" i="136"/>
  <c r="AA95" i="137"/>
  <c r="AE22" i="136"/>
  <c r="B74" i="136" s="1"/>
  <c r="V109" i="137"/>
  <c r="V105" i="137"/>
  <c r="AC67" i="136"/>
  <c r="AE32" i="136"/>
  <c r="S37" i="136"/>
  <c r="AE14" i="136"/>
  <c r="T47" i="136"/>
  <c r="AF82" i="137"/>
  <c r="X47" i="136"/>
  <c r="W37" i="136"/>
  <c r="X128" i="137"/>
  <c r="X133" i="137" s="1"/>
  <c r="X124" i="137"/>
  <c r="AF92" i="137"/>
  <c r="AC37" i="136"/>
  <c r="AE95" i="137"/>
  <c r="AB26" i="136"/>
  <c r="AB124" i="137"/>
  <c r="AB128" i="137"/>
  <c r="AB133" i="137" s="1"/>
  <c r="AE42" i="136"/>
  <c r="S47" i="136"/>
  <c r="AE55" i="136"/>
  <c r="E76" i="136" s="1"/>
  <c r="Y16" i="136"/>
  <c r="Z128" i="137"/>
  <c r="Z133" i="137" s="1"/>
  <c r="Z124" i="137"/>
  <c r="V95" i="137"/>
  <c r="AE25" i="136"/>
  <c r="B77" i="136" s="1"/>
  <c r="T132" i="137"/>
  <c r="AF132" i="137" s="1"/>
  <c r="AF123" i="137"/>
  <c r="Z16" i="136"/>
  <c r="AE43" i="136"/>
  <c r="C74" i="136" s="1"/>
  <c r="U67" i="136"/>
  <c r="Z95" i="137"/>
  <c r="AA128" i="137"/>
  <c r="AA133" i="137" s="1"/>
  <c r="AA124" i="137"/>
  <c r="T26" i="136"/>
  <c r="V67" i="136"/>
  <c r="T67" i="136"/>
  <c r="W95" i="137"/>
  <c r="AF84" i="137"/>
  <c r="X37" i="136"/>
  <c r="AF101" i="137"/>
  <c r="V110" i="137"/>
  <c r="W26" i="136"/>
  <c r="AE54" i="136"/>
  <c r="E75" i="136" s="1"/>
  <c r="AE86" i="137"/>
  <c r="AB67" i="136"/>
  <c r="AA16" i="136"/>
  <c r="AB95" i="137"/>
  <c r="S67" i="136"/>
  <c r="AE62" i="136"/>
  <c r="T112" i="137"/>
  <c r="AF112" i="137" s="1"/>
  <c r="AF103" i="137"/>
  <c r="Y37" i="136"/>
  <c r="Z86" i="137"/>
  <c r="AF104" i="137"/>
  <c r="W113" i="137"/>
  <c r="AF113" i="137" s="1"/>
  <c r="Z37" i="136"/>
  <c r="U16" i="136"/>
  <c r="W105" i="137"/>
  <c r="W110" i="137"/>
  <c r="AE64" i="136"/>
  <c r="D75" i="136" s="1"/>
  <c r="X67" i="136"/>
  <c r="AE34" i="136"/>
  <c r="T111" i="137"/>
  <c r="AF111" i="137" s="1"/>
  <c r="AF102" i="137"/>
  <c r="AC57" i="136"/>
  <c r="AD26" i="136"/>
  <c r="AB47" i="136"/>
  <c r="AA37" i="136"/>
  <c r="AE52" i="136"/>
  <c r="S57" i="136"/>
  <c r="AF90" i="137"/>
  <c r="T95" i="137"/>
  <c r="AE65" i="136"/>
  <c r="D76" i="136" s="1"/>
  <c r="T131" i="137"/>
  <c r="AF131" i="137" s="1"/>
  <c r="AF122" i="137"/>
  <c r="Y47" i="136"/>
  <c r="AE46" i="136"/>
  <c r="C77" i="136" s="1"/>
  <c r="AE63" i="136"/>
  <c r="D74" i="136" s="1"/>
  <c r="U37" i="136"/>
  <c r="AD86" i="137"/>
  <c r="AC124" i="137"/>
  <c r="AC128" i="137"/>
  <c r="AC133" i="137" s="1"/>
  <c r="U86" i="137"/>
  <c r="X16" i="136"/>
  <c r="W47" i="136"/>
  <c r="AE23" i="136"/>
  <c r="B75" i="136" s="1"/>
  <c r="AF121" i="137"/>
  <c r="T130" i="137"/>
  <c r="AC16" i="136"/>
  <c r="AD47" i="136"/>
  <c r="AE128" i="137"/>
  <c r="AE133" i="137" s="1"/>
  <c r="AE124" i="137"/>
  <c r="AC95" i="137"/>
  <c r="AA26" i="136"/>
  <c r="T86" i="137"/>
  <c r="AF81" i="137"/>
  <c r="Y57" i="136"/>
  <c r="AE66" i="136"/>
  <c r="D77" i="136" s="1"/>
  <c r="Q9" i="137"/>
  <c r="Q16" i="137"/>
  <c r="Q32" i="137"/>
  <c r="Q48" i="137"/>
  <c r="Q64" i="137"/>
  <c r="Q17" i="137"/>
  <c r="Q33" i="137"/>
  <c r="Q49" i="137"/>
  <c r="Q65" i="137"/>
  <c r="Q19" i="137"/>
  <c r="Q35" i="137"/>
  <c r="Q51" i="137"/>
  <c r="Q67" i="137"/>
  <c r="Q23" i="137"/>
  <c r="Q39" i="137"/>
  <c r="Q55" i="137"/>
  <c r="Q24" i="137"/>
  <c r="Q40" i="137"/>
  <c r="Q56" i="137"/>
  <c r="Q25" i="137"/>
  <c r="Q41" i="137"/>
  <c r="Q57" i="137"/>
  <c r="Q27" i="137"/>
  <c r="Q43" i="137"/>
  <c r="Q59" i="137"/>
  <c r="Q15" i="137"/>
  <c r="Q31" i="137"/>
  <c r="Q47" i="137"/>
  <c r="Q63" i="137"/>
  <c r="Q62" i="137"/>
  <c r="Q29" i="137"/>
  <c r="Q52" i="137"/>
  <c r="Q66" i="137"/>
  <c r="Q54" i="137"/>
  <c r="Q21" i="137"/>
  <c r="Q44" i="137"/>
  <c r="Q58" i="137"/>
  <c r="Q46" i="137"/>
  <c r="Q13" i="137"/>
  <c r="Q36" i="137"/>
  <c r="Q50" i="137"/>
  <c r="Q38" i="137"/>
  <c r="Q28" i="137"/>
  <c r="Q42" i="137"/>
  <c r="Q30" i="137"/>
  <c r="Q61" i="137"/>
  <c r="Q20" i="137"/>
  <c r="Q34" i="137"/>
  <c r="Q22" i="137"/>
  <c r="Q53" i="137"/>
  <c r="Q12" i="137"/>
  <c r="Q26" i="137"/>
  <c r="Q14" i="137"/>
  <c r="Q45" i="137"/>
  <c r="Q68" i="137"/>
  <c r="Q18" i="137"/>
  <c r="Q37" i="137"/>
  <c r="Q60" i="137"/>
  <c r="Q11" i="137"/>
  <c r="Q10" i="137"/>
  <c r="Z57" i="136"/>
  <c r="AE12" i="136"/>
  <c r="T124" i="137"/>
  <c r="T129" i="137"/>
  <c r="AF129" i="137" s="1"/>
  <c r="AF120" i="137"/>
  <c r="U57" i="136"/>
  <c r="Y128" i="137"/>
  <c r="Y133" i="137" s="1"/>
  <c r="Y124" i="137"/>
  <c r="AE36" i="136"/>
  <c r="U105" i="137"/>
  <c r="U109" i="137"/>
  <c r="U114" i="137" s="1"/>
  <c r="V57" i="136"/>
  <c r="W128" i="137"/>
  <c r="W133" i="137" s="1"/>
  <c r="W124" i="137"/>
  <c r="W16" i="136"/>
  <c r="AC26" i="136"/>
  <c r="AD67" i="136"/>
  <c r="AA47" i="136"/>
  <c r="S16" i="136"/>
  <c r="AE11" i="136"/>
  <c r="T109" i="137"/>
  <c r="AF100" i="137"/>
  <c r="T105" i="137"/>
  <c r="AE45" i="136"/>
  <c r="C76" i="136" s="1"/>
  <c r="AF93" i="137"/>
  <c r="V86" i="137"/>
  <c r="AF83" i="137"/>
  <c r="AE56" i="136"/>
  <c r="E77" i="136" s="1"/>
  <c r="Y86" i="137"/>
  <c r="AA105" i="137"/>
  <c r="AA109" i="137"/>
  <c r="AA114" i="137" s="1"/>
  <c r="AE33" i="136"/>
  <c r="AF91" i="137"/>
  <c r="U26" i="136"/>
  <c r="AD124" i="137"/>
  <c r="AD130" i="137"/>
  <c r="AD133" i="137" s="1"/>
  <c r="U124" i="137"/>
  <c r="U128" i="137"/>
  <c r="U133" i="137" s="1"/>
  <c r="Y105" i="137"/>
  <c r="Y109" i="137"/>
  <c r="Y114" i="137" s="1"/>
  <c r="X95" i="137"/>
  <c r="AE44" i="136"/>
  <c r="C75" i="136" s="1"/>
  <c r="AF85" i="137"/>
  <c r="AC47" i="136"/>
  <c r="AD95" i="137"/>
  <c r="AC105" i="137"/>
  <c r="AC109" i="137"/>
  <c r="AC114" i="137" s="1"/>
  <c r="P33" i="140"/>
  <c r="T128" i="137"/>
  <c r="AF119" i="137"/>
  <c r="AE24" i="136"/>
  <c r="B76" i="136" s="1"/>
  <c r="V124" i="137"/>
  <c r="V130" i="137"/>
  <c r="V133" i="137" s="1"/>
  <c r="Y26" i="136"/>
  <c r="AE105" i="137"/>
  <c r="AE110" i="137"/>
  <c r="AE114" i="137" s="1"/>
  <c r="AF94" i="137"/>
  <c r="Z26" i="136"/>
  <c r="AA86" i="137"/>
  <c r="AE53" i="136"/>
  <c r="E74" i="136" s="1"/>
  <c r="U47" i="136"/>
  <c r="AS445" i="68"/>
  <c r="P52" i="87"/>
  <c r="O43" i="87"/>
  <c r="N90" i="87"/>
  <c r="G160" i="88"/>
  <c r="M39" i="87"/>
  <c r="N46" i="87"/>
  <c r="N99" i="87" s="1"/>
  <c r="O45" i="87"/>
  <c r="O96" i="87" s="1"/>
  <c r="A16" i="135"/>
  <c r="O51" i="105"/>
  <c r="N52" i="105"/>
  <c r="N79" i="105"/>
  <c r="M80" i="105"/>
  <c r="O107" i="105"/>
  <c r="N108" i="105"/>
  <c r="N23" i="105"/>
  <c r="M24" i="105"/>
  <c r="BT6" i="140"/>
  <c r="CE6" i="140" s="1"/>
  <c r="CP6" i="140" s="1"/>
  <c r="DA6" i="140" s="1"/>
  <c r="DL6" i="140" s="1"/>
  <c r="CD6" i="140"/>
  <c r="CO6" i="140" s="1"/>
  <c r="CZ6" i="140" s="1"/>
  <c r="DK6" i="140" s="1"/>
  <c r="N66" i="88"/>
  <c r="O66" i="88" s="1"/>
  <c r="P66" i="88" s="1"/>
  <c r="Q66" i="88" s="1"/>
  <c r="R66" i="88" s="1"/>
  <c r="S66" i="88" s="1"/>
  <c r="T66" i="88" s="1"/>
  <c r="U66" i="88" s="1"/>
  <c r="V66" i="88" s="1"/>
  <c r="W66" i="88" s="1"/>
  <c r="X66" i="88" s="1"/>
  <c r="Y66" i="88" s="1"/>
  <c r="Z66" i="88" s="1"/>
  <c r="AA66" i="88" s="1"/>
  <c r="AB66" i="88" s="1"/>
  <c r="AC66" i="88" s="1"/>
  <c r="AD66" i="88" s="1"/>
  <c r="AE66" i="88" s="1"/>
  <c r="AF66" i="88" s="1"/>
  <c r="AG66" i="88" s="1"/>
  <c r="AH66" i="88" s="1"/>
  <c r="AI66" i="88" s="1"/>
  <c r="AJ66" i="88" s="1"/>
  <c r="AK66" i="88" s="1"/>
  <c r="AE148" i="88"/>
  <c r="M25" i="88"/>
  <c r="M31" i="88" s="1"/>
  <c r="L61" i="87"/>
  <c r="M100" i="105"/>
  <c r="L94" i="87"/>
  <c r="K45" i="105"/>
  <c r="AH102" i="105"/>
  <c r="K148" i="88"/>
  <c r="U148" i="88"/>
  <c r="K72" i="105"/>
  <c r="J16" i="105"/>
  <c r="K151" i="88"/>
  <c r="AV437" i="68"/>
  <c r="AV442" i="68" s="1"/>
  <c r="AV444" i="68" s="1"/>
  <c r="S74" i="105"/>
  <c r="L79" i="87"/>
  <c r="K91" i="87"/>
  <c r="K101" i="105"/>
  <c r="AG429" i="68"/>
  <c r="BQ429" i="68" s="1"/>
  <c r="W429" i="68"/>
  <c r="BG429" i="68" s="1"/>
  <c r="AW429" i="68"/>
  <c r="AY83" i="68"/>
  <c r="AY89" i="68" s="1"/>
  <c r="AY91" i="68" s="1"/>
  <c r="N24" i="88"/>
  <c r="W18" i="105"/>
  <c r="Q73" i="105"/>
  <c r="AE151" i="88"/>
  <c r="BP437" i="68"/>
  <c r="BP442" i="68" s="1"/>
  <c r="BP444" i="68" s="1"/>
  <c r="H152" i="88"/>
  <c r="H158" i="88" s="1"/>
  <c r="BF437" i="68"/>
  <c r="BF442" i="68" s="1"/>
  <c r="BF444" i="68" s="1"/>
  <c r="U151" i="88"/>
  <c r="N124" i="88"/>
  <c r="N130" i="88" s="1"/>
  <c r="AT437" i="68"/>
  <c r="AT442" i="68" s="1"/>
  <c r="AT444" i="68" s="1"/>
  <c r="I151" i="88"/>
  <c r="L100" i="87"/>
  <c r="X46" i="105"/>
  <c r="L88" i="87"/>
  <c r="L17" i="105"/>
  <c r="K97" i="87"/>
  <c r="R152" i="88"/>
  <c r="R158" i="88" s="1"/>
  <c r="L148" i="88"/>
  <c r="AB152" i="88"/>
  <c r="AB158" i="88" s="1"/>
  <c r="T44" i="105"/>
  <c r="V148" i="88"/>
  <c r="U429" i="68"/>
  <c r="BE429" i="68" s="1"/>
  <c r="AE429" i="68"/>
  <c r="BO429" i="68" s="1"/>
  <c r="AU429" i="68"/>
  <c r="Z24" i="88"/>
  <c r="BK83" i="68"/>
  <c r="BK89" i="68" s="1"/>
  <c r="BK91" i="68" s="1"/>
  <c r="Y25" i="88"/>
  <c r="Y31" i="88" s="1"/>
  <c r="AF148" i="88"/>
  <c r="BN437" i="68"/>
  <c r="BN442" i="68" s="1"/>
  <c r="BN444" i="68" s="1"/>
  <c r="AC151" i="88"/>
  <c r="S151" i="88"/>
  <c r="BD437" i="68"/>
  <c r="BD442" i="68" s="1"/>
  <c r="BD444" i="68" s="1"/>
  <c r="D28" i="105" l="1"/>
  <c r="Q347" i="68"/>
  <c r="AZ347" i="68"/>
  <c r="AH347" i="68"/>
  <c r="BR347" i="68" s="1"/>
  <c r="AP363" i="68"/>
  <c r="AQ363" i="68" s="1"/>
  <c r="AR363" i="68" s="1"/>
  <c r="AS363" i="68" s="1"/>
  <c r="AT363" i="68" s="1"/>
  <c r="AU363" i="68" s="1"/>
  <c r="AV363" i="68" s="1"/>
  <c r="AW363" i="68" s="1"/>
  <c r="AX363" i="68" s="1"/>
  <c r="AY363" i="68" s="1"/>
  <c r="O44" i="87"/>
  <c r="P43" i="87"/>
  <c r="E20" i="105"/>
  <c r="E26" i="105" s="1"/>
  <c r="F19" i="105"/>
  <c r="D118" i="127"/>
  <c r="C84" i="88"/>
  <c r="C97" i="88" s="1"/>
  <c r="C99" i="88" s="1"/>
  <c r="F47" i="105"/>
  <c r="E48" i="105"/>
  <c r="E54" i="105" s="1"/>
  <c r="E56" i="105" s="1"/>
  <c r="P118" i="127"/>
  <c r="M118" i="127"/>
  <c r="AB118" i="127"/>
  <c r="AD118" i="127"/>
  <c r="V118" i="127"/>
  <c r="L118" i="127"/>
  <c r="Z118" i="127"/>
  <c r="K118" i="127"/>
  <c r="U118" i="127"/>
  <c r="D84" i="88"/>
  <c r="D97" i="88" s="1"/>
  <c r="W118" i="127"/>
  <c r="AF118" i="127"/>
  <c r="Y118" i="127"/>
  <c r="AJ118" i="127"/>
  <c r="T118" i="127"/>
  <c r="X118" i="127"/>
  <c r="O118" i="127"/>
  <c r="AC118" i="127"/>
  <c r="AG118" i="127"/>
  <c r="N118" i="127"/>
  <c r="Q118" i="127"/>
  <c r="AI118" i="127"/>
  <c r="R118" i="127"/>
  <c r="AK118" i="127"/>
  <c r="AE118" i="127"/>
  <c r="AA118" i="127"/>
  <c r="AH118" i="127"/>
  <c r="S118" i="127"/>
  <c r="F125" i="127"/>
  <c r="F126" i="127" s="1"/>
  <c r="E91" i="88"/>
  <c r="E97" i="88" s="1"/>
  <c r="F103" i="105"/>
  <c r="E104" i="105"/>
  <c r="E110" i="105" s="1"/>
  <c r="E112" i="105" s="1"/>
  <c r="AO275" i="68"/>
  <c r="AP275" i="68" s="1"/>
  <c r="AQ275" i="68" s="1"/>
  <c r="AR275" i="68" s="1"/>
  <c r="AS275" i="68" s="1"/>
  <c r="AT275" i="68" s="1"/>
  <c r="AU275" i="68" s="1"/>
  <c r="AV275" i="68" s="1"/>
  <c r="AW275" i="68" s="1"/>
  <c r="F75" i="105"/>
  <c r="E76" i="105"/>
  <c r="E82" i="105" s="1"/>
  <c r="E84" i="105" s="1"/>
  <c r="J149" i="127"/>
  <c r="J150" i="127" s="1"/>
  <c r="AE149" i="127"/>
  <c r="AE150" i="127" s="1"/>
  <c r="T149" i="127"/>
  <c r="T150" i="127" s="1"/>
  <c r="P149" i="127"/>
  <c r="P150" i="127" s="1"/>
  <c r="U149" i="127"/>
  <c r="U150" i="127" s="1"/>
  <c r="R149" i="127"/>
  <c r="R150" i="127" s="1"/>
  <c r="X149" i="127"/>
  <c r="X150" i="127" s="1"/>
  <c r="AI149" i="127"/>
  <c r="AI150" i="127" s="1"/>
  <c r="S149" i="127"/>
  <c r="S150" i="127" s="1"/>
  <c r="AD149" i="127"/>
  <c r="AD150" i="127" s="1"/>
  <c r="N149" i="127"/>
  <c r="N150" i="127" s="1"/>
  <c r="AB149" i="127"/>
  <c r="AB150" i="127" s="1"/>
  <c r="O149" i="127"/>
  <c r="O150" i="127" s="1"/>
  <c r="AH149" i="127"/>
  <c r="AH150" i="127" s="1"/>
  <c r="AF149" i="127"/>
  <c r="AF150" i="127" s="1"/>
  <c r="W149" i="127"/>
  <c r="W150" i="127" s="1"/>
  <c r="AK149" i="127"/>
  <c r="AK150" i="127" s="1"/>
  <c r="L149" i="127"/>
  <c r="L150" i="127" s="1"/>
  <c r="M149" i="127"/>
  <c r="M150" i="127" s="1"/>
  <c r="D149" i="127"/>
  <c r="D150" i="127" s="1"/>
  <c r="AC149" i="127"/>
  <c r="AC150" i="127" s="1"/>
  <c r="Q149" i="127"/>
  <c r="Q150" i="127" s="1"/>
  <c r="K149" i="127"/>
  <c r="K150" i="127" s="1"/>
  <c r="C117" i="88"/>
  <c r="C130" i="88" s="1"/>
  <c r="C132" i="88" s="1"/>
  <c r="D132" i="88" s="1"/>
  <c r="E132" i="88" s="1"/>
  <c r="F132" i="88" s="1"/>
  <c r="G132" i="88" s="1"/>
  <c r="H132" i="88" s="1"/>
  <c r="I132" i="88" s="1"/>
  <c r="J132" i="88" s="1"/>
  <c r="K132" i="88" s="1"/>
  <c r="L132" i="88" s="1"/>
  <c r="M132" i="88" s="1"/>
  <c r="N132" i="88" s="1"/>
  <c r="AG149" i="127"/>
  <c r="AG150" i="127" s="1"/>
  <c r="AJ149" i="127"/>
  <c r="AJ150" i="127" s="1"/>
  <c r="AA149" i="127"/>
  <c r="AA150" i="127" s="1"/>
  <c r="Y149" i="127"/>
  <c r="Y150" i="127" s="1"/>
  <c r="Z149" i="127"/>
  <c r="Z150" i="127" s="1"/>
  <c r="V149" i="127"/>
  <c r="V150" i="127" s="1"/>
  <c r="O64" i="127"/>
  <c r="AY92" i="68"/>
  <c r="AZ92" i="68" s="1"/>
  <c r="BA92" i="68" s="1"/>
  <c r="BB92" i="68" s="1"/>
  <c r="BC92" i="68" s="1"/>
  <c r="BD92" i="68" s="1"/>
  <c r="BE92" i="68" s="1"/>
  <c r="BF92" i="68" s="1"/>
  <c r="BG92" i="68" s="1"/>
  <c r="BH92" i="68" s="1"/>
  <c r="BI92" i="68" s="1"/>
  <c r="BJ92" i="68" s="1"/>
  <c r="BK92" i="68" s="1"/>
  <c r="BL92" i="68" s="1"/>
  <c r="BM92" i="68" s="1"/>
  <c r="BN92" i="68" s="1"/>
  <c r="BO92" i="68" s="1"/>
  <c r="BP92" i="68" s="1"/>
  <c r="BQ92" i="68" s="1"/>
  <c r="BR92" i="68" s="1"/>
  <c r="BS92" i="68" s="1"/>
  <c r="BT92" i="68" s="1"/>
  <c r="BU92" i="68" s="1"/>
  <c r="BV92" i="68" s="1"/>
  <c r="AN93" i="68" s="1"/>
  <c r="AT445" i="68"/>
  <c r="AE90" i="88"/>
  <c r="AE91" i="88" s="1"/>
  <c r="AE97" i="88" s="1"/>
  <c r="BP266" i="68"/>
  <c r="BP272" i="68" s="1"/>
  <c r="BP274" i="68" s="1"/>
  <c r="AY257" i="68"/>
  <c r="AG257" i="68"/>
  <c r="BQ257" i="68" s="1"/>
  <c r="P257" i="68"/>
  <c r="AX266" i="68"/>
  <c r="AX272" i="68" s="1"/>
  <c r="AX274" i="68" s="1"/>
  <c r="M90" i="88"/>
  <c r="M91" i="88" s="1"/>
  <c r="M97" i="88" s="1"/>
  <c r="AF124" i="137"/>
  <c r="AF105" i="137"/>
  <c r="AF110" i="137"/>
  <c r="AF95" i="137"/>
  <c r="AE16" i="136"/>
  <c r="AE47" i="137"/>
  <c r="AG47" i="137" s="1"/>
  <c r="U47" i="137"/>
  <c r="W47" i="137" s="1"/>
  <c r="Z47" i="137"/>
  <c r="AB47" i="137" s="1"/>
  <c r="U11" i="137"/>
  <c r="W11" i="137" s="1"/>
  <c r="Z11" i="137"/>
  <c r="AB11" i="137" s="1"/>
  <c r="AE11" i="137"/>
  <c r="AG11" i="137" s="1"/>
  <c r="AE12" i="137"/>
  <c r="AG12" i="137" s="1"/>
  <c r="U12" i="137"/>
  <c r="W12" i="137" s="1"/>
  <c r="Z12" i="137"/>
  <c r="AB12" i="137" s="1"/>
  <c r="U28" i="137"/>
  <c r="W28" i="137" s="1"/>
  <c r="Z28" i="137"/>
  <c r="AB28" i="137" s="1"/>
  <c r="AE28" i="137"/>
  <c r="AG28" i="137" s="1"/>
  <c r="Z21" i="137"/>
  <c r="AB21" i="137" s="1"/>
  <c r="U21" i="137"/>
  <c r="W21" i="137" s="1"/>
  <c r="AE21" i="137"/>
  <c r="AG21" i="137" s="1"/>
  <c r="Z31" i="137"/>
  <c r="AB31" i="137" s="1"/>
  <c r="U31" i="137"/>
  <c r="W31" i="137" s="1"/>
  <c r="AE31" i="137"/>
  <c r="AG31" i="137" s="1"/>
  <c r="Z56" i="137"/>
  <c r="AB56" i="137" s="1"/>
  <c r="U56" i="137"/>
  <c r="W56" i="137" s="1"/>
  <c r="AE56" i="137"/>
  <c r="AG56" i="137" s="1"/>
  <c r="U35" i="137"/>
  <c r="W35" i="137" s="1"/>
  <c r="Z35" i="137"/>
  <c r="AB35" i="137" s="1"/>
  <c r="AE35" i="137"/>
  <c r="AG35" i="137" s="1"/>
  <c r="AE32" i="137"/>
  <c r="AG32" i="137" s="1"/>
  <c r="U32" i="137"/>
  <c r="W32" i="137" s="1"/>
  <c r="Z32" i="137"/>
  <c r="AB32" i="137" s="1"/>
  <c r="U42" i="137"/>
  <c r="W42" i="137" s="1"/>
  <c r="AE42" i="137"/>
  <c r="AG42" i="137" s="1"/>
  <c r="Z42" i="137"/>
  <c r="AB42" i="137" s="1"/>
  <c r="C73" i="136"/>
  <c r="C78" i="136" s="1"/>
  <c r="AE47" i="136"/>
  <c r="V114" i="137"/>
  <c r="U60" i="137"/>
  <c r="W60" i="137" s="1"/>
  <c r="Z60" i="137"/>
  <c r="AB60" i="137" s="1"/>
  <c r="AE60" i="137"/>
  <c r="AG60" i="137" s="1"/>
  <c r="AE53" i="137"/>
  <c r="AG53" i="137" s="1"/>
  <c r="U53" i="137"/>
  <c r="W53" i="137" s="1"/>
  <c r="Z53" i="137"/>
  <c r="AB53" i="137" s="1"/>
  <c r="U38" i="137"/>
  <c r="W38" i="137" s="1"/>
  <c r="Z38" i="137"/>
  <c r="AB38" i="137" s="1"/>
  <c r="AE38" i="137"/>
  <c r="AG38" i="137" s="1"/>
  <c r="AE54" i="137"/>
  <c r="AG54" i="137" s="1"/>
  <c r="U54" i="137"/>
  <c r="W54" i="137" s="1"/>
  <c r="Z54" i="137"/>
  <c r="AB54" i="137" s="1"/>
  <c r="AE15" i="137"/>
  <c r="AG15" i="137" s="1"/>
  <c r="U15" i="137"/>
  <c r="W15" i="137" s="1"/>
  <c r="Z15" i="137"/>
  <c r="AB15" i="137" s="1"/>
  <c r="AE40" i="137"/>
  <c r="AG40" i="137" s="1"/>
  <c r="Z40" i="137"/>
  <c r="AB40" i="137" s="1"/>
  <c r="U40" i="137"/>
  <c r="W40" i="137" s="1"/>
  <c r="U19" i="137"/>
  <c r="W19" i="137" s="1"/>
  <c r="Z19" i="137"/>
  <c r="AB19" i="137" s="1"/>
  <c r="AE19" i="137"/>
  <c r="AG19" i="137" s="1"/>
  <c r="Z16" i="137"/>
  <c r="AB16" i="137" s="1"/>
  <c r="U16" i="137"/>
  <c r="W16" i="137" s="1"/>
  <c r="AE16" i="137"/>
  <c r="AG16" i="137" s="1"/>
  <c r="AF109" i="137"/>
  <c r="T114" i="137"/>
  <c r="AE37" i="137"/>
  <c r="AG37" i="137" s="1"/>
  <c r="U37" i="137"/>
  <c r="W37" i="137" s="1"/>
  <c r="Z37" i="137"/>
  <c r="AB37" i="137" s="1"/>
  <c r="AE22" i="137"/>
  <c r="AG22" i="137" s="1"/>
  <c r="U22" i="137"/>
  <c r="W22" i="137" s="1"/>
  <c r="Z22" i="137"/>
  <c r="AB22" i="137" s="1"/>
  <c r="U50" i="137"/>
  <c r="W50" i="137" s="1"/>
  <c r="AE50" i="137"/>
  <c r="AG50" i="137" s="1"/>
  <c r="Z50" i="137"/>
  <c r="AB50" i="137" s="1"/>
  <c r="U66" i="137"/>
  <c r="W66" i="137" s="1"/>
  <c r="Z66" i="137"/>
  <c r="AB66" i="137" s="1"/>
  <c r="AE66" i="137"/>
  <c r="AG66" i="137" s="1"/>
  <c r="Z59" i="137"/>
  <c r="AB59" i="137" s="1"/>
  <c r="U59" i="137"/>
  <c r="W59" i="137" s="1"/>
  <c r="AE59" i="137"/>
  <c r="AG59" i="137" s="1"/>
  <c r="Z24" i="137"/>
  <c r="AB24" i="137" s="1"/>
  <c r="AE24" i="137"/>
  <c r="AG24" i="137" s="1"/>
  <c r="U24" i="137"/>
  <c r="W24" i="137" s="1"/>
  <c r="U65" i="137"/>
  <c r="W65" i="137" s="1"/>
  <c r="Z65" i="137"/>
  <c r="AB65" i="137" s="1"/>
  <c r="AE65" i="137"/>
  <c r="AG65" i="137" s="1"/>
  <c r="W9" i="137"/>
  <c r="Z9" i="137"/>
  <c r="AB9" i="137" s="1"/>
  <c r="AE9" i="137"/>
  <c r="AG9" i="137" s="1"/>
  <c r="W114" i="137"/>
  <c r="E73" i="136"/>
  <c r="E78" i="136" s="1"/>
  <c r="AE57" i="136"/>
  <c r="Z25" i="137"/>
  <c r="AB25" i="137" s="1"/>
  <c r="U25" i="137"/>
  <c r="W25" i="137" s="1"/>
  <c r="AE25" i="137"/>
  <c r="AG25" i="137" s="1"/>
  <c r="U18" i="137"/>
  <c r="W18" i="137" s="1"/>
  <c r="Z18" i="137"/>
  <c r="AB18" i="137" s="1"/>
  <c r="AE18" i="137"/>
  <c r="AG18" i="137" s="1"/>
  <c r="U34" i="137"/>
  <c r="W34" i="137" s="1"/>
  <c r="Z34" i="137"/>
  <c r="AB34" i="137" s="1"/>
  <c r="AE34" i="137"/>
  <c r="AG34" i="137" s="1"/>
  <c r="U36" i="137"/>
  <c r="W36" i="137" s="1"/>
  <c r="Z36" i="137"/>
  <c r="AB36" i="137" s="1"/>
  <c r="AE36" i="137"/>
  <c r="AG36" i="137" s="1"/>
  <c r="U52" i="137"/>
  <c r="W52" i="137" s="1"/>
  <c r="Z52" i="137"/>
  <c r="AB52" i="137" s="1"/>
  <c r="AE52" i="137"/>
  <c r="AG52" i="137" s="1"/>
  <c r="U43" i="137"/>
  <c r="W43" i="137" s="1"/>
  <c r="Z43" i="137"/>
  <c r="AB43" i="137" s="1"/>
  <c r="AE43" i="137"/>
  <c r="AG43" i="137" s="1"/>
  <c r="AE55" i="137"/>
  <c r="AG55" i="137" s="1"/>
  <c r="U55" i="137"/>
  <c r="W55" i="137" s="1"/>
  <c r="Z55" i="137"/>
  <c r="AB55" i="137" s="1"/>
  <c r="Z49" i="137"/>
  <c r="AB49" i="137" s="1"/>
  <c r="U49" i="137"/>
  <c r="W49" i="137" s="1"/>
  <c r="AE49" i="137"/>
  <c r="AG49" i="137" s="1"/>
  <c r="B73" i="136"/>
  <c r="B78" i="136" s="1"/>
  <c r="AE26" i="136"/>
  <c r="U10" i="137"/>
  <c r="W10" i="137" s="1"/>
  <c r="Z10" i="137"/>
  <c r="AB10" i="137" s="1"/>
  <c r="AE10" i="137"/>
  <c r="AG10" i="137" s="1"/>
  <c r="U26" i="137"/>
  <c r="W26" i="137" s="1"/>
  <c r="AE26" i="137"/>
  <c r="AG26" i="137" s="1"/>
  <c r="Z26" i="137"/>
  <c r="AB26" i="137" s="1"/>
  <c r="AE44" i="137"/>
  <c r="AG44" i="137" s="1"/>
  <c r="U44" i="137"/>
  <c r="W44" i="137" s="1"/>
  <c r="Z44" i="137"/>
  <c r="AB44" i="137" s="1"/>
  <c r="AE68" i="137"/>
  <c r="AG68" i="137" s="1"/>
  <c r="AG72" i="137" s="1"/>
  <c r="Z68" i="137"/>
  <c r="AB68" i="137" s="1"/>
  <c r="AB72" i="137" s="1"/>
  <c r="U68" i="137"/>
  <c r="W68" i="137" s="1"/>
  <c r="W72" i="137" s="1"/>
  <c r="U20" i="137"/>
  <c r="W20" i="137" s="1"/>
  <c r="Z20" i="137"/>
  <c r="AB20" i="137" s="1"/>
  <c r="AE20" i="137"/>
  <c r="AG20" i="137" s="1"/>
  <c r="AE13" i="137"/>
  <c r="AG13" i="137" s="1"/>
  <c r="U13" i="137"/>
  <c r="W13" i="137" s="1"/>
  <c r="Z13" i="137"/>
  <c r="AB13" i="137" s="1"/>
  <c r="AE29" i="137"/>
  <c r="AG29" i="137" s="1"/>
  <c r="U29" i="137"/>
  <c r="W29" i="137" s="1"/>
  <c r="Z29" i="137"/>
  <c r="AB29" i="137" s="1"/>
  <c r="Z27" i="137"/>
  <c r="AB27" i="137" s="1"/>
  <c r="U27" i="137"/>
  <c r="W27" i="137" s="1"/>
  <c r="AE27" i="137"/>
  <c r="AG27" i="137" s="1"/>
  <c r="AE39" i="137"/>
  <c r="AG39" i="137" s="1"/>
  <c r="U39" i="137"/>
  <c r="W39" i="137" s="1"/>
  <c r="Z39" i="137"/>
  <c r="AB39" i="137" s="1"/>
  <c r="Z33" i="137"/>
  <c r="AB33" i="137" s="1"/>
  <c r="U33" i="137"/>
  <c r="W33" i="137" s="1"/>
  <c r="AE33" i="137"/>
  <c r="AG33" i="137" s="1"/>
  <c r="U48" i="137"/>
  <c r="W48" i="137" s="1"/>
  <c r="AE48" i="137"/>
  <c r="AG48" i="137" s="1"/>
  <c r="Z48" i="137"/>
  <c r="AB48" i="137" s="1"/>
  <c r="D73" i="136"/>
  <c r="D78" i="136" s="1"/>
  <c r="D81" i="136" s="1"/>
  <c r="AE67" i="136"/>
  <c r="AE45" i="137"/>
  <c r="AG45" i="137" s="1"/>
  <c r="U45" i="137"/>
  <c r="W45" i="137" s="1"/>
  <c r="Z45" i="137"/>
  <c r="AB45" i="137" s="1"/>
  <c r="AE61" i="137"/>
  <c r="AG61" i="137" s="1"/>
  <c r="U61" i="137"/>
  <c r="W61" i="137" s="1"/>
  <c r="Z61" i="137"/>
  <c r="AB61" i="137" s="1"/>
  <c r="Z46" i="137"/>
  <c r="AB46" i="137" s="1"/>
  <c r="U46" i="137"/>
  <c r="W46" i="137" s="1"/>
  <c r="AE46" i="137"/>
  <c r="AG46" i="137" s="1"/>
  <c r="Z62" i="137"/>
  <c r="AB62" i="137" s="1"/>
  <c r="U62" i="137"/>
  <c r="W62" i="137" s="1"/>
  <c r="AE62" i="137"/>
  <c r="AG62" i="137" s="1"/>
  <c r="Z57" i="137"/>
  <c r="AB57" i="137" s="1"/>
  <c r="U57" i="137"/>
  <c r="W57" i="137" s="1"/>
  <c r="AE57" i="137"/>
  <c r="AG57" i="137" s="1"/>
  <c r="Z23" i="137"/>
  <c r="AB23" i="137" s="1"/>
  <c r="AE23" i="137"/>
  <c r="AG23" i="137" s="1"/>
  <c r="U23" i="137"/>
  <c r="W23" i="137" s="1"/>
  <c r="Z17" i="137"/>
  <c r="AB17" i="137" s="1"/>
  <c r="U17" i="137"/>
  <c r="W17" i="137" s="1"/>
  <c r="AE17" i="137"/>
  <c r="AG17" i="137" s="1"/>
  <c r="AF86" i="137"/>
  <c r="AF130" i="137"/>
  <c r="Z51" i="137"/>
  <c r="AB51" i="137" s="1"/>
  <c r="U51" i="137"/>
  <c r="W51" i="137" s="1"/>
  <c r="AE51" i="137"/>
  <c r="AG51" i="137" s="1"/>
  <c r="AF128" i="137"/>
  <c r="T133" i="137"/>
  <c r="U14" i="137"/>
  <c r="W14" i="137" s="1"/>
  <c r="AE14" i="137"/>
  <c r="AG14" i="137" s="1"/>
  <c r="Z14" i="137"/>
  <c r="AB14" i="137" s="1"/>
  <c r="AE30" i="137"/>
  <c r="AG30" i="137" s="1"/>
  <c r="U30" i="137"/>
  <c r="W30" i="137" s="1"/>
  <c r="Z30" i="137"/>
  <c r="AB30" i="137" s="1"/>
  <c r="U58" i="137"/>
  <c r="W58" i="137" s="1"/>
  <c r="Z58" i="137"/>
  <c r="AB58" i="137" s="1"/>
  <c r="AE58" i="137"/>
  <c r="AG58" i="137" s="1"/>
  <c r="U63" i="137"/>
  <c r="W63" i="137" s="1"/>
  <c r="Z63" i="137"/>
  <c r="AB63" i="137" s="1"/>
  <c r="AE63" i="137"/>
  <c r="AG63" i="137" s="1"/>
  <c r="Z41" i="137"/>
  <c r="AB41" i="137" s="1"/>
  <c r="U41" i="137"/>
  <c r="W41" i="137" s="1"/>
  <c r="AE41" i="137"/>
  <c r="AG41" i="137" s="1"/>
  <c r="U67" i="137"/>
  <c r="W67" i="137" s="1"/>
  <c r="Z67" i="137"/>
  <c r="AB67" i="137" s="1"/>
  <c r="AE67" i="137"/>
  <c r="AG67" i="137" s="1"/>
  <c r="AE64" i="137"/>
  <c r="AG64" i="137" s="1"/>
  <c r="Z64" i="137"/>
  <c r="AB64" i="137" s="1"/>
  <c r="U64" i="137"/>
  <c r="W64" i="137" s="1"/>
  <c r="AE37" i="136"/>
  <c r="P62" i="127"/>
  <c r="P60" i="127"/>
  <c r="P61" i="127"/>
  <c r="P63" i="127"/>
  <c r="P67" i="127"/>
  <c r="H160" i="88"/>
  <c r="Q52" i="87"/>
  <c r="D68" i="88"/>
  <c r="B6" i="134" s="1"/>
  <c r="I6" i="134" s="1"/>
  <c r="O90" i="87"/>
  <c r="N39" i="87"/>
  <c r="O46" i="87"/>
  <c r="O99" i="87" s="1"/>
  <c r="P45" i="87"/>
  <c r="G5" i="135" s="1" a="1"/>
  <c r="A17" i="135"/>
  <c r="O108" i="105"/>
  <c r="P107" i="105"/>
  <c r="N24" i="105"/>
  <c r="O23" i="105"/>
  <c r="O79" i="105"/>
  <c r="N80" i="105"/>
  <c r="P51" i="105"/>
  <c r="O52" i="105"/>
  <c r="M33" i="88"/>
  <c r="N25" i="88"/>
  <c r="N31" i="88" s="1"/>
  <c r="AI102" i="105"/>
  <c r="N100" i="105"/>
  <c r="L97" i="87"/>
  <c r="X18" i="105"/>
  <c r="M79" i="87"/>
  <c r="L151" i="88"/>
  <c r="L152" i="88" s="1"/>
  <c r="L158" i="88" s="1"/>
  <c r="AW437" i="68"/>
  <c r="AW442" i="68" s="1"/>
  <c r="AW444" i="68" s="1"/>
  <c r="S152" i="88"/>
  <c r="S158" i="88" s="1"/>
  <c r="U44" i="105"/>
  <c r="L72" i="105"/>
  <c r="M17" i="105"/>
  <c r="BG437" i="68"/>
  <c r="BG442" i="68" s="1"/>
  <c r="BG444" i="68" s="1"/>
  <c r="V151" i="88"/>
  <c r="M100" i="87"/>
  <c r="BQ437" i="68"/>
  <c r="BQ442" i="68" s="1"/>
  <c r="BQ444" i="68" s="1"/>
  <c r="AF151" i="88"/>
  <c r="AF152" i="88" s="1"/>
  <c r="AF158" i="88" s="1"/>
  <c r="T74" i="105"/>
  <c r="AE152" i="88"/>
  <c r="AE158" i="88" s="1"/>
  <c r="BO437" i="68"/>
  <c r="BO442" i="68" s="1"/>
  <c r="BO444" i="68" s="1"/>
  <c r="AD151" i="88"/>
  <c r="AC152" i="88"/>
  <c r="AC158" i="88" s="1"/>
  <c r="AU437" i="68"/>
  <c r="AU442" i="68" s="1"/>
  <c r="AU444" i="68" s="1"/>
  <c r="J151" i="88"/>
  <c r="Y46" i="105"/>
  <c r="I152" i="88"/>
  <c r="I158" i="88" s="1"/>
  <c r="L45" i="105"/>
  <c r="M61" i="87"/>
  <c r="L101" i="105"/>
  <c r="L91" i="87"/>
  <c r="U152" i="88"/>
  <c r="U158" i="88" s="1"/>
  <c r="T151" i="88"/>
  <c r="BE437" i="68"/>
  <c r="BE442" i="68" s="1"/>
  <c r="BE444" i="68" s="1"/>
  <c r="M88" i="87"/>
  <c r="R73" i="105"/>
  <c r="K16" i="105"/>
  <c r="M94" i="87"/>
  <c r="Z25" i="88"/>
  <c r="Z31" i="88" s="1"/>
  <c r="K152" i="88"/>
  <c r="K158" i="88" s="1"/>
  <c r="E28" i="105" l="1"/>
  <c r="BR355" i="68"/>
  <c r="BR360" i="68" s="1"/>
  <c r="BR362" i="68" s="1"/>
  <c r="AG123" i="88"/>
  <c r="AG124" i="88" s="1"/>
  <c r="AG130" i="88" s="1"/>
  <c r="O123" i="88"/>
  <c r="O124" i="88" s="1"/>
  <c r="O130" i="88" s="1"/>
  <c r="AZ355" i="68"/>
  <c r="AZ360" i="68" s="1"/>
  <c r="AZ362" i="68" s="1"/>
  <c r="AZ363" i="68" s="1"/>
  <c r="R347" i="68"/>
  <c r="AI347" i="68"/>
  <c r="BS347" i="68" s="1"/>
  <c r="BA347" i="68"/>
  <c r="D99" i="88"/>
  <c r="E99" i="88" s="1"/>
  <c r="F99" i="88" s="1"/>
  <c r="G99" i="88" s="1"/>
  <c r="H99" i="88" s="1"/>
  <c r="I99" i="88" s="1"/>
  <c r="J99" i="88" s="1"/>
  <c r="K99" i="88" s="1"/>
  <c r="L99" i="88" s="1"/>
  <c r="M99" i="88" s="1"/>
  <c r="AE15" i="127"/>
  <c r="AE16" i="127" s="1"/>
  <c r="AE6" i="127" s="1"/>
  <c r="AE119" i="127"/>
  <c r="O15" i="127"/>
  <c r="O16" i="127" s="1"/>
  <c r="O6" i="127" s="1"/>
  <c r="O119" i="127"/>
  <c r="U119" i="127"/>
  <c r="U15" i="127"/>
  <c r="U16" i="127" s="1"/>
  <c r="U6" i="127" s="1"/>
  <c r="P119" i="127"/>
  <c r="P15" i="127"/>
  <c r="P16" i="127" s="1"/>
  <c r="P6" i="127" s="1"/>
  <c r="AK119" i="127"/>
  <c r="AK15" i="127"/>
  <c r="AK16" i="127" s="1"/>
  <c r="AK6" i="127" s="1"/>
  <c r="X119" i="127"/>
  <c r="X15" i="127"/>
  <c r="X16" i="127" s="1"/>
  <c r="X6" i="127" s="1"/>
  <c r="K15" i="127"/>
  <c r="K16" i="127" s="1"/>
  <c r="K6" i="127" s="1"/>
  <c r="K119" i="127"/>
  <c r="G103" i="105"/>
  <c r="F104" i="105"/>
  <c r="F110" i="105" s="1"/>
  <c r="F112" i="105" s="1"/>
  <c r="R15" i="127"/>
  <c r="R16" i="127" s="1"/>
  <c r="R6" i="127" s="1"/>
  <c r="R119" i="127"/>
  <c r="T119" i="127"/>
  <c r="T15" i="127"/>
  <c r="T16" i="127" s="1"/>
  <c r="T6" i="127" s="1"/>
  <c r="Z15" i="127"/>
  <c r="Z16" i="127" s="1"/>
  <c r="Z6" i="127" s="1"/>
  <c r="Z119" i="127"/>
  <c r="G47" i="105"/>
  <c r="F48" i="105"/>
  <c r="F54" i="105" s="1"/>
  <c r="F56" i="105" s="1"/>
  <c r="AI119" i="127"/>
  <c r="AI15" i="127"/>
  <c r="AI16" i="127" s="1"/>
  <c r="AI6" i="127" s="1"/>
  <c r="AJ119" i="127"/>
  <c r="AJ15" i="127"/>
  <c r="AJ16" i="127" s="1"/>
  <c r="AJ6" i="127" s="1"/>
  <c r="L119" i="127"/>
  <c r="L15" i="127"/>
  <c r="L16" i="127" s="1"/>
  <c r="L6" i="127" s="1"/>
  <c r="AX275" i="68"/>
  <c r="Q119" i="127"/>
  <c r="Q15" i="127"/>
  <c r="Q16" i="127" s="1"/>
  <c r="Q6" i="127" s="1"/>
  <c r="Y119" i="127"/>
  <c r="Y15" i="127"/>
  <c r="Y16" i="127" s="1"/>
  <c r="Y6" i="127" s="1"/>
  <c r="V119" i="127"/>
  <c r="V15" i="127"/>
  <c r="V16" i="127" s="1"/>
  <c r="V6" i="127" s="1"/>
  <c r="D119" i="127"/>
  <c r="D132" i="127" s="1"/>
  <c r="D134" i="127" s="1"/>
  <c r="D15" i="127"/>
  <c r="D16" i="127" s="1"/>
  <c r="D6" i="127" s="1"/>
  <c r="S119" i="127"/>
  <c r="S15" i="127"/>
  <c r="S16" i="127" s="1"/>
  <c r="S6" i="127" s="1"/>
  <c r="N15" i="127"/>
  <c r="N16" i="127" s="1"/>
  <c r="N6" i="127" s="1"/>
  <c r="N119" i="127"/>
  <c r="AF119" i="127"/>
  <c r="AF15" i="127"/>
  <c r="AF16" i="127" s="1"/>
  <c r="AF6" i="127" s="1"/>
  <c r="AD15" i="127"/>
  <c r="AD16" i="127" s="1"/>
  <c r="AD6" i="127" s="1"/>
  <c r="AD119" i="127"/>
  <c r="AH119" i="127"/>
  <c r="AH15" i="127"/>
  <c r="AH16" i="127" s="1"/>
  <c r="AH6" i="127" s="1"/>
  <c r="AG119" i="127"/>
  <c r="AG15" i="127"/>
  <c r="AG16" i="127" s="1"/>
  <c r="AG6" i="127" s="1"/>
  <c r="W119" i="127"/>
  <c r="W15" i="127"/>
  <c r="W16" i="127" s="1"/>
  <c r="W6" i="127" s="1"/>
  <c r="AB15" i="127"/>
  <c r="AB16" i="127" s="1"/>
  <c r="AB6" i="127" s="1"/>
  <c r="AB119" i="127"/>
  <c r="F20" i="105"/>
  <c r="F26" i="105" s="1"/>
  <c r="G19" i="105"/>
  <c r="G75" i="105"/>
  <c r="F76" i="105"/>
  <c r="F82" i="105" s="1"/>
  <c r="F84" i="105" s="1"/>
  <c r="AA119" i="127"/>
  <c r="AA15" i="127"/>
  <c r="AA16" i="127" s="1"/>
  <c r="AA6" i="127" s="1"/>
  <c r="AC119" i="127"/>
  <c r="AC15" i="127"/>
  <c r="AC16" i="127" s="1"/>
  <c r="AC6" i="127" s="1"/>
  <c r="M15" i="127"/>
  <c r="M16" i="127" s="1"/>
  <c r="M6" i="127" s="1"/>
  <c r="M119" i="127"/>
  <c r="AU445" i="68"/>
  <c r="AV445" i="68" s="1"/>
  <c r="AW445" i="68" s="1"/>
  <c r="AX445" i="68" s="1"/>
  <c r="AY445" i="68" s="1"/>
  <c r="AZ445" i="68" s="1"/>
  <c r="BA445" i="68" s="1"/>
  <c r="BB445" i="68" s="1"/>
  <c r="BC445" i="68" s="1"/>
  <c r="BD445" i="68" s="1"/>
  <c r="BE445" i="68" s="1"/>
  <c r="BF445" i="68" s="1"/>
  <c r="BG445" i="68" s="1"/>
  <c r="BH445" i="68" s="1"/>
  <c r="BI445" i="68" s="1"/>
  <c r="BJ445" i="68" s="1"/>
  <c r="BK445" i="68" s="1"/>
  <c r="BL445" i="68" s="1"/>
  <c r="BM445" i="68" s="1"/>
  <c r="BN445" i="68" s="1"/>
  <c r="BO445" i="68" s="1"/>
  <c r="BP445" i="68" s="1"/>
  <c r="BQ445" i="68" s="1"/>
  <c r="BR445" i="68" s="1"/>
  <c r="BS445" i="68" s="1"/>
  <c r="BT445" i="68" s="1"/>
  <c r="BU445" i="68" s="1"/>
  <c r="BV445" i="68" s="1"/>
  <c r="AN446" i="68" s="1"/>
  <c r="AZ257" i="68"/>
  <c r="AH257" i="68"/>
  <c r="BR257" i="68" s="1"/>
  <c r="Q257" i="68"/>
  <c r="BQ266" i="68"/>
  <c r="BQ272" i="68" s="1"/>
  <c r="BQ274" i="68" s="1"/>
  <c r="AF90" i="88"/>
  <c r="AF91" i="88" s="1"/>
  <c r="AY266" i="68"/>
  <c r="AY272" i="68" s="1"/>
  <c r="AY274" i="68" s="1"/>
  <c r="N90" i="88"/>
  <c r="N91" i="88" s="1"/>
  <c r="N97" i="88" s="1"/>
  <c r="AF114" i="137"/>
  <c r="AG73" i="137"/>
  <c r="AG74" i="137" s="1"/>
  <c r="AI126" i="137"/>
  <c r="AJ126" i="137" s="1"/>
  <c r="AB73" i="137"/>
  <c r="AB74" i="137" s="1"/>
  <c r="AI107" i="137"/>
  <c r="AJ107" i="137" s="1"/>
  <c r="W73" i="137"/>
  <c r="W74" i="137" s="1"/>
  <c r="AI88" i="137"/>
  <c r="AJ88" i="137" s="1"/>
  <c r="AF133" i="137"/>
  <c r="P44" i="87"/>
  <c r="H5" i="135" s="1" a="1"/>
  <c r="F5" i="135" a="1"/>
  <c r="G5" i="135"/>
  <c r="G18" i="135"/>
  <c r="G19" i="135" s="1"/>
  <c r="G20" i="135" s="1"/>
  <c r="G21" i="135" s="1"/>
  <c r="G22" i="135" s="1"/>
  <c r="G23" i="135" s="1"/>
  <c r="G24" i="135" s="1"/>
  <c r="G25" i="135" s="1"/>
  <c r="G26" i="135" s="1"/>
  <c r="G27" i="135" s="1"/>
  <c r="G28" i="135" s="1"/>
  <c r="G29" i="135" s="1"/>
  <c r="I160" i="88"/>
  <c r="Q62" i="127"/>
  <c r="Q61" i="127"/>
  <c r="Q60" i="127"/>
  <c r="Q63" i="127"/>
  <c r="R52" i="87"/>
  <c r="Q67" i="127"/>
  <c r="Q43" i="87"/>
  <c r="Q44" i="87" s="1"/>
  <c r="P90" i="87"/>
  <c r="N33" i="88"/>
  <c r="O33" i="88" s="1"/>
  <c r="P33" i="88" s="1"/>
  <c r="Q33" i="88" s="1"/>
  <c r="R33" i="88" s="1"/>
  <c r="S33" i="88" s="1"/>
  <c r="T33" i="88" s="1"/>
  <c r="U33" i="88" s="1"/>
  <c r="V33" i="88" s="1"/>
  <c r="W33" i="88" s="1"/>
  <c r="X33" i="88" s="1"/>
  <c r="Y33" i="88" s="1"/>
  <c r="Z33" i="88" s="1"/>
  <c r="AA33" i="88" s="1"/>
  <c r="AB33" i="88" s="1"/>
  <c r="AC33" i="88" s="1"/>
  <c r="AD33" i="88" s="1"/>
  <c r="AE33" i="88" s="1"/>
  <c r="AF33" i="88" s="1"/>
  <c r="AG33" i="88" s="1"/>
  <c r="AH33" i="88" s="1"/>
  <c r="AI33" i="88" s="1"/>
  <c r="AJ33" i="88" s="1"/>
  <c r="AK33" i="88" s="1"/>
  <c r="D35" i="88" s="1"/>
  <c r="B5" i="134" s="1"/>
  <c r="Q45" i="87"/>
  <c r="P46" i="87"/>
  <c r="I5" i="135" s="1" a="1"/>
  <c r="A18" i="135"/>
  <c r="Q51" i="105"/>
  <c r="P52" i="105"/>
  <c r="Q107" i="105"/>
  <c r="P108" i="105"/>
  <c r="P79" i="105"/>
  <c r="O80" i="105"/>
  <c r="O24" i="105"/>
  <c r="P23" i="105"/>
  <c r="O132" i="88"/>
  <c r="N17" i="105"/>
  <c r="M72" i="105"/>
  <c r="M45" i="105"/>
  <c r="N88" i="87"/>
  <c r="T152" i="88"/>
  <c r="T158" i="88" s="1"/>
  <c r="N61" i="87"/>
  <c r="Z46" i="105"/>
  <c r="N100" i="87"/>
  <c r="N79" i="87"/>
  <c r="M97" i="87"/>
  <c r="O100" i="105"/>
  <c r="M91" i="87"/>
  <c r="J152" i="88"/>
  <c r="J158" i="88" s="1"/>
  <c r="L16" i="105"/>
  <c r="V44" i="105"/>
  <c r="AJ102" i="105"/>
  <c r="S73" i="105"/>
  <c r="U74" i="105"/>
  <c r="M101" i="105"/>
  <c r="P70" i="87"/>
  <c r="Y18" i="105"/>
  <c r="V152" i="88"/>
  <c r="V158" i="88" s="1"/>
  <c r="N94" i="87"/>
  <c r="AD152" i="88"/>
  <c r="AD158" i="88" s="1"/>
  <c r="F28" i="105" l="1"/>
  <c r="AH123" i="88"/>
  <c r="AH124" i="88" s="1"/>
  <c r="AH130" i="88" s="1"/>
  <c r="BS355" i="68"/>
  <c r="BS360" i="68" s="1"/>
  <c r="BS362" i="68" s="1"/>
  <c r="AJ347" i="68"/>
  <c r="BT347" i="68" s="1"/>
  <c r="BB347" i="68"/>
  <c r="S347" i="68"/>
  <c r="P123" i="88"/>
  <c r="P124" i="88" s="1"/>
  <c r="P130" i="88" s="1"/>
  <c r="BA355" i="68"/>
  <c r="BA360" i="68" s="1"/>
  <c r="BA362" i="68" s="1"/>
  <c r="BA363" i="68" s="1"/>
  <c r="AY275" i="68"/>
  <c r="H47" i="105"/>
  <c r="G48" i="105"/>
  <c r="G54" i="105" s="1"/>
  <c r="G56" i="105" s="1"/>
  <c r="G104" i="105"/>
  <c r="G110" i="105" s="1"/>
  <c r="G112" i="105" s="1"/>
  <c r="H103" i="105"/>
  <c r="G76" i="105"/>
  <c r="G82" i="105" s="1"/>
  <c r="G84" i="105" s="1"/>
  <c r="H75" i="105"/>
  <c r="N99" i="88"/>
  <c r="G20" i="105"/>
  <c r="G26" i="105" s="1"/>
  <c r="H19" i="105"/>
  <c r="AF97" i="88"/>
  <c r="BR266" i="68"/>
  <c r="BR272" i="68" s="1"/>
  <c r="BR274" i="68" s="1"/>
  <c r="AG90" i="88"/>
  <c r="AG91" i="88" s="1"/>
  <c r="AG97" i="88" s="1"/>
  <c r="O90" i="88"/>
  <c r="O91" i="88" s="1"/>
  <c r="O97" i="88" s="1"/>
  <c r="AZ266" i="68"/>
  <c r="AZ272" i="68" s="1"/>
  <c r="AZ274" i="68" s="1"/>
  <c r="AI257" i="68"/>
  <c r="BS257" i="68" s="1"/>
  <c r="R257" i="68"/>
  <c r="BA257" i="68"/>
  <c r="G30" i="135"/>
  <c r="G31" i="135" s="1"/>
  <c r="G32" i="135" s="1"/>
  <c r="G33" i="135" s="1"/>
  <c r="G34" i="135" s="1"/>
  <c r="G35" i="135" s="1"/>
  <c r="G36" i="135" s="1"/>
  <c r="G37" i="135" s="1"/>
  <c r="G38" i="135" s="1"/>
  <c r="G126" i="135" s="1"/>
  <c r="I5" i="134"/>
  <c r="F5" i="135"/>
  <c r="F18" i="135"/>
  <c r="F19" i="135" s="1"/>
  <c r="F20" i="135" s="1"/>
  <c r="F21" i="135" s="1"/>
  <c r="F22" i="135" s="1"/>
  <c r="F23" i="135" s="1"/>
  <c r="F24" i="135" s="1"/>
  <c r="F25" i="135" s="1"/>
  <c r="F26" i="135" s="1"/>
  <c r="F27" i="135" s="1"/>
  <c r="F28" i="135" s="1"/>
  <c r="F29" i="135" s="1"/>
  <c r="H5" i="135"/>
  <c r="H18" i="135"/>
  <c r="H19" i="135" s="1"/>
  <c r="H20" i="135" s="1"/>
  <c r="H21" i="135" s="1"/>
  <c r="H22" i="135" s="1"/>
  <c r="H23" i="135" s="1"/>
  <c r="H24" i="135" s="1"/>
  <c r="H25" i="135" s="1"/>
  <c r="H26" i="135" s="1"/>
  <c r="H27" i="135" s="1"/>
  <c r="H28" i="135" s="1"/>
  <c r="H29" i="135" s="1"/>
  <c r="I5" i="135"/>
  <c r="I18" i="135"/>
  <c r="I19" i="135" s="1"/>
  <c r="I20" i="135" s="1"/>
  <c r="I21" i="135" s="1"/>
  <c r="I22" i="135" s="1"/>
  <c r="I23" i="135" s="1"/>
  <c r="I24" i="135" s="1"/>
  <c r="I25" i="135" s="1"/>
  <c r="I26" i="135" s="1"/>
  <c r="I27" i="135" s="1"/>
  <c r="I28" i="135" s="1"/>
  <c r="I29" i="135" s="1"/>
  <c r="J160" i="88"/>
  <c r="K160" i="88" s="1"/>
  <c r="L160" i="88" s="1"/>
  <c r="M160" i="88" s="1"/>
  <c r="N160" i="88" s="1"/>
  <c r="O160" i="88" s="1"/>
  <c r="P160" i="88" s="1"/>
  <c r="Q160" i="88" s="1"/>
  <c r="R160" i="88" s="1"/>
  <c r="S160" i="88" s="1"/>
  <c r="T160" i="88" s="1"/>
  <c r="U160" i="88" s="1"/>
  <c r="V160" i="88" s="1"/>
  <c r="W160" i="88" s="1"/>
  <c r="X160" i="88" s="1"/>
  <c r="Y160" i="88" s="1"/>
  <c r="Z160" i="88" s="1"/>
  <c r="AA160" i="88" s="1"/>
  <c r="AB160" i="88" s="1"/>
  <c r="AC160" i="88" s="1"/>
  <c r="AD160" i="88" s="1"/>
  <c r="AE160" i="88" s="1"/>
  <c r="AF160" i="88" s="1"/>
  <c r="AG160" i="88" s="1"/>
  <c r="AH160" i="88" s="1"/>
  <c r="AI160" i="88" s="1"/>
  <c r="AJ160" i="88" s="1"/>
  <c r="AK160" i="88" s="1"/>
  <c r="D162" i="88" s="1"/>
  <c r="B9" i="134" s="1"/>
  <c r="I11" i="134" s="1"/>
  <c r="R61" i="127"/>
  <c r="R62" i="127"/>
  <c r="R60" i="127"/>
  <c r="R63" i="127"/>
  <c r="S52" i="87"/>
  <c r="R67" i="127"/>
  <c r="R43" i="87"/>
  <c r="R44" i="87" s="1"/>
  <c r="Q90" i="87"/>
  <c r="Q46" i="87"/>
  <c r="R45" i="87"/>
  <c r="A19" i="135"/>
  <c r="P132" i="88"/>
  <c r="P24" i="105"/>
  <c r="Q23" i="105"/>
  <c r="P80" i="105"/>
  <c r="Q79" i="105"/>
  <c r="R51" i="105"/>
  <c r="Q52" i="105"/>
  <c r="R107" i="105"/>
  <c r="Q108" i="105"/>
  <c r="AK102" i="105"/>
  <c r="AA46" i="105"/>
  <c r="N45" i="105"/>
  <c r="Q70" i="87"/>
  <c r="W44" i="105"/>
  <c r="M16" i="105"/>
  <c r="O17" i="105"/>
  <c r="N91" i="87"/>
  <c r="O94" i="87"/>
  <c r="O79" i="87"/>
  <c r="Z18" i="105"/>
  <c r="O100" i="87"/>
  <c r="N101" i="105"/>
  <c r="P100" i="105"/>
  <c r="O61" i="87"/>
  <c r="V74" i="105"/>
  <c r="T73" i="105"/>
  <c r="N72" i="105"/>
  <c r="N97" i="87"/>
  <c r="O88" i="87"/>
  <c r="G28" i="105" l="1"/>
  <c r="BB355" i="68"/>
  <c r="BB360" i="68" s="1"/>
  <c r="BB362" i="68" s="1"/>
  <c r="BB363" i="68" s="1"/>
  <c r="Q123" i="88"/>
  <c r="Q124" i="88" s="1"/>
  <c r="Q130" i="88" s="1"/>
  <c r="Q132" i="88" s="1"/>
  <c r="AI123" i="88"/>
  <c r="AI124" i="88" s="1"/>
  <c r="AI130" i="88" s="1"/>
  <c r="BT355" i="68"/>
  <c r="BT360" i="68" s="1"/>
  <c r="BT362" i="68" s="1"/>
  <c r="T347" i="68"/>
  <c r="AK347" i="68"/>
  <c r="BU347" i="68" s="1"/>
  <c r="BC347" i="68"/>
  <c r="AZ275" i="68"/>
  <c r="O99" i="88"/>
  <c r="I75" i="105"/>
  <c r="H76" i="105"/>
  <c r="H82" i="105" s="1"/>
  <c r="H84" i="105" s="1"/>
  <c r="I103" i="105"/>
  <c r="H104" i="105"/>
  <c r="H110" i="105" s="1"/>
  <c r="H112" i="105" s="1"/>
  <c r="H20" i="105"/>
  <c r="H26" i="105" s="1"/>
  <c r="I19" i="105"/>
  <c r="I47" i="105"/>
  <c r="H48" i="105"/>
  <c r="H54" i="105" s="1"/>
  <c r="H56" i="105" s="1"/>
  <c r="BA266" i="68"/>
  <c r="BA272" i="68" s="1"/>
  <c r="BA274" i="68" s="1"/>
  <c r="BA275" i="68" s="1"/>
  <c r="P90" i="88"/>
  <c r="P91" i="88" s="1"/>
  <c r="P97" i="88" s="1"/>
  <c r="S257" i="68"/>
  <c r="BB257" i="68"/>
  <c r="AJ257" i="68"/>
  <c r="BT257" i="68" s="1"/>
  <c r="BS266" i="68"/>
  <c r="BS272" i="68" s="1"/>
  <c r="BS274" i="68" s="1"/>
  <c r="AH90" i="88"/>
  <c r="AH91" i="88" s="1"/>
  <c r="AH97" i="88" s="1"/>
  <c r="F30" i="135"/>
  <c r="F31" i="135" s="1"/>
  <c r="F32" i="135" s="1"/>
  <c r="F33" i="135" s="1"/>
  <c r="F34" i="135" s="1"/>
  <c r="F35" i="135" s="1"/>
  <c r="F36" i="135" s="1"/>
  <c r="F37" i="135" s="1"/>
  <c r="F38" i="135" s="1"/>
  <c r="I30" i="135"/>
  <c r="I31" i="135" s="1"/>
  <c r="I32" i="135" s="1"/>
  <c r="I33" i="135" s="1"/>
  <c r="I34" i="135" s="1"/>
  <c r="I35" i="135" s="1"/>
  <c r="I36" i="135" s="1"/>
  <c r="I37" i="135" s="1"/>
  <c r="I38" i="135" s="1"/>
  <c r="H30" i="135"/>
  <c r="H31" i="135" s="1"/>
  <c r="H32" i="135" s="1"/>
  <c r="H33" i="135" s="1"/>
  <c r="H34" i="135" s="1"/>
  <c r="H35" i="135" s="1"/>
  <c r="H36" i="135" s="1"/>
  <c r="H37" i="135" s="1"/>
  <c r="H38" i="135" s="1"/>
  <c r="S63" i="127"/>
  <c r="S61" i="127"/>
  <c r="S60" i="127"/>
  <c r="S62" i="127"/>
  <c r="T52" i="87"/>
  <c r="S67" i="127"/>
  <c r="S43" i="87"/>
  <c r="S44" i="87" s="1"/>
  <c r="R90" i="87"/>
  <c r="R46" i="87"/>
  <c r="S45" i="87"/>
  <c r="A20" i="135"/>
  <c r="S107" i="105"/>
  <c r="R108" i="105"/>
  <c r="R52" i="105"/>
  <c r="S51" i="105"/>
  <c r="Q80" i="105"/>
  <c r="R79" i="105"/>
  <c r="R23" i="105"/>
  <c r="Q24" i="105"/>
  <c r="AA18" i="105"/>
  <c r="R70" i="87"/>
  <c r="AB46" i="105"/>
  <c r="P61" i="87"/>
  <c r="P100" i="87"/>
  <c r="O91" i="87"/>
  <c r="N16" i="105"/>
  <c r="O72" i="105"/>
  <c r="P94" i="87"/>
  <c r="P79" i="87"/>
  <c r="P17" i="105"/>
  <c r="X44" i="105"/>
  <c r="O45" i="105"/>
  <c r="U73" i="105"/>
  <c r="O101" i="105"/>
  <c r="Q100" i="105"/>
  <c r="P88" i="87"/>
  <c r="O97" i="87"/>
  <c r="W74" i="105"/>
  <c r="H28" i="105" l="1"/>
  <c r="BC355" i="68"/>
  <c r="BC360" i="68" s="1"/>
  <c r="BC362" i="68" s="1"/>
  <c r="BC363" i="68" s="1"/>
  <c r="R123" i="88"/>
  <c r="R124" i="88" s="1"/>
  <c r="R130" i="88" s="1"/>
  <c r="BU355" i="68"/>
  <c r="BU360" i="68" s="1"/>
  <c r="BU362" i="68" s="1"/>
  <c r="AJ123" i="88"/>
  <c r="AJ124" i="88" s="1"/>
  <c r="AJ130" i="88" s="1"/>
  <c r="BD347" i="68"/>
  <c r="AL347" i="68"/>
  <c r="BV347" i="68" s="1"/>
  <c r="U347" i="68"/>
  <c r="BE347" i="68" s="1"/>
  <c r="P99" i="88"/>
  <c r="J47" i="105"/>
  <c r="I48" i="105"/>
  <c r="I54" i="105" s="1"/>
  <c r="I56" i="105" s="1"/>
  <c r="I20" i="105"/>
  <c r="I26" i="105" s="1"/>
  <c r="I28" i="105" s="1"/>
  <c r="J19" i="105"/>
  <c r="J103" i="105"/>
  <c r="I104" i="105"/>
  <c r="I110" i="105" s="1"/>
  <c r="I112" i="105" s="1"/>
  <c r="J75" i="105"/>
  <c r="I76" i="105"/>
  <c r="I82" i="105" s="1"/>
  <c r="I84" i="105" s="1"/>
  <c r="I126" i="135"/>
  <c r="Q90" i="88"/>
  <c r="Q91" i="88" s="1"/>
  <c r="Q97" i="88" s="1"/>
  <c r="BB266" i="68"/>
  <c r="BB272" i="68" s="1"/>
  <c r="BB274" i="68" s="1"/>
  <c r="BB275" i="68" s="1"/>
  <c r="AK257" i="68"/>
  <c r="BU257" i="68" s="1"/>
  <c r="T257" i="68"/>
  <c r="BC257" i="68"/>
  <c r="AI90" i="88"/>
  <c r="AI91" i="88" s="1"/>
  <c r="BT266" i="68"/>
  <c r="BT272" i="68" s="1"/>
  <c r="BT274" i="68" s="1"/>
  <c r="F126" i="135"/>
  <c r="H126" i="135"/>
  <c r="T60" i="127"/>
  <c r="T63" i="127"/>
  <c r="T62" i="127"/>
  <c r="T61" i="127"/>
  <c r="U52" i="87"/>
  <c r="T67" i="127"/>
  <c r="R132" i="88"/>
  <c r="T43" i="87"/>
  <c r="T44" i="87" s="1"/>
  <c r="S90" i="87"/>
  <c r="T45" i="87"/>
  <c r="S46" i="87"/>
  <c r="A21" i="135"/>
  <c r="R24" i="105"/>
  <c r="S23" i="105"/>
  <c r="S79" i="105"/>
  <c r="R80" i="105"/>
  <c r="T51" i="105"/>
  <c r="S52" i="105"/>
  <c r="T107" i="105"/>
  <c r="S108" i="105"/>
  <c r="Q61" i="87"/>
  <c r="P91" i="87"/>
  <c r="P72" i="105"/>
  <c r="X74" i="105"/>
  <c r="P101" i="105"/>
  <c r="Q100" i="87"/>
  <c r="P45" i="105"/>
  <c r="R100" i="105"/>
  <c r="Q79" i="87"/>
  <c r="P97" i="87"/>
  <c r="Q88" i="87"/>
  <c r="AB18" i="105"/>
  <c r="S70" i="87"/>
  <c r="V73" i="105"/>
  <c r="Y44" i="105"/>
  <c r="Q94" i="87"/>
  <c r="Q17" i="105"/>
  <c r="AC46" i="105"/>
  <c r="O16" i="105"/>
  <c r="Q99" i="88" l="1"/>
  <c r="T123" i="88"/>
  <c r="T124" i="88" s="1"/>
  <c r="T130" i="88" s="1"/>
  <c r="BE355" i="68"/>
  <c r="BE360" i="68" s="1"/>
  <c r="BE362" i="68" s="1"/>
  <c r="AK123" i="88"/>
  <c r="AK124" i="88" s="1"/>
  <c r="AK130" i="88" s="1"/>
  <c r="BV355" i="68"/>
  <c r="BV360" i="68" s="1"/>
  <c r="BV362" i="68" s="1"/>
  <c r="S123" i="88"/>
  <c r="S124" i="88" s="1"/>
  <c r="S130" i="88" s="1"/>
  <c r="S132" i="88" s="1"/>
  <c r="T132" i="88" s="1"/>
  <c r="U132" i="88" s="1"/>
  <c r="V132" i="88" s="1"/>
  <c r="W132" i="88" s="1"/>
  <c r="X132" i="88" s="1"/>
  <c r="Y132" i="88" s="1"/>
  <c r="Z132" i="88" s="1"/>
  <c r="AA132" i="88" s="1"/>
  <c r="AB132" i="88" s="1"/>
  <c r="AC132" i="88" s="1"/>
  <c r="AD132" i="88" s="1"/>
  <c r="AE132" i="88" s="1"/>
  <c r="AF132" i="88" s="1"/>
  <c r="AG132" i="88" s="1"/>
  <c r="AH132" i="88" s="1"/>
  <c r="AI132" i="88" s="1"/>
  <c r="AJ132" i="88" s="1"/>
  <c r="AK132" i="88" s="1"/>
  <c r="D134" i="88" s="1"/>
  <c r="B8" i="134" s="1"/>
  <c r="I8" i="134" s="1"/>
  <c r="BD355" i="68"/>
  <c r="BD360" i="68" s="1"/>
  <c r="BD362" i="68" s="1"/>
  <c r="BD363" i="68" s="1"/>
  <c r="BE363" i="68" s="1"/>
  <c r="BF363" i="68" s="1"/>
  <c r="BG363" i="68" s="1"/>
  <c r="BH363" i="68" s="1"/>
  <c r="BI363" i="68" s="1"/>
  <c r="BJ363" i="68" s="1"/>
  <c r="BK363" i="68" s="1"/>
  <c r="BL363" i="68" s="1"/>
  <c r="BM363" i="68" s="1"/>
  <c r="BN363" i="68" s="1"/>
  <c r="BO363" i="68" s="1"/>
  <c r="BP363" i="68" s="1"/>
  <c r="BQ363" i="68" s="1"/>
  <c r="BR363" i="68" s="1"/>
  <c r="BS363" i="68" s="1"/>
  <c r="BT363" i="68" s="1"/>
  <c r="BU363" i="68" s="1"/>
  <c r="BV363" i="68" s="1"/>
  <c r="AN364" i="68" s="1"/>
  <c r="E130" i="135"/>
  <c r="K75" i="105"/>
  <c r="J76" i="105"/>
  <c r="J82" i="105" s="1"/>
  <c r="J84" i="105" s="1"/>
  <c r="K103" i="105"/>
  <c r="J104" i="105"/>
  <c r="J110" i="105" s="1"/>
  <c r="J112" i="105" s="1"/>
  <c r="J20" i="105"/>
  <c r="J26" i="105" s="1"/>
  <c r="J28" i="105" s="1"/>
  <c r="K19" i="105"/>
  <c r="K47" i="105"/>
  <c r="J48" i="105"/>
  <c r="J54" i="105" s="1"/>
  <c r="J56" i="105" s="1"/>
  <c r="R90" i="88"/>
  <c r="R91" i="88" s="1"/>
  <c r="R97" i="88" s="1"/>
  <c r="R99" i="88" s="1"/>
  <c r="BC266" i="68"/>
  <c r="BC272" i="68" s="1"/>
  <c r="BC274" i="68" s="1"/>
  <c r="BC275" i="68" s="1"/>
  <c r="U257" i="68"/>
  <c r="BE257" i="68" s="1"/>
  <c r="AL257" i="68"/>
  <c r="BV257" i="68" s="1"/>
  <c r="BD257" i="68"/>
  <c r="AI97" i="88"/>
  <c r="AJ90" i="88"/>
  <c r="AJ91" i="88" s="1"/>
  <c r="AJ97" i="88" s="1"/>
  <c r="BU266" i="68"/>
  <c r="BU272" i="68" s="1"/>
  <c r="BU274" i="68" s="1"/>
  <c r="U60" i="127"/>
  <c r="U63" i="127"/>
  <c r="U62" i="127"/>
  <c r="U61" i="127"/>
  <c r="V52" i="87"/>
  <c r="U67" i="127"/>
  <c r="U43" i="87"/>
  <c r="U44" i="87" s="1"/>
  <c r="T90" i="87"/>
  <c r="T46" i="87"/>
  <c r="U45" i="87"/>
  <c r="A22" i="135"/>
  <c r="T108" i="105"/>
  <c r="U107" i="105"/>
  <c r="U51" i="105"/>
  <c r="T52" i="105"/>
  <c r="T79" i="105"/>
  <c r="S80" i="105"/>
  <c r="S24" i="105"/>
  <c r="T23" i="105"/>
  <c r="R100" i="87"/>
  <c r="Q91" i="87"/>
  <c r="S100" i="105"/>
  <c r="Q101" i="105"/>
  <c r="W73" i="105"/>
  <c r="Y74" i="105"/>
  <c r="R61" i="87"/>
  <c r="Q97" i="87"/>
  <c r="R17" i="105"/>
  <c r="Q45" i="105"/>
  <c r="P16" i="105"/>
  <c r="R79" i="87"/>
  <c r="Z44" i="105"/>
  <c r="AC18" i="105"/>
  <c r="T70" i="87"/>
  <c r="AD46" i="105"/>
  <c r="R88" i="87"/>
  <c r="Q72" i="105"/>
  <c r="R94" i="87"/>
  <c r="L47" i="105" l="1"/>
  <c r="K48" i="105"/>
  <c r="K54" i="105" s="1"/>
  <c r="K56" i="105" s="1"/>
  <c r="K20" i="105"/>
  <c r="K26" i="105" s="1"/>
  <c r="K28" i="105" s="1"/>
  <c r="L19" i="105"/>
  <c r="K104" i="105"/>
  <c r="K110" i="105" s="1"/>
  <c r="K112" i="105" s="1"/>
  <c r="L103" i="105"/>
  <c r="L75" i="105"/>
  <c r="K76" i="105"/>
  <c r="K82" i="105" s="1"/>
  <c r="K84" i="105" s="1"/>
  <c r="BE266" i="68"/>
  <c r="BE272" i="68" s="1"/>
  <c r="BE274" i="68" s="1"/>
  <c r="T90" i="88"/>
  <c r="T91" i="88" s="1"/>
  <c r="T97" i="88" s="1"/>
  <c r="S90" i="88"/>
  <c r="S91" i="88" s="1"/>
  <c r="S97" i="88" s="1"/>
  <c r="S99" i="88" s="1"/>
  <c r="BD266" i="68"/>
  <c r="BD272" i="68" s="1"/>
  <c r="BD274" i="68" s="1"/>
  <c r="BD275" i="68" s="1"/>
  <c r="AK90" i="88"/>
  <c r="AK91" i="88" s="1"/>
  <c r="BV266" i="68"/>
  <c r="BV272" i="68" s="1"/>
  <c r="BV274" i="68" s="1"/>
  <c r="V61" i="127"/>
  <c r="V60" i="127"/>
  <c r="V63" i="127"/>
  <c r="V62" i="127"/>
  <c r="W52" i="87"/>
  <c r="V67" i="127"/>
  <c r="V43" i="87"/>
  <c r="V44" i="87" s="1"/>
  <c r="U90" i="87"/>
  <c r="U46" i="87"/>
  <c r="V45" i="87"/>
  <c r="A23" i="135"/>
  <c r="T24" i="105"/>
  <c r="U23" i="105"/>
  <c r="T80" i="105"/>
  <c r="U79" i="105"/>
  <c r="V51" i="105"/>
  <c r="U52" i="105"/>
  <c r="V107" i="105"/>
  <c r="U108" i="105"/>
  <c r="AA44" i="105"/>
  <c r="R45" i="105"/>
  <c r="S61" i="87"/>
  <c r="R91" i="87"/>
  <c r="S100" i="87"/>
  <c r="AE46" i="105"/>
  <c r="S17" i="105"/>
  <c r="Z74" i="105"/>
  <c r="S79" i="87"/>
  <c r="X73" i="105"/>
  <c r="R101" i="105"/>
  <c r="U70" i="87"/>
  <c r="Q16" i="105"/>
  <c r="R72" i="105"/>
  <c r="S94" i="87"/>
  <c r="R97" i="87"/>
  <c r="S88" i="87"/>
  <c r="AD18" i="105"/>
  <c r="T100" i="105"/>
  <c r="BE275" i="68" l="1"/>
  <c r="BF275" i="68" s="1"/>
  <c r="BG275" i="68" s="1"/>
  <c r="BH275" i="68" s="1"/>
  <c r="BI275" i="68" s="1"/>
  <c r="BJ275" i="68" s="1"/>
  <c r="BK275" i="68" s="1"/>
  <c r="BL275" i="68" s="1"/>
  <c r="BM275" i="68" s="1"/>
  <c r="BN275" i="68" s="1"/>
  <c r="BO275" i="68" s="1"/>
  <c r="BP275" i="68" s="1"/>
  <c r="BQ275" i="68" s="1"/>
  <c r="BR275" i="68" s="1"/>
  <c r="BS275" i="68" s="1"/>
  <c r="BT275" i="68" s="1"/>
  <c r="BU275" i="68" s="1"/>
  <c r="L76" i="105"/>
  <c r="L82" i="105" s="1"/>
  <c r="L84" i="105" s="1"/>
  <c r="M75" i="105"/>
  <c r="L104" i="105"/>
  <c r="L110" i="105" s="1"/>
  <c r="L112" i="105" s="1"/>
  <c r="M103" i="105"/>
  <c r="L20" i="105"/>
  <c r="L26" i="105" s="1"/>
  <c r="L28" i="105" s="1"/>
  <c r="M19" i="105"/>
  <c r="M47" i="105"/>
  <c r="L48" i="105"/>
  <c r="L54" i="105" s="1"/>
  <c r="L56" i="105" s="1"/>
  <c r="BV275" i="68"/>
  <c r="AN276" i="68" s="1"/>
  <c r="T99" i="88"/>
  <c r="U99" i="88" s="1"/>
  <c r="V99" i="88" s="1"/>
  <c r="W99" i="88" s="1"/>
  <c r="X99" i="88" s="1"/>
  <c r="Y99" i="88" s="1"/>
  <c r="Z99" i="88" s="1"/>
  <c r="AA99" i="88" s="1"/>
  <c r="AB99" i="88" s="1"/>
  <c r="AC99" i="88" s="1"/>
  <c r="AD99" i="88" s="1"/>
  <c r="AE99" i="88" s="1"/>
  <c r="AF99" i="88" s="1"/>
  <c r="AG99" i="88" s="1"/>
  <c r="AH99" i="88" s="1"/>
  <c r="AI99" i="88" s="1"/>
  <c r="AJ99" i="88" s="1"/>
  <c r="AK97" i="88"/>
  <c r="D130" i="135"/>
  <c r="W61" i="127"/>
  <c r="W63" i="127"/>
  <c r="W62" i="127"/>
  <c r="W60" i="127"/>
  <c r="X52" i="87"/>
  <c r="W67" i="127"/>
  <c r="W43" i="87"/>
  <c r="W44" i="87" s="1"/>
  <c r="V90" i="87"/>
  <c r="V46" i="87"/>
  <c r="W45" i="87"/>
  <c r="A24" i="135"/>
  <c r="V108" i="105"/>
  <c r="W107" i="105"/>
  <c r="V52" i="105"/>
  <c r="W51" i="105"/>
  <c r="V79" i="105"/>
  <c r="U80" i="105"/>
  <c r="V23" i="105"/>
  <c r="U24" i="105"/>
  <c r="U100" i="105"/>
  <c r="S72" i="105"/>
  <c r="S101" i="105"/>
  <c r="S97" i="87"/>
  <c r="Y73" i="105"/>
  <c r="AE18" i="105"/>
  <c r="R16" i="105"/>
  <c r="V70" i="87"/>
  <c r="T79" i="87"/>
  <c r="T17" i="105"/>
  <c r="T94" i="87"/>
  <c r="T61" i="87"/>
  <c r="AA74" i="105"/>
  <c r="S91" i="87"/>
  <c r="AF46" i="105"/>
  <c r="T100" i="87"/>
  <c r="AB44" i="105"/>
  <c r="T88" i="87"/>
  <c r="S45" i="105"/>
  <c r="N47" i="105" l="1"/>
  <c r="M48" i="105"/>
  <c r="M54" i="105" s="1"/>
  <c r="M56" i="105" s="1"/>
  <c r="M20" i="105"/>
  <c r="M26" i="105" s="1"/>
  <c r="M28" i="105" s="1"/>
  <c r="N19" i="105"/>
  <c r="N103" i="105"/>
  <c r="M104" i="105"/>
  <c r="M110" i="105" s="1"/>
  <c r="M112" i="105" s="1"/>
  <c r="N75" i="105"/>
  <c r="M76" i="105"/>
  <c r="M82" i="105" s="1"/>
  <c r="M84" i="105" s="1"/>
  <c r="AK99" i="88"/>
  <c r="D101" i="88" s="1"/>
  <c r="B7" i="134" s="1"/>
  <c r="I7" i="134" s="1"/>
  <c r="X61" i="127"/>
  <c r="X60" i="127"/>
  <c r="X62" i="127"/>
  <c r="X63" i="127"/>
  <c r="Y52" i="87"/>
  <c r="X67" i="127"/>
  <c r="X43" i="87"/>
  <c r="X44" i="87" s="1"/>
  <c r="W90" i="87"/>
  <c r="W46" i="87"/>
  <c r="X45" i="87"/>
  <c r="A25" i="135"/>
  <c r="V24" i="105"/>
  <c r="W23" i="105"/>
  <c r="W79" i="105"/>
  <c r="V80" i="105"/>
  <c r="W52" i="105"/>
  <c r="X51" i="105"/>
  <c r="W108" i="105"/>
  <c r="X107" i="105"/>
  <c r="T45" i="105"/>
  <c r="T97" i="87"/>
  <c r="U17" i="105"/>
  <c r="U100" i="87"/>
  <c r="W70" i="87"/>
  <c r="Z73" i="105"/>
  <c r="T72" i="105"/>
  <c r="AF18" i="105"/>
  <c r="AB74" i="105"/>
  <c r="AG46" i="105"/>
  <c r="S16" i="105"/>
  <c r="U88" i="87"/>
  <c r="U61" i="87"/>
  <c r="T101" i="105"/>
  <c r="V100" i="105"/>
  <c r="AC44" i="105"/>
  <c r="T91" i="87"/>
  <c r="U94" i="87"/>
  <c r="U79" i="87"/>
  <c r="O103" i="105" l="1"/>
  <c r="N104" i="105"/>
  <c r="N110" i="105" s="1"/>
  <c r="N112" i="105" s="1"/>
  <c r="O75" i="105"/>
  <c r="N76" i="105"/>
  <c r="N82" i="105" s="1"/>
  <c r="N84" i="105" s="1"/>
  <c r="O47" i="105"/>
  <c r="N48" i="105"/>
  <c r="N54" i="105" s="1"/>
  <c r="N56" i="105" s="1"/>
  <c r="N20" i="105"/>
  <c r="N26" i="105" s="1"/>
  <c r="N28" i="105" s="1"/>
  <c r="O19" i="105"/>
  <c r="Y63" i="127"/>
  <c r="Y62" i="127"/>
  <c r="Y60" i="127"/>
  <c r="Y61" i="127"/>
  <c r="Z52" i="87"/>
  <c r="Y67" i="127"/>
  <c r="Y43" i="87"/>
  <c r="Y44" i="87" s="1"/>
  <c r="X90" i="87"/>
  <c r="Y45" i="87"/>
  <c r="X46" i="87"/>
  <c r="A26" i="135"/>
  <c r="X108" i="105"/>
  <c r="Y107" i="105"/>
  <c r="Y51" i="105"/>
  <c r="X52" i="105"/>
  <c r="W80" i="105"/>
  <c r="X79" i="105"/>
  <c r="X23" i="105"/>
  <c r="W24" i="105"/>
  <c r="V79" i="87"/>
  <c r="AD44" i="105"/>
  <c r="V61" i="87"/>
  <c r="AC74" i="105"/>
  <c r="AA73" i="105"/>
  <c r="V17" i="105"/>
  <c r="V94" i="87"/>
  <c r="U45" i="105"/>
  <c r="W100" i="105"/>
  <c r="V88" i="87"/>
  <c r="U72" i="105"/>
  <c r="AH46" i="105"/>
  <c r="V100" i="87"/>
  <c r="T16" i="105"/>
  <c r="AG18" i="105"/>
  <c r="X70" i="87"/>
  <c r="U97" i="87"/>
  <c r="U91" i="87"/>
  <c r="U101" i="105"/>
  <c r="P75" i="105" l="1"/>
  <c r="O76" i="105"/>
  <c r="O82" i="105" s="1"/>
  <c r="O84" i="105" s="1"/>
  <c r="O48" i="105"/>
  <c r="O54" i="105" s="1"/>
  <c r="O56" i="105" s="1"/>
  <c r="P47" i="105"/>
  <c r="P103" i="105"/>
  <c r="O104" i="105"/>
  <c r="O110" i="105" s="1"/>
  <c r="O112" i="105" s="1"/>
  <c r="O20" i="105"/>
  <c r="O26" i="105" s="1"/>
  <c r="O28" i="105" s="1"/>
  <c r="P19" i="105"/>
  <c r="Z63" i="127"/>
  <c r="Z62" i="127"/>
  <c r="Z61" i="127"/>
  <c r="Z60" i="127"/>
  <c r="AA52" i="87"/>
  <c r="Z67" i="127"/>
  <c r="Z43" i="87"/>
  <c r="Z44" i="87" s="1"/>
  <c r="Y90" i="87"/>
  <c r="Y46" i="87"/>
  <c r="Z45" i="87"/>
  <c r="A27" i="135"/>
  <c r="X80" i="105"/>
  <c r="Y79" i="105"/>
  <c r="Y23" i="105"/>
  <c r="X24" i="105"/>
  <c r="Y52" i="105"/>
  <c r="Z51" i="105"/>
  <c r="Y108" i="105"/>
  <c r="Z107" i="105"/>
  <c r="V101" i="105"/>
  <c r="Y70" i="87"/>
  <c r="W17" i="105"/>
  <c r="AI46" i="105"/>
  <c r="W88" i="87"/>
  <c r="X100" i="105"/>
  <c r="AB73" i="105"/>
  <c r="W61" i="87"/>
  <c r="V91" i="87"/>
  <c r="AH18" i="105"/>
  <c r="W94" i="87"/>
  <c r="V72" i="105"/>
  <c r="V97" i="87"/>
  <c r="W79" i="87"/>
  <c r="AE44" i="105"/>
  <c r="U16" i="105"/>
  <c r="W100" i="87"/>
  <c r="AD74" i="105"/>
  <c r="V45" i="105"/>
  <c r="P20" i="105" l="1"/>
  <c r="P26" i="105" s="1"/>
  <c r="P28" i="105" s="1"/>
  <c r="Q19" i="105"/>
  <c r="Q103" i="105"/>
  <c r="P104" i="105"/>
  <c r="P110" i="105" s="1"/>
  <c r="P112" i="105" s="1"/>
  <c r="Q47" i="105"/>
  <c r="P48" i="105"/>
  <c r="P54" i="105" s="1"/>
  <c r="P56" i="105" s="1"/>
  <c r="P76" i="105"/>
  <c r="P82" i="105" s="1"/>
  <c r="P84" i="105" s="1"/>
  <c r="Q75" i="105"/>
  <c r="AA60" i="127"/>
  <c r="AA63" i="127"/>
  <c r="AA62" i="127"/>
  <c r="AA61" i="127"/>
  <c r="AB52" i="87"/>
  <c r="AB67" i="127" s="1"/>
  <c r="AA67" i="127"/>
  <c r="AA43" i="87"/>
  <c r="AA44" i="87" s="1"/>
  <c r="Z90" i="87"/>
  <c r="Z46" i="87"/>
  <c r="AA45" i="87"/>
  <c r="A28" i="135"/>
  <c r="Z108" i="105"/>
  <c r="AA107" i="105"/>
  <c r="Z52" i="105"/>
  <c r="AA51" i="105"/>
  <c r="Y24" i="105"/>
  <c r="Z23" i="105"/>
  <c r="Z79" i="105"/>
  <c r="Y80" i="105"/>
  <c r="Z70" i="87"/>
  <c r="AI18" i="105"/>
  <c r="X88" i="87"/>
  <c r="X17" i="105"/>
  <c r="X61" i="87"/>
  <c r="W45" i="105"/>
  <c r="X100" i="87"/>
  <c r="W97" i="87"/>
  <c r="W91" i="87"/>
  <c r="AC73" i="105"/>
  <c r="Y100" i="105"/>
  <c r="W72" i="105"/>
  <c r="AE74" i="105"/>
  <c r="X94" i="87"/>
  <c r="V16" i="105"/>
  <c r="X79" i="87"/>
  <c r="AJ46" i="105"/>
  <c r="W101" i="105"/>
  <c r="AF44" i="105"/>
  <c r="R47" i="105" l="1"/>
  <c r="Q48" i="105"/>
  <c r="Q54" i="105" s="1"/>
  <c r="Q56" i="105" s="1"/>
  <c r="Q20" i="105"/>
  <c r="Q26" i="105" s="1"/>
  <c r="Q28" i="105" s="1"/>
  <c r="R19" i="105"/>
  <c r="Q104" i="105"/>
  <c r="Q110" i="105" s="1"/>
  <c r="Q112" i="105" s="1"/>
  <c r="R103" i="105"/>
  <c r="R75" i="105"/>
  <c r="Q76" i="105"/>
  <c r="Q82" i="105" s="1"/>
  <c r="Q84" i="105" s="1"/>
  <c r="AB62" i="127"/>
  <c r="AB61" i="127"/>
  <c r="AB60" i="127"/>
  <c r="AB63" i="127"/>
  <c r="AC52" i="87"/>
  <c r="AB43" i="87"/>
  <c r="AB44" i="87" s="1"/>
  <c r="AA90" i="87"/>
  <c r="AB45" i="87"/>
  <c r="AA46" i="87"/>
  <c r="A29" i="135"/>
  <c r="AA79" i="105"/>
  <c r="Z80" i="105"/>
  <c r="AA23" i="105"/>
  <c r="Z24" i="105"/>
  <c r="AB51" i="105"/>
  <c r="AA52" i="105"/>
  <c r="AA108" i="105"/>
  <c r="AB107" i="105"/>
  <c r="AF74" i="105"/>
  <c r="Y100" i="87"/>
  <c r="X101" i="105"/>
  <c r="AD73" i="105"/>
  <c r="Y17" i="105"/>
  <c r="Z100" i="105"/>
  <c r="X45" i="105"/>
  <c r="AA70" i="87"/>
  <c r="W16" i="105"/>
  <c r="AG44" i="105"/>
  <c r="AK46" i="105"/>
  <c r="X72" i="105"/>
  <c r="X97" i="87"/>
  <c r="X91" i="87"/>
  <c r="Y88" i="87"/>
  <c r="Y79" i="87"/>
  <c r="Y61" i="87"/>
  <c r="Y94" i="87"/>
  <c r="AJ18" i="105"/>
  <c r="S75" i="105" l="1"/>
  <c r="R76" i="105"/>
  <c r="R82" i="105" s="1"/>
  <c r="R84" i="105" s="1"/>
  <c r="R20" i="105"/>
  <c r="R26" i="105" s="1"/>
  <c r="R28" i="105" s="1"/>
  <c r="S19" i="105"/>
  <c r="S103" i="105"/>
  <c r="R104" i="105"/>
  <c r="R110" i="105" s="1"/>
  <c r="R112" i="105" s="1"/>
  <c r="R48" i="105"/>
  <c r="R54" i="105" s="1"/>
  <c r="R56" i="105" s="1"/>
  <c r="S47" i="105"/>
  <c r="AC60" i="127"/>
  <c r="AC62" i="127"/>
  <c r="AC63" i="127"/>
  <c r="AC61" i="127"/>
  <c r="AD52" i="87"/>
  <c r="AC67" i="127"/>
  <c r="AC43" i="87"/>
  <c r="AC44" i="87" s="1"/>
  <c r="AB90" i="87"/>
  <c r="AB46" i="87"/>
  <c r="AC45" i="87"/>
  <c r="A30" i="135"/>
  <c r="AC51" i="105"/>
  <c r="AB52" i="105"/>
  <c r="AC107" i="105"/>
  <c r="AB108" i="105"/>
  <c r="AA24" i="105"/>
  <c r="AB23" i="105"/>
  <c r="AB79" i="105"/>
  <c r="AA80" i="105"/>
  <c r="AE73" i="105"/>
  <c r="AH44" i="105"/>
  <c r="Y91" i="87"/>
  <c r="Y97" i="87"/>
  <c r="X16" i="105"/>
  <c r="AA100" i="105"/>
  <c r="Y101" i="105"/>
  <c r="Z61" i="87"/>
  <c r="Z17" i="105"/>
  <c r="AB70" i="87"/>
  <c r="AG74" i="105"/>
  <c r="Y72" i="105"/>
  <c r="Z79" i="87"/>
  <c r="Y45" i="105"/>
  <c r="AK18" i="105"/>
  <c r="Z94" i="87"/>
  <c r="Z88" i="87"/>
  <c r="Z100" i="87"/>
  <c r="T47" i="105" l="1"/>
  <c r="S48" i="105"/>
  <c r="S54" i="105" s="1"/>
  <c r="S56" i="105" s="1"/>
  <c r="S20" i="105"/>
  <c r="S26" i="105" s="1"/>
  <c r="S28" i="105" s="1"/>
  <c r="T19" i="105"/>
  <c r="S104" i="105"/>
  <c r="S110" i="105" s="1"/>
  <c r="S112" i="105" s="1"/>
  <c r="T103" i="105"/>
  <c r="T75" i="105"/>
  <c r="S76" i="105"/>
  <c r="S82" i="105" s="1"/>
  <c r="S84" i="105" s="1"/>
  <c r="AD60" i="127"/>
  <c r="AD63" i="127"/>
  <c r="AD62" i="127"/>
  <c r="AD61" i="127"/>
  <c r="AE52" i="87"/>
  <c r="AD67" i="127"/>
  <c r="AD43" i="87"/>
  <c r="AD44" i="87" s="1"/>
  <c r="AC90" i="87"/>
  <c r="AC46" i="87"/>
  <c r="AD45" i="87"/>
  <c r="A31" i="135"/>
  <c r="AB24" i="105"/>
  <c r="AC23" i="105"/>
  <c r="AC108" i="105"/>
  <c r="AD107" i="105"/>
  <c r="AC79" i="105"/>
  <c r="AB80" i="105"/>
  <c r="AD51" i="105"/>
  <c r="AC52" i="105"/>
  <c r="AH74" i="105"/>
  <c r="Y16" i="105"/>
  <c r="Z72" i="105"/>
  <c r="AA94" i="87"/>
  <c r="AB100" i="105"/>
  <c r="AA88" i="87"/>
  <c r="AA17" i="105"/>
  <c r="AA100" i="87"/>
  <c r="Z91" i="87"/>
  <c r="Z45" i="105"/>
  <c r="AA61" i="87"/>
  <c r="Z97" i="87"/>
  <c r="AF73" i="105"/>
  <c r="AC70" i="87"/>
  <c r="AI44" i="105"/>
  <c r="AA79" i="87"/>
  <c r="Z101" i="105"/>
  <c r="U75" i="105" l="1"/>
  <c r="T76" i="105"/>
  <c r="T82" i="105" s="1"/>
  <c r="T84" i="105" s="1"/>
  <c r="U103" i="105"/>
  <c r="T104" i="105"/>
  <c r="T110" i="105" s="1"/>
  <c r="T112" i="105" s="1"/>
  <c r="T20" i="105"/>
  <c r="T26" i="105" s="1"/>
  <c r="T28" i="105" s="1"/>
  <c r="U19" i="105"/>
  <c r="T48" i="105"/>
  <c r="T54" i="105" s="1"/>
  <c r="T56" i="105" s="1"/>
  <c r="U47" i="105"/>
  <c r="AE61" i="127"/>
  <c r="AE60" i="127"/>
  <c r="AE63" i="127"/>
  <c r="AE62" i="127"/>
  <c r="AF52" i="87"/>
  <c r="AE67" i="127"/>
  <c r="AE43" i="87"/>
  <c r="AE44" i="87" s="1"/>
  <c r="AD90" i="87"/>
  <c r="AD46" i="87"/>
  <c r="AE45" i="87"/>
  <c r="A32" i="135"/>
  <c r="AD52" i="105"/>
  <c r="AE51" i="105"/>
  <c r="AD79" i="105"/>
  <c r="AC80" i="105"/>
  <c r="AE107" i="105"/>
  <c r="AD108" i="105"/>
  <c r="AC24" i="105"/>
  <c r="AD23" i="105"/>
  <c r="AA91" i="87"/>
  <c r="Z16" i="105"/>
  <c r="AB94" i="87"/>
  <c r="AG73" i="105"/>
  <c r="AB17" i="105"/>
  <c r="AA72" i="105"/>
  <c r="AB61" i="87"/>
  <c r="AI74" i="105"/>
  <c r="AJ44" i="105"/>
  <c r="AA45" i="105"/>
  <c r="AD70" i="87"/>
  <c r="AB88" i="87"/>
  <c r="AA101" i="105"/>
  <c r="AB100" i="87"/>
  <c r="AB79" i="87"/>
  <c r="AA97" i="87"/>
  <c r="AC100" i="105"/>
  <c r="V19" i="105" l="1"/>
  <c r="U20" i="105"/>
  <c r="U26" i="105" s="1"/>
  <c r="U28" i="105" s="1"/>
  <c r="U104" i="105"/>
  <c r="U110" i="105" s="1"/>
  <c r="U112" i="105" s="1"/>
  <c r="V103" i="105"/>
  <c r="U48" i="105"/>
  <c r="U54" i="105" s="1"/>
  <c r="U56" i="105" s="1"/>
  <c r="V47" i="105"/>
  <c r="U76" i="105"/>
  <c r="U82" i="105" s="1"/>
  <c r="U84" i="105" s="1"/>
  <c r="V75" i="105"/>
  <c r="AF61" i="127"/>
  <c r="AF60" i="127"/>
  <c r="AF62" i="127"/>
  <c r="AF63" i="127"/>
  <c r="AG52" i="87"/>
  <c r="AF67" i="127"/>
  <c r="AF43" i="87"/>
  <c r="AF44" i="87" s="1"/>
  <c r="AE90" i="87"/>
  <c r="AE46" i="87"/>
  <c r="AF45" i="87"/>
  <c r="A33" i="135"/>
  <c r="AF107" i="105"/>
  <c r="AE108" i="105"/>
  <c r="AE79" i="105"/>
  <c r="AD80" i="105"/>
  <c r="AF51" i="105"/>
  <c r="AE52" i="105"/>
  <c r="AE23" i="105"/>
  <c r="AD24" i="105"/>
  <c r="AD100" i="105"/>
  <c r="AC17" i="105"/>
  <c r="AB91" i="87"/>
  <c r="AB45" i="105"/>
  <c r="AH73" i="105"/>
  <c r="AC61" i="87"/>
  <c r="AE70" i="87"/>
  <c r="AC88" i="87"/>
  <c r="AK44" i="105"/>
  <c r="AA16" i="105"/>
  <c r="AC94" i="87"/>
  <c r="AB97" i="87"/>
  <c r="AC100" i="87"/>
  <c r="AB72" i="105"/>
  <c r="AC79" i="87"/>
  <c r="AJ74" i="105"/>
  <c r="AB101" i="105"/>
  <c r="W103" i="105" l="1"/>
  <c r="V104" i="105"/>
  <c r="V110" i="105" s="1"/>
  <c r="V112" i="105" s="1"/>
  <c r="V76" i="105"/>
  <c r="V82" i="105" s="1"/>
  <c r="V84" i="105" s="1"/>
  <c r="W75" i="105"/>
  <c r="V48" i="105"/>
  <c r="V54" i="105" s="1"/>
  <c r="V56" i="105" s="1"/>
  <c r="W47" i="105"/>
  <c r="V20" i="105"/>
  <c r="V26" i="105" s="1"/>
  <c r="V28" i="105" s="1"/>
  <c r="W19" i="105"/>
  <c r="AG62" i="127"/>
  <c r="AG61" i="127"/>
  <c r="AG60" i="127"/>
  <c r="AG63" i="127"/>
  <c r="AH52" i="87"/>
  <c r="AG67" i="127"/>
  <c r="AG43" i="87"/>
  <c r="AG44" i="87" s="1"/>
  <c r="AF90" i="87"/>
  <c r="AG45" i="87"/>
  <c r="AF46" i="87"/>
  <c r="A34" i="135"/>
  <c r="AE24" i="105"/>
  <c r="AF23" i="105"/>
  <c r="AF52" i="105"/>
  <c r="AG51" i="105"/>
  <c r="AF79" i="105"/>
  <c r="AE80" i="105"/>
  <c r="AG107" i="105"/>
  <c r="AF108" i="105"/>
  <c r="AD79" i="87"/>
  <c r="AC91" i="87"/>
  <c r="AD94" i="87"/>
  <c r="AC45" i="105"/>
  <c r="AD61" i="87"/>
  <c r="AI73" i="105"/>
  <c r="AD17" i="105"/>
  <c r="AD88" i="87"/>
  <c r="AD100" i="87"/>
  <c r="AC72" i="105"/>
  <c r="AC97" i="87"/>
  <c r="AK74" i="105"/>
  <c r="AC101" i="105"/>
  <c r="AB16" i="105"/>
  <c r="AF70" i="87"/>
  <c r="AE100" i="105"/>
  <c r="W48" i="105" l="1"/>
  <c r="W54" i="105" s="1"/>
  <c r="W56" i="105" s="1"/>
  <c r="X47" i="105"/>
  <c r="W76" i="105"/>
  <c r="W82" i="105" s="1"/>
  <c r="W84" i="105" s="1"/>
  <c r="X75" i="105"/>
  <c r="W20" i="105"/>
  <c r="W26" i="105" s="1"/>
  <c r="W28" i="105" s="1"/>
  <c r="X19" i="105"/>
  <c r="W104" i="105"/>
  <c r="W110" i="105" s="1"/>
  <c r="W112" i="105" s="1"/>
  <c r="X103" i="105"/>
  <c r="AH62" i="127"/>
  <c r="AH61" i="127"/>
  <c r="AH63" i="127"/>
  <c r="AH60" i="127"/>
  <c r="AI52" i="87"/>
  <c r="AH67" i="127"/>
  <c r="AH43" i="87"/>
  <c r="AH44" i="87" s="1"/>
  <c r="AG90" i="87"/>
  <c r="AG46" i="87"/>
  <c r="AH45" i="87"/>
  <c r="A35" i="135"/>
  <c r="AG79" i="105"/>
  <c r="AF80" i="105"/>
  <c r="AG108" i="105"/>
  <c r="AH107" i="105"/>
  <c r="AH51" i="105"/>
  <c r="AG52" i="105"/>
  <c r="AG23" i="105"/>
  <c r="AF24" i="105"/>
  <c r="AD91" i="87"/>
  <c r="AE61" i="87"/>
  <c r="AD72" i="105"/>
  <c r="AE88" i="87"/>
  <c r="AE17" i="105"/>
  <c r="AJ73" i="105"/>
  <c r="AD45" i="105"/>
  <c r="AE79" i="87"/>
  <c r="AD101" i="105"/>
  <c r="AE94" i="87"/>
  <c r="AC16" i="105"/>
  <c r="AD97" i="87"/>
  <c r="AE100" i="87"/>
  <c r="AG70" i="87"/>
  <c r="AF100" i="105"/>
  <c r="X76" i="105" l="1"/>
  <c r="X82" i="105" s="1"/>
  <c r="X84" i="105" s="1"/>
  <c r="Y75" i="105"/>
  <c r="Y103" i="105"/>
  <c r="X104" i="105"/>
  <c r="X110" i="105" s="1"/>
  <c r="X112" i="105" s="1"/>
  <c r="X48" i="105"/>
  <c r="X54" i="105" s="1"/>
  <c r="X56" i="105" s="1"/>
  <c r="Y47" i="105"/>
  <c r="X20" i="105"/>
  <c r="X26" i="105" s="1"/>
  <c r="X28" i="105" s="1"/>
  <c r="Y19" i="105"/>
  <c r="AI63" i="127"/>
  <c r="AI61" i="127"/>
  <c r="AI60" i="127"/>
  <c r="AI62" i="127"/>
  <c r="AJ52" i="87"/>
  <c r="AI67" i="127"/>
  <c r="AI43" i="87"/>
  <c r="AI44" i="87" s="1"/>
  <c r="AH90" i="87"/>
  <c r="AH46" i="87"/>
  <c r="AI45" i="87"/>
  <c r="A36" i="135"/>
  <c r="AH23" i="105"/>
  <c r="AG24" i="105"/>
  <c r="AI51" i="105"/>
  <c r="AH52" i="105"/>
  <c r="AI107" i="105"/>
  <c r="AH108" i="105"/>
  <c r="AH79" i="105"/>
  <c r="AG80" i="105"/>
  <c r="AF79" i="87"/>
  <c r="AE97" i="87"/>
  <c r="AF61" i="87"/>
  <c r="AF17" i="105"/>
  <c r="AF94" i="87"/>
  <c r="AF88" i="87"/>
  <c r="AG100" i="105"/>
  <c r="AE72" i="105"/>
  <c r="AE101" i="105"/>
  <c r="AE45" i="105"/>
  <c r="AD16" i="105"/>
  <c r="AH70" i="87"/>
  <c r="AF100" i="87"/>
  <c r="AK73" i="105"/>
  <c r="AE91" i="87"/>
  <c r="Y76" i="105" l="1"/>
  <c r="Y82" i="105" s="1"/>
  <c r="Y84" i="105" s="1"/>
  <c r="Z75" i="105"/>
  <c r="Y48" i="105"/>
  <c r="Y54" i="105" s="1"/>
  <c r="Y56" i="105" s="1"/>
  <c r="Z47" i="105"/>
  <c r="Z103" i="105"/>
  <c r="Y104" i="105"/>
  <c r="Y110" i="105" s="1"/>
  <c r="Y112" i="105" s="1"/>
  <c r="Y20" i="105"/>
  <c r="Y26" i="105" s="1"/>
  <c r="Y28" i="105" s="1"/>
  <c r="Z19" i="105"/>
  <c r="AJ63" i="127"/>
  <c r="AJ62" i="127"/>
  <c r="AJ60" i="127"/>
  <c r="AJ61" i="127"/>
  <c r="AK52" i="87"/>
  <c r="AJ67" i="127"/>
  <c r="AJ43" i="87"/>
  <c r="AJ44" i="87" s="1"/>
  <c r="AI90" i="87"/>
  <c r="AJ45" i="87"/>
  <c r="AI46" i="87"/>
  <c r="A37" i="135"/>
  <c r="AI79" i="105"/>
  <c r="AH80" i="105"/>
  <c r="AI108" i="105"/>
  <c r="AJ107" i="105"/>
  <c r="AJ51" i="105"/>
  <c r="AI52" i="105"/>
  <c r="AH24" i="105"/>
  <c r="AI23" i="105"/>
  <c r="AH100" i="105"/>
  <c r="AG94" i="87"/>
  <c r="AF97" i="87"/>
  <c r="AI70" i="87"/>
  <c r="AG17" i="105"/>
  <c r="AE16" i="105"/>
  <c r="AG88" i="87"/>
  <c r="AG61" i="87"/>
  <c r="AG79" i="87"/>
  <c r="AG100" i="87"/>
  <c r="AF45" i="105"/>
  <c r="AF91" i="87"/>
  <c r="AF101" i="105"/>
  <c r="AF72" i="105"/>
  <c r="Z104" i="105" l="1"/>
  <c r="Z110" i="105" s="1"/>
  <c r="Z112" i="105" s="1"/>
  <c r="AA103" i="105"/>
  <c r="AA75" i="105"/>
  <c r="Z76" i="105"/>
  <c r="Z82" i="105" s="1"/>
  <c r="Z84" i="105" s="1"/>
  <c r="Z48" i="105"/>
  <c r="Z54" i="105" s="1"/>
  <c r="Z56" i="105" s="1"/>
  <c r="AA47" i="105"/>
  <c r="AA19" i="105"/>
  <c r="Z20" i="105"/>
  <c r="Z26" i="105" s="1"/>
  <c r="Z28" i="105" s="1"/>
  <c r="AK61" i="127"/>
  <c r="AK60" i="127"/>
  <c r="AK63" i="127"/>
  <c r="AK62" i="127"/>
  <c r="AK67" i="127"/>
  <c r="AK43" i="87"/>
  <c r="AJ90" i="87"/>
  <c r="AJ46" i="87"/>
  <c r="AK45" i="87"/>
  <c r="AK46" i="87" s="1"/>
  <c r="A38" i="135"/>
  <c r="AI24" i="105"/>
  <c r="AJ23" i="105"/>
  <c r="AJ52" i="105"/>
  <c r="AK51" i="105"/>
  <c r="AK52" i="105" s="1"/>
  <c r="AJ108" i="105"/>
  <c r="AK107" i="105"/>
  <c r="AK108" i="105" s="1"/>
  <c r="AJ79" i="105"/>
  <c r="AI80" i="105"/>
  <c r="AG91" i="87"/>
  <c r="AH88" i="87"/>
  <c r="AI100" i="105"/>
  <c r="AH79" i="87"/>
  <c r="AJ70" i="87"/>
  <c r="AG97" i="87"/>
  <c r="AH61" i="87"/>
  <c r="AG72" i="105"/>
  <c r="AH94" i="87"/>
  <c r="AG101" i="105"/>
  <c r="AG45" i="105"/>
  <c r="AH17" i="105"/>
  <c r="AH100" i="87"/>
  <c r="AF16" i="105"/>
  <c r="AB47" i="105" l="1"/>
  <c r="AA48" i="105"/>
  <c r="AA54" i="105" s="1"/>
  <c r="AA56" i="105" s="1"/>
  <c r="AB75" i="105"/>
  <c r="AA76" i="105"/>
  <c r="AA82" i="105" s="1"/>
  <c r="AA84" i="105" s="1"/>
  <c r="AB103" i="105"/>
  <c r="AA104" i="105"/>
  <c r="AA110" i="105" s="1"/>
  <c r="AA112" i="105" s="1"/>
  <c r="AA20" i="105"/>
  <c r="AA26" i="105" s="1"/>
  <c r="AA28" i="105" s="1"/>
  <c r="AB19" i="105"/>
  <c r="AK90" i="87"/>
  <c r="AK44" i="87"/>
  <c r="AK79" i="105"/>
  <c r="AK80" i="105" s="1"/>
  <c r="AJ80" i="105"/>
  <c r="AJ24" i="105"/>
  <c r="AK23" i="105"/>
  <c r="AK24" i="105" s="1"/>
  <c r="AI61" i="87"/>
  <c r="AH101" i="105"/>
  <c r="AH45" i="105"/>
  <c r="AI17" i="105"/>
  <c r="AH72" i="105"/>
  <c r="AH97" i="87"/>
  <c r="AI88" i="87"/>
  <c r="AI79" i="87"/>
  <c r="AI94" i="87"/>
  <c r="AI100" i="87"/>
  <c r="AH91" i="87"/>
  <c r="AK70" i="87"/>
  <c r="AJ100" i="105"/>
  <c r="AG16" i="105"/>
  <c r="AB104" i="105" l="1"/>
  <c r="AB110" i="105" s="1"/>
  <c r="AB112" i="105" s="1"/>
  <c r="AC103" i="105"/>
  <c r="AC75" i="105"/>
  <c r="AB76" i="105"/>
  <c r="AB82" i="105" s="1"/>
  <c r="AB84" i="105" s="1"/>
  <c r="AC47" i="105"/>
  <c r="AB48" i="105"/>
  <c r="AB54" i="105" s="1"/>
  <c r="AB56" i="105" s="1"/>
  <c r="AC19" i="105"/>
  <c r="AB20" i="105"/>
  <c r="AB26" i="105" s="1"/>
  <c r="AB28" i="105" s="1"/>
  <c r="AJ61" i="87"/>
  <c r="AJ79" i="87"/>
  <c r="AH16" i="105"/>
  <c r="AJ100" i="87"/>
  <c r="AI97" i="87"/>
  <c r="AK100" i="105"/>
  <c r="AI72" i="105"/>
  <c r="AJ94" i="87"/>
  <c r="AJ88" i="87"/>
  <c r="AI91" i="87"/>
  <c r="AJ17" i="105"/>
  <c r="AI45" i="105"/>
  <c r="AI101" i="105"/>
  <c r="AC20" i="105" l="1"/>
  <c r="AC26" i="105" s="1"/>
  <c r="AC28" i="105" s="1"/>
  <c r="AD19" i="105"/>
  <c r="AD47" i="105"/>
  <c r="AC48" i="105"/>
  <c r="AC54" i="105" s="1"/>
  <c r="AC56" i="105" s="1"/>
  <c r="AC104" i="105"/>
  <c r="AC110" i="105" s="1"/>
  <c r="AC112" i="105" s="1"/>
  <c r="AD103" i="105"/>
  <c r="AD75" i="105"/>
  <c r="AC76" i="105"/>
  <c r="AC82" i="105" s="1"/>
  <c r="AC84" i="105" s="1"/>
  <c r="AK17" i="105"/>
  <c r="AJ72" i="105"/>
  <c r="AK88" i="87"/>
  <c r="AK100" i="87"/>
  <c r="AJ101" i="105"/>
  <c r="AI16" i="105"/>
  <c r="AJ45" i="105"/>
  <c r="AK94" i="87"/>
  <c r="AK61" i="87"/>
  <c r="AK79" i="87"/>
  <c r="AJ91" i="87"/>
  <c r="AJ97" i="87"/>
  <c r="AE103" i="105" l="1"/>
  <c r="AD104" i="105"/>
  <c r="AD110" i="105" s="1"/>
  <c r="AD112" i="105" s="1"/>
  <c r="AD76" i="105"/>
  <c r="AD82" i="105" s="1"/>
  <c r="AD84" i="105" s="1"/>
  <c r="AE75" i="105"/>
  <c r="AE19" i="105"/>
  <c r="AD20" i="105"/>
  <c r="AD26" i="105" s="1"/>
  <c r="AD28" i="105" s="1"/>
  <c r="AE47" i="105"/>
  <c r="AD48" i="105"/>
  <c r="AD54" i="105" s="1"/>
  <c r="AD56" i="105" s="1"/>
  <c r="AK91" i="87"/>
  <c r="AK101" i="105"/>
  <c r="AJ16" i="105"/>
  <c r="AK97" i="87"/>
  <c r="AK45" i="105"/>
  <c r="AK72" i="105"/>
  <c r="AF47" i="105" l="1"/>
  <c r="AE48" i="105"/>
  <c r="AE54" i="105" s="1"/>
  <c r="AE56" i="105" s="1"/>
  <c r="AE20" i="105"/>
  <c r="AE26" i="105" s="1"/>
  <c r="AE28" i="105" s="1"/>
  <c r="AF19" i="105"/>
  <c r="AF103" i="105"/>
  <c r="AE104" i="105"/>
  <c r="AE110" i="105" s="1"/>
  <c r="AE112" i="105" s="1"/>
  <c r="AE76" i="105"/>
  <c r="AE82" i="105" s="1"/>
  <c r="AE84" i="105" s="1"/>
  <c r="AF75" i="105"/>
  <c r="AK16" i="105"/>
  <c r="AF76" i="105" l="1"/>
  <c r="AF82" i="105" s="1"/>
  <c r="AF84" i="105" s="1"/>
  <c r="AG75" i="105"/>
  <c r="AF48" i="105"/>
  <c r="AF54" i="105" s="1"/>
  <c r="AF56" i="105" s="1"/>
  <c r="AG47" i="105"/>
  <c r="AF104" i="105"/>
  <c r="AF110" i="105" s="1"/>
  <c r="AF112" i="105" s="1"/>
  <c r="AG103" i="105"/>
  <c r="AF20" i="105"/>
  <c r="AF26" i="105" s="1"/>
  <c r="AF28" i="105" s="1"/>
  <c r="AG19" i="105"/>
  <c r="AG104" i="105" l="1"/>
  <c r="AG110" i="105" s="1"/>
  <c r="AG112" i="105" s="1"/>
  <c r="AH103" i="105"/>
  <c r="AG48" i="105"/>
  <c r="AG54" i="105" s="1"/>
  <c r="AG56" i="105" s="1"/>
  <c r="AH47" i="105"/>
  <c r="AH75" i="105"/>
  <c r="AG76" i="105"/>
  <c r="AG82" i="105" s="1"/>
  <c r="AG84" i="105" s="1"/>
  <c r="AG20" i="105"/>
  <c r="AG26" i="105" s="1"/>
  <c r="AG28" i="105" s="1"/>
  <c r="AH19" i="105"/>
  <c r="AH76" i="105" l="1"/>
  <c r="AH82" i="105" s="1"/>
  <c r="AH84" i="105" s="1"/>
  <c r="AI75" i="105"/>
  <c r="AI47" i="105"/>
  <c r="AH48" i="105"/>
  <c r="AH54" i="105" s="1"/>
  <c r="AH56" i="105" s="1"/>
  <c r="AI103" i="105"/>
  <c r="AH104" i="105"/>
  <c r="AH20" i="105"/>
  <c r="AH26" i="105" s="1"/>
  <c r="AH28" i="105" s="1"/>
  <c r="AI19" i="105"/>
  <c r="AJ103" i="105" l="1"/>
  <c r="AI104" i="105"/>
  <c r="AI110" i="105" s="1"/>
  <c r="AH110" i="105"/>
  <c r="AH112" i="105" s="1"/>
  <c r="AJ47" i="105"/>
  <c r="AI48" i="105"/>
  <c r="AI76" i="105"/>
  <c r="AJ75" i="105"/>
  <c r="AI20" i="105"/>
  <c r="AJ19" i="105"/>
  <c r="H234" i="127"/>
  <c r="F265" i="127"/>
  <c r="G265" i="127"/>
  <c r="E234" i="127"/>
  <c r="AI112" i="105" l="1"/>
  <c r="AJ76" i="105"/>
  <c r="AJ82" i="105" s="1"/>
  <c r="AK75" i="105"/>
  <c r="AK76" i="105" s="1"/>
  <c r="AK82" i="105" s="1"/>
  <c r="AK47" i="105"/>
  <c r="AK48" i="105" s="1"/>
  <c r="AK54" i="105" s="1"/>
  <c r="AJ48" i="105"/>
  <c r="AJ54" i="105" s="1"/>
  <c r="AI82" i="105"/>
  <c r="AI84" i="105" s="1"/>
  <c r="AI54" i="105"/>
  <c r="AI56" i="105" s="1"/>
  <c r="AJ20" i="105"/>
  <c r="AJ26" i="105" s="1"/>
  <c r="AK19" i="105"/>
  <c r="AK20" i="105" s="1"/>
  <c r="AK26" i="105" s="1"/>
  <c r="AI26" i="105"/>
  <c r="AI28" i="105" s="1"/>
  <c r="AJ28" i="105" s="1"/>
  <c r="AK103" i="105"/>
  <c r="AK104" i="105" s="1"/>
  <c r="AK110" i="105" s="1"/>
  <c r="AJ104" i="105"/>
  <c r="E28" i="87"/>
  <c r="F48" i="127"/>
  <c r="E95" i="87"/>
  <c r="E280" i="127" s="1"/>
  <c r="H203" i="127"/>
  <c r="E89" i="87"/>
  <c r="E217" i="127" s="1"/>
  <c r="H28" i="87"/>
  <c r="G28" i="87"/>
  <c r="G206" i="127"/>
  <c r="G205" i="127"/>
  <c r="G237" i="127"/>
  <c r="G268" i="127"/>
  <c r="G204" i="127"/>
  <c r="G175" i="127"/>
  <c r="G172" i="127"/>
  <c r="G299" i="127"/>
  <c r="G173" i="127"/>
  <c r="G174" i="127"/>
  <c r="G297" i="127"/>
  <c r="G266" i="127"/>
  <c r="G236" i="127"/>
  <c r="G235" i="127"/>
  <c r="G267" i="127"/>
  <c r="G298" i="127"/>
  <c r="G234" i="127"/>
  <c r="G296" i="127"/>
  <c r="G203" i="127"/>
  <c r="E149" i="127"/>
  <c r="E142" i="127"/>
  <c r="E148" i="127"/>
  <c r="E145" i="127"/>
  <c r="E144" i="127"/>
  <c r="E146" i="127"/>
  <c r="E143" i="127"/>
  <c r="E147" i="127"/>
  <c r="E141" i="127"/>
  <c r="H49" i="127"/>
  <c r="H52" i="127"/>
  <c r="H53" i="127"/>
  <c r="H54" i="127"/>
  <c r="H50" i="127"/>
  <c r="H55" i="127"/>
  <c r="H51" i="127"/>
  <c r="H56" i="127"/>
  <c r="H48" i="127"/>
  <c r="I175" i="127"/>
  <c r="I266" i="127"/>
  <c r="I204" i="127"/>
  <c r="I299" i="127"/>
  <c r="I236" i="127"/>
  <c r="I174" i="127"/>
  <c r="I237" i="127"/>
  <c r="I205" i="127"/>
  <c r="I298" i="127"/>
  <c r="I172" i="127"/>
  <c r="I268" i="127"/>
  <c r="I206" i="127"/>
  <c r="I267" i="127"/>
  <c r="I173" i="127"/>
  <c r="I235" i="127"/>
  <c r="I297" i="127"/>
  <c r="I234" i="127"/>
  <c r="I296" i="127"/>
  <c r="E203" i="127"/>
  <c r="I28" i="87"/>
  <c r="F50" i="127"/>
  <c r="F53" i="127"/>
  <c r="F52" i="127"/>
  <c r="F55" i="127"/>
  <c r="F54" i="127"/>
  <c r="F51" i="127"/>
  <c r="F49" i="127"/>
  <c r="F56" i="127"/>
  <c r="F234" i="127"/>
  <c r="H297" i="127"/>
  <c r="H235" i="127"/>
  <c r="H204" i="127"/>
  <c r="H174" i="127"/>
  <c r="H175" i="127"/>
  <c r="H268" i="127"/>
  <c r="H298" i="127"/>
  <c r="H266" i="127"/>
  <c r="H173" i="127"/>
  <c r="H172" i="127"/>
  <c r="H237" i="127"/>
  <c r="H267" i="127"/>
  <c r="H299" i="127"/>
  <c r="H206" i="127"/>
  <c r="H205" i="127"/>
  <c r="H236" i="127"/>
  <c r="H296" i="127"/>
  <c r="I203" i="127"/>
  <c r="E54" i="127"/>
  <c r="E52" i="127"/>
  <c r="E53" i="127"/>
  <c r="E51" i="127"/>
  <c r="E49" i="127"/>
  <c r="E55" i="127"/>
  <c r="E50" i="127"/>
  <c r="E56" i="127"/>
  <c r="H265" i="127"/>
  <c r="E297" i="127"/>
  <c r="E174" i="127"/>
  <c r="E236" i="127"/>
  <c r="E206" i="127"/>
  <c r="E299" i="127"/>
  <c r="E268" i="127"/>
  <c r="E237" i="127"/>
  <c r="E266" i="127"/>
  <c r="E175" i="127"/>
  <c r="E204" i="127"/>
  <c r="E172" i="127"/>
  <c r="E267" i="127"/>
  <c r="E235" i="127"/>
  <c r="E298" i="127"/>
  <c r="E173" i="127"/>
  <c r="E205" i="127"/>
  <c r="E265" i="127"/>
  <c r="E296" i="127"/>
  <c r="F236" i="127"/>
  <c r="F205" i="127"/>
  <c r="F266" i="127"/>
  <c r="F173" i="127"/>
  <c r="F299" i="127"/>
  <c r="F174" i="127"/>
  <c r="F298" i="127"/>
  <c r="F237" i="127"/>
  <c r="F206" i="127"/>
  <c r="F297" i="127"/>
  <c r="F204" i="127"/>
  <c r="F175" i="127"/>
  <c r="F235" i="127"/>
  <c r="F267" i="127"/>
  <c r="F268" i="127"/>
  <c r="F172" i="127"/>
  <c r="F296" i="127"/>
  <c r="I265" i="127"/>
  <c r="G130" i="135" l="1"/>
  <c r="I130" i="135"/>
  <c r="F130" i="135"/>
  <c r="AJ110" i="105"/>
  <c r="AJ112" i="105" s="1"/>
  <c r="AK112" i="105" s="1"/>
  <c r="D114" i="105" s="1"/>
  <c r="B13" i="134" s="1"/>
  <c r="H130" i="135"/>
  <c r="AJ56" i="105"/>
  <c r="AK56" i="105" s="1"/>
  <c r="D58" i="105" s="1"/>
  <c r="B11" i="134" s="1"/>
  <c r="AK28" i="105"/>
  <c r="D30" i="105" s="1"/>
  <c r="B10" i="134" s="1"/>
  <c r="AJ84" i="105"/>
  <c r="AK84" i="105" s="1"/>
  <c r="D86" i="105" s="1"/>
  <c r="G305" i="127"/>
  <c r="I274" i="127"/>
  <c r="E215" i="127"/>
  <c r="E216" i="127"/>
  <c r="E305" i="127"/>
  <c r="F181" i="127"/>
  <c r="O39" i="87"/>
  <c r="E218" i="127"/>
  <c r="E278" i="127"/>
  <c r="E279" i="127"/>
  <c r="E277" i="127"/>
  <c r="H243" i="127"/>
  <c r="F89" i="87"/>
  <c r="F222" i="127" s="1"/>
  <c r="G274" i="127"/>
  <c r="E222" i="127"/>
  <c r="E223" i="127" s="1"/>
  <c r="F57" i="127"/>
  <c r="G243" i="127"/>
  <c r="F212" i="127"/>
  <c r="E243" i="127"/>
  <c r="F95" i="87"/>
  <c r="G95" i="87" s="1"/>
  <c r="H305" i="127"/>
  <c r="E284" i="127"/>
  <c r="E285" i="127" s="1"/>
  <c r="E48" i="127"/>
  <c r="E57" i="127" s="1"/>
  <c r="H212" i="127"/>
  <c r="H181" i="127"/>
  <c r="F145" i="127"/>
  <c r="F147" i="127"/>
  <c r="F142" i="127"/>
  <c r="F144" i="127"/>
  <c r="F146" i="127"/>
  <c r="F149" i="127"/>
  <c r="F148" i="127"/>
  <c r="F141" i="127"/>
  <c r="F143" i="127"/>
  <c r="H57" i="127"/>
  <c r="H146" i="127"/>
  <c r="H142" i="127"/>
  <c r="H143" i="127"/>
  <c r="H144" i="127"/>
  <c r="H145" i="127"/>
  <c r="H148" i="127"/>
  <c r="H149" i="127"/>
  <c r="H147" i="127"/>
  <c r="H141" i="127"/>
  <c r="E212" i="127"/>
  <c r="E92" i="87"/>
  <c r="E150" i="127"/>
  <c r="H81" i="127"/>
  <c r="H84" i="127"/>
  <c r="H79" i="127"/>
  <c r="H86" i="127"/>
  <c r="H85" i="127"/>
  <c r="H83" i="127"/>
  <c r="H87" i="127"/>
  <c r="H80" i="127"/>
  <c r="H82" i="127"/>
  <c r="H117" i="127"/>
  <c r="H111" i="127"/>
  <c r="H113" i="127"/>
  <c r="H110" i="127"/>
  <c r="H114" i="127"/>
  <c r="H115" i="127"/>
  <c r="H118" i="127"/>
  <c r="H116" i="127"/>
  <c r="H112" i="127"/>
  <c r="F81" i="127"/>
  <c r="F83" i="127"/>
  <c r="F87" i="127"/>
  <c r="F84" i="127"/>
  <c r="F82" i="127"/>
  <c r="F80" i="127"/>
  <c r="F86" i="127"/>
  <c r="F85" i="127"/>
  <c r="F79" i="127"/>
  <c r="G83" i="127"/>
  <c r="G85" i="127"/>
  <c r="G87" i="127"/>
  <c r="G84" i="127"/>
  <c r="G81" i="127"/>
  <c r="G86" i="127"/>
  <c r="G80" i="127"/>
  <c r="G82" i="127"/>
  <c r="G79" i="127"/>
  <c r="E101" i="87"/>
  <c r="H274" i="127"/>
  <c r="E81" i="127"/>
  <c r="E83" i="127"/>
  <c r="E82" i="127"/>
  <c r="E80" i="127"/>
  <c r="E85" i="127"/>
  <c r="E84" i="127"/>
  <c r="E86" i="127"/>
  <c r="E87" i="127"/>
  <c r="E79" i="127"/>
  <c r="I144" i="127"/>
  <c r="I145" i="127"/>
  <c r="I147" i="127"/>
  <c r="I146" i="127"/>
  <c r="I143" i="127"/>
  <c r="I142" i="127"/>
  <c r="I149" i="127"/>
  <c r="I148" i="127"/>
  <c r="I141" i="127"/>
  <c r="E98" i="87"/>
  <c r="E181" i="127"/>
  <c r="I243" i="127"/>
  <c r="P96" i="87"/>
  <c r="Q96" i="87" s="1"/>
  <c r="R96" i="87" s="1"/>
  <c r="S96" i="87" s="1"/>
  <c r="T96" i="87" s="1"/>
  <c r="U96" i="87" s="1"/>
  <c r="V96" i="87" s="1"/>
  <c r="W96" i="87" s="1"/>
  <c r="X96" i="87" s="1"/>
  <c r="Y96" i="87" s="1"/>
  <c r="Z96" i="87" s="1"/>
  <c r="AA96" i="87" s="1"/>
  <c r="AB96" i="87" s="1"/>
  <c r="AC96" i="87" s="1"/>
  <c r="AD96" i="87" s="1"/>
  <c r="AE96" i="87" s="1"/>
  <c r="AF96" i="87" s="1"/>
  <c r="AG96" i="87" s="1"/>
  <c r="AH96" i="87" s="1"/>
  <c r="AI96" i="87" s="1"/>
  <c r="AJ96" i="87" s="1"/>
  <c r="AK96" i="87" s="1"/>
  <c r="G212" i="127"/>
  <c r="G181" i="127"/>
  <c r="I117" i="127"/>
  <c r="I113" i="127"/>
  <c r="I118" i="127"/>
  <c r="I115" i="127"/>
  <c r="I111" i="127"/>
  <c r="I114" i="127"/>
  <c r="I112" i="127"/>
  <c r="I116" i="127"/>
  <c r="I110" i="127"/>
  <c r="I50" i="127"/>
  <c r="I49" i="127"/>
  <c r="I52" i="127"/>
  <c r="I53" i="127"/>
  <c r="I55" i="127"/>
  <c r="I54" i="127"/>
  <c r="I51" i="127"/>
  <c r="I56" i="127"/>
  <c r="I48" i="127"/>
  <c r="F305" i="127"/>
  <c r="J114" i="127"/>
  <c r="J115" i="127"/>
  <c r="J12" i="127" s="1"/>
  <c r="J117" i="127"/>
  <c r="J14" i="127" s="1"/>
  <c r="J112" i="127"/>
  <c r="J9" i="127" s="1"/>
  <c r="J111" i="127"/>
  <c r="J8" i="127" s="1"/>
  <c r="J113" i="127"/>
  <c r="J10" i="127" s="1"/>
  <c r="J116" i="127"/>
  <c r="J13" i="127" s="1"/>
  <c r="J118" i="127"/>
  <c r="J15" i="127" s="1"/>
  <c r="J110" i="127"/>
  <c r="I181" i="127"/>
  <c r="G145" i="127"/>
  <c r="G143" i="127"/>
  <c r="G147" i="127"/>
  <c r="G146" i="127"/>
  <c r="G142" i="127"/>
  <c r="G144" i="127"/>
  <c r="G148" i="127"/>
  <c r="G149" i="127"/>
  <c r="G141" i="127"/>
  <c r="E274" i="127"/>
  <c r="I305" i="127"/>
  <c r="F243" i="127"/>
  <c r="G117" i="127"/>
  <c r="G118" i="127"/>
  <c r="G116" i="127"/>
  <c r="G113" i="127"/>
  <c r="G111" i="127"/>
  <c r="G115" i="127"/>
  <c r="G112" i="127"/>
  <c r="G114" i="127"/>
  <c r="G110" i="127"/>
  <c r="F274" i="127"/>
  <c r="I212" i="127"/>
  <c r="F112" i="127"/>
  <c r="E115" i="127"/>
  <c r="E112" i="127"/>
  <c r="E116" i="127"/>
  <c r="E118" i="127"/>
  <c r="F113" i="127"/>
  <c r="E114" i="127"/>
  <c r="F114" i="127"/>
  <c r="F118" i="127"/>
  <c r="F111" i="127"/>
  <c r="E117" i="127"/>
  <c r="F116" i="127"/>
  <c r="E111" i="127"/>
  <c r="F117" i="127"/>
  <c r="E113" i="127"/>
  <c r="F115" i="127"/>
  <c r="F110" i="127"/>
  <c r="E110" i="127"/>
  <c r="I79" i="127"/>
  <c r="I86" i="127"/>
  <c r="I87" i="127"/>
  <c r="I84" i="127"/>
  <c r="I81" i="127"/>
  <c r="I85" i="127"/>
  <c r="I83" i="127"/>
  <c r="I82" i="127"/>
  <c r="I80" i="127"/>
  <c r="G54" i="127"/>
  <c r="G52" i="127"/>
  <c r="G49" i="127"/>
  <c r="G53" i="127"/>
  <c r="G51" i="127"/>
  <c r="G50" i="127"/>
  <c r="G56" i="127"/>
  <c r="B12" i="134" l="1"/>
  <c r="D116" i="105"/>
  <c r="I9" i="134"/>
  <c r="E31" i="127"/>
  <c r="E219" i="127"/>
  <c r="E225" i="127" s="1"/>
  <c r="E227" i="127" s="1"/>
  <c r="I10" i="134"/>
  <c r="G89" i="87"/>
  <c r="G218" i="127" s="1"/>
  <c r="F9" i="127"/>
  <c r="E33" i="127"/>
  <c r="E13" i="127"/>
  <c r="F12" i="127"/>
  <c r="E15" i="127"/>
  <c r="E9" i="127"/>
  <c r="P39" i="87"/>
  <c r="B5" i="135" s="1" a="1"/>
  <c r="B5" i="135" s="1"/>
  <c r="F15" i="127"/>
  <c r="E14" i="127"/>
  <c r="G14" i="127"/>
  <c r="H13" i="127"/>
  <c r="E281" i="127"/>
  <c r="E287" i="127" s="1"/>
  <c r="E289" i="127" s="1"/>
  <c r="F218" i="127"/>
  <c r="F223" i="127"/>
  <c r="F14" i="127"/>
  <c r="H15" i="127"/>
  <c r="H14" i="127"/>
  <c r="F217" i="127"/>
  <c r="F13" i="127"/>
  <c r="F8" i="127"/>
  <c r="F280" i="127"/>
  <c r="H9" i="127"/>
  <c r="H12" i="127"/>
  <c r="H10" i="127"/>
  <c r="G13" i="127"/>
  <c r="E12" i="127"/>
  <c r="F10" i="127"/>
  <c r="H8" i="127"/>
  <c r="G9" i="127"/>
  <c r="G8" i="127"/>
  <c r="G10" i="127"/>
  <c r="E8" i="127"/>
  <c r="E10" i="127"/>
  <c r="G119" i="127"/>
  <c r="I13" i="127"/>
  <c r="E119" i="127"/>
  <c r="F215" i="127"/>
  <c r="J7" i="127"/>
  <c r="J16" i="127" s="1"/>
  <c r="J6" i="127" s="1"/>
  <c r="J119" i="127"/>
  <c r="I14" i="127"/>
  <c r="E88" i="127"/>
  <c r="E7" i="127"/>
  <c r="F278" i="127"/>
  <c r="H150" i="127"/>
  <c r="P87" i="87"/>
  <c r="Q87" i="87" s="1"/>
  <c r="P42" i="87"/>
  <c r="E5" i="135" s="1" a="1"/>
  <c r="O93" i="87"/>
  <c r="P93" i="87" s="1"/>
  <c r="Q93" i="87" s="1"/>
  <c r="R93" i="87" s="1"/>
  <c r="S93" i="87" s="1"/>
  <c r="T93" i="87" s="1"/>
  <c r="U93" i="87" s="1"/>
  <c r="V93" i="87" s="1"/>
  <c r="W93" i="87" s="1"/>
  <c r="X93" i="87" s="1"/>
  <c r="Y93" i="87" s="1"/>
  <c r="Z93" i="87" s="1"/>
  <c r="AA93" i="87" s="1"/>
  <c r="AB93" i="87" s="1"/>
  <c r="AC93" i="87" s="1"/>
  <c r="AD93" i="87" s="1"/>
  <c r="AE93" i="87" s="1"/>
  <c r="AF93" i="87" s="1"/>
  <c r="AG93" i="87" s="1"/>
  <c r="AH93" i="87" s="1"/>
  <c r="AI93" i="87" s="1"/>
  <c r="AJ93" i="87" s="1"/>
  <c r="AK93" i="87" s="1"/>
  <c r="I12" i="127"/>
  <c r="G88" i="127"/>
  <c r="F284" i="127"/>
  <c r="H119" i="127"/>
  <c r="F150" i="127"/>
  <c r="F119" i="127"/>
  <c r="G7" i="127"/>
  <c r="G57" i="127"/>
  <c r="F216" i="127"/>
  <c r="G150" i="127"/>
  <c r="E247" i="127"/>
  <c r="F98" i="87"/>
  <c r="E248" i="127"/>
  <c r="E249" i="127"/>
  <c r="E246" i="127"/>
  <c r="E253" i="127"/>
  <c r="F279" i="127"/>
  <c r="G15" i="127"/>
  <c r="I8" i="127"/>
  <c r="F88" i="127"/>
  <c r="F7" i="127"/>
  <c r="E309" i="127"/>
  <c r="E310" i="127"/>
  <c r="E311" i="127"/>
  <c r="E308" i="127"/>
  <c r="F92" i="87"/>
  <c r="E315" i="127"/>
  <c r="I7" i="127"/>
  <c r="I57" i="127"/>
  <c r="I9" i="127"/>
  <c r="E70" i="127"/>
  <c r="E72" i="127" s="1"/>
  <c r="H88" i="127"/>
  <c r="H7" i="127"/>
  <c r="F31" i="127"/>
  <c r="I15" i="127"/>
  <c r="I119" i="127"/>
  <c r="E185" i="127"/>
  <c r="E186" i="127"/>
  <c r="E187" i="127"/>
  <c r="E184" i="127"/>
  <c r="E191" i="127"/>
  <c r="F101" i="87"/>
  <c r="G284" i="127"/>
  <c r="G278" i="127"/>
  <c r="G279" i="127"/>
  <c r="G280" i="127"/>
  <c r="G277" i="127"/>
  <c r="H95" i="87"/>
  <c r="G12" i="127"/>
  <c r="I88" i="127"/>
  <c r="I10" i="127"/>
  <c r="P99" i="87"/>
  <c r="Q99" i="87" s="1"/>
  <c r="R99" i="87" s="1"/>
  <c r="S99" i="87" s="1"/>
  <c r="T99" i="87" s="1"/>
  <c r="U99" i="87" s="1"/>
  <c r="V99" i="87" s="1"/>
  <c r="W99" i="87" s="1"/>
  <c r="X99" i="87" s="1"/>
  <c r="Y99" i="87" s="1"/>
  <c r="Z99" i="87" s="1"/>
  <c r="AA99" i="87" s="1"/>
  <c r="AB99" i="87" s="1"/>
  <c r="AC99" i="87" s="1"/>
  <c r="AD99" i="87" s="1"/>
  <c r="AE99" i="87" s="1"/>
  <c r="AF99" i="87" s="1"/>
  <c r="AG99" i="87" s="1"/>
  <c r="AH99" i="87" s="1"/>
  <c r="AI99" i="87" s="1"/>
  <c r="AJ99" i="87" s="1"/>
  <c r="AK99" i="87" s="1"/>
  <c r="I150" i="127"/>
  <c r="F102" i="87"/>
  <c r="G102" i="87" s="1"/>
  <c r="H102" i="87" s="1"/>
  <c r="I102" i="87" s="1"/>
  <c r="J102" i="87" s="1"/>
  <c r="K102" i="87" s="1"/>
  <c r="L102" i="87" s="1"/>
  <c r="M102" i="87" s="1"/>
  <c r="N102" i="87" s="1"/>
  <c r="O102" i="87" s="1"/>
  <c r="P102" i="87" s="1"/>
  <c r="Q102" i="87" s="1"/>
  <c r="R102" i="87" s="1"/>
  <c r="S102" i="87" s="1"/>
  <c r="T102" i="87" s="1"/>
  <c r="U102" i="87" s="1"/>
  <c r="V102" i="87" s="1"/>
  <c r="W102" i="87" s="1"/>
  <c r="X102" i="87" s="1"/>
  <c r="Y102" i="87" s="1"/>
  <c r="Z102" i="87" s="1"/>
  <c r="AA102" i="87" s="1"/>
  <c r="AB102" i="87" s="1"/>
  <c r="AC102" i="87" s="1"/>
  <c r="AD102" i="87" s="1"/>
  <c r="AE102" i="87" s="1"/>
  <c r="AF102" i="87" s="1"/>
  <c r="AG102" i="87" s="1"/>
  <c r="AH102" i="87" s="1"/>
  <c r="AI102" i="87" s="1"/>
  <c r="AJ102" i="87" s="1"/>
  <c r="AK102" i="87" s="1"/>
  <c r="F277" i="127"/>
  <c r="F160" i="127"/>
  <c r="G216" i="127" l="1"/>
  <c r="G217" i="127"/>
  <c r="H89" i="87"/>
  <c r="H218" i="127" s="1"/>
  <c r="G222" i="127"/>
  <c r="G223" i="127" s="1"/>
  <c r="G215" i="127"/>
  <c r="R87" i="87"/>
  <c r="S87" i="87" s="1"/>
  <c r="T87" i="87" s="1"/>
  <c r="U87" i="87" s="1"/>
  <c r="V87" i="87" s="1"/>
  <c r="W87" i="87" s="1"/>
  <c r="X87" i="87" s="1"/>
  <c r="Y87" i="87" s="1"/>
  <c r="Z87" i="87" s="1"/>
  <c r="AA87" i="87" s="1"/>
  <c r="AB87" i="87" s="1"/>
  <c r="AC87" i="87" s="1"/>
  <c r="AD87" i="87" s="1"/>
  <c r="AE87" i="87" s="1"/>
  <c r="AF87" i="87" s="1"/>
  <c r="AG87" i="87" s="1"/>
  <c r="AH87" i="87" s="1"/>
  <c r="AI87" i="87" s="1"/>
  <c r="AJ87" i="87" s="1"/>
  <c r="AK87" i="87" s="1"/>
  <c r="G153" i="127"/>
  <c r="H154" i="127"/>
  <c r="F156" i="127"/>
  <c r="G154" i="127"/>
  <c r="E156" i="127"/>
  <c r="G155" i="127"/>
  <c r="H155" i="127"/>
  <c r="D153" i="127"/>
  <c r="G156" i="127"/>
  <c r="E153" i="127"/>
  <c r="D154" i="127"/>
  <c r="F154" i="127"/>
  <c r="E154" i="127"/>
  <c r="D155" i="127"/>
  <c r="H153" i="127"/>
  <c r="E155" i="127"/>
  <c r="H156" i="127"/>
  <c r="F153" i="127"/>
  <c r="F155" i="127"/>
  <c r="D156" i="127"/>
  <c r="E5" i="135"/>
  <c r="E17" i="135"/>
  <c r="E18" i="135" s="1"/>
  <c r="E19" i="135" s="1"/>
  <c r="E20" i="135" s="1"/>
  <c r="E21" i="135" s="1"/>
  <c r="E22" i="135" s="1"/>
  <c r="E23" i="135" s="1"/>
  <c r="E24" i="135" s="1"/>
  <c r="E25" i="135" s="1"/>
  <c r="E26" i="135" s="1"/>
  <c r="E27" i="135" s="1"/>
  <c r="E28" i="135" s="1"/>
  <c r="E29" i="135" s="1"/>
  <c r="B17" i="135"/>
  <c r="B18" i="135" s="1"/>
  <c r="B19" i="135" s="1"/>
  <c r="B20" i="135" s="1"/>
  <c r="B21" i="135" s="1"/>
  <c r="B22" i="135" s="1"/>
  <c r="Q42" i="87"/>
  <c r="Q39" i="87"/>
  <c r="H16" i="127"/>
  <c r="H6" i="127" s="1"/>
  <c r="F16" i="127"/>
  <c r="F6" i="127" s="1"/>
  <c r="F281" i="127"/>
  <c r="E312" i="127"/>
  <c r="F26" i="127"/>
  <c r="F68" i="127"/>
  <c r="E16" i="127"/>
  <c r="E6" i="127" s="1"/>
  <c r="F253" i="127"/>
  <c r="F247" i="127"/>
  <c r="F249" i="127"/>
  <c r="F248" i="127"/>
  <c r="G98" i="87"/>
  <c r="F246" i="127"/>
  <c r="G16" i="127"/>
  <c r="G6" i="127" s="1"/>
  <c r="G285" i="127"/>
  <c r="G33" i="127"/>
  <c r="I16" i="127"/>
  <c r="I6" i="127" s="1"/>
  <c r="F132" i="127"/>
  <c r="F219" i="127"/>
  <c r="G130" i="127"/>
  <c r="G28" i="127"/>
  <c r="F186" i="127"/>
  <c r="F185" i="127"/>
  <c r="F187" i="127"/>
  <c r="F191" i="127"/>
  <c r="F184" i="127"/>
  <c r="G101" i="87"/>
  <c r="P69" i="87"/>
  <c r="Q69" i="87" s="1"/>
  <c r="P78" i="87"/>
  <c r="Q78" i="87" s="1"/>
  <c r="O41" i="87"/>
  <c r="E30" i="127"/>
  <c r="E192" i="127"/>
  <c r="G31" i="127"/>
  <c r="E132" i="127"/>
  <c r="E134" i="127" s="1"/>
  <c r="H280" i="127"/>
  <c r="H279" i="127"/>
  <c r="H278" i="127"/>
  <c r="H284" i="127"/>
  <c r="H277" i="127"/>
  <c r="I95" i="87"/>
  <c r="E32" i="127"/>
  <c r="E254" i="127"/>
  <c r="F285" i="127"/>
  <c r="F33" i="127"/>
  <c r="F161" i="127"/>
  <c r="F29" i="127"/>
  <c r="E34" i="127"/>
  <c r="E316" i="127"/>
  <c r="E250" i="127"/>
  <c r="E188" i="127"/>
  <c r="G281" i="127"/>
  <c r="F311" i="127"/>
  <c r="F309" i="127"/>
  <c r="F310" i="127"/>
  <c r="F315" i="127"/>
  <c r="F308" i="127"/>
  <c r="G92" i="87"/>
  <c r="H216" i="127"/>
  <c r="H222" i="127"/>
  <c r="H215" i="127"/>
  <c r="I89" i="87"/>
  <c r="G219" i="127" l="1"/>
  <c r="G225" i="127" s="1"/>
  <c r="H217" i="127"/>
  <c r="B23" i="135"/>
  <c r="F157" i="127"/>
  <c r="F163" i="127" s="1"/>
  <c r="E30" i="135"/>
  <c r="E31" i="135" s="1"/>
  <c r="E32" i="135" s="1"/>
  <c r="E33" i="135" s="1"/>
  <c r="E34" i="135" s="1"/>
  <c r="E35" i="135" s="1"/>
  <c r="E36" i="135" s="1"/>
  <c r="E37" i="135" s="1"/>
  <c r="E38" i="135" s="1"/>
  <c r="E157" i="127"/>
  <c r="E163" i="127" s="1"/>
  <c r="D157" i="127"/>
  <c r="F225" i="127"/>
  <c r="F227" i="127" s="1"/>
  <c r="R78" i="87"/>
  <c r="S78" i="87" s="1"/>
  <c r="T78" i="87" s="1"/>
  <c r="U78" i="87" s="1"/>
  <c r="V78" i="87" s="1"/>
  <c r="W78" i="87" s="1"/>
  <c r="X78" i="87" s="1"/>
  <c r="Y78" i="87" s="1"/>
  <c r="Z78" i="87" s="1"/>
  <c r="AA78" i="87" s="1"/>
  <c r="AB78" i="87" s="1"/>
  <c r="AC78" i="87" s="1"/>
  <c r="AD78" i="87" s="1"/>
  <c r="AE78" i="87" s="1"/>
  <c r="AF78" i="87" s="1"/>
  <c r="AG78" i="87" s="1"/>
  <c r="AH78" i="87" s="1"/>
  <c r="AI78" i="87" s="1"/>
  <c r="AJ78" i="87" s="1"/>
  <c r="AK78" i="87" s="1"/>
  <c r="G125" i="127"/>
  <c r="I123" i="127"/>
  <c r="I124" i="127"/>
  <c r="G122" i="127"/>
  <c r="H125" i="127"/>
  <c r="I125" i="127"/>
  <c r="H122" i="127"/>
  <c r="G123" i="127"/>
  <c r="H123" i="127"/>
  <c r="H124" i="127"/>
  <c r="I122" i="127"/>
  <c r="G124" i="127"/>
  <c r="J123" i="127"/>
  <c r="J124" i="127"/>
  <c r="J125" i="127"/>
  <c r="J122" i="127"/>
  <c r="K123" i="127"/>
  <c r="K125" i="127"/>
  <c r="K124" i="127"/>
  <c r="K122" i="127"/>
  <c r="L123" i="127"/>
  <c r="L122" i="127"/>
  <c r="L124" i="127"/>
  <c r="L125" i="127"/>
  <c r="M123" i="127"/>
  <c r="M124" i="127"/>
  <c r="M125" i="127"/>
  <c r="M122" i="127"/>
  <c r="N122" i="127"/>
  <c r="N125" i="127"/>
  <c r="N123" i="127"/>
  <c r="N124" i="127"/>
  <c r="O125" i="127"/>
  <c r="O122" i="127"/>
  <c r="O124" i="127"/>
  <c r="O123" i="127"/>
  <c r="R69" i="87"/>
  <c r="S69" i="87" s="1"/>
  <c r="T69" i="87" s="1"/>
  <c r="U69" i="87" s="1"/>
  <c r="V69" i="87" s="1"/>
  <c r="W69" i="87" s="1"/>
  <c r="X69" i="87" s="1"/>
  <c r="Y69" i="87" s="1"/>
  <c r="Z69" i="87" s="1"/>
  <c r="AA69" i="87" s="1"/>
  <c r="AB69" i="87" s="1"/>
  <c r="AC69" i="87" s="1"/>
  <c r="AD69" i="87" s="1"/>
  <c r="AE69" i="87" s="1"/>
  <c r="AF69" i="87" s="1"/>
  <c r="AG69" i="87" s="1"/>
  <c r="AH69" i="87" s="1"/>
  <c r="AI69" i="87" s="1"/>
  <c r="AJ69" i="87" s="1"/>
  <c r="AK69" i="87" s="1"/>
  <c r="G91" i="127"/>
  <c r="D94" i="127"/>
  <c r="D22" i="127" s="1"/>
  <c r="F94" i="127"/>
  <c r="F22" i="127" s="1"/>
  <c r="E91" i="127"/>
  <c r="D92" i="127"/>
  <c r="D20" i="127" s="1"/>
  <c r="D91" i="127"/>
  <c r="G92" i="127"/>
  <c r="E92" i="127"/>
  <c r="E20" i="127" s="1"/>
  <c r="G93" i="127"/>
  <c r="E93" i="127"/>
  <c r="E21" i="127" s="1"/>
  <c r="F92" i="127"/>
  <c r="F20" i="127" s="1"/>
  <c r="F91" i="127"/>
  <c r="F93" i="127"/>
  <c r="F21" i="127" s="1"/>
  <c r="E94" i="127"/>
  <c r="E22" i="127" s="1"/>
  <c r="G94" i="127"/>
  <c r="D93" i="127"/>
  <c r="D21" i="127" s="1"/>
  <c r="H94" i="127"/>
  <c r="H92" i="127"/>
  <c r="H93" i="127"/>
  <c r="H91" i="127"/>
  <c r="R39" i="87"/>
  <c r="R42" i="87"/>
  <c r="P41" i="87"/>
  <c r="D5" i="135" s="1" a="1"/>
  <c r="P40" i="87"/>
  <c r="C5" i="135" s="1" a="1"/>
  <c r="F134" i="127"/>
  <c r="F70" i="127"/>
  <c r="F72" i="127" s="1"/>
  <c r="H130" i="127"/>
  <c r="H219" i="127"/>
  <c r="G26" i="127"/>
  <c r="H281" i="127"/>
  <c r="E194" i="127"/>
  <c r="E196" i="127" s="1"/>
  <c r="G157" i="127"/>
  <c r="G315" i="127"/>
  <c r="G310" i="127"/>
  <c r="G311" i="127"/>
  <c r="G309" i="127"/>
  <c r="G308" i="127"/>
  <c r="H92" i="87"/>
  <c r="F312" i="127"/>
  <c r="E318" i="127"/>
  <c r="E320" i="127" s="1"/>
  <c r="H285" i="127"/>
  <c r="H33" i="127"/>
  <c r="E35" i="127"/>
  <c r="F250" i="127"/>
  <c r="G287" i="127"/>
  <c r="G253" i="127"/>
  <c r="G249" i="127"/>
  <c r="G247" i="127"/>
  <c r="G248" i="127"/>
  <c r="G246" i="127"/>
  <c r="H98" i="87"/>
  <c r="I80" i="87"/>
  <c r="F192" i="127"/>
  <c r="F30" i="127"/>
  <c r="E256" i="127"/>
  <c r="E258" i="127" s="1"/>
  <c r="I218" i="127"/>
  <c r="I222" i="127"/>
  <c r="I216" i="127"/>
  <c r="I217" i="127"/>
  <c r="I215" i="127"/>
  <c r="J89" i="87"/>
  <c r="F316" i="127"/>
  <c r="F34" i="127"/>
  <c r="H31" i="127"/>
  <c r="H223" i="127"/>
  <c r="F287" i="127"/>
  <c r="F289" i="127" s="1"/>
  <c r="G187" i="127"/>
  <c r="G186" i="127"/>
  <c r="G185" i="127"/>
  <c r="G191" i="127"/>
  <c r="G184" i="127"/>
  <c r="H101" i="87"/>
  <c r="F99" i="127"/>
  <c r="F27" i="127"/>
  <c r="F254" i="127"/>
  <c r="F32" i="127"/>
  <c r="I279" i="127"/>
  <c r="I278" i="127"/>
  <c r="I280" i="127"/>
  <c r="I284" i="127"/>
  <c r="J95" i="87"/>
  <c r="I277" i="127"/>
  <c r="F188" i="127"/>
  <c r="G161" i="127"/>
  <c r="G29" i="127"/>
  <c r="E126" i="135" l="1"/>
  <c r="B24" i="135"/>
  <c r="B25" i="135" s="1"/>
  <c r="B26" i="135" s="1"/>
  <c r="B27" i="135" s="1"/>
  <c r="B28" i="135" s="1"/>
  <c r="B29" i="135" s="1"/>
  <c r="F95" i="127"/>
  <c r="F101" i="127" s="1"/>
  <c r="F19" i="127"/>
  <c r="F23" i="127" s="1"/>
  <c r="F18" i="127" s="1"/>
  <c r="G227" i="127"/>
  <c r="D5" i="135"/>
  <c r="D16" i="135"/>
  <c r="D17" i="135" s="1"/>
  <c r="D18" i="135" s="1"/>
  <c r="D19" i="135" s="1"/>
  <c r="D20" i="135" s="1"/>
  <c r="D21" i="135" s="1"/>
  <c r="D22" i="135" s="1"/>
  <c r="D23" i="135" s="1"/>
  <c r="D24" i="135" s="1"/>
  <c r="D25" i="135" s="1"/>
  <c r="D26" i="135" s="1"/>
  <c r="D27" i="135" s="1"/>
  <c r="D28" i="135" s="1"/>
  <c r="D29" i="135" s="1"/>
  <c r="C5" i="135"/>
  <c r="C17" i="135"/>
  <c r="C18" i="135" s="1"/>
  <c r="C19" i="135" s="1"/>
  <c r="C20" i="135" s="1"/>
  <c r="C21" i="135" s="1"/>
  <c r="C22" i="135" s="1"/>
  <c r="D163" i="127"/>
  <c r="D165" i="127" s="1"/>
  <c r="E165" i="127" s="1"/>
  <c r="F165" i="127" s="1"/>
  <c r="I160" i="127"/>
  <c r="I153" i="127"/>
  <c r="I155" i="127"/>
  <c r="I154" i="127"/>
  <c r="I156" i="127"/>
  <c r="G126" i="127"/>
  <c r="G132" i="127" s="1"/>
  <c r="G134" i="127" s="1"/>
  <c r="D19" i="127"/>
  <c r="D23" i="127" s="1"/>
  <c r="D95" i="127"/>
  <c r="E95" i="127"/>
  <c r="E101" i="127" s="1"/>
  <c r="E19" i="127"/>
  <c r="E23" i="127" s="1"/>
  <c r="E18" i="127" s="1"/>
  <c r="H28" i="127"/>
  <c r="Q40" i="87"/>
  <c r="Q41" i="87"/>
  <c r="S42" i="87"/>
  <c r="S39" i="87"/>
  <c r="H126" i="127"/>
  <c r="H132" i="127" s="1"/>
  <c r="G289" i="127"/>
  <c r="G312" i="127"/>
  <c r="H26" i="127"/>
  <c r="H68" i="127"/>
  <c r="I281" i="127"/>
  <c r="H64" i="127"/>
  <c r="G70" i="127"/>
  <c r="G72" i="127" s="1"/>
  <c r="J222" i="127"/>
  <c r="J218" i="127"/>
  <c r="J217" i="127"/>
  <c r="J216" i="127"/>
  <c r="K89" i="87"/>
  <c r="J215" i="127"/>
  <c r="G32" i="127"/>
  <c r="G254" i="127"/>
  <c r="H287" i="127"/>
  <c r="F256" i="127"/>
  <c r="F258" i="127" s="1"/>
  <c r="I219" i="127"/>
  <c r="I126" i="127"/>
  <c r="H309" i="127"/>
  <c r="H310" i="127"/>
  <c r="H311" i="127"/>
  <c r="H315" i="127"/>
  <c r="H308" i="127"/>
  <c r="I92" i="87"/>
  <c r="H161" i="127"/>
  <c r="H29" i="127"/>
  <c r="G30" i="127"/>
  <c r="G192" i="127"/>
  <c r="G99" i="127"/>
  <c r="G27" i="127"/>
  <c r="G163" i="127"/>
  <c r="I62" i="87"/>
  <c r="I285" i="127"/>
  <c r="I33" i="127"/>
  <c r="G95" i="127"/>
  <c r="G19" i="127"/>
  <c r="F194" i="127"/>
  <c r="F196" i="127" s="1"/>
  <c r="H248" i="127"/>
  <c r="H247" i="127"/>
  <c r="H249" i="127"/>
  <c r="H253" i="127"/>
  <c r="H246" i="127"/>
  <c r="I98" i="87"/>
  <c r="F318" i="127"/>
  <c r="F320" i="127" s="1"/>
  <c r="H225" i="127"/>
  <c r="I31" i="127"/>
  <c r="I223" i="127"/>
  <c r="G20" i="127"/>
  <c r="I130" i="127"/>
  <c r="I28" i="127"/>
  <c r="G250" i="127"/>
  <c r="H184" i="127"/>
  <c r="H185" i="127"/>
  <c r="H186" i="127"/>
  <c r="H187" i="127"/>
  <c r="H191" i="127"/>
  <c r="I101" i="87"/>
  <c r="G22" i="127"/>
  <c r="J80" i="87"/>
  <c r="J280" i="127"/>
  <c r="J279" i="127"/>
  <c r="J278" i="127"/>
  <c r="J284" i="127"/>
  <c r="K95" i="87"/>
  <c r="J277" i="127"/>
  <c r="F35" i="127"/>
  <c r="G188" i="127"/>
  <c r="G21" i="127"/>
  <c r="H157" i="127"/>
  <c r="E25" i="127"/>
  <c r="G316" i="127"/>
  <c r="G34" i="127"/>
  <c r="C23" i="135" l="1"/>
  <c r="J22" i="135"/>
  <c r="B30" i="135"/>
  <c r="B31" i="135" s="1"/>
  <c r="B32" i="135" s="1"/>
  <c r="B33" i="135" s="1"/>
  <c r="B34" i="135" s="1"/>
  <c r="B35" i="135" s="1"/>
  <c r="B36" i="135" s="1"/>
  <c r="B37" i="135" s="1"/>
  <c r="B38" i="135" s="1"/>
  <c r="H227" i="127"/>
  <c r="H250" i="127"/>
  <c r="D30" i="135"/>
  <c r="D31" i="135" s="1"/>
  <c r="D32" i="135" s="1"/>
  <c r="D33" i="135" s="1"/>
  <c r="D34" i="135" s="1"/>
  <c r="D35" i="135" s="1"/>
  <c r="D36" i="135" s="1"/>
  <c r="D37" i="135" s="1"/>
  <c r="D38" i="135" s="1"/>
  <c r="G165" i="127"/>
  <c r="J160" i="127"/>
  <c r="J154" i="127"/>
  <c r="J153" i="127"/>
  <c r="J155" i="127"/>
  <c r="J156" i="127"/>
  <c r="H134" i="127"/>
  <c r="D101" i="127"/>
  <c r="D103" i="127" s="1"/>
  <c r="E103" i="127" s="1"/>
  <c r="F103" i="127" s="1"/>
  <c r="E37" i="127"/>
  <c r="D18" i="127"/>
  <c r="D37" i="127"/>
  <c r="D39" i="127" s="1"/>
  <c r="I98" i="127"/>
  <c r="I94" i="127"/>
  <c r="I92" i="127"/>
  <c r="I93" i="127"/>
  <c r="I91" i="127"/>
  <c r="T39" i="87"/>
  <c r="T42" i="87"/>
  <c r="R41" i="87"/>
  <c r="R40" i="87"/>
  <c r="H289" i="127"/>
  <c r="H70" i="127"/>
  <c r="H72" i="127" s="1"/>
  <c r="H188" i="127"/>
  <c r="I26" i="127"/>
  <c r="I68" i="127"/>
  <c r="J281" i="127"/>
  <c r="I157" i="127"/>
  <c r="J126" i="127"/>
  <c r="I64" i="127"/>
  <c r="K280" i="127"/>
  <c r="K279" i="127"/>
  <c r="K278" i="127"/>
  <c r="K284" i="127"/>
  <c r="K277" i="127"/>
  <c r="L95" i="87"/>
  <c r="K80" i="87"/>
  <c r="I132" i="127"/>
  <c r="H22" i="127"/>
  <c r="G194" i="127"/>
  <c r="G196" i="127" s="1"/>
  <c r="J33" i="127"/>
  <c r="J285" i="127"/>
  <c r="G23" i="127"/>
  <c r="G18" i="127" s="1"/>
  <c r="H20" i="127"/>
  <c r="G256" i="127"/>
  <c r="G258" i="127" s="1"/>
  <c r="H21" i="127"/>
  <c r="G101" i="127"/>
  <c r="H34" i="127"/>
  <c r="H316" i="127"/>
  <c r="I225" i="127"/>
  <c r="I247" i="127"/>
  <c r="I248" i="127"/>
  <c r="I253" i="127"/>
  <c r="I249" i="127"/>
  <c r="I246" i="127"/>
  <c r="J98" i="87"/>
  <c r="H99" i="127"/>
  <c r="H27" i="127"/>
  <c r="J31" i="127"/>
  <c r="J223" i="127"/>
  <c r="J130" i="127"/>
  <c r="J28" i="127"/>
  <c r="I29" i="127"/>
  <c r="I161" i="127"/>
  <c r="H254" i="127"/>
  <c r="H32" i="127"/>
  <c r="I287" i="127"/>
  <c r="H192" i="127"/>
  <c r="H30" i="127"/>
  <c r="J62" i="87"/>
  <c r="H163" i="127"/>
  <c r="I315" i="127"/>
  <c r="I310" i="127"/>
  <c r="I309" i="127"/>
  <c r="I311" i="127"/>
  <c r="I308" i="127"/>
  <c r="J92" i="87"/>
  <c r="J219" i="127"/>
  <c r="G318" i="127"/>
  <c r="G320" i="127" s="1"/>
  <c r="F25" i="127"/>
  <c r="F37" i="127"/>
  <c r="I191" i="127"/>
  <c r="I185" i="127"/>
  <c r="I186" i="127"/>
  <c r="I187" i="127"/>
  <c r="I184" i="127"/>
  <c r="J101" i="87"/>
  <c r="H95" i="127"/>
  <c r="H19" i="127"/>
  <c r="G35" i="127"/>
  <c r="H312" i="127"/>
  <c r="K222" i="127"/>
  <c r="K218" i="127"/>
  <c r="K217" i="127"/>
  <c r="K216" i="127"/>
  <c r="K215" i="127"/>
  <c r="L89" i="87"/>
  <c r="B126" i="135" l="1"/>
  <c r="C24" i="135"/>
  <c r="C25" i="135" s="1"/>
  <c r="C26" i="135" s="1"/>
  <c r="C27" i="135" s="1"/>
  <c r="C28" i="135" s="1"/>
  <c r="C29" i="135" s="1"/>
  <c r="C30" i="135" s="1"/>
  <c r="C31" i="135" s="1"/>
  <c r="C32" i="135" s="1"/>
  <c r="C33" i="135" s="1"/>
  <c r="C34" i="135" s="1"/>
  <c r="C35" i="135" s="1"/>
  <c r="C36" i="135" s="1"/>
  <c r="C37" i="135" s="1"/>
  <c r="C38" i="135" s="1"/>
  <c r="J23" i="135"/>
  <c r="I227" i="127"/>
  <c r="C126" i="135"/>
  <c r="D126" i="135"/>
  <c r="E39" i="127"/>
  <c r="F39" i="127" s="1"/>
  <c r="I134" i="127"/>
  <c r="H165" i="127"/>
  <c r="K160" i="127"/>
  <c r="K154" i="127"/>
  <c r="K156" i="127"/>
  <c r="K153" i="127"/>
  <c r="K155" i="127"/>
  <c r="G103" i="127"/>
  <c r="I289" i="127"/>
  <c r="J98" i="127"/>
  <c r="J94" i="127"/>
  <c r="J91" i="127"/>
  <c r="J93" i="127"/>
  <c r="J92" i="127"/>
  <c r="S40" i="87"/>
  <c r="S41" i="87"/>
  <c r="U42" i="87"/>
  <c r="U39" i="87"/>
  <c r="H194" i="127"/>
  <c r="H196" i="127" s="1"/>
  <c r="J64" i="127"/>
  <c r="I70" i="127"/>
  <c r="I72" i="127" s="1"/>
  <c r="J26" i="127"/>
  <c r="J68" i="127"/>
  <c r="K126" i="127"/>
  <c r="K219" i="127"/>
  <c r="I188" i="127"/>
  <c r="I312" i="127"/>
  <c r="I95" i="127"/>
  <c r="I19" i="127"/>
  <c r="I254" i="127"/>
  <c r="I32" i="127"/>
  <c r="J29" i="127"/>
  <c r="J161" i="127"/>
  <c r="H35" i="127"/>
  <c r="K62" i="87"/>
  <c r="I22" i="127"/>
  <c r="I21" i="127"/>
  <c r="H256" i="127"/>
  <c r="H258" i="127" s="1"/>
  <c r="H101" i="127"/>
  <c r="L284" i="127"/>
  <c r="L279" i="127"/>
  <c r="L278" i="127"/>
  <c r="L280" i="127"/>
  <c r="L277" i="127"/>
  <c r="M95" i="87"/>
  <c r="J287" i="127"/>
  <c r="J132" i="127"/>
  <c r="K28" i="127"/>
  <c r="K130" i="127"/>
  <c r="I34" i="127"/>
  <c r="I316" i="127"/>
  <c r="I20" i="127"/>
  <c r="I163" i="127"/>
  <c r="K281" i="127"/>
  <c r="J315" i="127"/>
  <c r="J309" i="127"/>
  <c r="J310" i="127"/>
  <c r="J311" i="127"/>
  <c r="J308" i="127"/>
  <c r="K92" i="87"/>
  <c r="K31" i="127"/>
  <c r="K223" i="127"/>
  <c r="G37" i="127"/>
  <c r="G25" i="127"/>
  <c r="I192" i="127"/>
  <c r="I30" i="127"/>
  <c r="I99" i="127"/>
  <c r="I27" i="127"/>
  <c r="J253" i="127"/>
  <c r="J247" i="127"/>
  <c r="J248" i="127"/>
  <c r="J249" i="127"/>
  <c r="J246" i="127"/>
  <c r="K98" i="87"/>
  <c r="L80" i="87"/>
  <c r="K33" i="127"/>
  <c r="K285" i="127"/>
  <c r="J225" i="127"/>
  <c r="L222" i="127"/>
  <c r="L217" i="127"/>
  <c r="L218" i="127"/>
  <c r="L216" i="127"/>
  <c r="L215" i="127"/>
  <c r="M89" i="87"/>
  <c r="J187" i="127"/>
  <c r="J185" i="127"/>
  <c r="J186" i="127"/>
  <c r="J184" i="127"/>
  <c r="J191" i="127"/>
  <c r="K101" i="87"/>
  <c r="H23" i="127"/>
  <c r="H18" i="127" s="1"/>
  <c r="I250" i="127"/>
  <c r="H318" i="127"/>
  <c r="H320" i="127" s="1"/>
  <c r="J157" i="127"/>
  <c r="J227" i="127" l="1"/>
  <c r="J134" i="127"/>
  <c r="H103" i="127"/>
  <c r="I165" i="127"/>
  <c r="J289" i="127"/>
  <c r="L160" i="127"/>
  <c r="L154" i="127"/>
  <c r="L156" i="127"/>
  <c r="L153" i="127"/>
  <c r="L155" i="127"/>
  <c r="G39" i="127"/>
  <c r="K98" i="127"/>
  <c r="K93" i="127"/>
  <c r="K92" i="127"/>
  <c r="K94" i="127"/>
  <c r="K91" i="127"/>
  <c r="V39" i="87"/>
  <c r="V42" i="87"/>
  <c r="T41" i="87"/>
  <c r="T40" i="87"/>
  <c r="I194" i="127"/>
  <c r="I196" i="127" s="1"/>
  <c r="J70" i="127"/>
  <c r="J72" i="127" s="1"/>
  <c r="K26" i="127"/>
  <c r="K68" i="127"/>
  <c r="K64" i="127"/>
  <c r="J192" i="127"/>
  <c r="J30" i="127"/>
  <c r="M80" i="87"/>
  <c r="J250" i="127"/>
  <c r="J188" i="127"/>
  <c r="L31" i="127"/>
  <c r="L223" i="127"/>
  <c r="J312" i="127"/>
  <c r="J99" i="127"/>
  <c r="J27" i="127"/>
  <c r="J163" i="127"/>
  <c r="J165" i="127" s="1"/>
  <c r="L285" i="127"/>
  <c r="L33" i="127"/>
  <c r="J21" i="127"/>
  <c r="J254" i="127"/>
  <c r="J32" i="127"/>
  <c r="K225" i="127"/>
  <c r="J22" i="127"/>
  <c r="K29" i="127"/>
  <c r="K161" i="127"/>
  <c r="I318" i="127"/>
  <c r="I320" i="127" s="1"/>
  <c r="L28" i="127"/>
  <c r="L130" i="127"/>
  <c r="J20" i="127"/>
  <c r="L219" i="127"/>
  <c r="K287" i="127"/>
  <c r="I35" i="127"/>
  <c r="J34" i="127"/>
  <c r="J316" i="127"/>
  <c r="M284" i="127"/>
  <c r="M279" i="127"/>
  <c r="M278" i="127"/>
  <c r="M280" i="127"/>
  <c r="M277" i="127"/>
  <c r="N95" i="87"/>
  <c r="I256" i="127"/>
  <c r="I258" i="127" s="1"/>
  <c r="K186" i="127"/>
  <c r="K187" i="127"/>
  <c r="K185" i="127"/>
  <c r="K184" i="127"/>
  <c r="K191" i="127"/>
  <c r="L101" i="87"/>
  <c r="K248" i="127"/>
  <c r="K247" i="127"/>
  <c r="K249" i="127"/>
  <c r="K253" i="127"/>
  <c r="L98" i="87"/>
  <c r="K246" i="127"/>
  <c r="I101" i="127"/>
  <c r="K132" i="127"/>
  <c r="K134" i="127" s="1"/>
  <c r="L281" i="127"/>
  <c r="I23" i="127"/>
  <c r="I18" i="127" s="1"/>
  <c r="M222" i="127"/>
  <c r="M217" i="127"/>
  <c r="M218" i="127"/>
  <c r="M216" i="127"/>
  <c r="N89" i="87"/>
  <c r="M215" i="127"/>
  <c r="J95" i="127"/>
  <c r="J19" i="127"/>
  <c r="K157" i="127"/>
  <c r="K309" i="127"/>
  <c r="K311" i="127"/>
  <c r="K315" i="127"/>
  <c r="K310" i="127"/>
  <c r="K308" i="127"/>
  <c r="L92" i="87"/>
  <c r="L126" i="127"/>
  <c r="L62" i="87"/>
  <c r="H25" i="127"/>
  <c r="H37" i="127"/>
  <c r="K227" i="127" l="1"/>
  <c r="I103" i="127"/>
  <c r="K289" i="127"/>
  <c r="H39" i="127"/>
  <c r="M160" i="127"/>
  <c r="M154" i="127"/>
  <c r="M156" i="127"/>
  <c r="M153" i="127"/>
  <c r="M155" i="127"/>
  <c r="L98" i="127"/>
  <c r="L92" i="127"/>
  <c r="L94" i="127"/>
  <c r="L91" i="127"/>
  <c r="L93" i="127"/>
  <c r="U40" i="87"/>
  <c r="U41" i="87"/>
  <c r="W42" i="87"/>
  <c r="W39" i="87"/>
  <c r="K312" i="127"/>
  <c r="J23" i="127"/>
  <c r="J18" i="127" s="1"/>
  <c r="L68" i="127"/>
  <c r="L26" i="127"/>
  <c r="K22" i="127"/>
  <c r="L64" i="127"/>
  <c r="K70" i="127"/>
  <c r="K72" i="127" s="1"/>
  <c r="L253" i="127"/>
  <c r="L247" i="127"/>
  <c r="L248" i="127"/>
  <c r="L249" i="127"/>
  <c r="L246" i="127"/>
  <c r="M98" i="87"/>
  <c r="M285" i="127"/>
  <c r="M33" i="127"/>
  <c r="J35" i="127"/>
  <c r="L157" i="127"/>
  <c r="L309" i="127"/>
  <c r="L315" i="127"/>
  <c r="L310" i="127"/>
  <c r="L311" i="127"/>
  <c r="L308" i="127"/>
  <c r="M92" i="87"/>
  <c r="M126" i="127"/>
  <c r="K254" i="127"/>
  <c r="K32" i="127"/>
  <c r="J318" i="127"/>
  <c r="J320" i="127" s="1"/>
  <c r="L132" i="127"/>
  <c r="L134" i="127" s="1"/>
  <c r="J101" i="127"/>
  <c r="M62" i="87"/>
  <c r="N280" i="127"/>
  <c r="N284" i="127"/>
  <c r="N279" i="127"/>
  <c r="N278" i="127"/>
  <c r="O95" i="87"/>
  <c r="N277" i="127"/>
  <c r="I25" i="127"/>
  <c r="I37" i="127"/>
  <c r="L287" i="127"/>
  <c r="L225" i="127"/>
  <c r="M130" i="127"/>
  <c r="M28" i="127"/>
  <c r="K95" i="127"/>
  <c r="K19" i="127"/>
  <c r="M31" i="127"/>
  <c r="M223" i="127"/>
  <c r="K20" i="127"/>
  <c r="K316" i="127"/>
  <c r="K34" i="127"/>
  <c r="M281" i="127"/>
  <c r="L29" i="127"/>
  <c r="L161" i="127"/>
  <c r="M219" i="127"/>
  <c r="K192" i="127"/>
  <c r="K30" i="127"/>
  <c r="K163" i="127"/>
  <c r="K165" i="127" s="1"/>
  <c r="J194" i="127"/>
  <c r="J196" i="127" s="1"/>
  <c r="L191" i="127"/>
  <c r="L185" i="127"/>
  <c r="L186" i="127"/>
  <c r="L187" i="127"/>
  <c r="L184" i="127"/>
  <c r="M101" i="87"/>
  <c r="K21" i="127"/>
  <c r="K99" i="127"/>
  <c r="K27" i="127"/>
  <c r="N222" i="127"/>
  <c r="N217" i="127"/>
  <c r="N218" i="127"/>
  <c r="N216" i="127"/>
  <c r="N215" i="127"/>
  <c r="O89" i="87"/>
  <c r="K250" i="127"/>
  <c r="K188" i="127"/>
  <c r="J256" i="127"/>
  <c r="J258" i="127" s="1"/>
  <c r="N80" i="87"/>
  <c r="L227" i="127" l="1"/>
  <c r="J103" i="127"/>
  <c r="L289" i="127"/>
  <c r="I39" i="127"/>
  <c r="N160" i="127"/>
  <c r="N155" i="127"/>
  <c r="N154" i="127"/>
  <c r="N156" i="127"/>
  <c r="N153" i="127"/>
  <c r="M98" i="127"/>
  <c r="M92" i="127"/>
  <c r="M91" i="127"/>
  <c r="M94" i="127"/>
  <c r="M93" i="127"/>
  <c r="X39" i="87"/>
  <c r="X42" i="87"/>
  <c r="V41" i="87"/>
  <c r="V40" i="87"/>
  <c r="L21" i="127"/>
  <c r="K23" i="127"/>
  <c r="K18" i="127" s="1"/>
  <c r="M64" i="127"/>
  <c r="M26" i="127"/>
  <c r="M68" i="127"/>
  <c r="M157" i="127"/>
  <c r="L70" i="127"/>
  <c r="L72" i="127" s="1"/>
  <c r="N219" i="127"/>
  <c r="K194" i="127"/>
  <c r="K196" i="127" s="1"/>
  <c r="L163" i="127"/>
  <c r="L165" i="127" s="1"/>
  <c r="L99" i="127"/>
  <c r="L27" i="127"/>
  <c r="L34" i="127"/>
  <c r="L316" i="127"/>
  <c r="L250" i="127"/>
  <c r="L192" i="127"/>
  <c r="L30" i="127"/>
  <c r="N33" i="127"/>
  <c r="N285" i="127"/>
  <c r="K256" i="127"/>
  <c r="K258" i="127" s="1"/>
  <c r="O80" i="87"/>
  <c r="L20" i="127"/>
  <c r="L22" i="127"/>
  <c r="J37" i="127"/>
  <c r="J25" i="127"/>
  <c r="N130" i="127"/>
  <c r="N28" i="127"/>
  <c r="M187" i="127"/>
  <c r="M185" i="127"/>
  <c r="M186" i="127"/>
  <c r="M184" i="127"/>
  <c r="M191" i="127"/>
  <c r="N101" i="87"/>
  <c r="M132" i="127"/>
  <c r="M134" i="127" s="1"/>
  <c r="M311" i="127"/>
  <c r="M315" i="127"/>
  <c r="M309" i="127"/>
  <c r="M310" i="127"/>
  <c r="M308" i="127"/>
  <c r="N92" i="87"/>
  <c r="L32" i="127"/>
  <c r="L254" i="127"/>
  <c r="K35" i="127"/>
  <c r="L188" i="127"/>
  <c r="K318" i="127"/>
  <c r="K320" i="127" s="1"/>
  <c r="N281" i="127"/>
  <c r="L312" i="127"/>
  <c r="M287" i="127"/>
  <c r="N31" i="127"/>
  <c r="N223" i="127"/>
  <c r="K101" i="127"/>
  <c r="O284" i="127"/>
  <c r="O278" i="127"/>
  <c r="O280" i="127"/>
  <c r="O279" i="127"/>
  <c r="O277" i="127"/>
  <c r="P95" i="87"/>
  <c r="N62" i="87"/>
  <c r="P71" i="87"/>
  <c r="M161" i="127"/>
  <c r="M29" i="127"/>
  <c r="O217" i="127"/>
  <c r="O216" i="127"/>
  <c r="O218" i="127"/>
  <c r="O222" i="127"/>
  <c r="P89" i="87"/>
  <c r="O215" i="127"/>
  <c r="M225" i="127"/>
  <c r="L95" i="127"/>
  <c r="L19" i="127"/>
  <c r="M248" i="127"/>
  <c r="M253" i="127"/>
  <c r="M249" i="127"/>
  <c r="M247" i="127"/>
  <c r="M246" i="127"/>
  <c r="N98" i="87"/>
  <c r="N126" i="127"/>
  <c r="M227" i="127" l="1"/>
  <c r="K103" i="127"/>
  <c r="M289" i="127"/>
  <c r="J39" i="127"/>
  <c r="O160" i="127"/>
  <c r="O155" i="127"/>
  <c r="O153" i="127"/>
  <c r="O154" i="127"/>
  <c r="O156" i="127"/>
  <c r="P123" i="127"/>
  <c r="P124" i="127"/>
  <c r="P125" i="127"/>
  <c r="P122" i="127"/>
  <c r="P129" i="127"/>
  <c r="N98" i="127"/>
  <c r="N91" i="127"/>
  <c r="N93" i="127"/>
  <c r="N92" i="127"/>
  <c r="N94" i="127"/>
  <c r="W40" i="87"/>
  <c r="W41" i="87"/>
  <c r="Y42" i="87"/>
  <c r="Y39" i="87"/>
  <c r="M70" i="127"/>
  <c r="M72" i="127" s="1"/>
  <c r="L23" i="127"/>
  <c r="L18" i="127" s="1"/>
  <c r="M250" i="127"/>
  <c r="M22" i="127"/>
  <c r="M20" i="127"/>
  <c r="M21" i="127"/>
  <c r="M312" i="127"/>
  <c r="N26" i="127"/>
  <c r="N68" i="127"/>
  <c r="M95" i="127"/>
  <c r="M19" i="127"/>
  <c r="N225" i="127"/>
  <c r="M188" i="127"/>
  <c r="L35" i="127"/>
  <c r="L256" i="127"/>
  <c r="L258" i="127" s="1"/>
  <c r="L101" i="127"/>
  <c r="O285" i="127"/>
  <c r="O33" i="127"/>
  <c r="N161" i="127"/>
  <c r="N29" i="127"/>
  <c r="N315" i="127"/>
  <c r="N310" i="127"/>
  <c r="N311" i="127"/>
  <c r="N309" i="127"/>
  <c r="N308" i="127"/>
  <c r="O92" i="87"/>
  <c r="L194" i="127"/>
  <c r="L196" i="127" s="1"/>
  <c r="N253" i="127"/>
  <c r="N248" i="127"/>
  <c r="N249" i="127"/>
  <c r="N247" i="127"/>
  <c r="N246" i="127"/>
  <c r="O98" i="87"/>
  <c r="O130" i="127"/>
  <c r="O28" i="127"/>
  <c r="O219" i="127"/>
  <c r="M27" i="127"/>
  <c r="M99" i="127"/>
  <c r="M254" i="127"/>
  <c r="M32" i="127"/>
  <c r="P218" i="127"/>
  <c r="P222" i="127"/>
  <c r="P216" i="127"/>
  <c r="P217" i="127"/>
  <c r="Q89" i="87"/>
  <c r="P215" i="127"/>
  <c r="P279" i="127"/>
  <c r="P280" i="127"/>
  <c r="P278" i="127"/>
  <c r="P284" i="127"/>
  <c r="P277" i="127"/>
  <c r="Q95" i="87"/>
  <c r="N132" i="127"/>
  <c r="N134" i="127" s="1"/>
  <c r="P80" i="87"/>
  <c r="M163" i="127"/>
  <c r="M165" i="127" s="1"/>
  <c r="O223" i="127"/>
  <c r="O31" i="127"/>
  <c r="Q71" i="87"/>
  <c r="O281" i="127"/>
  <c r="N185" i="127"/>
  <c r="N186" i="127"/>
  <c r="N187" i="127"/>
  <c r="N184" i="127"/>
  <c r="N191" i="127"/>
  <c r="O101" i="87"/>
  <c r="N157" i="127"/>
  <c r="N287" i="127"/>
  <c r="L318" i="127"/>
  <c r="L320" i="127" s="1"/>
  <c r="O126" i="127"/>
  <c r="O62" i="87"/>
  <c r="K37" i="127"/>
  <c r="K25" i="127"/>
  <c r="M34" i="127"/>
  <c r="M316" i="127"/>
  <c r="M30" i="127"/>
  <c r="M192" i="127"/>
  <c r="N227" i="127" l="1"/>
  <c r="L103" i="127"/>
  <c r="N289" i="127"/>
  <c r="K39" i="127"/>
  <c r="Q129" i="127"/>
  <c r="Q123" i="127"/>
  <c r="Q125" i="127"/>
  <c r="Q122" i="127"/>
  <c r="Q124" i="127"/>
  <c r="P160" i="127"/>
  <c r="P156" i="127"/>
  <c r="P154" i="127"/>
  <c r="P155" i="127"/>
  <c r="P153" i="127"/>
  <c r="O98" i="127"/>
  <c r="O91" i="127"/>
  <c r="O93" i="127"/>
  <c r="O92" i="127"/>
  <c r="O94" i="127"/>
  <c r="M194" i="127"/>
  <c r="M196" i="127" s="1"/>
  <c r="Z39" i="87"/>
  <c r="Z42" i="87"/>
  <c r="X41" i="87"/>
  <c r="X40" i="87"/>
  <c r="M23" i="127"/>
  <c r="M18" i="127" s="1"/>
  <c r="N70" i="127"/>
  <c r="N72" i="127" s="1"/>
  <c r="N21" i="127"/>
  <c r="N20" i="127"/>
  <c r="P126" i="127"/>
  <c r="O26" i="127"/>
  <c r="O68" i="127"/>
  <c r="O186" i="127"/>
  <c r="O185" i="127"/>
  <c r="O184" i="127"/>
  <c r="O187" i="127"/>
  <c r="O191" i="127"/>
  <c r="P101" i="87"/>
  <c r="R71" i="87"/>
  <c r="P281" i="127"/>
  <c r="L25" i="127"/>
  <c r="L37" i="127"/>
  <c r="P31" i="127"/>
  <c r="P223" i="127"/>
  <c r="N254" i="127"/>
  <c r="N32" i="127"/>
  <c r="M318" i="127"/>
  <c r="M320" i="127" s="1"/>
  <c r="P33" i="127"/>
  <c r="P285" i="127"/>
  <c r="P62" i="87"/>
  <c r="N188" i="127"/>
  <c r="N316" i="127"/>
  <c r="N34" i="127"/>
  <c r="O287" i="127"/>
  <c r="P28" i="127"/>
  <c r="P130" i="127"/>
  <c r="O132" i="127"/>
  <c r="O134" i="127" s="1"/>
  <c r="N192" i="127"/>
  <c r="N30" i="127"/>
  <c r="N95" i="127"/>
  <c r="N19" i="127"/>
  <c r="N27" i="127"/>
  <c r="N99" i="127"/>
  <c r="O253" i="127"/>
  <c r="O247" i="127"/>
  <c r="O248" i="127"/>
  <c r="O249" i="127"/>
  <c r="O246" i="127"/>
  <c r="P98" i="87"/>
  <c r="M256" i="127"/>
  <c r="M258" i="127" s="1"/>
  <c r="N22" i="127"/>
  <c r="Q80" i="87"/>
  <c r="P219" i="127"/>
  <c r="M101" i="127"/>
  <c r="N250" i="127"/>
  <c r="O315" i="127"/>
  <c r="O309" i="127"/>
  <c r="O311" i="127"/>
  <c r="O310" i="127"/>
  <c r="P92" i="87"/>
  <c r="O308" i="127"/>
  <c r="N163" i="127"/>
  <c r="N165" i="127" s="1"/>
  <c r="O157" i="127"/>
  <c r="Q217" i="127"/>
  <c r="Q222" i="127"/>
  <c r="Q216" i="127"/>
  <c r="Q218" i="127"/>
  <c r="Q215" i="127"/>
  <c r="R89" i="87"/>
  <c r="M35" i="127"/>
  <c r="N312" i="127"/>
  <c r="O225" i="127"/>
  <c r="O227" i="127" s="1"/>
  <c r="O161" i="127"/>
  <c r="O29" i="127"/>
  <c r="Q284" i="127"/>
  <c r="Q278" i="127"/>
  <c r="Q279" i="127"/>
  <c r="Q280" i="127"/>
  <c r="R95" i="87"/>
  <c r="Q277" i="127"/>
  <c r="M103" i="127" l="1"/>
  <c r="O289" i="127"/>
  <c r="L39" i="127"/>
  <c r="R129" i="127"/>
  <c r="R123" i="127"/>
  <c r="R122" i="127"/>
  <c r="R124" i="127"/>
  <c r="R125" i="127"/>
  <c r="Q160" i="127"/>
  <c r="Q156" i="127"/>
  <c r="Q155" i="127"/>
  <c r="Q154" i="127"/>
  <c r="Q153" i="127"/>
  <c r="P98" i="127"/>
  <c r="P94" i="127"/>
  <c r="P91" i="127"/>
  <c r="P92" i="127"/>
  <c r="P93" i="127"/>
  <c r="Y40" i="87"/>
  <c r="Y41" i="87"/>
  <c r="AA42" i="87"/>
  <c r="AA39" i="87"/>
  <c r="N23" i="127"/>
  <c r="N18" i="127" s="1"/>
  <c r="N194" i="127"/>
  <c r="N196" i="127" s="1"/>
  <c r="O250" i="127"/>
  <c r="P64" i="127"/>
  <c r="P26" i="127"/>
  <c r="P68" i="127"/>
  <c r="O70" i="127"/>
  <c r="O72" i="127" s="1"/>
  <c r="Q219" i="127"/>
  <c r="N35" i="127"/>
  <c r="N25" i="127" s="1"/>
  <c r="R80" i="87"/>
  <c r="O32" i="127"/>
  <c r="O254" i="127"/>
  <c r="O21" i="127"/>
  <c r="O163" i="127"/>
  <c r="O165" i="127" s="1"/>
  <c r="Q281" i="127"/>
  <c r="M25" i="127"/>
  <c r="M37" i="127"/>
  <c r="P157" i="127"/>
  <c r="N101" i="127"/>
  <c r="N103" i="127" s="1"/>
  <c r="N318" i="127"/>
  <c r="N320" i="127" s="1"/>
  <c r="O20" i="127"/>
  <c r="P185" i="127"/>
  <c r="P186" i="127"/>
  <c r="P187" i="127"/>
  <c r="P184" i="127"/>
  <c r="P191" i="127"/>
  <c r="Q101" i="87"/>
  <c r="O34" i="127"/>
  <c r="O316" i="127"/>
  <c r="P132" i="127"/>
  <c r="P134" i="127" s="1"/>
  <c r="O99" i="127"/>
  <c r="O27" i="127"/>
  <c r="O192" i="127"/>
  <c r="O30" i="127"/>
  <c r="P249" i="127"/>
  <c r="P248" i="127"/>
  <c r="P247" i="127"/>
  <c r="P253" i="127"/>
  <c r="P246" i="127"/>
  <c r="Q98" i="87"/>
  <c r="P287" i="127"/>
  <c r="S71" i="87"/>
  <c r="R280" i="127"/>
  <c r="R279" i="127"/>
  <c r="R278" i="127"/>
  <c r="R284" i="127"/>
  <c r="S95" i="87"/>
  <c r="R277" i="127"/>
  <c r="N256" i="127"/>
  <c r="N258" i="127" s="1"/>
  <c r="Q126" i="127"/>
  <c r="O188" i="127"/>
  <c r="R222" i="127"/>
  <c r="R217" i="127"/>
  <c r="R218" i="127"/>
  <c r="R216" i="127"/>
  <c r="R215" i="127"/>
  <c r="S89" i="87"/>
  <c r="O312" i="127"/>
  <c r="P29" i="127"/>
  <c r="P161" i="127"/>
  <c r="Q62" i="87"/>
  <c r="P225" i="127"/>
  <c r="P227" i="127" s="1"/>
  <c r="Q285" i="127"/>
  <c r="Q33" i="127"/>
  <c r="Q31" i="127"/>
  <c r="Q223" i="127"/>
  <c r="P310" i="127"/>
  <c r="P309" i="127"/>
  <c r="P311" i="127"/>
  <c r="P315" i="127"/>
  <c r="P308" i="127"/>
  <c r="Q92" i="87"/>
  <c r="O95" i="127"/>
  <c r="O19" i="127"/>
  <c r="O22" i="127"/>
  <c r="Q28" i="127"/>
  <c r="Q130" i="127"/>
  <c r="P289" i="127" l="1"/>
  <c r="M39" i="127"/>
  <c r="Q98" i="127"/>
  <c r="Q93" i="127"/>
  <c r="Q91" i="127"/>
  <c r="Q92" i="127"/>
  <c r="Q94" i="127"/>
  <c r="R160" i="127"/>
  <c r="R153" i="127"/>
  <c r="R156" i="127"/>
  <c r="R154" i="127"/>
  <c r="R155" i="127"/>
  <c r="S129" i="127"/>
  <c r="S124" i="127"/>
  <c r="S125" i="127"/>
  <c r="S123" i="127"/>
  <c r="S122" i="127"/>
  <c r="AB39" i="87"/>
  <c r="AB42" i="87"/>
  <c r="Z41" i="87"/>
  <c r="Z40" i="87"/>
  <c r="P70" i="127"/>
  <c r="P72" i="127" s="1"/>
  <c r="N37" i="127"/>
  <c r="Q64" i="127"/>
  <c r="P188" i="127"/>
  <c r="Q157" i="127"/>
  <c r="Q26" i="127"/>
  <c r="Q68" i="127"/>
  <c r="Q315" i="127"/>
  <c r="Q311" i="127"/>
  <c r="Q309" i="127"/>
  <c r="Q310" i="127"/>
  <c r="Q308" i="127"/>
  <c r="R92" i="87"/>
  <c r="Q132" i="127"/>
  <c r="Q134" i="127" s="1"/>
  <c r="Q225" i="127"/>
  <c r="Q227" i="127" s="1"/>
  <c r="P163" i="127"/>
  <c r="P165" i="127" s="1"/>
  <c r="R285" i="127"/>
  <c r="R33" i="127"/>
  <c r="O101" i="127"/>
  <c r="O103" i="127" s="1"/>
  <c r="O318" i="127"/>
  <c r="O320" i="127" s="1"/>
  <c r="S80" i="87"/>
  <c r="R62" i="87"/>
  <c r="S222" i="127"/>
  <c r="S218" i="127"/>
  <c r="S217" i="127"/>
  <c r="S216" i="127"/>
  <c r="S215" i="127"/>
  <c r="T89" i="87"/>
  <c r="Q184" i="127"/>
  <c r="Q186" i="127"/>
  <c r="Q185" i="127"/>
  <c r="Q187" i="127"/>
  <c r="Q191" i="127"/>
  <c r="R101" i="87"/>
  <c r="Q161" i="127"/>
  <c r="Q29" i="127"/>
  <c r="P316" i="127"/>
  <c r="P34" i="127"/>
  <c r="Q287" i="127"/>
  <c r="P22" i="127"/>
  <c r="R219" i="127"/>
  <c r="P30" i="127"/>
  <c r="P192" i="127"/>
  <c r="P21" i="127"/>
  <c r="T71" i="87"/>
  <c r="P27" i="127"/>
  <c r="P99" i="127"/>
  <c r="Q249" i="127"/>
  <c r="Q253" i="127"/>
  <c r="Q247" i="127"/>
  <c r="Q248" i="127"/>
  <c r="Q246" i="127"/>
  <c r="R98" i="87"/>
  <c r="R126" i="127"/>
  <c r="O23" i="127"/>
  <c r="O18" i="127" s="1"/>
  <c r="P95" i="127"/>
  <c r="P19" i="127"/>
  <c r="R281" i="127"/>
  <c r="R130" i="127"/>
  <c r="R28" i="127"/>
  <c r="P250" i="127"/>
  <c r="O194" i="127"/>
  <c r="O196" i="127" s="1"/>
  <c r="O256" i="127"/>
  <c r="O258" i="127" s="1"/>
  <c r="P312" i="127"/>
  <c r="P20" i="127"/>
  <c r="R223" i="127"/>
  <c r="R31" i="127"/>
  <c r="S278" i="127"/>
  <c r="S279" i="127"/>
  <c r="S280" i="127"/>
  <c r="S284" i="127"/>
  <c r="S277" i="127"/>
  <c r="T95" i="87"/>
  <c r="P254" i="127"/>
  <c r="P32" i="127"/>
  <c r="O35" i="127"/>
  <c r="Q289" i="127" l="1"/>
  <c r="N39" i="127"/>
  <c r="S160" i="127"/>
  <c r="S154" i="127"/>
  <c r="S156" i="127"/>
  <c r="S155" i="127"/>
  <c r="S153" i="127"/>
  <c r="T129" i="127"/>
  <c r="T122" i="127"/>
  <c r="T124" i="127"/>
  <c r="T123" i="127"/>
  <c r="T125" i="127"/>
  <c r="R98" i="127"/>
  <c r="R92" i="127"/>
  <c r="R91" i="127"/>
  <c r="R94" i="127"/>
  <c r="R93" i="127"/>
  <c r="P194" i="127"/>
  <c r="P196" i="127" s="1"/>
  <c r="AA40" i="87"/>
  <c r="AA41" i="87"/>
  <c r="AC42" i="87"/>
  <c r="AC39" i="87"/>
  <c r="R157" i="127"/>
  <c r="R64" i="127"/>
  <c r="S219" i="127"/>
  <c r="Q70" i="127"/>
  <c r="Q72" i="127" s="1"/>
  <c r="Q312" i="127"/>
  <c r="R26" i="127"/>
  <c r="R68" i="127"/>
  <c r="Q188" i="127"/>
  <c r="T278" i="127"/>
  <c r="T280" i="127"/>
  <c r="T284" i="127"/>
  <c r="T279" i="127"/>
  <c r="T277" i="127"/>
  <c r="U95" i="87"/>
  <c r="S285" i="127"/>
  <c r="S33" i="127"/>
  <c r="P101" i="127"/>
  <c r="P103" i="127" s="1"/>
  <c r="P318" i="127"/>
  <c r="P320" i="127" s="1"/>
  <c r="Q95" i="127"/>
  <c r="Q19" i="127"/>
  <c r="R132" i="127"/>
  <c r="R134" i="127" s="1"/>
  <c r="P35" i="127"/>
  <c r="S130" i="127"/>
  <c r="S28" i="127"/>
  <c r="T222" i="127"/>
  <c r="T217" i="127"/>
  <c r="T218" i="127"/>
  <c r="T216" i="127"/>
  <c r="T215" i="127"/>
  <c r="U89" i="87"/>
  <c r="Q22" i="127"/>
  <c r="T80" i="87"/>
  <c r="R309" i="127"/>
  <c r="R315" i="127"/>
  <c r="R311" i="127"/>
  <c r="R310" i="127"/>
  <c r="R308" i="127"/>
  <c r="S92" i="87"/>
  <c r="R253" i="127"/>
  <c r="R247" i="127"/>
  <c r="R249" i="127"/>
  <c r="R248" i="127"/>
  <c r="R246" i="127"/>
  <c r="S98" i="87"/>
  <c r="Q21" i="127"/>
  <c r="O25" i="127"/>
  <c r="O37" i="127"/>
  <c r="P23" i="127"/>
  <c r="P18" i="127" s="1"/>
  <c r="Q250" i="127"/>
  <c r="R187" i="127"/>
  <c r="R186" i="127"/>
  <c r="R184" i="127"/>
  <c r="R185" i="127"/>
  <c r="R191" i="127"/>
  <c r="S101" i="87"/>
  <c r="Q20" i="127"/>
  <c r="R29" i="127"/>
  <c r="R161" i="127"/>
  <c r="U71" i="87"/>
  <c r="Q163" i="127"/>
  <c r="Q165" i="127" s="1"/>
  <c r="Q192" i="127"/>
  <c r="Q30" i="127"/>
  <c r="Q99" i="127"/>
  <c r="Q27" i="127"/>
  <c r="P256" i="127"/>
  <c r="P258" i="127" s="1"/>
  <c r="R225" i="127"/>
  <c r="R227" i="127" s="1"/>
  <c r="S126" i="127"/>
  <c r="Q32" i="127"/>
  <c r="Q254" i="127"/>
  <c r="S31" i="127"/>
  <c r="S223" i="127"/>
  <c r="R287" i="127"/>
  <c r="R289" i="127" s="1"/>
  <c r="Q316" i="127"/>
  <c r="Q34" i="127"/>
  <c r="S281" i="127"/>
  <c r="S62" i="87"/>
  <c r="O39" i="127" l="1"/>
  <c r="U129" i="127"/>
  <c r="U125" i="127"/>
  <c r="U122" i="127"/>
  <c r="U123" i="127"/>
  <c r="U124" i="127"/>
  <c r="T160" i="127"/>
  <c r="T154" i="127"/>
  <c r="T156" i="127"/>
  <c r="T153" i="127"/>
  <c r="T155" i="127"/>
  <c r="S98" i="127"/>
  <c r="S91" i="127"/>
  <c r="S93" i="127"/>
  <c r="S92" i="127"/>
  <c r="S94" i="127"/>
  <c r="R70" i="127"/>
  <c r="R72" i="127" s="1"/>
  <c r="AD39" i="87"/>
  <c r="AD42" i="87"/>
  <c r="AB41" i="87"/>
  <c r="AB40" i="87"/>
  <c r="Q194" i="127"/>
  <c r="Q196" i="127" s="1"/>
  <c r="R22" i="127"/>
  <c r="T281" i="127"/>
  <c r="S157" i="127"/>
  <c r="S26" i="127"/>
  <c r="S68" i="127"/>
  <c r="R21" i="127"/>
  <c r="R20" i="127"/>
  <c r="S64" i="127"/>
  <c r="S225" i="127"/>
  <c r="S227" i="127" s="1"/>
  <c r="Q35" i="127"/>
  <c r="T126" i="127"/>
  <c r="S184" i="127"/>
  <c r="S187" i="127"/>
  <c r="S185" i="127"/>
  <c r="S186" i="127"/>
  <c r="S191" i="127"/>
  <c r="T101" i="87"/>
  <c r="U218" i="127"/>
  <c r="U217" i="127"/>
  <c r="U216" i="127"/>
  <c r="U222" i="127"/>
  <c r="U215" i="127"/>
  <c r="V89" i="87"/>
  <c r="R30" i="127"/>
  <c r="R192" i="127"/>
  <c r="U80" i="87"/>
  <c r="T219" i="127"/>
  <c r="S287" i="127"/>
  <c r="S289" i="127" s="1"/>
  <c r="R32" i="127"/>
  <c r="R254" i="127"/>
  <c r="S132" i="127"/>
  <c r="S134" i="127" s="1"/>
  <c r="U284" i="127"/>
  <c r="U278" i="127"/>
  <c r="U279" i="127"/>
  <c r="U280" i="127"/>
  <c r="U277" i="127"/>
  <c r="V95" i="87"/>
  <c r="R99" i="127"/>
  <c r="R27" i="127"/>
  <c r="Q318" i="127"/>
  <c r="Q320" i="127" s="1"/>
  <c r="T130" i="127"/>
  <c r="T28" i="127"/>
  <c r="R188" i="127"/>
  <c r="S315" i="127"/>
  <c r="S309" i="127"/>
  <c r="S311" i="127"/>
  <c r="S310" i="127"/>
  <c r="S308" i="127"/>
  <c r="T92" i="87"/>
  <c r="S29" i="127"/>
  <c r="S161" i="127"/>
  <c r="P25" i="127"/>
  <c r="P37" i="127"/>
  <c r="Q256" i="127"/>
  <c r="Q258" i="127" s="1"/>
  <c r="R312" i="127"/>
  <c r="R163" i="127"/>
  <c r="R165" i="127" s="1"/>
  <c r="S253" i="127"/>
  <c r="S249" i="127"/>
  <c r="S248" i="127"/>
  <c r="S247" i="127"/>
  <c r="T98" i="87"/>
  <c r="S246" i="127"/>
  <c r="T223" i="127"/>
  <c r="T31" i="127"/>
  <c r="T285" i="127"/>
  <c r="T33" i="127"/>
  <c r="T62" i="87"/>
  <c r="R250" i="127"/>
  <c r="Q101" i="127"/>
  <c r="Q103" i="127" s="1"/>
  <c r="R95" i="127"/>
  <c r="R19" i="127"/>
  <c r="V71" i="87"/>
  <c r="R316" i="127"/>
  <c r="R34" i="127"/>
  <c r="Q23" i="127"/>
  <c r="Q18" i="127" s="1"/>
  <c r="P39" i="127" l="1"/>
  <c r="V129" i="127"/>
  <c r="V123" i="127"/>
  <c r="V125" i="127"/>
  <c r="V122" i="127"/>
  <c r="V124" i="127"/>
  <c r="U153" i="127"/>
  <c r="U156" i="127"/>
  <c r="U160" i="127"/>
  <c r="U155" i="127"/>
  <c r="U154" i="127"/>
  <c r="T98" i="127"/>
  <c r="T93" i="127"/>
  <c r="T94" i="127"/>
  <c r="T92" i="127"/>
  <c r="T91" i="127"/>
  <c r="AC40" i="87"/>
  <c r="AC41" i="87"/>
  <c r="AE42" i="87"/>
  <c r="AE39" i="87"/>
  <c r="R23" i="127"/>
  <c r="R18" i="127" s="1"/>
  <c r="S22" i="127"/>
  <c r="S70" i="127"/>
  <c r="S72" i="127" s="1"/>
  <c r="T64" i="127"/>
  <c r="T26" i="127"/>
  <c r="T68" i="127"/>
  <c r="T157" i="127"/>
  <c r="U219" i="127"/>
  <c r="R318" i="127"/>
  <c r="R320" i="127" s="1"/>
  <c r="S27" i="127"/>
  <c r="S99" i="127"/>
  <c r="S163" i="127"/>
  <c r="S165" i="127" s="1"/>
  <c r="V80" i="87"/>
  <c r="V218" i="127"/>
  <c r="V217" i="127"/>
  <c r="V222" i="127"/>
  <c r="V216" i="127"/>
  <c r="V215" i="127"/>
  <c r="W89" i="87"/>
  <c r="R35" i="127"/>
  <c r="V280" i="127"/>
  <c r="V278" i="127"/>
  <c r="V284" i="127"/>
  <c r="V279" i="127"/>
  <c r="V277" i="127"/>
  <c r="W95" i="87"/>
  <c r="S254" i="127"/>
  <c r="S32" i="127"/>
  <c r="T315" i="127"/>
  <c r="T310" i="127"/>
  <c r="T311" i="127"/>
  <c r="T309" i="127"/>
  <c r="T308" i="127"/>
  <c r="U92" i="87"/>
  <c r="T132" i="127"/>
  <c r="T134" i="127" s="1"/>
  <c r="R101" i="127"/>
  <c r="R103" i="127" s="1"/>
  <c r="U281" i="127"/>
  <c r="R256" i="127"/>
  <c r="R258" i="127" s="1"/>
  <c r="U31" i="127"/>
  <c r="U223" i="127"/>
  <c r="T287" i="127"/>
  <c r="T289" i="127" s="1"/>
  <c r="U126" i="127"/>
  <c r="U130" i="127"/>
  <c r="U28" i="127"/>
  <c r="U62" i="87"/>
  <c r="T225" i="127"/>
  <c r="T227" i="127" s="1"/>
  <c r="S312" i="127"/>
  <c r="S188" i="127"/>
  <c r="W71" i="87"/>
  <c r="S95" i="127"/>
  <c r="S19" i="127"/>
  <c r="S250" i="127"/>
  <c r="T161" i="127"/>
  <c r="T29" i="127"/>
  <c r="S20" i="127"/>
  <c r="T253" i="127"/>
  <c r="T247" i="127"/>
  <c r="T248" i="127"/>
  <c r="T249" i="127"/>
  <c r="U98" i="87"/>
  <c r="T246" i="127"/>
  <c r="Q37" i="127"/>
  <c r="Q25" i="127"/>
  <c r="S21" i="127"/>
  <c r="U285" i="127"/>
  <c r="U33" i="127"/>
  <c r="R194" i="127"/>
  <c r="R196" i="127" s="1"/>
  <c r="T184" i="127"/>
  <c r="T185" i="127"/>
  <c r="T186" i="127"/>
  <c r="T187" i="127"/>
  <c r="T191" i="127"/>
  <c r="U101" i="87"/>
  <c r="S34" i="127"/>
  <c r="S316" i="127"/>
  <c r="S30" i="127"/>
  <c r="S192" i="127"/>
  <c r="Q39" i="127" l="1"/>
  <c r="U98" i="127"/>
  <c r="U93" i="127"/>
  <c r="U92" i="127"/>
  <c r="U94" i="127"/>
  <c r="U91" i="127"/>
  <c r="V155" i="127"/>
  <c r="V160" i="127"/>
  <c r="V154" i="127"/>
  <c r="V156" i="127"/>
  <c r="V153" i="127"/>
  <c r="W129" i="127"/>
  <c r="W125" i="127"/>
  <c r="W124" i="127"/>
  <c r="W122" i="127"/>
  <c r="W123" i="127"/>
  <c r="T70" i="127"/>
  <c r="T72" i="127" s="1"/>
  <c r="AF39" i="87"/>
  <c r="AF42" i="87"/>
  <c r="AD41" i="87"/>
  <c r="J29" i="135"/>
  <c r="AD40" i="87"/>
  <c r="S194" i="127"/>
  <c r="S196" i="127" s="1"/>
  <c r="U157" i="127"/>
  <c r="U64" i="127"/>
  <c r="U26" i="127"/>
  <c r="U68" i="127"/>
  <c r="V126" i="127"/>
  <c r="T312" i="127"/>
  <c r="U132" i="127"/>
  <c r="U134" i="127" s="1"/>
  <c r="R37" i="127"/>
  <c r="R25" i="127"/>
  <c r="T95" i="127"/>
  <c r="T19" i="127"/>
  <c r="S256" i="127"/>
  <c r="S258" i="127" s="1"/>
  <c r="W80" i="87"/>
  <c r="U191" i="127"/>
  <c r="U185" i="127"/>
  <c r="U186" i="127"/>
  <c r="U187" i="127"/>
  <c r="U184" i="127"/>
  <c r="V101" i="87"/>
  <c r="X71" i="87"/>
  <c r="T99" i="127"/>
  <c r="T27" i="127"/>
  <c r="W284" i="127"/>
  <c r="W278" i="127"/>
  <c r="W279" i="127"/>
  <c r="W280" i="127"/>
  <c r="W277" i="127"/>
  <c r="X95" i="87"/>
  <c r="U287" i="127"/>
  <c r="U289" i="127" s="1"/>
  <c r="T163" i="127"/>
  <c r="T165" i="127" s="1"/>
  <c r="V62" i="87"/>
  <c r="U315" i="127"/>
  <c r="U311" i="127"/>
  <c r="U309" i="127"/>
  <c r="U310" i="127"/>
  <c r="U308" i="127"/>
  <c r="V92" i="87"/>
  <c r="T21" i="127"/>
  <c r="V281" i="127"/>
  <c r="W218" i="127"/>
  <c r="W222" i="127"/>
  <c r="W216" i="127"/>
  <c r="W217" i="127"/>
  <c r="W215" i="127"/>
  <c r="X89" i="87"/>
  <c r="S101" i="127"/>
  <c r="S103" i="127" s="1"/>
  <c r="T250" i="127"/>
  <c r="T22" i="127"/>
  <c r="U225" i="127"/>
  <c r="U227" i="127" s="1"/>
  <c r="V219" i="127"/>
  <c r="U161" i="127"/>
  <c r="U29" i="127"/>
  <c r="S35" i="127"/>
  <c r="S318" i="127"/>
  <c r="S320" i="127" s="1"/>
  <c r="S23" i="127"/>
  <c r="S18" i="127" s="1"/>
  <c r="V28" i="127"/>
  <c r="V130" i="127"/>
  <c r="T20" i="127"/>
  <c r="T316" i="127"/>
  <c r="T34" i="127"/>
  <c r="V285" i="127"/>
  <c r="V33" i="127"/>
  <c r="T30" i="127"/>
  <c r="T192" i="127"/>
  <c r="T254" i="127"/>
  <c r="T32" i="127"/>
  <c r="T188" i="127"/>
  <c r="U253" i="127"/>
  <c r="U249" i="127"/>
  <c r="U248" i="127"/>
  <c r="U247" i="127"/>
  <c r="U246" i="127"/>
  <c r="V98" i="87"/>
  <c r="V31" i="127"/>
  <c r="V223" i="127"/>
  <c r="R39" i="127" l="1"/>
  <c r="V98" i="127"/>
  <c r="V91" i="127"/>
  <c r="V93" i="127"/>
  <c r="V92" i="127"/>
  <c r="V94" i="127"/>
  <c r="W153" i="127"/>
  <c r="W156" i="127"/>
  <c r="W155" i="127"/>
  <c r="W154" i="127"/>
  <c r="W160" i="127"/>
  <c r="X129" i="127"/>
  <c r="X122" i="127"/>
  <c r="X125" i="127"/>
  <c r="X123" i="127"/>
  <c r="X124" i="127"/>
  <c r="AE40" i="87"/>
  <c r="AE41" i="87"/>
  <c r="AG42" i="87"/>
  <c r="AG39" i="87"/>
  <c r="W126" i="127"/>
  <c r="U70" i="127"/>
  <c r="U72" i="127" s="1"/>
  <c r="U312" i="127"/>
  <c r="W281" i="127"/>
  <c r="V26" i="127"/>
  <c r="V68" i="127"/>
  <c r="V64" i="127"/>
  <c r="W223" i="127"/>
  <c r="W31" i="127"/>
  <c r="U20" i="127"/>
  <c r="X280" i="127"/>
  <c r="X284" i="127"/>
  <c r="X279" i="127"/>
  <c r="X278" i="127"/>
  <c r="X277" i="127"/>
  <c r="Y95" i="87"/>
  <c r="V225" i="127"/>
  <c r="V227" i="127" s="1"/>
  <c r="V287" i="127"/>
  <c r="V289" i="127" s="1"/>
  <c r="U163" i="127"/>
  <c r="U165" i="127" s="1"/>
  <c r="U21" i="127"/>
  <c r="U30" i="127"/>
  <c r="U192" i="127"/>
  <c r="T101" i="127"/>
  <c r="T103" i="127" s="1"/>
  <c r="U316" i="127"/>
  <c r="U34" i="127"/>
  <c r="W28" i="127"/>
  <c r="W130" i="127"/>
  <c r="X80" i="87"/>
  <c r="U27" i="127"/>
  <c r="U99" i="127"/>
  <c r="X222" i="127"/>
  <c r="X217" i="127"/>
  <c r="X218" i="127"/>
  <c r="X216" i="127"/>
  <c r="Y89" i="87"/>
  <c r="X215" i="127"/>
  <c r="W62" i="87"/>
  <c r="V185" i="127"/>
  <c r="V184" i="127"/>
  <c r="V191" i="127"/>
  <c r="V187" i="127"/>
  <c r="V186" i="127"/>
  <c r="W101" i="87"/>
  <c r="V157" i="127"/>
  <c r="U32" i="127"/>
  <c r="U254" i="127"/>
  <c r="T318" i="127"/>
  <c r="T320" i="127" s="1"/>
  <c r="T256" i="127"/>
  <c r="T258" i="127" s="1"/>
  <c r="W219" i="127"/>
  <c r="U95" i="127"/>
  <c r="U19" i="127"/>
  <c r="W33" i="127"/>
  <c r="W285" i="127"/>
  <c r="U188" i="127"/>
  <c r="S25" i="127"/>
  <c r="S37" i="127"/>
  <c r="V253" i="127"/>
  <c r="V248" i="127"/>
  <c r="V249" i="127"/>
  <c r="V247" i="127"/>
  <c r="V246" i="127"/>
  <c r="W98" i="87"/>
  <c r="V132" i="127"/>
  <c r="V134" i="127" s="1"/>
  <c r="U250" i="127"/>
  <c r="T194" i="127"/>
  <c r="T196" i="127" s="1"/>
  <c r="V315" i="127"/>
  <c r="V309" i="127"/>
  <c r="V310" i="127"/>
  <c r="V311" i="127"/>
  <c r="W92" i="87"/>
  <c r="V308" i="127"/>
  <c r="U22" i="127"/>
  <c r="T35" i="127"/>
  <c r="Y71" i="87"/>
  <c r="V29" i="127"/>
  <c r="V161" i="127"/>
  <c r="T23" i="127"/>
  <c r="T18" i="127" s="1"/>
  <c r="S39" i="127" l="1"/>
  <c r="X156" i="127"/>
  <c r="X154" i="127"/>
  <c r="X153" i="127"/>
  <c r="X155" i="127"/>
  <c r="X160" i="127"/>
  <c r="Y129" i="127"/>
  <c r="Y123" i="127"/>
  <c r="Y125" i="127"/>
  <c r="Y122" i="127"/>
  <c r="Y124" i="127"/>
  <c r="W98" i="127"/>
  <c r="W94" i="127"/>
  <c r="W91" i="127"/>
  <c r="W92" i="127"/>
  <c r="W93" i="127"/>
  <c r="AH39" i="87"/>
  <c r="AH42" i="87"/>
  <c r="AF41" i="87"/>
  <c r="AF40" i="87"/>
  <c r="V312" i="127"/>
  <c r="W26" i="127"/>
  <c r="W68" i="127"/>
  <c r="X281" i="127"/>
  <c r="W64" i="127"/>
  <c r="V70" i="127"/>
  <c r="V72" i="127" s="1"/>
  <c r="U35" i="127"/>
  <c r="U25" i="127" s="1"/>
  <c r="V163" i="127"/>
  <c r="V165" i="127" s="1"/>
  <c r="V32" i="127"/>
  <c r="V254" i="127"/>
  <c r="U23" i="127"/>
  <c r="U18" i="127" s="1"/>
  <c r="V22" i="127"/>
  <c r="X31" i="127"/>
  <c r="X223" i="127"/>
  <c r="V316" i="127"/>
  <c r="V34" i="127"/>
  <c r="V192" i="127"/>
  <c r="V30" i="127"/>
  <c r="V20" i="127"/>
  <c r="U101" i="127"/>
  <c r="U103" i="127" s="1"/>
  <c r="W132" i="127"/>
  <c r="W134" i="127" s="1"/>
  <c r="V188" i="127"/>
  <c r="X285" i="127"/>
  <c r="X33" i="127"/>
  <c r="V21" i="127"/>
  <c r="X126" i="127"/>
  <c r="W315" i="127"/>
  <c r="W310" i="127"/>
  <c r="W309" i="127"/>
  <c r="W311" i="127"/>
  <c r="W308" i="127"/>
  <c r="X92" i="87"/>
  <c r="W249" i="127"/>
  <c r="W247" i="127"/>
  <c r="W248" i="127"/>
  <c r="W253" i="127"/>
  <c r="W246" i="127"/>
  <c r="X98" i="87"/>
  <c r="U256" i="127"/>
  <c r="U258" i="127" s="1"/>
  <c r="X219" i="127"/>
  <c r="Y80" i="87"/>
  <c r="U194" i="127"/>
  <c r="U196" i="127" s="1"/>
  <c r="X62" i="87"/>
  <c r="Y218" i="127"/>
  <c r="Y217" i="127"/>
  <c r="Y222" i="127"/>
  <c r="Y216" i="127"/>
  <c r="Y215" i="127"/>
  <c r="Z89" i="87"/>
  <c r="W157" i="127"/>
  <c r="U318" i="127"/>
  <c r="U320" i="127" s="1"/>
  <c r="Z71" i="87"/>
  <c r="V95" i="127"/>
  <c r="V19" i="127"/>
  <c r="T25" i="127"/>
  <c r="T37" i="127"/>
  <c r="X130" i="127"/>
  <c r="X28" i="127"/>
  <c r="V250" i="127"/>
  <c r="W161" i="127"/>
  <c r="W29" i="127"/>
  <c r="W287" i="127"/>
  <c r="W289" i="127" s="1"/>
  <c r="W187" i="127"/>
  <c r="W185" i="127"/>
  <c r="W191" i="127"/>
  <c r="W186" i="127"/>
  <c r="W184" i="127"/>
  <c r="X101" i="87"/>
  <c r="V27" i="127"/>
  <c r="V99" i="127"/>
  <c r="Y284" i="127"/>
  <c r="Y278" i="127"/>
  <c r="Y280" i="127"/>
  <c r="Y279" i="127"/>
  <c r="Z95" i="87"/>
  <c r="Y277" i="127"/>
  <c r="W225" i="127"/>
  <c r="W227" i="127" s="1"/>
  <c r="T39" i="127" l="1"/>
  <c r="Z129" i="127"/>
  <c r="Z123" i="127"/>
  <c r="Z124" i="127"/>
  <c r="Z125" i="127"/>
  <c r="Z122" i="127"/>
  <c r="X98" i="127"/>
  <c r="X94" i="127"/>
  <c r="X91" i="127"/>
  <c r="X93" i="127"/>
  <c r="X92" i="127"/>
  <c r="Y154" i="127"/>
  <c r="Y153" i="127"/>
  <c r="Y155" i="127"/>
  <c r="Y156" i="127"/>
  <c r="Y160" i="127"/>
  <c r="AG40" i="87"/>
  <c r="AG41" i="87"/>
  <c r="AI42" i="87"/>
  <c r="AI39" i="87"/>
  <c r="X64" i="127"/>
  <c r="Y281" i="127"/>
  <c r="V23" i="127"/>
  <c r="V18" i="127" s="1"/>
  <c r="X26" i="127"/>
  <c r="X68" i="127"/>
  <c r="W70" i="127"/>
  <c r="W72" i="127" s="1"/>
  <c r="W312" i="127"/>
  <c r="W21" i="127"/>
  <c r="W250" i="127"/>
  <c r="V35" i="127"/>
  <c r="Y219" i="127"/>
  <c r="W22" i="127"/>
  <c r="X247" i="127"/>
  <c r="X253" i="127"/>
  <c r="X248" i="127"/>
  <c r="X249" i="127"/>
  <c r="X246" i="127"/>
  <c r="Y98" i="87"/>
  <c r="X315" i="127"/>
  <c r="X311" i="127"/>
  <c r="X310" i="127"/>
  <c r="X309" i="127"/>
  <c r="X308" i="127"/>
  <c r="Y92" i="87"/>
  <c r="Z280" i="127"/>
  <c r="Z284" i="127"/>
  <c r="Z279" i="127"/>
  <c r="Z278" i="127"/>
  <c r="AA95" i="87"/>
  <c r="Z277" i="127"/>
  <c r="W188" i="127"/>
  <c r="X132" i="127"/>
  <c r="X134" i="127" s="1"/>
  <c r="Y28" i="127"/>
  <c r="Y130" i="127"/>
  <c r="Y223" i="127"/>
  <c r="Y31" i="127"/>
  <c r="W20" i="127"/>
  <c r="X29" i="127"/>
  <c r="X161" i="127"/>
  <c r="W254" i="127"/>
  <c r="W32" i="127"/>
  <c r="V318" i="127"/>
  <c r="V320" i="127" s="1"/>
  <c r="V256" i="127"/>
  <c r="V258" i="127" s="1"/>
  <c r="X287" i="127"/>
  <c r="X289" i="127" s="1"/>
  <c r="W30" i="127"/>
  <c r="W192" i="127"/>
  <c r="W163" i="127"/>
  <c r="W165" i="127" s="1"/>
  <c r="AA71" i="87"/>
  <c r="Y62" i="87"/>
  <c r="W34" i="127"/>
  <c r="W316" i="127"/>
  <c r="V194" i="127"/>
  <c r="V196" i="127" s="1"/>
  <c r="X185" i="127"/>
  <c r="X187" i="127"/>
  <c r="X186" i="127"/>
  <c r="X191" i="127"/>
  <c r="X184" i="127"/>
  <c r="Y101" i="87"/>
  <c r="Y285" i="127"/>
  <c r="Y33" i="127"/>
  <c r="Y126" i="127"/>
  <c r="W95" i="127"/>
  <c r="W19" i="127"/>
  <c r="Z80" i="87"/>
  <c r="X225" i="127"/>
  <c r="X227" i="127" s="1"/>
  <c r="V101" i="127"/>
  <c r="V103" i="127" s="1"/>
  <c r="Z218" i="127"/>
  <c r="Z222" i="127"/>
  <c r="Z217" i="127"/>
  <c r="Z216" i="127"/>
  <c r="Z215" i="127"/>
  <c r="AA89" i="87"/>
  <c r="W99" i="127"/>
  <c r="W27" i="127"/>
  <c r="X157" i="127"/>
  <c r="U37" i="127"/>
  <c r="U39" i="127" l="1"/>
  <c r="Y98" i="127"/>
  <c r="Y92" i="127"/>
  <c r="Y93" i="127"/>
  <c r="Y94" i="127"/>
  <c r="Y91" i="127"/>
  <c r="Z156" i="127"/>
  <c r="Z155" i="127"/>
  <c r="Z154" i="127"/>
  <c r="Z153" i="127"/>
  <c r="Z160" i="127"/>
  <c r="AA129" i="127"/>
  <c r="AA125" i="127"/>
  <c r="AA124" i="127"/>
  <c r="AA123" i="127"/>
  <c r="AA122" i="127"/>
  <c r="AJ39" i="87"/>
  <c r="AJ42" i="87"/>
  <c r="AH41" i="87"/>
  <c r="AH40" i="87"/>
  <c r="V37" i="127"/>
  <c r="W194" i="127"/>
  <c r="W196" i="127" s="1"/>
  <c r="W23" i="127"/>
  <c r="W18" i="127" s="1"/>
  <c r="X70" i="127"/>
  <c r="X72" i="127" s="1"/>
  <c r="V25" i="127"/>
  <c r="X188" i="127"/>
  <c r="Z126" i="127"/>
  <c r="X22" i="127"/>
  <c r="Y64" i="127"/>
  <c r="X21" i="127"/>
  <c r="Y26" i="127"/>
  <c r="Y68" i="127"/>
  <c r="X20" i="127"/>
  <c r="W256" i="127"/>
  <c r="W258" i="127" s="1"/>
  <c r="X32" i="127"/>
  <c r="X254" i="127"/>
  <c r="Y161" i="127"/>
  <c r="Y29" i="127"/>
  <c r="Y287" i="127"/>
  <c r="Y289" i="127" s="1"/>
  <c r="X27" i="127"/>
  <c r="X99" i="127"/>
  <c r="X163" i="127"/>
  <c r="X165" i="127" s="1"/>
  <c r="Z33" i="127"/>
  <c r="Z285" i="127"/>
  <c r="Y191" i="127"/>
  <c r="Y185" i="127"/>
  <c r="Y186" i="127"/>
  <c r="Y187" i="127"/>
  <c r="Y184" i="127"/>
  <c r="Z101" i="87"/>
  <c r="W318" i="127"/>
  <c r="W320" i="127" s="1"/>
  <c r="AB71" i="87"/>
  <c r="X316" i="127"/>
  <c r="X34" i="127"/>
  <c r="X30" i="127"/>
  <c r="X192" i="127"/>
  <c r="Z62" i="87"/>
  <c r="Z130" i="127"/>
  <c r="Z28" i="127"/>
  <c r="Y253" i="127"/>
  <c r="Y248" i="127"/>
  <c r="Y249" i="127"/>
  <c r="Y247" i="127"/>
  <c r="Y246" i="127"/>
  <c r="Z98" i="87"/>
  <c r="Z31" i="127"/>
  <c r="Z223" i="127"/>
  <c r="Y225" i="127"/>
  <c r="Y227" i="127" s="1"/>
  <c r="Z281" i="127"/>
  <c r="X250" i="127"/>
  <c r="AA216" i="127"/>
  <c r="AA218" i="127"/>
  <c r="AA217" i="127"/>
  <c r="AA222" i="127"/>
  <c r="AA215" i="127"/>
  <c r="AB89" i="87"/>
  <c r="AA80" i="87"/>
  <c r="X95" i="127"/>
  <c r="X19" i="127"/>
  <c r="Y132" i="127"/>
  <c r="Y134" i="127" s="1"/>
  <c r="AA284" i="127"/>
  <c r="AA280" i="127"/>
  <c r="AA278" i="127"/>
  <c r="AA279" i="127"/>
  <c r="AA277" i="127"/>
  <c r="AB95" i="87"/>
  <c r="Y315" i="127"/>
  <c r="Y310" i="127"/>
  <c r="Y311" i="127"/>
  <c r="Y309" i="127"/>
  <c r="Y308" i="127"/>
  <c r="Z92" i="87"/>
  <c r="W35" i="127"/>
  <c r="W101" i="127"/>
  <c r="W103" i="127" s="1"/>
  <c r="Z219" i="127"/>
  <c r="Y157" i="127"/>
  <c r="X312" i="127"/>
  <c r="V39" i="127" l="1"/>
  <c r="AA154" i="127"/>
  <c r="AA156" i="127"/>
  <c r="AA155" i="127"/>
  <c r="AA153" i="127"/>
  <c r="AA160" i="127"/>
  <c r="AB129" i="127"/>
  <c r="AB122" i="127"/>
  <c r="AB123" i="127"/>
  <c r="AB125" i="127"/>
  <c r="AB124" i="127"/>
  <c r="Z98" i="127"/>
  <c r="Z92" i="127"/>
  <c r="Z94" i="127"/>
  <c r="Z91" i="127"/>
  <c r="Z93" i="127"/>
  <c r="AI40" i="87"/>
  <c r="AI41" i="87"/>
  <c r="AK42" i="87"/>
  <c r="AK39" i="87"/>
  <c r="Y70" i="127"/>
  <c r="Y72" i="127" s="1"/>
  <c r="Z64" i="127"/>
  <c r="X23" i="127"/>
  <c r="X18" i="127" s="1"/>
  <c r="X194" i="127"/>
  <c r="X196" i="127" s="1"/>
  <c r="Z157" i="127"/>
  <c r="Y312" i="127"/>
  <c r="Z26" i="127"/>
  <c r="Z68" i="127"/>
  <c r="W37" i="127"/>
  <c r="W25" i="127"/>
  <c r="AB280" i="127"/>
  <c r="AB284" i="127"/>
  <c r="AB279" i="127"/>
  <c r="AB278" i="127"/>
  <c r="AB277" i="127"/>
  <c r="AC95" i="87"/>
  <c r="AA281" i="127"/>
  <c r="Y32" i="127"/>
  <c r="Y254" i="127"/>
  <c r="Y20" i="127"/>
  <c r="AA28" i="127"/>
  <c r="AA130" i="127"/>
  <c r="Y188" i="127"/>
  <c r="Z315" i="127"/>
  <c r="Z311" i="127"/>
  <c r="Z309" i="127"/>
  <c r="Z310" i="127"/>
  <c r="Z308" i="127"/>
  <c r="AA92" i="87"/>
  <c r="Z132" i="127"/>
  <c r="Z134" i="127" s="1"/>
  <c r="Y163" i="127"/>
  <c r="Y165" i="127" s="1"/>
  <c r="AB80" i="87"/>
  <c r="AB217" i="127"/>
  <c r="AB218" i="127"/>
  <c r="AB216" i="127"/>
  <c r="AB222" i="127"/>
  <c r="AC89" i="87"/>
  <c r="AB215" i="127"/>
  <c r="AA62" i="87"/>
  <c r="AA285" i="127"/>
  <c r="AA33" i="127"/>
  <c r="AA223" i="127"/>
  <c r="AA31" i="127"/>
  <c r="Y250" i="127"/>
  <c r="Y95" i="127"/>
  <c r="Y19" i="127"/>
  <c r="X318" i="127"/>
  <c r="X320" i="127" s="1"/>
  <c r="Y192" i="127"/>
  <c r="Y30" i="127"/>
  <c r="X101" i="127"/>
  <c r="X103" i="127" s="1"/>
  <c r="Y27" i="127"/>
  <c r="Y99" i="127"/>
  <c r="Z287" i="127"/>
  <c r="Z289" i="127" s="1"/>
  <c r="X35" i="127"/>
  <c r="AA219" i="127"/>
  <c r="Z249" i="127"/>
  <c r="Z247" i="127"/>
  <c r="Z253" i="127"/>
  <c r="Z248" i="127"/>
  <c r="Z246" i="127"/>
  <c r="AA98" i="87"/>
  <c r="Y316" i="127"/>
  <c r="Y34" i="127"/>
  <c r="Z225" i="127"/>
  <c r="Z227" i="127" s="1"/>
  <c r="Y21" i="127"/>
  <c r="AA126" i="127"/>
  <c r="X256" i="127"/>
  <c r="X258" i="127" s="1"/>
  <c r="Z29" i="127"/>
  <c r="Z161" i="127"/>
  <c r="Y22" i="127"/>
  <c r="AC71" i="87"/>
  <c r="Z191" i="127"/>
  <c r="Z185" i="127"/>
  <c r="Z187" i="127"/>
  <c r="Z186" i="127"/>
  <c r="Z184" i="127"/>
  <c r="AA101" i="87"/>
  <c r="W39" i="127" l="1"/>
  <c r="AB155" i="127"/>
  <c r="AB153" i="127"/>
  <c r="AB160" i="127"/>
  <c r="AB154" i="127"/>
  <c r="AB156" i="127"/>
  <c r="AC129" i="127"/>
  <c r="AC122" i="127"/>
  <c r="AC123" i="127"/>
  <c r="AC125" i="127"/>
  <c r="AC124" i="127"/>
  <c r="AA98" i="127"/>
  <c r="AA93" i="127"/>
  <c r="AA92" i="127"/>
  <c r="AA94" i="127"/>
  <c r="AA91" i="127"/>
  <c r="AJ41" i="87"/>
  <c r="AJ40" i="87"/>
  <c r="Z70" i="127"/>
  <c r="Z72" i="127" s="1"/>
  <c r="Y194" i="127"/>
  <c r="Y196" i="127" s="1"/>
  <c r="Z188" i="127"/>
  <c r="AB126" i="127"/>
  <c r="Y23" i="127"/>
  <c r="Y18" i="127" s="1"/>
  <c r="AA26" i="127"/>
  <c r="AA68" i="127"/>
  <c r="AA64" i="127"/>
  <c r="Y35" i="127"/>
  <c r="Z22" i="127"/>
  <c r="AB219" i="127"/>
  <c r="Y256" i="127"/>
  <c r="Y258" i="127" s="1"/>
  <c r="AB281" i="127"/>
  <c r="AA287" i="127"/>
  <c r="AA289" i="127" s="1"/>
  <c r="Z21" i="127"/>
  <c r="AC218" i="127"/>
  <c r="AC222" i="127"/>
  <c r="AC216" i="127"/>
  <c r="AC217" i="127"/>
  <c r="AD89" i="87"/>
  <c r="AC215" i="127"/>
  <c r="AB31" i="127"/>
  <c r="AB223" i="127"/>
  <c r="AD71" i="87"/>
  <c r="AA29" i="127"/>
  <c r="AA161" i="127"/>
  <c r="Z34" i="127"/>
  <c r="Z316" i="127"/>
  <c r="AB285" i="127"/>
  <c r="AB33" i="127"/>
  <c r="Z163" i="127"/>
  <c r="Z165" i="127" s="1"/>
  <c r="AA184" i="127"/>
  <c r="AA185" i="127"/>
  <c r="AA187" i="127"/>
  <c r="AA191" i="127"/>
  <c r="AA186" i="127"/>
  <c r="AB101" i="87"/>
  <c r="AB62" i="87"/>
  <c r="Y101" i="127"/>
  <c r="Y103" i="127" s="1"/>
  <c r="Y318" i="127"/>
  <c r="Y320" i="127" s="1"/>
  <c r="Z95" i="127"/>
  <c r="Z19" i="127"/>
  <c r="AA132" i="127"/>
  <c r="AA134" i="127" s="1"/>
  <c r="Z192" i="127"/>
  <c r="Z30" i="127"/>
  <c r="Z254" i="127"/>
  <c r="Z32" i="127"/>
  <c r="AB28" i="127"/>
  <c r="AB130" i="127"/>
  <c r="AA253" i="127"/>
  <c r="AA247" i="127"/>
  <c r="AA248" i="127"/>
  <c r="AA249" i="127"/>
  <c r="AA246" i="127"/>
  <c r="AB98" i="87"/>
  <c r="X25" i="127"/>
  <c r="X37" i="127"/>
  <c r="AC80" i="87"/>
  <c r="AA315" i="127"/>
  <c r="AA310" i="127"/>
  <c r="AA309" i="127"/>
  <c r="AA311" i="127"/>
  <c r="AA308" i="127"/>
  <c r="AB92" i="87"/>
  <c r="Z20" i="127"/>
  <c r="Z250" i="127"/>
  <c r="AA225" i="127"/>
  <c r="AA227" i="127" s="1"/>
  <c r="Z27" i="127"/>
  <c r="Z99" i="127"/>
  <c r="AA157" i="127"/>
  <c r="Z312" i="127"/>
  <c r="AC284" i="127"/>
  <c r="AC278" i="127"/>
  <c r="AC279" i="127"/>
  <c r="AC280" i="127"/>
  <c r="AC277" i="127"/>
  <c r="AD95" i="87"/>
  <c r="X39" i="127" l="1"/>
  <c r="AB98" i="127"/>
  <c r="AB93" i="127"/>
  <c r="AB94" i="127"/>
  <c r="AB92" i="127"/>
  <c r="AB91" i="127"/>
  <c r="AC160" i="127"/>
  <c r="AC154" i="127"/>
  <c r="AC153" i="127"/>
  <c r="AC156" i="127"/>
  <c r="AC155" i="127"/>
  <c r="AD129" i="127"/>
  <c r="AD125" i="127"/>
  <c r="AD122" i="127"/>
  <c r="AD124" i="127"/>
  <c r="AD123" i="127"/>
  <c r="Z194" i="127"/>
  <c r="Z196" i="127" s="1"/>
  <c r="AK40" i="87"/>
  <c r="AK41" i="87"/>
  <c r="Y37" i="127"/>
  <c r="Y25" i="127"/>
  <c r="AB64" i="127"/>
  <c r="AA188" i="127"/>
  <c r="AA70" i="127"/>
  <c r="AA72" i="127" s="1"/>
  <c r="AC281" i="127"/>
  <c r="AB26" i="127"/>
  <c r="AB68" i="127"/>
  <c r="Z256" i="127"/>
  <c r="Z258" i="127" s="1"/>
  <c r="AA22" i="127"/>
  <c r="AC219" i="127"/>
  <c r="Z318" i="127"/>
  <c r="Z320" i="127" s="1"/>
  <c r="AB225" i="127"/>
  <c r="AB227" i="127" s="1"/>
  <c r="AD217" i="127"/>
  <c r="AD216" i="127"/>
  <c r="AD222" i="127"/>
  <c r="AD218" i="127"/>
  <c r="AD215" i="127"/>
  <c r="AE89" i="87"/>
  <c r="AD279" i="127"/>
  <c r="AD280" i="127"/>
  <c r="AD278" i="127"/>
  <c r="AD284" i="127"/>
  <c r="AD277" i="127"/>
  <c r="AE95" i="87"/>
  <c r="AA316" i="127"/>
  <c r="AA34" i="127"/>
  <c r="AB132" i="127"/>
  <c r="AB134" i="127" s="1"/>
  <c r="AC62" i="87"/>
  <c r="AA163" i="127"/>
  <c r="AA165" i="127" s="1"/>
  <c r="AE71" i="87"/>
  <c r="Z101" i="127"/>
  <c r="Z103" i="127" s="1"/>
  <c r="AA95" i="127"/>
  <c r="AA19" i="127"/>
  <c r="AB186" i="127"/>
  <c r="AB187" i="127"/>
  <c r="AB185" i="127"/>
  <c r="AB191" i="127"/>
  <c r="AB184" i="127"/>
  <c r="AC101" i="87"/>
  <c r="AC126" i="127"/>
  <c r="AC223" i="127"/>
  <c r="AC31" i="127"/>
  <c r="AB253" i="127"/>
  <c r="AB247" i="127"/>
  <c r="AB248" i="127"/>
  <c r="AB249" i="127"/>
  <c r="AB246" i="127"/>
  <c r="AC98" i="87"/>
  <c r="AA27" i="127"/>
  <c r="AA99" i="127"/>
  <c r="AC130" i="127"/>
  <c r="AC28" i="127"/>
  <c r="AB161" i="127"/>
  <c r="AB29" i="127"/>
  <c r="AD80" i="87"/>
  <c r="AB157" i="127"/>
  <c r="AC285" i="127"/>
  <c r="AC33" i="127"/>
  <c r="AB315" i="127"/>
  <c r="AB309" i="127"/>
  <c r="AB310" i="127"/>
  <c r="AB311" i="127"/>
  <c r="AB308" i="127"/>
  <c r="AC92" i="87"/>
  <c r="AA21" i="127"/>
  <c r="AA192" i="127"/>
  <c r="AA30" i="127"/>
  <c r="AA32" i="127"/>
  <c r="AA254" i="127"/>
  <c r="Z35" i="127"/>
  <c r="AA250" i="127"/>
  <c r="AA312" i="127"/>
  <c r="Z23" i="127"/>
  <c r="Z18" i="127" s="1"/>
  <c r="AA20" i="127"/>
  <c r="AB287" i="127"/>
  <c r="AB289" i="127" s="1"/>
  <c r="Y39" i="127" l="1"/>
  <c r="AC98" i="127"/>
  <c r="AC94" i="127"/>
  <c r="AC92" i="127"/>
  <c r="AC91" i="127"/>
  <c r="AC93" i="127"/>
  <c r="AD155" i="127"/>
  <c r="AD156" i="127"/>
  <c r="AD160" i="127"/>
  <c r="AD154" i="127"/>
  <c r="AD153" i="127"/>
  <c r="AE129" i="127"/>
  <c r="AE123" i="127"/>
  <c r="AE125" i="127"/>
  <c r="AE122" i="127"/>
  <c r="AE124" i="127"/>
  <c r="AA194" i="127"/>
  <c r="AA196" i="127" s="1"/>
  <c r="AB70" i="127"/>
  <c r="AB72" i="127" s="1"/>
  <c r="AB250" i="127"/>
  <c r="AB188" i="127"/>
  <c r="AC64" i="127"/>
  <c r="AC26" i="127"/>
  <c r="AC68" i="127"/>
  <c r="AC287" i="127"/>
  <c r="AC289" i="127" s="1"/>
  <c r="AC184" i="127"/>
  <c r="AC191" i="127"/>
  <c r="AC187" i="127"/>
  <c r="AC186" i="127"/>
  <c r="AC185" i="127"/>
  <c r="AD101" i="87"/>
  <c r="AF71" i="87"/>
  <c r="AD62" i="87"/>
  <c r="AD281" i="127"/>
  <c r="Z37" i="127"/>
  <c r="Z25" i="127"/>
  <c r="AB32" i="127"/>
  <c r="AB254" i="127"/>
  <c r="AB95" i="127"/>
  <c r="AB19" i="127"/>
  <c r="AD33" i="127"/>
  <c r="AD285" i="127"/>
  <c r="AD223" i="127"/>
  <c r="AD31" i="127"/>
  <c r="AC315" i="127"/>
  <c r="AC311" i="127"/>
  <c r="AC310" i="127"/>
  <c r="AC309" i="127"/>
  <c r="AC308" i="127"/>
  <c r="AD92" i="87"/>
  <c r="AB163" i="127"/>
  <c r="AB165" i="127" s="1"/>
  <c r="AA256" i="127"/>
  <c r="AA258" i="127" s="1"/>
  <c r="AB312" i="127"/>
  <c r="AE80" i="87"/>
  <c r="AA101" i="127"/>
  <c r="AA103" i="127" s="1"/>
  <c r="AB192" i="127"/>
  <c r="AB30" i="127"/>
  <c r="AB20" i="127"/>
  <c r="AA318" i="127"/>
  <c r="AA320" i="127" s="1"/>
  <c r="AC157" i="127"/>
  <c r="AA35" i="127"/>
  <c r="AB22" i="127"/>
  <c r="AC253" i="127"/>
  <c r="AC248" i="127"/>
  <c r="AC249" i="127"/>
  <c r="AC247" i="127"/>
  <c r="AD98" i="87"/>
  <c r="AC246" i="127"/>
  <c r="AD130" i="127"/>
  <c r="AD28" i="127"/>
  <c r="AB99" i="127"/>
  <c r="AB27" i="127"/>
  <c r="AC225" i="127"/>
  <c r="AC227" i="127" s="1"/>
  <c r="AB21" i="127"/>
  <c r="AB316" i="127"/>
  <c r="AB34" i="127"/>
  <c r="AA23" i="127"/>
  <c r="AA18" i="127" s="1"/>
  <c r="AE222" i="127"/>
  <c r="AE218" i="127"/>
  <c r="AE216" i="127"/>
  <c r="AE217" i="127"/>
  <c r="AE215" i="127"/>
  <c r="AF89" i="87"/>
  <c r="AC29" i="127"/>
  <c r="AC161" i="127"/>
  <c r="AC132" i="127"/>
  <c r="AC134" i="127" s="1"/>
  <c r="AD126" i="127"/>
  <c r="AE279" i="127"/>
  <c r="AE280" i="127"/>
  <c r="AE278" i="127"/>
  <c r="AE284" i="127"/>
  <c r="AE277" i="127"/>
  <c r="AF95" i="87"/>
  <c r="AD219" i="127"/>
  <c r="AB194" i="127" l="1"/>
  <c r="Z39" i="127"/>
  <c r="AD98" i="127"/>
  <c r="AD93" i="127"/>
  <c r="AD91" i="127"/>
  <c r="AD94" i="127"/>
  <c r="AD92" i="127"/>
  <c r="AB196" i="127"/>
  <c r="AF129" i="127"/>
  <c r="AF123" i="127"/>
  <c r="AF125" i="127"/>
  <c r="AF122" i="127"/>
  <c r="AF124" i="127"/>
  <c r="AE155" i="127"/>
  <c r="AE160" i="127"/>
  <c r="AE153" i="127"/>
  <c r="AE154" i="127"/>
  <c r="AE156" i="127"/>
  <c r="AC70" i="127"/>
  <c r="AC72" i="127" s="1"/>
  <c r="AC188" i="127"/>
  <c r="AD64" i="127"/>
  <c r="AC312" i="127"/>
  <c r="AD68" i="127"/>
  <c r="AD26" i="127"/>
  <c r="AG71" i="87"/>
  <c r="AB101" i="127"/>
  <c r="AB103" i="127" s="1"/>
  <c r="AC254" i="127"/>
  <c r="AC32" i="127"/>
  <c r="AB23" i="127"/>
  <c r="AB18" i="127" s="1"/>
  <c r="AE62" i="87"/>
  <c r="AC30" i="127"/>
  <c r="AC192" i="127"/>
  <c r="AD132" i="127"/>
  <c r="AD134" i="127" s="1"/>
  <c r="AF80" i="87"/>
  <c r="AC95" i="127"/>
  <c r="AC19" i="127"/>
  <c r="AE223" i="127"/>
  <c r="AE31" i="127"/>
  <c r="AD157" i="127"/>
  <c r="AB256" i="127"/>
  <c r="AB258" i="127" s="1"/>
  <c r="AC21" i="127"/>
  <c r="AE28" i="127"/>
  <c r="AE130" i="127"/>
  <c r="AF284" i="127"/>
  <c r="AF280" i="127"/>
  <c r="AF278" i="127"/>
  <c r="AF277" i="127"/>
  <c r="AF279" i="127"/>
  <c r="AG95" i="87"/>
  <c r="AE281" i="127"/>
  <c r="AC250" i="127"/>
  <c r="AC34" i="127"/>
  <c r="AC316" i="127"/>
  <c r="AC20" i="127"/>
  <c r="AD247" i="127"/>
  <c r="AD253" i="127"/>
  <c r="AD249" i="127"/>
  <c r="AD248" i="127"/>
  <c r="AE98" i="87"/>
  <c r="AD246" i="127"/>
  <c r="AA37" i="127"/>
  <c r="AA25" i="127"/>
  <c r="AC27" i="127"/>
  <c r="AC99" i="127"/>
  <c r="AD185" i="127"/>
  <c r="AD186" i="127"/>
  <c r="AD187" i="127"/>
  <c r="AD191" i="127"/>
  <c r="AD184" i="127"/>
  <c r="AE101" i="87"/>
  <c r="AE285" i="127"/>
  <c r="AE33" i="127"/>
  <c r="AC163" i="127"/>
  <c r="AC165" i="127" s="1"/>
  <c r="AD225" i="127"/>
  <c r="AD227" i="127" s="1"/>
  <c r="AC22" i="127"/>
  <c r="AF222" i="127"/>
  <c r="AF218" i="127"/>
  <c r="AF217" i="127"/>
  <c r="AF216" i="127"/>
  <c r="AF215" i="127"/>
  <c r="AG89" i="87"/>
  <c r="AB318" i="127"/>
  <c r="AB320" i="127" s="1"/>
  <c r="AE219" i="127"/>
  <c r="AB35" i="127"/>
  <c r="AD161" i="127"/>
  <c r="AD29" i="127"/>
  <c r="AD311" i="127"/>
  <c r="AD310" i="127"/>
  <c r="AD315" i="127"/>
  <c r="AD309" i="127"/>
  <c r="AD308" i="127"/>
  <c r="AE92" i="87"/>
  <c r="AD287" i="127"/>
  <c r="AD289" i="127" s="1"/>
  <c r="AE126" i="127"/>
  <c r="AA39" i="127" l="1"/>
  <c r="AG129" i="127"/>
  <c r="AG123" i="127"/>
  <c r="AG125" i="127"/>
  <c r="AG124" i="127"/>
  <c r="AG122" i="127"/>
  <c r="AE98" i="127"/>
  <c r="AE94" i="127"/>
  <c r="AE91" i="127"/>
  <c r="AE93" i="127"/>
  <c r="AE92" i="127"/>
  <c r="AF153" i="127"/>
  <c r="AF155" i="127"/>
  <c r="AF156" i="127"/>
  <c r="AF160" i="127"/>
  <c r="AF154" i="127"/>
  <c r="AC194" i="127"/>
  <c r="AC196" i="127" s="1"/>
  <c r="AD70" i="127"/>
  <c r="AD72" i="127" s="1"/>
  <c r="AF126" i="127"/>
  <c r="AE64" i="127"/>
  <c r="AE68" i="127"/>
  <c r="AE26" i="127"/>
  <c r="AF219" i="127"/>
  <c r="AF281" i="127"/>
  <c r="AG217" i="127"/>
  <c r="AG218" i="127"/>
  <c r="AG222" i="127"/>
  <c r="AG216" i="127"/>
  <c r="AG215" i="127"/>
  <c r="AH89" i="87"/>
  <c r="AD316" i="127"/>
  <c r="AD34" i="127"/>
  <c r="AD192" i="127"/>
  <c r="AD30" i="127"/>
  <c r="AE132" i="127"/>
  <c r="AE134" i="127" s="1"/>
  <c r="AE225" i="127"/>
  <c r="AE227" i="127" s="1"/>
  <c r="AD22" i="127"/>
  <c r="AF223" i="127"/>
  <c r="AF31" i="127"/>
  <c r="AD250" i="127"/>
  <c r="AC23" i="127"/>
  <c r="AC18" i="127" s="1"/>
  <c r="AE161" i="127"/>
  <c r="AE29" i="127"/>
  <c r="AD21" i="127"/>
  <c r="AE248" i="127"/>
  <c r="AE249" i="127"/>
  <c r="AE247" i="127"/>
  <c r="AE253" i="127"/>
  <c r="AE246" i="127"/>
  <c r="AF98" i="87"/>
  <c r="AC318" i="127"/>
  <c r="AC320" i="127" s="1"/>
  <c r="AG278" i="127"/>
  <c r="AG279" i="127"/>
  <c r="AG280" i="127"/>
  <c r="AG284" i="127"/>
  <c r="AH95" i="87"/>
  <c r="AG277" i="127"/>
  <c r="AD20" i="127"/>
  <c r="AH71" i="87"/>
  <c r="AD163" i="127"/>
  <c r="AD165" i="127" s="1"/>
  <c r="AG80" i="87"/>
  <c r="AE309" i="127"/>
  <c r="AE310" i="127"/>
  <c r="AE315" i="127"/>
  <c r="AE311" i="127"/>
  <c r="AE308" i="127"/>
  <c r="AF92" i="87"/>
  <c r="AB37" i="127"/>
  <c r="AB25" i="127"/>
  <c r="AE287" i="127"/>
  <c r="AE289" i="127" s="1"/>
  <c r="AC35" i="127"/>
  <c r="AD32" i="127"/>
  <c r="AD254" i="127"/>
  <c r="AE157" i="127"/>
  <c r="AF62" i="87"/>
  <c r="AC256" i="127"/>
  <c r="AC258" i="127" s="1"/>
  <c r="AC101" i="127"/>
  <c r="AC103" i="127" s="1"/>
  <c r="AD312" i="127"/>
  <c r="AE185" i="127"/>
  <c r="AE184" i="127"/>
  <c r="AE186" i="127"/>
  <c r="AE187" i="127"/>
  <c r="AE191" i="127"/>
  <c r="AF101" i="87"/>
  <c r="AD27" i="127"/>
  <c r="AD99" i="127"/>
  <c r="AD188" i="127"/>
  <c r="AF285" i="127"/>
  <c r="AF33" i="127"/>
  <c r="AD95" i="127"/>
  <c r="AD19" i="127"/>
  <c r="AF130" i="127"/>
  <c r="AF28" i="127"/>
  <c r="AB39" i="127" l="1"/>
  <c r="AG154" i="127"/>
  <c r="AG160" i="127"/>
  <c r="AG156" i="127"/>
  <c r="AG153" i="127"/>
  <c r="AG155" i="127"/>
  <c r="AF98" i="127"/>
  <c r="AF92" i="127"/>
  <c r="AF94" i="127"/>
  <c r="AF91" i="127"/>
  <c r="AF93" i="127"/>
  <c r="AH129" i="127"/>
  <c r="AH125" i="127"/>
  <c r="AH122" i="127"/>
  <c r="AH124" i="127"/>
  <c r="AH123" i="127"/>
  <c r="AF64" i="127"/>
  <c r="AE70" i="127"/>
  <c r="AE72" i="127" s="1"/>
  <c r="AE250" i="127"/>
  <c r="AG219" i="127"/>
  <c r="AG281" i="127"/>
  <c r="AE20" i="127"/>
  <c r="AD23" i="127"/>
  <c r="AD18" i="127" s="1"/>
  <c r="AF26" i="127"/>
  <c r="AF68" i="127"/>
  <c r="AD35" i="127"/>
  <c r="AF132" i="127"/>
  <c r="AF134" i="127" s="1"/>
  <c r="AG28" i="127"/>
  <c r="AG130" i="127"/>
  <c r="AG285" i="127"/>
  <c r="AG33" i="127"/>
  <c r="AH222" i="127"/>
  <c r="AH217" i="127"/>
  <c r="AH218" i="127"/>
  <c r="AH216" i="127"/>
  <c r="AH215" i="127"/>
  <c r="AI89" i="87"/>
  <c r="AE254" i="127"/>
  <c r="AE32" i="127"/>
  <c r="AE163" i="127"/>
  <c r="AE165" i="127" s="1"/>
  <c r="AE188" i="127"/>
  <c r="AD256" i="127"/>
  <c r="AD258" i="127" s="1"/>
  <c r="AF311" i="127"/>
  <c r="AF315" i="127"/>
  <c r="AF309" i="127"/>
  <c r="AF310" i="127"/>
  <c r="AF308" i="127"/>
  <c r="AG92" i="87"/>
  <c r="AH80" i="87"/>
  <c r="AG62" i="87"/>
  <c r="AE312" i="127"/>
  <c r="AF157" i="127"/>
  <c r="AI71" i="87"/>
  <c r="AG223" i="127"/>
  <c r="AG31" i="127"/>
  <c r="AE27" i="127"/>
  <c r="AE99" i="127"/>
  <c r="AC37" i="127"/>
  <c r="AC25" i="127"/>
  <c r="AF29" i="127"/>
  <c r="AF161" i="127"/>
  <c r="AG126" i="127"/>
  <c r="AF186" i="127"/>
  <c r="AF187" i="127"/>
  <c r="AF185" i="127"/>
  <c r="AF191" i="127"/>
  <c r="AF184" i="127"/>
  <c r="AG101" i="87"/>
  <c r="AE95" i="127"/>
  <c r="AE19" i="127"/>
  <c r="AE316" i="127"/>
  <c r="AE34" i="127"/>
  <c r="AD194" i="127"/>
  <c r="AD196" i="127" s="1"/>
  <c r="AD101" i="127"/>
  <c r="AD103" i="127" s="1"/>
  <c r="AF287" i="127"/>
  <c r="AF289" i="127" s="1"/>
  <c r="AE30" i="127"/>
  <c r="AE192" i="127"/>
  <c r="AE21" i="127"/>
  <c r="AF225" i="127"/>
  <c r="AF227" i="127" s="1"/>
  <c r="AE22" i="127"/>
  <c r="AH284" i="127"/>
  <c r="AH279" i="127"/>
  <c r="AH280" i="127"/>
  <c r="AH278" i="127"/>
  <c r="AI95" i="87"/>
  <c r="AH277" i="127"/>
  <c r="AF249" i="127"/>
  <c r="AF247" i="127"/>
  <c r="AF253" i="127"/>
  <c r="AF248" i="127"/>
  <c r="AG98" i="87"/>
  <c r="AF246" i="127"/>
  <c r="AD318" i="127"/>
  <c r="AD320" i="127" s="1"/>
  <c r="AC39" i="127" l="1"/>
  <c r="AF70" i="127"/>
  <c r="AF72" i="127" s="1"/>
  <c r="AH156" i="127"/>
  <c r="AH153" i="127"/>
  <c r="AH160" i="127"/>
  <c r="AH154" i="127"/>
  <c r="AH155" i="127"/>
  <c r="AI129" i="127"/>
  <c r="AI124" i="127"/>
  <c r="AI122" i="127"/>
  <c r="AI125" i="127"/>
  <c r="AI123" i="127"/>
  <c r="AG98" i="127"/>
  <c r="AG92" i="127"/>
  <c r="AG94" i="127"/>
  <c r="AG91" i="127"/>
  <c r="AG93" i="127"/>
  <c r="AD37" i="127"/>
  <c r="AD25" i="127"/>
  <c r="AH281" i="127"/>
  <c r="AG26" i="127"/>
  <c r="AG68" i="127"/>
  <c r="AG64" i="127"/>
  <c r="AE194" i="127"/>
  <c r="AE196" i="127" s="1"/>
  <c r="AF30" i="127"/>
  <c r="AF192" i="127"/>
  <c r="AG157" i="127"/>
  <c r="AH219" i="127"/>
  <c r="AE101" i="127"/>
  <c r="AE103" i="127" s="1"/>
  <c r="AJ71" i="87"/>
  <c r="AH62" i="87"/>
  <c r="AF34" i="127"/>
  <c r="AF316" i="127"/>
  <c r="AE35" i="127"/>
  <c r="AH126" i="127"/>
  <c r="AF95" i="127"/>
  <c r="AF19" i="127"/>
  <c r="AI280" i="127"/>
  <c r="AI284" i="127"/>
  <c r="AI278" i="127"/>
  <c r="AI279" i="127"/>
  <c r="AJ95" i="87"/>
  <c r="AI277" i="127"/>
  <c r="AE318" i="127"/>
  <c r="AE320" i="127" s="1"/>
  <c r="AH130" i="127"/>
  <c r="AH28" i="127"/>
  <c r="AF21" i="127"/>
  <c r="AF22" i="127"/>
  <c r="AG29" i="127"/>
  <c r="AG161" i="127"/>
  <c r="AH223" i="127"/>
  <c r="AH31" i="127"/>
  <c r="AF20" i="127"/>
  <c r="AG315" i="127"/>
  <c r="AG310" i="127"/>
  <c r="AG309" i="127"/>
  <c r="AG311" i="127"/>
  <c r="AG308" i="127"/>
  <c r="AH92" i="87"/>
  <c r="AE256" i="127"/>
  <c r="AE258" i="127" s="1"/>
  <c r="AG248" i="127"/>
  <c r="AG247" i="127"/>
  <c r="AG249" i="127"/>
  <c r="AG253" i="127"/>
  <c r="AH98" i="87"/>
  <c r="AG246" i="127"/>
  <c r="AF163" i="127"/>
  <c r="AF165" i="127" s="1"/>
  <c r="AG187" i="127"/>
  <c r="AG186" i="127"/>
  <c r="AG185" i="127"/>
  <c r="AG191" i="127"/>
  <c r="AG184" i="127"/>
  <c r="AH101" i="87"/>
  <c r="AG225" i="127"/>
  <c r="AG227" i="127" s="1"/>
  <c r="AF27" i="127"/>
  <c r="AF99" i="127"/>
  <c r="AF312" i="127"/>
  <c r="AG287" i="127"/>
  <c r="AG289" i="127" s="1"/>
  <c r="AF250" i="127"/>
  <c r="AE23" i="127"/>
  <c r="AE18" i="127" s="1"/>
  <c r="AF254" i="127"/>
  <c r="AF32" i="127"/>
  <c r="AH285" i="127"/>
  <c r="AH33" i="127"/>
  <c r="AF188" i="127"/>
  <c r="AI80" i="87"/>
  <c r="AI216" i="127"/>
  <c r="AI217" i="127"/>
  <c r="AI218" i="127"/>
  <c r="AI222" i="127"/>
  <c r="AI215" i="127"/>
  <c r="AJ89" i="87"/>
  <c r="AG132" i="127"/>
  <c r="AG134" i="127" s="1"/>
  <c r="AD39" i="127" l="1"/>
  <c r="AJ129" i="127"/>
  <c r="AJ122" i="127"/>
  <c r="AJ124" i="127"/>
  <c r="AJ123" i="127"/>
  <c r="AJ125" i="127"/>
  <c r="AH98" i="127"/>
  <c r="AH93" i="127"/>
  <c r="AH92" i="127"/>
  <c r="AH94" i="127"/>
  <c r="AH91" i="127"/>
  <c r="AI154" i="127"/>
  <c r="AI155" i="127"/>
  <c r="AI156" i="127"/>
  <c r="AI153" i="127"/>
  <c r="AI160" i="127"/>
  <c r="AG312" i="127"/>
  <c r="AG250" i="127"/>
  <c r="AG188" i="127"/>
  <c r="AI126" i="127"/>
  <c r="AG70" i="127"/>
  <c r="AG72" i="127" s="1"/>
  <c r="AI219" i="127"/>
  <c r="AH64" i="127"/>
  <c r="AH68" i="127"/>
  <c r="AH26" i="127"/>
  <c r="AH191" i="127"/>
  <c r="AH185" i="127"/>
  <c r="AH187" i="127"/>
  <c r="AH184" i="127"/>
  <c r="AH186" i="127"/>
  <c r="AI101" i="87"/>
  <c r="AG27" i="127"/>
  <c r="AG99" i="127"/>
  <c r="AF318" i="127"/>
  <c r="AF320" i="127" s="1"/>
  <c r="AK71" i="87"/>
  <c r="AJ222" i="127"/>
  <c r="AJ218" i="127"/>
  <c r="AJ216" i="127"/>
  <c r="AJ217" i="127"/>
  <c r="AK89" i="87"/>
  <c r="AJ215" i="127"/>
  <c r="AH29" i="127"/>
  <c r="AH161" i="127"/>
  <c r="AI33" i="127"/>
  <c r="AI285" i="127"/>
  <c r="AI62" i="87"/>
  <c r="AI223" i="127"/>
  <c r="AI31" i="127"/>
  <c r="AH311" i="127"/>
  <c r="AH309" i="127"/>
  <c r="AH310" i="127"/>
  <c r="AH315" i="127"/>
  <c r="AI92" i="87"/>
  <c r="AH308" i="127"/>
  <c r="AF35" i="127"/>
  <c r="AH225" i="127"/>
  <c r="AH227" i="127" s="1"/>
  <c r="AF23" i="127"/>
  <c r="AF18" i="127" s="1"/>
  <c r="AG95" i="127"/>
  <c r="AG19" i="127"/>
  <c r="AF194" i="127"/>
  <c r="AF196" i="127" s="1"/>
  <c r="AH248" i="127"/>
  <c r="AH253" i="127"/>
  <c r="AH249" i="127"/>
  <c r="AH247" i="127"/>
  <c r="AI98" i="87"/>
  <c r="AH246" i="127"/>
  <c r="AH132" i="127"/>
  <c r="AH134" i="127" s="1"/>
  <c r="AF256" i="127"/>
  <c r="AF258" i="127" s="1"/>
  <c r="AF101" i="127"/>
  <c r="AF103" i="127" s="1"/>
  <c r="AG254" i="127"/>
  <c r="AG32" i="127"/>
  <c r="AG163" i="127"/>
  <c r="AG165" i="127" s="1"/>
  <c r="AG22" i="127"/>
  <c r="AI28" i="127"/>
  <c r="AI130" i="127"/>
  <c r="AH287" i="127"/>
  <c r="AH289" i="127" s="1"/>
  <c r="AG192" i="127"/>
  <c r="AG30" i="127"/>
  <c r="AI281" i="127"/>
  <c r="AG20" i="127"/>
  <c r="AH157" i="127"/>
  <c r="AJ80" i="87"/>
  <c r="AG34" i="127"/>
  <c r="AG316" i="127"/>
  <c r="AJ278" i="127"/>
  <c r="AJ284" i="127"/>
  <c r="AJ279" i="127"/>
  <c r="AJ280" i="127"/>
  <c r="AK95" i="87"/>
  <c r="AJ277" i="127"/>
  <c r="AE25" i="127"/>
  <c r="AE37" i="127"/>
  <c r="AG21" i="127"/>
  <c r="AE39" i="127" l="1"/>
  <c r="AI98" i="127"/>
  <c r="AI93" i="127"/>
  <c r="AI94" i="127"/>
  <c r="AI92" i="127"/>
  <c r="AI91" i="127"/>
  <c r="AK129" i="127"/>
  <c r="AK125" i="127"/>
  <c r="AK123" i="127"/>
  <c r="AK122" i="127"/>
  <c r="AK124" i="127"/>
  <c r="AJ154" i="127"/>
  <c r="AJ160" i="127"/>
  <c r="AJ153" i="127"/>
  <c r="AJ155" i="127"/>
  <c r="AJ156" i="127"/>
  <c r="AG194" i="127"/>
  <c r="AG196" i="127" s="1"/>
  <c r="AH312" i="127"/>
  <c r="AH250" i="127"/>
  <c r="AJ219" i="127"/>
  <c r="AI68" i="127"/>
  <c r="AI26" i="127"/>
  <c r="AI64" i="127"/>
  <c r="AH70" i="127"/>
  <c r="AH72" i="127" s="1"/>
  <c r="AJ62" i="87"/>
  <c r="AH163" i="127"/>
  <c r="AH165" i="127" s="1"/>
  <c r="AH30" i="127"/>
  <c r="AH192" i="127"/>
  <c r="AI248" i="127"/>
  <c r="AI249" i="127"/>
  <c r="AI247" i="127"/>
  <c r="AI246" i="127"/>
  <c r="AI253" i="127"/>
  <c r="AJ98" i="87"/>
  <c r="AI310" i="127"/>
  <c r="AI315" i="127"/>
  <c r="AI311" i="127"/>
  <c r="AI309" i="127"/>
  <c r="AI308" i="127"/>
  <c r="AJ92" i="87"/>
  <c r="AH27" i="127"/>
  <c r="AH99" i="127"/>
  <c r="AJ126" i="127"/>
  <c r="AG101" i="127"/>
  <c r="AG103" i="127" s="1"/>
  <c r="AH34" i="127"/>
  <c r="AH316" i="127"/>
  <c r="AH95" i="127"/>
  <c r="AH19" i="127"/>
  <c r="AG35" i="127"/>
  <c r="AG318" i="127"/>
  <c r="AG320" i="127" s="1"/>
  <c r="AI161" i="127"/>
  <c r="AI29" i="127"/>
  <c r="AH22" i="127"/>
  <c r="AK217" i="127"/>
  <c r="AK218" i="127"/>
  <c r="AK216" i="127"/>
  <c r="AK222" i="127"/>
  <c r="AK215" i="127"/>
  <c r="AI187" i="127"/>
  <c r="AI185" i="127"/>
  <c r="AI186" i="127"/>
  <c r="AI184" i="127"/>
  <c r="AI191" i="127"/>
  <c r="AJ101" i="87"/>
  <c r="AH254" i="127"/>
  <c r="AH32" i="127"/>
  <c r="AH21" i="127"/>
  <c r="AJ285" i="127"/>
  <c r="AJ33" i="127"/>
  <c r="AJ281" i="127"/>
  <c r="AF25" i="127"/>
  <c r="AF37" i="127"/>
  <c r="AH20" i="127"/>
  <c r="AJ130" i="127"/>
  <c r="AJ28" i="127"/>
  <c r="AH188" i="127"/>
  <c r="AK80" i="87"/>
  <c r="AK280" i="127"/>
  <c r="AK279" i="127"/>
  <c r="AK278" i="127"/>
  <c r="AK277" i="127"/>
  <c r="AK284" i="127"/>
  <c r="AI157" i="127"/>
  <c r="AI132" i="127"/>
  <c r="AI134" i="127" s="1"/>
  <c r="AG256" i="127"/>
  <c r="AG258" i="127" s="1"/>
  <c r="AI287" i="127"/>
  <c r="AI289" i="127" s="1"/>
  <c r="AG23" i="127"/>
  <c r="AG18" i="127" s="1"/>
  <c r="AI225" i="127"/>
  <c r="AI227" i="127" s="1"/>
  <c r="AJ31" i="127"/>
  <c r="AJ223" i="127"/>
  <c r="AF39" i="127" l="1"/>
  <c r="AK160" i="127"/>
  <c r="AK153" i="127"/>
  <c r="AK154" i="127"/>
  <c r="AK155" i="127"/>
  <c r="AK156" i="127"/>
  <c r="AJ98" i="127"/>
  <c r="AJ91" i="127"/>
  <c r="AJ93" i="127"/>
  <c r="AJ92" i="127"/>
  <c r="AJ94" i="127"/>
  <c r="J38" i="135"/>
  <c r="J37" i="135"/>
  <c r="J5" i="135"/>
  <c r="J7" i="135"/>
  <c r="J6" i="135"/>
  <c r="J8" i="135"/>
  <c r="J9" i="135"/>
  <c r="J10" i="135"/>
  <c r="J11" i="135"/>
  <c r="J12" i="135"/>
  <c r="J13" i="135"/>
  <c r="J14" i="135"/>
  <c r="J15" i="135"/>
  <c r="J16" i="135"/>
  <c r="J17" i="135"/>
  <c r="J18" i="135"/>
  <c r="J19" i="135"/>
  <c r="J20" i="135"/>
  <c r="J21" i="135"/>
  <c r="J24" i="135"/>
  <c r="J25" i="135"/>
  <c r="J26" i="135"/>
  <c r="J27" i="135"/>
  <c r="J28" i="135"/>
  <c r="J30" i="135"/>
  <c r="J31" i="135"/>
  <c r="J32" i="135"/>
  <c r="J33" i="135"/>
  <c r="J34" i="135"/>
  <c r="J35" i="135"/>
  <c r="J36" i="135"/>
  <c r="AI70" i="127"/>
  <c r="AI72" i="127" s="1"/>
  <c r="AJ26" i="127"/>
  <c r="AJ68" i="127"/>
  <c r="AI188" i="127"/>
  <c r="AJ64" i="127"/>
  <c r="AK33" i="127"/>
  <c r="AK285" i="127"/>
  <c r="G132" i="135" s="1"/>
  <c r="AJ187" i="127"/>
  <c r="AJ186" i="127"/>
  <c r="AJ184" i="127"/>
  <c r="AJ191" i="127"/>
  <c r="AJ185" i="127"/>
  <c r="AK101" i="87"/>
  <c r="AI312" i="127"/>
  <c r="AI20" i="127"/>
  <c r="AK281" i="127"/>
  <c r="AI192" i="127"/>
  <c r="AI30" i="127"/>
  <c r="AK28" i="127"/>
  <c r="AK130" i="127"/>
  <c r="AI99" i="127"/>
  <c r="AI27" i="127"/>
  <c r="AK62" i="87"/>
  <c r="AG25" i="127"/>
  <c r="AG37" i="127"/>
  <c r="AI316" i="127"/>
  <c r="AI34" i="127"/>
  <c r="AH194" i="127"/>
  <c r="AH196" i="127" s="1"/>
  <c r="AJ287" i="127"/>
  <c r="AJ289" i="127" s="1"/>
  <c r="AH23" i="127"/>
  <c r="AH18" i="127" s="1"/>
  <c r="AJ29" i="127"/>
  <c r="AJ161" i="127"/>
  <c r="AJ157" i="127"/>
  <c r="AJ132" i="127"/>
  <c r="AJ134" i="127" s="1"/>
  <c r="AI163" i="127"/>
  <c r="AI165" i="127" s="1"/>
  <c r="AH101" i="127"/>
  <c r="AH103" i="127" s="1"/>
  <c r="AJ247" i="127"/>
  <c r="AJ248" i="127"/>
  <c r="AJ253" i="127"/>
  <c r="AJ249" i="127"/>
  <c r="AK98" i="87"/>
  <c r="AJ246" i="127"/>
  <c r="AK126" i="127"/>
  <c r="AI95" i="127"/>
  <c r="AI19" i="127"/>
  <c r="AJ225" i="127"/>
  <c r="AJ227" i="127" s="1"/>
  <c r="AK219" i="127"/>
  <c r="F85" i="135" s="1" a="1"/>
  <c r="F85" i="135" s="1"/>
  <c r="AH318" i="127"/>
  <c r="AH320" i="127" s="1"/>
  <c r="AH35" i="127"/>
  <c r="AI254" i="127"/>
  <c r="AI32" i="127"/>
  <c r="AI22" i="127"/>
  <c r="AH256" i="127"/>
  <c r="AH258" i="127" s="1"/>
  <c r="AK31" i="127"/>
  <c r="AK223" i="127"/>
  <c r="AJ315" i="127"/>
  <c r="AJ309" i="127"/>
  <c r="AJ310" i="127"/>
  <c r="AJ311" i="127"/>
  <c r="AJ308" i="127"/>
  <c r="AK92" i="87"/>
  <c r="AI250" i="127"/>
  <c r="AI21" i="127"/>
  <c r="AG39" i="127" l="1"/>
  <c r="D132" i="135"/>
  <c r="E12" i="141" a="1"/>
  <c r="E12" i="141" s="1"/>
  <c r="D85" i="135" a="1"/>
  <c r="D85" i="135" s="1"/>
  <c r="D129" i="135"/>
  <c r="E20" i="141"/>
  <c r="G85" i="135" a="1"/>
  <c r="G85" i="135" s="1"/>
  <c r="G129" i="135"/>
  <c r="G133" i="135" s="1"/>
  <c r="F132" i="135"/>
  <c r="E7" i="141" a="1"/>
  <c r="E7" i="141" s="1"/>
  <c r="F129" i="135"/>
  <c r="E15" i="141"/>
  <c r="AK98" i="127"/>
  <c r="AK94" i="127"/>
  <c r="AK91" i="127"/>
  <c r="AK92" i="127"/>
  <c r="AK93" i="127"/>
  <c r="AI194" i="127"/>
  <c r="AI196" i="127" s="1"/>
  <c r="AK64" i="127"/>
  <c r="AK68" i="127"/>
  <c r="AK26" i="127"/>
  <c r="F44" i="135" a="1"/>
  <c r="Q44" i="135" a="1"/>
  <c r="Q77" i="135" s="1"/>
  <c r="R44" i="135" a="1"/>
  <c r="R77" i="135" s="1"/>
  <c r="G44" i="135" a="1"/>
  <c r="G77" i="135" s="1"/>
  <c r="AJ70" i="127"/>
  <c r="AJ72" i="127" s="1"/>
  <c r="D46" i="135" a="1"/>
  <c r="D77" i="135" s="1"/>
  <c r="O46" i="135" a="1"/>
  <c r="AJ27" i="127"/>
  <c r="AJ99" i="127"/>
  <c r="AK157" i="127"/>
  <c r="AI23" i="127"/>
  <c r="AI18" i="127" s="1"/>
  <c r="AJ21" i="127"/>
  <c r="AK185" i="127"/>
  <c r="AK187" i="127"/>
  <c r="AK191" i="127"/>
  <c r="AK184" i="127"/>
  <c r="AK186" i="127"/>
  <c r="AJ95" i="127"/>
  <c r="AJ19" i="127"/>
  <c r="AI256" i="127"/>
  <c r="AI258" i="127" s="1"/>
  <c r="AJ22" i="127"/>
  <c r="AJ30" i="127"/>
  <c r="AJ192" i="127"/>
  <c r="AJ316" i="127"/>
  <c r="AJ34" i="127"/>
  <c r="AK225" i="127"/>
  <c r="AK227" i="127" s="1"/>
  <c r="AH25" i="127"/>
  <c r="AH37" i="127"/>
  <c r="AJ250" i="127"/>
  <c r="AJ163" i="127"/>
  <c r="AJ165" i="127" s="1"/>
  <c r="AI318" i="127"/>
  <c r="AI320" i="127" s="1"/>
  <c r="AJ20" i="127"/>
  <c r="AJ188" i="127"/>
  <c r="AK161" i="127"/>
  <c r="E132" i="135" s="1"/>
  <c r="AK29" i="127"/>
  <c r="AK253" i="127"/>
  <c r="AK248" i="127"/>
  <c r="AK249" i="127"/>
  <c r="AK246" i="127"/>
  <c r="AK247" i="127"/>
  <c r="AI35" i="127"/>
  <c r="AK315" i="127"/>
  <c r="AK310" i="127"/>
  <c r="AK309" i="127"/>
  <c r="AK311" i="127"/>
  <c r="AK308" i="127"/>
  <c r="AI101" i="127"/>
  <c r="AI103" i="127" s="1"/>
  <c r="AJ312" i="127"/>
  <c r="AJ32" i="127"/>
  <c r="AJ254" i="127"/>
  <c r="AK132" i="127"/>
  <c r="AK134" i="127" s="1"/>
  <c r="AK287" i="127"/>
  <c r="AK289" i="127" s="1"/>
  <c r="AH39" i="127" l="1"/>
  <c r="E85" i="135" a="1"/>
  <c r="E85" i="135" s="1"/>
  <c r="E129" i="135"/>
  <c r="E133" i="135" s="1"/>
  <c r="E11" i="141" a="1"/>
  <c r="E11" i="141" s="1"/>
  <c r="B132" i="135"/>
  <c r="B85" i="135" a="1"/>
  <c r="B129" i="135"/>
  <c r="E19" i="141"/>
  <c r="F133" i="135"/>
  <c r="D133" i="135"/>
  <c r="AJ194" i="127"/>
  <c r="AJ196" i="127" s="1"/>
  <c r="Q44" i="135"/>
  <c r="Q45" i="135"/>
  <c r="Q46" i="135"/>
  <c r="Q47" i="135"/>
  <c r="Q48" i="135"/>
  <c r="Q49" i="135"/>
  <c r="Q50" i="135"/>
  <c r="Q51" i="135"/>
  <c r="Q52" i="135"/>
  <c r="Q53" i="135"/>
  <c r="Q54" i="135"/>
  <c r="Q55" i="135"/>
  <c r="Q56" i="135"/>
  <c r="Q57" i="135"/>
  <c r="Q58" i="135"/>
  <c r="Q59" i="135"/>
  <c r="Q60" i="135"/>
  <c r="Q61" i="135"/>
  <c r="Q62" i="135"/>
  <c r="Q63" i="135"/>
  <c r="Q64" i="135"/>
  <c r="Q65" i="135"/>
  <c r="Q66" i="135"/>
  <c r="Q67" i="135"/>
  <c r="Q68" i="135"/>
  <c r="Q69" i="135"/>
  <c r="Q70" i="135"/>
  <c r="Q71" i="135"/>
  <c r="Q72" i="135"/>
  <c r="Q73" i="135"/>
  <c r="Q74" i="135"/>
  <c r="Q75" i="135"/>
  <c r="Q76" i="135"/>
  <c r="F44" i="135"/>
  <c r="F45" i="135"/>
  <c r="F46" i="135"/>
  <c r="F47" i="135"/>
  <c r="F48" i="135"/>
  <c r="F49" i="135"/>
  <c r="F50" i="135"/>
  <c r="F51" i="135"/>
  <c r="F52" i="135"/>
  <c r="F53" i="135"/>
  <c r="F54" i="135"/>
  <c r="F55" i="135"/>
  <c r="F56" i="135"/>
  <c r="F57" i="135"/>
  <c r="F58" i="135"/>
  <c r="F59" i="135"/>
  <c r="F60" i="135"/>
  <c r="F61" i="135"/>
  <c r="F62" i="135"/>
  <c r="F63" i="135"/>
  <c r="F64" i="135"/>
  <c r="F65" i="135"/>
  <c r="F66" i="135"/>
  <c r="F67" i="135"/>
  <c r="F68" i="135"/>
  <c r="F69" i="135"/>
  <c r="F70" i="135"/>
  <c r="F71" i="135"/>
  <c r="F72" i="135"/>
  <c r="F73" i="135"/>
  <c r="F74" i="135"/>
  <c r="F75" i="135"/>
  <c r="F76" i="135"/>
  <c r="G44" i="135"/>
  <c r="G45" i="135"/>
  <c r="G46" i="135"/>
  <c r="G47" i="135"/>
  <c r="G48" i="135"/>
  <c r="G49" i="135"/>
  <c r="G50" i="135"/>
  <c r="G51" i="135"/>
  <c r="G52" i="135"/>
  <c r="G53" i="135"/>
  <c r="G54" i="135"/>
  <c r="G55" i="135"/>
  <c r="G56" i="135"/>
  <c r="G57" i="135"/>
  <c r="G58" i="135"/>
  <c r="G59" i="135"/>
  <c r="G60" i="135"/>
  <c r="G61" i="135"/>
  <c r="G62" i="135"/>
  <c r="G63" i="135"/>
  <c r="G64" i="135"/>
  <c r="G65" i="135"/>
  <c r="G66" i="135"/>
  <c r="G67" i="135"/>
  <c r="G68" i="135"/>
  <c r="G69" i="135"/>
  <c r="G70" i="135"/>
  <c r="G71" i="135"/>
  <c r="G72" i="135"/>
  <c r="G73" i="135"/>
  <c r="G74" i="135"/>
  <c r="G75" i="135"/>
  <c r="G76" i="135"/>
  <c r="R44" i="135"/>
  <c r="R45" i="135"/>
  <c r="R46" i="135"/>
  <c r="R47" i="135"/>
  <c r="R48" i="135"/>
  <c r="R49" i="135"/>
  <c r="R50" i="135"/>
  <c r="R51" i="135"/>
  <c r="R52" i="135"/>
  <c r="R53" i="135"/>
  <c r="R54" i="135"/>
  <c r="R55" i="135"/>
  <c r="R56" i="135"/>
  <c r="R57" i="135"/>
  <c r="R58" i="135"/>
  <c r="R59" i="135"/>
  <c r="R60" i="135"/>
  <c r="R61" i="135"/>
  <c r="R62" i="135"/>
  <c r="R63" i="135"/>
  <c r="R64" i="135"/>
  <c r="R65" i="135"/>
  <c r="R66" i="135"/>
  <c r="R67" i="135"/>
  <c r="R68" i="135"/>
  <c r="R69" i="135"/>
  <c r="R70" i="135"/>
  <c r="R71" i="135"/>
  <c r="R72" i="135"/>
  <c r="R73" i="135"/>
  <c r="R74" i="135"/>
  <c r="R75" i="135"/>
  <c r="R76" i="135"/>
  <c r="AK70" i="127"/>
  <c r="AK72" i="127" s="1"/>
  <c r="M45" i="135" a="1"/>
  <c r="B45" i="135" a="1"/>
  <c r="AK21" i="127"/>
  <c r="F77" i="135"/>
  <c r="D46" i="135"/>
  <c r="D47" i="135"/>
  <c r="D48" i="135"/>
  <c r="D49" i="135"/>
  <c r="D50" i="135"/>
  <c r="D51" i="135"/>
  <c r="D52" i="135"/>
  <c r="D53" i="135"/>
  <c r="D54" i="135"/>
  <c r="D55" i="135"/>
  <c r="D56" i="135"/>
  <c r="D57" i="135"/>
  <c r="D58" i="135"/>
  <c r="D59" i="135"/>
  <c r="D60" i="135"/>
  <c r="D61" i="135"/>
  <c r="D62" i="135"/>
  <c r="D63" i="135"/>
  <c r="D64" i="135"/>
  <c r="D65" i="135"/>
  <c r="D66" i="135"/>
  <c r="D67" i="135"/>
  <c r="D68" i="135"/>
  <c r="D69" i="135"/>
  <c r="D70" i="135"/>
  <c r="D71" i="135"/>
  <c r="D72" i="135"/>
  <c r="D73" i="135"/>
  <c r="D74" i="135"/>
  <c r="D75" i="135"/>
  <c r="D76" i="135"/>
  <c r="P45" i="135" a="1"/>
  <c r="P77" i="135" s="1"/>
  <c r="E45" i="135" a="1"/>
  <c r="E77" i="135" s="1"/>
  <c r="O46" i="135"/>
  <c r="O47" i="135"/>
  <c r="O48" i="135"/>
  <c r="O49" i="135"/>
  <c r="O50" i="135"/>
  <c r="O51" i="135"/>
  <c r="O52" i="135"/>
  <c r="O53" i="135"/>
  <c r="O54" i="135"/>
  <c r="O55" i="135"/>
  <c r="O56" i="135"/>
  <c r="O57" i="135"/>
  <c r="O58" i="135"/>
  <c r="O59" i="135"/>
  <c r="O60" i="135"/>
  <c r="O61" i="135"/>
  <c r="O62" i="135"/>
  <c r="O63" i="135"/>
  <c r="O64" i="135"/>
  <c r="O65" i="135"/>
  <c r="O66" i="135"/>
  <c r="O67" i="135"/>
  <c r="O68" i="135"/>
  <c r="O69" i="135"/>
  <c r="O70" i="135"/>
  <c r="O71" i="135"/>
  <c r="O72" i="135"/>
  <c r="O73" i="135"/>
  <c r="O74" i="135"/>
  <c r="O75" i="135"/>
  <c r="O76" i="135"/>
  <c r="O77" i="135"/>
  <c r="AK20" i="127"/>
  <c r="AK192" i="127"/>
  <c r="AK30" i="127"/>
  <c r="AJ256" i="127"/>
  <c r="AJ258" i="127" s="1"/>
  <c r="AK32" i="127"/>
  <c r="AK254" i="127"/>
  <c r="AK316" i="127"/>
  <c r="AK34" i="127"/>
  <c r="AK163" i="127"/>
  <c r="AK165" i="127" s="1"/>
  <c r="AK27" i="127"/>
  <c r="AK99" i="127"/>
  <c r="AI25" i="127"/>
  <c r="AI37" i="127"/>
  <c r="AJ318" i="127"/>
  <c r="AJ320" i="127" s="1"/>
  <c r="AJ23" i="127"/>
  <c r="AJ18" i="127" s="1"/>
  <c r="AK22" i="127"/>
  <c r="AK250" i="127"/>
  <c r="AJ101" i="127"/>
  <c r="AJ103" i="127" s="1"/>
  <c r="AK95" i="127"/>
  <c r="AK19" i="127"/>
  <c r="AK312" i="127"/>
  <c r="AK188" i="127"/>
  <c r="AJ35" i="127"/>
  <c r="AI39" i="127" l="1"/>
  <c r="B133" i="135"/>
  <c r="B85" i="135"/>
  <c r="C85" i="135" a="1"/>
  <c r="C85" i="135" s="1"/>
  <c r="C129" i="135"/>
  <c r="E18" i="141"/>
  <c r="C132" i="135"/>
  <c r="E10" i="141" a="1"/>
  <c r="E10" i="141" s="1"/>
  <c r="H85" i="135" a="1"/>
  <c r="H85" i="135" s="1"/>
  <c r="E14" i="141" a="1"/>
  <c r="E14" i="141" s="1"/>
  <c r="H129" i="135"/>
  <c r="I85" i="135" a="1"/>
  <c r="I85" i="135" s="1"/>
  <c r="I129" i="135"/>
  <c r="E16" i="141"/>
  <c r="E6" i="141" a="1"/>
  <c r="E6" i="141" s="1"/>
  <c r="H132" i="135"/>
  <c r="E8" i="141" a="1"/>
  <c r="E8" i="141" s="1"/>
  <c r="I132" i="135"/>
  <c r="M45" i="135"/>
  <c r="M53" i="135"/>
  <c r="M61" i="135"/>
  <c r="M69" i="135"/>
  <c r="M77" i="135"/>
  <c r="M47" i="135"/>
  <c r="M73" i="135"/>
  <c r="M46" i="135"/>
  <c r="M54" i="135"/>
  <c r="M62" i="135"/>
  <c r="M70" i="135"/>
  <c r="M51" i="135"/>
  <c r="M55" i="135"/>
  <c r="M63" i="135"/>
  <c r="M71" i="135"/>
  <c r="M65" i="135"/>
  <c r="M50" i="135"/>
  <c r="M56" i="135"/>
  <c r="M64" i="135"/>
  <c r="M72" i="135"/>
  <c r="M57" i="135"/>
  <c r="M48" i="135"/>
  <c r="M58" i="135"/>
  <c r="M66" i="135"/>
  <c r="M74" i="135"/>
  <c r="M49" i="135"/>
  <c r="M59" i="135"/>
  <c r="M67" i="135"/>
  <c r="M75" i="135"/>
  <c r="M52" i="135"/>
  <c r="M60" i="135"/>
  <c r="M68" i="135"/>
  <c r="M76" i="135"/>
  <c r="T44" i="135" a="1"/>
  <c r="T77" i="135" s="1"/>
  <c r="I44" i="135" a="1"/>
  <c r="I77" i="135" s="1"/>
  <c r="S44" i="135" a="1"/>
  <c r="S77" i="135" s="1"/>
  <c r="H44" i="135" a="1"/>
  <c r="H77" i="135" s="1"/>
  <c r="B45" i="135"/>
  <c r="B53" i="135"/>
  <c r="B61" i="135"/>
  <c r="B69" i="135"/>
  <c r="B48" i="135"/>
  <c r="B65" i="135"/>
  <c r="B46" i="135"/>
  <c r="B54" i="135"/>
  <c r="B62" i="135"/>
  <c r="B70" i="135"/>
  <c r="B77" i="135"/>
  <c r="B50" i="135"/>
  <c r="B55" i="135"/>
  <c r="B63" i="135"/>
  <c r="B71" i="135"/>
  <c r="B51" i="135"/>
  <c r="B56" i="135"/>
  <c r="B64" i="135"/>
  <c r="B72" i="135"/>
  <c r="B57" i="135"/>
  <c r="B73" i="135"/>
  <c r="B47" i="135"/>
  <c r="B58" i="135"/>
  <c r="B66" i="135"/>
  <c r="B74" i="135"/>
  <c r="B49" i="135"/>
  <c r="B59" i="135"/>
  <c r="B67" i="135"/>
  <c r="B75" i="135"/>
  <c r="B52" i="135"/>
  <c r="B60" i="135"/>
  <c r="B68" i="135"/>
  <c r="B76" i="135"/>
  <c r="N45" i="135" a="1"/>
  <c r="N77" i="135" s="1"/>
  <c r="C45" i="135" a="1"/>
  <c r="C77" i="135" s="1"/>
  <c r="E45" i="135"/>
  <c r="E46" i="135"/>
  <c r="E47" i="135"/>
  <c r="E48" i="135"/>
  <c r="E49" i="135"/>
  <c r="E50" i="135"/>
  <c r="E51" i="135"/>
  <c r="E52" i="135"/>
  <c r="E53" i="135"/>
  <c r="E54" i="135"/>
  <c r="E55" i="135"/>
  <c r="E56" i="135"/>
  <c r="E57" i="135"/>
  <c r="E58" i="135"/>
  <c r="E59" i="135"/>
  <c r="E60" i="135"/>
  <c r="E61" i="135"/>
  <c r="E62" i="135"/>
  <c r="E63" i="135"/>
  <c r="E64" i="135"/>
  <c r="E65" i="135"/>
  <c r="E66" i="135"/>
  <c r="E67" i="135"/>
  <c r="E68" i="135"/>
  <c r="E69" i="135"/>
  <c r="E70" i="135"/>
  <c r="E71" i="135"/>
  <c r="E72" i="135"/>
  <c r="E73" i="135"/>
  <c r="E74" i="135"/>
  <c r="E75" i="135"/>
  <c r="E76" i="135"/>
  <c r="P45" i="135"/>
  <c r="P46" i="135"/>
  <c r="P47" i="135"/>
  <c r="P48" i="135"/>
  <c r="P49" i="135"/>
  <c r="P50" i="135"/>
  <c r="P51" i="135"/>
  <c r="P52" i="135"/>
  <c r="P53" i="135"/>
  <c r="P54" i="135"/>
  <c r="P55" i="135"/>
  <c r="P56" i="135"/>
  <c r="P57" i="135"/>
  <c r="P58" i="135"/>
  <c r="P59" i="135"/>
  <c r="P60" i="135"/>
  <c r="P61" i="135"/>
  <c r="P62" i="135"/>
  <c r="P63" i="135"/>
  <c r="P64" i="135"/>
  <c r="P65" i="135"/>
  <c r="P66" i="135"/>
  <c r="P67" i="135"/>
  <c r="P68" i="135"/>
  <c r="P69" i="135"/>
  <c r="P70" i="135"/>
  <c r="P71" i="135"/>
  <c r="P72" i="135"/>
  <c r="P73" i="135"/>
  <c r="P74" i="135"/>
  <c r="P75" i="135"/>
  <c r="P76" i="135"/>
  <c r="AK194" i="127"/>
  <c r="AK196" i="127" s="1"/>
  <c r="AJ37" i="127"/>
  <c r="AJ25" i="127"/>
  <c r="AK101" i="127"/>
  <c r="AK103" i="127" s="1"/>
  <c r="AK35" i="127"/>
  <c r="AK256" i="127"/>
  <c r="AK258" i="127" s="1"/>
  <c r="AK318" i="127"/>
  <c r="AK320" i="127" s="1"/>
  <c r="AK23" i="127"/>
  <c r="AK18" i="127" s="1"/>
  <c r="AJ39" i="127" l="1"/>
  <c r="I133" i="135"/>
  <c r="C133" i="135"/>
  <c r="J89" i="135"/>
  <c r="H133" i="135"/>
  <c r="H44" i="135"/>
  <c r="H45" i="135"/>
  <c r="H46" i="135"/>
  <c r="H47" i="135"/>
  <c r="H48" i="135"/>
  <c r="H49" i="135"/>
  <c r="H50" i="135"/>
  <c r="H51" i="135"/>
  <c r="H52" i="135"/>
  <c r="H53" i="135"/>
  <c r="H54" i="135"/>
  <c r="H55" i="135"/>
  <c r="H56" i="135"/>
  <c r="H57" i="135"/>
  <c r="H58" i="135"/>
  <c r="H59" i="135"/>
  <c r="H60" i="135"/>
  <c r="H61" i="135"/>
  <c r="H62" i="135"/>
  <c r="H63" i="135"/>
  <c r="H64" i="135"/>
  <c r="H65" i="135"/>
  <c r="H66" i="135"/>
  <c r="H67" i="135"/>
  <c r="H68" i="135"/>
  <c r="H69" i="135"/>
  <c r="H70" i="135"/>
  <c r="H71" i="135"/>
  <c r="H72" i="135"/>
  <c r="H73" i="135"/>
  <c r="H74" i="135"/>
  <c r="H75" i="135"/>
  <c r="H76" i="135"/>
  <c r="S44" i="135"/>
  <c r="S45" i="135"/>
  <c r="S46" i="135"/>
  <c r="S47" i="135"/>
  <c r="S48" i="135"/>
  <c r="S49" i="135"/>
  <c r="S50" i="135"/>
  <c r="S51" i="135"/>
  <c r="S52" i="135"/>
  <c r="S53" i="135"/>
  <c r="S54" i="135"/>
  <c r="S55" i="135"/>
  <c r="S56" i="135"/>
  <c r="S57" i="135"/>
  <c r="S58" i="135"/>
  <c r="S59" i="135"/>
  <c r="S60" i="135"/>
  <c r="S61" i="135"/>
  <c r="S62" i="135"/>
  <c r="S63" i="135"/>
  <c r="S64" i="135"/>
  <c r="S65" i="135"/>
  <c r="S66" i="135"/>
  <c r="S67" i="135"/>
  <c r="S68" i="135"/>
  <c r="S69" i="135"/>
  <c r="S70" i="135"/>
  <c r="S71" i="135"/>
  <c r="S72" i="135"/>
  <c r="S73" i="135"/>
  <c r="S74" i="135"/>
  <c r="S75" i="135"/>
  <c r="S76" i="135"/>
  <c r="I44" i="135"/>
  <c r="I45" i="135"/>
  <c r="I46" i="135"/>
  <c r="I47" i="135"/>
  <c r="I48" i="135"/>
  <c r="I49" i="135"/>
  <c r="I50" i="135"/>
  <c r="I51" i="135"/>
  <c r="I52" i="135"/>
  <c r="I53" i="135"/>
  <c r="I54" i="135"/>
  <c r="I55" i="135"/>
  <c r="I56" i="135"/>
  <c r="I57" i="135"/>
  <c r="I58" i="135"/>
  <c r="I59" i="135"/>
  <c r="I60" i="135"/>
  <c r="I61" i="135"/>
  <c r="I62" i="135"/>
  <c r="I63" i="135"/>
  <c r="I64" i="135"/>
  <c r="I65" i="135"/>
  <c r="I66" i="135"/>
  <c r="I67" i="135"/>
  <c r="I68" i="135"/>
  <c r="I69" i="135"/>
  <c r="I70" i="135"/>
  <c r="I71" i="135"/>
  <c r="I72" i="135"/>
  <c r="I73" i="135"/>
  <c r="I74" i="135"/>
  <c r="I75" i="135"/>
  <c r="I76" i="135"/>
  <c r="T44" i="135"/>
  <c r="T45" i="135"/>
  <c r="T46" i="135"/>
  <c r="T47" i="135"/>
  <c r="T48" i="135"/>
  <c r="T49" i="135"/>
  <c r="T50" i="135"/>
  <c r="T51" i="135"/>
  <c r="T52" i="135"/>
  <c r="T53" i="135"/>
  <c r="T54" i="135"/>
  <c r="T55" i="135"/>
  <c r="T56" i="135"/>
  <c r="T57" i="135"/>
  <c r="T58" i="135"/>
  <c r="T59" i="135"/>
  <c r="T60" i="135"/>
  <c r="T61" i="135"/>
  <c r="T62" i="135"/>
  <c r="T63" i="135"/>
  <c r="T64" i="135"/>
  <c r="T65" i="135"/>
  <c r="T66" i="135"/>
  <c r="T67" i="135"/>
  <c r="T68" i="135"/>
  <c r="T69" i="135"/>
  <c r="T70" i="135"/>
  <c r="T71" i="135"/>
  <c r="T72" i="135"/>
  <c r="T73" i="135"/>
  <c r="T74" i="135"/>
  <c r="T75" i="135"/>
  <c r="T76" i="135"/>
  <c r="C45" i="135"/>
  <c r="C46" i="135"/>
  <c r="C47" i="135"/>
  <c r="C48" i="135"/>
  <c r="C49" i="135"/>
  <c r="C50" i="135"/>
  <c r="C51" i="135"/>
  <c r="C52" i="135"/>
  <c r="C53" i="135"/>
  <c r="C54" i="135"/>
  <c r="C55" i="135"/>
  <c r="C56" i="135"/>
  <c r="C57" i="135"/>
  <c r="C58" i="135"/>
  <c r="C59" i="135"/>
  <c r="C60" i="135"/>
  <c r="C61" i="135"/>
  <c r="C62" i="135"/>
  <c r="C63" i="135"/>
  <c r="C64" i="135"/>
  <c r="C65" i="135"/>
  <c r="C66" i="135"/>
  <c r="C67" i="135"/>
  <c r="C68" i="135"/>
  <c r="C69" i="135"/>
  <c r="C70" i="135"/>
  <c r="C71" i="135"/>
  <c r="C72" i="135"/>
  <c r="C73" i="135"/>
  <c r="C74" i="135"/>
  <c r="C75" i="135"/>
  <c r="C76" i="135"/>
  <c r="N45" i="135"/>
  <c r="N46" i="135"/>
  <c r="N47" i="135"/>
  <c r="N48" i="135"/>
  <c r="N49" i="135"/>
  <c r="N50" i="135"/>
  <c r="N51" i="135"/>
  <c r="N52" i="135"/>
  <c r="N53" i="135"/>
  <c r="N54" i="135"/>
  <c r="N55" i="135"/>
  <c r="N56" i="135"/>
  <c r="N57" i="135"/>
  <c r="N58" i="135"/>
  <c r="N59" i="135"/>
  <c r="N60" i="135"/>
  <c r="N61" i="135"/>
  <c r="N62" i="135"/>
  <c r="N63" i="135"/>
  <c r="N64" i="135"/>
  <c r="N65" i="135"/>
  <c r="N66" i="135"/>
  <c r="N67" i="135"/>
  <c r="N68" i="135"/>
  <c r="N69" i="135"/>
  <c r="N70" i="135"/>
  <c r="N71" i="135"/>
  <c r="N72" i="135"/>
  <c r="N73" i="135"/>
  <c r="N74" i="135"/>
  <c r="N75" i="135"/>
  <c r="N76" i="135"/>
  <c r="AK37" i="127"/>
  <c r="AK25" i="127"/>
  <c r="U77" i="135"/>
  <c r="I128" i="135" l="1"/>
  <c r="I127" i="135" s="1"/>
  <c r="H128" i="135"/>
  <c r="H127" i="135" s="1"/>
  <c r="AK39" i="127"/>
  <c r="J108" i="135"/>
  <c r="U48" i="135"/>
  <c r="J95" i="135"/>
  <c r="J112" i="135"/>
  <c r="J96" i="135"/>
  <c r="J100" i="135"/>
  <c r="J111" i="135"/>
  <c r="J103" i="135"/>
  <c r="J87" i="135"/>
  <c r="U73" i="135"/>
  <c r="U65" i="135"/>
  <c r="U57" i="135"/>
  <c r="U49" i="135"/>
  <c r="J91" i="135"/>
  <c r="J107" i="135"/>
  <c r="J110" i="135"/>
  <c r="J101" i="135"/>
  <c r="J99" i="135"/>
  <c r="J117" i="135"/>
  <c r="J92" i="135"/>
  <c r="J118" i="135"/>
  <c r="J94" i="135"/>
  <c r="J109" i="135"/>
  <c r="J115" i="135"/>
  <c r="J93" i="135"/>
  <c r="J85" i="135"/>
  <c r="U44" i="135"/>
  <c r="J116" i="135"/>
  <c r="U69" i="135"/>
  <c r="U61" i="135"/>
  <c r="U53" i="135"/>
  <c r="U45" i="135"/>
  <c r="U68" i="135"/>
  <c r="U60" i="135"/>
  <c r="U52" i="135"/>
  <c r="J114" i="135"/>
  <c r="J106" i="135"/>
  <c r="J98" i="135"/>
  <c r="J90" i="135"/>
  <c r="U67" i="135"/>
  <c r="U59" i="135"/>
  <c r="U51" i="135"/>
  <c r="J113" i="135"/>
  <c r="J105" i="135"/>
  <c r="J97" i="135"/>
  <c r="U76" i="135"/>
  <c r="U75" i="135"/>
  <c r="U74" i="135"/>
  <c r="U66" i="135"/>
  <c r="U58" i="135"/>
  <c r="U50" i="135"/>
  <c r="J104" i="135"/>
  <c r="J88" i="135"/>
  <c r="J102" i="135"/>
  <c r="J86" i="135"/>
  <c r="U72" i="135"/>
  <c r="U64" i="135"/>
  <c r="U56" i="135"/>
  <c r="U71" i="135"/>
  <c r="U63" i="135"/>
  <c r="U55" i="135"/>
  <c r="U47" i="135"/>
  <c r="U70" i="135"/>
  <c r="U62" i="135"/>
  <c r="U54" i="135"/>
  <c r="U46" i="1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 Martioli</author>
  </authors>
  <commentList>
    <comment ref="B8" authorId="0" shapeId="0" xr:uid="{2539B7C0-0EE7-4114-AFDF-A3F4AFBBC4F5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9" authorId="0" shapeId="0" xr:uid="{197BBC3B-57E4-45E9-982F-77D7678C5275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49" authorId="0" shapeId="0" xr:uid="{27BAFB56-9E4B-4047-9DF9-6C2478718F60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50" authorId="0" shapeId="0" xr:uid="{862B954F-9211-457D-939D-4AE555752944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80" authorId="0" shapeId="0" xr:uid="{FC71ECC4-B7A1-4339-A176-853B610AC21F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81" authorId="0" shapeId="0" xr:uid="{AB0ECEE2-4D46-40DF-AB13-43C082CFC875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111" authorId="0" shapeId="0" xr:uid="{01922A8F-2674-4C3A-9068-FAA6E88CDF7E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112" authorId="0" shapeId="0" xr:uid="{CFBD29F4-A9D2-42A2-8B86-0BBE95A0F0B8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142" authorId="0" shapeId="0" xr:uid="{9059D591-D383-47F4-A44F-DFA65669D568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143" authorId="0" shapeId="0" xr:uid="{C064EB98-C964-4ED1-9553-8B923F42CA8D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173" authorId="0" shapeId="0" xr:uid="{332A1480-9FF9-40D2-BDBA-5961994492C6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174" authorId="0" shapeId="0" xr:uid="{4952E524-C23E-44FF-B47C-F3D7FB419F68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204" authorId="0" shapeId="0" xr:uid="{E7156A7F-320E-4EFA-9D38-47AA6FB00946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205" authorId="0" shapeId="0" xr:uid="{F3EC2C98-426F-4F9F-83D3-C2AAF0012194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235" authorId="0" shapeId="0" xr:uid="{ED4D5107-597B-4DD2-BDD1-D0C832407F85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236" authorId="0" shapeId="0" xr:uid="{6D94BB54-7974-4DA3-83AA-26F60348C22B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266" authorId="0" shapeId="0" xr:uid="{8EFBF517-A31A-4872-B9BC-DF90521BD5D9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267" authorId="0" shapeId="0" xr:uid="{4E334373-A2DA-4F61-8679-3D3BFE8436FA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297" authorId="0" shapeId="0" xr:uid="{52F04158-7F21-47C1-8994-C37F0CED6FE8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298" authorId="0" shapeId="0" xr:uid="{3FB1796E-8231-4876-AB70-B63A0B17FF54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 Martioli</author>
  </authors>
  <commentList>
    <comment ref="B10" authorId="0" shapeId="0" xr:uid="{F3B5F8E7-A6BB-4A88-A63F-A495CD5B80A5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11" authorId="0" shapeId="0" xr:uid="{C09426F2-A57D-416F-80B4-62C330F380E1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43" authorId="0" shapeId="0" xr:uid="{4E9E817F-BC3B-462A-BDEF-C79836820ABB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44" authorId="0" shapeId="0" xr:uid="{839C5389-A435-4C1F-B139-E22A0CD40319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76" authorId="0" shapeId="0" xr:uid="{968C3C01-43E9-4845-9539-0BA0A2B7999F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77" authorId="0" shapeId="0" xr:uid="{B0B5A709-B92C-4A05-84E3-97363CDF2EDB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109" authorId="0" shapeId="0" xr:uid="{98A40974-1E9B-4E96-A370-24122138B8D3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110" authorId="0" shapeId="0" xr:uid="{93B7C40A-FD25-453C-86C1-9474C429746F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142" authorId="0" shapeId="0" xr:uid="{D844BC59-9CCB-452E-B33E-BD06AE5E645A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143" authorId="0" shapeId="0" xr:uid="{7EB5C4E4-56A0-4AA5-9443-61B7C5F84F20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 Martioli</author>
  </authors>
  <commentList>
    <comment ref="B10" authorId="0" shapeId="0" xr:uid="{87D2423A-4B51-496C-8CBA-414A5E205254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11" authorId="0" shapeId="0" xr:uid="{CD48D52A-E5C2-4FEA-8847-BC608AEFB9D3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38" authorId="0" shapeId="0" xr:uid="{3D52EC2E-FB14-40FC-9C01-D841CE44789B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39" authorId="0" shapeId="0" xr:uid="{414DB5C3-1FD3-443B-A4E3-BBC51E07A406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66" authorId="0" shapeId="0" xr:uid="{0C4DC250-7B3D-4BCD-9A5E-C90E49750A2A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67" authorId="0" shapeId="0" xr:uid="{C263F045-2C20-4CB2-BE0C-7EC8DAA64689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  <comment ref="B94" authorId="0" shapeId="0" xr:uid="{3EE389B6-E680-4341-BAB8-C61DCED40A35}">
      <text>
        <r>
          <rPr>
            <b/>
            <sz val="9"/>
            <color indexed="81"/>
            <rFont val="Segoe UI"/>
            <family val="2"/>
          </rPr>
          <t>Culturas:</t>
        </r>
        <r>
          <rPr>
            <sz val="9"/>
            <color indexed="81"/>
            <rFont val="Segoe UI"/>
            <family val="2"/>
          </rPr>
          <t xml:space="preserve">
- Manga
- Bananas
- Limão</t>
        </r>
      </text>
    </comment>
    <comment ref="B95" authorId="0" shapeId="0" xr:uid="{E7E40A79-234E-4D92-8B50-7F7AF877A170}">
      <text>
        <r>
          <rPr>
            <b/>
            <sz val="9"/>
            <color indexed="81"/>
            <rFont val="Segoe UI"/>
            <family val="2"/>
          </rPr>
          <t xml:space="preserve">Culturas anuais:
</t>
        </r>
        <r>
          <rPr>
            <sz val="9"/>
            <color indexed="81"/>
            <rFont val="Segoe UI"/>
            <family val="2"/>
          </rPr>
          <t>- Soja;
- Milhos;
- Feijão;
- Cana(*)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<sst xmlns="http://schemas.openxmlformats.org/spreadsheetml/2006/main" count="3163" uniqueCount="855">
  <si>
    <t>UD</t>
  </si>
  <si>
    <t>Calcário</t>
  </si>
  <si>
    <t>KG</t>
  </si>
  <si>
    <t>Uréia</t>
  </si>
  <si>
    <t>Espalhante</t>
  </si>
  <si>
    <t>Óleo Mineral</t>
  </si>
  <si>
    <t>Sacaria</t>
  </si>
  <si>
    <t>ud</t>
  </si>
  <si>
    <t>Unidade</t>
  </si>
  <si>
    <t>ha</t>
  </si>
  <si>
    <t>total</t>
  </si>
  <si>
    <t>banana</t>
  </si>
  <si>
    <t>manga</t>
  </si>
  <si>
    <t>unidade</t>
  </si>
  <si>
    <t>sub-total</t>
  </si>
  <si>
    <t>plantio</t>
  </si>
  <si>
    <t>ad. Manual</t>
  </si>
  <si>
    <t>herbicida</t>
  </si>
  <si>
    <t>isca</t>
  </si>
  <si>
    <t>desfolha</t>
  </si>
  <si>
    <t>desbrota</t>
  </si>
  <si>
    <t>dh</t>
  </si>
  <si>
    <t>colheita</t>
  </si>
  <si>
    <t>contaagem cachos</t>
  </si>
  <si>
    <t>man sist irrig</t>
  </si>
  <si>
    <t>man estrutura</t>
  </si>
  <si>
    <t>administraçao</t>
  </si>
  <si>
    <t>custo mao de obra</t>
  </si>
  <si>
    <t>salario</t>
  </si>
  <si>
    <t>premiaçao media</t>
  </si>
  <si>
    <t>encargos</t>
  </si>
  <si>
    <t>custo dh</t>
  </si>
  <si>
    <t>cantina</t>
  </si>
  <si>
    <t>fogao,etc</t>
  </si>
  <si>
    <t>custo dia</t>
  </si>
  <si>
    <t>galpao</t>
  </si>
  <si>
    <t>grat</t>
  </si>
  <si>
    <t>secretaria</t>
  </si>
  <si>
    <t>veiculo+motos</t>
  </si>
  <si>
    <t xml:space="preserve">campo </t>
  </si>
  <si>
    <t>Herbicida</t>
  </si>
  <si>
    <t>Custo total dh</t>
  </si>
  <si>
    <t>EPI</t>
  </si>
  <si>
    <t>ROUPA</t>
  </si>
  <si>
    <t>Total</t>
  </si>
  <si>
    <t>TOTAL-1</t>
  </si>
  <si>
    <t>Preparao cova</t>
  </si>
  <si>
    <t>Aplicação defensivo</t>
  </si>
  <si>
    <t>rocada manual</t>
  </si>
  <si>
    <t>Controle moleque</t>
  </si>
  <si>
    <t>Manejo do sist irrigação</t>
  </si>
  <si>
    <t>Atividades diversa</t>
  </si>
  <si>
    <t>GASTO COM INSUMOS</t>
  </si>
  <si>
    <t xml:space="preserve"> GASTO COM MÃO DE OBRA</t>
  </si>
  <si>
    <t>Sistema de irrigação</t>
  </si>
  <si>
    <t>Packing hause</t>
  </si>
  <si>
    <t>Cabo aéreo</t>
  </si>
  <si>
    <t>Administrativo</t>
  </si>
  <si>
    <t xml:space="preserve">INFRAESTRUTURA </t>
  </si>
  <si>
    <t>GASTO COM TRATOR E EQUIPAMENTOS E AVIAÇÃO AGRÍCOLA</t>
  </si>
  <si>
    <t>Aviação agrícola</t>
  </si>
  <si>
    <t>OUTRAS DESPESAS</t>
  </si>
  <si>
    <t>Drenagem parcelar</t>
  </si>
  <si>
    <t>Ferramentas diversas</t>
  </si>
  <si>
    <t>Transporte funcionários</t>
  </si>
  <si>
    <t>Alimentação</t>
  </si>
  <si>
    <t>Med e seg trabalho</t>
  </si>
  <si>
    <t>Assessoria Jurídica</t>
  </si>
  <si>
    <t>Assessroria contábil</t>
  </si>
  <si>
    <t>Gestão maior</t>
  </si>
  <si>
    <t>Unifrome</t>
  </si>
  <si>
    <t>Coordenador campo</t>
  </si>
  <si>
    <t>Supervisor de campo</t>
  </si>
  <si>
    <t>Uniforme</t>
  </si>
  <si>
    <t>1.1</t>
  </si>
  <si>
    <t>1.2</t>
  </si>
  <si>
    <t>1.3</t>
  </si>
  <si>
    <t>packging embalagem</t>
  </si>
  <si>
    <t>Preparo de solo</t>
  </si>
  <si>
    <t xml:space="preserve">Distribuição de cálcario </t>
  </si>
  <si>
    <t>Distribuição de  fosfato</t>
  </si>
  <si>
    <t>Incorporação corretivos</t>
  </si>
  <si>
    <t>Abertura de sulcos</t>
  </si>
  <si>
    <t>Apoio distribuição adubo orgânico</t>
  </si>
  <si>
    <t xml:space="preserve">Roçada </t>
  </si>
  <si>
    <t>Apoio - alojamento - cozinha e refeitório</t>
  </si>
  <si>
    <t>Aplicação de defensivos / foliar</t>
  </si>
  <si>
    <t>Fosfatado</t>
  </si>
  <si>
    <t>m²/ha</t>
  </si>
  <si>
    <t>Galpã0 insumos e maquinas</t>
  </si>
  <si>
    <t>m/ha</t>
  </si>
  <si>
    <t>Custo</t>
  </si>
  <si>
    <t>Aplicação esterco/calcário/fosfatado</t>
  </si>
  <si>
    <t>quantidade por cova/ano/ha</t>
  </si>
  <si>
    <t>Energia - parcelar ( demanda )</t>
  </si>
  <si>
    <t>Energia - parcelar ( consumo )</t>
  </si>
  <si>
    <t>custo/ha/ano</t>
  </si>
  <si>
    <t>Quantidade por ha</t>
  </si>
  <si>
    <t>Preço por ha</t>
  </si>
  <si>
    <t>Custo por ano - R$</t>
  </si>
  <si>
    <t>Custo Unit.</t>
  </si>
  <si>
    <t>SUB-TOTAL-INSUMOS =</t>
  </si>
  <si>
    <t>SUB-TOTAL- MÃO DE OBRA =</t>
  </si>
  <si>
    <t>SUB-TOTAL -  GASTO COM TRATOR E EQUIPAMENTOS E AVIAÇÃO AGRÍCOLA =</t>
  </si>
  <si>
    <t>SUB-TOTAL - INFRAESTRURA =</t>
  </si>
  <si>
    <t>SUB-TOTAL OUTRAS DESPESAS =</t>
  </si>
  <si>
    <t>PRODUÇÃO POR ANO EM T =</t>
  </si>
  <si>
    <t>Total Anual Despesas =</t>
  </si>
  <si>
    <t>Venda =</t>
  </si>
  <si>
    <t>Saldo =</t>
  </si>
  <si>
    <t>Saldo Acumulado =</t>
  </si>
  <si>
    <t>Saldo/Ano =</t>
  </si>
  <si>
    <t>Preço/Tonelada =</t>
  </si>
  <si>
    <t>Descrição</t>
  </si>
  <si>
    <t>Ácido Bórico</t>
  </si>
  <si>
    <t>Foliar Completo</t>
  </si>
  <si>
    <t xml:space="preserve">Aluguel Podadeira </t>
  </si>
  <si>
    <t>Aplicação Áerea</t>
  </si>
  <si>
    <t>Retro Escavadeira</t>
  </si>
  <si>
    <t>KCL</t>
  </si>
  <si>
    <t>Custo manutenção básica -1%</t>
  </si>
  <si>
    <t>kwh/ano</t>
  </si>
  <si>
    <t>kw/ano</t>
  </si>
  <si>
    <t>Desmanche murundus</t>
  </si>
  <si>
    <t>quantidade</t>
  </si>
  <si>
    <t>custo unit</t>
  </si>
  <si>
    <t>1.4</t>
  </si>
  <si>
    <t>Área a ser cultivada</t>
  </si>
  <si>
    <t>Área a ser cultivada com nanica-%</t>
  </si>
  <si>
    <t>Supressão vegetal</t>
  </si>
  <si>
    <t>Demais infraestrutura</t>
  </si>
  <si>
    <t>Ano 1 do plantio</t>
  </si>
  <si>
    <t>Percentual de área irrigada a ser cultivada</t>
  </si>
  <si>
    <t>Cronograma</t>
  </si>
  <si>
    <t>INVESTIMENTOS</t>
  </si>
  <si>
    <t>1.5</t>
  </si>
  <si>
    <t>CUSTOS OPERACIONAIS</t>
  </si>
  <si>
    <t>2.1</t>
  </si>
  <si>
    <t>2.2</t>
  </si>
  <si>
    <t>2.3</t>
  </si>
  <si>
    <t>2.4</t>
  </si>
  <si>
    <t>Outros custos</t>
  </si>
  <si>
    <t>Gasto com insumos</t>
  </si>
  <si>
    <t>Gasto com trator e equipamentos e avaição agrícola</t>
  </si>
  <si>
    <t>ENTRADA - VALOR DA PRODUÇÃO</t>
  </si>
  <si>
    <t>Valor da produção banana nanica</t>
  </si>
  <si>
    <t xml:space="preserve">Gasto com mão de obra </t>
  </si>
  <si>
    <t>3.1</t>
  </si>
  <si>
    <t>Sub-total - Investimentos</t>
  </si>
  <si>
    <t>Sub-total - custos operacionais</t>
  </si>
  <si>
    <t>COMPONENTES</t>
  </si>
  <si>
    <t>ANO DE IMPLANTAÇÃO DA CULTURA</t>
  </si>
  <si>
    <t>ITEM</t>
  </si>
  <si>
    <t xml:space="preserve">Sub-total - valor da produção </t>
  </si>
  <si>
    <t>3.2</t>
  </si>
  <si>
    <t>Valor da produção banana prata</t>
  </si>
  <si>
    <t>BALANÇO  anual(Item 3 - item 1-item2)</t>
  </si>
  <si>
    <t>1.6</t>
  </si>
  <si>
    <t>1.7</t>
  </si>
  <si>
    <t>1.8</t>
  </si>
  <si>
    <t>BALANÇO ACUMULADO</t>
  </si>
  <si>
    <t>Cronograma de supresão vegetal</t>
  </si>
  <si>
    <t>Limão</t>
  </si>
  <si>
    <t>Manga</t>
  </si>
  <si>
    <t>Trator de esteira</t>
  </si>
  <si>
    <t>Aluguel Trator pneu - &lt; 120 cv  e Implemento</t>
  </si>
  <si>
    <t>Aluguel Trator - pneu - &gt;200 cv</t>
  </si>
  <si>
    <t>Supressão- máquina</t>
  </si>
  <si>
    <t>custo mao de obra apoio supressão vegetal</t>
  </si>
  <si>
    <t>cozinheira salário + gratificação + encargos</t>
  </si>
  <si>
    <t>adotar</t>
  </si>
  <si>
    <t>Adotado</t>
  </si>
  <si>
    <t>Necessidade de supressão em relação área total -%</t>
  </si>
  <si>
    <t>Custo alimentação</t>
  </si>
  <si>
    <t>Encargos</t>
  </si>
  <si>
    <t>Sub-total</t>
  </si>
  <si>
    <t>CUSTO DIVERSOS LIMÃO E MANGA</t>
  </si>
  <si>
    <t>vb/ha/ano</t>
  </si>
  <si>
    <t>Infraestrutura Manga</t>
  </si>
  <si>
    <t>Nitrato de Cálcio</t>
  </si>
  <si>
    <t>Nitrato de Potássio</t>
  </si>
  <si>
    <t>Sulfato de Cobre</t>
  </si>
  <si>
    <t>Sulfato de Ferro</t>
  </si>
  <si>
    <t>Sulfato de Magnésio</t>
  </si>
  <si>
    <t>Sulfato de Zinco</t>
  </si>
  <si>
    <t>Sulfato de Manganês</t>
  </si>
  <si>
    <t>Esterco de Gado</t>
  </si>
  <si>
    <t>Nitrato de Magnesio</t>
  </si>
  <si>
    <t>Nitrato de Amonia</t>
  </si>
  <si>
    <t>R$/unid</t>
  </si>
  <si>
    <t xml:space="preserve">Poda </t>
  </si>
  <si>
    <t>Apoio a pulveizações</t>
  </si>
  <si>
    <t>Poda mecânica</t>
  </si>
  <si>
    <t>colheita campo</t>
  </si>
  <si>
    <t>Packing - classificação e embalagem</t>
  </si>
  <si>
    <t>Apoio a poda mecânica</t>
  </si>
  <si>
    <t>Caixa de papelão - embalagem -6 kg</t>
  </si>
  <si>
    <t>ITENS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</si>
  <si>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</si>
  <si>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</si>
  <si>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</si>
  <si>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</si>
  <si>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</si>
  <si>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</si>
  <si>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</si>
  <si>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</si>
  <si>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</si>
  <si>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</si>
  <si>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</si>
  <si>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</si>
  <si>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mm</t>
  </si>
  <si>
    <t>UNIDADE</t>
  </si>
  <si>
    <t>MÉDIA</t>
  </si>
  <si>
    <t>Fonte: Estudo climatológico - Etapa 2</t>
  </si>
  <si>
    <t>área molhada</t>
  </si>
  <si>
    <t>Lamina de água</t>
  </si>
  <si>
    <t xml:space="preserve">Eficiência micro </t>
  </si>
  <si>
    <t>Lâmina de irrigação</t>
  </si>
  <si>
    <t xml:space="preserve">Lâmina de irrigação </t>
  </si>
  <si>
    <t xml:space="preserve">Kc </t>
  </si>
  <si>
    <t>ANO</t>
  </si>
  <si>
    <t>Valor da produção limão</t>
  </si>
  <si>
    <t>Valor da produção manga</t>
  </si>
  <si>
    <t>1000m³/há</t>
  </si>
  <si>
    <t>Água</t>
  </si>
  <si>
    <t>Energia</t>
  </si>
  <si>
    <t>kwh</t>
  </si>
  <si>
    <t>m³</t>
  </si>
  <si>
    <t>Ano de formação da cultura</t>
  </si>
  <si>
    <t>Valores de KC</t>
  </si>
  <si>
    <t>Modelo 1</t>
  </si>
  <si>
    <t>Cultura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</si>
  <si>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</si>
  <si>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</si>
  <si>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</si>
  <si>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</si>
  <si>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</si>
  <si>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</si>
  <si>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</si>
  <si>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</si>
  <si>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</si>
  <si>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</si>
  <si>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</si>
  <si>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</si>
  <si>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Modelo 2</t>
  </si>
  <si>
    <t>Cana</t>
  </si>
  <si>
    <t>Modelo 3</t>
  </si>
  <si>
    <t>Milho grão 1</t>
  </si>
  <si>
    <t>Feijão</t>
  </si>
  <si>
    <t>TOTAL</t>
  </si>
  <si>
    <t>Eficiência de aplicação%</t>
  </si>
  <si>
    <t>Adubo formulado com micronutrientes</t>
  </si>
  <si>
    <t>Biosumos</t>
  </si>
  <si>
    <t xml:space="preserve">Adubo formulado </t>
  </si>
  <si>
    <t>Semente soja</t>
  </si>
  <si>
    <t>Colhetadeira</t>
  </si>
  <si>
    <t>Plantadeira especial</t>
  </si>
  <si>
    <t>CUSTO DIVERSOS culturas anuais</t>
  </si>
  <si>
    <t>Semente milho</t>
  </si>
  <si>
    <t>Semente feijão</t>
  </si>
  <si>
    <t>Soja</t>
  </si>
  <si>
    <t>Milho 1</t>
  </si>
  <si>
    <t xml:space="preserve">Milho 2 </t>
  </si>
  <si>
    <t>Custo por safra - R$</t>
  </si>
  <si>
    <t>Observação : o custo da estrutura necessária correpsonde a 50% para cada cultura</t>
  </si>
  <si>
    <t>Plantio</t>
  </si>
  <si>
    <t>Colheita</t>
  </si>
  <si>
    <t>Apoio serviços mecanizados</t>
  </si>
  <si>
    <t>Valor da produção soja</t>
  </si>
  <si>
    <t>Atividades diversas</t>
  </si>
  <si>
    <t>Obs: Custo de infraestrutura correspondente a metade para cada cultura anual</t>
  </si>
  <si>
    <t xml:space="preserve">Valor da produção Milho 2 </t>
  </si>
  <si>
    <t xml:space="preserve">Valor da produção Milho 1 </t>
  </si>
  <si>
    <t>Colheita Feijão</t>
  </si>
  <si>
    <t>Valor da produção Feijão</t>
  </si>
  <si>
    <t>Área a ser cultivada com banana Prata-%</t>
  </si>
  <si>
    <t>Área a ser cultivada com soja-%</t>
  </si>
  <si>
    <t>Área a ser cultivada com milho 2 -%</t>
  </si>
  <si>
    <t>Área a ser cultivada com milho 1-%</t>
  </si>
  <si>
    <t>Área a ser cultivada com feijão-%</t>
  </si>
  <si>
    <t>Área a ser cultivada com cana-%</t>
  </si>
  <si>
    <t>Área a ser cultivada com Manga-%</t>
  </si>
  <si>
    <t>Área a ser cultivada com limão-%</t>
  </si>
  <si>
    <t>Mudas - toletes</t>
  </si>
  <si>
    <t>T</t>
  </si>
  <si>
    <t>Fungicida</t>
  </si>
  <si>
    <t>Inseticida</t>
  </si>
  <si>
    <t>Cupinicida</t>
  </si>
  <si>
    <t>Nematicida</t>
  </si>
  <si>
    <t>Formicida</t>
  </si>
  <si>
    <t>Gesso</t>
  </si>
  <si>
    <t>Produtos biológicos</t>
  </si>
  <si>
    <t>Cotesia-(30 massas)</t>
  </si>
  <si>
    <t>CUSTO DIVERSOS cana</t>
  </si>
  <si>
    <t>Motoniveladora</t>
  </si>
  <si>
    <t>Plantio mecanizado cana</t>
  </si>
  <si>
    <t>Colheita e transporte - cana</t>
  </si>
  <si>
    <t>Enraizante</t>
  </si>
  <si>
    <t>Apoio plantio</t>
  </si>
  <si>
    <t>Apoio aplicação de herbicida</t>
  </si>
  <si>
    <t>Combate formiga</t>
  </si>
  <si>
    <t>Controle de pragas</t>
  </si>
  <si>
    <t>Manejo sistema de irrigação</t>
  </si>
  <si>
    <t>Apoio aplicação de produtos biológicos</t>
  </si>
  <si>
    <t>Distribuição de corretivos</t>
  </si>
  <si>
    <t>Incorporação corretivos e fosfatos</t>
  </si>
  <si>
    <t xml:space="preserve">Plantio mecanizado </t>
  </si>
  <si>
    <t>Transporte interno</t>
  </si>
  <si>
    <t>Subsolagem</t>
  </si>
  <si>
    <t>Manutenção de estradas e carreadores</t>
  </si>
  <si>
    <t>Aplicação de potássio</t>
  </si>
  <si>
    <t>Aplicação aérea</t>
  </si>
  <si>
    <t xml:space="preserve">Colheita e transporte </t>
  </si>
  <si>
    <t>Valor da produção venda de cana</t>
  </si>
  <si>
    <t xml:space="preserve">Salário mínimo </t>
  </si>
  <si>
    <t>Assessoria contábil</t>
  </si>
  <si>
    <t>Galpão insumos e maquinas</t>
  </si>
  <si>
    <t>35 anos</t>
  </si>
  <si>
    <t>12 anos</t>
  </si>
  <si>
    <t>10 anos</t>
  </si>
  <si>
    <t>Percentual da área com supressão vegetal</t>
  </si>
  <si>
    <t>Área a ser implantada com banana Nanica</t>
  </si>
  <si>
    <t>Área a ser implantada com banana Prata</t>
  </si>
  <si>
    <t>Área a ser implantada com manga</t>
  </si>
  <si>
    <t>Área a ser implantada com limão</t>
  </si>
  <si>
    <t>Apoio mão de obra</t>
  </si>
  <si>
    <t>Banana Nanica</t>
  </si>
  <si>
    <t>Milho 2</t>
  </si>
  <si>
    <t>Retirada raizes</t>
  </si>
  <si>
    <t>Returada de raizes</t>
  </si>
  <si>
    <t>Supressão vegetal da lavoura - fruteiras</t>
  </si>
  <si>
    <t>vb</t>
  </si>
  <si>
    <t>Galpão insumos e máquinas</t>
  </si>
  <si>
    <t>Indutor floral</t>
  </si>
  <si>
    <t>Caixa papelão - 6 kg</t>
  </si>
  <si>
    <t>Sistema de irrigação localizada</t>
  </si>
  <si>
    <t>Sistema de irrigação pivô central</t>
  </si>
  <si>
    <t>3.3</t>
  </si>
  <si>
    <t>3.4</t>
  </si>
  <si>
    <t>3.5</t>
  </si>
  <si>
    <t>3.6</t>
  </si>
  <si>
    <t>3.7</t>
  </si>
  <si>
    <t>3.8</t>
  </si>
  <si>
    <t>3.9</t>
  </si>
  <si>
    <t>Global</t>
  </si>
  <si>
    <t>Gasto com trator e equipamentos e aIAição agrícola</t>
  </si>
  <si>
    <t>Os preços adotados de venda dos produtos foram em nível de propriedade, livres de impostos e fretes até o ponto de venda</t>
  </si>
  <si>
    <t xml:space="preserve">O preço dos produtos milho, soja, feijão, reflete média de um periodo dos últimso 5 anos, dolarizado. </t>
  </si>
  <si>
    <t>Admitiu uma renovação da cultura da banana a cada 12 anos</t>
  </si>
  <si>
    <t>Admitiu-se uma renovação da cultura da cana a cada 10 anos</t>
  </si>
  <si>
    <t>Admitiu uma renovação da cultura da manga e limão  a cada 18 anos</t>
  </si>
  <si>
    <t>O custo de produção refletem custos atuais praticados na região</t>
  </si>
  <si>
    <t>Admitiu-se para as frutas irrigação tipo microaspersão</t>
  </si>
  <si>
    <t>Férias</t>
  </si>
  <si>
    <t>Funrural</t>
  </si>
  <si>
    <t>Previdencia social</t>
  </si>
  <si>
    <t>GILRAT</t>
  </si>
  <si>
    <t>Senar</t>
  </si>
  <si>
    <t>1 -</t>
  </si>
  <si>
    <t>2 -</t>
  </si>
  <si>
    <t>3 -</t>
  </si>
  <si>
    <t>4 -</t>
  </si>
  <si>
    <t>5 -</t>
  </si>
  <si>
    <t>6 -</t>
  </si>
  <si>
    <t>7 -</t>
  </si>
  <si>
    <t>8 -</t>
  </si>
  <si>
    <t>9 -</t>
  </si>
  <si>
    <t>10 -</t>
  </si>
  <si>
    <t>11 -</t>
  </si>
  <si>
    <t>12 -</t>
  </si>
  <si>
    <t>13 -</t>
  </si>
  <si>
    <t>14 -</t>
  </si>
  <si>
    <t>15 -</t>
  </si>
  <si>
    <t>16 -</t>
  </si>
  <si>
    <t>ANOS DE IMPLANTAÇÃO DA CULTURA</t>
  </si>
  <si>
    <t>Planejamento total das culturas</t>
  </si>
  <si>
    <t>Banana Prata</t>
  </si>
  <si>
    <t>Premissas</t>
  </si>
  <si>
    <t>Percentuais de Cultivo</t>
  </si>
  <si>
    <t>Área Total</t>
  </si>
  <si>
    <t>Área Irrigável</t>
  </si>
  <si>
    <t>Área Irrigada</t>
  </si>
  <si>
    <t>Percentuais de Supressão Vegetal</t>
  </si>
  <si>
    <t>Arredondamento</t>
  </si>
  <si>
    <t>Áreas</t>
  </si>
  <si>
    <t>IMPLANTAÇÃO</t>
  </si>
  <si>
    <t>OPERAÇÃO</t>
  </si>
  <si>
    <t>CRONOGRAMA</t>
  </si>
  <si>
    <t>Planejamento Banana Nanica</t>
  </si>
  <si>
    <t>Planejamento Banana Prata</t>
  </si>
  <si>
    <t>Planejamento Manga</t>
  </si>
  <si>
    <t>Planejamento Limão</t>
  </si>
  <si>
    <t>Planejamento Cana</t>
  </si>
  <si>
    <t>Planejamento Soja</t>
  </si>
  <si>
    <t>Planejamento Feijão</t>
  </si>
  <si>
    <t>Planejamento Milho 1</t>
  </si>
  <si>
    <t>Áreas Implatantadas</t>
  </si>
  <si>
    <t>Áreas Cultivadas</t>
  </si>
  <si>
    <t>Área 1</t>
  </si>
  <si>
    <t>Área 2</t>
  </si>
  <si>
    <t>Área 3</t>
  </si>
  <si>
    <t>Área cultivada com banana nanica</t>
  </si>
  <si>
    <t>Área cultivada com banana Prata</t>
  </si>
  <si>
    <t>Área a ser cultivada com manga</t>
  </si>
  <si>
    <t>Área a ser cultivada com soja</t>
  </si>
  <si>
    <t xml:space="preserve">Área a ser cultivada com milho 2 </t>
  </si>
  <si>
    <t>Área a ser cultivada com milho 1</t>
  </si>
  <si>
    <t>Área a ser cultivada com feijão</t>
  </si>
  <si>
    <t>Área ser cultivada com cana</t>
  </si>
  <si>
    <t>Área a ser cultivada com limão</t>
  </si>
  <si>
    <t>Percent-uais</t>
  </si>
  <si>
    <t>Arredon-dam.</t>
  </si>
  <si>
    <t>Salário Mínimo</t>
  </si>
  <si>
    <t>Salário Premiação Média</t>
  </si>
  <si>
    <t>% Encargos</t>
  </si>
  <si>
    <t>Custo Mão de Obra</t>
  </si>
  <si>
    <t>Muda Limao</t>
  </si>
  <si>
    <t>Muda Banana</t>
  </si>
  <si>
    <t>Muda Manga</t>
  </si>
  <si>
    <t>G/COVA</t>
  </si>
  <si>
    <t>T/HA</t>
  </si>
  <si>
    <t>L/HA</t>
  </si>
  <si>
    <t>KG/HA</t>
  </si>
  <si>
    <t>L/COVA</t>
  </si>
  <si>
    <t>ML/COVA</t>
  </si>
  <si>
    <t>UD/HA</t>
  </si>
  <si>
    <t>HMPP</t>
  </si>
  <si>
    <t>HMPM</t>
  </si>
  <si>
    <t>HMP</t>
  </si>
  <si>
    <t>HA</t>
  </si>
  <si>
    <t>HMR</t>
  </si>
  <si>
    <t>HME</t>
  </si>
  <si>
    <t>HMM</t>
  </si>
  <si>
    <t>HPE</t>
  </si>
  <si>
    <t>HMPC</t>
  </si>
  <si>
    <t>R$/HA</t>
  </si>
  <si>
    <t>R$/T</t>
  </si>
  <si>
    <t>L</t>
  </si>
  <si>
    <t>M3</t>
  </si>
  <si>
    <t xml:space="preserve">CUSTO DIVERSOS </t>
  </si>
  <si>
    <t>Infraestrutura Banana</t>
  </si>
  <si>
    <t>Infraestrutura Cana</t>
  </si>
  <si>
    <t>Infraestrutura Culturas Anuais</t>
  </si>
  <si>
    <t>Infraestrutura Limão</t>
  </si>
  <si>
    <t>Outras Despesas</t>
  </si>
  <si>
    <t>Componentes</t>
  </si>
  <si>
    <t>Banana</t>
  </si>
  <si>
    <t>Manga/Limão</t>
  </si>
  <si>
    <t>Cult. Anuais</t>
  </si>
  <si>
    <r>
      <rPr>
        <b/>
        <i/>
        <sz val="10"/>
        <rFont val="Arial"/>
        <family val="2"/>
      </rPr>
      <t>*Obs</t>
    </r>
    <r>
      <rPr>
        <i/>
        <sz val="10"/>
        <rFont val="Arial"/>
        <family val="2"/>
      </rPr>
      <t>: Base para 200 ha, para Banana, Manga, Limao e Cana. Para culturas anuais Base para 200 ha, considerando a metade do custo para cada cultura</t>
    </r>
  </si>
  <si>
    <t>Administração</t>
  </si>
  <si>
    <t>Secretaria</t>
  </si>
  <si>
    <t>Coordenador Campo</t>
  </si>
  <si>
    <t>Supervisor de Campo</t>
  </si>
  <si>
    <t>Gestão Maior</t>
  </si>
  <si>
    <t>Veículo + Motos</t>
  </si>
  <si>
    <t>Medicina e Segurança do Trabalho</t>
  </si>
  <si>
    <t>Assessroria Contábil</t>
  </si>
  <si>
    <t>Custo/ha/ano</t>
  </si>
  <si>
    <t>Campo</t>
  </si>
  <si>
    <t>Galpão</t>
  </si>
  <si>
    <t xml:space="preserve">TOTAL = </t>
  </si>
  <si>
    <t>Salário</t>
  </si>
  <si>
    <t>Grat</t>
  </si>
  <si>
    <t>Sub-Total</t>
  </si>
  <si>
    <t>Custo Dia</t>
  </si>
  <si>
    <t>Roupa</t>
  </si>
  <si>
    <t>Cultunas Anuais</t>
  </si>
  <si>
    <t>Unid.</t>
  </si>
  <si>
    <t>Supressão Vegetal</t>
  </si>
  <si>
    <t>Supressão. Veg,</t>
  </si>
  <si>
    <t>Custo Geral Anual/Ha das demais Infraestruturas menos Sistema de Irrigação</t>
  </si>
  <si>
    <t>Salário/Ano</t>
  </si>
  <si>
    <t>13º</t>
  </si>
  <si>
    <t>No caso das culturas anuais - utilizar 50% para cada cultura =</t>
  </si>
  <si>
    <t>Valores</t>
  </si>
  <si>
    <t>Custo Encargos/Alimentação/Funrural</t>
  </si>
  <si>
    <t xml:space="preserve">ADOTAR = </t>
  </si>
  <si>
    <t>Cozinheira Salário + Gratificação + Encargos</t>
  </si>
  <si>
    <t>Cantina</t>
  </si>
  <si>
    <t>Materiais/Equipamentos - fogao,etc.</t>
  </si>
  <si>
    <t xml:space="preserve">Total (Salário+FGTS+Multa) </t>
  </si>
  <si>
    <t>Multa Recisória</t>
  </si>
  <si>
    <t>FGTS</t>
  </si>
  <si>
    <t>Total (Salário+13º+Férias)</t>
  </si>
  <si>
    <t xml:space="preserve">Total </t>
  </si>
  <si>
    <t>Nº de Plantas</t>
  </si>
  <si>
    <t>Ciclo</t>
  </si>
  <si>
    <t>Cronograma de Entrega da Obra</t>
  </si>
  <si>
    <t>Operação por Área Liberada - Planejamento</t>
  </si>
  <si>
    <t>Custo com Supressão Vegetal Mata Nativa - 1 ha</t>
  </si>
  <si>
    <t>Custo com Supressão Vegetal Cultura da Manga - 1 ha</t>
  </si>
  <si>
    <t>Custo com Supressão Vegetal Cultura do Limão - 1 ha</t>
  </si>
  <si>
    <t>Custo com Supressão Vegetal Cultura da Banana - 1 ha</t>
  </si>
  <si>
    <t>Gastos com Insumos</t>
  </si>
  <si>
    <t>Unid. de Aplicação</t>
  </si>
  <si>
    <t>Unid. de aplicação</t>
  </si>
  <si>
    <t>Unid</t>
  </si>
  <si>
    <t>Preço</t>
  </si>
  <si>
    <t>R$/Unid</t>
  </si>
  <si>
    <t>Gasto por Ha/Ano</t>
  </si>
  <si>
    <t>Quantidade / Cova / Ha /Ano</t>
  </si>
  <si>
    <t>Quantidade por Ha/Ano</t>
  </si>
  <si>
    <t>Quantidade por Cova / Ha / Ano</t>
  </si>
  <si>
    <t>Quantidade por ha por ano</t>
  </si>
  <si>
    <t xml:space="preserve">Banana Prata </t>
  </si>
  <si>
    <t>TOTAIS POR ANO</t>
  </si>
  <si>
    <t>GASTO COM MÃO DE OBRA</t>
  </si>
  <si>
    <t>PLANEJAMENTO GLOBAL</t>
  </si>
  <si>
    <t>PREMISSAS</t>
  </si>
  <si>
    <t>CRITÉRIOS DE IMPLANTAÇÃO</t>
  </si>
  <si>
    <t>CUSTOS INSUMOS</t>
  </si>
  <si>
    <t>R$/ha/ano =</t>
  </si>
  <si>
    <t>Custo 1 Ha</t>
  </si>
  <si>
    <t>Culturas Anuais - Custos / Receitas / ha</t>
  </si>
  <si>
    <t>TOTAIS</t>
  </si>
  <si>
    <t>Produção por ano em Tonelada =</t>
  </si>
  <si>
    <t>VB / HA / ANO =</t>
  </si>
  <si>
    <t>SUB-TOTAL -  EQUIPAMENTOS =</t>
  </si>
  <si>
    <t>VB / HAA / ANO =</t>
  </si>
  <si>
    <t>SUB-TOTAL - EQUIPAMENTOS =</t>
  </si>
  <si>
    <t>Custo infraestr. - R$</t>
  </si>
  <si>
    <t>DEMANDA DE ÁGUA E ENERGIA</t>
  </si>
  <si>
    <t>Precipitação</t>
  </si>
  <si>
    <t>Evapotranspiração - PENMAN</t>
  </si>
  <si>
    <t>Evapotranspiração - HARGRAEAVES</t>
  </si>
  <si>
    <t>Evapotranspiração - CLASSE A</t>
  </si>
  <si>
    <t>Valor Utilizado</t>
  </si>
  <si>
    <t>Taxa de Efetividade de Aproveitamento Precitação</t>
  </si>
  <si>
    <t>Preciítação Efetiva</t>
  </si>
  <si>
    <t>Média de Precipitação</t>
  </si>
  <si>
    <t>Área =</t>
  </si>
  <si>
    <t>MANGA</t>
  </si>
  <si>
    <t>LIMÃO</t>
  </si>
  <si>
    <t>BANANA</t>
  </si>
  <si>
    <t>Média por ano/ha</t>
  </si>
  <si>
    <t>kwh/ha =</t>
  </si>
  <si>
    <t xml:space="preserve">1000 m³/ha = </t>
  </si>
  <si>
    <t xml:space="preserve">Milho Grão -2 </t>
  </si>
  <si>
    <t>Milho Grão 1</t>
  </si>
  <si>
    <t>Tempo de Operação</t>
  </si>
  <si>
    <t>Consumo em Kwh</t>
  </si>
  <si>
    <t>Consumo - Kwh/ha</t>
  </si>
  <si>
    <t>Consumo de Água -1000 m³</t>
  </si>
  <si>
    <t>Área do Pivô</t>
  </si>
  <si>
    <t>Consumos por  Área de Pivô</t>
  </si>
  <si>
    <t>Lâmina Bruta a Aplicar para Cada Modelo em 1000 m³</t>
  </si>
  <si>
    <t>Cálculo da Lâmina de Água por Cultura</t>
  </si>
  <si>
    <t>Área Pivô (ha) =</t>
  </si>
  <si>
    <t>Potencia Motor (cv)=</t>
  </si>
  <si>
    <t>Potencia Motor (w) =</t>
  </si>
  <si>
    <t>Vazão da Bomba (m³/h) =</t>
  </si>
  <si>
    <t>Consumo de Água e Energia - THELO</t>
  </si>
  <si>
    <t>Critérios :</t>
  </si>
  <si>
    <t>Soma:</t>
  </si>
  <si>
    <t>Lâmina ( m³/ha):</t>
  </si>
  <si>
    <t>BALANÇO  Anual (Item 3 - item 1 - item 2)</t>
  </si>
  <si>
    <t>PLANEJAMENTO POR CULTURA</t>
  </si>
  <si>
    <r>
      <t xml:space="preserve">RESUMO - </t>
    </r>
    <r>
      <rPr>
        <i/>
        <sz val="16"/>
        <color indexed="9"/>
        <rFont val="Arial"/>
        <family val="2"/>
      </rPr>
      <t>Culturas Permanentes</t>
    </r>
  </si>
  <si>
    <r>
      <t xml:space="preserve">RESUMO - </t>
    </r>
    <r>
      <rPr>
        <i/>
        <sz val="16"/>
        <color indexed="9"/>
        <rFont val="Arial"/>
        <family val="2"/>
      </rPr>
      <t>Culturas Temporárias</t>
    </r>
  </si>
  <si>
    <r>
      <t xml:space="preserve">QUANTIDADE INSUMOS - </t>
    </r>
    <r>
      <rPr>
        <i/>
        <sz val="16"/>
        <color indexed="9"/>
        <rFont val="Arial"/>
        <family val="2"/>
      </rPr>
      <t>Culturas Permanentes</t>
    </r>
  </si>
  <si>
    <r>
      <t xml:space="preserve">QUANTIDADE INSUMOS - </t>
    </r>
    <r>
      <rPr>
        <i/>
        <sz val="16"/>
        <color indexed="9"/>
        <rFont val="Arial"/>
        <family val="2"/>
      </rPr>
      <t>Culturas Temporárias</t>
    </r>
  </si>
  <si>
    <t>1/- alimentação estimado base 50 funcionérios</t>
  </si>
  <si>
    <t>Total Salário + Encargos (1+2)</t>
  </si>
  <si>
    <t>Total Encargos (2)</t>
  </si>
  <si>
    <t>Total Salário (1)</t>
  </si>
  <si>
    <t>EPI (3)</t>
  </si>
  <si>
    <t>Unifrome (4)</t>
  </si>
  <si>
    <t>Total Salário+Encargos+EPI+Uniforme (1+2+3+4)</t>
  </si>
  <si>
    <t>Custo dh</t>
  </si>
  <si>
    <t>Alimentação 1/</t>
  </si>
  <si>
    <t>Cutivos Anuais e Cana- Método de irrigação - Pivô</t>
  </si>
  <si>
    <t>BALANÇO RECEITA/CUSTO</t>
  </si>
  <si>
    <t>Ano</t>
  </si>
  <si>
    <t>Fonte: Fornecedores locais Jaíba - Produtores - Thelo Produçaão agropecuária Ltda.</t>
  </si>
  <si>
    <t>INSS - 2,7%</t>
  </si>
  <si>
    <t>INSS- FATURA</t>
  </si>
  <si>
    <r>
      <t xml:space="preserve">RENTABILIDADE  - </t>
    </r>
    <r>
      <rPr>
        <i/>
        <sz val="16"/>
        <color indexed="9"/>
        <rFont val="Arial"/>
        <family val="2"/>
      </rPr>
      <t>Culturas Permanentes</t>
    </r>
  </si>
  <si>
    <r>
      <t xml:space="preserve">RENTABILIDADE   - </t>
    </r>
    <r>
      <rPr>
        <i/>
        <sz val="16"/>
        <color indexed="9"/>
        <rFont val="Arial"/>
        <family val="2"/>
      </rPr>
      <t>Culturas temporárias</t>
    </r>
  </si>
  <si>
    <t>MODELOS</t>
  </si>
  <si>
    <t xml:space="preserve">Modelo 1 </t>
  </si>
  <si>
    <t xml:space="preserve">Modelo 2 </t>
  </si>
  <si>
    <t xml:space="preserve">Modelo 3 </t>
  </si>
  <si>
    <t>Modelo 4</t>
  </si>
  <si>
    <t>Modelo 5</t>
  </si>
  <si>
    <t>Soja + Milho 2</t>
  </si>
  <si>
    <t xml:space="preserve">Modelo 6 </t>
  </si>
  <si>
    <t>Milho 1 + Feijão</t>
  </si>
  <si>
    <t xml:space="preserve">Modelo 7 </t>
  </si>
  <si>
    <t>Balanço receita/custo</t>
  </si>
  <si>
    <t>Modelos</t>
  </si>
  <si>
    <t>R$/ha/Ano (1)</t>
  </si>
  <si>
    <t>R$/ha/Ano(1)</t>
  </si>
  <si>
    <t>(1) - Resultado médio período de 35 anos - Receita - custo</t>
  </si>
  <si>
    <t>custo = investimentos + operacionais</t>
  </si>
  <si>
    <t xml:space="preserve">Adotou-se culturas que dominam 80% da área cultivada nas etapas 1 e 2 </t>
  </si>
  <si>
    <t>Os preços de venda refletem a media de 5 anos para Banana, Manga, limão</t>
  </si>
  <si>
    <t xml:space="preserve">*Obs: Preço livre de ICMS e Transporte </t>
  </si>
  <si>
    <t>A produção por ano se repete nos anos seguintes</t>
  </si>
  <si>
    <t xml:space="preserve">Esse saldo é apenas do ano 1 de exploração - É negativo porque estão inclusos os custos com investimento da infraestrutra </t>
  </si>
  <si>
    <t>Saldo Ano 1 =</t>
  </si>
  <si>
    <r>
      <t xml:space="preserve">PREÇO DE VENDA - </t>
    </r>
    <r>
      <rPr>
        <i/>
        <sz val="16"/>
        <color indexed="9"/>
        <rFont val="Arial"/>
        <family val="2"/>
      </rPr>
      <t>Culturas Permanentes</t>
    </r>
  </si>
  <si>
    <t>Fonte: Hortifruti/Cepea</t>
  </si>
  <si>
    <t>Média</t>
  </si>
  <si>
    <t>Dez</t>
  </si>
  <si>
    <t>Nov</t>
  </si>
  <si>
    <t>Out</t>
  </si>
  <si>
    <t>Set</t>
  </si>
  <si>
    <t>Ago</t>
  </si>
  <si>
    <t>Jul</t>
  </si>
  <si>
    <t>Jun</t>
  </si>
  <si>
    <t>Mai</t>
  </si>
  <si>
    <t>Abr</t>
  </si>
  <si>
    <t>Mar</t>
  </si>
  <si>
    <t>Fev</t>
  </si>
  <si>
    <t>Jan</t>
  </si>
  <si>
    <t xml:space="preserve">BANANA PRATA  R$/KG </t>
  </si>
  <si>
    <t>Ano/Mês</t>
  </si>
  <si>
    <t>Limão Thaiti</t>
  </si>
  <si>
    <t>Banana prata</t>
  </si>
  <si>
    <t>Banana nanica</t>
  </si>
  <si>
    <t>R$/kg</t>
  </si>
  <si>
    <t>Produto</t>
  </si>
  <si>
    <t>Banana Nanica R$/KG</t>
  </si>
  <si>
    <t>Preço Médio Anual</t>
  </si>
  <si>
    <t>Preço Médio Anual (Thelo)</t>
  </si>
  <si>
    <t>Média =</t>
  </si>
  <si>
    <t>Adotado=</t>
  </si>
  <si>
    <t>Fonte: Bananas nanica e prata: Thelo; manga e limão: Thelo e produtores.</t>
  </si>
  <si>
    <r>
      <t xml:space="preserve">PREÇO DE VENDA - </t>
    </r>
    <r>
      <rPr>
        <i/>
        <sz val="16"/>
        <color indexed="9"/>
        <rFont val="Arial"/>
        <family val="2"/>
      </rPr>
      <t>Culturas Temporárias</t>
    </r>
  </si>
  <si>
    <t>Produtos Milho, Soja e Feijão</t>
  </si>
  <si>
    <t>R$/US$</t>
  </si>
  <si>
    <t>Fonte: Companhia Nacional de Abastecimento - Conab-valor R$</t>
  </si>
  <si>
    <t>US$</t>
  </si>
  <si>
    <t>R$</t>
  </si>
  <si>
    <t>Mês/Ano</t>
  </si>
  <si>
    <t>Produtos Banana, Limão e Manga</t>
  </si>
  <si>
    <t>*Preço médio praticado pelos produtores em MG.</t>
  </si>
  <si>
    <r>
      <t xml:space="preserve">MILHO GRÃO - </t>
    </r>
    <r>
      <rPr>
        <i/>
        <sz val="10"/>
        <rFont val="Arial"/>
        <family val="2"/>
      </rPr>
      <t>Saca de 60</t>
    </r>
  </si>
  <si>
    <r>
      <t xml:space="preserve">SOJA </t>
    </r>
    <r>
      <rPr>
        <b/>
        <i/>
        <sz val="10"/>
        <rFont val="Arial"/>
        <family val="2"/>
      </rPr>
      <t xml:space="preserve">- </t>
    </r>
    <r>
      <rPr>
        <i/>
        <sz val="10"/>
        <rFont val="Arial"/>
        <family val="2"/>
      </rPr>
      <t>Saca de 60</t>
    </r>
  </si>
  <si>
    <r>
      <t xml:space="preserve">FEIJÃO COMUM </t>
    </r>
    <r>
      <rPr>
        <b/>
        <i/>
        <sz val="10"/>
        <rFont val="Arial"/>
        <family val="2"/>
      </rPr>
      <t xml:space="preserve">- </t>
    </r>
    <r>
      <rPr>
        <i/>
        <sz val="10"/>
        <rFont val="Arial"/>
        <family val="2"/>
      </rPr>
      <t>Saca de 60</t>
    </r>
  </si>
  <si>
    <t>Média (US$) =</t>
  </si>
  <si>
    <t>R$/US$ =</t>
  </si>
  <si>
    <t>R$/sc 60kg =</t>
  </si>
  <si>
    <t>R$/t =</t>
  </si>
  <si>
    <t>Preço de venda (R$) utlizado =</t>
  </si>
  <si>
    <t>Manga Palmer1/</t>
  </si>
  <si>
    <t>1/Caixa de embalagem</t>
  </si>
  <si>
    <t>1/Valor de venda embalada</t>
  </si>
  <si>
    <r>
      <t>PRODUÇÃO</t>
    </r>
    <r>
      <rPr>
        <i/>
        <sz val="16"/>
        <color indexed="9"/>
        <rFont val="Arial"/>
        <family val="2"/>
      </rPr>
      <t xml:space="preserve"> em Toneladas</t>
    </r>
  </si>
  <si>
    <t>Produto Cana</t>
  </si>
  <si>
    <t xml:space="preserve">O preço de venda estabelecido teve como parâmetros o valor do ATR determinado pelo Consecana SP (R$ 1,1926 por kg ATR- março de 2024), multiplicado pela quantidade do ATR da cana-de-açúcar estimado (160 kg/ton), perfazendo o valor igual a R$ 192,00/ton de cana-de-açúcar no campo. A distância considerada da lavoura até a usina em torno de </t>
  </si>
  <si>
    <t>Valor=</t>
  </si>
  <si>
    <t>VALOR DA PRODUÇÃO  /1000R$</t>
  </si>
  <si>
    <t>CUSTOS INVESTIMENTO E OPERACIONAIS /1000R$</t>
  </si>
  <si>
    <t>Custos = investimentos + custos operacionais</t>
  </si>
  <si>
    <t>Fundo de Desenvolvimento da Infraestrutura Sustentável – FDIRS</t>
  </si>
  <si>
    <t xml:space="preserve">Serviços Técnicos relativos à Estruturação e o Desenvolvimento de Concessão do Perímetro Irrigado do Jaíba (Etapas III e IV) da Companhia de Desenvolvimento dos Vales do São Francisco e do Parnaíba - CODEVASF </t>
  </si>
  <si>
    <t>CONTRATO: 01/2025</t>
  </si>
  <si>
    <t>Estudo de Planejamento Agrícola - Jaíba Etapas 3 e 4</t>
  </si>
  <si>
    <t xml:space="preserve">CONSÓRCIO Nova Irrigação Jaíba/MG </t>
  </si>
  <si>
    <r>
      <rPr>
        <sz val="8"/>
        <rFont val="Calibri"/>
        <family val="2"/>
      </rPr>
      <t>NOME DO ARQUIVO:</t>
    </r>
    <r>
      <rPr>
        <sz val="9"/>
        <rFont val="Calibri"/>
        <family val="2"/>
      </rPr>
      <t xml:space="preserve"> JB_E3-4.PA.AGR.PL.001_R0-EST.PLANEJ.AGRICOLA</t>
    </r>
  </si>
  <si>
    <t xml:space="preserve">ÁREA PLANTADA </t>
  </si>
  <si>
    <t>Obs- Anos 1 de início da obra</t>
  </si>
  <si>
    <t>Aba</t>
  </si>
  <si>
    <t>CAPA</t>
  </si>
  <si>
    <t>Informações referentes ao projeto e descrição do documento</t>
  </si>
  <si>
    <t>Descrição das principais premissas adotadas para a elaboração do estudo</t>
  </si>
  <si>
    <t>Planejamento Global</t>
  </si>
  <si>
    <t xml:space="preserve">Planilha consolidada com os resultados do Planejamento Global, por ano,da área em estudo, somando todos os cultivos. Na mesma aba contém o planejamento por cultura. </t>
  </si>
  <si>
    <t>Balanço custo - receita-modelos</t>
  </si>
  <si>
    <t>Planilha gerencial com os resumos dos balanços de receita/custo das culturas estudadas</t>
  </si>
  <si>
    <t>Área Plant-Colh e Produção</t>
  </si>
  <si>
    <t>Planilha Gerencial com o resultado dos principais indicados por ano (do 1 aou 35) por cultura: Ocupação de área, Produção ano, Valor de Venda e Custos de Implantação + Operacionais</t>
  </si>
  <si>
    <t>Resumos -&gt;</t>
  </si>
  <si>
    <t>aba de identificação das abas à direita</t>
  </si>
  <si>
    <t>Resumo-Cult.Perma.</t>
  </si>
  <si>
    <t>Planilha resumo da rentabilidade das culturas permanentes por ha, considerando os gastos com a implantação, os custos operacionais e a receita anual do ano 1 ao ano 35.</t>
  </si>
  <si>
    <t>Resumo-Cult.Temp.</t>
  </si>
  <si>
    <t>Planilha resumo da rentabilidade das culturas temporárias por ha, considerando os gastos com a implantação, os custos operacionais e a receita anual do ano 1 ao ano 35.</t>
  </si>
  <si>
    <t>Custo diversos Manga.Limão</t>
  </si>
  <si>
    <t>Aba oculta - desconsiderar</t>
  </si>
  <si>
    <t>Custo diversos - Cult.anuais</t>
  </si>
  <si>
    <t>Custo diversos - Cana</t>
  </si>
  <si>
    <t>Custo sup vegetal-Alimentação</t>
  </si>
  <si>
    <t>Rentabilidade -&gt;</t>
  </si>
  <si>
    <t>Rentabilidade-Cult.Perma.</t>
  </si>
  <si>
    <t>Memória de cálculo da rentabilidade das culturas permanentes, com detalhamento das despesas e receitas anuais desde o ano 1 até o ano 35</t>
  </si>
  <si>
    <t>Quant. Insumos B Prata</t>
  </si>
  <si>
    <t>Rentab. B Prata</t>
  </si>
  <si>
    <t>Resumo B Prata</t>
  </si>
  <si>
    <t>Quant Insumos - Manga</t>
  </si>
  <si>
    <t>Rentab. Manga</t>
  </si>
  <si>
    <t>Resumo Manga</t>
  </si>
  <si>
    <t>Quant Insumos - Limão</t>
  </si>
  <si>
    <t>Rentab. Limão</t>
  </si>
  <si>
    <t>Resumo Limão</t>
  </si>
  <si>
    <t>Rentabilidade-Cult.Temp.</t>
  </si>
  <si>
    <t>Memória de cálculo da rentabilidade das culturas temporárias, com detalhamento das despesas e receitas anuais desde o ano 1 até o ano 35</t>
  </si>
  <si>
    <t>Quantidade -&gt;</t>
  </si>
  <si>
    <t>Quantidade-Cult.Perma.</t>
  </si>
  <si>
    <t>Planilha de levantamento quantitativo dos insumos necessários para plantio e manutenção  das culturas permanentes, dentro do seu ciclo de vida</t>
  </si>
  <si>
    <t>Quantidade-Cult.Temp.</t>
  </si>
  <si>
    <t>Planilha de levantamento quantitativo dos insumos necessários para plantio das culturas temporárias</t>
  </si>
  <si>
    <t>Apoio -&gt;</t>
  </si>
  <si>
    <t>Critérios de Implantação</t>
  </si>
  <si>
    <t>Planilha de apoio que estabelece o planejamento da quantidade de áreas a serem plantadas com cada tipo de cultura e a estratégia desse ocupação dessas áreas por período</t>
  </si>
  <si>
    <t>Custos Insumos</t>
  </si>
  <si>
    <t>Banco de dados de preços atualizados dos insumos utilizados.</t>
  </si>
  <si>
    <t>Custos Diversos</t>
  </si>
  <si>
    <t>Banco de dados com composição de custos diversos, atualizados. Referência para elaboração das planilhas de rentabilidade das culturas</t>
  </si>
  <si>
    <t>Demanda de água e energia</t>
  </si>
  <si>
    <t>Memória de cálculo para obtenção dos quantitativos de água e energia para cada tipo de cultura estudada</t>
  </si>
  <si>
    <t>Preço de venda - Cult Perm.</t>
  </si>
  <si>
    <t>Memória de cálculo para encontrar preço médio de venda das culturas permanentes</t>
  </si>
  <si>
    <t>Preço de venda - Cult. Temp.</t>
  </si>
  <si>
    <t>Memória de cálculo para encontrar preço médio de venda das culturas temporárias</t>
  </si>
  <si>
    <t>Quant. insumos - Cana</t>
  </si>
  <si>
    <t>Rentab. Cana</t>
  </si>
  <si>
    <t>Resumo Cana</t>
  </si>
  <si>
    <t>Produto 7 - Estudo Mercado e Demanda - Planejamento Agrícola</t>
  </si>
  <si>
    <t>Gráficos - Preços médios mensais por cultura (R$/Kg)</t>
  </si>
  <si>
    <t>Gráficos - Preços médios mensais por cultura (US$/Kg)</t>
  </si>
  <si>
    <t>MILHO GRÃO - US$/saco60kg</t>
  </si>
  <si>
    <t>Fonte: Companhia Nacional de Abastecimento - Conab- Dados trabalhados pelo Consórcio</t>
  </si>
  <si>
    <t>MILHO GRÃO - US$/Kg</t>
  </si>
  <si>
    <t>SOJA - US$/saco60kg</t>
  </si>
  <si>
    <t>SOJA - US$/Kg</t>
  </si>
  <si>
    <t>FEIJÃO COMUM - US$/saco60kg</t>
  </si>
  <si>
    <t>FEIJÃO COMUM  - US$/Kg</t>
  </si>
  <si>
    <t>Fonte: Thelo Produção Agropecuária Ltda.</t>
  </si>
  <si>
    <t xml:space="preserve">LIMÃO  R$/KG </t>
  </si>
  <si>
    <t>Fonte: Thelo Produção Agropecuária Ltda. / Mundial Frutas</t>
  </si>
  <si>
    <t xml:space="preserve">MANGA  R$/KG </t>
  </si>
  <si>
    <t>Fonte: Pesquisa junto a produtores locais- dados trabalho pelo Consórcio</t>
  </si>
  <si>
    <t>Assistência Técnica - consultoria/</t>
  </si>
  <si>
    <t>Esses produtos tem acompanhamento sistemático por várias entidades. A CONAB tem levantamento do preço dos produtos e por região, no caso Minas Gerais. Neste anexo - tem-se o levantamento, realizado junto CONAB, no período de janeiro de 2020 a dezembro de 2024, ou seja período de 5 anos. Valores foram transformados em U$ de cada mês e a média do período transformado em real referente a dezembro de 2024. O preço desses produtos tem pouca variação entre um preço regional e uma média nacional.</t>
  </si>
  <si>
    <t>O preço médio mensal dessas frutas recebido pelos produtores não é explicitamente divulgado em informações públicas disponíveis, e principalmente em nível regional., que reflitam os valores reais recebidos  Em algumas entidades como Hortifruti/Cepeas pesquisam e divulgam informações como poderá ser visto, caso da banana. Neste tem-se os dados divulgados para o norte de Minas, e ao lado de cada tabela o valor real praticado pela Thelo, emprea coligada da Plena, com produção no Projeto Jaiba, desde 2000.
 Os números divulgados, quando analisados de forma tradicional e por quem não vive o setor, os utilizam fora de um contesto da realidade. Os números pesquisados deveriam refletir uma média ponderada de venda. Entretanto isto não ocorre. Assim o correto é levantar junto a produtores que tem controle de custo e produção e fazer uma média ponderada. No presente caso da banana optamos por utilizar o banco de dados da empresa coligada a Plena, Thelo produção agropecuária Ltda, produtora no Projeto Jaiba desde 2000, com dados que representam a média ponderada num período de 5 anos. 
Para os produtos Manga e limão, a Thelo tem os dados de 2000 a 2021. Nos demais anos, levantou-se as informações junto a produtores.</t>
  </si>
  <si>
    <t>18 anos</t>
  </si>
  <si>
    <t xml:space="preserve">Critérios </t>
  </si>
  <si>
    <t>IPCA</t>
  </si>
  <si>
    <t xml:space="preserve">Variação mensal </t>
  </si>
  <si>
    <t>Data</t>
  </si>
  <si>
    <t>Índice jan/20 = 1</t>
  </si>
  <si>
    <t>Variação mensal</t>
  </si>
  <si>
    <t>índice</t>
  </si>
  <si>
    <t>índice para atualização CPI</t>
  </si>
  <si>
    <t>índice para atualização IPCA</t>
  </si>
  <si>
    <t>VALORES ATUALIZADOS</t>
  </si>
  <si>
    <t>VALORES NOMINAIS</t>
  </si>
  <si>
    <t>RESUMO - VALORES ATUALIZADOS</t>
  </si>
  <si>
    <t>CPI</t>
  </si>
  <si>
    <t>Jequitaí</t>
  </si>
  <si>
    <t>Platôs</t>
  </si>
  <si>
    <t>Tabuleiros</t>
  </si>
  <si>
    <t>Jaíba III e IV</t>
  </si>
  <si>
    <t>Milho</t>
  </si>
  <si>
    <t>Banana benchmarking</t>
  </si>
  <si>
    <t>BENCHMARKING</t>
  </si>
  <si>
    <t>Custo (mil R$/ano/ha)</t>
  </si>
  <si>
    <t>Receita (mil R$/ano/ha)</t>
  </si>
  <si>
    <t>Área 4</t>
  </si>
  <si>
    <t>Área 5</t>
  </si>
  <si>
    <t>Área 6</t>
  </si>
  <si>
    <t>Área 7</t>
  </si>
  <si>
    <t>Área 8</t>
  </si>
  <si>
    <t>Área 9</t>
  </si>
  <si>
    <t>Produtividade (ton/ha)</t>
  </si>
  <si>
    <t>aq</t>
  </si>
  <si>
    <t>CONCOLIDAÇÃO DAS CULTURAS</t>
  </si>
  <si>
    <t>Produtividade Média (ton/ha)</t>
  </si>
  <si>
    <t>Produção Total Estimada (ton)</t>
  </si>
  <si>
    <t>Atualização por CPI</t>
  </si>
  <si>
    <t>Valor adotado em US$/kg</t>
  </si>
  <si>
    <t>Atualização por IPCA</t>
  </si>
  <si>
    <t>Índices</t>
  </si>
  <si>
    <t>Índice data base</t>
  </si>
  <si>
    <t>Data base</t>
  </si>
  <si>
    <t>Índices de atualização para a data base</t>
  </si>
  <si>
    <t>Preço de Venda Estimado (mil R$/ton)</t>
  </si>
  <si>
    <t>Receita Bruta (mil R$)</t>
  </si>
  <si>
    <t>Custo Unitário por hectare (mil R$/ha)</t>
  </si>
  <si>
    <t>Área plantada (ha)</t>
  </si>
  <si>
    <t>Admitiu-se um cronogra de liberção de área conforme cronograma de engenharia para as obras de infraestrutura de uso comum</t>
  </si>
  <si>
    <t xml:space="preserve">Admitiu-se que a área cultivada será realizada no ano posterior da liberação da obra </t>
  </si>
  <si>
    <t>Admitiu-se para as demais culturas irrigação tipo Pivô central</t>
  </si>
  <si>
    <t>Benchmarking</t>
  </si>
  <si>
    <t>Memória do benchmarking realizado</t>
  </si>
  <si>
    <t>Inflação</t>
  </si>
  <si>
    <t>Banco de dados com índices de inflação adotados</t>
  </si>
  <si>
    <t>CÁLCULO DE ÁREA A SER SUPRIMIDA</t>
  </si>
  <si>
    <t>Projeto Jaíba - Etapas III e IV</t>
  </si>
  <si>
    <t>Etapa III</t>
  </si>
  <si>
    <t>Etapa IV</t>
  </si>
  <si>
    <t>Bloco</t>
  </si>
  <si>
    <t>Área irrigável (ha)</t>
  </si>
  <si>
    <t>Área para supressão(ha)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</si>
  <si>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</si>
  <si>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</si>
  <si>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</si>
  <si>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</si>
  <si>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</si>
  <si>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</si>
  <si>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</si>
  <si>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</si>
  <si>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</si>
  <si>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</si>
  <si>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</si>
  <si>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</si>
  <si>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</si>
  <si>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</si>
  <si>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</si>
  <si>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</si>
  <si>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</si>
  <si>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</si>
  <si>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</si>
  <si>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</si>
  <si>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</si>
  <si>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</si>
  <si>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</si>
  <si>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</si>
  <si>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</si>
  <si>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</si>
  <si>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</si>
  <si>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</si>
  <si>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</si>
  <si>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</si>
  <si>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</si>
  <si>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</si>
  <si>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</si>
  <si>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</si>
  <si>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</si>
  <si>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</si>
  <si>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</si>
  <si>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ÁREA TOTAL A SER SUPRIMIDA</t>
  </si>
  <si>
    <t>ÁREA TOTAL IRRIGÁVEL</t>
  </si>
  <si>
    <t>Obs: Area  a ser suprimida levantada via imagens do aerolevantamento</t>
  </si>
  <si>
    <t>ESTIMATIVA DA ÁREA IRRIGADA</t>
  </si>
  <si>
    <r>
      <rPr>
        <b/>
        <sz val="11"/>
        <color theme="1"/>
        <rFont val="Calibri"/>
        <family val="2"/>
        <scheme val="minor"/>
      </rPr>
      <t>*Obs</t>
    </r>
    <r>
      <rPr>
        <sz val="11"/>
        <color theme="1"/>
        <rFont val="Calibri"/>
        <family val="2"/>
        <scheme val="minor"/>
      </rPr>
      <t>: Área irrigada – Será definida em função do percentual a ser utilizado com fruticultura e culturas anuais, ou seja, 27% com fruticultura e 73% com culturas anuais,e isto então projeta a área irrigada de:</t>
    </r>
  </si>
  <si>
    <t>ÁREA IRRIGADA</t>
  </si>
  <si>
    <t>área a ser desmatada</t>
  </si>
  <si>
    <t>relação</t>
  </si>
  <si>
    <t>(0,95 x 0,27)+(0,78 x 0,73)</t>
  </si>
  <si>
    <t>Área a ser irrigada na Etapa III =</t>
  </si>
  <si>
    <t>Área a ser irrigada na Etapa IV =</t>
  </si>
  <si>
    <t>Relação geral em relaçã a áea irrigada</t>
  </si>
  <si>
    <t>Total Etapa III e Etapa IV =</t>
  </si>
  <si>
    <t>Cálculo da área irrigável</t>
  </si>
  <si>
    <t>Memória de cálculo da área a ser suprimida</t>
  </si>
  <si>
    <t>Área de supressão vegetal conforme Projeto de 7.120, que representa 41,3% da área irrigada</t>
  </si>
  <si>
    <t>Área bruta de 26.652 ha, área bruta das etapas 3 e 4</t>
  </si>
  <si>
    <t>Área irrigável conforme Projeto de 20.788 ha</t>
  </si>
  <si>
    <t>Área efetivamente irrigada conforme Projeto de 17.254 ha</t>
  </si>
  <si>
    <t>Custo Total de Produção (mil R$/ano)</t>
  </si>
  <si>
    <t>Margem Líquida ou Saldo (mil 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</si>
</sst>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,##0.0"/>
    <numFmt numFmtId="167" formatCode="_(* #,##0_);_(* \(#,##0\);_(* &quot;-&quot;??_);_(@_)"/>
    <numFmt numFmtId="168" formatCode="_-* #,##0_-;\-* #,##0_-;_-* &quot;-&quot;??_-;_-@_-"/>
    <numFmt numFmtId="169" formatCode="#,##0.00_ ;[Red]\-#,##0.00\ "/>
    <numFmt numFmtId="170" formatCode="General\ &quot;R$&quot;"/>
    <numFmt numFmtId="171" formatCode="[$-416]mmmm\-yy;@"/>
    <numFmt numFmtId="172" formatCode="#,##0.00_ ;\-#,##0.00\ "/>
    <numFmt numFmtId="173" formatCode="_-* #,##0.0_-;\-* #,##0.0_-;_-* &quot;-&quot;??_-;_-@_-"/>
    <numFmt numFmtId="174" formatCode="#,##0.000"/>
    <numFmt numFmtId="175" formatCode="0.000"/>
    <numFmt numFmtId="176" formatCode="yyyy\-mm\-dd"/>
    <numFmt numFmtId="177" formatCode="_(* #,##0.0_);_(* \(#,##0.0\);_(* &quot;-&quot;??_);_(@_)"/>
    <numFmt numFmtId="178" formatCode="_(* #,##0.0000_);_(* \(#,##0.0000\);_(* &quot;-&quot;??_);_(@_)"/>
    <numFmt numFmtId="179" formatCode="0.0000%"/>
    <numFmt numFmtId="180" formatCode="0.0%"/>
    <numFmt numFmtId="181" formatCode="0.00000"/>
  </numFmts>
  <fonts count="7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i/>
      <sz val="16"/>
      <color indexed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9"/>
      <name val="Arial"/>
      <family val="2"/>
    </font>
    <font>
      <sz val="16"/>
      <name val="Calibri"/>
      <family val="2"/>
    </font>
    <font>
      <b/>
      <sz val="16"/>
      <name val="Calibri"/>
      <family val="2"/>
    </font>
    <font>
      <b/>
      <sz val="20"/>
      <name val="Calibri"/>
      <family val="2"/>
    </font>
    <font>
      <b/>
      <sz val="18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b/>
      <u/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6"/>
      <color rgb="FFFF0000"/>
      <name val="Arial"/>
      <family val="2"/>
    </font>
    <font>
      <b/>
      <sz val="12"/>
      <color theme="0"/>
      <name val="Arial"/>
      <family val="2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FF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u/>
      <sz val="10"/>
      <color theme="10"/>
      <name val="Arial"/>
      <family val="2"/>
    </font>
    <font>
      <sz val="10"/>
      <color rgb="FF0000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8"/>
      <color rgb="FF0A0A0A"/>
      <name val="Arial"/>
      <family val="2"/>
    </font>
    <font>
      <b/>
      <sz val="9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6">
    <xf numFmtId="0" fontId="0" fillId="0" borderId="0"/>
    <xf numFmtId="0" fontId="37" fillId="0" borderId="0"/>
    <xf numFmtId="0" fontId="4" fillId="0" borderId="0"/>
    <xf numFmtId="0" fontId="38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2" fillId="24" borderId="0" applyNumberFormat="0" applyAlignment="0" applyProtection="0"/>
    <xf numFmtId="9" fontId="53" fillId="19" borderId="0" applyNumberFormat="0" applyBorder="0" applyAlignment="0">
      <alignment vertical="center"/>
    </xf>
    <xf numFmtId="167" fontId="54" fillId="25" borderId="0" applyNumberFormat="0" applyBorder="0" applyAlignment="0">
      <alignment vertical="center"/>
    </xf>
    <xf numFmtId="0" fontId="55" fillId="26" borderId="0" applyNumberFormat="0" applyBorder="0" applyAlignment="0" applyProtection="0"/>
    <xf numFmtId="0" fontId="56" fillId="27" borderId="83" applyNumberFormat="0" applyAlignment="0" applyProtection="0"/>
    <xf numFmtId="0" fontId="56" fillId="4" borderId="83" applyNumberFormat="0" applyAlignment="0" applyProtection="0"/>
    <xf numFmtId="0" fontId="60" fillId="0" borderId="0" applyNumberFormat="0" applyFill="0" applyBorder="0" applyAlignment="0" applyProtection="0"/>
    <xf numFmtId="0" fontId="2" fillId="0" borderId="0"/>
    <xf numFmtId="0" fontId="37" fillId="0" borderId="0"/>
    <xf numFmtId="0" fontId="37" fillId="0" borderId="0"/>
  </cellStyleXfs>
  <cellXfs count="1187">
    <xf numFmtId="0" fontId="0" fillId="0" borderId="0" xfId="0"/>
    <xf numFmtId="0" fontId="3" fillId="0" borderId="1" xfId="0" applyFont="1" applyBorder="1"/>
    <xf numFmtId="0" fontId="3" fillId="0" borderId="0" xfId="0" applyFont="1"/>
    <xf numFmtId="0" fontId="0" fillId="0" borderId="1" xfId="0" applyBorder="1"/>
    <xf numFmtId="0" fontId="5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0" fillId="0" borderId="1" xfId="0" applyNumberForma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4" fontId="4" fillId="0" borderId="1" xfId="0" applyNumberFormat="1" applyFont="1" applyBorder="1"/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4" fontId="0" fillId="0" borderId="17" xfId="0" applyNumberForma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0" xfId="0" applyFill="1" applyAlignment="1">
      <alignment vertical="center"/>
    </xf>
    <xf numFmtId="164" fontId="0" fillId="0" borderId="1" xfId="5" applyFont="1" applyBorder="1" applyAlignment="1">
      <alignment horizontal="center" vertical="center"/>
    </xf>
    <xf numFmtId="164" fontId="0" fillId="0" borderId="8" xfId="5" applyFont="1" applyBorder="1" applyAlignment="1">
      <alignment horizontal="center" vertical="center"/>
    </xf>
    <xf numFmtId="164" fontId="0" fillId="0" borderId="2" xfId="5" applyFont="1" applyBorder="1" applyAlignment="1">
      <alignment horizontal="center" vertical="center"/>
    </xf>
    <xf numFmtId="164" fontId="0" fillId="0" borderId="4" xfId="5" applyFont="1" applyBorder="1" applyAlignment="1">
      <alignment horizontal="center" vertical="center"/>
    </xf>
    <xf numFmtId="164" fontId="0" fillId="0" borderId="9" xfId="5" applyFont="1" applyBorder="1" applyAlignment="1">
      <alignment horizontal="center" vertical="center"/>
    </xf>
    <xf numFmtId="164" fontId="0" fillId="0" borderId="1" xfId="5" applyFont="1" applyFill="1" applyBorder="1" applyAlignment="1">
      <alignment vertical="center"/>
    </xf>
    <xf numFmtId="4" fontId="0" fillId="0" borderId="18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64" fontId="12" fillId="0" borderId="1" xfId="5" applyFont="1" applyFill="1" applyBorder="1" applyAlignment="1">
      <alignment vertical="center"/>
    </xf>
    <xf numFmtId="164" fontId="12" fillId="0" borderId="20" xfId="5" applyFont="1" applyFill="1" applyBorder="1" applyAlignment="1">
      <alignment vertical="center"/>
    </xf>
    <xf numFmtId="164" fontId="12" fillId="0" borderId="4" xfId="5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vertical="center"/>
    </xf>
    <xf numFmtId="0" fontId="0" fillId="5" borderId="0" xfId="0" applyFill="1"/>
    <xf numFmtId="0" fontId="3" fillId="0" borderId="26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1" xfId="0" applyBorder="1" applyAlignment="1">
      <alignment vertical="center"/>
    </xf>
    <xf numFmtId="164" fontId="9" fillId="0" borderId="1" xfId="5" applyFont="1" applyBorder="1" applyAlignment="1">
      <alignment horizontal="center" vertical="center"/>
    </xf>
    <xf numFmtId="164" fontId="9" fillId="0" borderId="1" xfId="5" applyFont="1" applyBorder="1" applyAlignment="1">
      <alignment vertical="center"/>
    </xf>
    <xf numFmtId="164" fontId="9" fillId="0" borderId="4" xfId="5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64" fontId="9" fillId="0" borderId="27" xfId="5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164" fontId="11" fillId="0" borderId="8" xfId="5" applyFont="1" applyBorder="1" applyAlignment="1">
      <alignment vertical="center"/>
    </xf>
    <xf numFmtId="164" fontId="11" fillId="0" borderId="9" xfId="5" applyFont="1" applyBorder="1" applyAlignment="1">
      <alignment vertical="center"/>
    </xf>
    <xf numFmtId="164" fontId="9" fillId="0" borderId="0" xfId="5" applyFont="1" applyAlignment="1">
      <alignment vertical="center"/>
    </xf>
    <xf numFmtId="164" fontId="9" fillId="0" borderId="30" xfId="5" applyFont="1" applyBorder="1" applyAlignment="1">
      <alignment vertical="center"/>
    </xf>
    <xf numFmtId="164" fontId="9" fillId="0" borderId="31" xfId="5" applyFont="1" applyBorder="1" applyAlignment="1">
      <alignment vertical="center"/>
    </xf>
    <xf numFmtId="164" fontId="9" fillId="0" borderId="1" xfId="5" applyFont="1" applyFill="1" applyBorder="1" applyAlignment="1">
      <alignment vertical="center"/>
    </xf>
    <xf numFmtId="164" fontId="9" fillId="0" borderId="20" xfId="5" applyFont="1" applyFill="1" applyBorder="1" applyAlignment="1">
      <alignment vertical="center"/>
    </xf>
    <xf numFmtId="164" fontId="9" fillId="0" borderId="4" xfId="5" applyFont="1" applyFill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164" fontId="9" fillId="0" borderId="20" xfId="5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164" fontId="9" fillId="0" borderId="12" xfId="5" applyFont="1" applyBorder="1" applyAlignment="1">
      <alignment vertical="center"/>
    </xf>
    <xf numFmtId="164" fontId="9" fillId="0" borderId="34" xfId="5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4" fontId="9" fillId="0" borderId="13" xfId="5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164" fontId="11" fillId="0" borderId="15" xfId="5" applyFont="1" applyBorder="1" applyAlignment="1">
      <alignment vertical="center"/>
    </xf>
    <xf numFmtId="164" fontId="11" fillId="0" borderId="16" xfId="5" applyFont="1" applyBorder="1" applyAlignment="1">
      <alignment vertical="center"/>
    </xf>
    <xf numFmtId="167" fontId="11" fillId="0" borderId="15" xfId="5" applyNumberFormat="1" applyFont="1" applyBorder="1" applyAlignment="1">
      <alignment vertical="center"/>
    </xf>
    <xf numFmtId="167" fontId="11" fillId="0" borderId="16" xfId="5" applyNumberFormat="1" applyFont="1" applyBorder="1" applyAlignment="1">
      <alignment vertical="center"/>
    </xf>
    <xf numFmtId="164" fontId="9" fillId="7" borderId="1" xfId="5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164" fontId="9" fillId="0" borderId="30" xfId="5" applyFont="1" applyFill="1" applyBorder="1" applyAlignment="1">
      <alignment vertical="center"/>
    </xf>
    <xf numFmtId="164" fontId="9" fillId="0" borderId="0" xfId="5" applyFont="1" applyBorder="1" applyAlignment="1">
      <alignment vertical="center"/>
    </xf>
    <xf numFmtId="4" fontId="4" fillId="0" borderId="0" xfId="0" applyNumberFormat="1" applyFont="1" applyAlignment="1">
      <alignment horizontal="right" vertical="center"/>
    </xf>
    <xf numFmtId="164" fontId="3" fillId="3" borderId="1" xfId="5" applyFont="1" applyFill="1" applyBorder="1" applyAlignment="1">
      <alignment vertical="center"/>
    </xf>
    <xf numFmtId="0" fontId="0" fillId="8" borderId="0" xfId="0" applyFill="1"/>
    <xf numFmtId="0" fontId="3" fillId="3" borderId="36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36" xfId="0" applyBorder="1" applyAlignment="1">
      <alignment vertical="center"/>
    </xf>
    <xf numFmtId="0" fontId="3" fillId="3" borderId="39" xfId="0" applyFont="1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3" fillId="3" borderId="30" xfId="0" applyFon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3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0" fillId="0" borderId="29" xfId="0" applyBorder="1" applyAlignment="1">
      <alignment vertical="center"/>
    </xf>
    <xf numFmtId="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Continuous" vertical="center"/>
    </xf>
    <xf numFmtId="0" fontId="0" fillId="5" borderId="37" xfId="0" applyFill="1" applyBorder="1" applyAlignment="1">
      <alignment horizontal="centerContinuous" vertical="center"/>
    </xf>
    <xf numFmtId="0" fontId="4" fillId="0" borderId="41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0" fillId="5" borderId="38" xfId="0" applyFill="1" applyBorder="1" applyAlignment="1">
      <alignment vertical="center"/>
    </xf>
    <xf numFmtId="0" fontId="3" fillId="5" borderId="37" xfId="0" applyFont="1" applyFill="1" applyBorder="1" applyAlignment="1">
      <alignment horizontal="centerContinuous" vertical="center"/>
    </xf>
    <xf numFmtId="0" fontId="4" fillId="0" borderId="43" xfId="0" applyFont="1" applyBorder="1" applyAlignment="1">
      <alignment vertical="center"/>
    </xf>
    <xf numFmtId="9" fontId="18" fillId="4" borderId="4" xfId="4" applyFont="1" applyFill="1" applyBorder="1" applyAlignment="1" applyProtection="1">
      <alignment horizontal="centerContinuous" vertical="center"/>
      <protection locked="0"/>
    </xf>
    <xf numFmtId="9" fontId="18" fillId="4" borderId="9" xfId="4" applyFont="1" applyFill="1" applyBorder="1" applyAlignment="1" applyProtection="1">
      <alignment horizontal="centerContinuous" vertical="center"/>
      <protection locked="0"/>
    </xf>
    <xf numFmtId="9" fontId="18" fillId="4" borderId="19" xfId="4" applyFont="1" applyFill="1" applyBorder="1" applyAlignment="1" applyProtection="1">
      <alignment horizontal="centerContinuous" vertical="center"/>
      <protection locked="0"/>
    </xf>
    <xf numFmtId="0" fontId="0" fillId="4" borderId="14" xfId="0" applyFill="1" applyBorder="1" applyAlignment="1">
      <alignment horizontal="centerContinuous" vertical="center"/>
    </xf>
    <xf numFmtId="0" fontId="0" fillId="4" borderId="17" xfId="0" applyFill="1" applyBorder="1" applyAlignment="1">
      <alignment horizontal="centerContinuous" vertical="center"/>
    </xf>
    <xf numFmtId="0" fontId="0" fillId="4" borderId="18" xfId="0" applyFill="1" applyBorder="1" applyAlignment="1">
      <alignment horizontal="centerContinuous" vertical="center"/>
    </xf>
    <xf numFmtId="4" fontId="0" fillId="4" borderId="2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4" fontId="0" fillId="4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4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4" fontId="4" fillId="4" borderId="43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8" xfId="0" applyFont="1" applyBorder="1" applyAlignment="1">
      <alignment vertical="center"/>
    </xf>
    <xf numFmtId="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6" fontId="3" fillId="5" borderId="19" xfId="0" applyNumberFormat="1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right" vertical="center"/>
    </xf>
    <xf numFmtId="166" fontId="0" fillId="0" borderId="9" xfId="0" applyNumberFormat="1" applyBorder="1" applyAlignment="1">
      <alignment horizontal="right" vertical="center"/>
    </xf>
    <xf numFmtId="4" fontId="4" fillId="0" borderId="43" xfId="0" applyNumberFormat="1" applyFont="1" applyBorder="1" applyAlignment="1">
      <alignment vertical="center"/>
    </xf>
    <xf numFmtId="4" fontId="4" fillId="0" borderId="6" xfId="0" applyNumberFormat="1" applyFont="1" applyBorder="1" applyAlignment="1">
      <alignment vertical="center"/>
    </xf>
    <xf numFmtId="4" fontId="4" fillId="0" borderId="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44" xfId="0" applyFont="1" applyBorder="1" applyAlignment="1">
      <alignment horizontal="center" vertical="center"/>
    </xf>
    <xf numFmtId="0" fontId="3" fillId="0" borderId="29" xfId="0" applyFont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5" borderId="45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5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12" fillId="10" borderId="1" xfId="5" applyNumberFormat="1" applyFon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Continuous" vertical="center"/>
    </xf>
    <xf numFmtId="0" fontId="3" fillId="3" borderId="19" xfId="0" applyFont="1" applyFill="1" applyBorder="1" applyAlignment="1">
      <alignment horizontal="centerContinuous" vertical="center"/>
    </xf>
    <xf numFmtId="0" fontId="3" fillId="5" borderId="4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" fontId="3" fillId="0" borderId="6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3" fillId="0" borderId="36" xfId="0" applyFont="1" applyBorder="1" applyAlignment="1">
      <alignment horizontal="right" vertical="center"/>
    </xf>
    <xf numFmtId="4" fontId="3" fillId="0" borderId="25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10" borderId="9" xfId="0" applyFill="1" applyBorder="1" applyAlignment="1" applyProtection="1">
      <alignment horizontal="center" vertical="center"/>
      <protection locked="0"/>
    </xf>
    <xf numFmtId="0" fontId="3" fillId="5" borderId="50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0" fillId="0" borderId="17" xfId="0" applyNumberFormat="1" applyBorder="1" applyAlignment="1">
      <alignment vertical="center"/>
    </xf>
    <xf numFmtId="2" fontId="0" fillId="0" borderId="18" xfId="0" applyNumberFormat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1" xfId="0" applyBorder="1" applyAlignment="1">
      <alignment horizontal="center" vertical="center"/>
    </xf>
    <xf numFmtId="2" fontId="0" fillId="0" borderId="51" xfId="0" applyNumberFormat="1" applyBorder="1" applyAlignment="1">
      <alignment vertical="center"/>
    </xf>
    <xf numFmtId="0" fontId="0" fillId="0" borderId="43" xfId="0" applyBorder="1" applyAlignment="1">
      <alignment vertical="center"/>
    </xf>
    <xf numFmtId="165" fontId="0" fillId="0" borderId="2" xfId="0" applyNumberFormat="1" applyBorder="1" applyAlignment="1">
      <alignment horizontal="center" vertical="center"/>
    </xf>
    <xf numFmtId="0" fontId="3" fillId="5" borderId="8" xfId="0" applyFont="1" applyFill="1" applyBorder="1" applyAlignment="1">
      <alignment vertical="center"/>
    </xf>
    <xf numFmtId="4" fontId="0" fillId="0" borderId="51" xfId="0" applyNumberFormat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64" fontId="0" fillId="0" borderId="1" xfId="5" applyFont="1" applyBorder="1" applyAlignment="1">
      <alignment vertical="center"/>
    </xf>
    <xf numFmtId="164" fontId="0" fillId="0" borderId="8" xfId="5" applyFont="1" applyBorder="1" applyAlignment="1">
      <alignment vertical="center"/>
    </xf>
    <xf numFmtId="165" fontId="0" fillId="11" borderId="1" xfId="0" applyNumberFormat="1" applyFill="1" applyBorder="1" applyAlignment="1">
      <alignment horizontal="center" vertical="center"/>
    </xf>
    <xf numFmtId="165" fontId="0" fillId="11" borderId="2" xfId="0" applyNumberFormat="1" applyFill="1" applyBorder="1" applyAlignment="1">
      <alignment horizontal="center" vertical="center"/>
    </xf>
    <xf numFmtId="165" fontId="0" fillId="11" borderId="7" xfId="0" applyNumberFormat="1" applyFill="1" applyBorder="1" applyAlignment="1">
      <alignment horizontal="center" vertical="center"/>
    </xf>
    <xf numFmtId="165" fontId="0" fillId="11" borderId="4" xfId="0" applyNumberFormat="1" applyFill="1" applyBorder="1" applyAlignment="1">
      <alignment horizontal="center" vertical="center"/>
    </xf>
    <xf numFmtId="165" fontId="0" fillId="11" borderId="8" xfId="0" applyNumberFormat="1" applyFill="1" applyBorder="1" applyAlignment="1">
      <alignment horizontal="center" vertical="center"/>
    </xf>
    <xf numFmtId="165" fontId="0" fillId="11" borderId="9" xfId="0" applyNumberFormat="1" applyFill="1" applyBorder="1" applyAlignment="1">
      <alignment horizontal="center" vertical="center"/>
    </xf>
    <xf numFmtId="165" fontId="0" fillId="0" borderId="43" xfId="5" applyNumberFormat="1" applyFont="1" applyBorder="1" applyAlignment="1">
      <alignment horizontal="center" vertical="center"/>
    </xf>
    <xf numFmtId="165" fontId="0" fillId="0" borderId="2" xfId="5" applyNumberFormat="1" applyFont="1" applyBorder="1" applyAlignment="1">
      <alignment horizontal="center" vertical="center"/>
    </xf>
    <xf numFmtId="165" fontId="12" fillId="11" borderId="2" xfId="5" applyNumberFormat="1" applyFont="1" applyFill="1" applyBorder="1" applyAlignment="1">
      <alignment horizontal="center" vertical="center"/>
    </xf>
    <xf numFmtId="165" fontId="12" fillId="11" borderId="7" xfId="5" applyNumberFormat="1" applyFont="1" applyFill="1" applyBorder="1" applyAlignment="1">
      <alignment horizontal="center" vertical="center"/>
    </xf>
    <xf numFmtId="165" fontId="0" fillId="0" borderId="6" xfId="5" applyNumberFormat="1" applyFont="1" applyBorder="1" applyAlignment="1">
      <alignment horizontal="center" vertical="center"/>
    </xf>
    <xf numFmtId="165" fontId="12" fillId="11" borderId="1" xfId="5" applyNumberFormat="1" applyFont="1" applyFill="1" applyBorder="1" applyAlignment="1">
      <alignment horizontal="center" vertical="center"/>
    </xf>
    <xf numFmtId="165" fontId="12" fillId="11" borderId="4" xfId="5" applyNumberFormat="1" applyFont="1" applyFill="1" applyBorder="1" applyAlignment="1">
      <alignment horizontal="center" vertical="center"/>
    </xf>
    <xf numFmtId="165" fontId="12" fillId="0" borderId="6" xfId="5" applyNumberFormat="1" applyFont="1" applyFill="1" applyBorder="1" applyAlignment="1">
      <alignment horizontal="center" vertical="center"/>
    </xf>
    <xf numFmtId="165" fontId="12" fillId="0" borderId="1" xfId="5" applyNumberFormat="1" applyFont="1" applyFill="1" applyBorder="1" applyAlignment="1">
      <alignment horizontal="center" vertical="center"/>
    </xf>
    <xf numFmtId="165" fontId="0" fillId="0" borderId="10" xfId="5" applyNumberFormat="1" applyFont="1" applyBorder="1" applyAlignment="1">
      <alignment horizontal="center" vertical="center"/>
    </xf>
    <xf numFmtId="165" fontId="0" fillId="0" borderId="8" xfId="5" applyNumberFormat="1" applyFont="1" applyBorder="1" applyAlignment="1">
      <alignment horizontal="center" vertical="center"/>
    </xf>
    <xf numFmtId="165" fontId="12" fillId="11" borderId="8" xfId="5" applyNumberFormat="1" applyFont="1" applyFill="1" applyBorder="1" applyAlignment="1">
      <alignment horizontal="center" vertical="center"/>
    </xf>
    <xf numFmtId="165" fontId="12" fillId="11" borderId="9" xfId="5" applyNumberFormat="1" applyFont="1" applyFill="1" applyBorder="1" applyAlignment="1">
      <alignment horizontal="center" vertical="center"/>
    </xf>
    <xf numFmtId="165" fontId="12" fillId="11" borderId="1" xfId="5" applyNumberFormat="1" applyFont="1" applyFill="1" applyBorder="1" applyAlignment="1">
      <alignment vertical="center"/>
    </xf>
    <xf numFmtId="165" fontId="12" fillId="11" borderId="4" xfId="5" applyNumberFormat="1" applyFont="1" applyFill="1" applyBorder="1" applyAlignment="1">
      <alignment vertical="center"/>
    </xf>
    <xf numFmtId="165" fontId="12" fillId="10" borderId="6" xfId="5" applyNumberFormat="1" applyFont="1" applyFill="1" applyBorder="1" applyAlignment="1">
      <alignment horizontal="center" vertical="center"/>
    </xf>
    <xf numFmtId="165" fontId="12" fillId="11" borderId="8" xfId="5" applyNumberFormat="1" applyFont="1" applyFill="1" applyBorder="1" applyAlignment="1">
      <alignment vertical="center"/>
    </xf>
    <xf numFmtId="165" fontId="12" fillId="11" borderId="9" xfId="5" applyNumberFormat="1" applyFont="1" applyFill="1" applyBorder="1" applyAlignment="1">
      <alignment vertical="center"/>
    </xf>
    <xf numFmtId="165" fontId="4" fillId="0" borderId="42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11" borderId="1" xfId="0" applyNumberFormat="1" applyFill="1" applyBorder="1" applyAlignment="1">
      <alignment vertical="center"/>
    </xf>
    <xf numFmtId="165" fontId="0" fillId="11" borderId="4" xfId="0" applyNumberFormat="1" applyFill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4" fillId="11" borderId="1" xfId="0" applyNumberFormat="1" applyFont="1" applyFill="1" applyBorder="1" applyAlignment="1">
      <alignment vertical="center"/>
    </xf>
    <xf numFmtId="165" fontId="4" fillId="11" borderId="4" xfId="0" applyNumberFormat="1" applyFont="1" applyFill="1" applyBorder="1" applyAlignment="1">
      <alignment vertical="center"/>
    </xf>
    <xf numFmtId="165" fontId="0" fillId="0" borderId="10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165" fontId="0" fillId="11" borderId="8" xfId="0" applyNumberFormat="1" applyFill="1" applyBorder="1" applyAlignment="1">
      <alignment vertical="center"/>
    </xf>
    <xf numFmtId="165" fontId="0" fillId="11" borderId="9" xfId="0" applyNumberFormat="1" applyFill="1" applyBorder="1" applyAlignment="1">
      <alignment vertical="center"/>
    </xf>
    <xf numFmtId="165" fontId="0" fillId="0" borderId="10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65" fontId="4" fillId="0" borderId="43" xfId="0" applyNumberFormat="1" applyFont="1" applyBorder="1" applyAlignment="1">
      <alignment horizontal="center" vertical="center"/>
    </xf>
    <xf numFmtId="0" fontId="3" fillId="5" borderId="29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5" xfId="5" applyNumberFormat="1" applyFont="1" applyFill="1" applyBorder="1" applyAlignment="1">
      <alignment horizontal="center" vertical="center"/>
    </xf>
    <xf numFmtId="166" fontId="0" fillId="0" borderId="3" xfId="5" applyNumberFormat="1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6" xfId="5" applyNumberFormat="1" applyFont="1" applyFill="1" applyBorder="1" applyAlignment="1">
      <alignment horizontal="center" vertical="center"/>
    </xf>
    <xf numFmtId="166" fontId="0" fillId="0" borderId="1" xfId="5" applyNumberFormat="1" applyFont="1" applyFill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10" xfId="5" applyNumberFormat="1" applyFont="1" applyFill="1" applyBorder="1" applyAlignment="1">
      <alignment horizontal="center" vertical="center"/>
    </xf>
    <xf numFmtId="166" fontId="0" fillId="0" borderId="8" xfId="5" applyNumberFormat="1" applyFont="1" applyFill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6" fontId="0" fillId="0" borderId="3" xfId="0" applyNumberFormat="1" applyBorder="1" applyAlignment="1">
      <alignment vertical="center"/>
    </xf>
    <xf numFmtId="166" fontId="0" fillId="0" borderId="19" xfId="0" applyNumberFormat="1" applyBorder="1" applyAlignment="1">
      <alignment vertical="center"/>
    </xf>
    <xf numFmtId="166" fontId="3" fillId="0" borderId="1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166" fontId="0" fillId="0" borderId="4" xfId="0" applyNumberFormat="1" applyBorder="1" applyAlignment="1">
      <alignment vertical="center"/>
    </xf>
    <xf numFmtId="166" fontId="4" fillId="0" borderId="10" xfId="0" applyNumberFormat="1" applyFont="1" applyBorder="1" applyAlignment="1">
      <alignment horizontal="center" vertical="center"/>
    </xf>
    <xf numFmtId="166" fontId="0" fillId="0" borderId="5" xfId="5" applyNumberFormat="1" applyFont="1" applyBorder="1" applyAlignment="1">
      <alignment horizontal="center" vertical="center"/>
    </xf>
    <xf numFmtId="166" fontId="0" fillId="0" borderId="3" xfId="5" applyNumberFormat="1" applyFont="1" applyBorder="1" applyAlignment="1">
      <alignment horizontal="center" vertical="center"/>
    </xf>
    <xf numFmtId="166" fontId="0" fillId="0" borderId="6" xfId="5" applyNumberFormat="1" applyFont="1" applyBorder="1" applyAlignment="1">
      <alignment horizontal="center" vertical="center"/>
    </xf>
    <xf numFmtId="166" fontId="0" fillId="0" borderId="1" xfId="5" applyNumberFormat="1" applyFont="1" applyBorder="1" applyAlignment="1">
      <alignment horizontal="center" vertical="center"/>
    </xf>
    <xf numFmtId="166" fontId="0" fillId="0" borderId="10" xfId="5" applyNumberFormat="1" applyFont="1" applyBorder="1" applyAlignment="1">
      <alignment horizontal="center" vertical="center"/>
    </xf>
    <xf numFmtId="166" fontId="0" fillId="0" borderId="8" xfId="5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166" fontId="4" fillId="0" borderId="5" xfId="5" applyNumberFormat="1" applyFont="1" applyFill="1" applyBorder="1" applyAlignment="1">
      <alignment horizontal="center" vertical="center"/>
    </xf>
    <xf numFmtId="166" fontId="4" fillId="0" borderId="6" xfId="5" applyNumberFormat="1" applyFont="1" applyFill="1" applyBorder="1" applyAlignment="1">
      <alignment horizontal="center" vertical="center"/>
    </xf>
    <xf numFmtId="166" fontId="0" fillId="0" borderId="3" xfId="5" applyNumberFormat="1" applyFont="1" applyFill="1" applyBorder="1" applyAlignment="1">
      <alignment vertical="center"/>
    </xf>
    <xf numFmtId="166" fontId="0" fillId="0" borderId="1" xfId="5" applyNumberFormat="1" applyFont="1" applyFill="1" applyBorder="1" applyAlignment="1">
      <alignment vertical="center"/>
    </xf>
    <xf numFmtId="166" fontId="0" fillId="0" borderId="8" xfId="5" applyNumberFormat="1" applyFont="1" applyFill="1" applyBorder="1" applyAlignment="1">
      <alignment vertical="center"/>
    </xf>
    <xf numFmtId="166" fontId="0" fillId="0" borderId="52" xfId="0" applyNumberFormat="1" applyBorder="1" applyAlignment="1">
      <alignment vertical="center"/>
    </xf>
    <xf numFmtId="166" fontId="0" fillId="0" borderId="11" xfId="0" applyNumberFormat="1" applyBorder="1" applyAlignment="1">
      <alignment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166" fontId="0" fillId="0" borderId="1" xfId="0" applyNumberFormat="1" applyBorder="1" applyAlignment="1">
      <alignment horizontal="left" vertical="center"/>
    </xf>
    <xf numFmtId="0" fontId="0" fillId="0" borderId="33" xfId="0" applyBorder="1" applyAlignment="1">
      <alignment vertical="center"/>
    </xf>
    <xf numFmtId="166" fontId="0" fillId="0" borderId="12" xfId="0" applyNumberFormat="1" applyBorder="1" applyAlignment="1">
      <alignment horizontal="center" vertical="center"/>
    </xf>
    <xf numFmtId="166" fontId="0" fillId="0" borderId="33" xfId="5" applyNumberFormat="1" applyFont="1" applyFill="1" applyBorder="1" applyAlignment="1">
      <alignment horizontal="center" vertical="center"/>
    </xf>
    <xf numFmtId="166" fontId="0" fillId="0" borderId="12" xfId="5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166" fontId="5" fillId="0" borderId="12" xfId="0" applyNumberFormat="1" applyFont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0" fillId="0" borderId="12" xfId="0" applyNumberFormat="1" applyBorder="1" applyAlignment="1">
      <alignment vertical="center"/>
    </xf>
    <xf numFmtId="166" fontId="0" fillId="0" borderId="53" xfId="0" applyNumberFormat="1" applyBorder="1" applyAlignment="1">
      <alignment vertical="center"/>
    </xf>
    <xf numFmtId="0" fontId="0" fillId="0" borderId="33" xfId="0" applyBorder="1" applyAlignment="1">
      <alignment horizontal="left" vertical="center"/>
    </xf>
    <xf numFmtId="166" fontId="0" fillId="0" borderId="33" xfId="5" applyNumberFormat="1" applyFont="1" applyBorder="1" applyAlignment="1">
      <alignment horizontal="center" vertical="center"/>
    </xf>
    <xf numFmtId="166" fontId="0" fillId="0" borderId="12" xfId="5" applyNumberFormat="1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left" vertical="center"/>
    </xf>
    <xf numFmtId="166" fontId="0" fillId="0" borderId="12" xfId="0" applyNumberFormat="1" applyBorder="1" applyAlignment="1">
      <alignment horizontal="left" vertical="center"/>
    </xf>
    <xf numFmtId="166" fontId="4" fillId="0" borderId="33" xfId="5" applyNumberFormat="1" applyFont="1" applyFill="1" applyBorder="1" applyAlignment="1">
      <alignment horizontal="center" vertical="center"/>
    </xf>
    <xf numFmtId="166" fontId="0" fillId="0" borderId="54" xfId="0" applyNumberFormat="1" applyBorder="1" applyAlignment="1">
      <alignment vertical="center"/>
    </xf>
    <xf numFmtId="4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0" fillId="8" borderId="55" xfId="0" applyFill="1" applyBorder="1" applyAlignment="1">
      <alignment horizontal="center" vertical="center"/>
    </xf>
    <xf numFmtId="0" fontId="3" fillId="8" borderId="56" xfId="0" applyFont="1" applyFill="1" applyBorder="1" applyAlignment="1">
      <alignment horizontal="center" vertical="center"/>
    </xf>
    <xf numFmtId="166" fontId="0" fillId="12" borderId="3" xfId="0" applyNumberFormat="1" applyFill="1" applyBorder="1" applyAlignment="1">
      <alignment horizontal="center" vertical="center"/>
    </xf>
    <xf numFmtId="166" fontId="0" fillId="12" borderId="19" xfId="0" applyNumberFormat="1" applyFill="1" applyBorder="1" applyAlignment="1">
      <alignment horizontal="center" vertical="center"/>
    </xf>
    <xf numFmtId="166" fontId="0" fillId="12" borderId="1" xfId="0" applyNumberFormat="1" applyFill="1" applyBorder="1" applyAlignment="1">
      <alignment horizontal="center" vertical="center"/>
    </xf>
    <xf numFmtId="166" fontId="0" fillId="12" borderId="4" xfId="0" applyNumberFormat="1" applyFill="1" applyBorder="1" applyAlignment="1">
      <alignment horizontal="center" vertical="center"/>
    </xf>
    <xf numFmtId="166" fontId="0" fillId="12" borderId="12" xfId="0" applyNumberFormat="1" applyFill="1" applyBorder="1" applyAlignment="1">
      <alignment horizontal="center" vertical="center"/>
    </xf>
    <xf numFmtId="166" fontId="0" fillId="12" borderId="53" xfId="0" applyNumberFormat="1" applyFill="1" applyBorder="1" applyAlignment="1">
      <alignment horizontal="center" vertical="center"/>
    </xf>
    <xf numFmtId="166" fontId="3" fillId="12" borderId="3" xfId="0" applyNumberFormat="1" applyFont="1" applyFill="1" applyBorder="1" applyAlignment="1">
      <alignment horizontal="center" vertical="center"/>
    </xf>
    <xf numFmtId="166" fontId="3" fillId="12" borderId="19" xfId="0" applyNumberFormat="1" applyFont="1" applyFill="1" applyBorder="1" applyAlignment="1">
      <alignment horizontal="center" vertical="center"/>
    </xf>
    <xf numFmtId="166" fontId="3" fillId="12" borderId="1" xfId="0" applyNumberFormat="1" applyFont="1" applyFill="1" applyBorder="1" applyAlignment="1">
      <alignment horizontal="center" vertical="center"/>
    </xf>
    <xf numFmtId="166" fontId="3" fillId="12" borderId="4" xfId="0" applyNumberFormat="1" applyFont="1" applyFill="1" applyBorder="1" applyAlignment="1">
      <alignment horizontal="center" vertical="center"/>
    </xf>
    <xf numFmtId="166" fontId="3" fillId="12" borderId="12" xfId="0" applyNumberFormat="1" applyFont="1" applyFill="1" applyBorder="1" applyAlignment="1">
      <alignment horizontal="center" vertical="center"/>
    </xf>
    <xf numFmtId="166" fontId="3" fillId="12" borderId="53" xfId="0" applyNumberFormat="1" applyFont="1" applyFill="1" applyBorder="1" applyAlignment="1">
      <alignment horizontal="center" vertical="center"/>
    </xf>
    <xf numFmtId="166" fontId="4" fillId="12" borderId="3" xfId="0" applyNumberFormat="1" applyFont="1" applyFill="1" applyBorder="1" applyAlignment="1">
      <alignment horizontal="center" vertical="center"/>
    </xf>
    <xf numFmtId="166" fontId="4" fillId="12" borderId="19" xfId="0" applyNumberFormat="1" applyFont="1" applyFill="1" applyBorder="1" applyAlignment="1">
      <alignment horizontal="center" vertical="center"/>
    </xf>
    <xf numFmtId="166" fontId="4" fillId="12" borderId="1" xfId="0" applyNumberFormat="1" applyFont="1" applyFill="1" applyBorder="1" applyAlignment="1">
      <alignment horizontal="center" vertical="center"/>
    </xf>
    <xf numFmtId="166" fontId="4" fillId="12" borderId="4" xfId="0" applyNumberFormat="1" applyFont="1" applyFill="1" applyBorder="1" applyAlignment="1">
      <alignment horizontal="center" vertical="center"/>
    </xf>
    <xf numFmtId="166" fontId="4" fillId="12" borderId="12" xfId="0" applyNumberFormat="1" applyFont="1" applyFill="1" applyBorder="1" applyAlignment="1">
      <alignment horizontal="center" vertical="center"/>
    </xf>
    <xf numFmtId="166" fontId="4" fillId="12" borderId="53" xfId="0" applyNumberFormat="1" applyFont="1" applyFill="1" applyBorder="1" applyAlignment="1">
      <alignment horizontal="center" vertical="center"/>
    </xf>
    <xf numFmtId="166" fontId="12" fillId="12" borderId="3" xfId="5" applyNumberFormat="1" applyFont="1" applyFill="1" applyBorder="1" applyAlignment="1">
      <alignment vertical="center"/>
    </xf>
    <xf numFmtId="166" fontId="12" fillId="12" borderId="19" xfId="5" applyNumberFormat="1" applyFont="1" applyFill="1" applyBorder="1" applyAlignment="1">
      <alignment vertical="center"/>
    </xf>
    <xf numFmtId="166" fontId="12" fillId="12" borderId="1" xfId="5" applyNumberFormat="1" applyFont="1" applyFill="1" applyBorder="1" applyAlignment="1">
      <alignment vertical="center"/>
    </xf>
    <xf numFmtId="166" fontId="12" fillId="12" borderId="4" xfId="5" applyNumberFormat="1" applyFont="1" applyFill="1" applyBorder="1" applyAlignment="1">
      <alignment vertical="center"/>
    </xf>
    <xf numFmtId="166" fontId="12" fillId="12" borderId="12" xfId="5" applyNumberFormat="1" applyFont="1" applyFill="1" applyBorder="1" applyAlignment="1">
      <alignment vertical="center"/>
    </xf>
    <xf numFmtId="166" fontId="12" fillId="12" borderId="53" xfId="5" applyNumberFormat="1" applyFont="1" applyFill="1" applyBorder="1" applyAlignment="1">
      <alignment vertical="center"/>
    </xf>
    <xf numFmtId="166" fontId="0" fillId="12" borderId="3" xfId="0" applyNumberFormat="1" applyFill="1" applyBorder="1" applyAlignment="1">
      <alignment vertical="center"/>
    </xf>
    <xf numFmtId="166" fontId="0" fillId="12" borderId="19" xfId="0" applyNumberFormat="1" applyFill="1" applyBorder="1" applyAlignment="1">
      <alignment vertical="center"/>
    </xf>
    <xf numFmtId="166" fontId="0" fillId="12" borderId="1" xfId="0" applyNumberFormat="1" applyFill="1" applyBorder="1" applyAlignment="1">
      <alignment vertical="center"/>
    </xf>
    <xf numFmtId="166" fontId="0" fillId="12" borderId="4" xfId="0" applyNumberFormat="1" applyFill="1" applyBorder="1" applyAlignment="1">
      <alignment vertical="center"/>
    </xf>
    <xf numFmtId="166" fontId="0" fillId="12" borderId="12" xfId="0" applyNumberFormat="1" applyFill="1" applyBorder="1" applyAlignment="1">
      <alignment vertical="center"/>
    </xf>
    <xf numFmtId="166" fontId="0" fillId="12" borderId="53" xfId="0" applyNumberFormat="1" applyFill="1" applyBorder="1" applyAlignment="1">
      <alignment vertical="center"/>
    </xf>
    <xf numFmtId="3" fontId="3" fillId="12" borderId="1" xfId="5" applyNumberFormat="1" applyFont="1" applyFill="1" applyBorder="1" applyAlignment="1" applyProtection="1">
      <alignment horizontal="right" vertical="center"/>
    </xf>
    <xf numFmtId="166" fontId="12" fillId="12" borderId="3" xfId="5" applyNumberFormat="1" applyFont="1" applyFill="1" applyBorder="1" applyAlignment="1">
      <alignment horizontal="center" vertical="center"/>
    </xf>
    <xf numFmtId="166" fontId="12" fillId="12" borderId="1" xfId="5" applyNumberFormat="1" applyFont="1" applyFill="1" applyBorder="1" applyAlignment="1">
      <alignment horizontal="center" vertical="center"/>
    </xf>
    <xf numFmtId="166" fontId="0" fillId="12" borderId="26" xfId="0" applyNumberFormat="1" applyFill="1" applyBorder="1" applyAlignment="1">
      <alignment vertical="center"/>
    </xf>
    <xf numFmtId="166" fontId="0" fillId="12" borderId="5" xfId="0" applyNumberFormat="1" applyFill="1" applyBorder="1" applyAlignment="1">
      <alignment vertical="center"/>
    </xf>
    <xf numFmtId="166" fontId="0" fillId="12" borderId="20" xfId="0" applyNumberFormat="1" applyFill="1" applyBorder="1" applyAlignment="1">
      <alignment vertical="center"/>
    </xf>
    <xf numFmtId="166" fontId="0" fillId="12" borderId="6" xfId="0" applyNumberFormat="1" applyFill="1" applyBorder="1" applyAlignment="1">
      <alignment vertical="center"/>
    </xf>
    <xf numFmtId="166" fontId="0" fillId="12" borderId="34" xfId="0" applyNumberFormat="1" applyFill="1" applyBorder="1" applyAlignment="1">
      <alignment vertical="center"/>
    </xf>
    <xf numFmtId="166" fontId="0" fillId="12" borderId="33" xfId="0" applyNumberFormat="1" applyFill="1" applyBorder="1" applyAlignment="1">
      <alignment vertical="center"/>
    </xf>
    <xf numFmtId="166" fontId="21" fillId="12" borderId="1" xfId="5" applyNumberFormat="1" applyFont="1" applyFill="1" applyBorder="1" applyAlignment="1">
      <alignment horizontal="center" vertical="center"/>
    </xf>
    <xf numFmtId="166" fontId="21" fillId="12" borderId="4" xfId="5" applyNumberFormat="1" applyFont="1" applyFill="1" applyBorder="1" applyAlignment="1">
      <alignment horizontal="center" vertical="center"/>
    </xf>
    <xf numFmtId="167" fontId="3" fillId="12" borderId="1" xfId="5" applyNumberFormat="1" applyFont="1" applyFill="1" applyBorder="1" applyAlignment="1" applyProtection="1">
      <alignment horizontal="right" vertical="center"/>
    </xf>
    <xf numFmtId="3" fontId="3" fillId="12" borderId="1" xfId="0" applyNumberFormat="1" applyFont="1" applyFill="1" applyBorder="1" applyAlignment="1">
      <alignment horizontal="right" vertical="center"/>
    </xf>
    <xf numFmtId="166" fontId="12" fillId="12" borderId="8" xfId="5" applyNumberFormat="1" applyFont="1" applyFill="1" applyBorder="1" applyAlignment="1">
      <alignment horizontal="center" vertical="center"/>
    </xf>
    <xf numFmtId="166" fontId="12" fillId="12" borderId="8" xfId="5" applyNumberFormat="1" applyFont="1" applyFill="1" applyBorder="1" applyAlignment="1">
      <alignment vertical="center"/>
    </xf>
    <xf numFmtId="166" fontId="12" fillId="12" borderId="9" xfId="5" applyNumberFormat="1" applyFont="1" applyFill="1" applyBorder="1" applyAlignment="1">
      <alignment vertical="center"/>
    </xf>
    <xf numFmtId="166" fontId="0" fillId="12" borderId="8" xfId="0" applyNumberFormat="1" applyFill="1" applyBorder="1" applyAlignment="1">
      <alignment horizontal="center" vertical="center"/>
    </xf>
    <xf numFmtId="166" fontId="0" fillId="12" borderId="9" xfId="0" applyNumberFormat="1" applyFill="1" applyBorder="1" applyAlignment="1">
      <alignment horizontal="center" vertical="center"/>
    </xf>
    <xf numFmtId="166" fontId="4" fillId="12" borderId="8" xfId="0" applyNumberFormat="1" applyFont="1" applyFill="1" applyBorder="1" applyAlignment="1">
      <alignment horizontal="center" vertical="center"/>
    </xf>
    <xf numFmtId="166" fontId="4" fillId="12" borderId="9" xfId="0" applyNumberFormat="1" applyFont="1" applyFill="1" applyBorder="1" applyAlignment="1">
      <alignment horizontal="center" vertical="center"/>
    </xf>
    <xf numFmtId="164" fontId="3" fillId="13" borderId="15" xfId="5" applyFont="1" applyFill="1" applyBorder="1" applyAlignment="1" applyProtection="1">
      <alignment horizontal="center" vertical="center"/>
    </xf>
    <xf numFmtId="164" fontId="3" fillId="13" borderId="15" xfId="5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0" fillId="13" borderId="15" xfId="0" applyFill="1" applyBorder="1" applyAlignment="1">
      <alignment vertical="center"/>
    </xf>
    <xf numFmtId="4" fontId="3" fillId="13" borderId="15" xfId="0" applyNumberFormat="1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right" vertical="center"/>
    </xf>
    <xf numFmtId="164" fontId="0" fillId="0" borderId="20" xfId="5" applyFont="1" applyBorder="1" applyAlignment="1">
      <alignment vertical="center"/>
    </xf>
    <xf numFmtId="164" fontId="12" fillId="0" borderId="78" xfId="5" applyFont="1" applyBorder="1" applyAlignment="1">
      <alignment vertical="center"/>
    </xf>
    <xf numFmtId="164" fontId="0" fillId="0" borderId="4" xfId="5" applyFont="1" applyBorder="1" applyAlignment="1">
      <alignment vertical="center"/>
    </xf>
    <xf numFmtId="0" fontId="4" fillId="6" borderId="11" xfId="0" applyFont="1" applyFill="1" applyBorder="1" applyAlignment="1">
      <alignment vertical="center"/>
    </xf>
    <xf numFmtId="164" fontId="12" fillId="6" borderId="1" xfId="5" applyFont="1" applyFill="1" applyBorder="1" applyAlignment="1">
      <alignment vertical="center"/>
    </xf>
    <xf numFmtId="164" fontId="10" fillId="0" borderId="8" xfId="5" applyFont="1" applyBorder="1" applyAlignment="1">
      <alignment vertical="center"/>
    </xf>
    <xf numFmtId="164" fontId="10" fillId="0" borderId="9" xfId="5" applyFont="1" applyBorder="1" applyAlignment="1">
      <alignment vertical="center"/>
    </xf>
    <xf numFmtId="164" fontId="0" fillId="0" borderId="0" xfId="5" applyFont="1" applyAlignment="1">
      <alignment vertical="center"/>
    </xf>
    <xf numFmtId="164" fontId="12" fillId="0" borderId="79" xfId="5" applyFont="1" applyBorder="1" applyAlignment="1">
      <alignment vertical="center"/>
    </xf>
    <xf numFmtId="164" fontId="0" fillId="0" borderId="30" xfId="5" applyFont="1" applyBorder="1" applyAlignment="1">
      <alignment vertical="center"/>
    </xf>
    <xf numFmtId="164" fontId="12" fillId="0" borderId="80" xfId="5" applyFont="1" applyBorder="1" applyAlignment="1">
      <alignment vertical="center"/>
    </xf>
    <xf numFmtId="164" fontId="0" fillId="0" borderId="31" xfId="5" applyFont="1" applyBorder="1" applyAlignment="1">
      <alignment vertical="center"/>
    </xf>
    <xf numFmtId="164" fontId="3" fillId="0" borderId="8" xfId="5" applyFont="1" applyBorder="1" applyAlignment="1">
      <alignment vertical="center"/>
    </xf>
    <xf numFmtId="164" fontId="3" fillId="0" borderId="57" xfId="5" applyFont="1" applyBorder="1" applyAlignment="1">
      <alignment vertical="center"/>
    </xf>
    <xf numFmtId="164" fontId="3" fillId="0" borderId="81" xfId="5" applyFont="1" applyBorder="1" applyAlignment="1">
      <alignment vertical="center"/>
    </xf>
    <xf numFmtId="164" fontId="3" fillId="0" borderId="9" xfId="5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164" fontId="0" fillId="0" borderId="13" xfId="5" applyFont="1" applyBorder="1" applyAlignment="1">
      <alignment vertical="center"/>
    </xf>
    <xf numFmtId="164" fontId="3" fillId="0" borderId="15" xfId="5" applyFont="1" applyBorder="1" applyAlignment="1">
      <alignment vertical="center"/>
    </xf>
    <xf numFmtId="164" fontId="3" fillId="0" borderId="58" xfId="5" applyFont="1" applyBorder="1" applyAlignment="1">
      <alignment vertical="center"/>
    </xf>
    <xf numFmtId="164" fontId="3" fillId="0" borderId="82" xfId="5" applyFont="1" applyBorder="1" applyAlignment="1">
      <alignment vertical="center"/>
    </xf>
    <xf numFmtId="164" fontId="3" fillId="0" borderId="16" xfId="5" applyFont="1" applyBorder="1" applyAlignment="1">
      <alignment vertical="center"/>
    </xf>
    <xf numFmtId="167" fontId="3" fillId="0" borderId="15" xfId="5" applyNumberFormat="1" applyFont="1" applyBorder="1" applyAlignment="1">
      <alignment vertical="center"/>
    </xf>
    <xf numFmtId="167" fontId="3" fillId="0" borderId="58" xfId="5" applyNumberFormat="1" applyFont="1" applyBorder="1" applyAlignment="1">
      <alignment vertical="center"/>
    </xf>
    <xf numFmtId="167" fontId="3" fillId="0" borderId="82" xfId="5" applyNumberFormat="1" applyFont="1" applyBorder="1" applyAlignment="1">
      <alignment vertical="center"/>
    </xf>
    <xf numFmtId="167" fontId="3" fillId="0" borderId="16" xfId="5" applyNumberFormat="1" applyFont="1" applyBorder="1" applyAlignment="1">
      <alignment vertical="center"/>
    </xf>
    <xf numFmtId="4" fontId="4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vertical="center"/>
    </xf>
    <xf numFmtId="43" fontId="9" fillId="0" borderId="0" xfId="0" applyNumberFormat="1" applyFont="1" applyAlignment="1">
      <alignment vertical="center"/>
    </xf>
    <xf numFmtId="0" fontId="0" fillId="0" borderId="79" xfId="0" applyBorder="1" applyAlignment="1">
      <alignment vertical="center"/>
    </xf>
    <xf numFmtId="164" fontId="3" fillId="0" borderId="1" xfId="5" applyFont="1" applyBorder="1" applyAlignment="1">
      <alignment vertical="center"/>
    </xf>
    <xf numFmtId="164" fontId="0" fillId="0" borderId="57" xfId="5" applyFont="1" applyBorder="1" applyAlignment="1">
      <alignment vertical="center"/>
    </xf>
    <xf numFmtId="164" fontId="12" fillId="0" borderId="81" xfId="5" applyFont="1" applyBorder="1" applyAlignment="1">
      <alignment vertical="center"/>
    </xf>
    <xf numFmtId="164" fontId="0" fillId="0" borderId="9" xfId="5" applyFont="1" applyBorder="1" applyAlignment="1">
      <alignment vertical="center"/>
    </xf>
    <xf numFmtId="164" fontId="12" fillId="0" borderId="78" xfId="5" applyFont="1" applyFill="1" applyBorder="1" applyAlignment="1">
      <alignment vertical="center"/>
    </xf>
    <xf numFmtId="0" fontId="4" fillId="0" borderId="79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164" fontId="4" fillId="0" borderId="1" xfId="5" applyFont="1" applyBorder="1" applyAlignment="1">
      <alignment horizontal="center" vertical="center"/>
    </xf>
    <xf numFmtId="164" fontId="4" fillId="0" borderId="1" xfId="5" applyFont="1" applyBorder="1" applyAlignment="1">
      <alignment vertical="center"/>
    </xf>
    <xf numFmtId="164" fontId="4" fillId="0" borderId="20" xfId="5" applyFont="1" applyBorder="1" applyAlignment="1">
      <alignment vertical="center"/>
    </xf>
    <xf numFmtId="164" fontId="4" fillId="0" borderId="78" xfId="5" applyFont="1" applyBorder="1" applyAlignment="1">
      <alignment vertical="center"/>
    </xf>
    <xf numFmtId="164" fontId="4" fillId="0" borderId="4" xfId="5" applyFont="1" applyBorder="1" applyAlignment="1">
      <alignment vertical="center"/>
    </xf>
    <xf numFmtId="164" fontId="4" fillId="6" borderId="1" xfId="5" applyFont="1" applyFill="1" applyBorder="1" applyAlignment="1">
      <alignment vertical="center"/>
    </xf>
    <xf numFmtId="164" fontId="4" fillId="0" borderId="1" xfId="5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164" fontId="4" fillId="0" borderId="0" xfId="5" applyFont="1" applyAlignment="1">
      <alignment vertical="center"/>
    </xf>
    <xf numFmtId="164" fontId="4" fillId="0" borderId="79" xfId="5" applyFont="1" applyBorder="1" applyAlignment="1">
      <alignment vertical="center"/>
    </xf>
    <xf numFmtId="164" fontId="4" fillId="0" borderId="30" xfId="5" applyFont="1" applyBorder="1" applyAlignment="1">
      <alignment vertical="center"/>
    </xf>
    <xf numFmtId="164" fontId="4" fillId="0" borderId="80" xfId="5" applyFont="1" applyBorder="1" applyAlignment="1">
      <alignment vertical="center"/>
    </xf>
    <xf numFmtId="164" fontId="4" fillId="0" borderId="31" xfId="5" applyFont="1" applyBorder="1" applyAlignment="1">
      <alignment vertical="center"/>
    </xf>
    <xf numFmtId="4" fontId="4" fillId="0" borderId="79" xfId="0" applyNumberFormat="1" applyFont="1" applyBorder="1" applyAlignment="1">
      <alignment vertical="center"/>
    </xf>
    <xf numFmtId="164" fontId="4" fillId="0" borderId="13" xfId="5" applyFont="1" applyBorder="1" applyAlignment="1">
      <alignment vertical="center"/>
    </xf>
    <xf numFmtId="43" fontId="4" fillId="0" borderId="0" xfId="0" applyNumberFormat="1" applyFont="1" applyAlignment="1">
      <alignment vertical="center"/>
    </xf>
    <xf numFmtId="164" fontId="3" fillId="0" borderId="8" xfId="5" applyFont="1" applyBorder="1" applyAlignment="1">
      <alignment horizontal="center" vertical="center"/>
    </xf>
    <xf numFmtId="164" fontId="0" fillId="0" borderId="0" xfId="5" applyFont="1" applyAlignment="1">
      <alignment horizontal="center" vertical="center"/>
    </xf>
    <xf numFmtId="164" fontId="0" fillId="0" borderId="30" xfId="5" applyFont="1" applyBorder="1" applyAlignment="1">
      <alignment horizontal="center" vertical="center"/>
    </xf>
    <xf numFmtId="164" fontId="0" fillId="0" borderId="31" xfId="5" applyFont="1" applyBorder="1" applyAlignment="1">
      <alignment horizontal="center" vertical="center"/>
    </xf>
    <xf numFmtId="164" fontId="3" fillId="0" borderId="9" xfId="5" applyFont="1" applyBorder="1" applyAlignment="1">
      <alignment horizontal="center" vertical="center"/>
    </xf>
    <xf numFmtId="164" fontId="0" fillId="0" borderId="13" xfId="5" applyFont="1" applyBorder="1" applyAlignment="1">
      <alignment horizontal="center" vertical="center"/>
    </xf>
    <xf numFmtId="164" fontId="3" fillId="0" borderId="15" xfId="5" applyFont="1" applyBorder="1" applyAlignment="1">
      <alignment horizontal="center" vertical="center"/>
    </xf>
    <xf numFmtId="164" fontId="3" fillId="0" borderId="16" xfId="5" applyFont="1" applyBorder="1" applyAlignment="1">
      <alignment horizontal="center" vertical="center"/>
    </xf>
    <xf numFmtId="167" fontId="3" fillId="0" borderId="15" xfId="5" applyNumberFormat="1" applyFont="1" applyBorder="1" applyAlignment="1">
      <alignment horizontal="center" vertical="center"/>
    </xf>
    <xf numFmtId="167" fontId="3" fillId="0" borderId="16" xfId="5" applyNumberFormat="1" applyFont="1" applyBorder="1" applyAlignment="1">
      <alignment horizontal="center" vertical="center"/>
    </xf>
    <xf numFmtId="0" fontId="3" fillId="6" borderId="8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166" fontId="0" fillId="0" borderId="3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0" fillId="0" borderId="8" xfId="0" applyNumberForma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4" fontId="0" fillId="0" borderId="57" xfId="0" applyNumberForma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13" borderId="21" xfId="0" applyFont="1" applyFill="1" applyBorder="1" applyAlignment="1">
      <alignment vertical="center"/>
    </xf>
    <xf numFmtId="0" fontId="3" fillId="13" borderId="23" xfId="0" applyFont="1" applyFill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4" fontId="3" fillId="13" borderId="38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right" vertical="center"/>
    </xf>
    <xf numFmtId="0" fontId="3" fillId="13" borderId="37" xfId="0" applyFont="1" applyFill="1" applyBorder="1" applyAlignment="1">
      <alignment horizontal="center" vertical="center"/>
    </xf>
    <xf numFmtId="0" fontId="3" fillId="13" borderId="36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3" fillId="13" borderId="36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centerContinuous" vertical="center"/>
    </xf>
    <xf numFmtId="0" fontId="3" fillId="5" borderId="19" xfId="0" applyFont="1" applyFill="1" applyBorder="1" applyAlignment="1">
      <alignment horizontal="centerContinuous" vertical="center"/>
    </xf>
    <xf numFmtId="0" fontId="4" fillId="0" borderId="5" xfId="0" applyFont="1" applyBorder="1" applyAlignment="1">
      <alignment horizontal="left" vertical="center"/>
    </xf>
    <xf numFmtId="4" fontId="0" fillId="0" borderId="3" xfId="0" applyNumberForma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0" fontId="4" fillId="0" borderId="35" xfId="0" applyFont="1" applyBorder="1" applyAlignment="1">
      <alignment horizontal="left" vertical="center"/>
    </xf>
    <xf numFmtId="0" fontId="3" fillId="14" borderId="35" xfId="0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right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" fillId="5" borderId="2" xfId="0" applyFont="1" applyFill="1" applyBorder="1" applyAlignment="1">
      <alignment horizontal="centerContinuous" vertical="center"/>
    </xf>
    <xf numFmtId="0" fontId="3" fillId="5" borderId="7" xfId="0" applyFont="1" applyFill="1" applyBorder="1" applyAlignment="1">
      <alignment horizontal="centerContinuous" vertical="center"/>
    </xf>
    <xf numFmtId="0" fontId="3" fillId="13" borderId="5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right" vertical="center"/>
    </xf>
    <xf numFmtId="166" fontId="4" fillId="0" borderId="0" xfId="0" applyNumberFormat="1" applyFont="1" applyAlignment="1">
      <alignment horizontal="center" vertical="center"/>
    </xf>
    <xf numFmtId="166" fontId="4" fillId="0" borderId="15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4" fontId="42" fillId="0" borderId="0" xfId="0" applyNumberFormat="1" applyFont="1" applyAlignment="1">
      <alignment vertical="center"/>
    </xf>
    <xf numFmtId="164" fontId="43" fillId="0" borderId="0" xfId="5" applyFont="1" applyFill="1" applyBorder="1" applyAlignment="1">
      <alignment vertical="center"/>
    </xf>
    <xf numFmtId="9" fontId="44" fillId="0" borderId="0" xfId="0" applyNumberFormat="1" applyFont="1" applyAlignment="1">
      <alignment vertical="center"/>
    </xf>
    <xf numFmtId="9" fontId="0" fillId="0" borderId="0" xfId="0" applyNumberFormat="1" applyAlignment="1">
      <alignment vertical="center"/>
    </xf>
    <xf numFmtId="0" fontId="45" fillId="15" borderId="21" xfId="0" applyFont="1" applyFill="1" applyBorder="1" applyAlignment="1">
      <alignment horizontal="left" vertical="center"/>
    </xf>
    <xf numFmtId="0" fontId="46" fillId="15" borderId="38" xfId="0" applyFont="1" applyFill="1" applyBorder="1" applyAlignment="1">
      <alignment horizontal="centerContinuous" vertical="center"/>
    </xf>
    <xf numFmtId="0" fontId="40" fillId="15" borderId="21" xfId="0" applyFont="1" applyFill="1" applyBorder="1" applyAlignment="1">
      <alignment vertical="center"/>
    </xf>
    <xf numFmtId="0" fontId="40" fillId="15" borderId="37" xfId="0" applyFont="1" applyFill="1" applyBorder="1" applyAlignment="1">
      <alignment vertical="center"/>
    </xf>
    <xf numFmtId="0" fontId="40" fillId="15" borderId="38" xfId="0" applyFont="1" applyFill="1" applyBorder="1" applyAlignment="1">
      <alignment vertical="center"/>
    </xf>
    <xf numFmtId="0" fontId="0" fillId="15" borderId="0" xfId="0" applyFill="1" applyAlignment="1">
      <alignment vertical="center"/>
    </xf>
    <xf numFmtId="0" fontId="20" fillId="16" borderId="23" xfId="0" applyFont="1" applyFill="1" applyBorder="1" applyAlignment="1">
      <alignment vertical="center"/>
    </xf>
    <xf numFmtId="0" fontId="3" fillId="16" borderId="36" xfId="0" applyFont="1" applyFill="1" applyBorder="1" applyAlignment="1">
      <alignment vertical="center"/>
    </xf>
    <xf numFmtId="0" fontId="0" fillId="16" borderId="0" xfId="0" applyFill="1" applyAlignment="1">
      <alignment vertical="center"/>
    </xf>
    <xf numFmtId="0" fontId="20" fillId="16" borderId="20" xfId="0" applyFont="1" applyFill="1" applyBorder="1" applyAlignment="1">
      <alignment horizontal="left" vertical="center"/>
    </xf>
    <xf numFmtId="0" fontId="6" fillId="16" borderId="27" xfId="0" applyFont="1" applyFill="1" applyBorder="1" applyAlignment="1">
      <alignment horizontal="left" vertical="center"/>
    </xf>
    <xf numFmtId="0" fontId="3" fillId="17" borderId="23" xfId="0" applyFont="1" applyFill="1" applyBorder="1" applyAlignment="1">
      <alignment vertical="center"/>
    </xf>
    <xf numFmtId="0" fontId="3" fillId="17" borderId="36" xfId="0" applyFont="1" applyFill="1" applyBorder="1" applyAlignment="1">
      <alignment vertical="center"/>
    </xf>
    <xf numFmtId="0" fontId="3" fillId="17" borderId="25" xfId="0" applyFont="1" applyFill="1" applyBorder="1" applyAlignment="1">
      <alignment vertical="center"/>
    </xf>
    <xf numFmtId="0" fontId="0" fillId="17" borderId="0" xfId="0" applyFill="1" applyAlignment="1">
      <alignment vertical="center"/>
    </xf>
    <xf numFmtId="4" fontId="0" fillId="0" borderId="0" xfId="0" applyNumberFormat="1" applyAlignment="1" applyProtection="1">
      <alignment vertical="center"/>
      <protection locked="0"/>
    </xf>
    <xf numFmtId="3" fontId="42" fillId="0" borderId="0" xfId="0" applyNumberFormat="1" applyFont="1" applyAlignment="1">
      <alignment vertical="center"/>
    </xf>
    <xf numFmtId="0" fontId="4" fillId="0" borderId="36" xfId="0" applyFont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0" fontId="20" fillId="16" borderId="21" xfId="0" applyFont="1" applyFill="1" applyBorder="1" applyAlignment="1">
      <alignment vertical="center"/>
    </xf>
    <xf numFmtId="0" fontId="3" fillId="16" borderId="21" xfId="0" applyFont="1" applyFill="1" applyBorder="1" applyAlignment="1">
      <alignment vertical="center"/>
    </xf>
    <xf numFmtId="0" fontId="3" fillId="16" borderId="37" xfId="0" applyFont="1" applyFill="1" applyBorder="1" applyAlignment="1">
      <alignment vertical="center"/>
    </xf>
    <xf numFmtId="0" fontId="6" fillId="16" borderId="21" xfId="0" applyFont="1" applyFill="1" applyBorder="1" applyAlignment="1">
      <alignment vertical="center"/>
    </xf>
    <xf numFmtId="0" fontId="3" fillId="17" borderId="21" xfId="0" applyFont="1" applyFill="1" applyBorder="1" applyAlignment="1">
      <alignment vertical="center"/>
    </xf>
    <xf numFmtId="0" fontId="3" fillId="17" borderId="37" xfId="0" applyFont="1" applyFill="1" applyBorder="1" applyAlignment="1">
      <alignment vertical="center"/>
    </xf>
    <xf numFmtId="0" fontId="3" fillId="17" borderId="38" xfId="0" applyFont="1" applyFill="1" applyBorder="1" applyAlignment="1">
      <alignment vertical="center"/>
    </xf>
    <xf numFmtId="0" fontId="4" fillId="0" borderId="0" xfId="0" quotePrefix="1" applyFont="1" applyAlignment="1">
      <alignment vertical="center"/>
    </xf>
    <xf numFmtId="0" fontId="0" fillId="16" borderId="37" xfId="0" applyFill="1" applyBorder="1" applyAlignment="1">
      <alignment vertical="center"/>
    </xf>
    <xf numFmtId="0" fontId="0" fillId="15" borderId="37" xfId="0" applyFill="1" applyBorder="1" applyAlignment="1">
      <alignment vertical="center"/>
    </xf>
    <xf numFmtId="0" fontId="40" fillId="15" borderId="21" xfId="0" applyFont="1" applyFill="1" applyBorder="1" applyAlignment="1">
      <alignment horizontal="left" vertical="center"/>
    </xf>
    <xf numFmtId="0" fontId="40" fillId="15" borderId="37" xfId="0" applyFont="1" applyFill="1" applyBorder="1" applyAlignment="1">
      <alignment horizontal="centerContinuous" vertical="center"/>
    </xf>
    <xf numFmtId="166" fontId="40" fillId="15" borderId="38" xfId="0" applyNumberFormat="1" applyFont="1" applyFill="1" applyBorder="1" applyAlignment="1">
      <alignment horizontal="centerContinuous" vertical="center"/>
    </xf>
    <xf numFmtId="0" fontId="6" fillId="16" borderId="37" xfId="0" applyFont="1" applyFill="1" applyBorder="1" applyAlignment="1">
      <alignment vertical="center"/>
    </xf>
    <xf numFmtId="0" fontId="4" fillId="16" borderId="37" xfId="0" applyFont="1" applyFill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" fillId="0" borderId="30" xfId="0" applyFont="1" applyBorder="1" applyAlignment="1">
      <alignment vertical="center"/>
    </xf>
    <xf numFmtId="0" fontId="0" fillId="17" borderId="37" xfId="0" applyFill="1" applyBorder="1" applyAlignment="1">
      <alignment vertical="center"/>
    </xf>
    <xf numFmtId="0" fontId="0" fillId="17" borderId="38" xfId="0" applyFill="1" applyBorder="1" applyAlignment="1">
      <alignment vertical="center"/>
    </xf>
    <xf numFmtId="0" fontId="3" fillId="17" borderId="60" xfId="0" applyFont="1" applyFill="1" applyBorder="1" applyAlignment="1">
      <alignment vertical="center"/>
    </xf>
    <xf numFmtId="0" fontId="3" fillId="17" borderId="30" xfId="0" applyFont="1" applyFill="1" applyBorder="1" applyAlignment="1">
      <alignment vertical="center"/>
    </xf>
    <xf numFmtId="0" fontId="3" fillId="17" borderId="31" xfId="0" applyFont="1" applyFill="1" applyBorder="1" applyAlignment="1">
      <alignment vertical="center"/>
    </xf>
    <xf numFmtId="0" fontId="3" fillId="17" borderId="21" xfId="0" applyFont="1" applyFill="1" applyBorder="1" applyAlignment="1">
      <alignment horizontal="left" vertical="center"/>
    </xf>
    <xf numFmtId="0" fontId="3" fillId="17" borderId="37" xfId="0" applyFont="1" applyFill="1" applyBorder="1" applyAlignment="1">
      <alignment horizontal="centerContinuous" vertical="center"/>
    </xf>
    <xf numFmtId="0" fontId="3" fillId="17" borderId="38" xfId="0" applyFont="1" applyFill="1" applyBorder="1" applyAlignment="1">
      <alignment horizontal="centerContinuous" vertical="center"/>
    </xf>
    <xf numFmtId="0" fontId="3" fillId="17" borderId="5" xfId="0" applyFont="1" applyFill="1" applyBorder="1" applyAlignment="1">
      <alignment horizontal="centerContinuous" vertical="center"/>
    </xf>
    <xf numFmtId="0" fontId="3" fillId="17" borderId="19" xfId="0" applyFont="1" applyFill="1" applyBorder="1" applyAlignment="1">
      <alignment horizontal="centerContinuous" vertical="center"/>
    </xf>
    <xf numFmtId="0" fontId="3" fillId="17" borderId="6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0" borderId="19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0" borderId="4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7" fillId="17" borderId="21" xfId="0" applyFont="1" applyFill="1" applyBorder="1" applyAlignment="1">
      <alignment vertical="center"/>
    </xf>
    <xf numFmtId="0" fontId="47" fillId="17" borderId="37" xfId="0" applyFont="1" applyFill="1" applyBorder="1" applyAlignment="1">
      <alignment vertical="center"/>
    </xf>
    <xf numFmtId="0" fontId="47" fillId="17" borderId="38" xfId="0" applyFont="1" applyFill="1" applyBorder="1" applyAlignment="1">
      <alignment vertical="center"/>
    </xf>
    <xf numFmtId="0" fontId="47" fillId="5" borderId="21" xfId="0" applyFont="1" applyFill="1" applyBorder="1" applyAlignment="1">
      <alignment horizontal="centerContinuous" vertical="center"/>
    </xf>
    <xf numFmtId="0" fontId="47" fillId="5" borderId="37" xfId="0" applyFont="1" applyFill="1" applyBorder="1" applyAlignment="1">
      <alignment horizontal="centerContinuous" vertical="center"/>
    </xf>
    <xf numFmtId="0" fontId="47" fillId="5" borderId="38" xfId="0" applyFont="1" applyFill="1" applyBorder="1" applyAlignment="1">
      <alignment horizontal="centerContinuous" vertical="center"/>
    </xf>
    <xf numFmtId="0" fontId="47" fillId="13" borderId="15" xfId="0" applyFont="1" applyFill="1" applyBorder="1" applyAlignment="1">
      <alignment horizontal="center" vertical="center"/>
    </xf>
    <xf numFmtId="0" fontId="47" fillId="13" borderId="16" xfId="0" applyFont="1" applyFill="1" applyBorder="1" applyAlignment="1">
      <alignment horizontal="center" vertical="center"/>
    </xf>
    <xf numFmtId="166" fontId="4" fillId="0" borderId="16" xfId="0" applyNumberFormat="1" applyFont="1" applyBorder="1" applyAlignment="1">
      <alignment horizontal="center" vertical="center"/>
    </xf>
    <xf numFmtId="0" fontId="4" fillId="17" borderId="37" xfId="0" applyFont="1" applyFill="1" applyBorder="1" applyAlignment="1">
      <alignment horizontal="center" vertical="center"/>
    </xf>
    <xf numFmtId="0" fontId="47" fillId="14" borderId="15" xfId="0" applyFont="1" applyFill="1" applyBorder="1" applyAlignment="1">
      <alignment horizontal="center" vertical="center" wrapText="1"/>
    </xf>
    <xf numFmtId="0" fontId="47" fillId="14" borderId="16" xfId="0" applyFont="1" applyFill="1" applyBorder="1" applyAlignment="1">
      <alignment horizontal="center" vertical="center" wrapText="1"/>
    </xf>
    <xf numFmtId="166" fontId="47" fillId="0" borderId="4" xfId="0" applyNumberFormat="1" applyFont="1" applyBorder="1" applyAlignment="1">
      <alignment horizontal="center" vertical="center"/>
    </xf>
    <xf numFmtId="166" fontId="47" fillId="0" borderId="9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4" fillId="0" borderId="1" xfId="5" applyNumberFormat="1" applyFont="1" applyBorder="1" applyAlignment="1">
      <alignment horizontal="center" vertical="center"/>
    </xf>
    <xf numFmtId="165" fontId="4" fillId="0" borderId="4" xfId="5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4" fillId="0" borderId="1" xfId="5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164" fontId="4" fillId="0" borderId="8" xfId="5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7" fillId="16" borderId="37" xfId="0" applyFont="1" applyFill="1" applyBorder="1" applyAlignment="1">
      <alignment vertical="center"/>
    </xf>
    <xf numFmtId="0" fontId="7" fillId="16" borderId="37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3" fillId="0" borderId="37" xfId="0" applyFont="1" applyBorder="1" applyAlignment="1">
      <alignment horizontal="right" vertical="center"/>
    </xf>
    <xf numFmtId="164" fontId="3" fillId="0" borderId="37" xfId="5" applyFont="1" applyFill="1" applyBorder="1" applyAlignment="1" applyProtection="1">
      <alignment horizontal="center" vertical="center"/>
    </xf>
    <xf numFmtId="164" fontId="3" fillId="0" borderId="37" xfId="5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0" fillId="16" borderId="21" xfId="0" applyFont="1" applyFill="1" applyBorder="1" applyAlignment="1">
      <alignment horizontal="left" vertical="center"/>
    </xf>
    <xf numFmtId="0" fontId="6" fillId="16" borderId="3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30" xfId="0" applyBorder="1" applyAlignme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165" fontId="0" fillId="0" borderId="5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5" xfId="5" applyNumberFormat="1" applyFont="1" applyBorder="1" applyAlignment="1">
      <alignment horizontal="center" vertical="center"/>
    </xf>
    <xf numFmtId="165" fontId="0" fillId="0" borderId="3" xfId="5" applyNumberFormat="1" applyFont="1" applyBorder="1" applyAlignment="1">
      <alignment horizontal="center" vertical="center"/>
    </xf>
    <xf numFmtId="165" fontId="12" fillId="11" borderId="3" xfId="5" applyNumberFormat="1" applyFont="1" applyFill="1" applyBorder="1" applyAlignment="1">
      <alignment horizontal="center" vertical="center"/>
    </xf>
    <xf numFmtId="165" fontId="12" fillId="11" borderId="19" xfId="5" applyNumberFormat="1" applyFont="1" applyFill="1" applyBorder="1" applyAlignment="1">
      <alignment horizontal="center" vertical="center"/>
    </xf>
    <xf numFmtId="165" fontId="0" fillId="11" borderId="3" xfId="0" applyNumberFormat="1" applyFill="1" applyBorder="1" applyAlignment="1">
      <alignment horizontal="center" vertical="center"/>
    </xf>
    <xf numFmtId="165" fontId="0" fillId="11" borderId="19" xfId="0" applyNumberFormat="1" applyFill="1" applyBorder="1" applyAlignment="1">
      <alignment horizontal="center" vertical="center"/>
    </xf>
    <xf numFmtId="164" fontId="0" fillId="0" borderId="59" xfId="5" applyFont="1" applyBorder="1" applyAlignment="1">
      <alignment horizontal="center" vertical="center"/>
    </xf>
    <xf numFmtId="164" fontId="0" fillId="0" borderId="20" xfId="5" applyFont="1" applyBorder="1" applyAlignment="1">
      <alignment horizontal="center" vertical="center"/>
    </xf>
    <xf numFmtId="164" fontId="0" fillId="0" borderId="57" xfId="5" applyFont="1" applyBorder="1" applyAlignment="1">
      <alignment horizontal="center" vertical="center"/>
    </xf>
    <xf numFmtId="165" fontId="0" fillId="3" borderId="8" xfId="0" applyNumberFormat="1" applyFill="1" applyBorder="1" applyAlignment="1">
      <alignment horizontal="center" vertical="center"/>
    </xf>
    <xf numFmtId="4" fontId="0" fillId="11" borderId="3" xfId="0" applyNumberFormat="1" applyFill="1" applyBorder="1" applyAlignment="1">
      <alignment horizontal="center" vertical="center"/>
    </xf>
    <xf numFmtId="4" fontId="0" fillId="11" borderId="19" xfId="0" applyNumberFormat="1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center" vertical="center"/>
    </xf>
    <xf numFmtId="4" fontId="0" fillId="11" borderId="4" xfId="0" applyNumberFormat="1" applyFill="1" applyBorder="1" applyAlignment="1">
      <alignment horizontal="center" vertical="center"/>
    </xf>
    <xf numFmtId="4" fontId="0" fillId="11" borderId="8" xfId="0" applyNumberFormat="1" applyFill="1" applyBorder="1" applyAlignment="1">
      <alignment horizontal="center" vertical="center"/>
    </xf>
    <xf numFmtId="4" fontId="0" fillId="11" borderId="9" xfId="0" applyNumberFormat="1" applyFill="1" applyBorder="1" applyAlignment="1">
      <alignment horizontal="center" vertical="center"/>
    </xf>
    <xf numFmtId="164" fontId="4" fillId="0" borderId="4" xfId="5" applyFont="1" applyBorder="1" applyAlignment="1">
      <alignment horizontal="center" vertical="center"/>
    </xf>
    <xf numFmtId="164" fontId="4" fillId="0" borderId="9" xfId="5" applyFont="1" applyBorder="1" applyAlignment="1">
      <alignment horizontal="center" vertical="center"/>
    </xf>
    <xf numFmtId="164" fontId="4" fillId="0" borderId="0" xfId="5" applyFont="1" applyAlignment="1">
      <alignment horizontal="center" vertical="center"/>
    </xf>
    <xf numFmtId="164" fontId="4" fillId="0" borderId="30" xfId="5" applyFont="1" applyBorder="1" applyAlignment="1">
      <alignment horizontal="center" vertical="center"/>
    </xf>
    <xf numFmtId="164" fontId="4" fillId="0" borderId="31" xfId="5" applyFont="1" applyBorder="1" applyAlignment="1">
      <alignment horizontal="center" vertical="center"/>
    </xf>
    <xf numFmtId="164" fontId="4" fillId="0" borderId="13" xfId="5" applyFont="1" applyBorder="1" applyAlignment="1">
      <alignment horizontal="center" vertical="center"/>
    </xf>
    <xf numFmtId="0" fontId="0" fillId="15" borderId="37" xfId="0" applyFill="1" applyBorder="1" applyAlignment="1">
      <alignment horizontal="center" vertical="center"/>
    </xf>
    <xf numFmtId="0" fontId="3" fillId="17" borderId="37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9" xfId="0" applyBorder="1" applyAlignment="1">
      <alignment vertical="center"/>
    </xf>
    <xf numFmtId="164" fontId="0" fillId="0" borderId="3" xfId="5" applyFont="1" applyBorder="1" applyAlignment="1">
      <alignment horizontal="center" vertical="center"/>
    </xf>
    <xf numFmtId="164" fontId="0" fillId="0" borderId="19" xfId="5" applyFont="1" applyBorder="1" applyAlignment="1">
      <alignment horizontal="center" vertical="center"/>
    </xf>
    <xf numFmtId="164" fontId="15" fillId="0" borderId="1" xfId="5" applyFont="1" applyFill="1" applyBorder="1" applyAlignment="1">
      <alignment horizontal="center" vertical="center"/>
    </xf>
    <xf numFmtId="0" fontId="3" fillId="0" borderId="42" xfId="0" applyFont="1" applyBorder="1" applyAlignment="1">
      <alignment horizontal="right" vertical="center"/>
    </xf>
    <xf numFmtId="2" fontId="0" fillId="0" borderId="2" xfId="0" applyNumberFormat="1" applyBorder="1" applyAlignment="1">
      <alignment horizontal="center" vertical="center"/>
    </xf>
    <xf numFmtId="165" fontId="4" fillId="0" borderId="1" xfId="5" applyNumberFormat="1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vertical="center"/>
    </xf>
    <xf numFmtId="165" fontId="3" fillId="13" borderId="8" xfId="0" applyNumberFormat="1" applyFont="1" applyFill="1" applyBorder="1" applyAlignment="1">
      <alignment horizontal="center" vertical="center"/>
    </xf>
    <xf numFmtId="165" fontId="3" fillId="13" borderId="9" xfId="0" applyNumberFormat="1" applyFont="1" applyFill="1" applyBorder="1" applyAlignment="1">
      <alignment horizontal="center" vertical="center"/>
    </xf>
    <xf numFmtId="4" fontId="3" fillId="13" borderId="10" xfId="0" applyNumberFormat="1" applyFont="1" applyFill="1" applyBorder="1" applyAlignment="1">
      <alignment horizontal="right" vertical="center"/>
    </xf>
    <xf numFmtId="4" fontId="3" fillId="13" borderId="9" xfId="0" applyNumberFormat="1" applyFont="1" applyFill="1" applyBorder="1" applyAlignment="1">
      <alignment horizontal="center" vertical="center"/>
    </xf>
    <xf numFmtId="4" fontId="3" fillId="13" borderId="8" xfId="0" applyNumberFormat="1" applyFont="1" applyFill="1" applyBorder="1" applyAlignment="1">
      <alignment horizontal="center" vertical="center"/>
    </xf>
    <xf numFmtId="165" fontId="3" fillId="13" borderId="57" xfId="0" applyNumberFormat="1" applyFont="1" applyFill="1" applyBorder="1" applyAlignment="1">
      <alignment horizontal="center" vertical="center"/>
    </xf>
    <xf numFmtId="2" fontId="4" fillId="18" borderId="1" xfId="0" applyNumberFormat="1" applyFont="1" applyFill="1" applyBorder="1" applyAlignment="1">
      <alignment horizontal="center" vertical="center"/>
    </xf>
    <xf numFmtId="2" fontId="4" fillId="19" borderId="1" xfId="0" applyNumberFormat="1" applyFont="1" applyFill="1" applyBorder="1" applyAlignment="1">
      <alignment horizontal="center" vertical="center"/>
    </xf>
    <xf numFmtId="4" fontId="4" fillId="19" borderId="1" xfId="0" applyNumberFormat="1" applyFont="1" applyFill="1" applyBorder="1" applyAlignment="1">
      <alignment horizontal="center" vertical="center"/>
    </xf>
    <xf numFmtId="165" fontId="4" fillId="19" borderId="1" xfId="0" applyNumberFormat="1" applyFont="1" applyFill="1" applyBorder="1" applyAlignment="1">
      <alignment horizontal="center" vertical="center"/>
    </xf>
    <xf numFmtId="165" fontId="4" fillId="19" borderId="4" xfId="0" applyNumberFormat="1" applyFont="1" applyFill="1" applyBorder="1" applyAlignment="1">
      <alignment horizontal="center" vertical="center"/>
    </xf>
    <xf numFmtId="4" fontId="4" fillId="19" borderId="4" xfId="0" applyNumberFormat="1" applyFont="1" applyFill="1" applyBorder="1" applyAlignment="1">
      <alignment horizontal="center" vertical="center"/>
    </xf>
    <xf numFmtId="165" fontId="4" fillId="19" borderId="1" xfId="5" applyNumberFormat="1" applyFont="1" applyFill="1" applyBorder="1" applyAlignment="1">
      <alignment horizontal="center" vertical="center"/>
    </xf>
    <xf numFmtId="165" fontId="4" fillId="19" borderId="20" xfId="0" applyNumberFormat="1" applyFont="1" applyFill="1" applyBorder="1" applyAlignment="1">
      <alignment horizontal="center" vertical="center"/>
    </xf>
    <xf numFmtId="2" fontId="4" fillId="19" borderId="4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166" fontId="48" fillId="19" borderId="1" xfId="0" applyNumberFormat="1" applyFont="1" applyFill="1" applyBorder="1" applyAlignment="1">
      <alignment horizontal="center" vertical="center" wrapText="1"/>
    </xf>
    <xf numFmtId="166" fontId="48" fillId="19" borderId="4" xfId="0" applyNumberFormat="1" applyFont="1" applyFill="1" applyBorder="1" applyAlignment="1">
      <alignment horizontal="center" vertical="center" wrapText="1"/>
    </xf>
    <xf numFmtId="166" fontId="4" fillId="19" borderId="3" xfId="0" applyNumberFormat="1" applyFont="1" applyFill="1" applyBorder="1" applyAlignment="1">
      <alignment horizontal="center" vertical="center"/>
    </xf>
    <xf numFmtId="166" fontId="4" fillId="19" borderId="19" xfId="0" applyNumberFormat="1" applyFont="1" applyFill="1" applyBorder="1" applyAlignment="1">
      <alignment horizontal="center" vertical="center"/>
    </xf>
    <xf numFmtId="166" fontId="4" fillId="19" borderId="1" xfId="0" applyNumberFormat="1" applyFont="1" applyFill="1" applyBorder="1" applyAlignment="1">
      <alignment horizontal="center" vertical="center"/>
    </xf>
    <xf numFmtId="166" fontId="4" fillId="19" borderId="4" xfId="0" applyNumberFormat="1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166" fontId="4" fillId="19" borderId="8" xfId="0" applyNumberFormat="1" applyFont="1" applyFill="1" applyBorder="1" applyAlignment="1">
      <alignment horizontal="center" vertical="center"/>
    </xf>
    <xf numFmtId="166" fontId="4" fillId="19" borderId="15" xfId="0" applyNumberFormat="1" applyFont="1" applyFill="1" applyBorder="1" applyAlignment="1">
      <alignment horizontal="center" vertical="center"/>
    </xf>
    <xf numFmtId="166" fontId="4" fillId="19" borderId="16" xfId="0" applyNumberFormat="1" applyFont="1" applyFill="1" applyBorder="1" applyAlignment="1">
      <alignment horizontal="center" vertical="center"/>
    </xf>
    <xf numFmtId="4" fontId="0" fillId="19" borderId="26" xfId="0" applyNumberFormat="1" applyFill="1" applyBorder="1" applyAlignment="1" applyProtection="1">
      <alignment horizontal="centerContinuous" vertical="center"/>
      <protection locked="0"/>
    </xf>
    <xf numFmtId="4" fontId="0" fillId="19" borderId="61" xfId="0" applyNumberFormat="1" applyFill="1" applyBorder="1" applyAlignment="1" applyProtection="1">
      <alignment horizontal="centerContinuous" vertical="center"/>
      <protection locked="0"/>
    </xf>
    <xf numFmtId="4" fontId="4" fillId="19" borderId="62" xfId="0" applyNumberFormat="1" applyFont="1" applyFill="1" applyBorder="1" applyAlignment="1" applyProtection="1">
      <alignment horizontal="centerContinuous" vertical="center"/>
      <protection locked="0"/>
    </xf>
    <xf numFmtId="4" fontId="4" fillId="19" borderId="63" xfId="0" applyNumberFormat="1" applyFont="1" applyFill="1" applyBorder="1" applyAlignment="1" applyProtection="1">
      <alignment horizontal="centerContinuous" vertical="center"/>
      <protection locked="0"/>
    </xf>
    <xf numFmtId="0" fontId="0" fillId="11" borderId="1" xfId="0" applyFill="1" applyBorder="1" applyAlignment="1">
      <alignment horizontal="center" vertical="center"/>
    </xf>
    <xf numFmtId="9" fontId="12" fillId="11" borderId="4" xfId="4" applyFont="1" applyFill="1" applyBorder="1" applyAlignment="1" applyProtection="1">
      <alignment horizontal="centerContinuous" vertical="center"/>
      <protection locked="0"/>
    </xf>
    <xf numFmtId="0" fontId="0" fillId="11" borderId="17" xfId="0" applyFill="1" applyBorder="1" applyAlignment="1">
      <alignment horizontal="centerContinuous" vertical="center"/>
    </xf>
    <xf numFmtId="2" fontId="0" fillId="19" borderId="1" xfId="0" applyNumberFormat="1" applyFill="1" applyBorder="1" applyAlignment="1">
      <alignment horizontal="center" vertical="center"/>
    </xf>
    <xf numFmtId="0" fontId="0" fillId="19" borderId="18" xfId="0" applyFill="1" applyBorder="1" applyAlignment="1">
      <alignment horizontal="centerContinuous" vertical="center"/>
    </xf>
    <xf numFmtId="0" fontId="3" fillId="13" borderId="6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166" fontId="48" fillId="13" borderId="1" xfId="0" applyNumberFormat="1" applyFont="1" applyFill="1" applyBorder="1" applyAlignment="1">
      <alignment horizontal="center" vertical="center" wrapText="1"/>
    </xf>
    <xf numFmtId="166" fontId="48" fillId="13" borderId="4" xfId="0" applyNumberFormat="1" applyFont="1" applyFill="1" applyBorder="1" applyAlignment="1">
      <alignment horizontal="center" vertical="center" wrapText="1"/>
    </xf>
    <xf numFmtId="4" fontId="0" fillId="0" borderId="43" xfId="0" applyNumberForma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4" fontId="0" fillId="0" borderId="38" xfId="0" applyNumberFormat="1" applyBorder="1" applyAlignment="1">
      <alignment horizontal="center" vertical="center"/>
    </xf>
    <xf numFmtId="2" fontId="0" fillId="19" borderId="42" xfId="0" applyNumberForma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2" fontId="0" fillId="19" borderId="6" xfId="0" applyNumberFormat="1" applyFill="1" applyBorder="1" applyAlignment="1">
      <alignment horizontal="center" vertical="center"/>
    </xf>
    <xf numFmtId="2" fontId="0" fillId="19" borderId="10" xfId="0" applyNumberFormat="1" applyFill="1" applyBorder="1" applyAlignment="1">
      <alignment horizontal="center" vertical="center"/>
    </xf>
    <xf numFmtId="4" fontId="0" fillId="19" borderId="6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" fontId="0" fillId="19" borderId="1" xfId="0" applyNumberFormat="1" applyFill="1" applyBorder="1" applyAlignment="1">
      <alignment horizontal="center" vertical="center"/>
    </xf>
    <xf numFmtId="3" fontId="3" fillId="12" borderId="1" xfId="5" applyNumberFormat="1" applyFont="1" applyFill="1" applyBorder="1" applyAlignment="1">
      <alignment horizontal="right" vertical="center"/>
    </xf>
    <xf numFmtId="167" fontId="3" fillId="12" borderId="1" xfId="5" applyNumberFormat="1" applyFont="1" applyFill="1" applyBorder="1" applyAlignment="1">
      <alignment horizontal="right" vertical="center"/>
    </xf>
    <xf numFmtId="164" fontId="4" fillId="0" borderId="20" xfId="5" applyFont="1" applyFill="1" applyBorder="1" applyAlignment="1">
      <alignment vertical="center"/>
    </xf>
    <xf numFmtId="164" fontId="4" fillId="0" borderId="78" xfId="5" applyFont="1" applyFill="1" applyBorder="1" applyAlignment="1">
      <alignment vertical="center"/>
    </xf>
    <xf numFmtId="164" fontId="4" fillId="0" borderId="4" xfId="5" applyFont="1" applyFill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2" fontId="4" fillId="0" borderId="1" xfId="5" applyNumberFormat="1" applyFont="1" applyFill="1" applyBorder="1" applyAlignment="1">
      <alignment horizontal="center" vertical="center"/>
    </xf>
    <xf numFmtId="165" fontId="3" fillId="0" borderId="1" xfId="5" applyNumberFormat="1" applyFont="1" applyBorder="1" applyAlignment="1">
      <alignment horizontal="center" vertical="center"/>
    </xf>
    <xf numFmtId="165" fontId="3" fillId="0" borderId="4" xfId="5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166" fontId="3" fillId="13" borderId="4" xfId="0" applyNumberFormat="1" applyFont="1" applyFill="1" applyBorder="1" applyAlignment="1">
      <alignment horizontal="center" vertical="center"/>
    </xf>
    <xf numFmtId="166" fontId="3" fillId="13" borderId="6" xfId="0" applyNumberFormat="1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166" fontId="3" fillId="13" borderId="9" xfId="0" applyNumberFormat="1" applyFont="1" applyFill="1" applyBorder="1" applyAlignment="1">
      <alignment horizontal="center" vertical="center"/>
    </xf>
    <xf numFmtId="166" fontId="3" fillId="13" borderId="10" xfId="0" applyNumberFormat="1" applyFont="1" applyFill="1" applyBorder="1" applyAlignment="1">
      <alignment horizontal="center" vertical="center"/>
    </xf>
    <xf numFmtId="0" fontId="47" fillId="5" borderId="50" xfId="0" applyFont="1" applyFill="1" applyBorder="1" applyAlignment="1">
      <alignment horizontal="centerContinuous" vertical="center"/>
    </xf>
    <xf numFmtId="165" fontId="47" fillId="0" borderId="0" xfId="0" applyNumberFormat="1" applyFont="1" applyAlignment="1">
      <alignment horizontal="left" vertical="center"/>
    </xf>
    <xf numFmtId="0" fontId="20" fillId="16" borderId="37" xfId="0" applyFont="1" applyFill="1" applyBorder="1" applyAlignment="1">
      <alignment horizontal="center" vertical="center"/>
    </xf>
    <xf numFmtId="0" fontId="20" fillId="16" borderId="38" xfId="0" applyFont="1" applyFill="1" applyBorder="1" applyAlignment="1">
      <alignment horizontal="center" vertical="center"/>
    </xf>
    <xf numFmtId="0" fontId="20" fillId="16" borderId="21" xfId="0" applyFont="1" applyFill="1" applyBorder="1" applyAlignment="1">
      <alignment horizontal="centerContinuous" vertical="center"/>
    </xf>
    <xf numFmtId="0" fontId="20" fillId="16" borderId="38" xfId="0" applyFont="1" applyFill="1" applyBorder="1" applyAlignment="1">
      <alignment horizontal="centerContinuous" vertical="center"/>
    </xf>
    <xf numFmtId="0" fontId="49" fillId="15" borderId="37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0" fillId="0" borderId="22" xfId="0" applyFont="1" applyBorder="1" applyAlignment="1">
      <alignment horizontal="left" vertical="center"/>
    </xf>
    <xf numFmtId="43" fontId="0" fillId="0" borderId="0" xfId="0" applyNumberFormat="1" applyAlignment="1">
      <alignment vertical="center"/>
    </xf>
    <xf numFmtId="0" fontId="0" fillId="0" borderId="10" xfId="0" applyBorder="1" applyAlignment="1">
      <alignment horizontal="left" vertical="center"/>
    </xf>
    <xf numFmtId="0" fontId="0" fillId="10" borderId="0" xfId="0" applyFill="1" applyAlignment="1">
      <alignment horizontal="center" vertical="center"/>
    </xf>
    <xf numFmtId="166" fontId="0" fillId="10" borderId="0" xfId="0" applyNumberFormat="1" applyFill="1" applyAlignment="1">
      <alignment horizontal="right" vertical="center"/>
    </xf>
    <xf numFmtId="0" fontId="0" fillId="10" borderId="0" xfId="0" applyFill="1" applyAlignment="1">
      <alignment vertical="center"/>
    </xf>
    <xf numFmtId="0" fontId="50" fillId="15" borderId="37" xfId="0" applyFont="1" applyFill="1" applyBorder="1" applyAlignment="1">
      <alignment vertical="center"/>
    </xf>
    <xf numFmtId="0" fontId="50" fillId="15" borderId="21" xfId="0" applyFont="1" applyFill="1" applyBorder="1" applyAlignment="1">
      <alignment vertical="center"/>
    </xf>
    <xf numFmtId="0" fontId="50" fillId="15" borderId="38" xfId="0" applyFont="1" applyFill="1" applyBorder="1" applyAlignment="1">
      <alignment vertical="center"/>
    </xf>
    <xf numFmtId="0" fontId="23" fillId="0" borderId="23" xfId="0" applyFont="1" applyBorder="1"/>
    <xf numFmtId="0" fontId="23" fillId="0" borderId="25" xfId="0" applyFont="1" applyBorder="1"/>
    <xf numFmtId="0" fontId="24" fillId="17" borderId="50" xfId="0" applyFont="1" applyFill="1" applyBorder="1" applyAlignment="1">
      <alignment horizontal="center" vertical="center"/>
    </xf>
    <xf numFmtId="0" fontId="25" fillId="0" borderId="5" xfId="0" applyFont="1" applyBorder="1"/>
    <xf numFmtId="0" fontId="25" fillId="0" borderId="6" xfId="0" applyFont="1" applyBorder="1"/>
    <xf numFmtId="0" fontId="25" fillId="0" borderId="10" xfId="0" applyFont="1" applyBorder="1"/>
    <xf numFmtId="0" fontId="25" fillId="20" borderId="50" xfId="0" applyFont="1" applyFill="1" applyBorder="1"/>
    <xf numFmtId="0" fontId="24" fillId="20" borderId="38" xfId="0" applyFont="1" applyFill="1" applyBorder="1" applyAlignment="1">
      <alignment horizontal="center" vertical="center"/>
    </xf>
    <xf numFmtId="0" fontId="25" fillId="0" borderId="43" xfId="0" applyFont="1" applyBorder="1"/>
    <xf numFmtId="0" fontId="25" fillId="0" borderId="2" xfId="0" applyFont="1" applyBorder="1"/>
    <xf numFmtId="0" fontId="25" fillId="0" borderId="1" xfId="0" applyFont="1" applyBorder="1"/>
    <xf numFmtId="0" fontId="25" fillId="0" borderId="8" xfId="0" applyFont="1" applyBorder="1"/>
    <xf numFmtId="0" fontId="23" fillId="0" borderId="24" xfId="0" applyFont="1" applyBorder="1"/>
    <xf numFmtId="0" fontId="23" fillId="0" borderId="60" xfId="0" applyFont="1" applyBorder="1"/>
    <xf numFmtId="0" fontId="23" fillId="0" borderId="31" xfId="0" applyFont="1" applyBorder="1"/>
    <xf numFmtId="0" fontId="0" fillId="0" borderId="25" xfId="0" applyBorder="1"/>
    <xf numFmtId="0" fontId="4" fillId="0" borderId="0" xfId="0" applyFont="1" applyAlignment="1">
      <alignment vertical="center" wrapText="1"/>
    </xf>
    <xf numFmtId="0" fontId="6" fillId="16" borderId="37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vertical="center"/>
    </xf>
    <xf numFmtId="43" fontId="0" fillId="0" borderId="64" xfId="0" applyNumberFormat="1" applyBorder="1" applyAlignment="1">
      <alignment vertical="center"/>
    </xf>
    <xf numFmtId="0" fontId="39" fillId="5" borderId="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9" fillId="0" borderId="64" xfId="0" applyFont="1" applyBorder="1" applyAlignment="1">
      <alignment horizontal="center" vertical="center" wrapText="1"/>
    </xf>
    <xf numFmtId="43" fontId="3" fillId="13" borderId="1" xfId="0" applyNumberFormat="1" applyFont="1" applyFill="1" applyBorder="1" applyAlignment="1">
      <alignment horizontal="center" vertical="center"/>
    </xf>
    <xf numFmtId="43" fontId="3" fillId="13" borderId="1" xfId="0" applyNumberFormat="1" applyFont="1" applyFill="1" applyBorder="1" applyAlignment="1">
      <alignment vertical="center"/>
    </xf>
    <xf numFmtId="0" fontId="29" fillId="0" borderId="0" xfId="0" applyFont="1" applyAlignment="1">
      <alignment vertical="center"/>
    </xf>
    <xf numFmtId="43" fontId="0" fillId="0" borderId="2" xfId="0" applyNumberForma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 wrapText="1"/>
    </xf>
    <xf numFmtId="43" fontId="0" fillId="0" borderId="7" xfId="0" applyNumberFormat="1" applyBorder="1" applyAlignment="1">
      <alignment horizontal="center" vertical="center"/>
    </xf>
    <xf numFmtId="43" fontId="3" fillId="13" borderId="4" xfId="0" applyNumberFormat="1" applyFont="1" applyFill="1" applyBorder="1" applyAlignment="1">
      <alignment horizontal="center" vertical="center"/>
    </xf>
    <xf numFmtId="168" fontId="3" fillId="13" borderId="8" xfId="0" applyNumberFormat="1" applyFont="1" applyFill="1" applyBorder="1" applyAlignment="1">
      <alignment horizontal="center" vertical="center"/>
    </xf>
    <xf numFmtId="168" fontId="3" fillId="13" borderId="9" xfId="0" applyNumberFormat="1" applyFont="1" applyFill="1" applyBorder="1" applyAlignment="1">
      <alignment horizontal="center" vertical="center"/>
    </xf>
    <xf numFmtId="43" fontId="3" fillId="13" borderId="64" xfId="0" applyNumberFormat="1" applyFont="1" applyFill="1" applyBorder="1" applyAlignment="1">
      <alignment vertical="center"/>
    </xf>
    <xf numFmtId="0" fontId="28" fillId="5" borderId="35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8" fillId="5" borderId="58" xfId="0" applyFont="1" applyFill="1" applyBorder="1" applyAlignment="1">
      <alignment horizontal="center" vertical="center"/>
    </xf>
    <xf numFmtId="0" fontId="26" fillId="5" borderId="65" xfId="0" applyFont="1" applyFill="1" applyBorder="1" applyAlignment="1">
      <alignment horizontal="center" vertical="center"/>
    </xf>
    <xf numFmtId="2" fontId="25" fillId="0" borderId="66" xfId="0" applyNumberFormat="1" applyFont="1" applyBorder="1" applyAlignment="1">
      <alignment horizontal="center" vertical="center" wrapText="1"/>
    </xf>
    <xf numFmtId="2" fontId="25" fillId="0" borderId="67" xfId="0" applyNumberFormat="1" applyFont="1" applyBorder="1" applyAlignment="1">
      <alignment horizontal="center" vertical="center" wrapText="1"/>
    </xf>
    <xf numFmtId="2" fontId="25" fillId="0" borderId="68" xfId="0" applyNumberFormat="1" applyFont="1" applyBorder="1" applyAlignment="1">
      <alignment horizontal="center" vertical="center" wrapText="1"/>
    </xf>
    <xf numFmtId="0" fontId="29" fillId="0" borderId="60" xfId="0" applyFont="1" applyBorder="1" applyAlignment="1">
      <alignment vertical="center"/>
    </xf>
    <xf numFmtId="17" fontId="41" fillId="0" borderId="41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59" xfId="0" applyFont="1" applyBorder="1" applyAlignment="1">
      <alignment horizontal="center" vertical="center"/>
    </xf>
    <xf numFmtId="17" fontId="41" fillId="0" borderId="40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2" fontId="27" fillId="0" borderId="20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 wrapText="1"/>
    </xf>
    <xf numFmtId="17" fontId="41" fillId="0" borderId="6" xfId="0" applyNumberFormat="1" applyFont="1" applyBorder="1" applyAlignment="1">
      <alignment horizontal="center" vertical="center" wrapText="1"/>
    </xf>
    <xf numFmtId="17" fontId="41" fillId="0" borderId="40" xfId="1" applyNumberFormat="1" applyFont="1" applyBorder="1" applyAlignment="1">
      <alignment horizontal="center" vertical="center" wrapText="1"/>
    </xf>
    <xf numFmtId="0" fontId="41" fillId="0" borderId="1" xfId="1" applyFont="1" applyBorder="1" applyAlignment="1">
      <alignment horizontal="center" vertical="center" wrapText="1"/>
    </xf>
    <xf numFmtId="17" fontId="41" fillId="0" borderId="69" xfId="1" applyNumberFormat="1" applyFont="1" applyBorder="1" applyAlignment="1">
      <alignment horizontal="center" vertical="center" wrapText="1"/>
    </xf>
    <xf numFmtId="0" fontId="41" fillId="0" borderId="12" xfId="1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/>
    </xf>
    <xf numFmtId="17" fontId="41" fillId="0" borderId="6" xfId="1" applyNumberFormat="1" applyFont="1" applyBorder="1" applyAlignment="1">
      <alignment horizontal="center" vertical="center" wrapText="1"/>
    </xf>
    <xf numFmtId="169" fontId="4" fillId="0" borderId="1" xfId="0" applyNumberFormat="1" applyFont="1" applyBorder="1" applyAlignment="1">
      <alignment horizontal="center" vertical="center"/>
    </xf>
    <xf numFmtId="17" fontId="41" fillId="0" borderId="10" xfId="1" applyNumberFormat="1" applyFont="1" applyBorder="1" applyAlignment="1">
      <alignment horizontal="center" vertical="center" wrapText="1"/>
    </xf>
    <xf numFmtId="169" fontId="4" fillId="0" borderId="8" xfId="0" applyNumberFormat="1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22" xfId="0" applyBorder="1" applyAlignment="1">
      <alignment vertical="center"/>
    </xf>
    <xf numFmtId="0" fontId="4" fillId="0" borderId="22" xfId="0" applyFont="1" applyBorder="1" applyAlignment="1">
      <alignment vertical="center"/>
    </xf>
    <xf numFmtId="4" fontId="27" fillId="0" borderId="24" xfId="0" applyNumberFormat="1" applyFont="1" applyBorder="1" applyAlignment="1">
      <alignment vertical="center"/>
    </xf>
    <xf numFmtId="4" fontId="0" fillId="0" borderId="24" xfId="0" applyNumberFormat="1" applyBorder="1" applyAlignment="1">
      <alignment vertical="center"/>
    </xf>
    <xf numFmtId="0" fontId="4" fillId="0" borderId="23" xfId="0" applyFont="1" applyBorder="1" applyAlignment="1">
      <alignment vertical="center"/>
    </xf>
    <xf numFmtId="4" fontId="0" fillId="0" borderId="25" xfId="0" applyNumberFormat="1" applyBorder="1" applyAlignment="1">
      <alignment vertical="center"/>
    </xf>
    <xf numFmtId="43" fontId="3" fillId="0" borderId="0" xfId="0" applyNumberFormat="1" applyFont="1" applyAlignment="1">
      <alignment vertical="center"/>
    </xf>
    <xf numFmtId="3" fontId="3" fillId="21" borderId="1" xfId="0" applyNumberFormat="1" applyFont="1" applyFill="1" applyBorder="1" applyAlignment="1">
      <alignment horizontal="right" vertical="center"/>
    </xf>
    <xf numFmtId="4" fontId="3" fillId="21" borderId="1" xfId="0" applyNumberFormat="1" applyFont="1" applyFill="1" applyBorder="1" applyAlignment="1">
      <alignment horizontal="right" vertical="center"/>
    </xf>
    <xf numFmtId="3" fontId="3" fillId="21" borderId="11" xfId="0" applyNumberFormat="1" applyFont="1" applyFill="1" applyBorder="1" applyAlignment="1">
      <alignment horizontal="right" vertical="center"/>
    </xf>
    <xf numFmtId="170" fontId="3" fillId="0" borderId="0" xfId="0" applyNumberFormat="1" applyFont="1" applyAlignment="1">
      <alignment horizontal="left" vertical="center"/>
    </xf>
    <xf numFmtId="0" fontId="20" fillId="16" borderId="1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/>
    </xf>
    <xf numFmtId="0" fontId="17" fillId="0" borderId="70" xfId="0" applyFont="1" applyBorder="1" applyAlignment="1">
      <alignment horizontal="left" vertical="center"/>
    </xf>
    <xf numFmtId="0" fontId="20" fillId="16" borderId="20" xfId="0" applyFont="1" applyFill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0" fillId="4" borderId="64" xfId="0" applyFill="1" applyBorder="1"/>
    <xf numFmtId="0" fontId="0" fillId="4" borderId="0" xfId="0" applyFill="1"/>
    <xf numFmtId="0" fontId="0" fillId="4" borderId="71" xfId="0" applyFill="1" applyBorder="1"/>
    <xf numFmtId="0" fontId="30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 wrapText="1"/>
    </xf>
    <xf numFmtId="0" fontId="0" fillId="4" borderId="59" xfId="0" applyFill="1" applyBorder="1"/>
    <xf numFmtId="0" fontId="0" fillId="4" borderId="42" xfId="0" applyFill="1" applyBorder="1"/>
    <xf numFmtId="166" fontId="0" fillId="0" borderId="0" xfId="0" applyNumberFormat="1" applyAlignment="1">
      <alignment vertical="center"/>
    </xf>
    <xf numFmtId="0" fontId="3" fillId="17" borderId="16" xfId="0" applyFont="1" applyFill="1" applyBorder="1" applyAlignment="1">
      <alignment vertical="center"/>
    </xf>
    <xf numFmtId="4" fontId="0" fillId="4" borderId="4" xfId="0" applyNumberFormat="1" applyFill="1" applyBorder="1" applyAlignment="1">
      <alignment horizontal="center" vertical="center"/>
    </xf>
    <xf numFmtId="4" fontId="0" fillId="4" borderId="9" xfId="0" applyNumberFormat="1" applyFill="1" applyBorder="1" applyAlignment="1">
      <alignment horizontal="center" vertical="center"/>
    </xf>
    <xf numFmtId="4" fontId="0" fillId="4" borderId="7" xfId="0" applyNumberFormat="1" applyFill="1" applyBorder="1" applyAlignment="1">
      <alignment horizontal="center" vertical="center"/>
    </xf>
    <xf numFmtId="0" fontId="6" fillId="16" borderId="11" xfId="0" applyFont="1" applyFill="1" applyBorder="1" applyAlignment="1">
      <alignment horizontal="left" vertical="center"/>
    </xf>
    <xf numFmtId="0" fontId="3" fillId="17" borderId="0" xfId="0" applyFont="1" applyFill="1" applyAlignment="1">
      <alignment vertical="center"/>
    </xf>
    <xf numFmtId="0" fontId="3" fillId="17" borderId="54" xfId="0" applyFont="1" applyFill="1" applyBorder="1" applyAlignment="1">
      <alignment vertical="center"/>
    </xf>
    <xf numFmtId="0" fontId="3" fillId="3" borderId="47" xfId="0" applyFont="1" applyFill="1" applyBorder="1" applyAlignment="1">
      <alignment horizontal="center" vertical="center"/>
    </xf>
    <xf numFmtId="164" fontId="9" fillId="0" borderId="7" xfId="5" applyFont="1" applyBorder="1" applyAlignment="1">
      <alignment vertical="center"/>
    </xf>
    <xf numFmtId="164" fontId="11" fillId="0" borderId="57" xfId="5" applyFont="1" applyBorder="1" applyAlignment="1">
      <alignment vertical="center"/>
    </xf>
    <xf numFmtId="0" fontId="0" fillId="0" borderId="47" xfId="0" applyBorder="1" applyAlignment="1">
      <alignment vertical="center"/>
    </xf>
    <xf numFmtId="164" fontId="11" fillId="0" borderId="72" xfId="5" applyFont="1" applyBorder="1" applyAlignment="1">
      <alignment vertical="center"/>
    </xf>
    <xf numFmtId="0" fontId="3" fillId="17" borderId="73" xfId="0" applyFont="1" applyFill="1" applyBorder="1" applyAlignment="1">
      <alignment vertical="center"/>
    </xf>
    <xf numFmtId="164" fontId="9" fillId="0" borderId="62" xfId="5" applyFont="1" applyBorder="1" applyAlignment="1">
      <alignment vertical="center"/>
    </xf>
    <xf numFmtId="0" fontId="6" fillId="16" borderId="52" xfId="0" applyFont="1" applyFill="1" applyBorder="1" applyAlignment="1">
      <alignment horizontal="left" vertical="center"/>
    </xf>
    <xf numFmtId="164" fontId="9" fillId="0" borderId="19" xfId="5" applyFont="1" applyBorder="1" applyAlignment="1">
      <alignment vertical="center"/>
    </xf>
    <xf numFmtId="164" fontId="9" fillId="0" borderId="19" xfId="5" applyFont="1" applyFill="1" applyBorder="1" applyAlignment="1">
      <alignment vertical="center"/>
    </xf>
    <xf numFmtId="0" fontId="3" fillId="16" borderId="38" xfId="0" applyFont="1" applyFill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0" fontId="3" fillId="3" borderId="37" xfId="0" applyFont="1" applyFill="1" applyBorder="1" applyAlignment="1">
      <alignment vertical="center"/>
    </xf>
    <xf numFmtId="0" fontId="3" fillId="3" borderId="38" xfId="0" applyFont="1" applyFill="1" applyBorder="1" applyAlignment="1">
      <alignment vertical="center"/>
    </xf>
    <xf numFmtId="0" fontId="20" fillId="3" borderId="1" xfId="2" applyFont="1" applyFill="1" applyBorder="1" applyAlignment="1">
      <alignment horizontal="center" vertical="center"/>
    </xf>
    <xf numFmtId="0" fontId="20" fillId="3" borderId="1" xfId="2" applyFont="1" applyFill="1" applyBorder="1" applyAlignment="1">
      <alignment horizontal="center" vertical="center" wrapText="1"/>
    </xf>
    <xf numFmtId="0" fontId="4" fillId="0" borderId="0" xfId="2"/>
    <xf numFmtId="0" fontId="42" fillId="22" borderId="1" xfId="2" applyFont="1" applyFill="1" applyBorder="1" applyAlignment="1">
      <alignment horizontal="left" vertical="center"/>
    </xf>
    <xf numFmtId="0" fontId="4" fillId="0" borderId="1" xfId="2" applyBorder="1" applyAlignment="1">
      <alignment horizontal="left" vertical="center" wrapText="1"/>
    </xf>
    <xf numFmtId="0" fontId="42" fillId="23" borderId="1" xfId="2" applyFont="1" applyFill="1" applyBorder="1" applyAlignment="1">
      <alignment horizontal="left" vertical="center"/>
    </xf>
    <xf numFmtId="0" fontId="4" fillId="20" borderId="1" xfId="2" applyFill="1" applyBorder="1" applyAlignment="1">
      <alignment horizontal="left" vertical="center"/>
    </xf>
    <xf numFmtId="0" fontId="4" fillId="7" borderId="1" xfId="2" applyFill="1" applyBorder="1" applyAlignment="1">
      <alignment horizontal="left" vertical="center"/>
    </xf>
    <xf numFmtId="0" fontId="4" fillId="7" borderId="1" xfId="2" applyFill="1" applyBorder="1" applyAlignment="1">
      <alignment horizontal="left" vertical="center" wrapText="1"/>
    </xf>
    <xf numFmtId="0" fontId="4" fillId="17" borderId="1" xfId="2" applyFill="1" applyBorder="1" applyAlignment="1">
      <alignment horizontal="left" vertical="center"/>
    </xf>
    <xf numFmtId="0" fontId="4" fillId="0" borderId="0" xfId="2" applyAlignment="1">
      <alignment horizontal="left" vertical="center"/>
    </xf>
    <xf numFmtId="0" fontId="4" fillId="0" borderId="0" xfId="2" applyAlignment="1">
      <alignment horizontal="left" vertical="center" wrapText="1"/>
    </xf>
    <xf numFmtId="0" fontId="20" fillId="16" borderId="21" xfId="2" applyFont="1" applyFill="1" applyBorder="1" applyAlignment="1">
      <alignment horizontal="left" vertical="center"/>
    </xf>
    <xf numFmtId="0" fontId="6" fillId="16" borderId="37" xfId="2" applyFont="1" applyFill="1" applyBorder="1" applyAlignment="1">
      <alignment horizontal="center" vertical="center" wrapText="1"/>
    </xf>
    <xf numFmtId="0" fontId="6" fillId="16" borderId="37" xfId="2" applyFont="1" applyFill="1" applyBorder="1" applyAlignment="1">
      <alignment horizontal="center" vertical="center"/>
    </xf>
    <xf numFmtId="0" fontId="4" fillId="0" borderId="0" xfId="2" applyAlignment="1">
      <alignment vertical="center"/>
    </xf>
    <xf numFmtId="0" fontId="3" fillId="17" borderId="21" xfId="2" applyFont="1" applyFill="1" applyBorder="1" applyAlignment="1">
      <alignment vertical="center"/>
    </xf>
    <xf numFmtId="0" fontId="3" fillId="17" borderId="37" xfId="2" applyFont="1" applyFill="1" applyBorder="1" applyAlignment="1">
      <alignment vertical="center"/>
    </xf>
    <xf numFmtId="0" fontId="4" fillId="17" borderId="37" xfId="2" applyFill="1" applyBorder="1" applyAlignment="1">
      <alignment vertical="center"/>
    </xf>
    <xf numFmtId="0" fontId="4" fillId="17" borderId="38" xfId="2" applyFill="1" applyBorder="1" applyAlignment="1">
      <alignment vertical="center"/>
    </xf>
    <xf numFmtId="0" fontId="3" fillId="5" borderId="12" xfId="2" applyFont="1" applyFill="1" applyBorder="1" applyAlignment="1">
      <alignment horizontal="center" vertical="center"/>
    </xf>
    <xf numFmtId="0" fontId="39" fillId="5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 wrapText="1"/>
    </xf>
    <xf numFmtId="0" fontId="39" fillId="0" borderId="64" xfId="2" applyFont="1" applyBorder="1" applyAlignment="1">
      <alignment horizontal="center" vertical="center" wrapText="1"/>
    </xf>
    <xf numFmtId="0" fontId="37" fillId="0" borderId="1" xfId="2" applyFont="1" applyBorder="1" applyAlignment="1">
      <alignment horizontal="center" vertical="center"/>
    </xf>
    <xf numFmtId="43" fontId="4" fillId="0" borderId="1" xfId="2" applyNumberFormat="1" applyBorder="1" applyAlignment="1">
      <alignment vertical="center"/>
    </xf>
    <xf numFmtId="43" fontId="4" fillId="0" borderId="64" xfId="2" applyNumberFormat="1" applyBorder="1" applyAlignment="1">
      <alignment vertical="center"/>
    </xf>
    <xf numFmtId="0" fontId="3" fillId="13" borderId="1" xfId="2" applyFont="1" applyFill="1" applyBorder="1" applyAlignment="1">
      <alignment horizontal="center" vertical="center"/>
    </xf>
    <xf numFmtId="43" fontId="3" fillId="13" borderId="1" xfId="2" applyNumberFormat="1" applyFont="1" applyFill="1" applyBorder="1" applyAlignment="1">
      <alignment horizontal="center" vertical="center"/>
    </xf>
    <xf numFmtId="43" fontId="3" fillId="13" borderId="64" xfId="2" applyNumberFormat="1" applyFont="1" applyFill="1" applyBorder="1" applyAlignment="1">
      <alignment vertical="center"/>
    </xf>
    <xf numFmtId="0" fontId="29" fillId="0" borderId="0" xfId="2" applyFont="1" applyAlignment="1">
      <alignment vertical="center"/>
    </xf>
    <xf numFmtId="43" fontId="4" fillId="0" borderId="0" xfId="2" applyNumberFormat="1" applyAlignment="1">
      <alignment vertical="center"/>
    </xf>
    <xf numFmtId="0" fontId="3" fillId="21" borderId="21" xfId="2" applyFont="1" applyFill="1" applyBorder="1" applyAlignment="1">
      <alignment vertical="center"/>
    </xf>
    <xf numFmtId="0" fontId="3" fillId="21" borderId="37" xfId="2" applyFont="1" applyFill="1" applyBorder="1" applyAlignment="1">
      <alignment vertical="center"/>
    </xf>
    <xf numFmtId="0" fontId="4" fillId="21" borderId="37" xfId="2" applyFill="1" applyBorder="1" applyAlignment="1">
      <alignment vertical="center"/>
    </xf>
    <xf numFmtId="0" fontId="4" fillId="21" borderId="38" xfId="2" applyFill="1" applyBorder="1" applyAlignment="1">
      <alignment vertical="center"/>
    </xf>
    <xf numFmtId="0" fontId="39" fillId="0" borderId="0" xfId="2" applyFont="1" applyAlignment="1">
      <alignment horizontal="center" vertical="center" wrapText="1"/>
    </xf>
    <xf numFmtId="2" fontId="4" fillId="0" borderId="1" xfId="2" applyNumberFormat="1" applyBorder="1" applyAlignment="1">
      <alignment horizontal="center"/>
    </xf>
    <xf numFmtId="43" fontId="3" fillId="0" borderId="0" xfId="2" applyNumberFormat="1" applyFont="1" applyAlignment="1">
      <alignment vertical="center"/>
    </xf>
    <xf numFmtId="0" fontId="4" fillId="0" borderId="64" xfId="2" applyBorder="1" applyAlignment="1">
      <alignment vertical="center"/>
    </xf>
    <xf numFmtId="172" fontId="4" fillId="0" borderId="1" xfId="2" applyNumberFormat="1" applyBorder="1"/>
    <xf numFmtId="43" fontId="3" fillId="13" borderId="1" xfId="2" applyNumberFormat="1" applyFont="1" applyFill="1" applyBorder="1" applyAlignment="1">
      <alignment vertical="center"/>
    </xf>
    <xf numFmtId="0" fontId="3" fillId="0" borderId="21" xfId="2" applyFont="1" applyBorder="1" applyAlignment="1">
      <alignment vertical="center"/>
    </xf>
    <xf numFmtId="0" fontId="38" fillId="0" borderId="0" xfId="3"/>
    <xf numFmtId="2" fontId="0" fillId="0" borderId="33" xfId="0" applyNumberFormat="1" applyBorder="1" applyAlignment="1">
      <alignment horizontal="left" vertical="center"/>
    </xf>
    <xf numFmtId="0" fontId="0" fillId="10" borderId="0" xfId="0" applyFill="1" applyAlignment="1">
      <alignment horizontal="left" vertical="top"/>
    </xf>
    <xf numFmtId="9" fontId="4" fillId="19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2" fillId="24" borderId="0" xfId="6"/>
    <xf numFmtId="0" fontId="52" fillId="5" borderId="0" xfId="6" applyFill="1"/>
    <xf numFmtId="14" fontId="52" fillId="5" borderId="0" xfId="6" applyNumberFormat="1" applyFill="1"/>
    <xf numFmtId="17" fontId="53" fillId="19" borderId="0" xfId="7" applyNumberFormat="1" applyAlignment="1">
      <alignment horizontal="center" vertical="center" wrapText="1"/>
    </xf>
    <xf numFmtId="0" fontId="53" fillId="19" borderId="0" xfId="7" applyNumberFormat="1" applyAlignment="1">
      <alignment horizontal="center"/>
    </xf>
    <xf numFmtId="10" fontId="0" fillId="0" borderId="0" xfId="4" applyNumberFormat="1" applyFont="1" applyAlignment="1">
      <alignment horizontal="center"/>
    </xf>
    <xf numFmtId="2" fontId="0" fillId="0" borderId="0" xfId="4" applyNumberFormat="1" applyFont="1" applyAlignment="1">
      <alignment horizontal="center"/>
    </xf>
    <xf numFmtId="174" fontId="0" fillId="0" borderId="0" xfId="0" applyNumberFormat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43" fontId="3" fillId="13" borderId="0" xfId="0" applyNumberFormat="1" applyFont="1" applyFill="1" applyAlignment="1">
      <alignment horizontal="center" vertical="center"/>
    </xf>
    <xf numFmtId="175" fontId="37" fillId="0" borderId="0" xfId="1" applyNumberFormat="1"/>
    <xf numFmtId="176" fontId="37" fillId="0" borderId="0" xfId="1" applyNumberFormat="1"/>
    <xf numFmtId="17" fontId="47" fillId="0" borderId="0" xfId="0" applyNumberFormat="1" applyFont="1" applyAlignment="1">
      <alignment horizontal="center" vertical="center" wrapText="1"/>
    </xf>
    <xf numFmtId="17" fontId="47" fillId="0" borderId="0" xfId="1" applyNumberFormat="1" applyFont="1" applyAlignment="1">
      <alignment horizontal="center" vertical="center" wrapText="1"/>
    </xf>
    <xf numFmtId="9" fontId="0" fillId="0" borderId="2" xfId="0" applyNumberFormat="1" applyBorder="1" applyAlignment="1">
      <alignment vertical="center"/>
    </xf>
    <xf numFmtId="0" fontId="0" fillId="0" borderId="0" xfId="2" applyFont="1" applyAlignment="1">
      <alignment vertical="center"/>
    </xf>
    <xf numFmtId="0" fontId="0" fillId="21" borderId="37" xfId="2" applyFont="1" applyFill="1" applyBorder="1" applyAlignment="1">
      <alignment vertical="center"/>
    </xf>
    <xf numFmtId="0" fontId="0" fillId="21" borderId="38" xfId="2" applyFont="1" applyFill="1" applyBorder="1" applyAlignment="1">
      <alignment vertical="center"/>
    </xf>
    <xf numFmtId="43" fontId="0" fillId="0" borderId="1" xfId="2" applyNumberFormat="1" applyFont="1" applyBorder="1" applyAlignment="1">
      <alignment vertical="center"/>
    </xf>
    <xf numFmtId="43" fontId="0" fillId="0" borderId="0" xfId="2" applyNumberFormat="1" applyFont="1" applyAlignment="1">
      <alignment vertical="center"/>
    </xf>
    <xf numFmtId="0" fontId="0" fillId="17" borderId="37" xfId="2" applyFont="1" applyFill="1" applyBorder="1" applyAlignment="1">
      <alignment vertical="center"/>
    </xf>
    <xf numFmtId="0" fontId="0" fillId="17" borderId="38" xfId="2" applyFont="1" applyFill="1" applyBorder="1" applyAlignment="1">
      <alignment vertical="center"/>
    </xf>
    <xf numFmtId="9" fontId="42" fillId="0" borderId="0" xfId="4" applyFont="1" applyAlignment="1">
      <alignment vertical="center"/>
    </xf>
    <xf numFmtId="2" fontId="0" fillId="0" borderId="0" xfId="0" applyNumberFormat="1" applyAlignment="1">
      <alignment vertical="center"/>
    </xf>
    <xf numFmtId="2" fontId="27" fillId="0" borderId="2" xfId="0" applyNumberFormat="1" applyFont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9" fontId="2" fillId="19" borderId="2" xfId="4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165" fontId="0" fillId="0" borderId="0" xfId="0" applyNumberFormat="1"/>
    <xf numFmtId="2" fontId="0" fillId="0" borderId="0" xfId="0" applyNumberFormat="1"/>
    <xf numFmtId="43" fontId="0" fillId="0" borderId="0" xfId="0" applyNumberFormat="1"/>
    <xf numFmtId="0" fontId="57" fillId="0" borderId="0" xfId="0" applyFont="1"/>
    <xf numFmtId="0" fontId="58" fillId="0" borderId="0" xfId="0" applyFont="1"/>
    <xf numFmtId="164" fontId="59" fillId="0" borderId="0" xfId="5" applyFont="1"/>
    <xf numFmtId="0" fontId="50" fillId="15" borderId="0" xfId="0" applyFont="1" applyFill="1" applyAlignment="1">
      <alignment vertical="center"/>
    </xf>
    <xf numFmtId="164" fontId="8" fillId="0" borderId="0" xfId="5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4" fontId="0" fillId="4" borderId="12" xfId="0" applyNumberForma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77" fontId="4" fillId="0" borderId="1" xfId="5" applyNumberFormat="1" applyFont="1" applyBorder="1" applyAlignment="1">
      <alignment vertical="center"/>
    </xf>
    <xf numFmtId="3" fontId="0" fillId="4" borderId="1" xfId="0" applyNumberFormat="1" applyFill="1" applyBorder="1" applyAlignment="1">
      <alignment horizontal="center" vertical="center"/>
    </xf>
    <xf numFmtId="167" fontId="11" fillId="0" borderId="8" xfId="5" applyNumberFormat="1" applyFont="1" applyBorder="1" applyAlignment="1">
      <alignment vertical="center"/>
    </xf>
    <xf numFmtId="164" fontId="8" fillId="0" borderId="30" xfId="5" applyFont="1" applyBorder="1" applyAlignment="1">
      <alignment vertical="center"/>
    </xf>
    <xf numFmtId="1" fontId="41" fillId="0" borderId="0" xfId="0" applyNumberFormat="1" applyFont="1" applyAlignment="1">
      <alignment horizontal="center" vertical="center"/>
    </xf>
    <xf numFmtId="167" fontId="11" fillId="0" borderId="9" xfId="5" applyNumberFormat="1" applyFont="1" applyBorder="1" applyAlignment="1">
      <alignment vertical="center"/>
    </xf>
    <xf numFmtId="177" fontId="9" fillId="0" borderId="0" xfId="5" applyNumberFormat="1" applyFont="1" applyAlignment="1">
      <alignment vertical="center"/>
    </xf>
    <xf numFmtId="167" fontId="0" fillId="0" borderId="0" xfId="5" applyNumberFormat="1" applyFont="1" applyAlignment="1">
      <alignment vertical="center"/>
    </xf>
    <xf numFmtId="4" fontId="2" fillId="19" borderId="20" xfId="0" applyNumberFormat="1" applyFont="1" applyFill="1" applyBorder="1" applyAlignment="1" applyProtection="1">
      <alignment horizontal="centerContinuous" vertical="center"/>
      <protection locked="0"/>
    </xf>
    <xf numFmtId="4" fontId="2" fillId="19" borderId="57" xfId="0" applyNumberFormat="1" applyFont="1" applyFill="1" applyBorder="1" applyAlignment="1" applyProtection="1">
      <alignment horizontal="centerContinuous" vertical="center"/>
      <protection locked="0"/>
    </xf>
    <xf numFmtId="0" fontId="2" fillId="0" borderId="1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0" fillId="16" borderId="3" xfId="0" applyFont="1" applyFill="1" applyBorder="1" applyAlignment="1">
      <alignment horizontal="center" vertical="center"/>
    </xf>
    <xf numFmtId="164" fontId="0" fillId="0" borderId="0" xfId="5" applyFont="1" applyAlignment="1">
      <alignment horizontal="right" vertical="center"/>
    </xf>
    <xf numFmtId="0" fontId="2" fillId="0" borderId="0" xfId="0" applyFont="1" applyAlignment="1">
      <alignment vertical="center"/>
    </xf>
    <xf numFmtId="178" fontId="8" fillId="0" borderId="0" xfId="5" applyNumberFormat="1" applyFont="1" applyBorder="1" applyAlignment="1">
      <alignment vertical="center"/>
    </xf>
    <xf numFmtId="0" fontId="60" fillId="0" borderId="0" xfId="12" applyAlignment="1">
      <alignment horizontal="justify" vertical="center"/>
    </xf>
    <xf numFmtId="0" fontId="44" fillId="24" borderId="0" xfId="6" applyFont="1"/>
    <xf numFmtId="0" fontId="44" fillId="5" borderId="0" xfId="6" applyFont="1" applyFill="1"/>
    <xf numFmtId="0" fontId="2" fillId="5" borderId="0" xfId="0" applyFont="1" applyFill="1"/>
    <xf numFmtId="14" fontId="44" fillId="5" borderId="0" xfId="6" applyNumberFormat="1" applyFont="1" applyFill="1"/>
    <xf numFmtId="0" fontId="41" fillId="0" borderId="0" xfId="1" applyFont="1"/>
    <xf numFmtId="0" fontId="2" fillId="0" borderId="0" xfId="0" applyFont="1"/>
    <xf numFmtId="17" fontId="61" fillId="19" borderId="0" xfId="7" applyNumberFormat="1" applyFont="1" applyAlignment="1">
      <alignment horizontal="center" vertical="center" wrapText="1"/>
    </xf>
    <xf numFmtId="0" fontId="61" fillId="19" borderId="0" xfId="7" applyNumberFormat="1" applyFont="1" applyAlignment="1">
      <alignment horizontal="center"/>
    </xf>
    <xf numFmtId="173" fontId="61" fillId="19" borderId="0" xfId="5" applyNumberFormat="1" applyFont="1" applyFill="1" applyAlignment="1">
      <alignment horizontal="center"/>
    </xf>
    <xf numFmtId="10" fontId="2" fillId="0" borderId="0" xfId="4" applyNumberFormat="1" applyFont="1" applyAlignment="1">
      <alignment horizontal="center"/>
    </xf>
    <xf numFmtId="2" fontId="2" fillId="0" borderId="0" xfId="4" applyNumberFormat="1" applyFont="1" applyAlignment="1">
      <alignment horizontal="center"/>
    </xf>
    <xf numFmtId="174" fontId="2" fillId="0" borderId="0" xfId="0" applyNumberFormat="1" applyFont="1" applyAlignment="1">
      <alignment horizontal="center" vertical="center"/>
    </xf>
    <xf numFmtId="174" fontId="41" fillId="25" borderId="0" xfId="8" applyNumberFormat="1" applyFont="1" applyAlignment="1">
      <alignment horizontal="center" vertical="center"/>
    </xf>
    <xf numFmtId="0" fontId="62" fillId="5" borderId="1" xfId="0" applyFont="1" applyFill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76" fontId="63" fillId="0" borderId="0" xfId="1" applyNumberFormat="1" applyFont="1"/>
    <xf numFmtId="175" fontId="63" fillId="0" borderId="0" xfId="1" applyNumberFormat="1" applyFont="1"/>
    <xf numFmtId="176" fontId="62" fillId="0" borderId="0" xfId="1" applyNumberFormat="1" applyFont="1"/>
    <xf numFmtId="2" fontId="63" fillId="0" borderId="0" xfId="1" applyNumberFormat="1" applyFont="1"/>
    <xf numFmtId="0" fontId="3" fillId="0" borderId="0" xfId="0" applyFont="1" applyAlignment="1">
      <alignment vertical="top"/>
    </xf>
    <xf numFmtId="0" fontId="0" fillId="17" borderId="1" xfId="2" applyFont="1" applyFill="1" applyBorder="1" applyAlignment="1">
      <alignment horizontal="left" vertical="center"/>
    </xf>
    <xf numFmtId="3" fontId="0" fillId="0" borderId="0" xfId="0" applyNumberFormat="1" applyAlignment="1">
      <alignment vertical="center"/>
    </xf>
    <xf numFmtId="177" fontId="8" fillId="0" borderId="11" xfId="5" applyNumberFormat="1" applyFont="1" applyBorder="1" applyAlignment="1">
      <alignment vertical="center"/>
    </xf>
    <xf numFmtId="177" fontId="11" fillId="3" borderId="37" xfId="5" applyNumberFormat="1" applyFont="1" applyFill="1" applyBorder="1" applyAlignment="1">
      <alignment vertical="center"/>
    </xf>
    <xf numFmtId="164" fontId="41" fillId="0" borderId="0" xfId="5" applyFont="1" applyAlignment="1">
      <alignment horizontal="center" vertical="center"/>
    </xf>
    <xf numFmtId="0" fontId="37" fillId="0" borderId="0" xfId="14"/>
    <xf numFmtId="0" fontId="39" fillId="0" borderId="6" xfId="14" applyFont="1" applyBorder="1" applyAlignment="1">
      <alignment horizontal="center"/>
    </xf>
    <xf numFmtId="0" fontId="39" fillId="0" borderId="1" xfId="14" applyFont="1" applyBorder="1" applyAlignment="1">
      <alignment horizontal="center"/>
    </xf>
    <xf numFmtId="0" fontId="39" fillId="0" borderId="4" xfId="14" applyFont="1" applyBorder="1" applyAlignment="1">
      <alignment horizontal="center"/>
    </xf>
    <xf numFmtId="0" fontId="37" fillId="0" borderId="6" xfId="14" applyBorder="1" applyAlignment="1">
      <alignment horizontal="center"/>
    </xf>
    <xf numFmtId="4" fontId="37" fillId="0" borderId="1" xfId="14" applyNumberFormat="1" applyBorder="1" applyAlignment="1">
      <alignment horizontal="center"/>
    </xf>
    <xf numFmtId="2" fontId="37" fillId="0" borderId="1" xfId="14" applyNumberFormat="1" applyBorder="1" applyAlignment="1">
      <alignment horizontal="center"/>
    </xf>
    <xf numFmtId="0" fontId="37" fillId="0" borderId="1" xfId="14" applyBorder="1" applyAlignment="1">
      <alignment horizontal="center"/>
    </xf>
    <xf numFmtId="2" fontId="37" fillId="0" borderId="4" xfId="14" applyNumberFormat="1" applyBorder="1" applyAlignment="1">
      <alignment horizontal="center"/>
    </xf>
    <xf numFmtId="2" fontId="37" fillId="0" borderId="53" xfId="14" applyNumberFormat="1" applyBorder="1" applyAlignment="1">
      <alignment horizontal="center"/>
    </xf>
    <xf numFmtId="4" fontId="39" fillId="0" borderId="20" xfId="14" applyNumberFormat="1" applyFont="1" applyBorder="1" applyAlignment="1">
      <alignment horizontal="center"/>
    </xf>
    <xf numFmtId="4" fontId="39" fillId="0" borderId="50" xfId="14" applyNumberFormat="1" applyFont="1" applyBorder="1" applyAlignment="1">
      <alignment horizontal="center"/>
    </xf>
    <xf numFmtId="0" fontId="37" fillId="0" borderId="24" xfId="14" applyBorder="1"/>
    <xf numFmtId="0" fontId="39" fillId="0" borderId="10" xfId="14" applyFont="1" applyBorder="1" applyAlignment="1">
      <alignment horizontal="center"/>
    </xf>
    <xf numFmtId="4" fontId="39" fillId="0" borderId="57" xfId="14" applyNumberFormat="1" applyFont="1" applyBorder="1" applyAlignment="1">
      <alignment horizontal="center"/>
    </xf>
    <xf numFmtId="4" fontId="37" fillId="0" borderId="50" xfId="14" applyNumberFormat="1" applyBorder="1" applyAlignment="1">
      <alignment horizontal="center"/>
    </xf>
    <xf numFmtId="0" fontId="37" fillId="0" borderId="36" xfId="14" applyBorder="1"/>
    <xf numFmtId="0" fontId="65" fillId="0" borderId="36" xfId="14" applyFont="1" applyBorder="1" applyAlignment="1">
      <alignment horizontal="left"/>
    </xf>
    <xf numFmtId="0" fontId="37" fillId="0" borderId="25" xfId="14" applyBorder="1"/>
    <xf numFmtId="0" fontId="66" fillId="0" borderId="84" xfId="14" applyFont="1" applyBorder="1" applyAlignment="1">
      <alignment horizontal="left"/>
    </xf>
    <xf numFmtId="4" fontId="37" fillId="0" borderId="0" xfId="14" applyNumberFormat="1"/>
    <xf numFmtId="0" fontId="39" fillId="0" borderId="21" xfId="15" applyFont="1" applyBorder="1" applyAlignment="1">
      <alignment horizontal="centerContinuous"/>
    </xf>
    <xf numFmtId="0" fontId="37" fillId="0" borderId="37" xfId="15" applyBorder="1" applyAlignment="1">
      <alignment horizontal="centerContinuous"/>
    </xf>
    <xf numFmtId="0" fontId="37" fillId="0" borderId="38" xfId="15" applyBorder="1" applyAlignment="1">
      <alignment horizontal="centerContinuous"/>
    </xf>
    <xf numFmtId="0" fontId="37" fillId="0" borderId="0" xfId="15"/>
    <xf numFmtId="2" fontId="37" fillId="0" borderId="0" xfId="15" applyNumberFormat="1"/>
    <xf numFmtId="0" fontId="37" fillId="17" borderId="30" xfId="14" applyFill="1" applyBorder="1" applyAlignment="1">
      <alignment horizontal="center"/>
    </xf>
    <xf numFmtId="0" fontId="37" fillId="17" borderId="30" xfId="14" applyFill="1" applyBorder="1"/>
    <xf numFmtId="0" fontId="37" fillId="17" borderId="31" xfId="14" applyFill="1" applyBorder="1"/>
    <xf numFmtId="0" fontId="37" fillId="0" borderId="0" xfId="15" applyAlignment="1">
      <alignment horizontal="right"/>
    </xf>
    <xf numFmtId="174" fontId="37" fillId="0" borderId="0" xfId="15" applyNumberFormat="1" applyAlignment="1">
      <alignment horizontal="left"/>
    </xf>
    <xf numFmtId="0" fontId="37" fillId="17" borderId="22" xfId="14" applyFill="1" applyBorder="1"/>
    <xf numFmtId="3" fontId="67" fillId="0" borderId="0" xfId="14" applyNumberFormat="1" applyFont="1" applyAlignment="1">
      <alignment horizontal="right" vertical="center"/>
    </xf>
    <xf numFmtId="2" fontId="37" fillId="17" borderId="0" xfId="14" applyNumberFormat="1" applyFill="1"/>
    <xf numFmtId="0" fontId="37" fillId="17" borderId="0" xfId="14" applyFill="1"/>
    <xf numFmtId="0" fontId="39" fillId="0" borderId="0" xfId="15" applyFont="1" applyAlignment="1">
      <alignment horizontal="right"/>
    </xf>
    <xf numFmtId="3" fontId="37" fillId="0" borderId="0" xfId="15" quotePrefix="1" applyNumberFormat="1" applyAlignment="1">
      <alignment horizontal="left"/>
    </xf>
    <xf numFmtId="2" fontId="37" fillId="0" borderId="0" xfId="15" applyNumberFormat="1" applyAlignment="1">
      <alignment horizontal="left"/>
    </xf>
    <xf numFmtId="0" fontId="37" fillId="17" borderId="23" xfId="14" applyFill="1" applyBorder="1"/>
    <xf numFmtId="0" fontId="37" fillId="17" borderId="36" xfId="14" applyFill="1" applyBorder="1"/>
    <xf numFmtId="0" fontId="39" fillId="17" borderId="25" xfId="14" applyFont="1" applyFill="1" applyBorder="1"/>
    <xf numFmtId="3" fontId="37" fillId="0" borderId="0" xfId="15" applyNumberFormat="1" applyAlignment="1">
      <alignment horizontal="left"/>
    </xf>
    <xf numFmtId="2" fontId="37" fillId="0" borderId="0" xfId="14" applyNumberFormat="1"/>
    <xf numFmtId="0" fontId="2" fillId="4" borderId="24" xfId="0" applyFont="1" applyFill="1" applyBorder="1" applyAlignment="1">
      <alignment vertical="center"/>
    </xf>
    <xf numFmtId="3" fontId="68" fillId="0" borderId="0" xfId="0" applyNumberFormat="1" applyFont="1"/>
    <xf numFmtId="0" fontId="2" fillId="0" borderId="1" xfId="2" applyFont="1" applyBorder="1" applyAlignment="1">
      <alignment horizontal="left" vertical="center" wrapText="1"/>
    </xf>
    <xf numFmtId="179" fontId="18" fillId="19" borderId="9" xfId="4" applyNumberFormat="1" applyFont="1" applyFill="1" applyBorder="1" applyAlignment="1" applyProtection="1">
      <alignment horizontal="centerContinuous" vertical="center"/>
      <protection locked="0"/>
    </xf>
    <xf numFmtId="167" fontId="51" fillId="0" borderId="1" xfId="5" applyNumberFormat="1" applyFont="1" applyBorder="1" applyAlignment="1">
      <alignment horizontal="center" vertical="center"/>
    </xf>
    <xf numFmtId="177" fontId="51" fillId="0" borderId="1" xfId="5" applyNumberFormat="1" applyFont="1" applyBorder="1" applyAlignment="1">
      <alignment horizontal="center" vertical="center"/>
    </xf>
    <xf numFmtId="3" fontId="39" fillId="0" borderId="50" xfId="14" applyNumberFormat="1" applyFont="1" applyBorder="1"/>
    <xf numFmtId="180" fontId="37" fillId="17" borderId="24" xfId="4" applyNumberFormat="1" applyFont="1" applyFill="1" applyBorder="1"/>
    <xf numFmtId="177" fontId="0" fillId="0" borderId="1" xfId="5" applyNumberFormat="1" applyFont="1" applyBorder="1" applyAlignment="1">
      <alignment horizontal="center" vertical="center"/>
    </xf>
    <xf numFmtId="4" fontId="25" fillId="0" borderId="19" xfId="0" applyNumberFormat="1" applyFont="1" applyBorder="1" applyAlignment="1">
      <alignment horizontal="center"/>
    </xf>
    <xf numFmtId="4" fontId="25" fillId="0" borderId="4" xfId="0" applyNumberFormat="1" applyFont="1" applyBorder="1" applyAlignment="1">
      <alignment horizontal="center"/>
    </xf>
    <xf numFmtId="4" fontId="25" fillId="0" borderId="9" xfId="0" applyNumberFormat="1" applyFont="1" applyBorder="1" applyAlignment="1">
      <alignment horizontal="center"/>
    </xf>
    <xf numFmtId="4" fontId="25" fillId="0" borderId="7" xfId="0" applyNumberFormat="1" applyFont="1" applyBorder="1" applyAlignment="1">
      <alignment horizontal="center"/>
    </xf>
    <xf numFmtId="3" fontId="51" fillId="0" borderId="1" xfId="0" applyNumberFormat="1" applyFont="1" applyBorder="1" applyAlignment="1">
      <alignment horizontal="center" vertical="center"/>
    </xf>
    <xf numFmtId="3" fontId="6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0" fillId="15" borderId="0" xfId="0" applyFont="1" applyFill="1" applyAlignment="1">
      <alignment horizontal="center" vertical="center"/>
    </xf>
    <xf numFmtId="0" fontId="3" fillId="3" borderId="76" xfId="0" applyFont="1" applyFill="1" applyBorder="1" applyAlignment="1">
      <alignment horizontal="center" vertical="center"/>
    </xf>
    <xf numFmtId="164" fontId="59" fillId="0" borderId="0" xfId="5" applyFont="1" applyAlignment="1">
      <alignment horizontal="center"/>
    </xf>
    <xf numFmtId="164" fontId="8" fillId="0" borderId="0" xfId="5" applyFont="1" applyBorder="1" applyAlignment="1">
      <alignment horizontal="center" vertical="center"/>
    </xf>
    <xf numFmtId="164" fontId="59" fillId="0" borderId="0" xfId="5" applyFont="1" applyFill="1" applyBorder="1" applyAlignment="1">
      <alignment horizontal="center"/>
    </xf>
    <xf numFmtId="177" fontId="51" fillId="0" borderId="11" xfId="5" applyNumberFormat="1" applyFont="1" applyBorder="1" applyAlignment="1">
      <alignment horizontal="center" vertical="center"/>
    </xf>
    <xf numFmtId="177" fontId="69" fillId="3" borderId="76" xfId="5" applyNumberFormat="1" applyFont="1" applyFill="1" applyBorder="1" applyAlignment="1">
      <alignment horizontal="center" vertical="center"/>
    </xf>
    <xf numFmtId="177" fontId="51" fillId="0" borderId="11" xfId="5" applyNumberFormat="1" applyFont="1" applyFill="1" applyBorder="1" applyAlignment="1">
      <alignment horizontal="center" vertical="center"/>
    </xf>
    <xf numFmtId="181" fontId="37" fillId="0" borderId="0" xfId="14" applyNumberFormat="1"/>
    <xf numFmtId="167" fontId="4" fillId="0" borderId="0" xfId="5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1" fillId="4" borderId="64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1" fillId="4" borderId="71" xfId="0" applyFont="1" applyFill="1" applyBorder="1" applyAlignment="1">
      <alignment horizontal="center" vertical="center"/>
    </xf>
    <xf numFmtId="0" fontId="51" fillId="4" borderId="74" xfId="0" applyFont="1" applyFill="1" applyBorder="1" applyAlignment="1">
      <alignment horizontal="right"/>
    </xf>
    <xf numFmtId="0" fontId="30" fillId="4" borderId="0" xfId="0" applyFont="1" applyFill="1" applyAlignment="1">
      <alignment horizontal="center" vertical="center" wrapText="1"/>
    </xf>
    <xf numFmtId="0" fontId="30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 wrapText="1"/>
    </xf>
    <xf numFmtId="0" fontId="32" fillId="4" borderId="0" xfId="0" applyFont="1" applyFill="1" applyAlignment="1">
      <alignment horizontal="center" vertical="center"/>
    </xf>
    <xf numFmtId="171" fontId="33" fillId="4" borderId="0" xfId="0" applyNumberFormat="1" applyFont="1" applyFill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25" fillId="20" borderId="55" xfId="0" applyFont="1" applyFill="1" applyBorder="1" applyAlignment="1">
      <alignment horizontal="center" vertical="center"/>
    </xf>
    <xf numFmtId="0" fontId="25" fillId="20" borderId="75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17" borderId="50" xfId="0" applyFont="1" applyFill="1" applyBorder="1" applyAlignment="1">
      <alignment horizontal="left" vertical="center"/>
    </xf>
    <xf numFmtId="0" fontId="3" fillId="13" borderId="35" xfId="0" applyFont="1" applyFill="1" applyBorder="1" applyAlignment="1">
      <alignment horizontal="right" vertical="center"/>
    </xf>
    <xf numFmtId="0" fontId="3" fillId="13" borderId="15" xfId="0" applyFont="1" applyFill="1" applyBorder="1" applyAlignment="1">
      <alignment horizontal="right" vertical="center"/>
    </xf>
    <xf numFmtId="0" fontId="3" fillId="17" borderId="21" xfId="0" applyFont="1" applyFill="1" applyBorder="1" applyAlignment="1">
      <alignment horizontal="left" vertical="center"/>
    </xf>
    <xf numFmtId="0" fontId="3" fillId="17" borderId="37" xfId="0" applyFont="1" applyFill="1" applyBorder="1" applyAlignment="1">
      <alignment horizontal="left" vertical="center"/>
    </xf>
    <xf numFmtId="0" fontId="3" fillId="17" borderId="38" xfId="0" applyFont="1" applyFill="1" applyBorder="1" applyAlignment="1">
      <alignment horizontal="left" vertical="center"/>
    </xf>
    <xf numFmtId="0" fontId="3" fillId="5" borderId="55" xfId="0" applyFont="1" applyFill="1" applyBorder="1" applyAlignment="1">
      <alignment horizontal="center" vertical="center"/>
    </xf>
    <xf numFmtId="0" fontId="3" fillId="5" borderId="75" xfId="0" applyFont="1" applyFill="1" applyBorder="1" applyAlignment="1">
      <alignment horizontal="center" vertical="center"/>
    </xf>
    <xf numFmtId="0" fontId="3" fillId="13" borderId="21" xfId="0" applyFont="1" applyFill="1" applyBorder="1" applyAlignment="1">
      <alignment horizontal="right" vertical="center"/>
    </xf>
    <xf numFmtId="0" fontId="3" fillId="13" borderId="37" xfId="0" applyFont="1" applyFill="1" applyBorder="1" applyAlignment="1">
      <alignment horizontal="right" vertical="center"/>
    </xf>
    <xf numFmtId="0" fontId="3" fillId="13" borderId="76" xfId="0" applyFont="1" applyFill="1" applyBorder="1" applyAlignment="1">
      <alignment horizontal="right" vertical="center"/>
    </xf>
    <xf numFmtId="0" fontId="3" fillId="0" borderId="50" xfId="0" applyFont="1" applyBorder="1" applyAlignment="1">
      <alignment horizontal="center" vertical="center"/>
    </xf>
    <xf numFmtId="0" fontId="3" fillId="17" borderId="50" xfId="0" applyFont="1" applyFill="1" applyBorder="1" applyAlignment="1">
      <alignment horizontal="left" vertical="center" indent="2"/>
    </xf>
    <xf numFmtId="0" fontId="3" fillId="5" borderId="21" xfId="0" applyFont="1" applyFill="1" applyBorder="1" applyAlignment="1">
      <alignment horizontal="left" vertical="center"/>
    </xf>
    <xf numFmtId="0" fontId="3" fillId="5" borderId="37" xfId="0" applyFont="1" applyFill="1" applyBorder="1" applyAlignment="1">
      <alignment horizontal="left" vertical="center"/>
    </xf>
    <xf numFmtId="0" fontId="3" fillId="5" borderId="38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3" fillId="5" borderId="3" xfId="0" quotePrefix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5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32" xfId="0" quotePrefix="1" applyFont="1" applyFill="1" applyBorder="1" applyAlignment="1">
      <alignment horizontal="center" vertical="center"/>
    </xf>
    <xf numFmtId="0" fontId="3" fillId="5" borderId="77" xfId="0" quotePrefix="1" applyFont="1" applyFill="1" applyBorder="1" applyAlignment="1">
      <alignment horizontal="center" vertical="center"/>
    </xf>
    <xf numFmtId="0" fontId="3" fillId="5" borderId="52" xfId="0" quotePrefix="1" applyFont="1" applyFill="1" applyBorder="1" applyAlignment="1">
      <alignment horizontal="center" vertical="center"/>
    </xf>
    <xf numFmtId="0" fontId="3" fillId="5" borderId="19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77" xfId="0" applyFont="1" applyFill="1" applyBorder="1" applyAlignment="1">
      <alignment horizontal="center" vertical="center" wrapText="1"/>
    </xf>
    <xf numFmtId="0" fontId="3" fillId="5" borderId="61" xfId="0" applyFont="1" applyFill="1" applyBorder="1" applyAlignment="1">
      <alignment horizontal="center" vertical="center" wrapText="1"/>
    </xf>
    <xf numFmtId="0" fontId="37" fillId="0" borderId="0" xfId="14" applyAlignment="1">
      <alignment horizontal="center"/>
    </xf>
    <xf numFmtId="0" fontId="37" fillId="0" borderId="0" xfId="15" applyAlignment="1">
      <alignment horizontal="left" wrapText="1"/>
    </xf>
    <xf numFmtId="0" fontId="37" fillId="17" borderId="60" xfId="14" applyFill="1" applyBorder="1" applyAlignment="1">
      <alignment horizontal="center"/>
    </xf>
    <xf numFmtId="0" fontId="37" fillId="17" borderId="30" xfId="14" applyFill="1" applyBorder="1" applyAlignment="1">
      <alignment horizontal="center"/>
    </xf>
    <xf numFmtId="0" fontId="39" fillId="0" borderId="21" xfId="14" applyFont="1" applyBorder="1" applyAlignment="1">
      <alignment horizontal="center"/>
    </xf>
    <xf numFmtId="0" fontId="39" fillId="0" borderId="37" xfId="14" applyFont="1" applyBorder="1" applyAlignment="1">
      <alignment horizontal="center"/>
    </xf>
    <xf numFmtId="0" fontId="39" fillId="0" borderId="38" xfId="14" applyFont="1" applyBorder="1" applyAlignment="1">
      <alignment horizontal="center"/>
    </xf>
    <xf numFmtId="0" fontId="64" fillId="0" borderId="21" xfId="14" applyFont="1" applyBorder="1" applyAlignment="1">
      <alignment horizontal="center"/>
    </xf>
    <xf numFmtId="0" fontId="64" fillId="0" borderId="37" xfId="14" applyFont="1" applyBorder="1" applyAlignment="1">
      <alignment horizontal="center"/>
    </xf>
    <xf numFmtId="0" fontId="64" fillId="0" borderId="38" xfId="14" applyFont="1" applyBorder="1" applyAlignment="1">
      <alignment horizontal="center"/>
    </xf>
    <xf numFmtId="0" fontId="39" fillId="0" borderId="41" xfId="14" applyFont="1" applyBorder="1" applyAlignment="1">
      <alignment horizontal="center"/>
    </xf>
    <xf numFmtId="0" fontId="39" fillId="0" borderId="74" xfId="14" applyFont="1" applyBorder="1" applyAlignment="1">
      <alignment horizontal="center"/>
    </xf>
    <xf numFmtId="0" fontId="39" fillId="0" borderId="42" xfId="14" applyFont="1" applyBorder="1" applyAlignment="1">
      <alignment horizontal="center"/>
    </xf>
    <xf numFmtId="0" fontId="39" fillId="0" borderId="2" xfId="14" applyFont="1" applyBorder="1" applyAlignment="1">
      <alignment horizontal="center"/>
    </xf>
    <xf numFmtId="0" fontId="39" fillId="0" borderId="7" xfId="14" applyFon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distributed"/>
    </xf>
    <xf numFmtId="0" fontId="3" fillId="3" borderId="23" xfId="0" applyFont="1" applyFill="1" applyBorder="1" applyAlignment="1">
      <alignment horizontal="center" vertical="distributed"/>
    </xf>
    <xf numFmtId="0" fontId="3" fillId="3" borderId="32" xfId="0" applyFont="1" applyFill="1" applyBorder="1" applyAlignment="1">
      <alignment horizontal="center" vertical="center"/>
    </xf>
    <xf numFmtId="0" fontId="3" fillId="3" borderId="77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60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</cellXfs>
  <cellStyles count="16">
    <cellStyle name="Formula Diferente" xfId="8" xr:uid="{257CFF89-CA18-4649-B97C-5DEA5F2F7AA3}"/>
    <cellStyle name="Heading 1" xfId="6" xr:uid="{3B18249A-0F59-4B8C-80F6-C917BE8A0AD5}"/>
    <cellStyle name="Hiperlink" xfId="12" builtinId="8"/>
    <cellStyle name="Input (estilo)" xfId="7" xr:uid="{CA3E1E4C-CF43-4E44-AE57-5E05A6C06021}"/>
    <cellStyle name="Normal" xfId="0" builtinId="0"/>
    <cellStyle name="Normal 2" xfId="1" xr:uid="{6C2ADDE1-2AF5-46D9-83B7-4584F7BA4CC5}"/>
    <cellStyle name="Normal 3" xfId="2" xr:uid="{AB9113EE-1076-4D1F-9081-3A433D72E699}"/>
    <cellStyle name="Normal 3 2" xfId="3" xr:uid="{DA7E8370-BDA8-4EDE-BC54-2DE9A3C66623}"/>
    <cellStyle name="Normal 4" xfId="13" xr:uid="{215C0465-68FD-4592-934C-CD74BAC5BC68}"/>
    <cellStyle name="Normal 4 2" xfId="15" xr:uid="{3BC51DF2-6CA5-485F-8EC6-C3FD8B87C493}"/>
    <cellStyle name="Normal 5" xfId="14" xr:uid="{02AB6B1D-CD33-4E37-BDCD-BE02D10C300A}"/>
    <cellStyle name="Porcentagem" xfId="4" builtinId="5"/>
    <cellStyle name="Título 2 2" xfId="10" xr:uid="{C289974F-15E3-4ADA-A3CC-BAAD0C0E8DBC}"/>
    <cellStyle name="Título 5" xfId="9" xr:uid="{0ABF4814-F90F-4369-989C-178377F0B93B}"/>
    <cellStyle name="Título3 2" xfId="11" xr:uid="{159CF52A-A19D-4C24-B48A-D36BE7D18123}"/>
    <cellStyle name="Vírgula" xfId="5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Preço Médio Mensal (R$/Kg) - Banana Nanica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936946732152755E-2"/>
          <c:y val="0.10455250176180408"/>
          <c:w val="0.8958768136770936"/>
          <c:h val="0.71534883720930231"/>
        </c:manualLayout>
      </c:layout>
      <c:lineChart>
        <c:grouping val="standard"/>
        <c:varyColors val="0"/>
        <c:ser>
          <c:idx val="0"/>
          <c:order val="0"/>
          <c:tx>
            <c:v>2020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0.59</c:v>
              </c:pt>
              <c:pt idx="1">
                <c:v>0.75</c:v>
              </c:pt>
              <c:pt idx="2">
                <c:v>1.05</c:v>
              </c:pt>
              <c:pt idx="3">
                <c:v>0.57999999999999696</c:v>
              </c:pt>
              <c:pt idx="4">
                <c:v>0.45</c:v>
              </c:pt>
              <c:pt idx="5">
                <c:v>0.5</c:v>
              </c:pt>
              <c:pt idx="6">
                <c:v>0.85</c:v>
              </c:pt>
              <c:pt idx="7">
                <c:v>0.99</c:v>
              </c:pt>
              <c:pt idx="8">
                <c:v>1.28</c:v>
              </c:pt>
              <c:pt idx="9">
                <c:v>1.06</c:v>
              </c:pt>
              <c:pt idx="10">
                <c:v>1.62</c:v>
              </c:pt>
              <c:pt idx="11">
                <c:v>1.72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140-4D19-BE8B-B23BEF8D62D9}"/>
            </c:ext>
          </c:extLst>
        </c:ser>
        <c:ser>
          <c:idx val="1"/>
          <c:order val="1"/>
          <c:tx>
            <c:v>2021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1.52</c:v>
              </c:pt>
              <c:pt idx="1">
                <c:v>1.17</c:v>
              </c:pt>
              <c:pt idx="2">
                <c:v>0.92</c:v>
              </c:pt>
              <c:pt idx="3">
                <c:v>0.32</c:v>
              </c:pt>
              <c:pt idx="4">
                <c:v>0.43</c:v>
              </c:pt>
              <c:pt idx="5">
                <c:v>0.52</c:v>
              </c:pt>
              <c:pt idx="6">
                <c:v>1.1200000000000001</c:v>
              </c:pt>
              <c:pt idx="7">
                <c:v>1.1499999999999699</c:v>
              </c:pt>
              <c:pt idx="8">
                <c:v>0.89</c:v>
              </c:pt>
              <c:pt idx="9">
                <c:v>0.8</c:v>
              </c:pt>
              <c:pt idx="10">
                <c:v>1.17</c:v>
              </c:pt>
              <c:pt idx="11">
                <c:v>1.24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140-4D19-BE8B-B23BEF8D62D9}"/>
            </c:ext>
          </c:extLst>
        </c:ser>
        <c:ser>
          <c:idx val="2"/>
          <c:order val="2"/>
          <c:tx>
            <c:v>2022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0.79</c:v>
              </c:pt>
              <c:pt idx="1">
                <c:v>1.19</c:v>
              </c:pt>
              <c:pt idx="2">
                <c:v>0.85</c:v>
              </c:pt>
              <c:pt idx="3">
                <c:v>0.83</c:v>
              </c:pt>
              <c:pt idx="4">
                <c:v>0.54</c:v>
              </c:pt>
              <c:pt idx="5">
                <c:v>1.35</c:v>
              </c:pt>
              <c:pt idx="6">
                <c:v>1.73</c:v>
              </c:pt>
              <c:pt idx="7">
                <c:v>1.32</c:v>
              </c:pt>
              <c:pt idx="8">
                <c:v>2.25</c:v>
              </c:pt>
              <c:pt idx="9">
                <c:v>2.25</c:v>
              </c:pt>
              <c:pt idx="10">
                <c:v>1.55</c:v>
              </c:pt>
              <c:pt idx="11">
                <c:v>0.88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140-4D19-BE8B-B23BEF8D62D9}"/>
            </c:ext>
          </c:extLst>
        </c:ser>
        <c:ser>
          <c:idx val="3"/>
          <c:order val="3"/>
          <c:tx>
            <c:v>2023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0.64</c:v>
              </c:pt>
              <c:pt idx="1">
                <c:v>0.94</c:v>
              </c:pt>
              <c:pt idx="2">
                <c:v>1.05</c:v>
              </c:pt>
              <c:pt idx="3">
                <c:v>0.88</c:v>
              </c:pt>
              <c:pt idx="4">
                <c:v>1.07</c:v>
              </c:pt>
              <c:pt idx="5">
                <c:v>0.87</c:v>
              </c:pt>
              <c:pt idx="6">
                <c:v>1.69</c:v>
              </c:pt>
              <c:pt idx="7">
                <c:v>2.27999999999999</c:v>
              </c:pt>
              <c:pt idx="8">
                <c:v>1.54</c:v>
              </c:pt>
              <c:pt idx="9">
                <c:v>1.07</c:v>
              </c:pt>
              <c:pt idx="10">
                <c:v>1.62</c:v>
              </c:pt>
              <c:pt idx="11">
                <c:v>1.28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140-4D19-BE8B-B23BEF8D62D9}"/>
            </c:ext>
          </c:extLst>
        </c:ser>
        <c:ser>
          <c:idx val="4"/>
          <c:order val="4"/>
          <c:tx>
            <c:v>2024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1.27</c:v>
              </c:pt>
              <c:pt idx="1">
                <c:v>2.4300000000000002</c:v>
              </c:pt>
              <c:pt idx="2">
                <c:v>1.23</c:v>
              </c:pt>
              <c:pt idx="3">
                <c:v>0.61</c:v>
              </c:pt>
              <c:pt idx="4">
                <c:v>0.52</c:v>
              </c:pt>
              <c:pt idx="5">
                <c:v>1.28</c:v>
              </c:pt>
              <c:pt idx="6">
                <c:v>1.36</c:v>
              </c:pt>
              <c:pt idx="7">
                <c:v>1.93</c:v>
              </c:pt>
              <c:pt idx="8">
                <c:v>1.94</c:v>
              </c:pt>
              <c:pt idx="9">
                <c:v>1.48</c:v>
              </c:pt>
              <c:pt idx="10">
                <c:v>1.36</c:v>
              </c:pt>
              <c:pt idx="11">
                <c:v>1.26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9140-4D19-BE8B-B23BEF8D62D9}"/>
            </c:ext>
          </c:extLst>
        </c:ser>
        <c:ser>
          <c:idx val="5"/>
          <c:order val="5"/>
          <c:tx>
            <c:v>Média =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0.96199999999999797</c:v>
              </c:pt>
              <c:pt idx="1">
                <c:v>1.296</c:v>
              </c:pt>
              <c:pt idx="2">
                <c:v>1.02</c:v>
              </c:pt>
              <c:pt idx="3">
                <c:v>0.64399999999999902</c:v>
              </c:pt>
              <c:pt idx="4">
                <c:v>0.60199999999999798</c:v>
              </c:pt>
              <c:pt idx="5">
                <c:v>0.90400000000000003</c:v>
              </c:pt>
              <c:pt idx="6">
                <c:v>1.35</c:v>
              </c:pt>
              <c:pt idx="7">
                <c:v>1.534</c:v>
              </c:pt>
              <c:pt idx="8">
                <c:v>1.58</c:v>
              </c:pt>
              <c:pt idx="9">
                <c:v>1.3320000000000001</c:v>
              </c:pt>
              <c:pt idx="10">
                <c:v>1.464</c:v>
              </c:pt>
              <c:pt idx="11">
                <c:v>1.276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9140-4D19-BE8B-B23BEF8D6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79663"/>
        <c:axId val="1"/>
      </c:lineChart>
      <c:catAx>
        <c:axId val="3797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R$/Kg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979663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667207407314974"/>
          <c:y val="0.88860907175335468"/>
          <c:w val="0.62877222756030304"/>
          <c:h val="4.87481423976932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8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Preço Médio Mensal (R$/Kg) - Banana Prata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627429198183347E-2"/>
          <c:y val="0.10455242261533222"/>
          <c:w val="0.8958768136770936"/>
          <c:h val="0.71534883720930231"/>
        </c:manualLayout>
      </c:layout>
      <c:lineChart>
        <c:grouping val="standard"/>
        <c:varyColors val="0"/>
        <c:ser>
          <c:idx val="0"/>
          <c:order val="0"/>
          <c:tx>
            <c:v>2020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1.58</c:v>
              </c:pt>
              <c:pt idx="1">
                <c:v>1.76</c:v>
              </c:pt>
              <c:pt idx="2">
                <c:v>1.7</c:v>
              </c:pt>
              <c:pt idx="3">
                <c:v>1.32</c:v>
              </c:pt>
              <c:pt idx="4">
                <c:v>0.86</c:v>
              </c:pt>
              <c:pt idx="5">
                <c:v>0.82</c:v>
              </c:pt>
              <c:pt idx="6">
                <c:v>0.65</c:v>
              </c:pt>
              <c:pt idx="7">
                <c:v>1.1599999999999699</c:v>
              </c:pt>
              <c:pt idx="8">
                <c:v>1.1499999999999699</c:v>
              </c:pt>
              <c:pt idx="9">
                <c:v>1.19</c:v>
              </c:pt>
              <c:pt idx="10">
                <c:v>1.46</c:v>
              </c:pt>
              <c:pt idx="11">
                <c:v>1.98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7C6-8DA3-FE2FB6C21DF3}"/>
            </c:ext>
          </c:extLst>
        </c:ser>
        <c:ser>
          <c:idx val="1"/>
          <c:order val="1"/>
          <c:tx>
            <c:v>2021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2.4500000000000002</c:v>
              </c:pt>
              <c:pt idx="1">
                <c:v>1.91</c:v>
              </c:pt>
              <c:pt idx="2">
                <c:v>1.54</c:v>
              </c:pt>
              <c:pt idx="3">
                <c:v>1.46</c:v>
              </c:pt>
              <c:pt idx="4">
                <c:v>0.61</c:v>
              </c:pt>
              <c:pt idx="5">
                <c:v>0.62</c:v>
              </c:pt>
              <c:pt idx="6">
                <c:v>0.83</c:v>
              </c:pt>
              <c:pt idx="7">
                <c:v>1.33</c:v>
              </c:pt>
              <c:pt idx="8">
                <c:v>1.67</c:v>
              </c:pt>
              <c:pt idx="9">
                <c:v>1.1599999999999699</c:v>
              </c:pt>
              <c:pt idx="10">
                <c:v>1.3</c:v>
              </c:pt>
              <c:pt idx="11">
                <c:v>2.4500000000000002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7C6-8DA3-FE2FB6C21DF3}"/>
            </c:ext>
          </c:extLst>
        </c:ser>
        <c:ser>
          <c:idx val="2"/>
          <c:order val="2"/>
          <c:tx>
            <c:v>2022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2.75</c:v>
              </c:pt>
              <c:pt idx="1">
                <c:v>2.17</c:v>
              </c:pt>
              <c:pt idx="2">
                <c:v>1.65</c:v>
              </c:pt>
              <c:pt idx="3">
                <c:v>1.68</c:v>
              </c:pt>
              <c:pt idx="4">
                <c:v>1.05</c:v>
              </c:pt>
              <c:pt idx="5">
                <c:v>1.82</c:v>
              </c:pt>
              <c:pt idx="6">
                <c:v>2.00999999999999</c:v>
              </c:pt>
              <c:pt idx="7">
                <c:v>2.35</c:v>
              </c:pt>
              <c:pt idx="8">
                <c:v>2.78</c:v>
              </c:pt>
              <c:pt idx="9">
                <c:v>2.65</c:v>
              </c:pt>
              <c:pt idx="10">
                <c:v>2.95</c:v>
              </c:pt>
              <c:pt idx="11">
                <c:v>3.2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7C6-8DA3-FE2FB6C21DF3}"/>
            </c:ext>
          </c:extLst>
        </c:ser>
        <c:ser>
          <c:idx val="3"/>
          <c:order val="3"/>
          <c:tx>
            <c:v>2023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3.38</c:v>
              </c:pt>
              <c:pt idx="1">
                <c:v>2.62</c:v>
              </c:pt>
              <c:pt idx="2">
                <c:v>1.51</c:v>
              </c:pt>
              <c:pt idx="3">
                <c:v>1.91</c:v>
              </c:pt>
              <c:pt idx="4">
                <c:v>1.65</c:v>
              </c:pt>
              <c:pt idx="5">
                <c:v>2.00999999999999</c:v>
              </c:pt>
              <c:pt idx="6">
                <c:v>2.4500000000000002</c:v>
              </c:pt>
              <c:pt idx="7">
                <c:v>2.38</c:v>
              </c:pt>
              <c:pt idx="8">
                <c:v>1.95</c:v>
              </c:pt>
              <c:pt idx="9">
                <c:v>1.68</c:v>
              </c:pt>
              <c:pt idx="10">
                <c:v>2.65</c:v>
              </c:pt>
              <c:pt idx="11">
                <c:v>3.98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FD3-47C6-8DA3-FE2FB6C21DF3}"/>
            </c:ext>
          </c:extLst>
        </c:ser>
        <c:ser>
          <c:idx val="4"/>
          <c:order val="4"/>
          <c:tx>
            <c:v>2024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3.91</c:v>
              </c:pt>
              <c:pt idx="1">
                <c:v>3.87</c:v>
              </c:pt>
              <c:pt idx="2">
                <c:v>4.33</c:v>
              </c:pt>
              <c:pt idx="3">
                <c:v>2.58</c:v>
              </c:pt>
              <c:pt idx="4">
                <c:v>2.31</c:v>
              </c:pt>
              <c:pt idx="5">
                <c:v>1.85</c:v>
              </c:pt>
              <c:pt idx="6">
                <c:v>2.21</c:v>
              </c:pt>
              <c:pt idx="7">
                <c:v>3.43</c:v>
              </c:pt>
              <c:pt idx="8">
                <c:v>1.92</c:v>
              </c:pt>
              <c:pt idx="9">
                <c:v>1.81</c:v>
              </c:pt>
              <c:pt idx="10">
                <c:v>1.74</c:v>
              </c:pt>
              <c:pt idx="11">
                <c:v>2.2000000000000002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FFD3-47C6-8DA3-FE2FB6C21DF3}"/>
            </c:ext>
          </c:extLst>
        </c:ser>
        <c:ser>
          <c:idx val="5"/>
          <c:order val="5"/>
          <c:tx>
            <c:v>Média =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2.8140000000000001</c:v>
              </c:pt>
              <c:pt idx="1">
                <c:v>2.4660000000000002</c:v>
              </c:pt>
              <c:pt idx="2">
                <c:v>2.1459999999999901</c:v>
              </c:pt>
              <c:pt idx="3">
                <c:v>1.78999999999999</c:v>
              </c:pt>
              <c:pt idx="4">
                <c:v>1.296</c:v>
              </c:pt>
              <c:pt idx="5">
                <c:v>1.42399999999997</c:v>
              </c:pt>
              <c:pt idx="6">
                <c:v>1.6299999999999699</c:v>
              </c:pt>
              <c:pt idx="7">
                <c:v>2.13</c:v>
              </c:pt>
              <c:pt idx="8">
                <c:v>1.8939999999999699</c:v>
              </c:pt>
              <c:pt idx="9">
                <c:v>1.698</c:v>
              </c:pt>
              <c:pt idx="10">
                <c:v>2.02</c:v>
              </c:pt>
              <c:pt idx="11">
                <c:v>2.76199999999998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FD3-47C6-8DA3-FE2FB6C21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82543"/>
        <c:axId val="1"/>
      </c:lineChart>
      <c:catAx>
        <c:axId val="379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R$/Kg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982543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771678226742034"/>
          <c:y val="0.88319811289411609"/>
          <c:w val="0.61757374176190361"/>
          <c:h val="4.868024408341364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8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Preço Médio Mensal (R$/Kg) - Limão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936946732152755E-2"/>
          <c:y val="0.10455250176180408"/>
          <c:w val="0.8958768136770936"/>
          <c:h val="0.71534883720930231"/>
        </c:manualLayout>
      </c:layout>
      <c:lineChart>
        <c:grouping val="standard"/>
        <c:varyColors val="0"/>
        <c:ser>
          <c:idx val="0"/>
          <c:order val="0"/>
          <c:tx>
            <c:v>2020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0.95</c:v>
              </c:pt>
              <c:pt idx="1">
                <c:v>0.9</c:v>
              </c:pt>
              <c:pt idx="2">
                <c:v>0.95</c:v>
              </c:pt>
              <c:pt idx="3">
                <c:v>1.25</c:v>
              </c:pt>
              <c:pt idx="4">
                <c:v>1.4</c:v>
              </c:pt>
              <c:pt idx="5">
                <c:v>1.86</c:v>
              </c:pt>
              <c:pt idx="6">
                <c:v>2.6</c:v>
              </c:pt>
              <c:pt idx="7">
                <c:v>2.85</c:v>
              </c:pt>
              <c:pt idx="8">
                <c:v>3.1</c:v>
              </c:pt>
              <c:pt idx="9">
                <c:v>2.96</c:v>
              </c:pt>
              <c:pt idx="10">
                <c:v>2.75</c:v>
              </c:pt>
              <c:pt idx="11">
                <c:v>1.1499999999999699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F2C-4F46-9831-30DC8F54A86E}"/>
            </c:ext>
          </c:extLst>
        </c:ser>
        <c:ser>
          <c:idx val="1"/>
          <c:order val="1"/>
          <c:tx>
            <c:v>2021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0.85</c:v>
              </c:pt>
              <c:pt idx="1">
                <c:v>0.88</c:v>
              </c:pt>
              <c:pt idx="2">
                <c:v>0.85</c:v>
              </c:pt>
              <c:pt idx="3">
                <c:v>1.1499999999999699</c:v>
              </c:pt>
              <c:pt idx="4">
                <c:v>1.98</c:v>
              </c:pt>
              <c:pt idx="5">
                <c:v>2.2999999999999901</c:v>
              </c:pt>
              <c:pt idx="6">
                <c:v>2.4</c:v>
              </c:pt>
              <c:pt idx="7">
                <c:v>3.2</c:v>
              </c:pt>
              <c:pt idx="8">
                <c:v>2.95</c:v>
              </c:pt>
              <c:pt idx="9">
                <c:v>2.75</c:v>
              </c:pt>
              <c:pt idx="10">
                <c:v>2.65</c:v>
              </c:pt>
              <c:pt idx="11">
                <c:v>1.03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F2C-4F46-9831-30DC8F54A86E}"/>
            </c:ext>
          </c:extLst>
        </c:ser>
        <c:ser>
          <c:idx val="2"/>
          <c:order val="2"/>
          <c:tx>
            <c:v>2022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0.91799999999999904</c:v>
              </c:pt>
              <c:pt idx="1">
                <c:v>1.0806</c:v>
              </c:pt>
              <c:pt idx="2">
                <c:v>1.22</c:v>
              </c:pt>
              <c:pt idx="3">
                <c:v>1.35</c:v>
              </c:pt>
              <c:pt idx="4">
                <c:v>1.82</c:v>
              </c:pt>
              <c:pt idx="5">
                <c:v>1.89</c:v>
              </c:pt>
              <c:pt idx="6">
                <c:v>2.65</c:v>
              </c:pt>
              <c:pt idx="7">
                <c:v>2.94</c:v>
              </c:pt>
              <c:pt idx="8">
                <c:v>3.94</c:v>
              </c:pt>
              <c:pt idx="9">
                <c:v>3.98</c:v>
              </c:pt>
              <c:pt idx="10">
                <c:v>3.12</c:v>
              </c:pt>
              <c:pt idx="11">
                <c:v>0.98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F2C-4F46-9831-30DC8F54A86E}"/>
            </c:ext>
          </c:extLst>
        </c:ser>
        <c:ser>
          <c:idx val="3"/>
          <c:order val="3"/>
          <c:tx>
            <c:v>2023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0.473715</c:v>
              </c:pt>
              <c:pt idx="1">
                <c:v>0.64</c:v>
              </c:pt>
              <c:pt idx="2">
                <c:v>1.3086149999999901</c:v>
              </c:pt>
              <c:pt idx="3">
                <c:v>2.0497399999999901</c:v>
              </c:pt>
              <c:pt idx="4">
                <c:v>1.7188049999999799</c:v>
              </c:pt>
              <c:pt idx="5">
                <c:v>1.67</c:v>
              </c:pt>
              <c:pt idx="6">
                <c:v>2.70132499999999</c:v>
              </c:pt>
              <c:pt idx="7">
                <c:v>3.73285</c:v>
              </c:pt>
              <c:pt idx="8">
                <c:v>3.6</c:v>
              </c:pt>
              <c:pt idx="9">
                <c:v>4.1139999999999901</c:v>
              </c:pt>
              <c:pt idx="10">
                <c:v>2.84531499999999</c:v>
              </c:pt>
              <c:pt idx="11">
                <c:v>1.25355999999999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2F2C-4F46-9831-30DC8F54A86E}"/>
            </c:ext>
          </c:extLst>
        </c:ser>
        <c:ser>
          <c:idx val="4"/>
          <c:order val="4"/>
          <c:tx>
            <c:v>2024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0.83050000000000002</c:v>
              </c:pt>
              <c:pt idx="1">
                <c:v>0.82</c:v>
              </c:pt>
              <c:pt idx="2">
                <c:v>1.28</c:v>
              </c:pt>
              <c:pt idx="3">
                <c:v>1.67608</c:v>
              </c:pt>
              <c:pt idx="4">
                <c:v>1.76</c:v>
              </c:pt>
              <c:pt idx="5">
                <c:v>1.85</c:v>
              </c:pt>
              <c:pt idx="6">
                <c:v>2.27999999999999</c:v>
              </c:pt>
              <c:pt idx="7">
                <c:v>2.68</c:v>
              </c:pt>
              <c:pt idx="8">
                <c:v>3.95</c:v>
              </c:pt>
              <c:pt idx="9">
                <c:v>4.8499999999999801</c:v>
              </c:pt>
              <c:pt idx="10">
                <c:v>3.6</c:v>
              </c:pt>
              <c:pt idx="11">
                <c:v>1.37256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2F2C-4F46-9831-30DC8F54A86E}"/>
            </c:ext>
          </c:extLst>
        </c:ser>
        <c:ser>
          <c:idx val="5"/>
          <c:order val="5"/>
          <c:tx>
            <c:v>Média =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0.80444300000000002</c:v>
              </c:pt>
              <c:pt idx="1">
                <c:v>0.86412</c:v>
              </c:pt>
              <c:pt idx="2">
                <c:v>1.12172299999999</c:v>
              </c:pt>
              <c:pt idx="3">
                <c:v>1.49516399999998</c:v>
              </c:pt>
              <c:pt idx="4">
                <c:v>1.7357610000000001</c:v>
              </c:pt>
              <c:pt idx="5">
                <c:v>1.9139999999999799</c:v>
              </c:pt>
              <c:pt idx="6">
                <c:v>2.5262649999999902</c:v>
              </c:pt>
              <c:pt idx="7">
                <c:v>3.08056999999999</c:v>
              </c:pt>
              <c:pt idx="8">
                <c:v>3.508</c:v>
              </c:pt>
              <c:pt idx="9">
                <c:v>3.7307999999999901</c:v>
              </c:pt>
              <c:pt idx="10">
                <c:v>2.99306299999999</c:v>
              </c:pt>
              <c:pt idx="11">
                <c:v>1.15722399999999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2F2C-4F46-9831-30DC8F54A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01263"/>
        <c:axId val="1"/>
      </c:lineChart>
      <c:catAx>
        <c:axId val="3800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R$/Kg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01263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443217793652082"/>
          <c:y val="0.88582344460463558"/>
          <c:w val="0.62926923389136236"/>
          <c:h val="4.87481423976932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Preço Médio Mensal (R$/Kg) - Manga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936946732152755E-2"/>
          <c:y val="0.10455250176180408"/>
          <c:w val="0.8958768136770936"/>
          <c:h val="0.71534883720930231"/>
        </c:manualLayout>
      </c:layout>
      <c:lineChart>
        <c:grouping val="standard"/>
        <c:varyColors val="0"/>
        <c:ser>
          <c:idx val="0"/>
          <c:order val="0"/>
          <c:tx>
            <c:v>2020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3.26</c:v>
              </c:pt>
              <c:pt idx="1">
                <c:v>3.51</c:v>
              </c:pt>
              <c:pt idx="2">
                <c:v>3.76</c:v>
              </c:pt>
              <c:pt idx="3">
                <c:v>3.41</c:v>
              </c:pt>
              <c:pt idx="4">
                <c:v>4.7</c:v>
              </c:pt>
              <c:pt idx="5">
                <c:v>4.8899999999999899</c:v>
              </c:pt>
              <c:pt idx="6">
                <c:v>4.34</c:v>
              </c:pt>
              <c:pt idx="7">
                <c:v>3.96999999999999</c:v>
              </c:pt>
              <c:pt idx="8">
                <c:v>3.64</c:v>
              </c:pt>
              <c:pt idx="9">
                <c:v>3.4299999999999802</c:v>
              </c:pt>
              <c:pt idx="10">
                <c:v>3</c:v>
              </c:pt>
              <c:pt idx="11">
                <c:v>2.93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2BE-418D-A3BD-9A10C790059A}"/>
            </c:ext>
          </c:extLst>
        </c:ser>
        <c:ser>
          <c:idx val="1"/>
          <c:order val="1"/>
          <c:tx>
            <c:v>2021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3.55</c:v>
              </c:pt>
              <c:pt idx="1">
                <c:v>4.46</c:v>
              </c:pt>
              <c:pt idx="2">
                <c:v>5.27</c:v>
              </c:pt>
              <c:pt idx="3">
                <c:v>4.83</c:v>
              </c:pt>
              <c:pt idx="4">
                <c:v>3.41</c:v>
              </c:pt>
              <c:pt idx="5">
                <c:v>3.37</c:v>
              </c:pt>
              <c:pt idx="6">
                <c:v>3.52</c:v>
              </c:pt>
              <c:pt idx="7">
                <c:v>3.39</c:v>
              </c:pt>
              <c:pt idx="8">
                <c:v>3.44</c:v>
              </c:pt>
              <c:pt idx="9">
                <c:v>3.48</c:v>
              </c:pt>
              <c:pt idx="10">
                <c:v>3.6399999999999801</c:v>
              </c:pt>
              <c:pt idx="11">
                <c:v>3.73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2BE-418D-A3BD-9A10C790059A}"/>
            </c:ext>
          </c:extLst>
        </c:ser>
        <c:ser>
          <c:idx val="2"/>
          <c:order val="2"/>
          <c:tx>
            <c:v>2022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3.4299999999999802</c:v>
              </c:pt>
              <c:pt idx="1">
                <c:v>3.45</c:v>
              </c:pt>
              <c:pt idx="2">
                <c:v>3.6799999999999802</c:v>
              </c:pt>
              <c:pt idx="3">
                <c:v>3.86</c:v>
              </c:pt>
              <c:pt idx="4">
                <c:v>4.17</c:v>
              </c:pt>
              <c:pt idx="5">
                <c:v>4.42</c:v>
              </c:pt>
              <c:pt idx="6">
                <c:v>4.32</c:v>
              </c:pt>
              <c:pt idx="7">
                <c:v>4.1500000000000004</c:v>
              </c:pt>
              <c:pt idx="8">
                <c:v>3.78</c:v>
              </c:pt>
              <c:pt idx="9">
                <c:v>3.38</c:v>
              </c:pt>
              <c:pt idx="10">
                <c:v>3.12</c:v>
              </c:pt>
              <c:pt idx="11">
                <c:v>2.82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2BE-418D-A3BD-9A10C790059A}"/>
            </c:ext>
          </c:extLst>
        </c:ser>
        <c:ser>
          <c:idx val="3"/>
          <c:order val="3"/>
          <c:tx>
            <c:v>2023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2.67</c:v>
              </c:pt>
              <c:pt idx="1">
                <c:v>3.83</c:v>
              </c:pt>
              <c:pt idx="2">
                <c:v>4.0999999999999801</c:v>
              </c:pt>
              <c:pt idx="3">
                <c:v>4.68999999999998</c:v>
              </c:pt>
              <c:pt idx="4">
                <c:v>4.47</c:v>
              </c:pt>
              <c:pt idx="5">
                <c:v>3.59</c:v>
              </c:pt>
              <c:pt idx="6">
                <c:v>3.41</c:v>
              </c:pt>
              <c:pt idx="7">
                <c:v>3.85</c:v>
              </c:pt>
              <c:pt idx="8">
                <c:v>3.97</c:v>
              </c:pt>
              <c:pt idx="9">
                <c:v>4.9800000000000004</c:v>
              </c:pt>
              <c:pt idx="10">
                <c:v>3.79</c:v>
              </c:pt>
              <c:pt idx="11">
                <c:v>3.71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2BE-418D-A3BD-9A10C790059A}"/>
            </c:ext>
          </c:extLst>
        </c:ser>
        <c:ser>
          <c:idx val="4"/>
          <c:order val="4"/>
          <c:tx>
            <c:v>2024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4.82</c:v>
              </c:pt>
              <c:pt idx="1">
                <c:v>5.82</c:v>
              </c:pt>
              <c:pt idx="2">
                <c:v>5.22</c:v>
              </c:pt>
              <c:pt idx="3">
                <c:v>5.38</c:v>
              </c:pt>
              <c:pt idx="4">
                <c:v>5.52</c:v>
              </c:pt>
              <c:pt idx="5">
                <c:v>6.1</c:v>
              </c:pt>
              <c:pt idx="6">
                <c:v>4.63</c:v>
              </c:pt>
              <c:pt idx="7">
                <c:v>3.97</c:v>
              </c:pt>
              <c:pt idx="8">
                <c:v>3.8</c:v>
              </c:pt>
              <c:pt idx="9">
                <c:v>2.95</c:v>
              </c:pt>
              <c:pt idx="10">
                <c:v>2.25</c:v>
              </c:pt>
              <c:pt idx="11">
                <c:v>2.27999999999999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C2BE-418D-A3BD-9A10C790059A}"/>
            </c:ext>
          </c:extLst>
        </c:ser>
        <c:ser>
          <c:idx val="5"/>
          <c:order val="5"/>
          <c:tx>
            <c:v>Média =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3.54599999999999</c:v>
              </c:pt>
              <c:pt idx="1">
                <c:v>4.2140000000000004</c:v>
              </c:pt>
              <c:pt idx="2">
                <c:v>4.4059999999999899</c:v>
              </c:pt>
              <c:pt idx="3">
                <c:v>4.4339999999999904</c:v>
              </c:pt>
              <c:pt idx="4">
                <c:v>4.45399999999999</c:v>
              </c:pt>
              <c:pt idx="5">
                <c:v>4.4740000000000002</c:v>
              </c:pt>
              <c:pt idx="6">
                <c:v>4.0439999999999801</c:v>
              </c:pt>
              <c:pt idx="7">
                <c:v>3.8659999999999801</c:v>
              </c:pt>
              <c:pt idx="8">
                <c:v>3.726</c:v>
              </c:pt>
              <c:pt idx="9">
                <c:v>3.6439999999999801</c:v>
              </c:pt>
              <c:pt idx="10">
                <c:v>3.16</c:v>
              </c:pt>
              <c:pt idx="11">
                <c:v>3.0939999999999901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C2BE-418D-A3BD-9A10C7900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98383"/>
        <c:axId val="1"/>
      </c:lineChart>
      <c:catAx>
        <c:axId val="3799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R$/Kg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998383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510677362512785"/>
          <c:y val="0.88566373843608059"/>
          <c:w val="0.61660751913053125"/>
          <c:h val="4.88160101284941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8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Preço Médio Mensal (US$/Kg) - Milho Grão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987117615260872E-2"/>
          <c:y val="0.1075072463768116"/>
          <c:w val="0.89581602547820482"/>
          <c:h val="0.73049275362318833"/>
        </c:manualLayout>
      </c:layout>
      <c:lineChart>
        <c:grouping val="standard"/>
        <c:varyColors val="0"/>
        <c:ser>
          <c:idx val="0"/>
          <c:order val="0"/>
          <c:tx>
            <c:v>2020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0.201666666666665</c:v>
              </c:pt>
              <c:pt idx="1">
                <c:v>0.192333333333333</c:v>
              </c:pt>
              <c:pt idx="2">
                <c:v>0.19749999999999901</c:v>
              </c:pt>
              <c:pt idx="3">
                <c:v>0.19649999999999901</c:v>
              </c:pt>
              <c:pt idx="4">
                <c:v>0.194333333333333</c:v>
              </c:pt>
              <c:pt idx="5">
                <c:v>0.196333333333333</c:v>
              </c:pt>
              <c:pt idx="6">
                <c:v>0.25316666666666399</c:v>
              </c:pt>
              <c:pt idx="7">
                <c:v>0.21766666666666601</c:v>
              </c:pt>
              <c:pt idx="8">
                <c:v>0.21883333333333099</c:v>
              </c:pt>
              <c:pt idx="9">
                <c:v>0.237166666666666</c:v>
              </c:pt>
              <c:pt idx="10">
                <c:v>0.231833333333333</c:v>
              </c:pt>
              <c:pt idx="11">
                <c:v>0.22900000000000001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B9-4E09-9900-239F5BDEC33C}"/>
            </c:ext>
          </c:extLst>
        </c:ser>
        <c:ser>
          <c:idx val="1"/>
          <c:order val="1"/>
          <c:tx>
            <c:v>2021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0.2515</c:v>
              </c:pt>
              <c:pt idx="1">
                <c:v>0.247</c:v>
              </c:pt>
              <c:pt idx="2">
                <c:v>0.27899999999999903</c:v>
              </c:pt>
              <c:pt idx="3">
                <c:v>0.27916666666666601</c:v>
              </c:pt>
              <c:pt idx="4">
                <c:v>0.27949999999999903</c:v>
              </c:pt>
              <c:pt idx="5">
                <c:v>0.30166666666666397</c:v>
              </c:pt>
              <c:pt idx="6">
                <c:v>0.31016666666666398</c:v>
              </c:pt>
              <c:pt idx="7">
                <c:v>0.31366666666666398</c:v>
              </c:pt>
              <c:pt idx="8">
                <c:v>0.30483333333333301</c:v>
              </c:pt>
              <c:pt idx="9">
                <c:v>0.27733333333333099</c:v>
              </c:pt>
              <c:pt idx="10">
                <c:v>0.268166666666666</c:v>
              </c:pt>
              <c:pt idx="11">
                <c:v>0.28699999999999698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1B9-4E09-9900-239F5BDEC33C}"/>
            </c:ext>
          </c:extLst>
        </c:ser>
        <c:ser>
          <c:idx val="2"/>
          <c:order val="2"/>
          <c:tx>
            <c:v>2022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0.28233333333333099</c:v>
              </c:pt>
              <c:pt idx="1">
                <c:v>0.295333333333333</c:v>
              </c:pt>
              <c:pt idx="2">
                <c:v>0.30583333333333301</c:v>
              </c:pt>
              <c:pt idx="3">
                <c:v>0.32</c:v>
              </c:pt>
              <c:pt idx="4">
                <c:v>0.31333333333333302</c:v>
              </c:pt>
              <c:pt idx="5">
                <c:v>0.28716666666666602</c:v>
              </c:pt>
              <c:pt idx="6">
                <c:v>0.287833333333333</c:v>
              </c:pt>
              <c:pt idx="7">
                <c:v>0.254</c:v>
              </c:pt>
              <c:pt idx="8">
                <c:v>0.25783333333333303</c:v>
              </c:pt>
              <c:pt idx="9">
                <c:v>0.25600000000000001</c:v>
              </c:pt>
              <c:pt idx="10">
                <c:v>0.24716666666666601</c:v>
              </c:pt>
              <c:pt idx="11">
                <c:v>0.24783333333333099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1B9-4E09-9900-239F5BDEC33C}"/>
            </c:ext>
          </c:extLst>
        </c:ser>
        <c:ser>
          <c:idx val="3"/>
          <c:order val="3"/>
          <c:tx>
            <c:v>2023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0.24916666666666601</c:v>
              </c:pt>
              <c:pt idx="1">
                <c:v>0.25516666666666399</c:v>
              </c:pt>
              <c:pt idx="2">
                <c:v>0.23249999999999901</c:v>
              </c:pt>
              <c:pt idx="3">
                <c:v>0.21733333333333099</c:v>
              </c:pt>
              <c:pt idx="4">
                <c:v>0.21633333333333099</c:v>
              </c:pt>
              <c:pt idx="5">
                <c:v>0.22116666666666601</c:v>
              </c:pt>
              <c:pt idx="6">
                <c:v>0.215</c:v>
              </c:pt>
              <c:pt idx="7">
                <c:v>0.21566666666666601</c:v>
              </c:pt>
              <c:pt idx="8">
                <c:v>0.19416666666666399</c:v>
              </c:pt>
              <c:pt idx="9">
                <c:v>0.200333333333333</c:v>
              </c:pt>
              <c:pt idx="10">
                <c:v>0.192333333333333</c:v>
              </c:pt>
              <c:pt idx="11">
                <c:v>0.234333333333333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1B9-4E09-9900-239F5BDEC33C}"/>
            </c:ext>
          </c:extLst>
        </c:ser>
        <c:ser>
          <c:idx val="4"/>
          <c:order val="4"/>
          <c:tx>
            <c:v>2024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0.22866666666666399</c:v>
              </c:pt>
              <c:pt idx="1">
                <c:v>0.203166666666666</c:v>
              </c:pt>
              <c:pt idx="2">
                <c:v>0.18416666666666601</c:v>
              </c:pt>
              <c:pt idx="3">
                <c:v>0.18483333333333099</c:v>
              </c:pt>
              <c:pt idx="4">
                <c:v>0.17733333333333301</c:v>
              </c:pt>
              <c:pt idx="5">
                <c:v>0.18183333333333301</c:v>
              </c:pt>
              <c:pt idx="6">
                <c:v>0.17599999999999799</c:v>
              </c:pt>
              <c:pt idx="7">
                <c:v>0.18266666666666601</c:v>
              </c:pt>
              <c:pt idx="8">
                <c:v>0.182</c:v>
              </c:pt>
              <c:pt idx="9">
                <c:v>0.18533333333333099</c:v>
              </c:pt>
              <c:pt idx="10">
                <c:v>0.19716666666666399</c:v>
              </c:pt>
              <c:pt idx="11">
                <c:v>0.19450000000000001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E1B9-4E09-9900-239F5BDEC33C}"/>
            </c:ext>
          </c:extLst>
        </c:ser>
        <c:ser>
          <c:idx val="5"/>
          <c:order val="5"/>
          <c:tx>
            <c:v>Média =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0.242666666666666</c:v>
              </c:pt>
              <c:pt idx="1">
                <c:v>0.23860000000000001</c:v>
              </c:pt>
              <c:pt idx="2">
                <c:v>0.23979999999999699</c:v>
              </c:pt>
              <c:pt idx="3">
                <c:v>0.23956666666666601</c:v>
              </c:pt>
              <c:pt idx="4">
                <c:v>0.236166666666666</c:v>
              </c:pt>
              <c:pt idx="5">
                <c:v>0.237633333333333</c:v>
              </c:pt>
              <c:pt idx="6">
                <c:v>0.24843333333333301</c:v>
              </c:pt>
              <c:pt idx="7">
                <c:v>0.23673333333333099</c:v>
              </c:pt>
              <c:pt idx="8">
                <c:v>0.23153333333333301</c:v>
              </c:pt>
              <c:pt idx="9">
                <c:v>0.23123333333333301</c:v>
              </c:pt>
              <c:pt idx="10">
                <c:v>0.227333333333333</c:v>
              </c:pt>
              <c:pt idx="11">
                <c:v>0.23853333333333099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E1B9-4E09-9900-239F5BDEC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87823"/>
        <c:axId val="1"/>
      </c:lineChart>
      <c:catAx>
        <c:axId val="379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US$/Kg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9878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940122540149993"/>
          <c:y val="0.88629176892031769"/>
          <c:w val="0.60885159164930058"/>
          <c:h val="5.1700298910199005E-2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Preço Médio Mensal (US$/Kg) - Soja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443693297643002E-2"/>
          <c:y val="0.1075072463768116"/>
          <c:w val="0.90335944979582272"/>
          <c:h val="0.73339130434782596"/>
        </c:manualLayout>
      </c:layout>
      <c:lineChart>
        <c:grouping val="standard"/>
        <c:varyColors val="0"/>
        <c:ser>
          <c:idx val="0"/>
          <c:order val="0"/>
          <c:tx>
            <c:v>2020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0.33383333333333098</c:v>
              </c:pt>
              <c:pt idx="1">
                <c:v>0.32550000000000001</c:v>
              </c:pt>
              <c:pt idx="2">
                <c:v>0.32350000000000001</c:v>
              </c:pt>
              <c:pt idx="3">
                <c:v>0.31566666666666399</c:v>
              </c:pt>
              <c:pt idx="4">
                <c:v>0.31533333333333302</c:v>
              </c:pt>
              <c:pt idx="5">
                <c:v>0.31783333333333302</c:v>
              </c:pt>
              <c:pt idx="6">
                <c:v>0.34483333333333099</c:v>
              </c:pt>
              <c:pt idx="7">
                <c:v>0.376</c:v>
              </c:pt>
              <c:pt idx="8">
                <c:v>0.41816666666666602</c:v>
              </c:pt>
              <c:pt idx="9">
                <c:v>0.51733333333333098</c:v>
              </c:pt>
              <c:pt idx="10">
                <c:v>0.52849999999999697</c:v>
              </c:pt>
              <c:pt idx="11">
                <c:v>0.47849999999999798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6F3-4F59-B40D-CFA33CC81E6A}"/>
            </c:ext>
          </c:extLst>
        </c:ser>
        <c:ser>
          <c:idx val="1"/>
          <c:order val="1"/>
          <c:tx>
            <c:v>2021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0.54516666666666602</c:v>
              </c:pt>
              <c:pt idx="1">
                <c:v>0.51166666666666605</c:v>
              </c:pt>
              <c:pt idx="2">
                <c:v>0.503</c:v>
              </c:pt>
              <c:pt idx="3">
                <c:v>0.48466666666666602</c:v>
              </c:pt>
              <c:pt idx="4">
                <c:v>0.51066666666666605</c:v>
              </c:pt>
              <c:pt idx="5">
                <c:v>0.50349999999999795</c:v>
              </c:pt>
              <c:pt idx="6">
                <c:v>0.50949999999999696</c:v>
              </c:pt>
              <c:pt idx="7">
                <c:v>0.54933333333333301</c:v>
              </c:pt>
              <c:pt idx="8">
                <c:v>0.54366666666666397</c:v>
              </c:pt>
              <c:pt idx="9">
                <c:v>0.55899999999999905</c:v>
              </c:pt>
              <c:pt idx="10">
                <c:v>0.503</c:v>
              </c:pt>
              <c:pt idx="11">
                <c:v>0.47516666666666602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6F3-4F59-B40D-CFA33CC81E6A}"/>
            </c:ext>
          </c:extLst>
        </c:ser>
        <c:ser>
          <c:idx val="2"/>
          <c:order val="2"/>
          <c:tx>
            <c:v>2022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0.48683333333333301</c:v>
              </c:pt>
              <c:pt idx="1">
                <c:v>0.55083333333333095</c:v>
              </c:pt>
              <c:pt idx="2">
                <c:v>0.596833333333331</c:v>
              </c:pt>
              <c:pt idx="3">
                <c:v>0.57850000000000001</c:v>
              </c:pt>
              <c:pt idx="4">
                <c:v>0.624</c:v>
              </c:pt>
              <c:pt idx="5">
                <c:v>0.579666666666666</c:v>
              </c:pt>
              <c:pt idx="6">
                <c:v>0.57433333333333303</c:v>
              </c:pt>
              <c:pt idx="7">
                <c:v>0.53500000000000003</c:v>
              </c:pt>
              <c:pt idx="8">
                <c:v>0.57150000000000001</c:v>
              </c:pt>
              <c:pt idx="9">
                <c:v>0.53583333333333305</c:v>
              </c:pt>
              <c:pt idx="10">
                <c:v>0.53616666666666601</c:v>
              </c:pt>
              <c:pt idx="11">
                <c:v>0.52700000000000002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6F3-4F59-B40D-CFA33CC81E6A}"/>
            </c:ext>
          </c:extLst>
        </c:ser>
        <c:ser>
          <c:idx val="3"/>
          <c:order val="3"/>
          <c:tx>
            <c:v>2023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0.52349999999999697</c:v>
              </c:pt>
              <c:pt idx="1">
                <c:v>0.51649999999999696</c:v>
              </c:pt>
              <c:pt idx="2">
                <c:v>0.472833333333332</c:v>
              </c:pt>
              <c:pt idx="3">
                <c:v>0.40599999999999697</c:v>
              </c:pt>
              <c:pt idx="4">
                <c:v>0.38716666666666399</c:v>
              </c:pt>
              <c:pt idx="5">
                <c:v>0.39233333333333098</c:v>
              </c:pt>
              <c:pt idx="6">
                <c:v>0.43183333333333301</c:v>
              </c:pt>
              <c:pt idx="7">
                <c:v>0.43933333333333302</c:v>
              </c:pt>
              <c:pt idx="8">
                <c:v>0.437</c:v>
              </c:pt>
              <c:pt idx="9">
                <c:v>0.43966666666666399</c:v>
              </c:pt>
              <c:pt idx="10">
                <c:v>0.43216666666666398</c:v>
              </c:pt>
              <c:pt idx="11">
                <c:v>0.46750000000000003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6F3-4F59-B40D-CFA33CC81E6A}"/>
            </c:ext>
          </c:extLst>
        </c:ser>
        <c:ser>
          <c:idx val="4"/>
          <c:order val="4"/>
          <c:tx>
            <c:v>2024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0.430499999999998</c:v>
              </c:pt>
              <c:pt idx="1">
                <c:v>0.34816666666666601</c:v>
              </c:pt>
              <c:pt idx="2">
                <c:v>0.36266666666666603</c:v>
              </c:pt>
              <c:pt idx="3">
                <c:v>0.42416666666666603</c:v>
              </c:pt>
              <c:pt idx="4">
                <c:v>0.39283333333333098</c:v>
              </c:pt>
              <c:pt idx="5">
                <c:v>0.412833333333333</c:v>
              </c:pt>
              <c:pt idx="6">
                <c:v>0.38150000000000001</c:v>
              </c:pt>
              <c:pt idx="7">
                <c:v>0.41266666666666602</c:v>
              </c:pt>
              <c:pt idx="8">
                <c:v>0.40233333333333099</c:v>
              </c:pt>
              <c:pt idx="9">
                <c:v>0.41799999999999699</c:v>
              </c:pt>
              <c:pt idx="10">
                <c:v>0.42283333333333301</c:v>
              </c:pt>
              <c:pt idx="11">
                <c:v>0.41599999999999798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A6F3-4F59-B40D-CFA33CC81E6A}"/>
            </c:ext>
          </c:extLst>
        </c:ser>
        <c:ser>
          <c:idx val="5"/>
          <c:order val="5"/>
          <c:tx>
            <c:v>Média =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0.46396666666666397</c:v>
              </c:pt>
              <c:pt idx="1">
                <c:v>0.45053333333333301</c:v>
              </c:pt>
              <c:pt idx="2">
                <c:v>0.45176666666666399</c:v>
              </c:pt>
              <c:pt idx="3">
                <c:v>0.44180000000000003</c:v>
              </c:pt>
              <c:pt idx="4">
                <c:v>0.44600000000000001</c:v>
              </c:pt>
              <c:pt idx="5">
                <c:v>0.44123333333333098</c:v>
              </c:pt>
              <c:pt idx="6">
                <c:v>0.44840000000000002</c:v>
              </c:pt>
              <c:pt idx="7">
                <c:v>0.46246666666666603</c:v>
              </c:pt>
              <c:pt idx="8">
                <c:v>0.47453333333333098</c:v>
              </c:pt>
              <c:pt idx="9">
                <c:v>0.493966666666666</c:v>
              </c:pt>
              <c:pt idx="10">
                <c:v>0.48453333333333098</c:v>
              </c:pt>
              <c:pt idx="11">
                <c:v>0.472833333333332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A6F3-4F59-B40D-CFA33CC8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765583"/>
        <c:axId val="1"/>
      </c:lineChart>
      <c:catAx>
        <c:axId val="107476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US$/Kg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7655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259956635855301"/>
          <c:y val="0.89056119834133163"/>
          <c:w val="0.62288619932738587"/>
          <c:h val="5.177677864231466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8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Preço Médio Mensal (US$/Kg) - Feijão Comum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443693297643002E-2"/>
          <c:y val="0.1075072463768116"/>
          <c:w val="0.90335944979582272"/>
          <c:h val="0.72179710144927534"/>
        </c:manualLayout>
      </c:layout>
      <c:lineChart>
        <c:grouping val="standard"/>
        <c:varyColors val="0"/>
        <c:ser>
          <c:idx val="0"/>
          <c:order val="0"/>
          <c:tx>
            <c:v>2020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0.78299999999999903</c:v>
              </c:pt>
              <c:pt idx="1">
                <c:v>0.78549999999999798</c:v>
              </c:pt>
              <c:pt idx="2">
                <c:v>0.90233333333333099</c:v>
              </c:pt>
              <c:pt idx="3">
                <c:v>1.05016666666666</c:v>
              </c:pt>
              <c:pt idx="4">
                <c:v>0.93633333333333302</c:v>
              </c:pt>
              <c:pt idx="5">
                <c:v>0.72816666666666396</c:v>
              </c:pt>
              <c:pt idx="6">
                <c:v>0.67516666666666603</c:v>
              </c:pt>
              <c:pt idx="7">
                <c:v>0.666333333333333</c:v>
              </c:pt>
              <c:pt idx="8">
                <c:v>0.82799999999999696</c:v>
              </c:pt>
              <c:pt idx="9">
                <c:v>0.80400000000000005</c:v>
              </c:pt>
              <c:pt idx="10">
                <c:v>0.765166666666666</c:v>
              </c:pt>
              <c:pt idx="11">
                <c:v>0.84383333333333099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5C1-4EBC-8238-90A0216CDB52}"/>
            </c:ext>
          </c:extLst>
        </c:ser>
        <c:ser>
          <c:idx val="1"/>
          <c:order val="1"/>
          <c:tx>
            <c:v>2021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0.91249999999999698</c:v>
              </c:pt>
              <c:pt idx="1">
                <c:v>0.89633333333333098</c:v>
              </c:pt>
              <c:pt idx="2">
                <c:v>0.87183333333333302</c:v>
              </c:pt>
              <c:pt idx="3">
                <c:v>0.85299999999999698</c:v>
              </c:pt>
              <c:pt idx="4">
                <c:v>0.84</c:v>
              </c:pt>
              <c:pt idx="5">
                <c:v>0.87049999999999905</c:v>
              </c:pt>
              <c:pt idx="6">
                <c:v>0.90683333333333305</c:v>
              </c:pt>
              <c:pt idx="7">
                <c:v>0.91283333333333305</c:v>
              </c:pt>
              <c:pt idx="8">
                <c:v>0.856833333333333</c:v>
              </c:pt>
              <c:pt idx="9">
                <c:v>0.81083333333333096</c:v>
              </c:pt>
              <c:pt idx="10">
                <c:v>0.76983333333333304</c:v>
              </c:pt>
              <c:pt idx="11">
                <c:v>0.76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5C1-4EBC-8238-90A0216CDB52}"/>
            </c:ext>
          </c:extLst>
        </c:ser>
        <c:ser>
          <c:idx val="2"/>
          <c:order val="2"/>
          <c:tx>
            <c:v>2022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0.82433333333333303</c:v>
              </c:pt>
              <c:pt idx="1">
                <c:v>0.89966666666666395</c:v>
              </c:pt>
              <c:pt idx="2">
                <c:v>0.99733333333333096</c:v>
              </c:pt>
              <c:pt idx="3">
                <c:v>1.0116666666666601</c:v>
              </c:pt>
              <c:pt idx="4">
                <c:v>1.0821666666666601</c:v>
              </c:pt>
              <c:pt idx="5">
                <c:v>1.01633333333333</c:v>
              </c:pt>
              <c:pt idx="6">
                <c:v>1.0394999999999901</c:v>
              </c:pt>
              <c:pt idx="7">
                <c:v>0.94583333333333097</c:v>
              </c:pt>
              <c:pt idx="8">
                <c:v>0.94866666666666399</c:v>
              </c:pt>
              <c:pt idx="9">
                <c:v>0.931499999999999</c:v>
              </c:pt>
              <c:pt idx="10">
                <c:v>0.99933333333333096</c:v>
              </c:pt>
              <c:pt idx="11">
                <c:v>1.1645000000000001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5C1-4EBC-8238-90A0216CDB52}"/>
            </c:ext>
          </c:extLst>
        </c:ser>
        <c:ser>
          <c:idx val="3"/>
          <c:order val="3"/>
          <c:tx>
            <c:v>2023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1.21933333333333</c:v>
              </c:pt>
              <c:pt idx="1">
                <c:v>1.1635</c:v>
              </c:pt>
              <c:pt idx="2">
                <c:v>1.23449999999997</c:v>
              </c:pt>
              <c:pt idx="3">
                <c:v>1.24833333333333</c:v>
              </c:pt>
              <c:pt idx="4">
                <c:v>1.1924999999999699</c:v>
              </c:pt>
              <c:pt idx="5">
                <c:v>0.91666666666666397</c:v>
              </c:pt>
              <c:pt idx="6">
                <c:v>0.70650000000000002</c:v>
              </c:pt>
              <c:pt idx="7">
                <c:v>0.68266666666666398</c:v>
              </c:pt>
              <c:pt idx="8">
                <c:v>0.65883333333333305</c:v>
              </c:pt>
              <c:pt idx="9">
                <c:v>0.746</c:v>
              </c:pt>
              <c:pt idx="10">
                <c:v>0.76133333333333097</c:v>
              </c:pt>
              <c:pt idx="11">
                <c:v>1.17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5C1-4EBC-8238-90A0216CDB52}"/>
            </c:ext>
          </c:extLst>
        </c:ser>
        <c:ser>
          <c:idx val="4"/>
          <c:order val="4"/>
          <c:tx>
            <c:v>2024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1.02433333333333</c:v>
              </c:pt>
              <c:pt idx="1">
                <c:v>1.0515000000000001</c:v>
              </c:pt>
              <c:pt idx="2">
                <c:v>0.94683333333333097</c:v>
              </c:pt>
              <c:pt idx="3">
                <c:v>0.94666666666666399</c:v>
              </c:pt>
              <c:pt idx="4">
                <c:v>0.91666666666666397</c:v>
              </c:pt>
              <c:pt idx="5">
                <c:v>0.89533333333333098</c:v>
              </c:pt>
              <c:pt idx="6">
                <c:v>0.85599999999999699</c:v>
              </c:pt>
              <c:pt idx="7">
                <c:v>0.68966666666666399</c:v>
              </c:pt>
              <c:pt idx="8">
                <c:v>0.76433333333333098</c:v>
              </c:pt>
              <c:pt idx="9">
                <c:v>0.70816666666666395</c:v>
              </c:pt>
              <c:pt idx="10">
                <c:v>0.680499999999998</c:v>
              </c:pt>
              <c:pt idx="11">
                <c:v>0.70499999999999696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C5C1-4EBC-8238-90A0216CDB52}"/>
            </c:ext>
          </c:extLst>
        </c:ser>
        <c:ser>
          <c:idx val="5"/>
          <c:order val="5"/>
          <c:tx>
            <c:v>Média =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0.95269999999999799</c:v>
              </c:pt>
              <c:pt idx="1">
                <c:v>0.95930000000000004</c:v>
              </c:pt>
              <c:pt idx="2">
                <c:v>0.99056666666666604</c:v>
              </c:pt>
              <c:pt idx="3">
                <c:v>1.02196666666666</c:v>
              </c:pt>
              <c:pt idx="4">
                <c:v>0.99353333333333305</c:v>
              </c:pt>
              <c:pt idx="5">
                <c:v>0.88539999999999697</c:v>
              </c:pt>
              <c:pt idx="6">
                <c:v>0.83679999999999699</c:v>
              </c:pt>
              <c:pt idx="7">
                <c:v>0.77946666666666398</c:v>
              </c:pt>
              <c:pt idx="8">
                <c:v>0.81133333333333302</c:v>
              </c:pt>
              <c:pt idx="9">
                <c:v>0.80009999999999903</c:v>
              </c:pt>
              <c:pt idx="10">
                <c:v>0.79523333333333301</c:v>
              </c:pt>
              <c:pt idx="11">
                <c:v>0.92866666666666398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C5C1-4EBC-8238-90A0216CD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516335"/>
        <c:axId val="1"/>
      </c:lineChart>
      <c:catAx>
        <c:axId val="1039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US$/Kg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5163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691428428815654"/>
          <c:y val="0.88038311680759251"/>
          <c:w val="0.61831563447595972"/>
          <c:h val="5.170029891019900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8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584200</xdr:colOff>
      <xdr:row>54</xdr:row>
      <xdr:rowOff>38100</xdr:rowOff>
    </xdr:from>
    <xdr:to>
      <xdr:col>10</xdr:col>
      <xdr:colOff>347345</xdr:colOff>
      <xdr:row>61</xdr:row>
      <xdr:rowOff>42546</xdr:rowOff>
    </xdr:to>
    <xdr:pic>
      <xdr:nvPicPr>
        <xdr:cNvPr id="55443" name="Imagem 6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8AEBD496-80C7-7F5B-BF87-1D23CEC89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9150" y="6413500"/>
          <a:ext cx="44323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438150</xdr:colOff>
      <xdr:row>1</xdr:row>
      <xdr:rowOff>19050</xdr:rowOff>
    </xdr:from>
    <xdr:to>
      <xdr:col>8</xdr:col>
      <xdr:colOff>381000</xdr:colOff>
      <xdr:row>4</xdr:row>
      <xdr:rowOff>38100</xdr:rowOff>
    </xdr:to>
    <xdr:pic>
      <xdr:nvPicPr>
        <xdr:cNvPr id="55444" name="Imagem 1">
          <a:extLst>
            <a:ext uri="{FF2B5EF4-FFF2-40B4-BE49-F238E27FC236}">
              <a16:creationId xmlns:a16="http://schemas.microsoft.com/office/drawing/2014/main" id="{CDEFF210-26C6-DF7A-BEF0-3F03FD183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0" y="177800"/>
          <a:ext cx="19431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92</xdr:row>
      <xdr:rowOff>44450</xdr:rowOff>
    </xdr:from>
    <xdr:to>
      <xdr:col>11</xdr:col>
      <xdr:colOff>273050</xdr:colOff>
      <xdr:row>121</xdr:row>
      <xdr:rowOff>0</xdr:rowOff>
    </xdr:to>
    <xdr:graphicFrame macro="">
      <xdr:nvGraphicFramePr>
        <xdr:cNvPr id="52381" name="Gráfico 4">
          <a:extLst>
            <a:ext uri="{FF2B5EF4-FFF2-40B4-BE49-F238E27FC236}">
              <a16:creationId xmlns:a16="http://schemas.microsoft.com/office/drawing/2014/main" id="{7601DDF4-79A7-7EEE-3F8F-E344FDF8F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50800</xdr:colOff>
      <xdr:row>92</xdr:row>
      <xdr:rowOff>82550</xdr:rowOff>
    </xdr:from>
    <xdr:to>
      <xdr:col>23</xdr:col>
      <xdr:colOff>393700</xdr:colOff>
      <xdr:row>121</xdr:row>
      <xdr:rowOff>44450</xdr:rowOff>
    </xdr:to>
    <xdr:graphicFrame macro="">
      <xdr:nvGraphicFramePr>
        <xdr:cNvPr id="52382" name="Gráfico 4">
          <a:extLst>
            <a:ext uri="{FF2B5EF4-FFF2-40B4-BE49-F238E27FC236}">
              <a16:creationId xmlns:a16="http://schemas.microsoft.com/office/drawing/2014/main" id="{81B4091F-ED5F-F483-2B2A-4CD3254CD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393700</xdr:colOff>
      <xdr:row>123</xdr:row>
      <xdr:rowOff>19050</xdr:rowOff>
    </xdr:from>
    <xdr:to>
      <xdr:col>11</xdr:col>
      <xdr:colOff>292100</xdr:colOff>
      <xdr:row>151</xdr:row>
      <xdr:rowOff>133350</xdr:rowOff>
    </xdr:to>
    <xdr:graphicFrame macro="">
      <xdr:nvGraphicFramePr>
        <xdr:cNvPr id="52383" name="Gráfico 4">
          <a:extLst>
            <a:ext uri="{FF2B5EF4-FFF2-40B4-BE49-F238E27FC236}">
              <a16:creationId xmlns:a16="http://schemas.microsoft.com/office/drawing/2014/main" id="{BD29C992-4427-6EC3-8F53-BA5B81F58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57150</xdr:colOff>
      <xdr:row>123</xdr:row>
      <xdr:rowOff>57150</xdr:rowOff>
    </xdr:from>
    <xdr:to>
      <xdr:col>23</xdr:col>
      <xdr:colOff>412750</xdr:colOff>
      <xdr:row>152</xdr:row>
      <xdr:rowOff>6350</xdr:rowOff>
    </xdr:to>
    <xdr:graphicFrame macro="">
      <xdr:nvGraphicFramePr>
        <xdr:cNvPr id="52384" name="Gráfico 4">
          <a:extLst>
            <a:ext uri="{FF2B5EF4-FFF2-40B4-BE49-F238E27FC236}">
              <a16:creationId xmlns:a16="http://schemas.microsoft.com/office/drawing/2014/main" id="{88744A78-7D36-2EA2-ADD0-0254EDCAC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0.00775</cdr:x>
      <cdr:y>0.94372</cdr:y>
    </cdr:from>
    <cdr:to>
      <cdr:x>0.38912</cdr:x>
      <cdr:y>0.99253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9533" y="4237621"/>
          <a:ext cx="2935239" cy="2307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000">
              <a:effectLst/>
              <a:latin typeface="+mn-lt"/>
              <a:ea typeface="+mn-ea"/>
              <a:cs typeface="+mn-cs"/>
            </a:rPr>
            <a:t>Fonte: Thelo Produção Agropecuária Ltda - Dados trabalhados pelo Consórcio</a:t>
          </a:r>
          <a:endParaRPr lang="pt-BR" sz="1000">
            <a:effectLst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0.01412</cdr:x>
      <cdr:y>0.94034</cdr:y>
    </cdr:from>
    <cdr:to>
      <cdr:x>0.33746</cdr:x>
      <cdr:y>0.99928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110385" y="4227752"/>
          <a:ext cx="2498905" cy="277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000" kern="1200">
              <a:solidFill>
                <a:schemeClr val="tx1">
                  <a:lumMod val="95000"/>
                  <a:lumOff val="5000"/>
                </a:schemeClr>
              </a:solidFill>
            </a:rPr>
            <a:t>Fonte: Thelo Produção Agropecuária Ltda - Dados trabalhados pelo Consórcio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0.0075</cdr:x>
      <cdr:y>0.93383</cdr:y>
    </cdr:from>
    <cdr:to>
      <cdr:x>0.69708</cdr:x>
      <cdr:y>0.98533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7612" y="4208775"/>
          <a:ext cx="5297119" cy="2321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000" kern="1200">
              <a:solidFill>
                <a:schemeClr val="tx1">
                  <a:lumMod val="95000"/>
                  <a:lumOff val="5000"/>
                </a:schemeClr>
              </a:solidFill>
            </a:rPr>
            <a:t>Fonte: Thelo Produção Agropecuária Ltda. / Mundial Frutas - dados trabalhados pelo Consórcio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0.01262</cdr:x>
      <cdr:y>0.93288</cdr:y>
    </cdr:from>
    <cdr:to>
      <cdr:x>0.54837</cdr:x>
      <cdr:y>0.99042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100807" y="4188790"/>
          <a:ext cx="4141525" cy="270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000" kern="1200">
              <a:solidFill>
                <a:schemeClr val="tx1">
                  <a:lumMod val="95000"/>
                  <a:lumOff val="5000"/>
                </a:schemeClr>
              </a:solidFill>
            </a:rPr>
            <a:t>Fonte: Pesquisa junto a produtores locais - dados trabalhados</a:t>
          </a:r>
          <a:r>
            <a:rPr lang="pt-BR" sz="1000" kern="1200" baseline="0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  <a:r>
            <a:rPr lang="pt-BR" sz="1000" kern="1200">
              <a:solidFill>
                <a:schemeClr val="tx1">
                  <a:lumMod val="95000"/>
                  <a:lumOff val="5000"/>
                </a:schemeClr>
              </a:solidFill>
            </a:rPr>
            <a:t> pelo Consórcio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412750</xdr:colOff>
      <xdr:row>138</xdr:row>
      <xdr:rowOff>63500</xdr:rowOff>
    </xdr:from>
    <xdr:to>
      <xdr:col>11</xdr:col>
      <xdr:colOff>222250</xdr:colOff>
      <xdr:row>165</xdr:row>
      <xdr:rowOff>76200</xdr:rowOff>
    </xdr:to>
    <xdr:graphicFrame macro="">
      <xdr:nvGraphicFramePr>
        <xdr:cNvPr id="53483" name="Gráfico 1" descr="Fonte: Companhia Nacional de Abastecimento - Conab- Dados trabalhados pelo Consórcio&#10;">
          <a:extLst>
            <a:ext uri="{FF2B5EF4-FFF2-40B4-BE49-F238E27FC236}">
              <a16:creationId xmlns:a16="http://schemas.microsoft.com/office/drawing/2014/main" id="{1BEBD0F5-EE0B-2158-4338-4D06EBCED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138</xdr:row>
      <xdr:rowOff>0</xdr:rowOff>
    </xdr:from>
    <xdr:to>
      <xdr:col>23</xdr:col>
      <xdr:colOff>171450</xdr:colOff>
      <xdr:row>165</xdr:row>
      <xdr:rowOff>6350</xdr:rowOff>
    </xdr:to>
    <xdr:graphicFrame macro="">
      <xdr:nvGraphicFramePr>
        <xdr:cNvPr id="53484" name="Gráfico 2">
          <a:extLst>
            <a:ext uri="{FF2B5EF4-FFF2-40B4-BE49-F238E27FC236}">
              <a16:creationId xmlns:a16="http://schemas.microsoft.com/office/drawing/2014/main" id="{8D5EEDE5-2F0C-E7C4-76CF-F4855010D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412750</xdr:colOff>
      <xdr:row>166</xdr:row>
      <xdr:rowOff>6350</xdr:rowOff>
    </xdr:from>
    <xdr:to>
      <xdr:col>11</xdr:col>
      <xdr:colOff>222250</xdr:colOff>
      <xdr:row>193</xdr:row>
      <xdr:rowOff>19050</xdr:rowOff>
    </xdr:to>
    <xdr:graphicFrame macro="">
      <xdr:nvGraphicFramePr>
        <xdr:cNvPr id="53485" name="Gráfico 3">
          <a:extLst>
            <a:ext uri="{FF2B5EF4-FFF2-40B4-BE49-F238E27FC236}">
              <a16:creationId xmlns:a16="http://schemas.microsoft.com/office/drawing/2014/main" id="{93FFD55B-762A-F074-CF0F-146C6FBC5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524608</xdr:colOff>
      <xdr:row>163</xdr:row>
      <xdr:rowOff>132049</xdr:rowOff>
    </xdr:from>
    <xdr:ext cx="5696611" cy="430362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5404AF3-193C-4885-B582-CF67FC39B2AC}"/>
            </a:ext>
          </a:extLst>
        </xdr:cNvPr>
        <xdr:cNvSpPr txBox="1"/>
      </xdr:nvSpPr>
      <xdr:spPr>
        <a:xfrm>
          <a:off x="505558" y="39898924"/>
          <a:ext cx="5696611" cy="437086"/>
        </a:xfrm>
        <a:prstGeom prst="rect">
          <a:avLst/>
        </a:prstGeom>
        <a:noFill/>
      </xdr:spPr>
      <xdr:txBody>
        <a:bodyPr vertOverflow="clip" horzOverflow="clip" wrap="square" rtlCol="0" anchor="t">
          <a:sp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effectLst/>
              <a:latin typeface="+mn-lt"/>
              <a:ea typeface="+mn-ea"/>
              <a:cs typeface="+mn-cs"/>
            </a:rPr>
            <a:t>Fonte: Companhia Nacional de Abastecimento - Conab- Dados trabalhados pelo Consórcio</a:t>
          </a:r>
          <a:endParaRPr lang="pt-BR" sz="1000">
            <a:effectLst/>
          </a:endParaRPr>
        </a:p>
        <a:p>
          <a:pPr algn="l"/>
          <a:endParaRPr lang="pt-BR" sz="1000" kern="12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oneCellAnchor>
  <xdr:oneCellAnchor>
    <xdr:from>
      <xdr:col>12</xdr:col>
      <xdr:colOff>120406</xdr:colOff>
      <xdr:row>163</xdr:row>
      <xdr:rowOff>59592</xdr:rowOff>
    </xdr:from>
    <xdr:ext cx="5718689" cy="42776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B07945F-C10F-4C8F-AC53-14C3B004F21D}"/>
            </a:ext>
          </a:extLst>
        </xdr:cNvPr>
        <xdr:cNvSpPr txBox="1"/>
      </xdr:nvSpPr>
      <xdr:spPr>
        <a:xfrm>
          <a:off x="8686556" y="39826467"/>
          <a:ext cx="5712663" cy="427761"/>
        </a:xfrm>
        <a:prstGeom prst="rect">
          <a:avLst/>
        </a:prstGeom>
        <a:noFill/>
      </xdr:spPr>
      <xdr:txBody>
        <a:bodyPr vertOverflow="clip" horzOverflow="clip" wrap="square" rtlCol="0" anchor="t">
          <a:sp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effectLst/>
              <a:latin typeface="+mn-lt"/>
              <a:ea typeface="+mn-ea"/>
              <a:cs typeface="+mn-cs"/>
            </a:rPr>
            <a:t>Fonte: Companhia Nacional de Abastecimento - Conab- Dados trabalhados pelo Consórcio</a:t>
          </a:r>
          <a:endParaRPr lang="pt-BR" sz="1000">
            <a:effectLst/>
          </a:endParaRPr>
        </a:p>
        <a:p>
          <a:pPr algn="l"/>
          <a:endParaRPr lang="pt-BR" sz="1000" kern="12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oneCellAnchor>
  <xdr:oneCellAnchor>
    <xdr:from>
      <xdr:col>0</xdr:col>
      <xdr:colOff>524608</xdr:colOff>
      <xdr:row>191</xdr:row>
      <xdr:rowOff>36634</xdr:rowOff>
    </xdr:from>
    <xdr:ext cx="5696611" cy="421077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1514DB8F-6AF3-4E52-A416-0B71C4E10803}"/>
            </a:ext>
          </a:extLst>
        </xdr:cNvPr>
        <xdr:cNvSpPr txBox="1"/>
      </xdr:nvSpPr>
      <xdr:spPr>
        <a:xfrm>
          <a:off x="524608" y="42899134"/>
          <a:ext cx="5696611" cy="421077"/>
        </a:xfrm>
        <a:prstGeom prst="rect">
          <a:avLst/>
        </a:prstGeom>
        <a:noFill/>
      </xdr:spPr>
      <xdr:txBody>
        <a:bodyPr vertOverflow="clip" horzOverflow="clip" wrap="square" rtlCol="0" anchor="t">
          <a:sp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effectLst/>
              <a:latin typeface="+mn-lt"/>
              <a:ea typeface="+mn-ea"/>
              <a:cs typeface="+mn-cs"/>
            </a:rPr>
            <a:t>Fonte: Companhia Nacional de Abastecimento - Conab- Dados trabalhados pelo Consórcio</a:t>
          </a:r>
          <a:endParaRPr lang="pt-BR" sz="1000">
            <a:effectLst/>
          </a:endParaRPr>
        </a:p>
        <a:p>
          <a:pPr algn="l"/>
          <a:endParaRPr lang="pt-BR" sz="1000" kern="12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one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0.94625</cdr:y>
    </cdr:from>
    <cdr:to>
      <cdr:x>0</cdr:x>
      <cdr:y>0.94674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0" y="4103927"/>
          <a:ext cx="2498905" cy="277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00" kern="1200">
              <a:solidFill>
                <a:schemeClr val="tx1">
                  <a:lumMod val="95000"/>
                  <a:lumOff val="5000"/>
                </a:schemeClr>
              </a:solidFill>
            </a:rPr>
            <a:t>Fonte: Companhia Nacional de Abastecimento - Conab - Dados</a:t>
          </a:r>
          <a:r>
            <a:rPr lang="pt-BR" sz="1000" kern="1200" baseline="0">
              <a:solidFill>
                <a:schemeClr val="tx1">
                  <a:lumMod val="95000"/>
                  <a:lumOff val="5000"/>
                </a:schemeClr>
              </a:solidFill>
            </a:rPr>
            <a:t> trabalhados pelo Consórcio</a:t>
          </a:r>
          <a:endParaRPr lang="pt-BR" sz="1000" kern="1200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0.43793</cdr:x>
      <cdr:y>0.40283</cdr:y>
    </cdr:from>
    <cdr:to>
      <cdr:x>0.55714</cdr:x>
      <cdr:y>0.60004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3410479" y="1690687"/>
          <a:ext cx="914400" cy="91440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0.94775</cdr:y>
    </cdr:from>
    <cdr:to>
      <cdr:x>0</cdr:x>
      <cdr:y>0.94799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31750" y="4103927"/>
          <a:ext cx="2498905" cy="277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00" kern="1200">
              <a:solidFill>
                <a:schemeClr val="tx1">
                  <a:lumMod val="95000"/>
                  <a:lumOff val="5000"/>
                </a:schemeClr>
              </a:solidFill>
            </a:rPr>
            <a:t>Fonte: Companhia Nacional de Abastecimento - Conab - </a:t>
          </a:r>
          <a:r>
            <a:rPr lang="pt-BR" sz="1000">
              <a:effectLst/>
              <a:latin typeface="+mn-lt"/>
              <a:ea typeface="+mn-ea"/>
              <a:cs typeface="+mn-cs"/>
            </a:rPr>
            <a:t>Dados</a:t>
          </a:r>
          <a:r>
            <a:rPr lang="pt-BR" sz="1000" baseline="0">
              <a:effectLst/>
              <a:latin typeface="+mn-lt"/>
              <a:ea typeface="+mn-ea"/>
              <a:cs typeface="+mn-cs"/>
            </a:rPr>
            <a:t> trabalhados pelo Consórcio</a:t>
          </a:r>
          <a:endParaRPr lang="pt-BR" sz="1000" kern="1200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0.00049</cdr:x>
      <cdr:y>0.94553</cdr:y>
    </cdr:from>
    <cdr:to>
      <cdr:x>0.00049</cdr:x>
      <cdr:y>0.94577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0" y="4103927"/>
          <a:ext cx="2498905" cy="277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00" kern="1200">
              <a:solidFill>
                <a:schemeClr val="tx1">
                  <a:lumMod val="95000"/>
                  <a:lumOff val="5000"/>
                </a:schemeClr>
              </a:solidFill>
            </a:rPr>
            <a:t>Fonte: Companhia Nacional de Abastecimento - Conab - Dados trabalhados pelo Consórcio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6FDD-9B92-4A8A-B33C-2610BF658F6C}">
  <sheetPr>
    <tabColor theme="6" tint="-0.499984740745262"/>
  </sheetPr>
  <dimension ref="A6:N63"/>
  <sheetViews>
    <sheetView showGridLines="0" tabSelected="1" zoomScale="50" zoomScaleNormal="50" zoomScaleSheetLayoutView="70" workbookViewId="0">
      <selection activeCell="AU1" sqref="AU1"/>
    </sheetView>
  </sheetViews>
  <sheetFormatPr defaultRowHeight="12.5" x14ac:dyDescent="0.25"/>
  <cols>
    <col min="1" max="1" width="2.453125" customWidth="1"/>
    <col min="2" max="13" width="9.54296875" customWidth="1"/>
    <col min="14" max="14" width="2" customWidth="1"/>
  </cols>
  <sheetData>
    <row r="6" spans="2:13" x14ac:dyDescent="0.25">
      <c r="B6" s="859"/>
      <c r="C6" s="859"/>
      <c r="D6" s="859"/>
      <c r="E6" s="859"/>
      <c r="F6" s="859"/>
      <c r="G6" s="859"/>
      <c r="H6" s="859"/>
      <c r="I6" s="859"/>
      <c r="J6" s="859"/>
      <c r="K6" s="859"/>
      <c r="L6" s="859"/>
      <c r="M6" s="859"/>
    </row>
    <row r="8" spans="2:13" x14ac:dyDescent="0.25">
      <c r="B8" s="1091" t="s">
        <v>656</v>
      </c>
      <c r="C8" s="1092"/>
      <c r="D8" s="1092"/>
      <c r="E8" s="1092"/>
      <c r="F8" s="1092"/>
      <c r="G8" s="1092"/>
      <c r="H8" s="1092"/>
      <c r="I8" s="1092"/>
      <c r="J8" s="1092"/>
      <c r="K8" s="1092"/>
      <c r="L8" s="1092"/>
      <c r="M8" s="1092"/>
    </row>
    <row r="9" spans="2:13" x14ac:dyDescent="0.25">
      <c r="B9" s="1092"/>
      <c r="C9" s="1092"/>
      <c r="D9" s="1092"/>
      <c r="E9" s="1092"/>
      <c r="F9" s="1092"/>
      <c r="G9" s="1092"/>
      <c r="H9" s="1092"/>
      <c r="I9" s="1092"/>
      <c r="J9" s="1092"/>
      <c r="K9" s="1092"/>
      <c r="L9" s="1092"/>
      <c r="M9" s="1092"/>
    </row>
    <row r="10" spans="2:13" ht="21" hidden="1" x14ac:dyDescent="0.25">
      <c r="B10" s="861"/>
      <c r="C10" s="861"/>
      <c r="D10" s="861"/>
      <c r="E10" s="861"/>
      <c r="F10" s="861"/>
      <c r="G10" s="861"/>
      <c r="H10" s="861"/>
      <c r="I10" s="861"/>
      <c r="J10" s="861"/>
      <c r="K10" s="861"/>
      <c r="L10" s="861"/>
      <c r="M10" s="861"/>
    </row>
    <row r="11" spans="2:13" hidden="1" x14ac:dyDescent="0.25">
      <c r="B11" s="859"/>
      <c r="C11" s="859"/>
      <c r="D11" s="859"/>
      <c r="E11" s="859"/>
      <c r="F11" s="859"/>
      <c r="G11" s="859"/>
      <c r="H11" s="859"/>
      <c r="I11" s="859"/>
      <c r="J11" s="859"/>
      <c r="K11" s="859"/>
      <c r="L11" s="859"/>
      <c r="M11" s="859"/>
    </row>
    <row r="12" spans="2:13" hidden="1" x14ac:dyDescent="0.25">
      <c r="B12" s="859"/>
      <c r="C12" s="859"/>
      <c r="D12" s="859"/>
      <c r="E12" s="859"/>
      <c r="F12" s="859"/>
      <c r="G12" s="859"/>
      <c r="H12" s="859"/>
      <c r="I12" s="859"/>
      <c r="J12" s="859"/>
      <c r="K12" s="859"/>
      <c r="L12" s="859"/>
      <c r="M12" s="859"/>
    </row>
    <row r="13" spans="2:13" hidden="1" x14ac:dyDescent="0.25">
      <c r="B13" s="859"/>
      <c r="C13" s="859"/>
      <c r="D13" s="859"/>
      <c r="E13" s="859"/>
      <c r="F13" s="859"/>
      <c r="G13" s="859"/>
      <c r="H13" s="859"/>
      <c r="I13" s="859"/>
      <c r="J13" s="859"/>
      <c r="K13" s="859"/>
      <c r="L13" s="859"/>
      <c r="M13" s="859"/>
    </row>
    <row r="14" spans="2:13" ht="12" customHeight="1" x14ac:dyDescent="0.25">
      <c r="B14" s="1093" t="s">
        <v>657</v>
      </c>
      <c r="C14" s="1093"/>
      <c r="D14" s="1093"/>
      <c r="E14" s="1093"/>
      <c r="F14" s="1093"/>
      <c r="G14" s="1093"/>
      <c r="H14" s="1093"/>
      <c r="I14" s="1093"/>
      <c r="J14" s="1093"/>
      <c r="K14" s="1093"/>
      <c r="L14" s="1093"/>
      <c r="M14" s="1093"/>
    </row>
    <row r="15" spans="2:13" ht="25.9" customHeight="1" x14ac:dyDescent="0.25">
      <c r="B15" s="1093"/>
      <c r="C15" s="1093"/>
      <c r="D15" s="1093"/>
      <c r="E15" s="1093"/>
      <c r="F15" s="1093"/>
      <c r="G15" s="1093"/>
      <c r="H15" s="1093"/>
      <c r="I15" s="1093"/>
      <c r="J15" s="1093"/>
      <c r="K15" s="1093"/>
      <c r="L15" s="1093"/>
      <c r="M15" s="1093"/>
    </row>
    <row r="16" spans="2:13" ht="25.9" customHeight="1" x14ac:dyDescent="0.25">
      <c r="B16" s="1093"/>
      <c r="C16" s="1093"/>
      <c r="D16" s="1093"/>
      <c r="E16" s="1093"/>
      <c r="F16" s="1093"/>
      <c r="G16" s="1093"/>
      <c r="H16" s="1093"/>
      <c r="I16" s="1093"/>
      <c r="J16" s="1093"/>
      <c r="K16" s="1093"/>
      <c r="L16" s="1093"/>
      <c r="M16" s="1093"/>
    </row>
    <row r="17" spans="2:13" ht="21" customHeight="1" x14ac:dyDescent="0.25">
      <c r="B17" s="1093"/>
      <c r="C17" s="1093"/>
      <c r="D17" s="1093"/>
      <c r="E17" s="1093"/>
      <c r="F17" s="1093"/>
      <c r="G17" s="1093"/>
      <c r="H17" s="1093"/>
      <c r="I17" s="1093"/>
      <c r="J17" s="1093"/>
      <c r="K17" s="1093"/>
      <c r="L17" s="1093"/>
      <c r="M17" s="1093"/>
    </row>
    <row r="18" spans="2:13" ht="21" customHeight="1" x14ac:dyDescent="0.25">
      <c r="B18" s="862"/>
      <c r="C18" s="862"/>
      <c r="D18" s="862"/>
      <c r="E18" s="862"/>
      <c r="F18" s="862"/>
      <c r="G18" s="862"/>
      <c r="H18" s="862"/>
      <c r="I18" s="862"/>
      <c r="J18" s="862"/>
      <c r="K18" s="862"/>
      <c r="L18" s="862"/>
      <c r="M18" s="862"/>
    </row>
    <row r="19" spans="2:13" ht="21" customHeight="1" x14ac:dyDescent="0.25">
      <c r="B19" s="1092" t="s">
        <v>658</v>
      </c>
      <c r="C19" s="1092"/>
      <c r="D19" s="1092"/>
      <c r="E19" s="1092"/>
      <c r="F19" s="1092"/>
      <c r="G19" s="1092"/>
      <c r="H19" s="1092"/>
      <c r="I19" s="1092"/>
      <c r="J19" s="1092"/>
      <c r="K19" s="1092"/>
      <c r="L19" s="1092"/>
      <c r="M19" s="1092"/>
    </row>
    <row r="20" spans="2:13" ht="21.75" hidden="1" customHeight="1" x14ac:dyDescent="0.25">
      <c r="B20" s="859"/>
      <c r="C20" s="859"/>
      <c r="D20" s="859"/>
      <c r="E20" s="859"/>
      <c r="F20" s="859"/>
      <c r="G20" s="859"/>
      <c r="H20" s="859"/>
      <c r="I20" s="859"/>
      <c r="J20" s="859"/>
      <c r="K20" s="859"/>
      <c r="L20" s="859"/>
      <c r="M20" s="859"/>
    </row>
    <row r="21" spans="2:13" ht="12.75" hidden="1" customHeight="1" x14ac:dyDescent="0.25">
      <c r="B21" s="859"/>
      <c r="C21" s="859"/>
      <c r="D21" s="859"/>
      <c r="E21" s="859"/>
      <c r="F21" s="859"/>
      <c r="G21" s="859"/>
      <c r="H21" s="859"/>
      <c r="I21" s="859"/>
      <c r="J21" s="859"/>
      <c r="K21" s="859"/>
      <c r="L21" s="859"/>
      <c r="M21" s="859"/>
    </row>
    <row r="22" spans="2:13" hidden="1" x14ac:dyDescent="0.25">
      <c r="B22" s="859"/>
      <c r="C22" s="859"/>
      <c r="D22" s="859"/>
      <c r="E22" s="859"/>
      <c r="F22" s="859"/>
      <c r="G22" s="859"/>
      <c r="H22" s="859"/>
      <c r="I22" s="859"/>
      <c r="J22" s="859"/>
      <c r="K22" s="859"/>
      <c r="L22" s="859"/>
      <c r="M22" s="859"/>
    </row>
    <row r="23" spans="2:13" hidden="1" x14ac:dyDescent="0.25">
      <c r="B23" s="859"/>
      <c r="C23" s="859"/>
      <c r="D23" s="859"/>
      <c r="E23" s="859"/>
      <c r="F23" s="859"/>
      <c r="G23" s="859"/>
      <c r="H23" s="859"/>
      <c r="I23" s="859"/>
      <c r="J23" s="859"/>
      <c r="K23" s="859"/>
      <c r="L23" s="859"/>
      <c r="M23" s="859"/>
    </row>
    <row r="24" spans="2:13" x14ac:dyDescent="0.25">
      <c r="B24" s="859"/>
      <c r="C24" s="859"/>
      <c r="D24" s="859"/>
      <c r="E24" s="859"/>
      <c r="F24" s="859"/>
      <c r="G24" s="859"/>
      <c r="H24" s="859"/>
      <c r="I24" s="859"/>
      <c r="J24" s="859"/>
      <c r="K24" s="859"/>
      <c r="L24" s="859"/>
      <c r="M24" s="859"/>
    </row>
    <row r="25" spans="2:13" x14ac:dyDescent="0.25">
      <c r="B25" s="1094" t="s">
        <v>659</v>
      </c>
      <c r="C25" s="1094"/>
      <c r="D25" s="1094"/>
      <c r="E25" s="1094"/>
      <c r="F25" s="1094"/>
      <c r="G25" s="1094"/>
      <c r="H25" s="1094"/>
      <c r="I25" s="1094"/>
      <c r="J25" s="1094"/>
      <c r="K25" s="1094"/>
      <c r="L25" s="1094"/>
      <c r="M25" s="1094"/>
    </row>
    <row r="26" spans="2:13" x14ac:dyDescent="0.25">
      <c r="B26" s="1094"/>
      <c r="C26" s="1094"/>
      <c r="D26" s="1094"/>
      <c r="E26" s="1094"/>
      <c r="F26" s="1094"/>
      <c r="G26" s="1094"/>
      <c r="H26" s="1094"/>
      <c r="I26" s="1094"/>
      <c r="J26" s="1094"/>
      <c r="K26" s="1094"/>
      <c r="L26" s="1094"/>
      <c r="M26" s="1094"/>
    </row>
    <row r="27" spans="2:13" ht="12.75" customHeight="1" x14ac:dyDescent="0.25">
      <c r="B27" s="1094"/>
      <c r="C27" s="1094"/>
      <c r="D27" s="1094"/>
      <c r="E27" s="1094"/>
      <c r="F27" s="1094"/>
      <c r="G27" s="1094"/>
      <c r="H27" s="1094"/>
      <c r="I27" s="1094"/>
      <c r="J27" s="1094"/>
      <c r="K27" s="1094"/>
      <c r="L27" s="1094"/>
      <c r="M27" s="1094"/>
    </row>
    <row r="28" spans="2:13" ht="8.25" customHeight="1" x14ac:dyDescent="0.25">
      <c r="B28" s="1094"/>
      <c r="C28" s="1094"/>
      <c r="D28" s="1094"/>
      <c r="E28" s="1094"/>
      <c r="F28" s="1094"/>
      <c r="G28" s="1094"/>
      <c r="H28" s="1094"/>
      <c r="I28" s="1094"/>
      <c r="J28" s="1094"/>
      <c r="K28" s="1094"/>
      <c r="L28" s="1094"/>
      <c r="M28" s="1094"/>
    </row>
    <row r="29" spans="2:13" ht="12.75" customHeight="1" x14ac:dyDescent="0.25">
      <c r="B29" s="1094"/>
      <c r="C29" s="1094"/>
      <c r="D29" s="1094"/>
      <c r="E29" s="1094"/>
      <c r="F29" s="1094"/>
      <c r="G29" s="1094"/>
      <c r="H29" s="1094"/>
      <c r="I29" s="1094"/>
      <c r="J29" s="1094"/>
      <c r="K29" s="1094"/>
      <c r="L29" s="1094"/>
      <c r="M29" s="1094"/>
    </row>
    <row r="30" spans="2:13" x14ac:dyDescent="0.25">
      <c r="B30" s="859"/>
      <c r="C30" s="859"/>
      <c r="D30" s="859"/>
      <c r="E30" s="859"/>
      <c r="F30" s="859"/>
      <c r="G30" s="859"/>
      <c r="H30" s="859"/>
      <c r="I30" s="859"/>
      <c r="J30" s="859"/>
      <c r="K30" s="859"/>
      <c r="L30" s="859"/>
      <c r="M30" s="859"/>
    </row>
    <row r="31" spans="2:13" x14ac:dyDescent="0.25">
      <c r="B31" s="1088" t="s">
        <v>720</v>
      </c>
      <c r="C31" s="1088"/>
      <c r="D31" s="1088"/>
      <c r="E31" s="1088"/>
      <c r="F31" s="1088"/>
      <c r="G31" s="1088"/>
      <c r="H31" s="1088"/>
      <c r="I31" s="1088"/>
      <c r="J31" s="1088"/>
      <c r="K31" s="1088"/>
      <c r="L31" s="1088"/>
      <c r="M31" s="1088"/>
    </row>
    <row r="32" spans="2:13" x14ac:dyDescent="0.25">
      <c r="B32" s="1088"/>
      <c r="C32" s="1088"/>
      <c r="D32" s="1088"/>
      <c r="E32" s="1088"/>
      <c r="F32" s="1088"/>
      <c r="G32" s="1088"/>
      <c r="H32" s="1088"/>
      <c r="I32" s="1088"/>
      <c r="J32" s="1088"/>
      <c r="K32" s="1088"/>
      <c r="L32" s="1088"/>
      <c r="M32" s="1088"/>
    </row>
    <row r="34" spans="6:13" x14ac:dyDescent="0.25">
      <c r="J34" s="859"/>
      <c r="K34" s="859"/>
      <c r="L34" s="859"/>
      <c r="M34" s="859"/>
    </row>
    <row r="35" spans="6:13" x14ac:dyDescent="0.25">
      <c r="F35" s="859"/>
      <c r="G35" s="859"/>
      <c r="H35" s="859"/>
      <c r="I35" s="859"/>
      <c r="J35" s="859"/>
      <c r="K35" s="859"/>
      <c r="L35" s="859"/>
      <c r="M35" s="859"/>
    </row>
    <row r="36" spans="6:13" hidden="1" x14ac:dyDescent="0.25">
      <c r="F36" s="859"/>
      <c r="G36" s="859"/>
      <c r="H36" s="859"/>
      <c r="I36" s="859"/>
      <c r="J36" s="859"/>
      <c r="K36" s="859"/>
      <c r="L36" s="859"/>
      <c r="M36" s="859"/>
    </row>
    <row r="37" spans="6:13" hidden="1" x14ac:dyDescent="0.25">
      <c r="F37" s="859"/>
      <c r="G37" s="859"/>
      <c r="H37" s="859"/>
      <c r="I37" s="859"/>
      <c r="J37" s="859"/>
      <c r="K37" s="859"/>
      <c r="L37" s="859"/>
      <c r="M37" s="859"/>
    </row>
    <row r="38" spans="6:13" hidden="1" x14ac:dyDescent="0.25">
      <c r="F38" s="859"/>
      <c r="G38" s="859"/>
      <c r="H38" s="859"/>
      <c r="I38" s="859"/>
      <c r="J38" s="859"/>
      <c r="K38" s="859"/>
      <c r="L38" s="859"/>
      <c r="M38" s="859"/>
    </row>
    <row r="39" spans="6:13" hidden="1" x14ac:dyDescent="0.25">
      <c r="F39" s="859"/>
      <c r="G39" s="859"/>
      <c r="H39" s="859"/>
      <c r="I39" s="859"/>
      <c r="J39" s="859"/>
      <c r="K39" s="859"/>
      <c r="L39" s="859"/>
      <c r="M39" s="859"/>
    </row>
    <row r="40" spans="6:13" hidden="1" x14ac:dyDescent="0.25">
      <c r="F40" s="859"/>
      <c r="G40" s="859"/>
      <c r="H40" s="859"/>
      <c r="I40" s="859"/>
      <c r="J40" s="859"/>
      <c r="K40" s="859"/>
      <c r="L40" s="859"/>
      <c r="M40" s="859"/>
    </row>
    <row r="41" spans="6:13" hidden="1" x14ac:dyDescent="0.25">
      <c r="F41" s="859"/>
      <c r="G41" s="859"/>
      <c r="H41" s="859"/>
      <c r="I41" s="859"/>
      <c r="J41" s="859"/>
      <c r="K41" s="859"/>
      <c r="L41" s="859"/>
      <c r="M41" s="859"/>
    </row>
    <row r="42" spans="6:13" hidden="1" x14ac:dyDescent="0.25">
      <c r="F42" s="859"/>
      <c r="G42" s="859"/>
      <c r="H42" s="859"/>
      <c r="I42" s="859"/>
      <c r="J42" s="859"/>
      <c r="K42" s="859"/>
      <c r="L42" s="859"/>
      <c r="M42" s="859"/>
    </row>
    <row r="43" spans="6:13" hidden="1" x14ac:dyDescent="0.25">
      <c r="F43" s="859"/>
      <c r="G43" s="859"/>
      <c r="H43" s="859"/>
      <c r="I43" s="859"/>
      <c r="J43" s="859"/>
      <c r="K43" s="859"/>
      <c r="L43" s="859"/>
      <c r="M43" s="859"/>
    </row>
    <row r="44" spans="6:13" hidden="1" x14ac:dyDescent="0.25">
      <c r="F44" s="859"/>
      <c r="G44" s="859"/>
      <c r="H44" s="859"/>
      <c r="I44" s="859"/>
      <c r="J44" s="859"/>
      <c r="K44" s="859"/>
      <c r="L44" s="859"/>
      <c r="M44" s="859"/>
    </row>
    <row r="45" spans="6:13" ht="23.5" x14ac:dyDescent="0.25">
      <c r="F45" s="859"/>
      <c r="G45" s="859"/>
      <c r="H45" s="859"/>
      <c r="I45" s="859"/>
      <c r="J45" s="859"/>
      <c r="K45" s="1095">
        <v>46233</v>
      </c>
      <c r="L45" s="1095"/>
      <c r="M45" s="1095"/>
    </row>
    <row r="51" spans="1:14" ht="21" x14ac:dyDescent="0.25">
      <c r="A51" s="1087" t="s">
        <v>660</v>
      </c>
      <c r="B51" s="1088"/>
      <c r="C51" s="1088"/>
      <c r="D51" s="1088"/>
      <c r="E51" s="1088"/>
      <c r="F51" s="1088"/>
      <c r="G51" s="1088"/>
      <c r="H51" s="1088"/>
      <c r="I51" s="1088"/>
      <c r="J51" s="1088"/>
      <c r="K51" s="1088"/>
      <c r="L51" s="1088"/>
      <c r="M51" s="1088"/>
      <c r="N51" s="1089"/>
    </row>
    <row r="52" spans="1:14" x14ac:dyDescent="0.25">
      <c r="A52" s="858"/>
      <c r="B52" s="859"/>
      <c r="C52" s="859"/>
      <c r="D52" s="859"/>
      <c r="E52" s="859"/>
      <c r="F52" s="859"/>
      <c r="G52" s="859"/>
      <c r="H52" s="859"/>
      <c r="I52" s="859"/>
      <c r="J52" s="859"/>
      <c r="K52" s="859"/>
      <c r="L52" s="859"/>
      <c r="M52" s="859"/>
      <c r="N52" s="860"/>
    </row>
    <row r="53" spans="1:14" x14ac:dyDescent="0.25">
      <c r="A53" s="858"/>
      <c r="B53" s="859"/>
      <c r="C53" s="859"/>
      <c r="D53" s="859"/>
      <c r="E53" s="859"/>
      <c r="F53" s="859"/>
      <c r="G53" s="859"/>
      <c r="H53" s="859"/>
      <c r="I53" s="859"/>
      <c r="J53" s="859"/>
      <c r="K53" s="859"/>
      <c r="L53" s="859"/>
      <c r="M53" s="859"/>
      <c r="N53" s="860"/>
    </row>
    <row r="54" spans="1:14" x14ac:dyDescent="0.25">
      <c r="A54" s="858"/>
      <c r="B54" s="859"/>
      <c r="C54" s="859"/>
      <c r="D54" s="859"/>
      <c r="E54" s="859"/>
      <c r="F54" s="859"/>
      <c r="G54" s="859"/>
      <c r="H54" s="859"/>
      <c r="I54" s="859"/>
      <c r="J54" s="859"/>
      <c r="K54" s="859"/>
      <c r="L54" s="859"/>
      <c r="M54" s="859"/>
      <c r="N54" s="860"/>
    </row>
    <row r="55" spans="1:14" x14ac:dyDescent="0.25">
      <c r="A55" s="858"/>
      <c r="B55" s="859"/>
      <c r="C55" s="859"/>
      <c r="D55" s="859"/>
      <c r="E55" s="859"/>
      <c r="F55" s="859"/>
      <c r="G55" s="859"/>
      <c r="H55" s="859"/>
      <c r="I55" s="859"/>
      <c r="J55" s="859"/>
      <c r="K55" s="859"/>
      <c r="L55" s="859"/>
      <c r="M55" s="859"/>
      <c r="N55" s="860"/>
    </row>
    <row r="56" spans="1:14" x14ac:dyDescent="0.25">
      <c r="A56" s="858"/>
      <c r="B56" s="859"/>
      <c r="C56" s="859"/>
      <c r="D56" s="859"/>
      <c r="E56" s="859"/>
      <c r="F56" s="859"/>
      <c r="G56" s="859"/>
      <c r="H56" s="859"/>
      <c r="I56" s="859"/>
      <c r="J56" s="859"/>
      <c r="K56" s="859"/>
      <c r="L56" s="859"/>
      <c r="M56" s="859"/>
      <c r="N56" s="860"/>
    </row>
    <row r="57" spans="1:14" x14ac:dyDescent="0.25">
      <c r="A57" s="858"/>
      <c r="B57" s="859"/>
      <c r="C57" s="859"/>
      <c r="D57" s="859"/>
      <c r="E57" s="859"/>
      <c r="F57" s="859"/>
      <c r="G57" s="859"/>
      <c r="H57" s="859"/>
      <c r="I57" s="859"/>
      <c r="J57" s="859"/>
      <c r="K57" s="859"/>
      <c r="L57" s="859"/>
      <c r="M57" s="859"/>
      <c r="N57" s="860"/>
    </row>
    <row r="58" spans="1:14" x14ac:dyDescent="0.25">
      <c r="A58" s="858"/>
      <c r="B58" s="859"/>
      <c r="C58" s="859"/>
      <c r="D58" s="859"/>
      <c r="E58" s="859"/>
      <c r="F58" s="859"/>
      <c r="G58" s="859"/>
      <c r="H58" s="859"/>
      <c r="I58" s="859"/>
      <c r="J58" s="859"/>
      <c r="K58" s="859"/>
      <c r="L58" s="859"/>
      <c r="M58" s="859"/>
      <c r="N58" s="860"/>
    </row>
    <row r="59" spans="1:14" x14ac:dyDescent="0.25">
      <c r="A59" s="858"/>
      <c r="B59" s="859"/>
      <c r="C59" s="859"/>
      <c r="D59" s="859"/>
      <c r="E59" s="859"/>
      <c r="F59" s="859"/>
      <c r="G59" s="859"/>
      <c r="H59" s="859"/>
      <c r="I59" s="859"/>
      <c r="J59" s="859"/>
      <c r="K59" s="859"/>
      <c r="L59" s="859"/>
      <c r="M59" s="859"/>
      <c r="N59" s="860"/>
    </row>
    <row r="60" spans="1:14" hidden="1" x14ac:dyDescent="0.25">
      <c r="A60" s="858"/>
      <c r="B60" s="859"/>
      <c r="C60" s="859"/>
      <c r="D60" s="859"/>
      <c r="E60" s="859"/>
      <c r="F60" s="859"/>
      <c r="G60" s="859"/>
      <c r="H60" s="859"/>
      <c r="I60" s="859"/>
      <c r="J60" s="859"/>
      <c r="K60" s="859"/>
      <c r="L60" s="859"/>
      <c r="M60" s="859"/>
      <c r="N60" s="860"/>
    </row>
    <row r="61" spans="1:14" hidden="1" x14ac:dyDescent="0.25">
      <c r="A61" s="858"/>
      <c r="B61" s="859"/>
      <c r="C61" s="859"/>
      <c r="D61" s="859"/>
      <c r="E61" s="859"/>
      <c r="F61" s="859"/>
      <c r="G61" s="859"/>
      <c r="H61" s="859"/>
      <c r="I61" s="859"/>
      <c r="J61" s="859"/>
      <c r="K61" s="859"/>
      <c r="L61" s="859"/>
      <c r="M61" s="859"/>
      <c r="N61" s="860"/>
    </row>
    <row r="62" spans="1:14" x14ac:dyDescent="0.25">
      <c r="A62" s="858"/>
      <c r="B62" s="859"/>
      <c r="C62" s="859"/>
      <c r="D62" s="859"/>
      <c r="E62" s="859"/>
      <c r="F62" s="859"/>
      <c r="G62" s="859"/>
      <c r="H62" s="859"/>
      <c r="I62" s="859"/>
      <c r="J62" s="859"/>
      <c r="K62" s="859"/>
      <c r="L62" s="859"/>
      <c r="M62" s="859"/>
      <c r="N62" s="860"/>
    </row>
    <row r="63" spans="1:14" ht="13" x14ac:dyDescent="0.3">
      <c r="A63" s="863"/>
      <c r="B63" s="1090" t="s">
        <v>661</v>
      </c>
      <c r="C63" s="1090"/>
      <c r="D63" s="1090"/>
      <c r="E63" s="1090"/>
      <c r="F63" s="1090"/>
      <c r="G63" s="1090"/>
      <c r="H63" s="1090"/>
      <c r="I63" s="1090"/>
      <c r="J63" s="1090"/>
      <c r="K63" s="1090"/>
      <c r="L63" s="1090"/>
      <c r="M63" s="1090"/>
      <c r="N63" s="864"/>
    </row>
  </sheetData>
  <mergeCells count="8">
    <mergeCell ref="A51:N51"/>
    <mergeCell ref="B63:M63"/>
    <mergeCell ref="B8:M9"/>
    <mergeCell ref="B14:M17"/>
    <mergeCell ref="B19:M19"/>
    <mergeCell ref="B25:M29"/>
    <mergeCell ref="B31:M32"/>
    <mergeCell ref="K45:M45"/>
  </mergeCells>
  <pageMargins left="0.511811024" right="0.511811024" top="0.78740157499999996" bottom="0.78740157499999996" header="0.31496062000000002" footer="0.31496062000000002"/>
  <pageSetup paperSize="9" scale="7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7B86-D0A0-4215-B9F8-EFB497C32CB4}">
  <sheetPr filterMode="1">
    <tabColor rgb="FFFFC000"/>
  </sheetPr>
  <dimension ref="A1:B41"/>
  <sheetViews>
    <sheetView workbookViewId="0">
      <selection activeCell="B7" sqref="B7"/>
    </sheetView>
  </sheetViews>
  <sheetFormatPr defaultColWidth="8.7265625" defaultRowHeight="12.5" x14ac:dyDescent="0.25"/>
  <cols>
    <col min="1" max="1" width="34.453125" style="897" customWidth="1"/>
    <col min="2" max="2" width="75.81640625" style="898" customWidth="1"/>
    <col min="3" max="16384" width="8.7265625" style="889"/>
  </cols>
  <sheetData>
    <row r="1" spans="1:2" ht="24.75" customHeight="1" x14ac:dyDescent="0.25">
      <c r="A1" s="887" t="s">
        <v>664</v>
      </c>
      <c r="B1" s="888" t="s">
        <v>113</v>
      </c>
    </row>
    <row r="2" spans="1:2" ht="18" customHeight="1" x14ac:dyDescent="0.25">
      <c r="A2" s="890" t="s">
        <v>665</v>
      </c>
      <c r="B2" s="891" t="s">
        <v>666</v>
      </c>
    </row>
    <row r="3" spans="1:2" ht="18" customHeight="1" x14ac:dyDescent="0.25">
      <c r="A3" s="890" t="s">
        <v>377</v>
      </c>
      <c r="B3" s="891" t="s">
        <v>667</v>
      </c>
    </row>
    <row r="4" spans="1:2" ht="25" x14ac:dyDescent="0.25">
      <c r="A4" s="890" t="s">
        <v>668</v>
      </c>
      <c r="B4" s="891" t="s">
        <v>669</v>
      </c>
    </row>
    <row r="5" spans="1:2" ht="18" customHeight="1" x14ac:dyDescent="0.25">
      <c r="A5" s="890" t="s">
        <v>670</v>
      </c>
      <c r="B5" s="891" t="s">
        <v>671</v>
      </c>
    </row>
    <row r="6" spans="1:2" ht="40.5" customHeight="1" x14ac:dyDescent="0.25">
      <c r="A6" s="890" t="s">
        <v>672</v>
      </c>
      <c r="B6" s="891" t="s">
        <v>673</v>
      </c>
    </row>
    <row r="7" spans="1:2" ht="18" customHeight="1" x14ac:dyDescent="0.25">
      <c r="A7" s="892" t="s">
        <v>674</v>
      </c>
      <c r="B7" s="891" t="s">
        <v>675</v>
      </c>
    </row>
    <row r="8" spans="1:2" ht="25" x14ac:dyDescent="0.25">
      <c r="A8" s="893" t="s">
        <v>676</v>
      </c>
      <c r="B8" s="891" t="s">
        <v>677</v>
      </c>
    </row>
    <row r="9" spans="1:2" ht="25" x14ac:dyDescent="0.25">
      <c r="A9" s="893" t="s">
        <v>678</v>
      </c>
      <c r="B9" s="891" t="s">
        <v>679</v>
      </c>
    </row>
    <row r="10" spans="1:2" ht="18" hidden="1" customHeight="1" x14ac:dyDescent="0.25">
      <c r="A10" s="894" t="s">
        <v>680</v>
      </c>
      <c r="B10" s="895" t="s">
        <v>681</v>
      </c>
    </row>
    <row r="11" spans="1:2" ht="18" hidden="1" customHeight="1" x14ac:dyDescent="0.25">
      <c r="A11" s="894" t="s">
        <v>682</v>
      </c>
      <c r="B11" s="895" t="s">
        <v>681</v>
      </c>
    </row>
    <row r="12" spans="1:2" ht="18" hidden="1" customHeight="1" x14ac:dyDescent="0.25">
      <c r="A12" s="894" t="s">
        <v>683</v>
      </c>
      <c r="B12" s="895" t="s">
        <v>681</v>
      </c>
    </row>
    <row r="13" spans="1:2" ht="18" hidden="1" customHeight="1" x14ac:dyDescent="0.25">
      <c r="A13" s="894" t="s">
        <v>684</v>
      </c>
      <c r="B13" s="895" t="s">
        <v>681</v>
      </c>
    </row>
    <row r="14" spans="1:2" ht="18" customHeight="1" x14ac:dyDescent="0.25">
      <c r="A14" s="892" t="s">
        <v>685</v>
      </c>
      <c r="B14" s="891" t="s">
        <v>675</v>
      </c>
    </row>
    <row r="15" spans="1:2" ht="27.75" customHeight="1" x14ac:dyDescent="0.25">
      <c r="A15" s="893" t="s">
        <v>686</v>
      </c>
      <c r="B15" s="891" t="s">
        <v>687</v>
      </c>
    </row>
    <row r="16" spans="1:2" ht="18" hidden="1" customHeight="1" x14ac:dyDescent="0.25">
      <c r="A16" s="894" t="s">
        <v>688</v>
      </c>
      <c r="B16" s="895" t="s">
        <v>681</v>
      </c>
    </row>
    <row r="17" spans="1:2" ht="18" hidden="1" customHeight="1" x14ac:dyDescent="0.25">
      <c r="A17" s="894" t="s">
        <v>689</v>
      </c>
      <c r="B17" s="895" t="s">
        <v>681</v>
      </c>
    </row>
    <row r="18" spans="1:2" ht="18" hidden="1" customHeight="1" x14ac:dyDescent="0.25">
      <c r="A18" s="894" t="s">
        <v>690</v>
      </c>
      <c r="B18" s="895" t="s">
        <v>681</v>
      </c>
    </row>
    <row r="19" spans="1:2" ht="18" hidden="1" customHeight="1" x14ac:dyDescent="0.25">
      <c r="A19" s="894" t="s">
        <v>691</v>
      </c>
      <c r="B19" s="895" t="s">
        <v>681</v>
      </c>
    </row>
    <row r="20" spans="1:2" ht="18" hidden="1" customHeight="1" x14ac:dyDescent="0.25">
      <c r="A20" s="894" t="s">
        <v>692</v>
      </c>
      <c r="B20" s="895" t="s">
        <v>681</v>
      </c>
    </row>
    <row r="21" spans="1:2" ht="18" hidden="1" customHeight="1" x14ac:dyDescent="0.25">
      <c r="A21" s="894" t="s">
        <v>693</v>
      </c>
      <c r="B21" s="895" t="s">
        <v>681</v>
      </c>
    </row>
    <row r="22" spans="1:2" ht="18" hidden="1" customHeight="1" x14ac:dyDescent="0.25">
      <c r="A22" s="894" t="s">
        <v>694</v>
      </c>
      <c r="B22" s="895" t="s">
        <v>681</v>
      </c>
    </row>
    <row r="23" spans="1:2" ht="18" hidden="1" customHeight="1" x14ac:dyDescent="0.25">
      <c r="A23" s="894" t="s">
        <v>695</v>
      </c>
      <c r="B23" s="895" t="s">
        <v>681</v>
      </c>
    </row>
    <row r="24" spans="1:2" ht="18" hidden="1" customHeight="1" x14ac:dyDescent="0.25">
      <c r="A24" s="894" t="s">
        <v>696</v>
      </c>
      <c r="B24" s="895" t="s">
        <v>681</v>
      </c>
    </row>
    <row r="25" spans="1:2" ht="27.75" customHeight="1" x14ac:dyDescent="0.25">
      <c r="A25" s="893" t="s">
        <v>697</v>
      </c>
      <c r="B25" s="891" t="s">
        <v>698</v>
      </c>
    </row>
    <row r="26" spans="1:2" ht="18" customHeight="1" x14ac:dyDescent="0.25">
      <c r="A26" s="892" t="s">
        <v>699</v>
      </c>
      <c r="B26" s="891" t="s">
        <v>675</v>
      </c>
    </row>
    <row r="27" spans="1:2" ht="32.25" customHeight="1" x14ac:dyDescent="0.25">
      <c r="A27" s="893" t="s">
        <v>700</v>
      </c>
      <c r="B27" s="891" t="s">
        <v>701</v>
      </c>
    </row>
    <row r="28" spans="1:2" ht="27.75" customHeight="1" x14ac:dyDescent="0.25">
      <c r="A28" s="893" t="s">
        <v>702</v>
      </c>
      <c r="B28" s="891" t="s">
        <v>703</v>
      </c>
    </row>
    <row r="29" spans="1:2" ht="18" customHeight="1" x14ac:dyDescent="0.25">
      <c r="A29" s="892" t="s">
        <v>704</v>
      </c>
      <c r="B29" s="891" t="s">
        <v>675</v>
      </c>
    </row>
    <row r="30" spans="1:2" ht="18" customHeight="1" x14ac:dyDescent="0.25">
      <c r="A30" s="896" t="s">
        <v>847</v>
      </c>
      <c r="B30" s="1062" t="s">
        <v>848</v>
      </c>
    </row>
    <row r="31" spans="1:2" ht="39.75" customHeight="1" x14ac:dyDescent="0.25">
      <c r="A31" s="896" t="s">
        <v>705</v>
      </c>
      <c r="B31" s="891" t="s">
        <v>706</v>
      </c>
    </row>
    <row r="32" spans="1:2" ht="18" customHeight="1" x14ac:dyDescent="0.25">
      <c r="A32" s="896" t="s">
        <v>707</v>
      </c>
      <c r="B32" s="891" t="s">
        <v>708</v>
      </c>
    </row>
    <row r="33" spans="1:2" ht="30" customHeight="1" x14ac:dyDescent="0.25">
      <c r="A33" s="896" t="s">
        <v>709</v>
      </c>
      <c r="B33" s="891" t="s">
        <v>710</v>
      </c>
    </row>
    <row r="34" spans="1:2" ht="26.25" customHeight="1" x14ac:dyDescent="0.25">
      <c r="A34" s="896" t="s">
        <v>711</v>
      </c>
      <c r="B34" s="891" t="s">
        <v>712</v>
      </c>
    </row>
    <row r="35" spans="1:2" ht="18" customHeight="1" x14ac:dyDescent="0.25">
      <c r="A35" s="896" t="s">
        <v>713</v>
      </c>
      <c r="B35" s="891" t="s">
        <v>714</v>
      </c>
    </row>
    <row r="36" spans="1:2" ht="18" customHeight="1" x14ac:dyDescent="0.25">
      <c r="A36" s="896" t="s">
        <v>715</v>
      </c>
      <c r="B36" s="891" t="s">
        <v>716</v>
      </c>
    </row>
    <row r="37" spans="1:2" ht="18" hidden="1" customHeight="1" x14ac:dyDescent="0.25">
      <c r="A37" s="894" t="s">
        <v>717</v>
      </c>
      <c r="B37" s="895" t="s">
        <v>681</v>
      </c>
    </row>
    <row r="38" spans="1:2" ht="18" hidden="1" customHeight="1" x14ac:dyDescent="0.25">
      <c r="A38" s="894" t="s">
        <v>718</v>
      </c>
      <c r="B38" s="895" t="s">
        <v>681</v>
      </c>
    </row>
    <row r="39" spans="1:2" ht="18" hidden="1" customHeight="1" x14ac:dyDescent="0.25">
      <c r="A39" s="894" t="s">
        <v>719</v>
      </c>
      <c r="B39" s="895" t="s">
        <v>681</v>
      </c>
    </row>
    <row r="40" spans="1:2" x14ac:dyDescent="0.25">
      <c r="A40" s="1012" t="s">
        <v>786</v>
      </c>
      <c r="B40" s="891" t="s">
        <v>787</v>
      </c>
    </row>
    <row r="41" spans="1:2" x14ac:dyDescent="0.25">
      <c r="A41" s="1012" t="s">
        <v>788</v>
      </c>
      <c r="B41" s="891" t="s">
        <v>789</v>
      </c>
    </row>
  </sheetData>
  <autoFilter ref="A1:B1" xr:uid="{25BA8955-280A-4333-BDA9-818742C966C9}">
    <filterColumn colId="1">
      <filters>
        <filter val="aba de identificação das abas à direita"/>
        <filter val="Banco de dados com composição de custos diversos, atualizados. Referência para elaboração das planilhas de rentabilidade das culturas"/>
        <filter val="Banco de dados de preços atualizados dos insumos utilizados."/>
        <filter val="Descrição das principais premissas adotadas para a elaboração do estudo"/>
        <filter val="Informações referentes ao projeto e descrição do documento"/>
        <filter val="Memória de cálculo da rentabilidade das culturas permanentes, com detalhamento das despesas e receitas anuais desde o ano 1 até o ano 35"/>
        <filter val="Memória de cálculo da rentabilidade das culturas temporárias, com detalhamento das despesas e receitas anuais desde o ano 1 até o ano 35"/>
        <filter val="Memória de cálculo para encontrar preço médio de venda das culturas permanentes"/>
        <filter val="Memória de cálculo para encontrar preço médio de venda das culturas temporárias"/>
        <filter val="Memória de cálculo para obtenção dos quantitativos de água e energia para cada tipo de cultura estudada"/>
        <filter val="Planejamento da ocupação das áreas com plantio das culturas do 1º ao 35º ano"/>
        <filter val="Planilha consolidada com os resultados do Planejamento Global, por ano,da área em estudo, somando todos os cultivos. Na mesma aba contém o resumo do planejamento por cultura."/>
        <filter val="planilha de apoio com os balanços de receita/custo das culturas estudadas"/>
        <filter val="Planilha de apoio que estabelece o planejamento da quantidade de áreas a serem plantadas com cada tipo de cultura e a estratégia desse ocupação dessas áreas por período"/>
        <filter val="Planilha de levantamento quantitativo dos insumos necessários para plantio das culturas temporárias"/>
        <filter val="Planilha de levantamento quantitativo dos insumos necessários para plantio e manutenção  das culturas permanentes, dentro do seu ciclo de vida"/>
        <filter val="Planilha resumo da rentabilidade das culturas permanentes, considerando os gastos com a implantação, os custos operacionais e a receita anual do ano 1 ao ano 35."/>
        <filter val="Planilha resumo da rentabilidade das culturas Temporárias, considerando os gastos com a implantação, os custos operacionais e a receita anual do ano 1 ao ano 35.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8DEA-F0BC-4320-9637-9E42B9D474FE}">
  <sheetPr>
    <tabColor theme="6" tint="-0.499984740745262"/>
    <pageSetUpPr fitToPage="1"/>
  </sheetPr>
  <dimension ref="A3:C19"/>
  <sheetViews>
    <sheetView showGridLines="0" topLeftCell="A3" zoomScale="85" zoomScaleNormal="85" workbookViewId="0">
      <selection activeCell="Q3" sqref="Q3"/>
    </sheetView>
  </sheetViews>
  <sheetFormatPr defaultColWidth="9.1796875" defaultRowHeight="12.75" customHeight="1" zeroHeight="1" x14ac:dyDescent="0.25"/>
  <cols>
    <col min="1" max="1" width="3.81640625" customWidth="1"/>
    <col min="2" max="2" width="4.1796875" style="75" bestFit="1" customWidth="1"/>
    <col min="3" max="3" width="110" style="75" bestFit="1" customWidth="1"/>
    <col min="4" max="16384" width="9.1796875" style="75"/>
  </cols>
  <sheetData>
    <row r="3" spans="2:3" customFormat="1" ht="30" customHeight="1" thickBot="1" x14ac:dyDescent="0.3">
      <c r="B3" s="536"/>
      <c r="C3" s="537" t="s">
        <v>509</v>
      </c>
    </row>
    <row r="4" spans="2:3" customFormat="1" ht="26.15" customHeight="1" x14ac:dyDescent="0.25">
      <c r="B4" s="72" t="s">
        <v>358</v>
      </c>
      <c r="C4" s="1060" t="s">
        <v>850</v>
      </c>
    </row>
    <row r="5" spans="2:3" customFormat="1" ht="26.15" customHeight="1" x14ac:dyDescent="0.25">
      <c r="B5" s="72" t="s">
        <v>359</v>
      </c>
      <c r="C5" s="74" t="s">
        <v>851</v>
      </c>
    </row>
    <row r="6" spans="2:3" customFormat="1" ht="26.15" customHeight="1" x14ac:dyDescent="0.25">
      <c r="B6" s="72" t="s">
        <v>360</v>
      </c>
      <c r="C6" s="74" t="s">
        <v>852</v>
      </c>
    </row>
    <row r="7" spans="2:3" customFormat="1" ht="26.15" customHeight="1" x14ac:dyDescent="0.25">
      <c r="B7" s="72" t="s">
        <v>361</v>
      </c>
      <c r="C7" s="74" t="s">
        <v>595</v>
      </c>
    </row>
    <row r="8" spans="2:3" customFormat="1" ht="26.15" customHeight="1" x14ac:dyDescent="0.25">
      <c r="B8" s="72" t="s">
        <v>362</v>
      </c>
      <c r="C8" s="74" t="s">
        <v>849</v>
      </c>
    </row>
    <row r="9" spans="2:3" customFormat="1" ht="26.15" customHeight="1" x14ac:dyDescent="0.25">
      <c r="B9" s="72" t="s">
        <v>363</v>
      </c>
      <c r="C9" s="74" t="s">
        <v>346</v>
      </c>
    </row>
    <row r="10" spans="2:3" customFormat="1" ht="26.15" customHeight="1" x14ac:dyDescent="0.25">
      <c r="B10" s="72" t="s">
        <v>364</v>
      </c>
      <c r="C10" s="74" t="s">
        <v>596</v>
      </c>
    </row>
    <row r="11" spans="2:3" customFormat="1" ht="26.15" customHeight="1" x14ac:dyDescent="0.25">
      <c r="B11" s="72" t="s">
        <v>365</v>
      </c>
      <c r="C11" s="74" t="s">
        <v>347</v>
      </c>
    </row>
    <row r="12" spans="2:3" customFormat="1" ht="26.15" customHeight="1" x14ac:dyDescent="0.25">
      <c r="B12" s="72" t="s">
        <v>366</v>
      </c>
      <c r="C12" s="74" t="s">
        <v>351</v>
      </c>
    </row>
    <row r="13" spans="2:3" customFormat="1" ht="26.15" customHeight="1" x14ac:dyDescent="0.25">
      <c r="B13" s="72" t="s">
        <v>367</v>
      </c>
      <c r="C13" s="74" t="s">
        <v>783</v>
      </c>
    </row>
    <row r="14" spans="2:3" customFormat="1" ht="26.15" customHeight="1" x14ac:dyDescent="0.25">
      <c r="B14" s="72" t="s">
        <v>368</v>
      </c>
      <c r="C14" s="74" t="s">
        <v>784</v>
      </c>
    </row>
    <row r="15" spans="2:3" customFormat="1" ht="26.15" customHeight="1" x14ac:dyDescent="0.25">
      <c r="B15" s="72" t="s">
        <v>369</v>
      </c>
      <c r="C15" s="74" t="s">
        <v>349</v>
      </c>
    </row>
    <row r="16" spans="2:3" customFormat="1" ht="26.15" customHeight="1" x14ac:dyDescent="0.25">
      <c r="B16" s="72" t="s">
        <v>370</v>
      </c>
      <c r="C16" s="74" t="s">
        <v>348</v>
      </c>
    </row>
    <row r="17" spans="2:3" customFormat="1" ht="26.15" customHeight="1" x14ac:dyDescent="0.25">
      <c r="B17" s="72" t="s">
        <v>371</v>
      </c>
      <c r="C17" s="74" t="s">
        <v>350</v>
      </c>
    </row>
    <row r="18" spans="2:3" customFormat="1" ht="26.15" customHeight="1" x14ac:dyDescent="0.25">
      <c r="B18" s="72" t="s">
        <v>372</v>
      </c>
      <c r="C18" s="74" t="s">
        <v>352</v>
      </c>
    </row>
    <row r="19" spans="2:3" customFormat="1" ht="26.15" customHeight="1" thickBot="1" x14ac:dyDescent="0.3">
      <c r="B19" s="73" t="s">
        <v>373</v>
      </c>
      <c r="C19" t="s">
        <v>785</v>
      </c>
    </row>
  </sheetData>
  <phoneticPr fontId="16" type="noConversion"/>
  <pageMargins left="0.511811024" right="0.511811024" top="0.78740157499999996" bottom="0.78740157499999996" header="0.31496062000000002" footer="0.31496062000000002"/>
  <pageSetup paperSize="9" scale="79" fitToHeight="0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E526-2AFC-4285-9122-B7EECF3F6D10}">
  <sheetPr>
    <tabColor theme="6" tint="-0.499984740745262"/>
    <outlinePr summaryBelow="0" summaryRight="0"/>
  </sheetPr>
  <dimension ref="A1:IS321"/>
  <sheetViews>
    <sheetView showGridLines="0" topLeftCell="A229" zoomScale="86" zoomScaleNormal="70" workbookViewId="0">
      <pane xSplit="2" topLeftCell="AA1" activePane="topRight" state="frozen"/>
      <selection activeCell="B186" sqref="B186"/>
      <selection pane="topRight" activeCell="AB250" sqref="AB250:AK250"/>
    </sheetView>
  </sheetViews>
  <sheetFormatPr defaultColWidth="0" defaultRowHeight="12.5" outlineLevelRow="2" x14ac:dyDescent="0.25"/>
  <cols>
    <col min="1" max="1" width="7.1796875" style="6" customWidth="1"/>
    <col min="2" max="2" width="47.453125" style="6" bestFit="1" customWidth="1"/>
    <col min="3" max="3" width="5.54296875" style="6" bestFit="1" customWidth="1"/>
    <col min="4" max="4" width="16.7265625" style="6" bestFit="1" customWidth="1"/>
    <col min="5" max="5" width="17.7265625" style="6" bestFit="1" customWidth="1"/>
    <col min="6" max="6" width="17.1796875" style="6" bestFit="1" customWidth="1"/>
    <col min="7" max="7" width="16.453125" style="6" bestFit="1" customWidth="1"/>
    <col min="8" max="9" width="16.7265625" style="6" bestFit="1" customWidth="1"/>
    <col min="10" max="10" width="16.453125" style="6" bestFit="1" customWidth="1"/>
    <col min="11" max="11" width="16.7265625" style="6" bestFit="1" customWidth="1"/>
    <col min="12" max="13" width="16.453125" style="6" bestFit="1" customWidth="1"/>
    <col min="14" max="15" width="16.7265625" style="6" bestFit="1" customWidth="1"/>
    <col min="16" max="16" width="16.453125" style="6" bestFit="1" customWidth="1"/>
    <col min="17" max="18" width="16.7265625" style="6" bestFit="1" customWidth="1"/>
    <col min="19" max="19" width="16.453125" style="6" bestFit="1" customWidth="1"/>
    <col min="20" max="21" width="16.7265625" style="6" bestFit="1" customWidth="1"/>
    <col min="22" max="22" width="16.453125" style="6" bestFit="1" customWidth="1"/>
    <col min="23" max="24" width="16.7265625" style="6" bestFit="1" customWidth="1"/>
    <col min="25" max="25" width="16.453125" style="6" bestFit="1" customWidth="1"/>
    <col min="26" max="27" width="16.7265625" style="6" bestFit="1" customWidth="1"/>
    <col min="28" max="29" width="16.453125" style="6" bestFit="1" customWidth="1"/>
    <col min="30" max="35" width="16.7265625" style="6" bestFit="1" customWidth="1"/>
    <col min="36" max="36" width="16.453125" style="6" bestFit="1" customWidth="1"/>
    <col min="37" max="37" width="16.7265625" style="6" bestFit="1" customWidth="1"/>
    <col min="38" max="38" width="9.1796875" style="6" customWidth="1"/>
    <col min="39" max="16384" width="9.1796875" style="6" hidden="1"/>
  </cols>
  <sheetData>
    <row r="1" spans="1:37" s="110" customFormat="1" ht="13" thickBot="1" x14ac:dyDescent="0.3">
      <c r="A1" s="110" t="s">
        <v>344</v>
      </c>
      <c r="B1" s="110">
        <v>2</v>
      </c>
      <c r="D1" s="110">
        <v>4</v>
      </c>
      <c r="E1" s="110">
        <v>5</v>
      </c>
      <c r="F1" s="110">
        <v>6</v>
      </c>
      <c r="G1" s="110">
        <v>7</v>
      </c>
      <c r="H1" s="110">
        <v>8</v>
      </c>
      <c r="I1" s="110">
        <v>9</v>
      </c>
      <c r="J1" s="110">
        <v>10</v>
      </c>
      <c r="K1" s="110">
        <v>11</v>
      </c>
      <c r="L1" s="110">
        <v>12</v>
      </c>
      <c r="M1" s="110">
        <v>13</v>
      </c>
      <c r="N1" s="110">
        <v>14</v>
      </c>
      <c r="O1" s="110">
        <v>15</v>
      </c>
      <c r="P1" s="110">
        <v>16</v>
      </c>
      <c r="Q1" s="110">
        <v>17</v>
      </c>
      <c r="R1" s="110">
        <v>18</v>
      </c>
      <c r="S1" s="110">
        <v>19</v>
      </c>
      <c r="T1" s="110">
        <v>20</v>
      </c>
      <c r="U1" s="110">
        <v>21</v>
      </c>
      <c r="V1" s="110">
        <v>22</v>
      </c>
      <c r="W1" s="110">
        <v>23</v>
      </c>
      <c r="X1" s="110">
        <v>24</v>
      </c>
      <c r="Y1" s="110">
        <v>25</v>
      </c>
      <c r="Z1" s="110">
        <v>26</v>
      </c>
      <c r="AA1" s="110">
        <v>27</v>
      </c>
      <c r="AB1" s="110">
        <v>28</v>
      </c>
      <c r="AC1" s="110">
        <v>29</v>
      </c>
      <c r="AD1" s="110">
        <v>30</v>
      </c>
      <c r="AE1" s="110">
        <v>31</v>
      </c>
      <c r="AF1" s="110">
        <v>32</v>
      </c>
      <c r="AG1" s="110">
        <v>33</v>
      </c>
      <c r="AH1" s="110">
        <v>34</v>
      </c>
      <c r="AI1" s="110">
        <v>35</v>
      </c>
      <c r="AJ1" s="110">
        <v>36</v>
      </c>
      <c r="AK1" s="110">
        <v>37</v>
      </c>
    </row>
    <row r="2" spans="1:37" s="541" customFormat="1" ht="40" customHeight="1" thickBot="1" x14ac:dyDescent="0.3">
      <c r="A2" s="538" t="s">
        <v>508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39"/>
      <c r="AK2" s="539"/>
    </row>
    <row r="3" spans="1:37" s="544" customFormat="1" ht="30" customHeight="1" collapsed="1" thickBot="1" x14ac:dyDescent="0.3">
      <c r="A3" s="542" t="s">
        <v>375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3"/>
      <c r="AB3" s="543"/>
      <c r="AC3" s="543"/>
      <c r="AD3" s="543"/>
      <c r="AE3" s="543"/>
      <c r="AF3" s="543"/>
      <c r="AG3" s="543"/>
      <c r="AH3" s="543"/>
      <c r="AI3" s="543"/>
      <c r="AJ3" s="543"/>
      <c r="AK3" s="883"/>
    </row>
    <row r="4" spans="1:37" s="58" customFormat="1" ht="20.149999999999999" hidden="1" customHeight="1" outlineLevel="1" thickBot="1" x14ac:dyDescent="0.3">
      <c r="A4" s="1096" t="s">
        <v>152</v>
      </c>
      <c r="B4" s="1098" t="s">
        <v>150</v>
      </c>
      <c r="C4" s="884" t="s">
        <v>374</v>
      </c>
      <c r="D4" s="885"/>
      <c r="E4" s="885"/>
      <c r="F4" s="885"/>
      <c r="G4" s="885"/>
      <c r="H4" s="885"/>
      <c r="I4" s="885"/>
      <c r="J4" s="885"/>
      <c r="K4" s="885"/>
      <c r="L4" s="885"/>
      <c r="M4" s="885"/>
      <c r="N4" s="885"/>
      <c r="O4" s="885"/>
      <c r="P4" s="885"/>
      <c r="Q4" s="885"/>
      <c r="R4" s="885"/>
      <c r="S4" s="885"/>
      <c r="T4" s="885"/>
      <c r="U4" s="885"/>
      <c r="V4" s="885"/>
      <c r="W4" s="885"/>
      <c r="X4" s="885"/>
      <c r="Y4" s="885"/>
      <c r="Z4" s="885"/>
      <c r="AA4" s="885"/>
      <c r="AB4" s="885"/>
      <c r="AC4" s="885"/>
      <c r="AD4" s="885"/>
      <c r="AE4" s="885"/>
      <c r="AF4" s="885"/>
      <c r="AG4" s="885"/>
      <c r="AH4" s="885"/>
      <c r="AI4" s="885"/>
      <c r="AJ4" s="885"/>
      <c r="AK4" s="886"/>
    </row>
    <row r="5" spans="1:37" s="58" customFormat="1" ht="20.149999999999999" hidden="1" customHeight="1" outlineLevel="1" thickBot="1" x14ac:dyDescent="0.3">
      <c r="A5" s="1097"/>
      <c r="B5" s="1099"/>
      <c r="C5" s="122">
        <v>1</v>
      </c>
      <c r="D5" s="122">
        <f t="shared" ref="D5:AK5" si="0">C5+1</f>
        <v>2</v>
      </c>
      <c r="E5" s="122">
        <f t="shared" si="0"/>
        <v>3</v>
      </c>
      <c r="F5" s="122">
        <f t="shared" si="0"/>
        <v>4</v>
      </c>
      <c r="G5" s="122">
        <f t="shared" si="0"/>
        <v>5</v>
      </c>
      <c r="H5" s="122">
        <f t="shared" si="0"/>
        <v>6</v>
      </c>
      <c r="I5" s="122">
        <f t="shared" si="0"/>
        <v>7</v>
      </c>
      <c r="J5" s="122">
        <f t="shared" si="0"/>
        <v>8</v>
      </c>
      <c r="K5" s="122">
        <f t="shared" si="0"/>
        <v>9</v>
      </c>
      <c r="L5" s="122">
        <f t="shared" si="0"/>
        <v>10</v>
      </c>
      <c r="M5" s="122">
        <f t="shared" si="0"/>
        <v>11</v>
      </c>
      <c r="N5" s="122">
        <f t="shared" si="0"/>
        <v>12</v>
      </c>
      <c r="O5" s="122">
        <f t="shared" si="0"/>
        <v>13</v>
      </c>
      <c r="P5" s="122">
        <f t="shared" si="0"/>
        <v>14</v>
      </c>
      <c r="Q5" s="122">
        <f t="shared" si="0"/>
        <v>15</v>
      </c>
      <c r="R5" s="122">
        <f t="shared" si="0"/>
        <v>16</v>
      </c>
      <c r="S5" s="122">
        <f t="shared" si="0"/>
        <v>17</v>
      </c>
      <c r="T5" s="122">
        <f t="shared" si="0"/>
        <v>18</v>
      </c>
      <c r="U5" s="122">
        <f t="shared" si="0"/>
        <v>19</v>
      </c>
      <c r="V5" s="122">
        <f t="shared" si="0"/>
        <v>20</v>
      </c>
      <c r="W5" s="122">
        <f t="shared" si="0"/>
        <v>21</v>
      </c>
      <c r="X5" s="122">
        <f t="shared" si="0"/>
        <v>22</v>
      </c>
      <c r="Y5" s="122">
        <f t="shared" si="0"/>
        <v>23</v>
      </c>
      <c r="Z5" s="122">
        <f t="shared" si="0"/>
        <v>24</v>
      </c>
      <c r="AA5" s="122">
        <f t="shared" si="0"/>
        <v>25</v>
      </c>
      <c r="AB5" s="122">
        <f t="shared" si="0"/>
        <v>26</v>
      </c>
      <c r="AC5" s="122">
        <f t="shared" si="0"/>
        <v>27</v>
      </c>
      <c r="AD5" s="122">
        <f t="shared" si="0"/>
        <v>28</v>
      </c>
      <c r="AE5" s="122">
        <f t="shared" si="0"/>
        <v>29</v>
      </c>
      <c r="AF5" s="122">
        <f t="shared" si="0"/>
        <v>30</v>
      </c>
      <c r="AG5" s="122">
        <f t="shared" si="0"/>
        <v>31</v>
      </c>
      <c r="AH5" s="122">
        <f t="shared" si="0"/>
        <v>32</v>
      </c>
      <c r="AI5" s="122">
        <f t="shared" si="0"/>
        <v>33</v>
      </c>
      <c r="AJ5" s="122">
        <f t="shared" si="0"/>
        <v>34</v>
      </c>
      <c r="AK5" s="45">
        <f t="shared" si="0"/>
        <v>35</v>
      </c>
    </row>
    <row r="6" spans="1:37" ht="20.149999999999999" hidden="1" customHeight="1" outlineLevel="1" collapsed="1" thickBot="1" x14ac:dyDescent="0.3">
      <c r="A6" s="70">
        <v>1</v>
      </c>
      <c r="B6" s="104" t="s">
        <v>134</v>
      </c>
      <c r="C6" s="105"/>
      <c r="D6" s="105">
        <f>D16</f>
        <v>0</v>
      </c>
      <c r="E6" s="105">
        <f t="shared" ref="E6:AK6" si="1">E16</f>
        <v>0</v>
      </c>
      <c r="F6" s="105">
        <f t="shared" si="1"/>
        <v>47330067.906336315</v>
      </c>
      <c r="G6" s="105">
        <f t="shared" si="1"/>
        <v>48471840.252199531</v>
      </c>
      <c r="H6" s="105">
        <f t="shared" si="1"/>
        <v>58006515.982753932</v>
      </c>
      <c r="I6" s="105">
        <f t="shared" si="1"/>
        <v>111200011.98586239</v>
      </c>
      <c r="J6" s="105">
        <f t="shared" si="1"/>
        <v>105692936.82494985</v>
      </c>
      <c r="K6" s="105">
        <f t="shared" si="1"/>
        <v>108507752.99803627</v>
      </c>
      <c r="L6" s="105">
        <f t="shared" si="1"/>
        <v>88919536.909062058</v>
      </c>
      <c r="M6" s="105">
        <f t="shared" si="1"/>
        <v>63302185.072170042</v>
      </c>
      <c r="N6" s="105">
        <f t="shared" si="1"/>
        <v>32275713.352939896</v>
      </c>
      <c r="O6" s="105">
        <f t="shared" si="1"/>
        <v>742980.66777382838</v>
      </c>
      <c r="P6" s="105">
        <f t="shared" si="1"/>
        <v>0</v>
      </c>
      <c r="Q6" s="105">
        <f t="shared" si="1"/>
        <v>0</v>
      </c>
      <c r="R6" s="105">
        <f t="shared" si="1"/>
        <v>0</v>
      </c>
      <c r="S6" s="105">
        <f t="shared" si="1"/>
        <v>0</v>
      </c>
      <c r="T6" s="105">
        <f t="shared" si="1"/>
        <v>0</v>
      </c>
      <c r="U6" s="105">
        <f t="shared" si="1"/>
        <v>0</v>
      </c>
      <c r="V6" s="105">
        <f t="shared" si="1"/>
        <v>0</v>
      </c>
      <c r="W6" s="105">
        <f t="shared" si="1"/>
        <v>0</v>
      </c>
      <c r="X6" s="105">
        <f t="shared" si="1"/>
        <v>0</v>
      </c>
      <c r="Y6" s="105">
        <f t="shared" si="1"/>
        <v>0</v>
      </c>
      <c r="Z6" s="105">
        <f t="shared" si="1"/>
        <v>0</v>
      </c>
      <c r="AA6" s="105">
        <f t="shared" si="1"/>
        <v>0</v>
      </c>
      <c r="AB6" s="105">
        <f t="shared" si="1"/>
        <v>0</v>
      </c>
      <c r="AC6" s="105">
        <f t="shared" si="1"/>
        <v>0</v>
      </c>
      <c r="AD6" s="105">
        <f t="shared" si="1"/>
        <v>0</v>
      </c>
      <c r="AE6" s="105">
        <f t="shared" si="1"/>
        <v>0</v>
      </c>
      <c r="AF6" s="105">
        <f t="shared" si="1"/>
        <v>0</v>
      </c>
      <c r="AG6" s="105">
        <f t="shared" si="1"/>
        <v>0</v>
      </c>
      <c r="AH6" s="105">
        <f t="shared" si="1"/>
        <v>0</v>
      </c>
      <c r="AI6" s="105">
        <f t="shared" si="1"/>
        <v>0</v>
      </c>
      <c r="AJ6" s="105">
        <f t="shared" si="1"/>
        <v>0</v>
      </c>
      <c r="AK6" s="106">
        <f t="shared" si="1"/>
        <v>0</v>
      </c>
    </row>
    <row r="7" spans="1:37" ht="20.149999999999999" hidden="1" customHeight="1" outlineLevel="2" x14ac:dyDescent="0.25">
      <c r="A7" s="48" t="s">
        <v>74</v>
      </c>
      <c r="B7" s="78" t="s">
        <v>129</v>
      </c>
      <c r="C7" s="79"/>
      <c r="D7" s="80">
        <f t="shared" ref="D7:AK7" si="2">D48+D79+D110+D141+D172+D203+D234+D265+D296</f>
        <v>0</v>
      </c>
      <c r="E7" s="80">
        <f t="shared" si="2"/>
        <v>0</v>
      </c>
      <c r="F7" s="80">
        <f t="shared" si="2"/>
        <v>1628328.5126639667</v>
      </c>
      <c r="G7" s="80">
        <f t="shared" si="2"/>
        <v>1628328.5126639667</v>
      </c>
      <c r="H7" s="80">
        <f t="shared" si="2"/>
        <v>1956356.4458119008</v>
      </c>
      <c r="I7" s="80">
        <f t="shared" si="2"/>
        <v>3778495.2430362673</v>
      </c>
      <c r="J7" s="80">
        <f t="shared" si="2"/>
        <v>3545075.0160305598</v>
      </c>
      <c r="K7" s="80">
        <f t="shared" si="2"/>
        <v>3647545.9907670068</v>
      </c>
      <c r="L7" s="80">
        <f t="shared" si="2"/>
        <v>2971167.3014640543</v>
      </c>
      <c r="M7" s="80">
        <f t="shared" si="2"/>
        <v>2106152.8245526962</v>
      </c>
      <c r="N7" s="80">
        <f t="shared" si="2"/>
        <v>1059595.2950494557</v>
      </c>
      <c r="O7" s="80">
        <f t="shared" si="2"/>
        <v>0</v>
      </c>
      <c r="P7" s="80">
        <f t="shared" si="2"/>
        <v>0</v>
      </c>
      <c r="Q7" s="80">
        <f t="shared" si="2"/>
        <v>0</v>
      </c>
      <c r="R7" s="80">
        <f t="shared" si="2"/>
        <v>0</v>
      </c>
      <c r="S7" s="80">
        <f t="shared" si="2"/>
        <v>0</v>
      </c>
      <c r="T7" s="80">
        <f t="shared" si="2"/>
        <v>0</v>
      </c>
      <c r="U7" s="80">
        <f t="shared" si="2"/>
        <v>0</v>
      </c>
      <c r="V7" s="80">
        <f t="shared" si="2"/>
        <v>0</v>
      </c>
      <c r="W7" s="80">
        <f t="shared" si="2"/>
        <v>0</v>
      </c>
      <c r="X7" s="80">
        <f t="shared" si="2"/>
        <v>0</v>
      </c>
      <c r="Y7" s="80">
        <f t="shared" si="2"/>
        <v>0</v>
      </c>
      <c r="Z7" s="80">
        <f t="shared" si="2"/>
        <v>0</v>
      </c>
      <c r="AA7" s="80">
        <f t="shared" si="2"/>
        <v>0</v>
      </c>
      <c r="AB7" s="80">
        <f t="shared" si="2"/>
        <v>0</v>
      </c>
      <c r="AC7" s="80">
        <f t="shared" si="2"/>
        <v>0</v>
      </c>
      <c r="AD7" s="80">
        <f t="shared" si="2"/>
        <v>0</v>
      </c>
      <c r="AE7" s="80">
        <f t="shared" si="2"/>
        <v>0</v>
      </c>
      <c r="AF7" s="80">
        <f t="shared" si="2"/>
        <v>0</v>
      </c>
      <c r="AG7" s="80">
        <f t="shared" si="2"/>
        <v>0</v>
      </c>
      <c r="AH7" s="80">
        <f t="shared" si="2"/>
        <v>0</v>
      </c>
      <c r="AI7" s="80">
        <f t="shared" si="2"/>
        <v>0</v>
      </c>
      <c r="AJ7" s="80">
        <f t="shared" si="2"/>
        <v>0</v>
      </c>
      <c r="AK7" s="80">
        <f t="shared" si="2"/>
        <v>0</v>
      </c>
    </row>
    <row r="8" spans="1:37" ht="20.149999999999999" hidden="1" customHeight="1" outlineLevel="2" x14ac:dyDescent="0.25">
      <c r="A8" s="48" t="s">
        <v>75</v>
      </c>
      <c r="B8" s="82" t="s">
        <v>335</v>
      </c>
      <c r="C8" s="80">
        <f>C49+C80+C111+C142+C173+C204+C235+C266+C297</f>
        <v>0</v>
      </c>
      <c r="D8" s="80">
        <f t="shared" ref="D8:AK8" si="3">D49+D80+D111+D142+D173+D204+D235+D266+D297</f>
        <v>0</v>
      </c>
      <c r="E8" s="80">
        <f t="shared" si="3"/>
        <v>0</v>
      </c>
      <c r="F8" s="80">
        <f t="shared" si="3"/>
        <v>7363311.299964454</v>
      </c>
      <c r="G8" s="80">
        <f t="shared" si="3"/>
        <v>7363311.299964454</v>
      </c>
      <c r="H8" s="80">
        <f t="shared" si="3"/>
        <v>8846655.580966197</v>
      </c>
      <c r="I8" s="80">
        <f t="shared" si="3"/>
        <v>17086378.150065888</v>
      </c>
      <c r="J8" s="80">
        <f t="shared" si="3"/>
        <v>16030850.483637255</v>
      </c>
      <c r="K8" s="80">
        <f t="shared" si="3"/>
        <v>16494224.845952414</v>
      </c>
      <c r="L8" s="80">
        <f t="shared" si="3"/>
        <v>13435636.356427288</v>
      </c>
      <c r="M8" s="80">
        <f t="shared" si="3"/>
        <v>9524035.7040172443</v>
      </c>
      <c r="N8" s="80">
        <f t="shared" si="3"/>
        <v>4791496.2790048057</v>
      </c>
      <c r="O8" s="80">
        <f t="shared" si="3"/>
        <v>0</v>
      </c>
      <c r="P8" s="80">
        <f t="shared" si="3"/>
        <v>0</v>
      </c>
      <c r="Q8" s="80">
        <f t="shared" si="3"/>
        <v>0</v>
      </c>
      <c r="R8" s="80">
        <f t="shared" si="3"/>
        <v>0</v>
      </c>
      <c r="S8" s="80">
        <f t="shared" si="3"/>
        <v>0</v>
      </c>
      <c r="T8" s="80">
        <f t="shared" si="3"/>
        <v>0</v>
      </c>
      <c r="U8" s="80">
        <f t="shared" si="3"/>
        <v>0</v>
      </c>
      <c r="V8" s="80">
        <f t="shared" si="3"/>
        <v>0</v>
      </c>
      <c r="W8" s="80">
        <f t="shared" si="3"/>
        <v>0</v>
      </c>
      <c r="X8" s="80">
        <f t="shared" si="3"/>
        <v>0</v>
      </c>
      <c r="Y8" s="80">
        <f t="shared" si="3"/>
        <v>0</v>
      </c>
      <c r="Z8" s="80">
        <f t="shared" si="3"/>
        <v>0</v>
      </c>
      <c r="AA8" s="80">
        <f t="shared" si="3"/>
        <v>0</v>
      </c>
      <c r="AB8" s="80">
        <f t="shared" si="3"/>
        <v>0</v>
      </c>
      <c r="AC8" s="80">
        <f t="shared" si="3"/>
        <v>0</v>
      </c>
      <c r="AD8" s="80">
        <f t="shared" si="3"/>
        <v>0</v>
      </c>
      <c r="AE8" s="80">
        <f t="shared" si="3"/>
        <v>0</v>
      </c>
      <c r="AF8" s="80">
        <f t="shared" si="3"/>
        <v>0</v>
      </c>
      <c r="AG8" s="80">
        <f t="shared" si="3"/>
        <v>0</v>
      </c>
      <c r="AH8" s="80">
        <f t="shared" si="3"/>
        <v>0</v>
      </c>
      <c r="AI8" s="80">
        <f t="shared" si="3"/>
        <v>0</v>
      </c>
      <c r="AJ8" s="80">
        <f t="shared" si="3"/>
        <v>0</v>
      </c>
      <c r="AK8" s="80">
        <f t="shared" si="3"/>
        <v>0</v>
      </c>
    </row>
    <row r="9" spans="1:37" ht="20.149999999999999" hidden="1" customHeight="1" outlineLevel="2" x14ac:dyDescent="0.25">
      <c r="A9" s="48" t="s">
        <v>76</v>
      </c>
      <c r="B9" s="82" t="s">
        <v>336</v>
      </c>
      <c r="C9" s="80">
        <f>C50+C81+C112+C143+C174+C205+C236+C267+C298</f>
        <v>0</v>
      </c>
      <c r="D9" s="80">
        <f t="shared" ref="D9:AK9" si="4">D50+D81+D112+D143+D174+D205+D236+D267+D298</f>
        <v>0</v>
      </c>
      <c r="E9" s="80">
        <f t="shared" si="4"/>
        <v>0</v>
      </c>
      <c r="F9" s="80">
        <f t="shared" si="4"/>
        <v>16998550.274533324</v>
      </c>
      <c r="G9" s="80">
        <f t="shared" si="4"/>
        <v>16998550.274533324</v>
      </c>
      <c r="H9" s="80">
        <f t="shared" si="4"/>
        <v>20422920.277085207</v>
      </c>
      <c r="I9" s="80">
        <f t="shared" si="4"/>
        <v>39444707.165237576</v>
      </c>
      <c r="J9" s="80">
        <f t="shared" si="4"/>
        <v>37007971.92846515</v>
      </c>
      <c r="K9" s="80">
        <f t="shared" si="4"/>
        <v>38077693.426425189</v>
      </c>
      <c r="L9" s="80">
        <f t="shared" si="4"/>
        <v>31016798.118555646</v>
      </c>
      <c r="M9" s="80">
        <f t="shared" si="4"/>
        <v>21986684.133803912</v>
      </c>
      <c r="N9" s="80">
        <f t="shared" si="4"/>
        <v>11061394.401360665</v>
      </c>
      <c r="O9" s="80">
        <f t="shared" si="4"/>
        <v>0</v>
      </c>
      <c r="P9" s="80">
        <f t="shared" si="4"/>
        <v>0</v>
      </c>
      <c r="Q9" s="80">
        <f t="shared" si="4"/>
        <v>0</v>
      </c>
      <c r="R9" s="80">
        <f t="shared" si="4"/>
        <v>0</v>
      </c>
      <c r="S9" s="80">
        <f t="shared" si="4"/>
        <v>0</v>
      </c>
      <c r="T9" s="80">
        <f t="shared" si="4"/>
        <v>0</v>
      </c>
      <c r="U9" s="80">
        <f t="shared" si="4"/>
        <v>0</v>
      </c>
      <c r="V9" s="80">
        <f t="shared" si="4"/>
        <v>0</v>
      </c>
      <c r="W9" s="80">
        <f t="shared" si="4"/>
        <v>0</v>
      </c>
      <c r="X9" s="80">
        <f t="shared" si="4"/>
        <v>0</v>
      </c>
      <c r="Y9" s="80">
        <f t="shared" si="4"/>
        <v>0</v>
      </c>
      <c r="Z9" s="80">
        <f t="shared" si="4"/>
        <v>0</v>
      </c>
      <c r="AA9" s="80">
        <f t="shared" si="4"/>
        <v>0</v>
      </c>
      <c r="AB9" s="80">
        <f t="shared" si="4"/>
        <v>0</v>
      </c>
      <c r="AC9" s="80">
        <f t="shared" si="4"/>
        <v>0</v>
      </c>
      <c r="AD9" s="80">
        <f t="shared" si="4"/>
        <v>0</v>
      </c>
      <c r="AE9" s="80">
        <f t="shared" si="4"/>
        <v>0</v>
      </c>
      <c r="AF9" s="80">
        <f t="shared" si="4"/>
        <v>0</v>
      </c>
      <c r="AG9" s="80">
        <f t="shared" si="4"/>
        <v>0</v>
      </c>
      <c r="AH9" s="80">
        <f t="shared" si="4"/>
        <v>0</v>
      </c>
      <c r="AI9" s="80">
        <f t="shared" si="4"/>
        <v>0</v>
      </c>
      <c r="AJ9" s="80">
        <f t="shared" si="4"/>
        <v>0</v>
      </c>
      <c r="AK9" s="80">
        <f t="shared" si="4"/>
        <v>0</v>
      </c>
    </row>
    <row r="10" spans="1:37" ht="20.149999999999999" hidden="1" customHeight="1" outlineLevel="2" x14ac:dyDescent="0.25">
      <c r="A10" s="48" t="s">
        <v>126</v>
      </c>
      <c r="B10" s="82" t="s">
        <v>130</v>
      </c>
      <c r="C10" s="80">
        <f>C51+C82+C113+C144+C175+C206+C237+C268+C299</f>
        <v>0</v>
      </c>
      <c r="D10" s="80">
        <f t="shared" ref="D10:AK10" si="5">D51+D82+D113+D144+D175+D206+D237+D268+D299</f>
        <v>0</v>
      </c>
      <c r="E10" s="80">
        <f t="shared" si="5"/>
        <v>0</v>
      </c>
      <c r="F10" s="80">
        <f t="shared" si="5"/>
        <v>8300771.5927908523</v>
      </c>
      <c r="G10" s="80">
        <f t="shared" si="5"/>
        <v>8300771.5927908523</v>
      </c>
      <c r="H10" s="80">
        <f t="shared" si="5"/>
        <v>9972967.914319111</v>
      </c>
      <c r="I10" s="80">
        <f t="shared" si="5"/>
        <v>19261731.114428628</v>
      </c>
      <c r="J10" s="80">
        <f t="shared" si="5"/>
        <v>18071818.898040619</v>
      </c>
      <c r="K10" s="80">
        <f t="shared" si="5"/>
        <v>18594187.787096247</v>
      </c>
      <c r="L10" s="80">
        <f t="shared" si="5"/>
        <v>15146194.973318325</v>
      </c>
      <c r="M10" s="80">
        <f t="shared" si="5"/>
        <v>10736588.716684273</v>
      </c>
      <c r="N10" s="80">
        <f t="shared" si="5"/>
        <v>5401525.8325311011</v>
      </c>
      <c r="O10" s="80">
        <f t="shared" si="5"/>
        <v>0</v>
      </c>
      <c r="P10" s="80">
        <f t="shared" si="5"/>
        <v>0</v>
      </c>
      <c r="Q10" s="80">
        <f t="shared" si="5"/>
        <v>0</v>
      </c>
      <c r="R10" s="80">
        <f t="shared" si="5"/>
        <v>0</v>
      </c>
      <c r="S10" s="80">
        <f t="shared" si="5"/>
        <v>0</v>
      </c>
      <c r="T10" s="80">
        <f t="shared" si="5"/>
        <v>0</v>
      </c>
      <c r="U10" s="80">
        <f t="shared" si="5"/>
        <v>0</v>
      </c>
      <c r="V10" s="80">
        <f t="shared" si="5"/>
        <v>0</v>
      </c>
      <c r="W10" s="80">
        <f t="shared" si="5"/>
        <v>0</v>
      </c>
      <c r="X10" s="80">
        <f t="shared" si="5"/>
        <v>0</v>
      </c>
      <c r="Y10" s="80">
        <f t="shared" si="5"/>
        <v>0</v>
      </c>
      <c r="Z10" s="80">
        <f t="shared" si="5"/>
        <v>0</v>
      </c>
      <c r="AA10" s="80">
        <f t="shared" si="5"/>
        <v>0</v>
      </c>
      <c r="AB10" s="80">
        <f t="shared" si="5"/>
        <v>0</v>
      </c>
      <c r="AC10" s="80">
        <f t="shared" si="5"/>
        <v>0</v>
      </c>
      <c r="AD10" s="80">
        <f t="shared" si="5"/>
        <v>0</v>
      </c>
      <c r="AE10" s="80">
        <f t="shared" si="5"/>
        <v>0</v>
      </c>
      <c r="AF10" s="80">
        <f t="shared" si="5"/>
        <v>0</v>
      </c>
      <c r="AG10" s="80">
        <f t="shared" si="5"/>
        <v>0</v>
      </c>
      <c r="AH10" s="80">
        <f t="shared" si="5"/>
        <v>0</v>
      </c>
      <c r="AI10" s="80">
        <f t="shared" si="5"/>
        <v>0</v>
      </c>
      <c r="AJ10" s="80">
        <f t="shared" si="5"/>
        <v>0</v>
      </c>
      <c r="AK10" s="80">
        <f t="shared" si="5"/>
        <v>0</v>
      </c>
    </row>
    <row r="11" spans="1:37" ht="20.149999999999999" hidden="1" customHeight="1" outlineLevel="2" x14ac:dyDescent="0.25">
      <c r="A11" s="84"/>
      <c r="B11" s="83" t="s">
        <v>228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</row>
    <row r="12" spans="1:37" ht="20.149999999999999" hidden="1" customHeight="1" outlineLevel="2" x14ac:dyDescent="0.25">
      <c r="A12" s="85" t="s">
        <v>135</v>
      </c>
      <c r="B12" s="82" t="s">
        <v>142</v>
      </c>
      <c r="C12" s="80">
        <f t="shared" ref="C12:AK12" si="6">C53+C84+C115+C146+C177+C208+C239+C270+C301</f>
        <v>0</v>
      </c>
      <c r="D12" s="80">
        <f t="shared" si="6"/>
        <v>0</v>
      </c>
      <c r="E12" s="80">
        <f t="shared" si="6"/>
        <v>0</v>
      </c>
      <c r="F12" s="80">
        <f t="shared" si="6"/>
        <v>6783097.8966739541</v>
      </c>
      <c r="G12" s="80">
        <f t="shared" si="6"/>
        <v>7252911.8973367941</v>
      </c>
      <c r="H12" s="80">
        <f t="shared" si="6"/>
        <v>8619371.7769503091</v>
      </c>
      <c r="I12" s="80">
        <f t="shared" si="6"/>
        <v>16304465.946325976</v>
      </c>
      <c r="J12" s="80">
        <f t="shared" si="6"/>
        <v>15857844.808698878</v>
      </c>
      <c r="K12" s="80">
        <f t="shared" si="6"/>
        <v>16217358.60334589</v>
      </c>
      <c r="L12" s="80">
        <f t="shared" si="6"/>
        <v>13429345.907587085</v>
      </c>
      <c r="M12" s="80">
        <f t="shared" si="6"/>
        <v>9630818.7622291017</v>
      </c>
      <c r="N12" s="80">
        <f t="shared" si="6"/>
        <v>5021614.8879617713</v>
      </c>
      <c r="O12" s="80">
        <f t="shared" si="6"/>
        <v>305720.0686342332</v>
      </c>
      <c r="P12" s="80">
        <f t="shared" si="6"/>
        <v>0</v>
      </c>
      <c r="Q12" s="80">
        <f t="shared" si="6"/>
        <v>0</v>
      </c>
      <c r="R12" s="80">
        <f t="shared" si="6"/>
        <v>0</v>
      </c>
      <c r="S12" s="80">
        <f t="shared" si="6"/>
        <v>0</v>
      </c>
      <c r="T12" s="80">
        <f t="shared" si="6"/>
        <v>0</v>
      </c>
      <c r="U12" s="80">
        <f t="shared" si="6"/>
        <v>0</v>
      </c>
      <c r="V12" s="80">
        <f t="shared" si="6"/>
        <v>0</v>
      </c>
      <c r="W12" s="80">
        <f t="shared" si="6"/>
        <v>0</v>
      </c>
      <c r="X12" s="80">
        <f t="shared" si="6"/>
        <v>0</v>
      </c>
      <c r="Y12" s="80">
        <f t="shared" si="6"/>
        <v>0</v>
      </c>
      <c r="Z12" s="80">
        <f t="shared" si="6"/>
        <v>0</v>
      </c>
      <c r="AA12" s="80">
        <f t="shared" si="6"/>
        <v>0</v>
      </c>
      <c r="AB12" s="80">
        <f t="shared" si="6"/>
        <v>0</v>
      </c>
      <c r="AC12" s="80">
        <f t="shared" si="6"/>
        <v>0</v>
      </c>
      <c r="AD12" s="80">
        <f t="shared" si="6"/>
        <v>0</v>
      </c>
      <c r="AE12" s="80">
        <f t="shared" si="6"/>
        <v>0</v>
      </c>
      <c r="AF12" s="80">
        <f t="shared" si="6"/>
        <v>0</v>
      </c>
      <c r="AG12" s="80">
        <f t="shared" si="6"/>
        <v>0</v>
      </c>
      <c r="AH12" s="80">
        <f t="shared" si="6"/>
        <v>0</v>
      </c>
      <c r="AI12" s="80">
        <f t="shared" si="6"/>
        <v>0</v>
      </c>
      <c r="AJ12" s="80">
        <f t="shared" si="6"/>
        <v>0</v>
      </c>
      <c r="AK12" s="80">
        <f t="shared" si="6"/>
        <v>0</v>
      </c>
    </row>
    <row r="13" spans="1:37" ht="20.149999999999999" hidden="1" customHeight="1" outlineLevel="2" x14ac:dyDescent="0.25">
      <c r="A13" s="85" t="s">
        <v>157</v>
      </c>
      <c r="B13" s="34" t="s">
        <v>146</v>
      </c>
      <c r="C13" s="80">
        <f t="shared" ref="C13:AK13" si="7">C54+C85+C116+C147+C178+C209+C240+C271+C302</f>
        <v>0</v>
      </c>
      <c r="D13" s="80">
        <f t="shared" si="7"/>
        <v>0</v>
      </c>
      <c r="E13" s="80">
        <f t="shared" si="7"/>
        <v>0</v>
      </c>
      <c r="F13" s="80">
        <f t="shared" si="7"/>
        <v>2248855.9658645284</v>
      </c>
      <c r="G13" s="80">
        <f t="shared" si="7"/>
        <v>2364403.3124178164</v>
      </c>
      <c r="H13" s="80">
        <f t="shared" si="7"/>
        <v>2817436.9408857455</v>
      </c>
      <c r="I13" s="80">
        <f t="shared" si="7"/>
        <v>5357237.988326652</v>
      </c>
      <c r="J13" s="80">
        <f t="shared" si="7"/>
        <v>5164165.6662865337</v>
      </c>
      <c r="K13" s="80">
        <f t="shared" si="7"/>
        <v>5289122.8683616575</v>
      </c>
      <c r="L13" s="80">
        <f t="shared" si="7"/>
        <v>4362259.5298797227</v>
      </c>
      <c r="M13" s="80">
        <f t="shared" si="7"/>
        <v>3119606.8869771818</v>
      </c>
      <c r="N13" s="80">
        <f t="shared" si="7"/>
        <v>1612842.5870834701</v>
      </c>
      <c r="O13" s="80">
        <f t="shared" si="7"/>
        <v>75189.6339166908</v>
      </c>
      <c r="P13" s="80">
        <f t="shared" si="7"/>
        <v>0</v>
      </c>
      <c r="Q13" s="80">
        <f t="shared" si="7"/>
        <v>0</v>
      </c>
      <c r="R13" s="80">
        <f t="shared" si="7"/>
        <v>0</v>
      </c>
      <c r="S13" s="80">
        <f t="shared" si="7"/>
        <v>0</v>
      </c>
      <c r="T13" s="80">
        <f t="shared" si="7"/>
        <v>0</v>
      </c>
      <c r="U13" s="80">
        <f t="shared" si="7"/>
        <v>0</v>
      </c>
      <c r="V13" s="80">
        <f t="shared" si="7"/>
        <v>0</v>
      </c>
      <c r="W13" s="80">
        <f t="shared" si="7"/>
        <v>0</v>
      </c>
      <c r="X13" s="80">
        <f t="shared" si="7"/>
        <v>0</v>
      </c>
      <c r="Y13" s="80">
        <f t="shared" si="7"/>
        <v>0</v>
      </c>
      <c r="Z13" s="80">
        <f t="shared" si="7"/>
        <v>0</v>
      </c>
      <c r="AA13" s="80">
        <f t="shared" si="7"/>
        <v>0</v>
      </c>
      <c r="AB13" s="80">
        <f t="shared" si="7"/>
        <v>0</v>
      </c>
      <c r="AC13" s="80">
        <f t="shared" si="7"/>
        <v>0</v>
      </c>
      <c r="AD13" s="80">
        <f t="shared" si="7"/>
        <v>0</v>
      </c>
      <c r="AE13" s="80">
        <f t="shared" si="7"/>
        <v>0</v>
      </c>
      <c r="AF13" s="80">
        <f t="shared" si="7"/>
        <v>0</v>
      </c>
      <c r="AG13" s="80">
        <f t="shared" si="7"/>
        <v>0</v>
      </c>
      <c r="AH13" s="80">
        <f t="shared" si="7"/>
        <v>0</v>
      </c>
      <c r="AI13" s="80">
        <f t="shared" si="7"/>
        <v>0</v>
      </c>
      <c r="AJ13" s="80">
        <f t="shared" si="7"/>
        <v>0</v>
      </c>
      <c r="AK13" s="80">
        <f t="shared" si="7"/>
        <v>0</v>
      </c>
    </row>
    <row r="14" spans="1:37" ht="20.149999999999999" hidden="1" customHeight="1" outlineLevel="2" x14ac:dyDescent="0.25">
      <c r="A14" s="85" t="s">
        <v>158</v>
      </c>
      <c r="B14" s="82" t="s">
        <v>143</v>
      </c>
      <c r="C14" s="80">
        <f t="shared" ref="C14:AK14" si="8">C55+C86+C117+C148+C179+C210+C241+C272+C303</f>
        <v>0</v>
      </c>
      <c r="D14" s="80">
        <f t="shared" si="8"/>
        <v>0</v>
      </c>
      <c r="E14" s="80">
        <f t="shared" si="8"/>
        <v>0</v>
      </c>
      <c r="F14" s="80">
        <f t="shared" si="8"/>
        <v>2580809.1434952333</v>
      </c>
      <c r="G14" s="80">
        <f t="shared" si="8"/>
        <v>2848279.8531093267</v>
      </c>
      <c r="H14" s="80">
        <f t="shared" si="8"/>
        <v>3368185.684522314</v>
      </c>
      <c r="I14" s="80">
        <f t="shared" si="8"/>
        <v>6310055.3965556258</v>
      </c>
      <c r="J14" s="80">
        <f t="shared" si="8"/>
        <v>6239403.6219724491</v>
      </c>
      <c r="K14" s="80">
        <f t="shared" si="8"/>
        <v>6363472.5387886744</v>
      </c>
      <c r="L14" s="80">
        <f t="shared" si="8"/>
        <v>5308282.3188005816</v>
      </c>
      <c r="M14" s="80">
        <f t="shared" si="8"/>
        <v>3826180.4330355139</v>
      </c>
      <c r="N14" s="80">
        <f t="shared" si="8"/>
        <v>2025357.5312094218</v>
      </c>
      <c r="O14" s="80">
        <f t="shared" si="8"/>
        <v>174050.07851085832</v>
      </c>
      <c r="P14" s="80">
        <f t="shared" si="8"/>
        <v>0</v>
      </c>
      <c r="Q14" s="80">
        <f t="shared" si="8"/>
        <v>0</v>
      </c>
      <c r="R14" s="80">
        <f t="shared" si="8"/>
        <v>0</v>
      </c>
      <c r="S14" s="80">
        <f t="shared" si="8"/>
        <v>0</v>
      </c>
      <c r="T14" s="80">
        <f t="shared" si="8"/>
        <v>0</v>
      </c>
      <c r="U14" s="80">
        <f t="shared" si="8"/>
        <v>0</v>
      </c>
      <c r="V14" s="80">
        <f t="shared" si="8"/>
        <v>0</v>
      </c>
      <c r="W14" s="80">
        <f t="shared" si="8"/>
        <v>0</v>
      </c>
      <c r="X14" s="80">
        <f t="shared" si="8"/>
        <v>0</v>
      </c>
      <c r="Y14" s="80">
        <f t="shared" si="8"/>
        <v>0</v>
      </c>
      <c r="Z14" s="80">
        <f t="shared" si="8"/>
        <v>0</v>
      </c>
      <c r="AA14" s="80">
        <f t="shared" si="8"/>
        <v>0</v>
      </c>
      <c r="AB14" s="80">
        <f t="shared" si="8"/>
        <v>0</v>
      </c>
      <c r="AC14" s="80">
        <f t="shared" si="8"/>
        <v>0</v>
      </c>
      <c r="AD14" s="80">
        <f t="shared" si="8"/>
        <v>0</v>
      </c>
      <c r="AE14" s="80">
        <f t="shared" si="8"/>
        <v>0</v>
      </c>
      <c r="AF14" s="80">
        <f t="shared" si="8"/>
        <v>0</v>
      </c>
      <c r="AG14" s="80">
        <f t="shared" si="8"/>
        <v>0</v>
      </c>
      <c r="AH14" s="80">
        <f t="shared" si="8"/>
        <v>0</v>
      </c>
      <c r="AI14" s="80">
        <f t="shared" si="8"/>
        <v>0</v>
      </c>
      <c r="AJ14" s="80">
        <f t="shared" si="8"/>
        <v>0</v>
      </c>
      <c r="AK14" s="80">
        <f t="shared" si="8"/>
        <v>0</v>
      </c>
    </row>
    <row r="15" spans="1:37" ht="20.149999999999999" hidden="1" customHeight="1" outlineLevel="2" x14ac:dyDescent="0.25">
      <c r="A15" s="85" t="s">
        <v>159</v>
      </c>
      <c r="B15" s="34" t="s">
        <v>141</v>
      </c>
      <c r="C15" s="80">
        <f t="shared" ref="C15:AK15" si="9">C56+C87+C118+C149+C180+C211+C242+C273+C304</f>
        <v>0</v>
      </c>
      <c r="D15" s="80">
        <f t="shared" si="9"/>
        <v>0</v>
      </c>
      <c r="E15" s="80">
        <f t="shared" si="9"/>
        <v>0</v>
      </c>
      <c r="F15" s="80">
        <f t="shared" si="9"/>
        <v>1426343.2203500033</v>
      </c>
      <c r="G15" s="80">
        <f t="shared" si="9"/>
        <v>1715283.5093829934</v>
      </c>
      <c r="H15" s="80">
        <f t="shared" si="9"/>
        <v>2002621.3622131464</v>
      </c>
      <c r="I15" s="80">
        <f t="shared" si="9"/>
        <v>3656940.9818857703</v>
      </c>
      <c r="J15" s="80">
        <f t="shared" si="9"/>
        <v>3775806.401818404</v>
      </c>
      <c r="K15" s="80">
        <f t="shared" si="9"/>
        <v>3824146.9372991929</v>
      </c>
      <c r="L15" s="80">
        <f t="shared" si="9"/>
        <v>3249852.4030293575</v>
      </c>
      <c r="M15" s="80">
        <f t="shared" si="9"/>
        <v>2372117.6108701173</v>
      </c>
      <c r="N15" s="80">
        <f t="shared" si="9"/>
        <v>1301886.5387392098</v>
      </c>
      <c r="O15" s="80">
        <f t="shared" si="9"/>
        <v>188020.88671204605</v>
      </c>
      <c r="P15" s="80">
        <f t="shared" si="9"/>
        <v>0</v>
      </c>
      <c r="Q15" s="80">
        <f t="shared" si="9"/>
        <v>0</v>
      </c>
      <c r="R15" s="80">
        <f t="shared" si="9"/>
        <v>0</v>
      </c>
      <c r="S15" s="80">
        <f t="shared" si="9"/>
        <v>0</v>
      </c>
      <c r="T15" s="80">
        <f t="shared" si="9"/>
        <v>0</v>
      </c>
      <c r="U15" s="80">
        <f t="shared" si="9"/>
        <v>0</v>
      </c>
      <c r="V15" s="80">
        <f t="shared" si="9"/>
        <v>0</v>
      </c>
      <c r="W15" s="80">
        <f t="shared" si="9"/>
        <v>0</v>
      </c>
      <c r="X15" s="80">
        <f t="shared" si="9"/>
        <v>0</v>
      </c>
      <c r="Y15" s="80">
        <f t="shared" si="9"/>
        <v>0</v>
      </c>
      <c r="Z15" s="80">
        <f t="shared" si="9"/>
        <v>0</v>
      </c>
      <c r="AA15" s="80">
        <f t="shared" si="9"/>
        <v>0</v>
      </c>
      <c r="AB15" s="80">
        <f t="shared" si="9"/>
        <v>0</v>
      </c>
      <c r="AC15" s="80">
        <f t="shared" si="9"/>
        <v>0</v>
      </c>
      <c r="AD15" s="80">
        <f t="shared" si="9"/>
        <v>0</v>
      </c>
      <c r="AE15" s="80">
        <f t="shared" si="9"/>
        <v>0</v>
      </c>
      <c r="AF15" s="80">
        <f t="shared" si="9"/>
        <v>0</v>
      </c>
      <c r="AG15" s="80">
        <f t="shared" si="9"/>
        <v>0</v>
      </c>
      <c r="AH15" s="80">
        <f t="shared" si="9"/>
        <v>0</v>
      </c>
      <c r="AI15" s="80">
        <f t="shared" si="9"/>
        <v>0</v>
      </c>
      <c r="AJ15" s="80">
        <f t="shared" si="9"/>
        <v>0</v>
      </c>
      <c r="AK15" s="80">
        <f t="shared" si="9"/>
        <v>0</v>
      </c>
    </row>
    <row r="16" spans="1:37" s="15" customFormat="1" ht="20.149999999999999" hidden="1" customHeight="1" outlineLevel="2" thickBot="1" x14ac:dyDescent="0.3">
      <c r="A16" s="86"/>
      <c r="B16" s="87" t="s">
        <v>148</v>
      </c>
      <c r="C16" s="88"/>
      <c r="D16" s="88">
        <f t="shared" ref="D16:AK16" si="10">SUM(D7:D15)</f>
        <v>0</v>
      </c>
      <c r="E16" s="88">
        <f t="shared" si="10"/>
        <v>0</v>
      </c>
      <c r="F16" s="88">
        <f t="shared" si="10"/>
        <v>47330067.906336315</v>
      </c>
      <c r="G16" s="88">
        <f t="shared" si="10"/>
        <v>48471840.252199531</v>
      </c>
      <c r="H16" s="88">
        <f t="shared" si="10"/>
        <v>58006515.982753932</v>
      </c>
      <c r="I16" s="88">
        <f t="shared" si="10"/>
        <v>111200011.98586239</v>
      </c>
      <c r="J16" s="88">
        <f t="shared" si="10"/>
        <v>105692936.82494985</v>
      </c>
      <c r="K16" s="88">
        <f t="shared" si="10"/>
        <v>108507752.99803627</v>
      </c>
      <c r="L16" s="88">
        <f t="shared" si="10"/>
        <v>88919536.909062058</v>
      </c>
      <c r="M16" s="88">
        <f t="shared" si="10"/>
        <v>63302185.072170042</v>
      </c>
      <c r="N16" s="88">
        <f t="shared" si="10"/>
        <v>32275713.352939896</v>
      </c>
      <c r="O16" s="88">
        <f t="shared" si="10"/>
        <v>742980.66777382838</v>
      </c>
      <c r="P16" s="88">
        <f t="shared" si="10"/>
        <v>0</v>
      </c>
      <c r="Q16" s="88">
        <f t="shared" si="10"/>
        <v>0</v>
      </c>
      <c r="R16" s="88">
        <f t="shared" si="10"/>
        <v>0</v>
      </c>
      <c r="S16" s="88">
        <f t="shared" si="10"/>
        <v>0</v>
      </c>
      <c r="T16" s="88">
        <f t="shared" si="10"/>
        <v>0</v>
      </c>
      <c r="U16" s="88">
        <f t="shared" si="10"/>
        <v>0</v>
      </c>
      <c r="V16" s="88">
        <f t="shared" si="10"/>
        <v>0</v>
      </c>
      <c r="W16" s="88">
        <f t="shared" si="10"/>
        <v>0</v>
      </c>
      <c r="X16" s="88">
        <f t="shared" si="10"/>
        <v>0</v>
      </c>
      <c r="Y16" s="88">
        <f t="shared" si="10"/>
        <v>0</v>
      </c>
      <c r="Z16" s="88">
        <f t="shared" si="10"/>
        <v>0</v>
      </c>
      <c r="AA16" s="88">
        <f t="shared" si="10"/>
        <v>0</v>
      </c>
      <c r="AB16" s="88">
        <f t="shared" si="10"/>
        <v>0</v>
      </c>
      <c r="AC16" s="88">
        <f t="shared" si="10"/>
        <v>0</v>
      </c>
      <c r="AD16" s="88">
        <f t="shared" si="10"/>
        <v>0</v>
      </c>
      <c r="AE16" s="88">
        <f t="shared" si="10"/>
        <v>0</v>
      </c>
      <c r="AF16" s="88">
        <f t="shared" si="10"/>
        <v>0</v>
      </c>
      <c r="AG16" s="88">
        <f t="shared" si="10"/>
        <v>0</v>
      </c>
      <c r="AH16" s="88">
        <f t="shared" si="10"/>
        <v>0</v>
      </c>
      <c r="AI16" s="88">
        <f t="shared" si="10"/>
        <v>0</v>
      </c>
      <c r="AJ16" s="88">
        <f t="shared" si="10"/>
        <v>0</v>
      </c>
      <c r="AK16" s="88">
        <f t="shared" si="10"/>
        <v>0</v>
      </c>
    </row>
    <row r="17" spans="1:253" ht="20.149999999999999" hidden="1" customHeight="1" outlineLevel="1" thickBot="1" x14ac:dyDescent="0.3"/>
    <row r="18" spans="1:253" ht="20.149999999999999" hidden="1" customHeight="1" outlineLevel="1" collapsed="1" thickBot="1" x14ac:dyDescent="0.3">
      <c r="A18" s="70">
        <v>2</v>
      </c>
      <c r="B18" s="104" t="s">
        <v>136</v>
      </c>
      <c r="C18" s="105"/>
      <c r="D18" s="105">
        <f>D23</f>
        <v>0</v>
      </c>
      <c r="E18" s="105">
        <f t="shared" ref="E18:BO18" si="11">E23</f>
        <v>0</v>
      </c>
      <c r="F18" s="105">
        <f t="shared" si="11"/>
        <v>14066015.616813272</v>
      </c>
      <c r="G18" s="105">
        <f t="shared" si="11"/>
        <v>36860509.211217739</v>
      </c>
      <c r="H18" s="105">
        <f t="shared" si="11"/>
        <v>65167661.261242978</v>
      </c>
      <c r="I18" s="105">
        <f t="shared" si="11"/>
        <v>111577208.77909622</v>
      </c>
      <c r="J18" s="105">
        <f t="shared" si="11"/>
        <v>167474597.45933762</v>
      </c>
      <c r="K18" s="105">
        <f t="shared" si="11"/>
        <v>226487100.89743072</v>
      </c>
      <c r="L18" s="105">
        <f t="shared" si="11"/>
        <v>281049862.68784517</v>
      </c>
      <c r="M18" s="105">
        <f t="shared" si="11"/>
        <v>326363607.57701266</v>
      </c>
      <c r="N18" s="105">
        <f t="shared" si="11"/>
        <v>356933646.3670243</v>
      </c>
      <c r="O18" s="105">
        <f t="shared" si="11"/>
        <v>371299591.05725265</v>
      </c>
      <c r="P18" s="105">
        <f t="shared" si="11"/>
        <v>377351159.64869362</v>
      </c>
      <c r="Q18" s="105">
        <f t="shared" si="11"/>
        <v>380166865.83500397</v>
      </c>
      <c r="R18" s="105">
        <f t="shared" si="11"/>
        <v>384154570.14693785</v>
      </c>
      <c r="S18" s="105">
        <f t="shared" si="11"/>
        <v>384515743.81896007</v>
      </c>
      <c r="T18" s="105">
        <f t="shared" si="11"/>
        <v>384873095.33284408</v>
      </c>
      <c r="U18" s="105">
        <f t="shared" si="11"/>
        <v>387297872.56799275</v>
      </c>
      <c r="V18" s="105">
        <f t="shared" si="11"/>
        <v>387222712.2750544</v>
      </c>
      <c r="W18" s="105">
        <f t="shared" si="11"/>
        <v>387464124.71978778</v>
      </c>
      <c r="X18" s="105">
        <f t="shared" si="11"/>
        <v>384920152.05387402</v>
      </c>
      <c r="Y18" s="105">
        <f t="shared" si="11"/>
        <v>378781326.07366866</v>
      </c>
      <c r="Z18" s="105">
        <f t="shared" si="11"/>
        <v>372714757.80444181</v>
      </c>
      <c r="AA18" s="105">
        <f t="shared" si="11"/>
        <v>365111632.28564</v>
      </c>
      <c r="AB18" s="105">
        <f t="shared" si="11"/>
        <v>357860870.06232709</v>
      </c>
      <c r="AC18" s="105">
        <f t="shared" si="11"/>
        <v>353709216.81980264</v>
      </c>
      <c r="AD18" s="105">
        <f t="shared" si="11"/>
        <v>354840323.66353267</v>
      </c>
      <c r="AE18" s="105">
        <f t="shared" si="11"/>
        <v>358141884.39269036</v>
      </c>
      <c r="AF18" s="105">
        <f t="shared" si="11"/>
        <v>363909122.28348237</v>
      </c>
      <c r="AG18" s="105">
        <f t="shared" si="11"/>
        <v>374695819.98278773</v>
      </c>
      <c r="AH18" s="105">
        <f t="shared" si="11"/>
        <v>382720163.35996538</v>
      </c>
      <c r="AI18" s="105">
        <f t="shared" si="11"/>
        <v>388880173.70437098</v>
      </c>
      <c r="AJ18" s="105">
        <f t="shared" si="11"/>
        <v>391361089.00305784</v>
      </c>
      <c r="AK18" s="106">
        <f t="shared" si="11"/>
        <v>390935455.61053801</v>
      </c>
      <c r="AM18" s="113">
        <f t="shared" si="11"/>
        <v>0</v>
      </c>
      <c r="AN18" s="113">
        <f t="shared" si="11"/>
        <v>0</v>
      </c>
      <c r="AO18" s="113">
        <f t="shared" si="11"/>
        <v>0</v>
      </c>
      <c r="AP18" s="113">
        <f t="shared" si="11"/>
        <v>0</v>
      </c>
      <c r="AQ18" s="113">
        <f t="shared" si="11"/>
        <v>0</v>
      </c>
      <c r="AR18" s="113">
        <f t="shared" si="11"/>
        <v>0</v>
      </c>
      <c r="AS18" s="113">
        <f t="shared" si="11"/>
        <v>0</v>
      </c>
      <c r="AT18" s="113">
        <f t="shared" si="11"/>
        <v>0</v>
      </c>
      <c r="AU18" s="113">
        <f t="shared" si="11"/>
        <v>0</v>
      </c>
      <c r="AV18" s="113">
        <f t="shared" si="11"/>
        <v>0</v>
      </c>
      <c r="AW18" s="113">
        <f t="shared" si="11"/>
        <v>0</v>
      </c>
      <c r="AX18" s="113">
        <f t="shared" si="11"/>
        <v>0</v>
      </c>
      <c r="AY18" s="113">
        <f t="shared" si="11"/>
        <v>0</v>
      </c>
      <c r="AZ18" s="113">
        <f t="shared" si="11"/>
        <v>0</v>
      </c>
      <c r="BA18" s="113">
        <f t="shared" si="11"/>
        <v>0</v>
      </c>
      <c r="BB18" s="113">
        <f t="shared" si="11"/>
        <v>0</v>
      </c>
      <c r="BC18" s="113">
        <f t="shared" si="11"/>
        <v>0</v>
      </c>
      <c r="BD18" s="113">
        <f t="shared" si="11"/>
        <v>0</v>
      </c>
      <c r="BE18" s="113">
        <f t="shared" si="11"/>
        <v>0</v>
      </c>
      <c r="BF18" s="113">
        <f t="shared" si="11"/>
        <v>0</v>
      </c>
      <c r="BG18" s="113">
        <f t="shared" si="11"/>
        <v>0</v>
      </c>
      <c r="BH18" s="113">
        <f t="shared" si="11"/>
        <v>0</v>
      </c>
      <c r="BI18" s="113">
        <f t="shared" si="11"/>
        <v>0</v>
      </c>
      <c r="BJ18" s="113">
        <f t="shared" si="11"/>
        <v>0</v>
      </c>
      <c r="BK18" s="113">
        <f t="shared" si="11"/>
        <v>0</v>
      </c>
      <c r="BL18" s="113">
        <f t="shared" si="11"/>
        <v>0</v>
      </c>
      <c r="BM18" s="113">
        <f t="shared" si="11"/>
        <v>0</v>
      </c>
      <c r="BN18" s="113">
        <f t="shared" si="11"/>
        <v>0</v>
      </c>
      <c r="BO18" s="113">
        <f t="shared" si="11"/>
        <v>0</v>
      </c>
      <c r="BP18" s="113">
        <f t="shared" ref="BP18:EA18" si="12">BP23</f>
        <v>0</v>
      </c>
      <c r="BQ18" s="113">
        <f t="shared" si="12"/>
        <v>0</v>
      </c>
      <c r="BR18" s="113">
        <f t="shared" si="12"/>
        <v>0</v>
      </c>
      <c r="BS18" s="113">
        <f t="shared" si="12"/>
        <v>0</v>
      </c>
      <c r="BT18" s="113">
        <f t="shared" si="12"/>
        <v>0</v>
      </c>
      <c r="BU18" s="113">
        <f t="shared" si="12"/>
        <v>0</v>
      </c>
      <c r="BV18" s="113">
        <f t="shared" si="12"/>
        <v>0</v>
      </c>
      <c r="BW18" s="113">
        <f t="shared" si="12"/>
        <v>0</v>
      </c>
      <c r="BX18" s="113">
        <f t="shared" si="12"/>
        <v>0</v>
      </c>
      <c r="BY18" s="113">
        <f t="shared" si="12"/>
        <v>0</v>
      </c>
      <c r="BZ18" s="113">
        <f t="shared" si="12"/>
        <v>0</v>
      </c>
      <c r="CA18" s="113">
        <f t="shared" si="12"/>
        <v>0</v>
      </c>
      <c r="CB18" s="113">
        <f t="shared" si="12"/>
        <v>0</v>
      </c>
      <c r="CC18" s="113">
        <f t="shared" si="12"/>
        <v>0</v>
      </c>
      <c r="CD18" s="113">
        <f t="shared" si="12"/>
        <v>0</v>
      </c>
      <c r="CE18" s="113">
        <f t="shared" si="12"/>
        <v>0</v>
      </c>
      <c r="CF18" s="113">
        <f t="shared" si="12"/>
        <v>0</v>
      </c>
      <c r="CG18" s="113">
        <f t="shared" si="12"/>
        <v>0</v>
      </c>
      <c r="CH18" s="113">
        <f t="shared" si="12"/>
        <v>0</v>
      </c>
      <c r="CI18" s="113">
        <f t="shared" si="12"/>
        <v>0</v>
      </c>
      <c r="CJ18" s="113">
        <f t="shared" si="12"/>
        <v>0</v>
      </c>
      <c r="CK18" s="113">
        <f t="shared" si="12"/>
        <v>0</v>
      </c>
      <c r="CL18" s="113">
        <f t="shared" si="12"/>
        <v>0</v>
      </c>
      <c r="CM18" s="113">
        <f t="shared" si="12"/>
        <v>0</v>
      </c>
      <c r="CN18" s="113">
        <f t="shared" si="12"/>
        <v>0</v>
      </c>
      <c r="CO18" s="113">
        <f t="shared" si="12"/>
        <v>0</v>
      </c>
      <c r="CP18" s="113">
        <f t="shared" si="12"/>
        <v>0</v>
      </c>
      <c r="CQ18" s="113">
        <f t="shared" si="12"/>
        <v>0</v>
      </c>
      <c r="CR18" s="113">
        <f t="shared" si="12"/>
        <v>0</v>
      </c>
      <c r="CS18" s="113">
        <f t="shared" si="12"/>
        <v>0</v>
      </c>
      <c r="CT18" s="113">
        <f t="shared" si="12"/>
        <v>0</v>
      </c>
      <c r="CU18" s="113">
        <f t="shared" si="12"/>
        <v>0</v>
      </c>
      <c r="CV18" s="113">
        <f t="shared" si="12"/>
        <v>0</v>
      </c>
      <c r="CW18" s="113">
        <f t="shared" si="12"/>
        <v>0</v>
      </c>
      <c r="CX18" s="113">
        <f t="shared" si="12"/>
        <v>0</v>
      </c>
      <c r="CY18" s="113">
        <f t="shared" si="12"/>
        <v>0</v>
      </c>
      <c r="CZ18" s="113">
        <f t="shared" si="12"/>
        <v>0</v>
      </c>
      <c r="DA18" s="113">
        <f t="shared" si="12"/>
        <v>0</v>
      </c>
      <c r="DB18" s="113">
        <f t="shared" si="12"/>
        <v>0</v>
      </c>
      <c r="DC18" s="113">
        <f t="shared" si="12"/>
        <v>0</v>
      </c>
      <c r="DD18" s="113">
        <f t="shared" si="12"/>
        <v>0</v>
      </c>
      <c r="DE18" s="113">
        <f t="shared" si="12"/>
        <v>0</v>
      </c>
      <c r="DF18" s="113">
        <f t="shared" si="12"/>
        <v>0</v>
      </c>
      <c r="DG18" s="113">
        <f t="shared" si="12"/>
        <v>0</v>
      </c>
      <c r="DH18" s="113">
        <f t="shared" si="12"/>
        <v>0</v>
      </c>
      <c r="DI18" s="113">
        <f t="shared" si="12"/>
        <v>0</v>
      </c>
      <c r="DJ18" s="113">
        <f t="shared" si="12"/>
        <v>0</v>
      </c>
      <c r="DK18" s="113">
        <f t="shared" si="12"/>
        <v>0</v>
      </c>
      <c r="DL18" s="113">
        <f t="shared" si="12"/>
        <v>0</v>
      </c>
      <c r="DM18" s="113">
        <f t="shared" si="12"/>
        <v>0</v>
      </c>
      <c r="DN18" s="113">
        <f t="shared" si="12"/>
        <v>0</v>
      </c>
      <c r="DO18" s="113">
        <f t="shared" si="12"/>
        <v>0</v>
      </c>
      <c r="DP18" s="113">
        <f t="shared" si="12"/>
        <v>0</v>
      </c>
      <c r="DQ18" s="113">
        <f t="shared" si="12"/>
        <v>0</v>
      </c>
      <c r="DR18" s="113">
        <f t="shared" si="12"/>
        <v>0</v>
      </c>
      <c r="DS18" s="113">
        <f t="shared" si="12"/>
        <v>0</v>
      </c>
      <c r="DT18" s="113">
        <f t="shared" si="12"/>
        <v>0</v>
      </c>
      <c r="DU18" s="113">
        <f t="shared" si="12"/>
        <v>0</v>
      </c>
      <c r="DV18" s="113">
        <f t="shared" si="12"/>
        <v>0</v>
      </c>
      <c r="DW18" s="113">
        <f t="shared" si="12"/>
        <v>0</v>
      </c>
      <c r="DX18" s="113">
        <f t="shared" si="12"/>
        <v>0</v>
      </c>
      <c r="DY18" s="113">
        <f t="shared" si="12"/>
        <v>0</v>
      </c>
      <c r="DZ18" s="113">
        <f t="shared" si="12"/>
        <v>0</v>
      </c>
      <c r="EA18" s="113">
        <f t="shared" si="12"/>
        <v>0</v>
      </c>
      <c r="EB18" s="113">
        <f t="shared" ref="EB18:GM18" si="13">EB23</f>
        <v>0</v>
      </c>
      <c r="EC18" s="113">
        <f t="shared" si="13"/>
        <v>0</v>
      </c>
      <c r="ED18" s="113">
        <f t="shared" si="13"/>
        <v>0</v>
      </c>
      <c r="EE18" s="113">
        <f t="shared" si="13"/>
        <v>0</v>
      </c>
      <c r="EF18" s="113">
        <f t="shared" si="13"/>
        <v>0</v>
      </c>
      <c r="EG18" s="113">
        <f t="shared" si="13"/>
        <v>0</v>
      </c>
      <c r="EH18" s="113">
        <f t="shared" si="13"/>
        <v>0</v>
      </c>
      <c r="EI18" s="113">
        <f t="shared" si="13"/>
        <v>0</v>
      </c>
      <c r="EJ18" s="113">
        <f t="shared" si="13"/>
        <v>0</v>
      </c>
      <c r="EK18" s="113">
        <f t="shared" si="13"/>
        <v>0</v>
      </c>
      <c r="EL18" s="113">
        <f t="shared" si="13"/>
        <v>0</v>
      </c>
      <c r="EM18" s="113">
        <f t="shared" si="13"/>
        <v>0</v>
      </c>
      <c r="EN18" s="113">
        <f t="shared" si="13"/>
        <v>0</v>
      </c>
      <c r="EO18" s="113">
        <f t="shared" si="13"/>
        <v>0</v>
      </c>
      <c r="EP18" s="113">
        <f t="shared" si="13"/>
        <v>0</v>
      </c>
      <c r="EQ18" s="113">
        <f t="shared" si="13"/>
        <v>0</v>
      </c>
      <c r="ER18" s="113">
        <f t="shared" si="13"/>
        <v>0</v>
      </c>
      <c r="ES18" s="113">
        <f t="shared" si="13"/>
        <v>0</v>
      </c>
      <c r="ET18" s="113">
        <f t="shared" si="13"/>
        <v>0</v>
      </c>
      <c r="EU18" s="113">
        <f t="shared" si="13"/>
        <v>0</v>
      </c>
      <c r="EV18" s="113">
        <f t="shared" si="13"/>
        <v>0</v>
      </c>
      <c r="EW18" s="113">
        <f t="shared" si="13"/>
        <v>0</v>
      </c>
      <c r="EX18" s="113">
        <f t="shared" si="13"/>
        <v>0</v>
      </c>
      <c r="EY18" s="113">
        <f t="shared" si="13"/>
        <v>0</v>
      </c>
      <c r="EZ18" s="113">
        <f t="shared" si="13"/>
        <v>0</v>
      </c>
      <c r="FA18" s="113">
        <f t="shared" si="13"/>
        <v>0</v>
      </c>
      <c r="FB18" s="113">
        <f t="shared" si="13"/>
        <v>0</v>
      </c>
      <c r="FC18" s="113">
        <f t="shared" si="13"/>
        <v>0</v>
      </c>
      <c r="FD18" s="113">
        <f t="shared" si="13"/>
        <v>0</v>
      </c>
      <c r="FE18" s="113">
        <f t="shared" si="13"/>
        <v>0</v>
      </c>
      <c r="FF18" s="113">
        <f t="shared" si="13"/>
        <v>0</v>
      </c>
      <c r="FG18" s="113">
        <f t="shared" si="13"/>
        <v>0</v>
      </c>
      <c r="FH18" s="113">
        <f t="shared" si="13"/>
        <v>0</v>
      </c>
      <c r="FI18" s="113">
        <f t="shared" si="13"/>
        <v>0</v>
      </c>
      <c r="FJ18" s="113">
        <f t="shared" si="13"/>
        <v>0</v>
      </c>
      <c r="FK18" s="113">
        <f t="shared" si="13"/>
        <v>0</v>
      </c>
      <c r="FL18" s="113">
        <f t="shared" si="13"/>
        <v>0</v>
      </c>
      <c r="FM18" s="113">
        <f t="shared" si="13"/>
        <v>0</v>
      </c>
      <c r="FN18" s="113">
        <f t="shared" si="13"/>
        <v>0</v>
      </c>
      <c r="FO18" s="113">
        <f t="shared" si="13"/>
        <v>0</v>
      </c>
      <c r="FP18" s="113">
        <f t="shared" si="13"/>
        <v>0</v>
      </c>
      <c r="FQ18" s="113">
        <f t="shared" si="13"/>
        <v>0</v>
      </c>
      <c r="FR18" s="113">
        <f t="shared" si="13"/>
        <v>0</v>
      </c>
      <c r="FS18" s="113">
        <f t="shared" si="13"/>
        <v>0</v>
      </c>
      <c r="FT18" s="113">
        <f t="shared" si="13"/>
        <v>0</v>
      </c>
      <c r="FU18" s="113">
        <f t="shared" si="13"/>
        <v>0</v>
      </c>
      <c r="FV18" s="113">
        <f t="shared" si="13"/>
        <v>0</v>
      </c>
      <c r="FW18" s="113">
        <f t="shared" si="13"/>
        <v>0</v>
      </c>
      <c r="FX18" s="113">
        <f t="shared" si="13"/>
        <v>0</v>
      </c>
      <c r="FY18" s="113">
        <f t="shared" si="13"/>
        <v>0</v>
      </c>
      <c r="FZ18" s="113">
        <f t="shared" si="13"/>
        <v>0</v>
      </c>
      <c r="GA18" s="113">
        <f t="shared" si="13"/>
        <v>0</v>
      </c>
      <c r="GB18" s="113">
        <f t="shared" si="13"/>
        <v>0</v>
      </c>
      <c r="GC18" s="113">
        <f t="shared" si="13"/>
        <v>0</v>
      </c>
      <c r="GD18" s="113">
        <f t="shared" si="13"/>
        <v>0</v>
      </c>
      <c r="GE18" s="113">
        <f t="shared" si="13"/>
        <v>0</v>
      </c>
      <c r="GF18" s="113">
        <f t="shared" si="13"/>
        <v>0</v>
      </c>
      <c r="GG18" s="113">
        <f t="shared" si="13"/>
        <v>0</v>
      </c>
      <c r="GH18" s="113">
        <f t="shared" si="13"/>
        <v>0</v>
      </c>
      <c r="GI18" s="113">
        <f t="shared" si="13"/>
        <v>0</v>
      </c>
      <c r="GJ18" s="113">
        <f t="shared" si="13"/>
        <v>0</v>
      </c>
      <c r="GK18" s="113">
        <f t="shared" si="13"/>
        <v>0</v>
      </c>
      <c r="GL18" s="113">
        <f t="shared" si="13"/>
        <v>0</v>
      </c>
      <c r="GM18" s="113">
        <f t="shared" si="13"/>
        <v>0</v>
      </c>
      <c r="GN18" s="113">
        <f t="shared" ref="GN18:IS18" si="14">GN23</f>
        <v>0</v>
      </c>
      <c r="GO18" s="113">
        <f t="shared" si="14"/>
        <v>0</v>
      </c>
      <c r="GP18" s="113">
        <f t="shared" si="14"/>
        <v>0</v>
      </c>
      <c r="GQ18" s="113">
        <f t="shared" si="14"/>
        <v>0</v>
      </c>
      <c r="GR18" s="113">
        <f t="shared" si="14"/>
        <v>0</v>
      </c>
      <c r="GS18" s="113">
        <f t="shared" si="14"/>
        <v>0</v>
      </c>
      <c r="GT18" s="113">
        <f t="shared" si="14"/>
        <v>0</v>
      </c>
      <c r="GU18" s="113">
        <f t="shared" si="14"/>
        <v>0</v>
      </c>
      <c r="GV18" s="113">
        <f t="shared" si="14"/>
        <v>0</v>
      </c>
      <c r="GW18" s="113">
        <f t="shared" si="14"/>
        <v>0</v>
      </c>
      <c r="GX18" s="113">
        <f t="shared" si="14"/>
        <v>0</v>
      </c>
      <c r="GY18" s="113">
        <f t="shared" si="14"/>
        <v>0</v>
      </c>
      <c r="GZ18" s="113">
        <f t="shared" si="14"/>
        <v>0</v>
      </c>
      <c r="HA18" s="113">
        <f t="shared" si="14"/>
        <v>0</v>
      </c>
      <c r="HB18" s="113">
        <f t="shared" si="14"/>
        <v>0</v>
      </c>
      <c r="HC18" s="113">
        <f t="shared" si="14"/>
        <v>0</v>
      </c>
      <c r="HD18" s="113">
        <f t="shared" si="14"/>
        <v>0</v>
      </c>
      <c r="HE18" s="113">
        <f t="shared" si="14"/>
        <v>0</v>
      </c>
      <c r="HF18" s="113">
        <f t="shared" si="14"/>
        <v>0</v>
      </c>
      <c r="HG18" s="113">
        <f t="shared" si="14"/>
        <v>0</v>
      </c>
      <c r="HH18" s="113">
        <f t="shared" si="14"/>
        <v>0</v>
      </c>
      <c r="HI18" s="113">
        <f t="shared" si="14"/>
        <v>0</v>
      </c>
      <c r="HJ18" s="113">
        <f t="shared" si="14"/>
        <v>0</v>
      </c>
      <c r="HK18" s="113">
        <f t="shared" si="14"/>
        <v>0</v>
      </c>
      <c r="HL18" s="113">
        <f t="shared" si="14"/>
        <v>0</v>
      </c>
      <c r="HM18" s="113">
        <f t="shared" si="14"/>
        <v>0</v>
      </c>
      <c r="HN18" s="113">
        <f t="shared" si="14"/>
        <v>0</v>
      </c>
      <c r="HO18" s="113">
        <f t="shared" si="14"/>
        <v>0</v>
      </c>
      <c r="HP18" s="113">
        <f t="shared" si="14"/>
        <v>0</v>
      </c>
      <c r="HQ18" s="113">
        <f t="shared" si="14"/>
        <v>0</v>
      </c>
      <c r="HR18" s="113">
        <f t="shared" si="14"/>
        <v>0</v>
      </c>
      <c r="HS18" s="113">
        <f t="shared" si="14"/>
        <v>0</v>
      </c>
      <c r="HT18" s="113">
        <f t="shared" si="14"/>
        <v>0</v>
      </c>
      <c r="HU18" s="113">
        <f t="shared" si="14"/>
        <v>0</v>
      </c>
      <c r="HV18" s="113">
        <f t="shared" si="14"/>
        <v>0</v>
      </c>
      <c r="HW18" s="113">
        <f t="shared" si="14"/>
        <v>0</v>
      </c>
      <c r="HX18" s="113">
        <f t="shared" si="14"/>
        <v>0</v>
      </c>
      <c r="HY18" s="113">
        <f t="shared" si="14"/>
        <v>0</v>
      </c>
      <c r="HZ18" s="113">
        <f t="shared" si="14"/>
        <v>0</v>
      </c>
      <c r="IA18" s="113">
        <f t="shared" si="14"/>
        <v>0</v>
      </c>
      <c r="IB18" s="113">
        <f t="shared" si="14"/>
        <v>0</v>
      </c>
      <c r="IC18" s="113">
        <f t="shared" si="14"/>
        <v>0</v>
      </c>
      <c r="ID18" s="113">
        <f t="shared" si="14"/>
        <v>0</v>
      </c>
      <c r="IE18" s="113">
        <f t="shared" si="14"/>
        <v>0</v>
      </c>
      <c r="IF18" s="113">
        <f t="shared" si="14"/>
        <v>0</v>
      </c>
      <c r="IG18" s="113">
        <f t="shared" si="14"/>
        <v>0</v>
      </c>
      <c r="IH18" s="113">
        <f t="shared" si="14"/>
        <v>0</v>
      </c>
      <c r="II18" s="113">
        <f t="shared" si="14"/>
        <v>0</v>
      </c>
      <c r="IJ18" s="113">
        <f t="shared" si="14"/>
        <v>0</v>
      </c>
      <c r="IK18" s="113">
        <f t="shared" si="14"/>
        <v>0</v>
      </c>
      <c r="IL18" s="113">
        <f t="shared" si="14"/>
        <v>0</v>
      </c>
      <c r="IM18" s="113">
        <f t="shared" si="14"/>
        <v>0</v>
      </c>
      <c r="IN18" s="113">
        <f t="shared" si="14"/>
        <v>0</v>
      </c>
      <c r="IO18" s="113">
        <f t="shared" si="14"/>
        <v>0</v>
      </c>
      <c r="IP18" s="113">
        <f t="shared" si="14"/>
        <v>0</v>
      </c>
      <c r="IQ18" s="113">
        <f t="shared" si="14"/>
        <v>0</v>
      </c>
      <c r="IR18" s="113">
        <f t="shared" si="14"/>
        <v>0</v>
      </c>
      <c r="IS18" s="113">
        <f t="shared" si="14"/>
        <v>0</v>
      </c>
    </row>
    <row r="19" spans="1:253" ht="20.149999999999999" hidden="1" customHeight="1" outlineLevel="2" x14ac:dyDescent="0.25">
      <c r="A19" s="48" t="s">
        <v>137</v>
      </c>
      <c r="B19" s="82" t="s">
        <v>142</v>
      </c>
      <c r="C19" s="93"/>
      <c r="D19" s="93">
        <f t="shared" ref="D19:AK19" si="15">D60+D91+D122+D153+D184+D215+D246+D277+D308</f>
        <v>0</v>
      </c>
      <c r="E19" s="93">
        <f t="shared" si="15"/>
        <v>0</v>
      </c>
      <c r="F19" s="93">
        <f t="shared" si="15"/>
        <v>6675345.1676946981</v>
      </c>
      <c r="G19" s="93">
        <f t="shared" si="15"/>
        <v>16493983.982045008</v>
      </c>
      <c r="H19" s="93">
        <f t="shared" si="15"/>
        <v>28673773.319706779</v>
      </c>
      <c r="I19" s="93">
        <f t="shared" si="15"/>
        <v>49465510.471546091</v>
      </c>
      <c r="J19" s="93">
        <f t="shared" si="15"/>
        <v>73248306.604020596</v>
      </c>
      <c r="K19" s="93">
        <f t="shared" si="15"/>
        <v>98580328.013735354</v>
      </c>
      <c r="L19" s="93">
        <f t="shared" si="15"/>
        <v>121879584.96537939</v>
      </c>
      <c r="M19" s="93">
        <f t="shared" si="15"/>
        <v>140639187.56129521</v>
      </c>
      <c r="N19" s="93">
        <f t="shared" si="15"/>
        <v>153411090.11881852</v>
      </c>
      <c r="O19" s="93">
        <f t="shared" si="15"/>
        <v>159114832.68673098</v>
      </c>
      <c r="P19" s="93">
        <f t="shared" si="15"/>
        <v>161766702.89540857</v>
      </c>
      <c r="Q19" s="93">
        <f t="shared" si="15"/>
        <v>163173605.8945258</v>
      </c>
      <c r="R19" s="93">
        <f t="shared" si="15"/>
        <v>165812015.95587248</v>
      </c>
      <c r="S19" s="93">
        <f t="shared" si="15"/>
        <v>166335787.794276</v>
      </c>
      <c r="T19" s="93">
        <f t="shared" si="15"/>
        <v>166976258.09936681</v>
      </c>
      <c r="U19" s="93">
        <f t="shared" si="15"/>
        <v>169371618.21643996</v>
      </c>
      <c r="V19" s="93">
        <f t="shared" si="15"/>
        <v>169371095.14413857</v>
      </c>
      <c r="W19" s="93">
        <f t="shared" si="15"/>
        <v>169734585.98951209</v>
      </c>
      <c r="X19" s="93">
        <f t="shared" si="15"/>
        <v>168709367.18195999</v>
      </c>
      <c r="Y19" s="93">
        <f t="shared" si="15"/>
        <v>165684798.85870105</v>
      </c>
      <c r="Z19" s="93">
        <f t="shared" si="15"/>
        <v>162825158.03705883</v>
      </c>
      <c r="AA19" s="93">
        <f t="shared" si="15"/>
        <v>159523669.1610575</v>
      </c>
      <c r="AB19" s="93">
        <f t="shared" si="15"/>
        <v>156395011.04047757</v>
      </c>
      <c r="AC19" s="93">
        <f t="shared" si="15"/>
        <v>154614414.88398787</v>
      </c>
      <c r="AD19" s="93">
        <f t="shared" si="15"/>
        <v>155628132.28685385</v>
      </c>
      <c r="AE19" s="93">
        <f t="shared" si="15"/>
        <v>156420856.37043157</v>
      </c>
      <c r="AF19" s="93">
        <f t="shared" si="15"/>
        <v>158795601.88806313</v>
      </c>
      <c r="AG19" s="93">
        <f t="shared" si="15"/>
        <v>163756506.95883432</v>
      </c>
      <c r="AH19" s="93">
        <f t="shared" si="15"/>
        <v>166479924.55861235</v>
      </c>
      <c r="AI19" s="93">
        <f t="shared" si="15"/>
        <v>168517327.89920723</v>
      </c>
      <c r="AJ19" s="93">
        <f t="shared" si="15"/>
        <v>168788982.19599977</v>
      </c>
      <c r="AK19" s="882">
        <f t="shared" si="15"/>
        <v>167982307.81797922</v>
      </c>
      <c r="AM19" s="93">
        <f t="shared" ref="AM19:CX19" si="16">AM60+AM91+AM122+AM153+AM184+AM215+AM246+AM277+AM308</f>
        <v>0</v>
      </c>
      <c r="AN19" s="93">
        <f t="shared" si="16"/>
        <v>0</v>
      </c>
      <c r="AO19" s="93">
        <f t="shared" si="16"/>
        <v>0</v>
      </c>
      <c r="AP19" s="93">
        <f t="shared" si="16"/>
        <v>0</v>
      </c>
      <c r="AQ19" s="93">
        <f t="shared" si="16"/>
        <v>0</v>
      </c>
      <c r="AR19" s="93">
        <f t="shared" si="16"/>
        <v>0</v>
      </c>
      <c r="AS19" s="93">
        <f t="shared" si="16"/>
        <v>0</v>
      </c>
      <c r="AT19" s="93">
        <f t="shared" si="16"/>
        <v>0</v>
      </c>
      <c r="AU19" s="93">
        <f t="shared" si="16"/>
        <v>0</v>
      </c>
      <c r="AV19" s="93">
        <f t="shared" si="16"/>
        <v>0</v>
      </c>
      <c r="AW19" s="93">
        <f t="shared" si="16"/>
        <v>0</v>
      </c>
      <c r="AX19" s="93">
        <f t="shared" si="16"/>
        <v>0</v>
      </c>
      <c r="AY19" s="93">
        <f t="shared" si="16"/>
        <v>0</v>
      </c>
      <c r="AZ19" s="93">
        <f t="shared" si="16"/>
        <v>0</v>
      </c>
      <c r="BA19" s="93">
        <f t="shared" si="16"/>
        <v>0</v>
      </c>
      <c r="BB19" s="93">
        <f t="shared" si="16"/>
        <v>0</v>
      </c>
      <c r="BC19" s="93">
        <f t="shared" si="16"/>
        <v>0</v>
      </c>
      <c r="BD19" s="93">
        <f t="shared" si="16"/>
        <v>0</v>
      </c>
      <c r="BE19" s="93">
        <f t="shared" si="16"/>
        <v>0</v>
      </c>
      <c r="BF19" s="93">
        <f t="shared" si="16"/>
        <v>0</v>
      </c>
      <c r="BG19" s="93">
        <f t="shared" si="16"/>
        <v>0</v>
      </c>
      <c r="BH19" s="93">
        <f t="shared" si="16"/>
        <v>0</v>
      </c>
      <c r="BI19" s="93">
        <f t="shared" si="16"/>
        <v>0</v>
      </c>
      <c r="BJ19" s="93">
        <f t="shared" si="16"/>
        <v>0</v>
      </c>
      <c r="BK19" s="93">
        <f t="shared" si="16"/>
        <v>0</v>
      </c>
      <c r="BL19" s="93">
        <f t="shared" si="16"/>
        <v>0</v>
      </c>
      <c r="BM19" s="93">
        <f t="shared" si="16"/>
        <v>0</v>
      </c>
      <c r="BN19" s="93">
        <f t="shared" si="16"/>
        <v>0</v>
      </c>
      <c r="BO19" s="93">
        <f t="shared" si="16"/>
        <v>0</v>
      </c>
      <c r="BP19" s="93">
        <f t="shared" si="16"/>
        <v>0</v>
      </c>
      <c r="BQ19" s="93">
        <f t="shared" si="16"/>
        <v>0</v>
      </c>
      <c r="BR19" s="93">
        <f t="shared" si="16"/>
        <v>0</v>
      </c>
      <c r="BS19" s="93">
        <f t="shared" si="16"/>
        <v>0</v>
      </c>
      <c r="BT19" s="93">
        <f t="shared" si="16"/>
        <v>0</v>
      </c>
      <c r="BU19" s="93">
        <f t="shared" si="16"/>
        <v>0</v>
      </c>
      <c r="BV19" s="93">
        <f t="shared" si="16"/>
        <v>0</v>
      </c>
      <c r="BW19" s="93">
        <f t="shared" si="16"/>
        <v>0</v>
      </c>
      <c r="BX19" s="93">
        <f t="shared" si="16"/>
        <v>0</v>
      </c>
      <c r="BY19" s="93">
        <f t="shared" si="16"/>
        <v>0</v>
      </c>
      <c r="BZ19" s="93">
        <f t="shared" si="16"/>
        <v>0</v>
      </c>
      <c r="CA19" s="93">
        <f t="shared" si="16"/>
        <v>0</v>
      </c>
      <c r="CB19" s="93">
        <f t="shared" si="16"/>
        <v>0</v>
      </c>
      <c r="CC19" s="93">
        <f t="shared" si="16"/>
        <v>0</v>
      </c>
      <c r="CD19" s="93">
        <f t="shared" si="16"/>
        <v>0</v>
      </c>
      <c r="CE19" s="93">
        <f t="shared" si="16"/>
        <v>0</v>
      </c>
      <c r="CF19" s="93">
        <f t="shared" si="16"/>
        <v>0</v>
      </c>
      <c r="CG19" s="93">
        <f t="shared" si="16"/>
        <v>0</v>
      </c>
      <c r="CH19" s="93">
        <f t="shared" si="16"/>
        <v>0</v>
      </c>
      <c r="CI19" s="93">
        <f t="shared" si="16"/>
        <v>0</v>
      </c>
      <c r="CJ19" s="93">
        <f t="shared" si="16"/>
        <v>0</v>
      </c>
      <c r="CK19" s="93">
        <f t="shared" si="16"/>
        <v>0</v>
      </c>
      <c r="CL19" s="93">
        <f t="shared" si="16"/>
        <v>0</v>
      </c>
      <c r="CM19" s="93">
        <f t="shared" si="16"/>
        <v>0</v>
      </c>
      <c r="CN19" s="93">
        <f t="shared" si="16"/>
        <v>0</v>
      </c>
      <c r="CO19" s="93">
        <f t="shared" si="16"/>
        <v>0</v>
      </c>
      <c r="CP19" s="93">
        <f t="shared" si="16"/>
        <v>0</v>
      </c>
      <c r="CQ19" s="93">
        <f t="shared" si="16"/>
        <v>0</v>
      </c>
      <c r="CR19" s="93">
        <f t="shared" si="16"/>
        <v>0</v>
      </c>
      <c r="CS19" s="93">
        <f t="shared" si="16"/>
        <v>0</v>
      </c>
      <c r="CT19" s="93">
        <f t="shared" si="16"/>
        <v>0</v>
      </c>
      <c r="CU19" s="93">
        <f t="shared" si="16"/>
        <v>0</v>
      </c>
      <c r="CV19" s="93">
        <f t="shared" si="16"/>
        <v>0</v>
      </c>
      <c r="CW19" s="93">
        <f t="shared" si="16"/>
        <v>0</v>
      </c>
      <c r="CX19" s="93">
        <f t="shared" si="16"/>
        <v>0</v>
      </c>
      <c r="CY19" s="93">
        <f t="shared" ref="CY19:FJ19" si="17">CY60+CY91+CY122+CY153+CY184+CY215+CY246+CY277+CY308</f>
        <v>0</v>
      </c>
      <c r="CZ19" s="93">
        <f t="shared" si="17"/>
        <v>0</v>
      </c>
      <c r="DA19" s="93">
        <f t="shared" si="17"/>
        <v>0</v>
      </c>
      <c r="DB19" s="93">
        <f t="shared" si="17"/>
        <v>0</v>
      </c>
      <c r="DC19" s="93">
        <f t="shared" si="17"/>
        <v>0</v>
      </c>
      <c r="DD19" s="93">
        <f t="shared" si="17"/>
        <v>0</v>
      </c>
      <c r="DE19" s="93">
        <f t="shared" si="17"/>
        <v>0</v>
      </c>
      <c r="DF19" s="93">
        <f t="shared" si="17"/>
        <v>0</v>
      </c>
      <c r="DG19" s="93">
        <f t="shared" si="17"/>
        <v>0</v>
      </c>
      <c r="DH19" s="93">
        <f t="shared" si="17"/>
        <v>0</v>
      </c>
      <c r="DI19" s="93">
        <f t="shared" si="17"/>
        <v>0</v>
      </c>
      <c r="DJ19" s="93">
        <f t="shared" si="17"/>
        <v>0</v>
      </c>
      <c r="DK19" s="93">
        <f t="shared" si="17"/>
        <v>0</v>
      </c>
      <c r="DL19" s="93">
        <f t="shared" si="17"/>
        <v>0</v>
      </c>
      <c r="DM19" s="93">
        <f t="shared" si="17"/>
        <v>0</v>
      </c>
      <c r="DN19" s="93">
        <f t="shared" si="17"/>
        <v>0</v>
      </c>
      <c r="DO19" s="93">
        <f t="shared" si="17"/>
        <v>0</v>
      </c>
      <c r="DP19" s="93">
        <f t="shared" si="17"/>
        <v>0</v>
      </c>
      <c r="DQ19" s="93">
        <f t="shared" si="17"/>
        <v>0</v>
      </c>
      <c r="DR19" s="93">
        <f t="shared" si="17"/>
        <v>0</v>
      </c>
      <c r="DS19" s="93">
        <f t="shared" si="17"/>
        <v>0</v>
      </c>
      <c r="DT19" s="93">
        <f t="shared" si="17"/>
        <v>0</v>
      </c>
      <c r="DU19" s="93">
        <f t="shared" si="17"/>
        <v>0</v>
      </c>
      <c r="DV19" s="93">
        <f t="shared" si="17"/>
        <v>0</v>
      </c>
      <c r="DW19" s="93">
        <f t="shared" si="17"/>
        <v>0</v>
      </c>
      <c r="DX19" s="93">
        <f t="shared" si="17"/>
        <v>0</v>
      </c>
      <c r="DY19" s="93">
        <f t="shared" si="17"/>
        <v>0</v>
      </c>
      <c r="DZ19" s="93">
        <f t="shared" si="17"/>
        <v>0</v>
      </c>
      <c r="EA19" s="93">
        <f t="shared" si="17"/>
        <v>0</v>
      </c>
      <c r="EB19" s="93">
        <f t="shared" si="17"/>
        <v>0</v>
      </c>
      <c r="EC19" s="93">
        <f t="shared" si="17"/>
        <v>0</v>
      </c>
      <c r="ED19" s="93">
        <f t="shared" si="17"/>
        <v>0</v>
      </c>
      <c r="EE19" s="93">
        <f t="shared" si="17"/>
        <v>0</v>
      </c>
      <c r="EF19" s="93">
        <f t="shared" si="17"/>
        <v>0</v>
      </c>
      <c r="EG19" s="93">
        <f t="shared" si="17"/>
        <v>0</v>
      </c>
      <c r="EH19" s="93">
        <f t="shared" si="17"/>
        <v>0</v>
      </c>
      <c r="EI19" s="93">
        <f t="shared" si="17"/>
        <v>0</v>
      </c>
      <c r="EJ19" s="93">
        <f t="shared" si="17"/>
        <v>0</v>
      </c>
      <c r="EK19" s="93">
        <f t="shared" si="17"/>
        <v>0</v>
      </c>
      <c r="EL19" s="93">
        <f t="shared" si="17"/>
        <v>0</v>
      </c>
      <c r="EM19" s="93">
        <f t="shared" si="17"/>
        <v>0</v>
      </c>
      <c r="EN19" s="93">
        <f t="shared" si="17"/>
        <v>0</v>
      </c>
      <c r="EO19" s="93">
        <f t="shared" si="17"/>
        <v>0</v>
      </c>
      <c r="EP19" s="93">
        <f t="shared" si="17"/>
        <v>0</v>
      </c>
      <c r="EQ19" s="93">
        <f t="shared" si="17"/>
        <v>0</v>
      </c>
      <c r="ER19" s="93">
        <f t="shared" si="17"/>
        <v>0</v>
      </c>
      <c r="ES19" s="93">
        <f t="shared" si="17"/>
        <v>0</v>
      </c>
      <c r="ET19" s="93">
        <f t="shared" si="17"/>
        <v>0</v>
      </c>
      <c r="EU19" s="93">
        <f t="shared" si="17"/>
        <v>0</v>
      </c>
      <c r="EV19" s="93">
        <f t="shared" si="17"/>
        <v>0</v>
      </c>
      <c r="EW19" s="93">
        <f t="shared" si="17"/>
        <v>0</v>
      </c>
      <c r="EX19" s="93">
        <f t="shared" si="17"/>
        <v>0</v>
      </c>
      <c r="EY19" s="93">
        <f t="shared" si="17"/>
        <v>0</v>
      </c>
      <c r="EZ19" s="93">
        <f t="shared" si="17"/>
        <v>0</v>
      </c>
      <c r="FA19" s="93">
        <f t="shared" si="17"/>
        <v>0</v>
      </c>
      <c r="FB19" s="93">
        <f t="shared" si="17"/>
        <v>0</v>
      </c>
      <c r="FC19" s="93">
        <f t="shared" si="17"/>
        <v>0</v>
      </c>
      <c r="FD19" s="93">
        <f t="shared" si="17"/>
        <v>0</v>
      </c>
      <c r="FE19" s="93">
        <f t="shared" si="17"/>
        <v>0</v>
      </c>
      <c r="FF19" s="93">
        <f t="shared" si="17"/>
        <v>0</v>
      </c>
      <c r="FG19" s="93">
        <f t="shared" si="17"/>
        <v>0</v>
      </c>
      <c r="FH19" s="93">
        <f t="shared" si="17"/>
        <v>0</v>
      </c>
      <c r="FI19" s="93">
        <f t="shared" si="17"/>
        <v>0</v>
      </c>
      <c r="FJ19" s="93">
        <f t="shared" si="17"/>
        <v>0</v>
      </c>
      <c r="FK19" s="93">
        <f t="shared" ref="FK19:HV19" si="18">FK60+FK91+FK122+FK153+FK184+FK215+FK246+FK277+FK308</f>
        <v>0</v>
      </c>
      <c r="FL19" s="93">
        <f t="shared" si="18"/>
        <v>0</v>
      </c>
      <c r="FM19" s="93">
        <f t="shared" si="18"/>
        <v>0</v>
      </c>
      <c r="FN19" s="93">
        <f t="shared" si="18"/>
        <v>0</v>
      </c>
      <c r="FO19" s="93">
        <f t="shared" si="18"/>
        <v>0</v>
      </c>
      <c r="FP19" s="93">
        <f t="shared" si="18"/>
        <v>0</v>
      </c>
      <c r="FQ19" s="93">
        <f t="shared" si="18"/>
        <v>0</v>
      </c>
      <c r="FR19" s="93">
        <f t="shared" si="18"/>
        <v>0</v>
      </c>
      <c r="FS19" s="93">
        <f t="shared" si="18"/>
        <v>0</v>
      </c>
      <c r="FT19" s="93">
        <f t="shared" si="18"/>
        <v>0</v>
      </c>
      <c r="FU19" s="93">
        <f t="shared" si="18"/>
        <v>0</v>
      </c>
      <c r="FV19" s="93">
        <f t="shared" si="18"/>
        <v>0</v>
      </c>
      <c r="FW19" s="93">
        <f t="shared" si="18"/>
        <v>0</v>
      </c>
      <c r="FX19" s="93">
        <f t="shared" si="18"/>
        <v>0</v>
      </c>
      <c r="FY19" s="93">
        <f t="shared" si="18"/>
        <v>0</v>
      </c>
      <c r="FZ19" s="93">
        <f t="shared" si="18"/>
        <v>0</v>
      </c>
      <c r="GA19" s="93">
        <f t="shared" si="18"/>
        <v>0</v>
      </c>
      <c r="GB19" s="93">
        <f t="shared" si="18"/>
        <v>0</v>
      </c>
      <c r="GC19" s="93">
        <f t="shared" si="18"/>
        <v>0</v>
      </c>
      <c r="GD19" s="93">
        <f t="shared" si="18"/>
        <v>0</v>
      </c>
      <c r="GE19" s="93">
        <f t="shared" si="18"/>
        <v>0</v>
      </c>
      <c r="GF19" s="93">
        <f t="shared" si="18"/>
        <v>0</v>
      </c>
      <c r="GG19" s="93">
        <f t="shared" si="18"/>
        <v>0</v>
      </c>
      <c r="GH19" s="93">
        <f t="shared" si="18"/>
        <v>0</v>
      </c>
      <c r="GI19" s="93">
        <f t="shared" si="18"/>
        <v>0</v>
      </c>
      <c r="GJ19" s="93">
        <f t="shared" si="18"/>
        <v>0</v>
      </c>
      <c r="GK19" s="93">
        <f t="shared" si="18"/>
        <v>0</v>
      </c>
      <c r="GL19" s="93">
        <f t="shared" si="18"/>
        <v>0</v>
      </c>
      <c r="GM19" s="93">
        <f t="shared" si="18"/>
        <v>0</v>
      </c>
      <c r="GN19" s="93">
        <f t="shared" si="18"/>
        <v>0</v>
      </c>
      <c r="GO19" s="93">
        <f t="shared" si="18"/>
        <v>0</v>
      </c>
      <c r="GP19" s="93">
        <f t="shared" si="18"/>
        <v>0</v>
      </c>
      <c r="GQ19" s="93">
        <f t="shared" si="18"/>
        <v>0</v>
      </c>
      <c r="GR19" s="93">
        <f t="shared" si="18"/>
        <v>0</v>
      </c>
      <c r="GS19" s="93">
        <f t="shared" si="18"/>
        <v>0</v>
      </c>
      <c r="GT19" s="93">
        <f t="shared" si="18"/>
        <v>0</v>
      </c>
      <c r="GU19" s="93">
        <f t="shared" si="18"/>
        <v>0</v>
      </c>
      <c r="GV19" s="93">
        <f t="shared" si="18"/>
        <v>0</v>
      </c>
      <c r="GW19" s="93">
        <f t="shared" si="18"/>
        <v>0</v>
      </c>
      <c r="GX19" s="93">
        <f t="shared" si="18"/>
        <v>0</v>
      </c>
      <c r="GY19" s="93">
        <f t="shared" si="18"/>
        <v>0</v>
      </c>
      <c r="GZ19" s="93">
        <f t="shared" si="18"/>
        <v>0</v>
      </c>
      <c r="HA19" s="93">
        <f t="shared" si="18"/>
        <v>0</v>
      </c>
      <c r="HB19" s="93">
        <f t="shared" si="18"/>
        <v>0</v>
      </c>
      <c r="HC19" s="93">
        <f t="shared" si="18"/>
        <v>0</v>
      </c>
      <c r="HD19" s="93">
        <f t="shared" si="18"/>
        <v>0</v>
      </c>
      <c r="HE19" s="93">
        <f t="shared" si="18"/>
        <v>0</v>
      </c>
      <c r="HF19" s="93">
        <f t="shared" si="18"/>
        <v>0</v>
      </c>
      <c r="HG19" s="93">
        <f t="shared" si="18"/>
        <v>0</v>
      </c>
      <c r="HH19" s="93">
        <f t="shared" si="18"/>
        <v>0</v>
      </c>
      <c r="HI19" s="93">
        <f t="shared" si="18"/>
        <v>0</v>
      </c>
      <c r="HJ19" s="93">
        <f t="shared" si="18"/>
        <v>0</v>
      </c>
      <c r="HK19" s="93">
        <f t="shared" si="18"/>
        <v>0</v>
      </c>
      <c r="HL19" s="93">
        <f t="shared" si="18"/>
        <v>0</v>
      </c>
      <c r="HM19" s="93">
        <f t="shared" si="18"/>
        <v>0</v>
      </c>
      <c r="HN19" s="93">
        <f t="shared" si="18"/>
        <v>0</v>
      </c>
      <c r="HO19" s="93">
        <f t="shared" si="18"/>
        <v>0</v>
      </c>
      <c r="HP19" s="93">
        <f t="shared" si="18"/>
        <v>0</v>
      </c>
      <c r="HQ19" s="93">
        <f t="shared" si="18"/>
        <v>0</v>
      </c>
      <c r="HR19" s="93">
        <f t="shared" si="18"/>
        <v>0</v>
      </c>
      <c r="HS19" s="93">
        <f t="shared" si="18"/>
        <v>0</v>
      </c>
      <c r="HT19" s="93">
        <f t="shared" si="18"/>
        <v>0</v>
      </c>
      <c r="HU19" s="93">
        <f t="shared" si="18"/>
        <v>0</v>
      </c>
      <c r="HV19" s="93">
        <f t="shared" si="18"/>
        <v>0</v>
      </c>
      <c r="HW19" s="93">
        <f t="shared" ref="HW19:IS19" si="19">HW60+HW91+HW122+HW153+HW184+HW215+HW246+HW277+HW308</f>
        <v>0</v>
      </c>
      <c r="HX19" s="93">
        <f t="shared" si="19"/>
        <v>0</v>
      </c>
      <c r="HY19" s="93">
        <f t="shared" si="19"/>
        <v>0</v>
      </c>
      <c r="HZ19" s="93">
        <f t="shared" si="19"/>
        <v>0</v>
      </c>
      <c r="IA19" s="93">
        <f t="shared" si="19"/>
        <v>0</v>
      </c>
      <c r="IB19" s="93">
        <f t="shared" si="19"/>
        <v>0</v>
      </c>
      <c r="IC19" s="93">
        <f t="shared" si="19"/>
        <v>0</v>
      </c>
      <c r="ID19" s="93">
        <f t="shared" si="19"/>
        <v>0</v>
      </c>
      <c r="IE19" s="93">
        <f t="shared" si="19"/>
        <v>0</v>
      </c>
      <c r="IF19" s="93">
        <f t="shared" si="19"/>
        <v>0</v>
      </c>
      <c r="IG19" s="93">
        <f t="shared" si="19"/>
        <v>0</v>
      </c>
      <c r="IH19" s="93">
        <f t="shared" si="19"/>
        <v>0</v>
      </c>
      <c r="II19" s="93">
        <f t="shared" si="19"/>
        <v>0</v>
      </c>
      <c r="IJ19" s="93">
        <f t="shared" si="19"/>
        <v>0</v>
      </c>
      <c r="IK19" s="93">
        <f t="shared" si="19"/>
        <v>0</v>
      </c>
      <c r="IL19" s="93">
        <f t="shared" si="19"/>
        <v>0</v>
      </c>
      <c r="IM19" s="93">
        <f t="shared" si="19"/>
        <v>0</v>
      </c>
      <c r="IN19" s="93">
        <f t="shared" si="19"/>
        <v>0</v>
      </c>
      <c r="IO19" s="93">
        <f t="shared" si="19"/>
        <v>0</v>
      </c>
      <c r="IP19" s="93">
        <f t="shared" si="19"/>
        <v>0</v>
      </c>
      <c r="IQ19" s="93">
        <f t="shared" si="19"/>
        <v>0</v>
      </c>
      <c r="IR19" s="93">
        <f t="shared" si="19"/>
        <v>0</v>
      </c>
      <c r="IS19" s="93">
        <f t="shared" si="19"/>
        <v>0</v>
      </c>
    </row>
    <row r="20" spans="1:253" ht="20.149999999999999" hidden="1" customHeight="1" outlineLevel="2" x14ac:dyDescent="0.25">
      <c r="A20" s="48" t="s">
        <v>138</v>
      </c>
      <c r="B20" s="34" t="s">
        <v>146</v>
      </c>
      <c r="C20" s="80"/>
      <c r="D20" s="93">
        <f t="shared" ref="D20:AK20" si="20">D61+D92+D123+D154+D185+D216+D247+D278+D309</f>
        <v>0</v>
      </c>
      <c r="E20" s="93">
        <f t="shared" si="20"/>
        <v>0</v>
      </c>
      <c r="F20" s="93">
        <f t="shared" si="20"/>
        <v>1425933.553666193</v>
      </c>
      <c r="G20" s="93">
        <f t="shared" si="20"/>
        <v>6204525.1310251439</v>
      </c>
      <c r="H20" s="93">
        <f t="shared" si="20"/>
        <v>11732604.68710422</v>
      </c>
      <c r="I20" s="93">
        <f t="shared" si="20"/>
        <v>19454735.808207829</v>
      </c>
      <c r="J20" s="93">
        <f t="shared" si="20"/>
        <v>31189919.887527838</v>
      </c>
      <c r="K20" s="93">
        <f t="shared" si="20"/>
        <v>42959387.161280572</v>
      </c>
      <c r="L20" s="93">
        <f t="shared" si="20"/>
        <v>54127403.358904637</v>
      </c>
      <c r="M20" s="93">
        <f t="shared" si="20"/>
        <v>63666840.316725351</v>
      </c>
      <c r="N20" s="93">
        <f t="shared" si="20"/>
        <v>69835571.726899579</v>
      </c>
      <c r="O20" s="93">
        <f t="shared" si="20"/>
        <v>72410175.494060561</v>
      </c>
      <c r="P20" s="93">
        <f t="shared" si="20"/>
        <v>72298034.493922263</v>
      </c>
      <c r="Q20" s="93">
        <f t="shared" si="20"/>
        <v>71286496.400857568</v>
      </c>
      <c r="R20" s="93">
        <f t="shared" si="20"/>
        <v>69537450.910846964</v>
      </c>
      <c r="S20" s="93">
        <f t="shared" si="20"/>
        <v>68914120.889441967</v>
      </c>
      <c r="T20" s="93">
        <f t="shared" si="20"/>
        <v>68198722.282756314</v>
      </c>
      <c r="U20" s="93">
        <f t="shared" si="20"/>
        <v>67278242.161729798</v>
      </c>
      <c r="V20" s="93">
        <f t="shared" si="20"/>
        <v>68278135.219334379</v>
      </c>
      <c r="W20" s="93">
        <f t="shared" si="20"/>
        <v>69110630.996507302</v>
      </c>
      <c r="X20" s="93">
        <f t="shared" si="20"/>
        <v>69754358.675795779</v>
      </c>
      <c r="Y20" s="93">
        <f t="shared" si="20"/>
        <v>69940484.366108939</v>
      </c>
      <c r="Z20" s="93">
        <f t="shared" si="20"/>
        <v>69695085.407492399</v>
      </c>
      <c r="AA20" s="93">
        <f t="shared" si="20"/>
        <v>68454153.653002635</v>
      </c>
      <c r="AB20" s="93">
        <f t="shared" si="20"/>
        <v>66709596.188878797</v>
      </c>
      <c r="AC20" s="93">
        <f t="shared" si="20"/>
        <v>65326745.692814812</v>
      </c>
      <c r="AD20" s="93">
        <f t="shared" si="20"/>
        <v>63987784.739625253</v>
      </c>
      <c r="AE20" s="93">
        <f t="shared" si="20"/>
        <v>64956661.223567702</v>
      </c>
      <c r="AF20" s="93">
        <f t="shared" si="20"/>
        <v>65862430.668084696</v>
      </c>
      <c r="AG20" s="93">
        <f t="shared" si="20"/>
        <v>66815845.972412959</v>
      </c>
      <c r="AH20" s="93">
        <f t="shared" si="20"/>
        <v>69283658.3592318</v>
      </c>
      <c r="AI20" s="93">
        <f t="shared" si="20"/>
        <v>71126601.684817955</v>
      </c>
      <c r="AJ20" s="93">
        <f t="shared" si="20"/>
        <v>72661609.804915413</v>
      </c>
      <c r="AK20" s="95">
        <f t="shared" si="20"/>
        <v>73576697.315779939</v>
      </c>
      <c r="AM20" s="93">
        <f t="shared" ref="AM20:CX20" si="21">AM61+AM92+AM123+AM154+AM185+AM216+AM247+AM278+AM309</f>
        <v>0</v>
      </c>
      <c r="AN20" s="93">
        <f t="shared" si="21"/>
        <v>0</v>
      </c>
      <c r="AO20" s="93">
        <f t="shared" si="21"/>
        <v>0</v>
      </c>
      <c r="AP20" s="93">
        <f t="shared" si="21"/>
        <v>0</v>
      </c>
      <c r="AQ20" s="93">
        <f t="shared" si="21"/>
        <v>0</v>
      </c>
      <c r="AR20" s="93">
        <f t="shared" si="21"/>
        <v>0</v>
      </c>
      <c r="AS20" s="93">
        <f t="shared" si="21"/>
        <v>0</v>
      </c>
      <c r="AT20" s="93">
        <f t="shared" si="21"/>
        <v>0</v>
      </c>
      <c r="AU20" s="93">
        <f t="shared" si="21"/>
        <v>0</v>
      </c>
      <c r="AV20" s="93">
        <f t="shared" si="21"/>
        <v>0</v>
      </c>
      <c r="AW20" s="93">
        <f t="shared" si="21"/>
        <v>0</v>
      </c>
      <c r="AX20" s="93">
        <f t="shared" si="21"/>
        <v>0</v>
      </c>
      <c r="AY20" s="93">
        <f t="shared" si="21"/>
        <v>0</v>
      </c>
      <c r="AZ20" s="93">
        <f t="shared" si="21"/>
        <v>0</v>
      </c>
      <c r="BA20" s="93">
        <f t="shared" si="21"/>
        <v>0</v>
      </c>
      <c r="BB20" s="93">
        <f t="shared" si="21"/>
        <v>0</v>
      </c>
      <c r="BC20" s="93">
        <f t="shared" si="21"/>
        <v>0</v>
      </c>
      <c r="BD20" s="93">
        <f t="shared" si="21"/>
        <v>0</v>
      </c>
      <c r="BE20" s="93">
        <f t="shared" si="21"/>
        <v>0</v>
      </c>
      <c r="BF20" s="93">
        <f t="shared" si="21"/>
        <v>0</v>
      </c>
      <c r="BG20" s="93">
        <f t="shared" si="21"/>
        <v>0</v>
      </c>
      <c r="BH20" s="93">
        <f t="shared" si="21"/>
        <v>0</v>
      </c>
      <c r="BI20" s="93">
        <f t="shared" si="21"/>
        <v>0</v>
      </c>
      <c r="BJ20" s="93">
        <f t="shared" si="21"/>
        <v>0</v>
      </c>
      <c r="BK20" s="93">
        <f t="shared" si="21"/>
        <v>0</v>
      </c>
      <c r="BL20" s="93">
        <f t="shared" si="21"/>
        <v>0</v>
      </c>
      <c r="BM20" s="93">
        <f t="shared" si="21"/>
        <v>0</v>
      </c>
      <c r="BN20" s="93">
        <f t="shared" si="21"/>
        <v>0</v>
      </c>
      <c r="BO20" s="93">
        <f t="shared" si="21"/>
        <v>0</v>
      </c>
      <c r="BP20" s="93">
        <f t="shared" si="21"/>
        <v>0</v>
      </c>
      <c r="BQ20" s="93">
        <f t="shared" si="21"/>
        <v>0</v>
      </c>
      <c r="BR20" s="93">
        <f t="shared" si="21"/>
        <v>0</v>
      </c>
      <c r="BS20" s="93">
        <f t="shared" si="21"/>
        <v>0</v>
      </c>
      <c r="BT20" s="93">
        <f t="shared" si="21"/>
        <v>0</v>
      </c>
      <c r="BU20" s="93">
        <f t="shared" si="21"/>
        <v>0</v>
      </c>
      <c r="BV20" s="93">
        <f t="shared" si="21"/>
        <v>0</v>
      </c>
      <c r="BW20" s="93">
        <f t="shared" si="21"/>
        <v>0</v>
      </c>
      <c r="BX20" s="93">
        <f t="shared" si="21"/>
        <v>0</v>
      </c>
      <c r="BY20" s="93">
        <f t="shared" si="21"/>
        <v>0</v>
      </c>
      <c r="BZ20" s="93">
        <f t="shared" si="21"/>
        <v>0</v>
      </c>
      <c r="CA20" s="93">
        <f t="shared" si="21"/>
        <v>0</v>
      </c>
      <c r="CB20" s="93">
        <f t="shared" si="21"/>
        <v>0</v>
      </c>
      <c r="CC20" s="93">
        <f t="shared" si="21"/>
        <v>0</v>
      </c>
      <c r="CD20" s="93">
        <f t="shared" si="21"/>
        <v>0</v>
      </c>
      <c r="CE20" s="93">
        <f t="shared" si="21"/>
        <v>0</v>
      </c>
      <c r="CF20" s="93">
        <f t="shared" si="21"/>
        <v>0</v>
      </c>
      <c r="CG20" s="93">
        <f t="shared" si="21"/>
        <v>0</v>
      </c>
      <c r="CH20" s="93">
        <f t="shared" si="21"/>
        <v>0</v>
      </c>
      <c r="CI20" s="93">
        <f t="shared" si="21"/>
        <v>0</v>
      </c>
      <c r="CJ20" s="93">
        <f t="shared" si="21"/>
        <v>0</v>
      </c>
      <c r="CK20" s="93">
        <f t="shared" si="21"/>
        <v>0</v>
      </c>
      <c r="CL20" s="93">
        <f t="shared" si="21"/>
        <v>0</v>
      </c>
      <c r="CM20" s="93">
        <f t="shared" si="21"/>
        <v>0</v>
      </c>
      <c r="CN20" s="93">
        <f t="shared" si="21"/>
        <v>0</v>
      </c>
      <c r="CO20" s="93">
        <f t="shared" si="21"/>
        <v>0</v>
      </c>
      <c r="CP20" s="93">
        <f t="shared" si="21"/>
        <v>0</v>
      </c>
      <c r="CQ20" s="93">
        <f t="shared" si="21"/>
        <v>0</v>
      </c>
      <c r="CR20" s="93">
        <f t="shared" si="21"/>
        <v>0</v>
      </c>
      <c r="CS20" s="93">
        <f t="shared" si="21"/>
        <v>0</v>
      </c>
      <c r="CT20" s="93">
        <f t="shared" si="21"/>
        <v>0</v>
      </c>
      <c r="CU20" s="93">
        <f t="shared" si="21"/>
        <v>0</v>
      </c>
      <c r="CV20" s="93">
        <f t="shared" si="21"/>
        <v>0</v>
      </c>
      <c r="CW20" s="93">
        <f t="shared" si="21"/>
        <v>0</v>
      </c>
      <c r="CX20" s="93">
        <f t="shared" si="21"/>
        <v>0</v>
      </c>
      <c r="CY20" s="93">
        <f t="shared" ref="CY20:FJ20" si="22">CY61+CY92+CY123+CY154+CY185+CY216+CY247+CY278+CY309</f>
        <v>0</v>
      </c>
      <c r="CZ20" s="93">
        <f t="shared" si="22"/>
        <v>0</v>
      </c>
      <c r="DA20" s="93">
        <f t="shared" si="22"/>
        <v>0</v>
      </c>
      <c r="DB20" s="93">
        <f t="shared" si="22"/>
        <v>0</v>
      </c>
      <c r="DC20" s="93">
        <f t="shared" si="22"/>
        <v>0</v>
      </c>
      <c r="DD20" s="93">
        <f t="shared" si="22"/>
        <v>0</v>
      </c>
      <c r="DE20" s="93">
        <f t="shared" si="22"/>
        <v>0</v>
      </c>
      <c r="DF20" s="93">
        <f t="shared" si="22"/>
        <v>0</v>
      </c>
      <c r="DG20" s="93">
        <f t="shared" si="22"/>
        <v>0</v>
      </c>
      <c r="DH20" s="93">
        <f t="shared" si="22"/>
        <v>0</v>
      </c>
      <c r="DI20" s="93">
        <f t="shared" si="22"/>
        <v>0</v>
      </c>
      <c r="DJ20" s="93">
        <f t="shared" si="22"/>
        <v>0</v>
      </c>
      <c r="DK20" s="93">
        <f t="shared" si="22"/>
        <v>0</v>
      </c>
      <c r="DL20" s="93">
        <f t="shared" si="22"/>
        <v>0</v>
      </c>
      <c r="DM20" s="93">
        <f t="shared" si="22"/>
        <v>0</v>
      </c>
      <c r="DN20" s="93">
        <f t="shared" si="22"/>
        <v>0</v>
      </c>
      <c r="DO20" s="93">
        <f t="shared" si="22"/>
        <v>0</v>
      </c>
      <c r="DP20" s="93">
        <f t="shared" si="22"/>
        <v>0</v>
      </c>
      <c r="DQ20" s="93">
        <f t="shared" si="22"/>
        <v>0</v>
      </c>
      <c r="DR20" s="93">
        <f t="shared" si="22"/>
        <v>0</v>
      </c>
      <c r="DS20" s="93">
        <f t="shared" si="22"/>
        <v>0</v>
      </c>
      <c r="DT20" s="93">
        <f t="shared" si="22"/>
        <v>0</v>
      </c>
      <c r="DU20" s="93">
        <f t="shared" si="22"/>
        <v>0</v>
      </c>
      <c r="DV20" s="93">
        <f t="shared" si="22"/>
        <v>0</v>
      </c>
      <c r="DW20" s="93">
        <f t="shared" si="22"/>
        <v>0</v>
      </c>
      <c r="DX20" s="93">
        <f t="shared" si="22"/>
        <v>0</v>
      </c>
      <c r="DY20" s="93">
        <f t="shared" si="22"/>
        <v>0</v>
      </c>
      <c r="DZ20" s="93">
        <f t="shared" si="22"/>
        <v>0</v>
      </c>
      <c r="EA20" s="93">
        <f t="shared" si="22"/>
        <v>0</v>
      </c>
      <c r="EB20" s="93">
        <f t="shared" si="22"/>
        <v>0</v>
      </c>
      <c r="EC20" s="93">
        <f t="shared" si="22"/>
        <v>0</v>
      </c>
      <c r="ED20" s="93">
        <f t="shared" si="22"/>
        <v>0</v>
      </c>
      <c r="EE20" s="93">
        <f t="shared" si="22"/>
        <v>0</v>
      </c>
      <c r="EF20" s="93">
        <f t="shared" si="22"/>
        <v>0</v>
      </c>
      <c r="EG20" s="93">
        <f t="shared" si="22"/>
        <v>0</v>
      </c>
      <c r="EH20" s="93">
        <f t="shared" si="22"/>
        <v>0</v>
      </c>
      <c r="EI20" s="93">
        <f t="shared" si="22"/>
        <v>0</v>
      </c>
      <c r="EJ20" s="93">
        <f t="shared" si="22"/>
        <v>0</v>
      </c>
      <c r="EK20" s="93">
        <f t="shared" si="22"/>
        <v>0</v>
      </c>
      <c r="EL20" s="93">
        <f t="shared" si="22"/>
        <v>0</v>
      </c>
      <c r="EM20" s="93">
        <f t="shared" si="22"/>
        <v>0</v>
      </c>
      <c r="EN20" s="93">
        <f t="shared" si="22"/>
        <v>0</v>
      </c>
      <c r="EO20" s="93">
        <f t="shared" si="22"/>
        <v>0</v>
      </c>
      <c r="EP20" s="93">
        <f t="shared" si="22"/>
        <v>0</v>
      </c>
      <c r="EQ20" s="93">
        <f t="shared" si="22"/>
        <v>0</v>
      </c>
      <c r="ER20" s="93">
        <f t="shared" si="22"/>
        <v>0</v>
      </c>
      <c r="ES20" s="93">
        <f t="shared" si="22"/>
        <v>0</v>
      </c>
      <c r="ET20" s="93">
        <f t="shared" si="22"/>
        <v>0</v>
      </c>
      <c r="EU20" s="93">
        <f t="shared" si="22"/>
        <v>0</v>
      </c>
      <c r="EV20" s="93">
        <f t="shared" si="22"/>
        <v>0</v>
      </c>
      <c r="EW20" s="93">
        <f t="shared" si="22"/>
        <v>0</v>
      </c>
      <c r="EX20" s="93">
        <f t="shared" si="22"/>
        <v>0</v>
      </c>
      <c r="EY20" s="93">
        <f t="shared" si="22"/>
        <v>0</v>
      </c>
      <c r="EZ20" s="93">
        <f t="shared" si="22"/>
        <v>0</v>
      </c>
      <c r="FA20" s="93">
        <f t="shared" si="22"/>
        <v>0</v>
      </c>
      <c r="FB20" s="93">
        <f t="shared" si="22"/>
        <v>0</v>
      </c>
      <c r="FC20" s="93">
        <f t="shared" si="22"/>
        <v>0</v>
      </c>
      <c r="FD20" s="93">
        <f t="shared" si="22"/>
        <v>0</v>
      </c>
      <c r="FE20" s="93">
        <f t="shared" si="22"/>
        <v>0</v>
      </c>
      <c r="FF20" s="93">
        <f t="shared" si="22"/>
        <v>0</v>
      </c>
      <c r="FG20" s="93">
        <f t="shared" si="22"/>
        <v>0</v>
      </c>
      <c r="FH20" s="93">
        <f t="shared" si="22"/>
        <v>0</v>
      </c>
      <c r="FI20" s="93">
        <f t="shared" si="22"/>
        <v>0</v>
      </c>
      <c r="FJ20" s="93">
        <f t="shared" si="22"/>
        <v>0</v>
      </c>
      <c r="FK20" s="93">
        <f t="shared" ref="FK20:HV20" si="23">FK61+FK92+FK123+FK154+FK185+FK216+FK247+FK278+FK309</f>
        <v>0</v>
      </c>
      <c r="FL20" s="93">
        <f t="shared" si="23"/>
        <v>0</v>
      </c>
      <c r="FM20" s="93">
        <f t="shared" si="23"/>
        <v>0</v>
      </c>
      <c r="FN20" s="93">
        <f t="shared" si="23"/>
        <v>0</v>
      </c>
      <c r="FO20" s="93">
        <f t="shared" si="23"/>
        <v>0</v>
      </c>
      <c r="FP20" s="93">
        <f t="shared" si="23"/>
        <v>0</v>
      </c>
      <c r="FQ20" s="93">
        <f t="shared" si="23"/>
        <v>0</v>
      </c>
      <c r="FR20" s="93">
        <f t="shared" si="23"/>
        <v>0</v>
      </c>
      <c r="FS20" s="93">
        <f t="shared" si="23"/>
        <v>0</v>
      </c>
      <c r="FT20" s="93">
        <f t="shared" si="23"/>
        <v>0</v>
      </c>
      <c r="FU20" s="93">
        <f t="shared" si="23"/>
        <v>0</v>
      </c>
      <c r="FV20" s="93">
        <f t="shared" si="23"/>
        <v>0</v>
      </c>
      <c r="FW20" s="93">
        <f t="shared" si="23"/>
        <v>0</v>
      </c>
      <c r="FX20" s="93">
        <f t="shared" si="23"/>
        <v>0</v>
      </c>
      <c r="FY20" s="93">
        <f t="shared" si="23"/>
        <v>0</v>
      </c>
      <c r="FZ20" s="93">
        <f t="shared" si="23"/>
        <v>0</v>
      </c>
      <c r="GA20" s="93">
        <f t="shared" si="23"/>
        <v>0</v>
      </c>
      <c r="GB20" s="93">
        <f t="shared" si="23"/>
        <v>0</v>
      </c>
      <c r="GC20" s="93">
        <f t="shared" si="23"/>
        <v>0</v>
      </c>
      <c r="GD20" s="93">
        <f t="shared" si="23"/>
        <v>0</v>
      </c>
      <c r="GE20" s="93">
        <f t="shared" si="23"/>
        <v>0</v>
      </c>
      <c r="GF20" s="93">
        <f t="shared" si="23"/>
        <v>0</v>
      </c>
      <c r="GG20" s="93">
        <f t="shared" si="23"/>
        <v>0</v>
      </c>
      <c r="GH20" s="93">
        <f t="shared" si="23"/>
        <v>0</v>
      </c>
      <c r="GI20" s="93">
        <f t="shared" si="23"/>
        <v>0</v>
      </c>
      <c r="GJ20" s="93">
        <f t="shared" si="23"/>
        <v>0</v>
      </c>
      <c r="GK20" s="93">
        <f t="shared" si="23"/>
        <v>0</v>
      </c>
      <c r="GL20" s="93">
        <f t="shared" si="23"/>
        <v>0</v>
      </c>
      <c r="GM20" s="93">
        <f t="shared" si="23"/>
        <v>0</v>
      </c>
      <c r="GN20" s="93">
        <f t="shared" si="23"/>
        <v>0</v>
      </c>
      <c r="GO20" s="93">
        <f t="shared" si="23"/>
        <v>0</v>
      </c>
      <c r="GP20" s="93">
        <f t="shared" si="23"/>
        <v>0</v>
      </c>
      <c r="GQ20" s="93">
        <f t="shared" si="23"/>
        <v>0</v>
      </c>
      <c r="GR20" s="93">
        <f t="shared" si="23"/>
        <v>0</v>
      </c>
      <c r="GS20" s="93">
        <f t="shared" si="23"/>
        <v>0</v>
      </c>
      <c r="GT20" s="93">
        <f t="shared" si="23"/>
        <v>0</v>
      </c>
      <c r="GU20" s="93">
        <f t="shared" si="23"/>
        <v>0</v>
      </c>
      <c r="GV20" s="93">
        <f t="shared" si="23"/>
        <v>0</v>
      </c>
      <c r="GW20" s="93">
        <f t="shared" si="23"/>
        <v>0</v>
      </c>
      <c r="GX20" s="93">
        <f t="shared" si="23"/>
        <v>0</v>
      </c>
      <c r="GY20" s="93">
        <f t="shared" si="23"/>
        <v>0</v>
      </c>
      <c r="GZ20" s="93">
        <f t="shared" si="23"/>
        <v>0</v>
      </c>
      <c r="HA20" s="93">
        <f t="shared" si="23"/>
        <v>0</v>
      </c>
      <c r="HB20" s="93">
        <f t="shared" si="23"/>
        <v>0</v>
      </c>
      <c r="HC20" s="93">
        <f t="shared" si="23"/>
        <v>0</v>
      </c>
      <c r="HD20" s="93">
        <f t="shared" si="23"/>
        <v>0</v>
      </c>
      <c r="HE20" s="93">
        <f t="shared" si="23"/>
        <v>0</v>
      </c>
      <c r="HF20" s="93">
        <f t="shared" si="23"/>
        <v>0</v>
      </c>
      <c r="HG20" s="93">
        <f t="shared" si="23"/>
        <v>0</v>
      </c>
      <c r="HH20" s="93">
        <f t="shared" si="23"/>
        <v>0</v>
      </c>
      <c r="HI20" s="93">
        <f t="shared" si="23"/>
        <v>0</v>
      </c>
      <c r="HJ20" s="93">
        <f t="shared" si="23"/>
        <v>0</v>
      </c>
      <c r="HK20" s="93">
        <f t="shared" si="23"/>
        <v>0</v>
      </c>
      <c r="HL20" s="93">
        <f t="shared" si="23"/>
        <v>0</v>
      </c>
      <c r="HM20" s="93">
        <f t="shared" si="23"/>
        <v>0</v>
      </c>
      <c r="HN20" s="93">
        <f t="shared" si="23"/>
        <v>0</v>
      </c>
      <c r="HO20" s="93">
        <f t="shared" si="23"/>
        <v>0</v>
      </c>
      <c r="HP20" s="93">
        <f t="shared" si="23"/>
        <v>0</v>
      </c>
      <c r="HQ20" s="93">
        <f t="shared" si="23"/>
        <v>0</v>
      </c>
      <c r="HR20" s="93">
        <f t="shared" si="23"/>
        <v>0</v>
      </c>
      <c r="HS20" s="93">
        <f t="shared" si="23"/>
        <v>0</v>
      </c>
      <c r="HT20" s="93">
        <f t="shared" si="23"/>
        <v>0</v>
      </c>
      <c r="HU20" s="93">
        <f t="shared" si="23"/>
        <v>0</v>
      </c>
      <c r="HV20" s="93">
        <f t="shared" si="23"/>
        <v>0</v>
      </c>
      <c r="HW20" s="93">
        <f t="shared" ref="HW20:IS20" si="24">HW61+HW92+HW123+HW154+HW185+HW216+HW247+HW278+HW309</f>
        <v>0</v>
      </c>
      <c r="HX20" s="93">
        <f t="shared" si="24"/>
        <v>0</v>
      </c>
      <c r="HY20" s="93">
        <f t="shared" si="24"/>
        <v>0</v>
      </c>
      <c r="HZ20" s="93">
        <f t="shared" si="24"/>
        <v>0</v>
      </c>
      <c r="IA20" s="93">
        <f t="shared" si="24"/>
        <v>0</v>
      </c>
      <c r="IB20" s="93">
        <f t="shared" si="24"/>
        <v>0</v>
      </c>
      <c r="IC20" s="93">
        <f t="shared" si="24"/>
        <v>0</v>
      </c>
      <c r="ID20" s="93">
        <f t="shared" si="24"/>
        <v>0</v>
      </c>
      <c r="IE20" s="93">
        <f t="shared" si="24"/>
        <v>0</v>
      </c>
      <c r="IF20" s="93">
        <f t="shared" si="24"/>
        <v>0</v>
      </c>
      <c r="IG20" s="93">
        <f t="shared" si="24"/>
        <v>0</v>
      </c>
      <c r="IH20" s="93">
        <f t="shared" si="24"/>
        <v>0</v>
      </c>
      <c r="II20" s="93">
        <f t="shared" si="24"/>
        <v>0</v>
      </c>
      <c r="IJ20" s="93">
        <f t="shared" si="24"/>
        <v>0</v>
      </c>
      <c r="IK20" s="93">
        <f t="shared" si="24"/>
        <v>0</v>
      </c>
      <c r="IL20" s="93">
        <f t="shared" si="24"/>
        <v>0</v>
      </c>
      <c r="IM20" s="93">
        <f t="shared" si="24"/>
        <v>0</v>
      </c>
      <c r="IN20" s="93">
        <f t="shared" si="24"/>
        <v>0</v>
      </c>
      <c r="IO20" s="93">
        <f t="shared" si="24"/>
        <v>0</v>
      </c>
      <c r="IP20" s="93">
        <f t="shared" si="24"/>
        <v>0</v>
      </c>
      <c r="IQ20" s="93">
        <f t="shared" si="24"/>
        <v>0</v>
      </c>
      <c r="IR20" s="93">
        <f t="shared" si="24"/>
        <v>0</v>
      </c>
      <c r="IS20" s="93">
        <f t="shared" si="24"/>
        <v>0</v>
      </c>
    </row>
    <row r="21" spans="1:253" ht="20.149999999999999" hidden="1" customHeight="1" outlineLevel="2" x14ac:dyDescent="0.25">
      <c r="A21" s="48" t="s">
        <v>139</v>
      </c>
      <c r="B21" s="82" t="s">
        <v>143</v>
      </c>
      <c r="C21" s="80"/>
      <c r="D21" s="93">
        <f t="shared" ref="D21:AK21" si="25">D62+D93+D124+D155+D186+D217+D248+D279+D310</f>
        <v>0</v>
      </c>
      <c r="E21" s="93">
        <f t="shared" si="25"/>
        <v>0</v>
      </c>
      <c r="F21" s="93">
        <f t="shared" si="25"/>
        <v>3295711.1495802435</v>
      </c>
      <c r="G21" s="93">
        <f t="shared" si="25"/>
        <v>7622915.2240016619</v>
      </c>
      <c r="H21" s="93">
        <f t="shared" si="25"/>
        <v>13021699.474328022</v>
      </c>
      <c r="I21" s="93">
        <f t="shared" si="25"/>
        <v>22368651.59696351</v>
      </c>
      <c r="J21" s="93">
        <f t="shared" si="25"/>
        <v>32574426.473451365</v>
      </c>
      <c r="K21" s="93">
        <f t="shared" si="25"/>
        <v>43285228.939317971</v>
      </c>
      <c r="L21" s="93">
        <f t="shared" si="25"/>
        <v>52732507.650654398</v>
      </c>
      <c r="M21" s="93">
        <f t="shared" si="25"/>
        <v>60099336.820585176</v>
      </c>
      <c r="N21" s="93">
        <f t="shared" si="25"/>
        <v>64622106.085539453</v>
      </c>
      <c r="O21" s="93">
        <f t="shared" si="25"/>
        <v>66106253.69952666</v>
      </c>
      <c r="P21" s="93">
        <f t="shared" si="25"/>
        <v>66587301.592379726</v>
      </c>
      <c r="Q21" s="93">
        <f t="shared" si="25"/>
        <v>66730456.91220995</v>
      </c>
      <c r="R21" s="93">
        <f t="shared" si="25"/>
        <v>68504671.888848588</v>
      </c>
      <c r="S21" s="93">
        <f t="shared" si="25"/>
        <v>68614806.886924982</v>
      </c>
      <c r="T21" s="93">
        <f t="shared" si="25"/>
        <v>68962571.248435527</v>
      </c>
      <c r="U21" s="93">
        <f t="shared" si="25"/>
        <v>70916529.28695409</v>
      </c>
      <c r="V21" s="93">
        <f t="shared" si="25"/>
        <v>70792308.598922074</v>
      </c>
      <c r="W21" s="93">
        <f t="shared" si="25"/>
        <v>70885157.128981277</v>
      </c>
      <c r="X21" s="93">
        <f t="shared" si="25"/>
        <v>70969817.008357868</v>
      </c>
      <c r="Y21" s="93">
        <f t="shared" si="25"/>
        <v>69630662.13958697</v>
      </c>
      <c r="Z21" s="93">
        <f t="shared" si="25"/>
        <v>68475477.103173196</v>
      </c>
      <c r="AA21" s="93">
        <f t="shared" si="25"/>
        <v>68021299.001035914</v>
      </c>
      <c r="AB21" s="93">
        <f t="shared" si="25"/>
        <v>67384888.321368292</v>
      </c>
      <c r="AC21" s="93">
        <f t="shared" si="25"/>
        <v>67309226.722940028</v>
      </c>
      <c r="AD21" s="93">
        <f t="shared" si="25"/>
        <v>68620409.307334676</v>
      </c>
      <c r="AE21" s="93">
        <f t="shared" si="25"/>
        <v>68465937.764641091</v>
      </c>
      <c r="AF21" s="93">
        <f t="shared" si="25"/>
        <v>68559331.248464182</v>
      </c>
      <c r="AG21" s="93">
        <f t="shared" si="25"/>
        <v>70346793.510604784</v>
      </c>
      <c r="AH21" s="93">
        <f t="shared" si="25"/>
        <v>70601238.316301808</v>
      </c>
      <c r="AI21" s="93">
        <f t="shared" si="25"/>
        <v>70837242.166191235</v>
      </c>
      <c r="AJ21" s="93">
        <f t="shared" si="25"/>
        <v>70175013.634525552</v>
      </c>
      <c r="AK21" s="95">
        <f t="shared" si="25"/>
        <v>69212205.787752837</v>
      </c>
      <c r="AM21" s="93">
        <f t="shared" ref="AM21:CX21" si="26">AM62+AM93+AM124+AM155+AM186+AM217+AM248+AM279+AM310</f>
        <v>0</v>
      </c>
      <c r="AN21" s="93">
        <f t="shared" si="26"/>
        <v>0</v>
      </c>
      <c r="AO21" s="93">
        <f t="shared" si="26"/>
        <v>0</v>
      </c>
      <c r="AP21" s="93">
        <f t="shared" si="26"/>
        <v>0</v>
      </c>
      <c r="AQ21" s="93">
        <f t="shared" si="26"/>
        <v>0</v>
      </c>
      <c r="AR21" s="93">
        <f t="shared" si="26"/>
        <v>0</v>
      </c>
      <c r="AS21" s="93">
        <f t="shared" si="26"/>
        <v>0</v>
      </c>
      <c r="AT21" s="93">
        <f t="shared" si="26"/>
        <v>0</v>
      </c>
      <c r="AU21" s="93">
        <f t="shared" si="26"/>
        <v>0</v>
      </c>
      <c r="AV21" s="93">
        <f t="shared" si="26"/>
        <v>0</v>
      </c>
      <c r="AW21" s="93">
        <f t="shared" si="26"/>
        <v>0</v>
      </c>
      <c r="AX21" s="93">
        <f t="shared" si="26"/>
        <v>0</v>
      </c>
      <c r="AY21" s="93">
        <f t="shared" si="26"/>
        <v>0</v>
      </c>
      <c r="AZ21" s="93">
        <f t="shared" si="26"/>
        <v>0</v>
      </c>
      <c r="BA21" s="93">
        <f t="shared" si="26"/>
        <v>0</v>
      </c>
      <c r="BB21" s="93">
        <f t="shared" si="26"/>
        <v>0</v>
      </c>
      <c r="BC21" s="93">
        <f t="shared" si="26"/>
        <v>0</v>
      </c>
      <c r="BD21" s="93">
        <f t="shared" si="26"/>
        <v>0</v>
      </c>
      <c r="BE21" s="93">
        <f t="shared" si="26"/>
        <v>0</v>
      </c>
      <c r="BF21" s="93">
        <f t="shared" si="26"/>
        <v>0</v>
      </c>
      <c r="BG21" s="93">
        <f t="shared" si="26"/>
        <v>0</v>
      </c>
      <c r="BH21" s="93">
        <f t="shared" si="26"/>
        <v>0</v>
      </c>
      <c r="BI21" s="93">
        <f t="shared" si="26"/>
        <v>0</v>
      </c>
      <c r="BJ21" s="93">
        <f t="shared" si="26"/>
        <v>0</v>
      </c>
      <c r="BK21" s="93">
        <f t="shared" si="26"/>
        <v>0</v>
      </c>
      <c r="BL21" s="93">
        <f t="shared" si="26"/>
        <v>0</v>
      </c>
      <c r="BM21" s="93">
        <f t="shared" si="26"/>
        <v>0</v>
      </c>
      <c r="BN21" s="93">
        <f t="shared" si="26"/>
        <v>0</v>
      </c>
      <c r="BO21" s="93">
        <f t="shared" si="26"/>
        <v>0</v>
      </c>
      <c r="BP21" s="93">
        <f t="shared" si="26"/>
        <v>0</v>
      </c>
      <c r="BQ21" s="93">
        <f t="shared" si="26"/>
        <v>0</v>
      </c>
      <c r="BR21" s="93">
        <f t="shared" si="26"/>
        <v>0</v>
      </c>
      <c r="BS21" s="93">
        <f t="shared" si="26"/>
        <v>0</v>
      </c>
      <c r="BT21" s="93">
        <f t="shared" si="26"/>
        <v>0</v>
      </c>
      <c r="BU21" s="93">
        <f t="shared" si="26"/>
        <v>0</v>
      </c>
      <c r="BV21" s="93">
        <f t="shared" si="26"/>
        <v>0</v>
      </c>
      <c r="BW21" s="93">
        <f t="shared" si="26"/>
        <v>0</v>
      </c>
      <c r="BX21" s="93">
        <f t="shared" si="26"/>
        <v>0</v>
      </c>
      <c r="BY21" s="93">
        <f t="shared" si="26"/>
        <v>0</v>
      </c>
      <c r="BZ21" s="93">
        <f t="shared" si="26"/>
        <v>0</v>
      </c>
      <c r="CA21" s="93">
        <f t="shared" si="26"/>
        <v>0</v>
      </c>
      <c r="CB21" s="93">
        <f t="shared" si="26"/>
        <v>0</v>
      </c>
      <c r="CC21" s="93">
        <f t="shared" si="26"/>
        <v>0</v>
      </c>
      <c r="CD21" s="93">
        <f t="shared" si="26"/>
        <v>0</v>
      </c>
      <c r="CE21" s="93">
        <f t="shared" si="26"/>
        <v>0</v>
      </c>
      <c r="CF21" s="93">
        <f t="shared" si="26"/>
        <v>0</v>
      </c>
      <c r="CG21" s="93">
        <f t="shared" si="26"/>
        <v>0</v>
      </c>
      <c r="CH21" s="93">
        <f t="shared" si="26"/>
        <v>0</v>
      </c>
      <c r="CI21" s="93">
        <f t="shared" si="26"/>
        <v>0</v>
      </c>
      <c r="CJ21" s="93">
        <f t="shared" si="26"/>
        <v>0</v>
      </c>
      <c r="CK21" s="93">
        <f t="shared" si="26"/>
        <v>0</v>
      </c>
      <c r="CL21" s="93">
        <f t="shared" si="26"/>
        <v>0</v>
      </c>
      <c r="CM21" s="93">
        <f t="shared" si="26"/>
        <v>0</v>
      </c>
      <c r="CN21" s="93">
        <f t="shared" si="26"/>
        <v>0</v>
      </c>
      <c r="CO21" s="93">
        <f t="shared" si="26"/>
        <v>0</v>
      </c>
      <c r="CP21" s="93">
        <f t="shared" si="26"/>
        <v>0</v>
      </c>
      <c r="CQ21" s="93">
        <f t="shared" si="26"/>
        <v>0</v>
      </c>
      <c r="CR21" s="93">
        <f t="shared" si="26"/>
        <v>0</v>
      </c>
      <c r="CS21" s="93">
        <f t="shared" si="26"/>
        <v>0</v>
      </c>
      <c r="CT21" s="93">
        <f t="shared" si="26"/>
        <v>0</v>
      </c>
      <c r="CU21" s="93">
        <f t="shared" si="26"/>
        <v>0</v>
      </c>
      <c r="CV21" s="93">
        <f t="shared" si="26"/>
        <v>0</v>
      </c>
      <c r="CW21" s="93">
        <f t="shared" si="26"/>
        <v>0</v>
      </c>
      <c r="CX21" s="93">
        <f t="shared" si="26"/>
        <v>0</v>
      </c>
      <c r="CY21" s="93">
        <f t="shared" ref="CY21:FJ21" si="27">CY62+CY93+CY124+CY155+CY186+CY217+CY248+CY279+CY310</f>
        <v>0</v>
      </c>
      <c r="CZ21" s="93">
        <f t="shared" si="27"/>
        <v>0</v>
      </c>
      <c r="DA21" s="93">
        <f t="shared" si="27"/>
        <v>0</v>
      </c>
      <c r="DB21" s="93">
        <f t="shared" si="27"/>
        <v>0</v>
      </c>
      <c r="DC21" s="93">
        <f t="shared" si="27"/>
        <v>0</v>
      </c>
      <c r="DD21" s="93">
        <f t="shared" si="27"/>
        <v>0</v>
      </c>
      <c r="DE21" s="93">
        <f t="shared" si="27"/>
        <v>0</v>
      </c>
      <c r="DF21" s="93">
        <f t="shared" si="27"/>
        <v>0</v>
      </c>
      <c r="DG21" s="93">
        <f t="shared" si="27"/>
        <v>0</v>
      </c>
      <c r="DH21" s="93">
        <f t="shared" si="27"/>
        <v>0</v>
      </c>
      <c r="DI21" s="93">
        <f t="shared" si="27"/>
        <v>0</v>
      </c>
      <c r="DJ21" s="93">
        <f t="shared" si="27"/>
        <v>0</v>
      </c>
      <c r="DK21" s="93">
        <f t="shared" si="27"/>
        <v>0</v>
      </c>
      <c r="DL21" s="93">
        <f t="shared" si="27"/>
        <v>0</v>
      </c>
      <c r="DM21" s="93">
        <f t="shared" si="27"/>
        <v>0</v>
      </c>
      <c r="DN21" s="93">
        <f t="shared" si="27"/>
        <v>0</v>
      </c>
      <c r="DO21" s="93">
        <f t="shared" si="27"/>
        <v>0</v>
      </c>
      <c r="DP21" s="93">
        <f t="shared" si="27"/>
        <v>0</v>
      </c>
      <c r="DQ21" s="93">
        <f t="shared" si="27"/>
        <v>0</v>
      </c>
      <c r="DR21" s="93">
        <f t="shared" si="27"/>
        <v>0</v>
      </c>
      <c r="DS21" s="93">
        <f t="shared" si="27"/>
        <v>0</v>
      </c>
      <c r="DT21" s="93">
        <f t="shared" si="27"/>
        <v>0</v>
      </c>
      <c r="DU21" s="93">
        <f t="shared" si="27"/>
        <v>0</v>
      </c>
      <c r="DV21" s="93">
        <f t="shared" si="27"/>
        <v>0</v>
      </c>
      <c r="DW21" s="93">
        <f t="shared" si="27"/>
        <v>0</v>
      </c>
      <c r="DX21" s="93">
        <f t="shared" si="27"/>
        <v>0</v>
      </c>
      <c r="DY21" s="93">
        <f t="shared" si="27"/>
        <v>0</v>
      </c>
      <c r="DZ21" s="93">
        <f t="shared" si="27"/>
        <v>0</v>
      </c>
      <c r="EA21" s="93">
        <f t="shared" si="27"/>
        <v>0</v>
      </c>
      <c r="EB21" s="93">
        <f t="shared" si="27"/>
        <v>0</v>
      </c>
      <c r="EC21" s="93">
        <f t="shared" si="27"/>
        <v>0</v>
      </c>
      <c r="ED21" s="93">
        <f t="shared" si="27"/>
        <v>0</v>
      </c>
      <c r="EE21" s="93">
        <f t="shared" si="27"/>
        <v>0</v>
      </c>
      <c r="EF21" s="93">
        <f t="shared" si="27"/>
        <v>0</v>
      </c>
      <c r="EG21" s="93">
        <f t="shared" si="27"/>
        <v>0</v>
      </c>
      <c r="EH21" s="93">
        <f t="shared" si="27"/>
        <v>0</v>
      </c>
      <c r="EI21" s="93">
        <f t="shared" si="27"/>
        <v>0</v>
      </c>
      <c r="EJ21" s="93">
        <f t="shared" si="27"/>
        <v>0</v>
      </c>
      <c r="EK21" s="93">
        <f t="shared" si="27"/>
        <v>0</v>
      </c>
      <c r="EL21" s="93">
        <f t="shared" si="27"/>
        <v>0</v>
      </c>
      <c r="EM21" s="93">
        <f t="shared" si="27"/>
        <v>0</v>
      </c>
      <c r="EN21" s="93">
        <f t="shared" si="27"/>
        <v>0</v>
      </c>
      <c r="EO21" s="93">
        <f t="shared" si="27"/>
        <v>0</v>
      </c>
      <c r="EP21" s="93">
        <f t="shared" si="27"/>
        <v>0</v>
      </c>
      <c r="EQ21" s="93">
        <f t="shared" si="27"/>
        <v>0</v>
      </c>
      <c r="ER21" s="93">
        <f t="shared" si="27"/>
        <v>0</v>
      </c>
      <c r="ES21" s="93">
        <f t="shared" si="27"/>
        <v>0</v>
      </c>
      <c r="ET21" s="93">
        <f t="shared" si="27"/>
        <v>0</v>
      </c>
      <c r="EU21" s="93">
        <f t="shared" si="27"/>
        <v>0</v>
      </c>
      <c r="EV21" s="93">
        <f t="shared" si="27"/>
        <v>0</v>
      </c>
      <c r="EW21" s="93">
        <f t="shared" si="27"/>
        <v>0</v>
      </c>
      <c r="EX21" s="93">
        <f t="shared" si="27"/>
        <v>0</v>
      </c>
      <c r="EY21" s="93">
        <f t="shared" si="27"/>
        <v>0</v>
      </c>
      <c r="EZ21" s="93">
        <f t="shared" si="27"/>
        <v>0</v>
      </c>
      <c r="FA21" s="93">
        <f t="shared" si="27"/>
        <v>0</v>
      </c>
      <c r="FB21" s="93">
        <f t="shared" si="27"/>
        <v>0</v>
      </c>
      <c r="FC21" s="93">
        <f t="shared" si="27"/>
        <v>0</v>
      </c>
      <c r="FD21" s="93">
        <f t="shared" si="27"/>
        <v>0</v>
      </c>
      <c r="FE21" s="93">
        <f t="shared" si="27"/>
        <v>0</v>
      </c>
      <c r="FF21" s="93">
        <f t="shared" si="27"/>
        <v>0</v>
      </c>
      <c r="FG21" s="93">
        <f t="shared" si="27"/>
        <v>0</v>
      </c>
      <c r="FH21" s="93">
        <f t="shared" si="27"/>
        <v>0</v>
      </c>
      <c r="FI21" s="93">
        <f t="shared" si="27"/>
        <v>0</v>
      </c>
      <c r="FJ21" s="93">
        <f t="shared" si="27"/>
        <v>0</v>
      </c>
      <c r="FK21" s="93">
        <f t="shared" ref="FK21:HV21" si="28">FK62+FK93+FK124+FK155+FK186+FK217+FK248+FK279+FK310</f>
        <v>0</v>
      </c>
      <c r="FL21" s="93">
        <f t="shared" si="28"/>
        <v>0</v>
      </c>
      <c r="FM21" s="93">
        <f t="shared" si="28"/>
        <v>0</v>
      </c>
      <c r="FN21" s="93">
        <f t="shared" si="28"/>
        <v>0</v>
      </c>
      <c r="FO21" s="93">
        <f t="shared" si="28"/>
        <v>0</v>
      </c>
      <c r="FP21" s="93">
        <f t="shared" si="28"/>
        <v>0</v>
      </c>
      <c r="FQ21" s="93">
        <f t="shared" si="28"/>
        <v>0</v>
      </c>
      <c r="FR21" s="93">
        <f t="shared" si="28"/>
        <v>0</v>
      </c>
      <c r="FS21" s="93">
        <f t="shared" si="28"/>
        <v>0</v>
      </c>
      <c r="FT21" s="93">
        <f t="shared" si="28"/>
        <v>0</v>
      </c>
      <c r="FU21" s="93">
        <f t="shared" si="28"/>
        <v>0</v>
      </c>
      <c r="FV21" s="93">
        <f t="shared" si="28"/>
        <v>0</v>
      </c>
      <c r="FW21" s="93">
        <f t="shared" si="28"/>
        <v>0</v>
      </c>
      <c r="FX21" s="93">
        <f t="shared" si="28"/>
        <v>0</v>
      </c>
      <c r="FY21" s="93">
        <f t="shared" si="28"/>
        <v>0</v>
      </c>
      <c r="FZ21" s="93">
        <f t="shared" si="28"/>
        <v>0</v>
      </c>
      <c r="GA21" s="93">
        <f t="shared" si="28"/>
        <v>0</v>
      </c>
      <c r="GB21" s="93">
        <f t="shared" si="28"/>
        <v>0</v>
      </c>
      <c r="GC21" s="93">
        <f t="shared" si="28"/>
        <v>0</v>
      </c>
      <c r="GD21" s="93">
        <f t="shared" si="28"/>
        <v>0</v>
      </c>
      <c r="GE21" s="93">
        <f t="shared" si="28"/>
        <v>0</v>
      </c>
      <c r="GF21" s="93">
        <f t="shared" si="28"/>
        <v>0</v>
      </c>
      <c r="GG21" s="93">
        <f t="shared" si="28"/>
        <v>0</v>
      </c>
      <c r="GH21" s="93">
        <f t="shared" si="28"/>
        <v>0</v>
      </c>
      <c r="GI21" s="93">
        <f t="shared" si="28"/>
        <v>0</v>
      </c>
      <c r="GJ21" s="93">
        <f t="shared" si="28"/>
        <v>0</v>
      </c>
      <c r="GK21" s="93">
        <f t="shared" si="28"/>
        <v>0</v>
      </c>
      <c r="GL21" s="93">
        <f t="shared" si="28"/>
        <v>0</v>
      </c>
      <c r="GM21" s="93">
        <f t="shared" si="28"/>
        <v>0</v>
      </c>
      <c r="GN21" s="93">
        <f t="shared" si="28"/>
        <v>0</v>
      </c>
      <c r="GO21" s="93">
        <f t="shared" si="28"/>
        <v>0</v>
      </c>
      <c r="GP21" s="93">
        <f t="shared" si="28"/>
        <v>0</v>
      </c>
      <c r="GQ21" s="93">
        <f t="shared" si="28"/>
        <v>0</v>
      </c>
      <c r="GR21" s="93">
        <f t="shared" si="28"/>
        <v>0</v>
      </c>
      <c r="GS21" s="93">
        <f t="shared" si="28"/>
        <v>0</v>
      </c>
      <c r="GT21" s="93">
        <f t="shared" si="28"/>
        <v>0</v>
      </c>
      <c r="GU21" s="93">
        <f t="shared" si="28"/>
        <v>0</v>
      </c>
      <c r="GV21" s="93">
        <f t="shared" si="28"/>
        <v>0</v>
      </c>
      <c r="GW21" s="93">
        <f t="shared" si="28"/>
        <v>0</v>
      </c>
      <c r="GX21" s="93">
        <f t="shared" si="28"/>
        <v>0</v>
      </c>
      <c r="GY21" s="93">
        <f t="shared" si="28"/>
        <v>0</v>
      </c>
      <c r="GZ21" s="93">
        <f t="shared" si="28"/>
        <v>0</v>
      </c>
      <c r="HA21" s="93">
        <f t="shared" si="28"/>
        <v>0</v>
      </c>
      <c r="HB21" s="93">
        <f t="shared" si="28"/>
        <v>0</v>
      </c>
      <c r="HC21" s="93">
        <f t="shared" si="28"/>
        <v>0</v>
      </c>
      <c r="HD21" s="93">
        <f t="shared" si="28"/>
        <v>0</v>
      </c>
      <c r="HE21" s="93">
        <f t="shared" si="28"/>
        <v>0</v>
      </c>
      <c r="HF21" s="93">
        <f t="shared" si="28"/>
        <v>0</v>
      </c>
      <c r="HG21" s="93">
        <f t="shared" si="28"/>
        <v>0</v>
      </c>
      <c r="HH21" s="93">
        <f t="shared" si="28"/>
        <v>0</v>
      </c>
      <c r="HI21" s="93">
        <f t="shared" si="28"/>
        <v>0</v>
      </c>
      <c r="HJ21" s="93">
        <f t="shared" si="28"/>
        <v>0</v>
      </c>
      <c r="HK21" s="93">
        <f t="shared" si="28"/>
        <v>0</v>
      </c>
      <c r="HL21" s="93">
        <f t="shared" si="28"/>
        <v>0</v>
      </c>
      <c r="HM21" s="93">
        <f t="shared" si="28"/>
        <v>0</v>
      </c>
      <c r="HN21" s="93">
        <f t="shared" si="28"/>
        <v>0</v>
      </c>
      <c r="HO21" s="93">
        <f t="shared" si="28"/>
        <v>0</v>
      </c>
      <c r="HP21" s="93">
        <f t="shared" si="28"/>
        <v>0</v>
      </c>
      <c r="HQ21" s="93">
        <f t="shared" si="28"/>
        <v>0</v>
      </c>
      <c r="HR21" s="93">
        <f t="shared" si="28"/>
        <v>0</v>
      </c>
      <c r="HS21" s="93">
        <f t="shared" si="28"/>
        <v>0</v>
      </c>
      <c r="HT21" s="93">
        <f t="shared" si="28"/>
        <v>0</v>
      </c>
      <c r="HU21" s="93">
        <f t="shared" si="28"/>
        <v>0</v>
      </c>
      <c r="HV21" s="93">
        <f t="shared" si="28"/>
        <v>0</v>
      </c>
      <c r="HW21" s="93">
        <f t="shared" ref="HW21:IS21" si="29">HW62+HW93+HW124+HW155+HW186+HW217+HW248+HW279+HW310</f>
        <v>0</v>
      </c>
      <c r="HX21" s="93">
        <f t="shared" si="29"/>
        <v>0</v>
      </c>
      <c r="HY21" s="93">
        <f t="shared" si="29"/>
        <v>0</v>
      </c>
      <c r="HZ21" s="93">
        <f t="shared" si="29"/>
        <v>0</v>
      </c>
      <c r="IA21" s="93">
        <f t="shared" si="29"/>
        <v>0</v>
      </c>
      <c r="IB21" s="93">
        <f t="shared" si="29"/>
        <v>0</v>
      </c>
      <c r="IC21" s="93">
        <f t="shared" si="29"/>
        <v>0</v>
      </c>
      <c r="ID21" s="93">
        <f t="shared" si="29"/>
        <v>0</v>
      </c>
      <c r="IE21" s="93">
        <f t="shared" si="29"/>
        <v>0</v>
      </c>
      <c r="IF21" s="93">
        <f t="shared" si="29"/>
        <v>0</v>
      </c>
      <c r="IG21" s="93">
        <f t="shared" si="29"/>
        <v>0</v>
      </c>
      <c r="IH21" s="93">
        <f t="shared" si="29"/>
        <v>0</v>
      </c>
      <c r="II21" s="93">
        <f t="shared" si="29"/>
        <v>0</v>
      </c>
      <c r="IJ21" s="93">
        <f t="shared" si="29"/>
        <v>0</v>
      </c>
      <c r="IK21" s="93">
        <f t="shared" si="29"/>
        <v>0</v>
      </c>
      <c r="IL21" s="93">
        <f t="shared" si="29"/>
        <v>0</v>
      </c>
      <c r="IM21" s="93">
        <f t="shared" si="29"/>
        <v>0</v>
      </c>
      <c r="IN21" s="93">
        <f t="shared" si="29"/>
        <v>0</v>
      </c>
      <c r="IO21" s="93">
        <f t="shared" si="29"/>
        <v>0</v>
      </c>
      <c r="IP21" s="93">
        <f t="shared" si="29"/>
        <v>0</v>
      </c>
      <c r="IQ21" s="93">
        <f t="shared" si="29"/>
        <v>0</v>
      </c>
      <c r="IR21" s="93">
        <f t="shared" si="29"/>
        <v>0</v>
      </c>
      <c r="IS21" s="93">
        <f t="shared" si="29"/>
        <v>0</v>
      </c>
    </row>
    <row r="22" spans="1:253" ht="20.149999999999999" hidden="1" customHeight="1" outlineLevel="2" x14ac:dyDescent="0.25">
      <c r="A22" s="48" t="s">
        <v>140</v>
      </c>
      <c r="B22" s="34" t="s">
        <v>141</v>
      </c>
      <c r="C22" s="80"/>
      <c r="D22" s="93">
        <f t="shared" ref="D22:AK22" si="30">D63+D94+D125+D156+D187+D218+D249+D280+D311</f>
        <v>0</v>
      </c>
      <c r="E22" s="93">
        <f t="shared" si="30"/>
        <v>0</v>
      </c>
      <c r="F22" s="93">
        <f t="shared" si="30"/>
        <v>2669025.7458721371</v>
      </c>
      <c r="G22" s="93">
        <f t="shared" si="30"/>
        <v>6539084.8741459232</v>
      </c>
      <c r="H22" s="93">
        <f t="shared" si="30"/>
        <v>11739583.780103961</v>
      </c>
      <c r="I22" s="93">
        <f t="shared" si="30"/>
        <v>20288310.902378775</v>
      </c>
      <c r="J22" s="93">
        <f t="shared" si="30"/>
        <v>30461944.494337823</v>
      </c>
      <c r="K22" s="93">
        <f t="shared" si="30"/>
        <v>41662156.783096813</v>
      </c>
      <c r="L22" s="93">
        <f t="shared" si="30"/>
        <v>52310366.712906726</v>
      </c>
      <c r="M22" s="93">
        <f t="shared" si="30"/>
        <v>61958242.87840692</v>
      </c>
      <c r="N22" s="93">
        <f t="shared" si="30"/>
        <v>69064878.435766771</v>
      </c>
      <c r="O22" s="93">
        <f t="shared" si="30"/>
        <v>73668329.176934436</v>
      </c>
      <c r="P22" s="93">
        <f t="shared" si="30"/>
        <v>76699120.666983068</v>
      </c>
      <c r="Q22" s="93">
        <f t="shared" si="30"/>
        <v>78976306.62741065</v>
      </c>
      <c r="R22" s="93">
        <f t="shared" si="30"/>
        <v>80300431.391369805</v>
      </c>
      <c r="S22" s="93">
        <f t="shared" si="30"/>
        <v>80651028.248317137</v>
      </c>
      <c r="T22" s="93">
        <f t="shared" si="30"/>
        <v>80735543.702285454</v>
      </c>
      <c r="U22" s="93">
        <f t="shared" si="30"/>
        <v>79731482.902868882</v>
      </c>
      <c r="V22" s="93">
        <f t="shared" si="30"/>
        <v>78781173.312659398</v>
      </c>
      <c r="W22" s="93">
        <f t="shared" si="30"/>
        <v>77733750.604787096</v>
      </c>
      <c r="X22" s="93">
        <f t="shared" si="30"/>
        <v>75486609.187760323</v>
      </c>
      <c r="Y22" s="93">
        <f t="shared" si="30"/>
        <v>73525380.709271684</v>
      </c>
      <c r="Z22" s="93">
        <f t="shared" si="30"/>
        <v>71719037.256717354</v>
      </c>
      <c r="AA22" s="93">
        <f t="shared" si="30"/>
        <v>69112510.470543891</v>
      </c>
      <c r="AB22" s="93">
        <f t="shared" si="30"/>
        <v>67371374.511602402</v>
      </c>
      <c r="AC22" s="93">
        <f t="shared" si="30"/>
        <v>66458829.520059973</v>
      </c>
      <c r="AD22" s="93">
        <f t="shared" si="30"/>
        <v>66603997.329718888</v>
      </c>
      <c r="AE22" s="93">
        <f t="shared" si="30"/>
        <v>68298429.034049973</v>
      </c>
      <c r="AF22" s="93">
        <f t="shared" si="30"/>
        <v>70691758.478870392</v>
      </c>
      <c r="AG22" s="93">
        <f t="shared" si="30"/>
        <v>73776673.540935606</v>
      </c>
      <c r="AH22" s="93">
        <f t="shared" si="30"/>
        <v>76355342.125819445</v>
      </c>
      <c r="AI22" s="93">
        <f t="shared" si="30"/>
        <v>78399001.954154551</v>
      </c>
      <c r="AJ22" s="93">
        <f t="shared" si="30"/>
        <v>79735483.3676171</v>
      </c>
      <c r="AK22" s="95">
        <f t="shared" si="30"/>
        <v>80164244.689026013</v>
      </c>
      <c r="AM22" s="93">
        <f t="shared" ref="AM22:CX22" si="31">AM63+AM94+AM125+AM156+AM187+AM218+AM249+AM280+AM311</f>
        <v>0</v>
      </c>
      <c r="AN22" s="93">
        <f t="shared" si="31"/>
        <v>0</v>
      </c>
      <c r="AO22" s="93">
        <f t="shared" si="31"/>
        <v>0</v>
      </c>
      <c r="AP22" s="93">
        <f t="shared" si="31"/>
        <v>0</v>
      </c>
      <c r="AQ22" s="93">
        <f t="shared" si="31"/>
        <v>0</v>
      </c>
      <c r="AR22" s="93">
        <f t="shared" si="31"/>
        <v>0</v>
      </c>
      <c r="AS22" s="93">
        <f t="shared" si="31"/>
        <v>0</v>
      </c>
      <c r="AT22" s="93">
        <f t="shared" si="31"/>
        <v>0</v>
      </c>
      <c r="AU22" s="93">
        <f t="shared" si="31"/>
        <v>0</v>
      </c>
      <c r="AV22" s="93">
        <f t="shared" si="31"/>
        <v>0</v>
      </c>
      <c r="AW22" s="93">
        <f t="shared" si="31"/>
        <v>0</v>
      </c>
      <c r="AX22" s="93">
        <f t="shared" si="31"/>
        <v>0</v>
      </c>
      <c r="AY22" s="93">
        <f t="shared" si="31"/>
        <v>0</v>
      </c>
      <c r="AZ22" s="93">
        <f t="shared" si="31"/>
        <v>0</v>
      </c>
      <c r="BA22" s="93">
        <f t="shared" si="31"/>
        <v>0</v>
      </c>
      <c r="BB22" s="93">
        <f t="shared" si="31"/>
        <v>0</v>
      </c>
      <c r="BC22" s="93">
        <f t="shared" si="31"/>
        <v>0</v>
      </c>
      <c r="BD22" s="93">
        <f t="shared" si="31"/>
        <v>0</v>
      </c>
      <c r="BE22" s="93">
        <f t="shared" si="31"/>
        <v>0</v>
      </c>
      <c r="BF22" s="93">
        <f t="shared" si="31"/>
        <v>0</v>
      </c>
      <c r="BG22" s="93">
        <f t="shared" si="31"/>
        <v>0</v>
      </c>
      <c r="BH22" s="93">
        <f t="shared" si="31"/>
        <v>0</v>
      </c>
      <c r="BI22" s="93">
        <f t="shared" si="31"/>
        <v>0</v>
      </c>
      <c r="BJ22" s="93">
        <f t="shared" si="31"/>
        <v>0</v>
      </c>
      <c r="BK22" s="93">
        <f t="shared" si="31"/>
        <v>0</v>
      </c>
      <c r="BL22" s="93">
        <f t="shared" si="31"/>
        <v>0</v>
      </c>
      <c r="BM22" s="93">
        <f t="shared" si="31"/>
        <v>0</v>
      </c>
      <c r="BN22" s="93">
        <f t="shared" si="31"/>
        <v>0</v>
      </c>
      <c r="BO22" s="93">
        <f t="shared" si="31"/>
        <v>0</v>
      </c>
      <c r="BP22" s="93">
        <f t="shared" si="31"/>
        <v>0</v>
      </c>
      <c r="BQ22" s="93">
        <f t="shared" si="31"/>
        <v>0</v>
      </c>
      <c r="BR22" s="93">
        <f t="shared" si="31"/>
        <v>0</v>
      </c>
      <c r="BS22" s="93">
        <f t="shared" si="31"/>
        <v>0</v>
      </c>
      <c r="BT22" s="93">
        <f t="shared" si="31"/>
        <v>0</v>
      </c>
      <c r="BU22" s="93">
        <f t="shared" si="31"/>
        <v>0</v>
      </c>
      <c r="BV22" s="93">
        <f t="shared" si="31"/>
        <v>0</v>
      </c>
      <c r="BW22" s="93">
        <f t="shared" si="31"/>
        <v>0</v>
      </c>
      <c r="BX22" s="93">
        <f t="shared" si="31"/>
        <v>0</v>
      </c>
      <c r="BY22" s="93">
        <f t="shared" si="31"/>
        <v>0</v>
      </c>
      <c r="BZ22" s="93">
        <f t="shared" si="31"/>
        <v>0</v>
      </c>
      <c r="CA22" s="93">
        <f t="shared" si="31"/>
        <v>0</v>
      </c>
      <c r="CB22" s="93">
        <f t="shared" si="31"/>
        <v>0</v>
      </c>
      <c r="CC22" s="93">
        <f t="shared" si="31"/>
        <v>0</v>
      </c>
      <c r="CD22" s="93">
        <f t="shared" si="31"/>
        <v>0</v>
      </c>
      <c r="CE22" s="93">
        <f t="shared" si="31"/>
        <v>0</v>
      </c>
      <c r="CF22" s="93">
        <f t="shared" si="31"/>
        <v>0</v>
      </c>
      <c r="CG22" s="93">
        <f t="shared" si="31"/>
        <v>0</v>
      </c>
      <c r="CH22" s="93">
        <f t="shared" si="31"/>
        <v>0</v>
      </c>
      <c r="CI22" s="93">
        <f t="shared" si="31"/>
        <v>0</v>
      </c>
      <c r="CJ22" s="93">
        <f t="shared" si="31"/>
        <v>0</v>
      </c>
      <c r="CK22" s="93">
        <f t="shared" si="31"/>
        <v>0</v>
      </c>
      <c r="CL22" s="93">
        <f t="shared" si="31"/>
        <v>0</v>
      </c>
      <c r="CM22" s="93">
        <f t="shared" si="31"/>
        <v>0</v>
      </c>
      <c r="CN22" s="93">
        <f t="shared" si="31"/>
        <v>0</v>
      </c>
      <c r="CO22" s="93">
        <f t="shared" si="31"/>
        <v>0</v>
      </c>
      <c r="CP22" s="93">
        <f t="shared" si="31"/>
        <v>0</v>
      </c>
      <c r="CQ22" s="93">
        <f t="shared" si="31"/>
        <v>0</v>
      </c>
      <c r="CR22" s="93">
        <f t="shared" si="31"/>
        <v>0</v>
      </c>
      <c r="CS22" s="93">
        <f t="shared" si="31"/>
        <v>0</v>
      </c>
      <c r="CT22" s="93">
        <f t="shared" si="31"/>
        <v>0</v>
      </c>
      <c r="CU22" s="93">
        <f t="shared" si="31"/>
        <v>0</v>
      </c>
      <c r="CV22" s="93">
        <f t="shared" si="31"/>
        <v>0</v>
      </c>
      <c r="CW22" s="93">
        <f t="shared" si="31"/>
        <v>0</v>
      </c>
      <c r="CX22" s="93">
        <f t="shared" si="31"/>
        <v>0</v>
      </c>
      <c r="CY22" s="93">
        <f t="shared" ref="CY22:FJ22" si="32">CY63+CY94+CY125+CY156+CY187+CY218+CY249+CY280+CY311</f>
        <v>0</v>
      </c>
      <c r="CZ22" s="93">
        <f t="shared" si="32"/>
        <v>0</v>
      </c>
      <c r="DA22" s="93">
        <f t="shared" si="32"/>
        <v>0</v>
      </c>
      <c r="DB22" s="93">
        <f t="shared" si="32"/>
        <v>0</v>
      </c>
      <c r="DC22" s="93">
        <f t="shared" si="32"/>
        <v>0</v>
      </c>
      <c r="DD22" s="93">
        <f t="shared" si="32"/>
        <v>0</v>
      </c>
      <c r="DE22" s="93">
        <f t="shared" si="32"/>
        <v>0</v>
      </c>
      <c r="DF22" s="93">
        <f t="shared" si="32"/>
        <v>0</v>
      </c>
      <c r="DG22" s="93">
        <f t="shared" si="32"/>
        <v>0</v>
      </c>
      <c r="DH22" s="93">
        <f t="shared" si="32"/>
        <v>0</v>
      </c>
      <c r="DI22" s="93">
        <f t="shared" si="32"/>
        <v>0</v>
      </c>
      <c r="DJ22" s="93">
        <f t="shared" si="32"/>
        <v>0</v>
      </c>
      <c r="DK22" s="93">
        <f t="shared" si="32"/>
        <v>0</v>
      </c>
      <c r="DL22" s="93">
        <f t="shared" si="32"/>
        <v>0</v>
      </c>
      <c r="DM22" s="93">
        <f t="shared" si="32"/>
        <v>0</v>
      </c>
      <c r="DN22" s="93">
        <f t="shared" si="32"/>
        <v>0</v>
      </c>
      <c r="DO22" s="93">
        <f t="shared" si="32"/>
        <v>0</v>
      </c>
      <c r="DP22" s="93">
        <f t="shared" si="32"/>
        <v>0</v>
      </c>
      <c r="DQ22" s="93">
        <f t="shared" si="32"/>
        <v>0</v>
      </c>
      <c r="DR22" s="93">
        <f t="shared" si="32"/>
        <v>0</v>
      </c>
      <c r="DS22" s="93">
        <f t="shared" si="32"/>
        <v>0</v>
      </c>
      <c r="DT22" s="93">
        <f t="shared" si="32"/>
        <v>0</v>
      </c>
      <c r="DU22" s="93">
        <f t="shared" si="32"/>
        <v>0</v>
      </c>
      <c r="DV22" s="93">
        <f t="shared" si="32"/>
        <v>0</v>
      </c>
      <c r="DW22" s="93">
        <f t="shared" si="32"/>
        <v>0</v>
      </c>
      <c r="DX22" s="93">
        <f t="shared" si="32"/>
        <v>0</v>
      </c>
      <c r="DY22" s="93">
        <f t="shared" si="32"/>
        <v>0</v>
      </c>
      <c r="DZ22" s="93">
        <f t="shared" si="32"/>
        <v>0</v>
      </c>
      <c r="EA22" s="93">
        <f t="shared" si="32"/>
        <v>0</v>
      </c>
      <c r="EB22" s="93">
        <f t="shared" si="32"/>
        <v>0</v>
      </c>
      <c r="EC22" s="93">
        <f t="shared" si="32"/>
        <v>0</v>
      </c>
      <c r="ED22" s="93">
        <f t="shared" si="32"/>
        <v>0</v>
      </c>
      <c r="EE22" s="93">
        <f t="shared" si="32"/>
        <v>0</v>
      </c>
      <c r="EF22" s="93">
        <f t="shared" si="32"/>
        <v>0</v>
      </c>
      <c r="EG22" s="93">
        <f t="shared" si="32"/>
        <v>0</v>
      </c>
      <c r="EH22" s="93">
        <f t="shared" si="32"/>
        <v>0</v>
      </c>
      <c r="EI22" s="93">
        <f t="shared" si="32"/>
        <v>0</v>
      </c>
      <c r="EJ22" s="93">
        <f t="shared" si="32"/>
        <v>0</v>
      </c>
      <c r="EK22" s="93">
        <f t="shared" si="32"/>
        <v>0</v>
      </c>
      <c r="EL22" s="93">
        <f t="shared" si="32"/>
        <v>0</v>
      </c>
      <c r="EM22" s="93">
        <f t="shared" si="32"/>
        <v>0</v>
      </c>
      <c r="EN22" s="93">
        <f t="shared" si="32"/>
        <v>0</v>
      </c>
      <c r="EO22" s="93">
        <f t="shared" si="32"/>
        <v>0</v>
      </c>
      <c r="EP22" s="93">
        <f t="shared" si="32"/>
        <v>0</v>
      </c>
      <c r="EQ22" s="93">
        <f t="shared" si="32"/>
        <v>0</v>
      </c>
      <c r="ER22" s="93">
        <f t="shared" si="32"/>
        <v>0</v>
      </c>
      <c r="ES22" s="93">
        <f t="shared" si="32"/>
        <v>0</v>
      </c>
      <c r="ET22" s="93">
        <f t="shared" si="32"/>
        <v>0</v>
      </c>
      <c r="EU22" s="93">
        <f t="shared" si="32"/>
        <v>0</v>
      </c>
      <c r="EV22" s="93">
        <f t="shared" si="32"/>
        <v>0</v>
      </c>
      <c r="EW22" s="93">
        <f t="shared" si="32"/>
        <v>0</v>
      </c>
      <c r="EX22" s="93">
        <f t="shared" si="32"/>
        <v>0</v>
      </c>
      <c r="EY22" s="93">
        <f t="shared" si="32"/>
        <v>0</v>
      </c>
      <c r="EZ22" s="93">
        <f t="shared" si="32"/>
        <v>0</v>
      </c>
      <c r="FA22" s="93">
        <f t="shared" si="32"/>
        <v>0</v>
      </c>
      <c r="FB22" s="93">
        <f t="shared" si="32"/>
        <v>0</v>
      </c>
      <c r="FC22" s="93">
        <f t="shared" si="32"/>
        <v>0</v>
      </c>
      <c r="FD22" s="93">
        <f t="shared" si="32"/>
        <v>0</v>
      </c>
      <c r="FE22" s="93">
        <f t="shared" si="32"/>
        <v>0</v>
      </c>
      <c r="FF22" s="93">
        <f t="shared" si="32"/>
        <v>0</v>
      </c>
      <c r="FG22" s="93">
        <f t="shared" si="32"/>
        <v>0</v>
      </c>
      <c r="FH22" s="93">
        <f t="shared" si="32"/>
        <v>0</v>
      </c>
      <c r="FI22" s="93">
        <f t="shared" si="32"/>
        <v>0</v>
      </c>
      <c r="FJ22" s="93">
        <f t="shared" si="32"/>
        <v>0</v>
      </c>
      <c r="FK22" s="93">
        <f t="shared" ref="FK22:HV22" si="33">FK63+FK94+FK125+FK156+FK187+FK218+FK249+FK280+FK311</f>
        <v>0</v>
      </c>
      <c r="FL22" s="93">
        <f t="shared" si="33"/>
        <v>0</v>
      </c>
      <c r="FM22" s="93">
        <f t="shared" si="33"/>
        <v>0</v>
      </c>
      <c r="FN22" s="93">
        <f t="shared" si="33"/>
        <v>0</v>
      </c>
      <c r="FO22" s="93">
        <f t="shared" si="33"/>
        <v>0</v>
      </c>
      <c r="FP22" s="93">
        <f t="shared" si="33"/>
        <v>0</v>
      </c>
      <c r="FQ22" s="93">
        <f t="shared" si="33"/>
        <v>0</v>
      </c>
      <c r="FR22" s="93">
        <f t="shared" si="33"/>
        <v>0</v>
      </c>
      <c r="FS22" s="93">
        <f t="shared" si="33"/>
        <v>0</v>
      </c>
      <c r="FT22" s="93">
        <f t="shared" si="33"/>
        <v>0</v>
      </c>
      <c r="FU22" s="93">
        <f t="shared" si="33"/>
        <v>0</v>
      </c>
      <c r="FV22" s="93">
        <f t="shared" si="33"/>
        <v>0</v>
      </c>
      <c r="FW22" s="93">
        <f t="shared" si="33"/>
        <v>0</v>
      </c>
      <c r="FX22" s="93">
        <f t="shared" si="33"/>
        <v>0</v>
      </c>
      <c r="FY22" s="93">
        <f t="shared" si="33"/>
        <v>0</v>
      </c>
      <c r="FZ22" s="93">
        <f t="shared" si="33"/>
        <v>0</v>
      </c>
      <c r="GA22" s="93">
        <f t="shared" si="33"/>
        <v>0</v>
      </c>
      <c r="GB22" s="93">
        <f t="shared" si="33"/>
        <v>0</v>
      </c>
      <c r="GC22" s="93">
        <f t="shared" si="33"/>
        <v>0</v>
      </c>
      <c r="GD22" s="93">
        <f t="shared" si="33"/>
        <v>0</v>
      </c>
      <c r="GE22" s="93">
        <f t="shared" si="33"/>
        <v>0</v>
      </c>
      <c r="GF22" s="93">
        <f t="shared" si="33"/>
        <v>0</v>
      </c>
      <c r="GG22" s="93">
        <f t="shared" si="33"/>
        <v>0</v>
      </c>
      <c r="GH22" s="93">
        <f t="shared" si="33"/>
        <v>0</v>
      </c>
      <c r="GI22" s="93">
        <f t="shared" si="33"/>
        <v>0</v>
      </c>
      <c r="GJ22" s="93">
        <f t="shared" si="33"/>
        <v>0</v>
      </c>
      <c r="GK22" s="93">
        <f t="shared" si="33"/>
        <v>0</v>
      </c>
      <c r="GL22" s="93">
        <f t="shared" si="33"/>
        <v>0</v>
      </c>
      <c r="GM22" s="93">
        <f t="shared" si="33"/>
        <v>0</v>
      </c>
      <c r="GN22" s="93">
        <f t="shared" si="33"/>
        <v>0</v>
      </c>
      <c r="GO22" s="93">
        <f t="shared" si="33"/>
        <v>0</v>
      </c>
      <c r="GP22" s="93">
        <f t="shared" si="33"/>
        <v>0</v>
      </c>
      <c r="GQ22" s="93">
        <f t="shared" si="33"/>
        <v>0</v>
      </c>
      <c r="GR22" s="93">
        <f t="shared" si="33"/>
        <v>0</v>
      </c>
      <c r="GS22" s="93">
        <f t="shared" si="33"/>
        <v>0</v>
      </c>
      <c r="GT22" s="93">
        <f t="shared" si="33"/>
        <v>0</v>
      </c>
      <c r="GU22" s="93">
        <f t="shared" si="33"/>
        <v>0</v>
      </c>
      <c r="GV22" s="93">
        <f t="shared" si="33"/>
        <v>0</v>
      </c>
      <c r="GW22" s="93">
        <f t="shared" si="33"/>
        <v>0</v>
      </c>
      <c r="GX22" s="93">
        <f t="shared" si="33"/>
        <v>0</v>
      </c>
      <c r="GY22" s="93">
        <f t="shared" si="33"/>
        <v>0</v>
      </c>
      <c r="GZ22" s="93">
        <f t="shared" si="33"/>
        <v>0</v>
      </c>
      <c r="HA22" s="93">
        <f t="shared" si="33"/>
        <v>0</v>
      </c>
      <c r="HB22" s="93">
        <f t="shared" si="33"/>
        <v>0</v>
      </c>
      <c r="HC22" s="93">
        <f t="shared" si="33"/>
        <v>0</v>
      </c>
      <c r="HD22" s="93">
        <f t="shared" si="33"/>
        <v>0</v>
      </c>
      <c r="HE22" s="93">
        <f t="shared" si="33"/>
        <v>0</v>
      </c>
      <c r="HF22" s="93">
        <f t="shared" si="33"/>
        <v>0</v>
      </c>
      <c r="HG22" s="93">
        <f t="shared" si="33"/>
        <v>0</v>
      </c>
      <c r="HH22" s="93">
        <f t="shared" si="33"/>
        <v>0</v>
      </c>
      <c r="HI22" s="93">
        <f t="shared" si="33"/>
        <v>0</v>
      </c>
      <c r="HJ22" s="93">
        <f t="shared" si="33"/>
        <v>0</v>
      </c>
      <c r="HK22" s="93">
        <f t="shared" si="33"/>
        <v>0</v>
      </c>
      <c r="HL22" s="93">
        <f t="shared" si="33"/>
        <v>0</v>
      </c>
      <c r="HM22" s="93">
        <f t="shared" si="33"/>
        <v>0</v>
      </c>
      <c r="HN22" s="93">
        <f t="shared" si="33"/>
        <v>0</v>
      </c>
      <c r="HO22" s="93">
        <f t="shared" si="33"/>
        <v>0</v>
      </c>
      <c r="HP22" s="93">
        <f t="shared" si="33"/>
        <v>0</v>
      </c>
      <c r="HQ22" s="93">
        <f t="shared" si="33"/>
        <v>0</v>
      </c>
      <c r="HR22" s="93">
        <f t="shared" si="33"/>
        <v>0</v>
      </c>
      <c r="HS22" s="93">
        <f t="shared" si="33"/>
        <v>0</v>
      </c>
      <c r="HT22" s="93">
        <f t="shared" si="33"/>
        <v>0</v>
      </c>
      <c r="HU22" s="93">
        <f t="shared" si="33"/>
        <v>0</v>
      </c>
      <c r="HV22" s="93">
        <f t="shared" si="33"/>
        <v>0</v>
      </c>
      <c r="HW22" s="93">
        <f t="shared" ref="HW22:IS22" si="34">HW63+HW94+HW125+HW156+HW187+HW218+HW249+HW280+HW311</f>
        <v>0</v>
      </c>
      <c r="HX22" s="93">
        <f t="shared" si="34"/>
        <v>0</v>
      </c>
      <c r="HY22" s="93">
        <f t="shared" si="34"/>
        <v>0</v>
      </c>
      <c r="HZ22" s="93">
        <f t="shared" si="34"/>
        <v>0</v>
      </c>
      <c r="IA22" s="93">
        <f t="shared" si="34"/>
        <v>0</v>
      </c>
      <c r="IB22" s="93">
        <f t="shared" si="34"/>
        <v>0</v>
      </c>
      <c r="IC22" s="93">
        <f t="shared" si="34"/>
        <v>0</v>
      </c>
      <c r="ID22" s="93">
        <f t="shared" si="34"/>
        <v>0</v>
      </c>
      <c r="IE22" s="93">
        <f t="shared" si="34"/>
        <v>0</v>
      </c>
      <c r="IF22" s="93">
        <f t="shared" si="34"/>
        <v>0</v>
      </c>
      <c r="IG22" s="93">
        <f t="shared" si="34"/>
        <v>0</v>
      </c>
      <c r="IH22" s="93">
        <f t="shared" si="34"/>
        <v>0</v>
      </c>
      <c r="II22" s="93">
        <f t="shared" si="34"/>
        <v>0</v>
      </c>
      <c r="IJ22" s="93">
        <f t="shared" si="34"/>
        <v>0</v>
      </c>
      <c r="IK22" s="93">
        <f t="shared" si="34"/>
        <v>0</v>
      </c>
      <c r="IL22" s="93">
        <f t="shared" si="34"/>
        <v>0</v>
      </c>
      <c r="IM22" s="93">
        <f t="shared" si="34"/>
        <v>0</v>
      </c>
      <c r="IN22" s="93">
        <f t="shared" si="34"/>
        <v>0</v>
      </c>
      <c r="IO22" s="93">
        <f t="shared" si="34"/>
        <v>0</v>
      </c>
      <c r="IP22" s="93">
        <f t="shared" si="34"/>
        <v>0</v>
      </c>
      <c r="IQ22" s="93">
        <f t="shared" si="34"/>
        <v>0</v>
      </c>
      <c r="IR22" s="93">
        <f t="shared" si="34"/>
        <v>0</v>
      </c>
      <c r="IS22" s="93">
        <f t="shared" si="34"/>
        <v>0</v>
      </c>
    </row>
    <row r="23" spans="1:253" ht="20.149999999999999" hidden="1" customHeight="1" outlineLevel="2" thickBot="1" x14ac:dyDescent="0.3">
      <c r="A23" s="96"/>
      <c r="B23" s="87" t="s">
        <v>149</v>
      </c>
      <c r="C23" s="88"/>
      <c r="D23" s="88">
        <f t="shared" ref="D23:AK23" si="35">SUM(D19:D22)</f>
        <v>0</v>
      </c>
      <c r="E23" s="88">
        <f t="shared" si="35"/>
        <v>0</v>
      </c>
      <c r="F23" s="88">
        <f t="shared" si="35"/>
        <v>14066015.616813272</v>
      </c>
      <c r="G23" s="88">
        <f t="shared" si="35"/>
        <v>36860509.211217739</v>
      </c>
      <c r="H23" s="88">
        <f t="shared" si="35"/>
        <v>65167661.261242978</v>
      </c>
      <c r="I23" s="88">
        <f t="shared" si="35"/>
        <v>111577208.77909622</v>
      </c>
      <c r="J23" s="88">
        <f t="shared" si="35"/>
        <v>167474597.45933762</v>
      </c>
      <c r="K23" s="88">
        <f t="shared" si="35"/>
        <v>226487100.89743072</v>
      </c>
      <c r="L23" s="88">
        <f t="shared" si="35"/>
        <v>281049862.68784517</v>
      </c>
      <c r="M23" s="88">
        <f t="shared" si="35"/>
        <v>326363607.57701266</v>
      </c>
      <c r="N23" s="88">
        <f t="shared" si="35"/>
        <v>356933646.3670243</v>
      </c>
      <c r="O23" s="88">
        <f t="shared" si="35"/>
        <v>371299591.05725265</v>
      </c>
      <c r="P23" s="88">
        <f t="shared" si="35"/>
        <v>377351159.64869362</v>
      </c>
      <c r="Q23" s="88">
        <f t="shared" si="35"/>
        <v>380166865.83500397</v>
      </c>
      <c r="R23" s="88">
        <f t="shared" si="35"/>
        <v>384154570.14693785</v>
      </c>
      <c r="S23" s="88">
        <f t="shared" si="35"/>
        <v>384515743.81896007</v>
      </c>
      <c r="T23" s="88">
        <f t="shared" si="35"/>
        <v>384873095.33284408</v>
      </c>
      <c r="U23" s="88">
        <f t="shared" si="35"/>
        <v>387297872.56799275</v>
      </c>
      <c r="V23" s="88">
        <f t="shared" si="35"/>
        <v>387222712.2750544</v>
      </c>
      <c r="W23" s="88">
        <f t="shared" si="35"/>
        <v>387464124.71978778</v>
      </c>
      <c r="X23" s="88">
        <f t="shared" si="35"/>
        <v>384920152.05387402</v>
      </c>
      <c r="Y23" s="88">
        <f t="shared" si="35"/>
        <v>378781326.07366866</v>
      </c>
      <c r="Z23" s="88">
        <f t="shared" si="35"/>
        <v>372714757.80444181</v>
      </c>
      <c r="AA23" s="88">
        <f t="shared" si="35"/>
        <v>365111632.28564</v>
      </c>
      <c r="AB23" s="88">
        <f t="shared" si="35"/>
        <v>357860870.06232709</v>
      </c>
      <c r="AC23" s="88">
        <f t="shared" si="35"/>
        <v>353709216.81980264</v>
      </c>
      <c r="AD23" s="88">
        <f t="shared" si="35"/>
        <v>354840323.66353267</v>
      </c>
      <c r="AE23" s="88">
        <f t="shared" si="35"/>
        <v>358141884.39269036</v>
      </c>
      <c r="AF23" s="88">
        <f t="shared" si="35"/>
        <v>363909122.28348237</v>
      </c>
      <c r="AG23" s="88">
        <f t="shared" si="35"/>
        <v>374695819.98278773</v>
      </c>
      <c r="AH23" s="88">
        <f t="shared" si="35"/>
        <v>382720163.35996538</v>
      </c>
      <c r="AI23" s="88">
        <f t="shared" si="35"/>
        <v>388880173.70437098</v>
      </c>
      <c r="AJ23" s="88">
        <f t="shared" si="35"/>
        <v>391361089.00305784</v>
      </c>
      <c r="AK23" s="877">
        <f t="shared" si="35"/>
        <v>390935455.61053801</v>
      </c>
    </row>
    <row r="24" spans="1:253" ht="20.149999999999999" hidden="1" customHeight="1" outlineLevel="1" thickBot="1" x14ac:dyDescent="0.3">
      <c r="A24" s="14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</row>
    <row r="25" spans="1:253" ht="20.149999999999999" hidden="1" customHeight="1" outlineLevel="1" collapsed="1" thickBot="1" x14ac:dyDescent="0.3">
      <c r="A25" s="70">
        <v>3</v>
      </c>
      <c r="B25" s="104" t="s">
        <v>144</v>
      </c>
      <c r="C25" s="105"/>
      <c r="D25" s="105">
        <f>D35</f>
        <v>0</v>
      </c>
      <c r="E25" s="105">
        <f t="shared" ref="E25:BO25" si="36">E35</f>
        <v>0</v>
      </c>
      <c r="F25" s="105">
        <f t="shared" si="36"/>
        <v>27876816.891391579</v>
      </c>
      <c r="G25" s="105">
        <f t="shared" si="36"/>
        <v>72672257.515855327</v>
      </c>
      <c r="H25" s="105">
        <f t="shared" si="36"/>
        <v>126888131.9062243</v>
      </c>
      <c r="I25" s="105">
        <f t="shared" si="36"/>
        <v>216754708.19924879</v>
      </c>
      <c r="J25" s="105">
        <f t="shared" si="36"/>
        <v>329440177.90141153</v>
      </c>
      <c r="K25" s="105">
        <f t="shared" si="36"/>
        <v>445062359.50446069</v>
      </c>
      <c r="L25" s="105">
        <f t="shared" si="36"/>
        <v>551357524.33112931</v>
      </c>
      <c r="M25" s="105">
        <f t="shared" si="36"/>
        <v>645055748.73580873</v>
      </c>
      <c r="N25" s="105">
        <f t="shared" si="36"/>
        <v>706099280.78886497</v>
      </c>
      <c r="O25" s="105">
        <f t="shared" si="36"/>
        <v>733713270.10871553</v>
      </c>
      <c r="P25" s="105">
        <f t="shared" si="36"/>
        <v>743494343.57356215</v>
      </c>
      <c r="Q25" s="105">
        <f t="shared" si="36"/>
        <v>743605159.55010247</v>
      </c>
      <c r="R25" s="105">
        <f t="shared" si="36"/>
        <v>727953647.21934319</v>
      </c>
      <c r="S25" s="105">
        <f t="shared" si="36"/>
        <v>722455993.34124029</v>
      </c>
      <c r="T25" s="105">
        <f t="shared" si="36"/>
        <v>714984849.70729959</v>
      </c>
      <c r="U25" s="105">
        <f t="shared" si="36"/>
        <v>698801460.04914403</v>
      </c>
      <c r="V25" s="105">
        <f t="shared" si="36"/>
        <v>704134081.13660967</v>
      </c>
      <c r="W25" s="105">
        <f t="shared" si="36"/>
        <v>706063801.25219524</v>
      </c>
      <c r="X25" s="105">
        <f t="shared" si="36"/>
        <v>701966483.08849394</v>
      </c>
      <c r="Y25" s="105">
        <f t="shared" si="36"/>
        <v>697689508.97416675</v>
      </c>
      <c r="Z25" s="105">
        <f t="shared" si="36"/>
        <v>689690641.72196913</v>
      </c>
      <c r="AA25" s="105">
        <f t="shared" si="36"/>
        <v>669373021.94497597</v>
      </c>
      <c r="AB25" s="105">
        <f t="shared" si="36"/>
        <v>651015138.35965741</v>
      </c>
      <c r="AC25" s="105">
        <f t="shared" si="36"/>
        <v>637652125.65002251</v>
      </c>
      <c r="AD25" s="105">
        <f t="shared" si="36"/>
        <v>625615273.83085251</v>
      </c>
      <c r="AE25" s="105">
        <f t="shared" si="36"/>
        <v>645964557.35767722</v>
      </c>
      <c r="AF25" s="105">
        <f t="shared" si="36"/>
        <v>666757451.60152674</v>
      </c>
      <c r="AG25" s="105">
        <f t="shared" si="36"/>
        <v>684164119.7747978</v>
      </c>
      <c r="AH25" s="105">
        <f t="shared" si="36"/>
        <v>714845455.04499924</v>
      </c>
      <c r="AI25" s="105">
        <f t="shared" si="36"/>
        <v>735090578.21629655</v>
      </c>
      <c r="AJ25" s="105">
        <f t="shared" si="36"/>
        <v>750732812.3492291</v>
      </c>
      <c r="AK25" s="106">
        <f t="shared" si="36"/>
        <v>758199381.07935345</v>
      </c>
      <c r="AM25" s="113">
        <f t="shared" si="36"/>
        <v>0</v>
      </c>
      <c r="AN25" s="113">
        <f t="shared" si="36"/>
        <v>0</v>
      </c>
      <c r="AO25" s="113">
        <f t="shared" si="36"/>
        <v>0</v>
      </c>
      <c r="AP25" s="113">
        <f t="shared" si="36"/>
        <v>0</v>
      </c>
      <c r="AQ25" s="113">
        <f t="shared" si="36"/>
        <v>0</v>
      </c>
      <c r="AR25" s="113">
        <f t="shared" si="36"/>
        <v>0</v>
      </c>
      <c r="AS25" s="113">
        <f t="shared" si="36"/>
        <v>0</v>
      </c>
      <c r="AT25" s="113">
        <f t="shared" si="36"/>
        <v>0</v>
      </c>
      <c r="AU25" s="113">
        <f t="shared" si="36"/>
        <v>0</v>
      </c>
      <c r="AV25" s="113">
        <f t="shared" si="36"/>
        <v>0</v>
      </c>
      <c r="AW25" s="113">
        <f t="shared" si="36"/>
        <v>0</v>
      </c>
      <c r="AX25" s="113">
        <f t="shared" si="36"/>
        <v>0</v>
      </c>
      <c r="AY25" s="113">
        <f t="shared" si="36"/>
        <v>0</v>
      </c>
      <c r="AZ25" s="113">
        <f t="shared" si="36"/>
        <v>0</v>
      </c>
      <c r="BA25" s="113">
        <f t="shared" si="36"/>
        <v>0</v>
      </c>
      <c r="BB25" s="113">
        <f t="shared" si="36"/>
        <v>0</v>
      </c>
      <c r="BC25" s="113">
        <f t="shared" si="36"/>
        <v>0</v>
      </c>
      <c r="BD25" s="113">
        <f t="shared" si="36"/>
        <v>0</v>
      </c>
      <c r="BE25" s="113">
        <f t="shared" si="36"/>
        <v>0</v>
      </c>
      <c r="BF25" s="113">
        <f t="shared" si="36"/>
        <v>0</v>
      </c>
      <c r="BG25" s="113">
        <f t="shared" si="36"/>
        <v>0</v>
      </c>
      <c r="BH25" s="113">
        <f t="shared" si="36"/>
        <v>0</v>
      </c>
      <c r="BI25" s="113">
        <f t="shared" si="36"/>
        <v>0</v>
      </c>
      <c r="BJ25" s="113">
        <f t="shared" si="36"/>
        <v>0</v>
      </c>
      <c r="BK25" s="113">
        <f t="shared" si="36"/>
        <v>0</v>
      </c>
      <c r="BL25" s="113">
        <f t="shared" si="36"/>
        <v>0</v>
      </c>
      <c r="BM25" s="113">
        <f t="shared" si="36"/>
        <v>0</v>
      </c>
      <c r="BN25" s="113">
        <f t="shared" si="36"/>
        <v>0</v>
      </c>
      <c r="BO25" s="113">
        <f t="shared" si="36"/>
        <v>0</v>
      </c>
      <c r="BP25" s="113">
        <f t="shared" ref="BP25:EA25" si="37">BP35</f>
        <v>0</v>
      </c>
      <c r="BQ25" s="113">
        <f t="shared" si="37"/>
        <v>0</v>
      </c>
      <c r="BR25" s="113">
        <f t="shared" si="37"/>
        <v>0</v>
      </c>
      <c r="BS25" s="113">
        <f t="shared" si="37"/>
        <v>0</v>
      </c>
      <c r="BT25" s="113">
        <f t="shared" si="37"/>
        <v>0</v>
      </c>
      <c r="BU25" s="113">
        <f t="shared" si="37"/>
        <v>0</v>
      </c>
      <c r="BV25" s="113">
        <f t="shared" si="37"/>
        <v>0</v>
      </c>
      <c r="BW25" s="113">
        <f t="shared" si="37"/>
        <v>0</v>
      </c>
      <c r="BX25" s="113">
        <f t="shared" si="37"/>
        <v>0</v>
      </c>
      <c r="BY25" s="113">
        <f t="shared" si="37"/>
        <v>0</v>
      </c>
      <c r="BZ25" s="113">
        <f t="shared" si="37"/>
        <v>0</v>
      </c>
      <c r="CA25" s="113">
        <f t="shared" si="37"/>
        <v>0</v>
      </c>
      <c r="CB25" s="113">
        <f t="shared" si="37"/>
        <v>0</v>
      </c>
      <c r="CC25" s="113">
        <f t="shared" si="37"/>
        <v>0</v>
      </c>
      <c r="CD25" s="113">
        <f t="shared" si="37"/>
        <v>0</v>
      </c>
      <c r="CE25" s="113">
        <f t="shared" si="37"/>
        <v>0</v>
      </c>
      <c r="CF25" s="113">
        <f t="shared" si="37"/>
        <v>0</v>
      </c>
      <c r="CG25" s="113">
        <f t="shared" si="37"/>
        <v>0</v>
      </c>
      <c r="CH25" s="113">
        <f t="shared" si="37"/>
        <v>0</v>
      </c>
      <c r="CI25" s="113">
        <f t="shared" si="37"/>
        <v>0</v>
      </c>
      <c r="CJ25" s="113">
        <f t="shared" si="37"/>
        <v>0</v>
      </c>
      <c r="CK25" s="113">
        <f t="shared" si="37"/>
        <v>0</v>
      </c>
      <c r="CL25" s="113">
        <f t="shared" si="37"/>
        <v>0</v>
      </c>
      <c r="CM25" s="113">
        <f t="shared" si="37"/>
        <v>0</v>
      </c>
      <c r="CN25" s="113">
        <f t="shared" si="37"/>
        <v>0</v>
      </c>
      <c r="CO25" s="113">
        <f t="shared" si="37"/>
        <v>0</v>
      </c>
      <c r="CP25" s="113">
        <f t="shared" si="37"/>
        <v>0</v>
      </c>
      <c r="CQ25" s="113">
        <f t="shared" si="37"/>
        <v>0</v>
      </c>
      <c r="CR25" s="113">
        <f t="shared" si="37"/>
        <v>0</v>
      </c>
      <c r="CS25" s="113">
        <f t="shared" si="37"/>
        <v>0</v>
      </c>
      <c r="CT25" s="113">
        <f t="shared" si="37"/>
        <v>0</v>
      </c>
      <c r="CU25" s="113">
        <f t="shared" si="37"/>
        <v>0</v>
      </c>
      <c r="CV25" s="113">
        <f t="shared" si="37"/>
        <v>0</v>
      </c>
      <c r="CW25" s="113">
        <f t="shared" si="37"/>
        <v>0</v>
      </c>
      <c r="CX25" s="113">
        <f t="shared" si="37"/>
        <v>0</v>
      </c>
      <c r="CY25" s="113">
        <f t="shared" si="37"/>
        <v>0</v>
      </c>
      <c r="CZ25" s="113">
        <f t="shared" si="37"/>
        <v>0</v>
      </c>
      <c r="DA25" s="113">
        <f t="shared" si="37"/>
        <v>0</v>
      </c>
      <c r="DB25" s="113">
        <f t="shared" si="37"/>
        <v>0</v>
      </c>
      <c r="DC25" s="113">
        <f t="shared" si="37"/>
        <v>0</v>
      </c>
      <c r="DD25" s="113">
        <f t="shared" si="37"/>
        <v>0</v>
      </c>
      <c r="DE25" s="113">
        <f t="shared" si="37"/>
        <v>0</v>
      </c>
      <c r="DF25" s="113">
        <f t="shared" si="37"/>
        <v>0</v>
      </c>
      <c r="DG25" s="113">
        <f t="shared" si="37"/>
        <v>0</v>
      </c>
      <c r="DH25" s="113">
        <f t="shared" si="37"/>
        <v>0</v>
      </c>
      <c r="DI25" s="113">
        <f t="shared" si="37"/>
        <v>0</v>
      </c>
      <c r="DJ25" s="113">
        <f t="shared" si="37"/>
        <v>0</v>
      </c>
      <c r="DK25" s="113">
        <f t="shared" si="37"/>
        <v>0</v>
      </c>
      <c r="DL25" s="113">
        <f t="shared" si="37"/>
        <v>0</v>
      </c>
      <c r="DM25" s="113">
        <f t="shared" si="37"/>
        <v>0</v>
      </c>
      <c r="DN25" s="113">
        <f t="shared" si="37"/>
        <v>0</v>
      </c>
      <c r="DO25" s="113">
        <f t="shared" si="37"/>
        <v>0</v>
      </c>
      <c r="DP25" s="113">
        <f t="shared" si="37"/>
        <v>0</v>
      </c>
      <c r="DQ25" s="113">
        <f t="shared" si="37"/>
        <v>0</v>
      </c>
      <c r="DR25" s="113">
        <f t="shared" si="37"/>
        <v>0</v>
      </c>
      <c r="DS25" s="113">
        <f t="shared" si="37"/>
        <v>0</v>
      </c>
      <c r="DT25" s="113">
        <f t="shared" si="37"/>
        <v>0</v>
      </c>
      <c r="DU25" s="113">
        <f t="shared" si="37"/>
        <v>0</v>
      </c>
      <c r="DV25" s="113">
        <f t="shared" si="37"/>
        <v>0</v>
      </c>
      <c r="DW25" s="113">
        <f t="shared" si="37"/>
        <v>0</v>
      </c>
      <c r="DX25" s="113">
        <f t="shared" si="37"/>
        <v>0</v>
      </c>
      <c r="DY25" s="113">
        <f t="shared" si="37"/>
        <v>0</v>
      </c>
      <c r="DZ25" s="113">
        <f t="shared" si="37"/>
        <v>0</v>
      </c>
      <c r="EA25" s="113">
        <f t="shared" si="37"/>
        <v>0</v>
      </c>
      <c r="EB25" s="113">
        <f t="shared" ref="EB25:GM25" si="38">EB35</f>
        <v>0</v>
      </c>
      <c r="EC25" s="113">
        <f t="shared" si="38"/>
        <v>0</v>
      </c>
      <c r="ED25" s="113">
        <f t="shared" si="38"/>
        <v>0</v>
      </c>
      <c r="EE25" s="113">
        <f t="shared" si="38"/>
        <v>0</v>
      </c>
      <c r="EF25" s="113">
        <f t="shared" si="38"/>
        <v>0</v>
      </c>
      <c r="EG25" s="113">
        <f t="shared" si="38"/>
        <v>0</v>
      </c>
      <c r="EH25" s="113">
        <f t="shared" si="38"/>
        <v>0</v>
      </c>
      <c r="EI25" s="113">
        <f t="shared" si="38"/>
        <v>0</v>
      </c>
      <c r="EJ25" s="113">
        <f t="shared" si="38"/>
        <v>0</v>
      </c>
      <c r="EK25" s="113">
        <f t="shared" si="38"/>
        <v>0</v>
      </c>
      <c r="EL25" s="113">
        <f t="shared" si="38"/>
        <v>0</v>
      </c>
      <c r="EM25" s="113">
        <f t="shared" si="38"/>
        <v>0</v>
      </c>
      <c r="EN25" s="113">
        <f t="shared" si="38"/>
        <v>0</v>
      </c>
      <c r="EO25" s="113">
        <f t="shared" si="38"/>
        <v>0</v>
      </c>
      <c r="EP25" s="113">
        <f t="shared" si="38"/>
        <v>0</v>
      </c>
      <c r="EQ25" s="113">
        <f t="shared" si="38"/>
        <v>0</v>
      </c>
      <c r="ER25" s="113">
        <f t="shared" si="38"/>
        <v>0</v>
      </c>
      <c r="ES25" s="113">
        <f t="shared" si="38"/>
        <v>0</v>
      </c>
      <c r="ET25" s="113">
        <f t="shared" si="38"/>
        <v>0</v>
      </c>
      <c r="EU25" s="113">
        <f t="shared" si="38"/>
        <v>0</v>
      </c>
      <c r="EV25" s="113">
        <f t="shared" si="38"/>
        <v>0</v>
      </c>
      <c r="EW25" s="113">
        <f t="shared" si="38"/>
        <v>0</v>
      </c>
      <c r="EX25" s="113">
        <f t="shared" si="38"/>
        <v>0</v>
      </c>
      <c r="EY25" s="113">
        <f t="shared" si="38"/>
        <v>0</v>
      </c>
      <c r="EZ25" s="113">
        <f t="shared" si="38"/>
        <v>0</v>
      </c>
      <c r="FA25" s="113">
        <f t="shared" si="38"/>
        <v>0</v>
      </c>
      <c r="FB25" s="113">
        <f t="shared" si="38"/>
        <v>0</v>
      </c>
      <c r="FC25" s="113">
        <f t="shared" si="38"/>
        <v>0</v>
      </c>
      <c r="FD25" s="113">
        <f t="shared" si="38"/>
        <v>0</v>
      </c>
      <c r="FE25" s="113">
        <f t="shared" si="38"/>
        <v>0</v>
      </c>
      <c r="FF25" s="113">
        <f t="shared" si="38"/>
        <v>0</v>
      </c>
      <c r="FG25" s="113">
        <f t="shared" si="38"/>
        <v>0</v>
      </c>
      <c r="FH25" s="113">
        <f t="shared" si="38"/>
        <v>0</v>
      </c>
      <c r="FI25" s="113">
        <f t="shared" si="38"/>
        <v>0</v>
      </c>
      <c r="FJ25" s="113">
        <f t="shared" si="38"/>
        <v>0</v>
      </c>
      <c r="FK25" s="113">
        <f t="shared" si="38"/>
        <v>0</v>
      </c>
      <c r="FL25" s="113">
        <f t="shared" si="38"/>
        <v>0</v>
      </c>
      <c r="FM25" s="113">
        <f t="shared" si="38"/>
        <v>0</v>
      </c>
      <c r="FN25" s="113">
        <f t="shared" si="38"/>
        <v>0</v>
      </c>
      <c r="FO25" s="113">
        <f t="shared" si="38"/>
        <v>0</v>
      </c>
      <c r="FP25" s="113">
        <f t="shared" si="38"/>
        <v>0</v>
      </c>
      <c r="FQ25" s="113">
        <f t="shared" si="38"/>
        <v>0</v>
      </c>
      <c r="FR25" s="113">
        <f t="shared" si="38"/>
        <v>0</v>
      </c>
      <c r="FS25" s="113">
        <f t="shared" si="38"/>
        <v>0</v>
      </c>
      <c r="FT25" s="113">
        <f t="shared" si="38"/>
        <v>0</v>
      </c>
      <c r="FU25" s="113">
        <f t="shared" si="38"/>
        <v>0</v>
      </c>
      <c r="FV25" s="113">
        <f t="shared" si="38"/>
        <v>0</v>
      </c>
      <c r="FW25" s="113">
        <f t="shared" si="38"/>
        <v>0</v>
      </c>
      <c r="FX25" s="113">
        <f t="shared" si="38"/>
        <v>0</v>
      </c>
      <c r="FY25" s="113">
        <f t="shared" si="38"/>
        <v>0</v>
      </c>
      <c r="FZ25" s="113">
        <f t="shared" si="38"/>
        <v>0</v>
      </c>
      <c r="GA25" s="113">
        <f t="shared" si="38"/>
        <v>0</v>
      </c>
      <c r="GB25" s="113">
        <f t="shared" si="38"/>
        <v>0</v>
      </c>
      <c r="GC25" s="113">
        <f t="shared" si="38"/>
        <v>0</v>
      </c>
      <c r="GD25" s="113">
        <f t="shared" si="38"/>
        <v>0</v>
      </c>
      <c r="GE25" s="113">
        <f t="shared" si="38"/>
        <v>0</v>
      </c>
      <c r="GF25" s="113">
        <f t="shared" si="38"/>
        <v>0</v>
      </c>
      <c r="GG25" s="113">
        <f t="shared" si="38"/>
        <v>0</v>
      </c>
      <c r="GH25" s="113">
        <f t="shared" si="38"/>
        <v>0</v>
      </c>
      <c r="GI25" s="113">
        <f t="shared" si="38"/>
        <v>0</v>
      </c>
      <c r="GJ25" s="113">
        <f t="shared" si="38"/>
        <v>0</v>
      </c>
      <c r="GK25" s="113">
        <f t="shared" si="38"/>
        <v>0</v>
      </c>
      <c r="GL25" s="113">
        <f t="shared" si="38"/>
        <v>0</v>
      </c>
      <c r="GM25" s="113">
        <f t="shared" si="38"/>
        <v>0</v>
      </c>
      <c r="GN25" s="113">
        <f t="shared" ref="GN25:IS25" si="39">GN35</f>
        <v>0</v>
      </c>
      <c r="GO25" s="113">
        <f t="shared" si="39"/>
        <v>0</v>
      </c>
      <c r="GP25" s="113">
        <f t="shared" si="39"/>
        <v>0</v>
      </c>
      <c r="GQ25" s="113">
        <f t="shared" si="39"/>
        <v>0</v>
      </c>
      <c r="GR25" s="113">
        <f t="shared" si="39"/>
        <v>0</v>
      </c>
      <c r="GS25" s="113">
        <f t="shared" si="39"/>
        <v>0</v>
      </c>
      <c r="GT25" s="113">
        <f t="shared" si="39"/>
        <v>0</v>
      </c>
      <c r="GU25" s="113">
        <f t="shared" si="39"/>
        <v>0</v>
      </c>
      <c r="GV25" s="113">
        <f t="shared" si="39"/>
        <v>0</v>
      </c>
      <c r="GW25" s="113">
        <f t="shared" si="39"/>
        <v>0</v>
      </c>
      <c r="GX25" s="113">
        <f t="shared" si="39"/>
        <v>0</v>
      </c>
      <c r="GY25" s="113">
        <f t="shared" si="39"/>
        <v>0</v>
      </c>
      <c r="GZ25" s="113">
        <f t="shared" si="39"/>
        <v>0</v>
      </c>
      <c r="HA25" s="113">
        <f t="shared" si="39"/>
        <v>0</v>
      </c>
      <c r="HB25" s="113">
        <f t="shared" si="39"/>
        <v>0</v>
      </c>
      <c r="HC25" s="113">
        <f t="shared" si="39"/>
        <v>0</v>
      </c>
      <c r="HD25" s="113">
        <f t="shared" si="39"/>
        <v>0</v>
      </c>
      <c r="HE25" s="113">
        <f t="shared" si="39"/>
        <v>0</v>
      </c>
      <c r="HF25" s="113">
        <f t="shared" si="39"/>
        <v>0</v>
      </c>
      <c r="HG25" s="113">
        <f t="shared" si="39"/>
        <v>0</v>
      </c>
      <c r="HH25" s="113">
        <f t="shared" si="39"/>
        <v>0</v>
      </c>
      <c r="HI25" s="113">
        <f t="shared" si="39"/>
        <v>0</v>
      </c>
      <c r="HJ25" s="113">
        <f t="shared" si="39"/>
        <v>0</v>
      </c>
      <c r="HK25" s="113">
        <f t="shared" si="39"/>
        <v>0</v>
      </c>
      <c r="HL25" s="113">
        <f t="shared" si="39"/>
        <v>0</v>
      </c>
      <c r="HM25" s="113">
        <f t="shared" si="39"/>
        <v>0</v>
      </c>
      <c r="HN25" s="113">
        <f t="shared" si="39"/>
        <v>0</v>
      </c>
      <c r="HO25" s="113">
        <f t="shared" si="39"/>
        <v>0</v>
      </c>
      <c r="HP25" s="113">
        <f t="shared" si="39"/>
        <v>0</v>
      </c>
      <c r="HQ25" s="113">
        <f t="shared" si="39"/>
        <v>0</v>
      </c>
      <c r="HR25" s="113">
        <f t="shared" si="39"/>
        <v>0</v>
      </c>
      <c r="HS25" s="113">
        <f t="shared" si="39"/>
        <v>0</v>
      </c>
      <c r="HT25" s="113">
        <f t="shared" si="39"/>
        <v>0</v>
      </c>
      <c r="HU25" s="113">
        <f t="shared" si="39"/>
        <v>0</v>
      </c>
      <c r="HV25" s="113">
        <f t="shared" si="39"/>
        <v>0</v>
      </c>
      <c r="HW25" s="113">
        <f t="shared" si="39"/>
        <v>0</v>
      </c>
      <c r="HX25" s="113">
        <f t="shared" si="39"/>
        <v>0</v>
      </c>
      <c r="HY25" s="113">
        <f t="shared" si="39"/>
        <v>0</v>
      </c>
      <c r="HZ25" s="113">
        <f t="shared" si="39"/>
        <v>0</v>
      </c>
      <c r="IA25" s="113">
        <f t="shared" si="39"/>
        <v>0</v>
      </c>
      <c r="IB25" s="113">
        <f t="shared" si="39"/>
        <v>0</v>
      </c>
      <c r="IC25" s="113">
        <f t="shared" si="39"/>
        <v>0</v>
      </c>
      <c r="ID25" s="113">
        <f t="shared" si="39"/>
        <v>0</v>
      </c>
      <c r="IE25" s="113">
        <f t="shared" si="39"/>
        <v>0</v>
      </c>
      <c r="IF25" s="113">
        <f t="shared" si="39"/>
        <v>0</v>
      </c>
      <c r="IG25" s="113">
        <f t="shared" si="39"/>
        <v>0</v>
      </c>
      <c r="IH25" s="113">
        <f t="shared" si="39"/>
        <v>0</v>
      </c>
      <c r="II25" s="113">
        <f t="shared" si="39"/>
        <v>0</v>
      </c>
      <c r="IJ25" s="113">
        <f t="shared" si="39"/>
        <v>0</v>
      </c>
      <c r="IK25" s="113">
        <f t="shared" si="39"/>
        <v>0</v>
      </c>
      <c r="IL25" s="113">
        <f t="shared" si="39"/>
        <v>0</v>
      </c>
      <c r="IM25" s="113">
        <f t="shared" si="39"/>
        <v>0</v>
      </c>
      <c r="IN25" s="113">
        <f t="shared" si="39"/>
        <v>0</v>
      </c>
      <c r="IO25" s="113">
        <f t="shared" si="39"/>
        <v>0</v>
      </c>
      <c r="IP25" s="113">
        <f t="shared" si="39"/>
        <v>0</v>
      </c>
      <c r="IQ25" s="113">
        <f t="shared" si="39"/>
        <v>0</v>
      </c>
      <c r="IR25" s="113">
        <f t="shared" si="39"/>
        <v>0</v>
      </c>
      <c r="IS25" s="113">
        <f t="shared" si="39"/>
        <v>0</v>
      </c>
    </row>
    <row r="26" spans="1:253" ht="20.149999999999999" hidden="1" customHeight="1" outlineLevel="2" x14ac:dyDescent="0.25">
      <c r="A26" s="47" t="s">
        <v>147</v>
      </c>
      <c r="B26" s="22" t="str">
        <f t="shared" ref="B26:B34" si="40">VLOOKUP($A26,$A$44:$AK$321,B$1,0)</f>
        <v>Valor da produção Banana Nanica</v>
      </c>
      <c r="C26" s="80"/>
      <c r="D26" s="80">
        <f t="shared" ref="D26:M34" si="41">VLOOKUP($A26,$A$44:$AK$321,D$1,0)</f>
        <v>0</v>
      </c>
      <c r="E26" s="80">
        <f t="shared" si="41"/>
        <v>0</v>
      </c>
      <c r="F26" s="80">
        <f t="shared" si="41"/>
        <v>0</v>
      </c>
      <c r="G26" s="80">
        <f t="shared" si="41"/>
        <v>11074420.195146538</v>
      </c>
      <c r="H26" s="80">
        <f t="shared" si="41"/>
        <v>21456689.128096417</v>
      </c>
      <c r="I26" s="80">
        <f t="shared" si="41"/>
        <v>33377756.597476259</v>
      </c>
      <c r="J26" s="80">
        <f t="shared" si="41"/>
        <v>57551932.448367871</v>
      </c>
      <c r="K26" s="80">
        <f t="shared" si="41"/>
        <v>79224626.405041292</v>
      </c>
      <c r="L26" s="80">
        <f t="shared" si="41"/>
        <v>100226769.81958896</v>
      </c>
      <c r="M26" s="80">
        <f t="shared" si="41"/>
        <v>116684458.5564775</v>
      </c>
      <c r="N26" s="80">
        <f t="shared" ref="N26:W34" si="42">VLOOKUP($A26,$A$44:$AK$321,N$1,0)</f>
        <v>125287161.89109495</v>
      </c>
      <c r="O26" s="80">
        <f t="shared" si="42"/>
        <v>125960638.52614357</v>
      </c>
      <c r="P26" s="80">
        <f t="shared" si="42"/>
        <v>119921170.43824847</v>
      </c>
      <c r="Q26" s="80">
        <f t="shared" si="42"/>
        <v>111578217.12737644</v>
      </c>
      <c r="R26" s="80">
        <f t="shared" si="42"/>
        <v>97959086.567610428</v>
      </c>
      <c r="S26" s="80">
        <f t="shared" si="42"/>
        <v>95611180.332374781</v>
      </c>
      <c r="T26" s="80">
        <f t="shared" si="42"/>
        <v>91944937.484073415</v>
      </c>
      <c r="U26" s="80">
        <f t="shared" si="42"/>
        <v>85561420.753104776</v>
      </c>
      <c r="V26" s="80">
        <f t="shared" si="42"/>
        <v>93883478.597924665</v>
      </c>
      <c r="W26" s="80">
        <f t="shared" si="42"/>
        <v>101439165.00271128</v>
      </c>
      <c r="X26" s="80">
        <f t="shared" ref="X26:AK34" si="43">VLOOKUP($A26,$A$44:$AK$321,X$1,0)</f>
        <v>111442450.52104799</v>
      </c>
      <c r="Y26" s="80">
        <f t="shared" si="43"/>
        <v>120287663.75828911</v>
      </c>
      <c r="Z26" s="80">
        <f t="shared" si="43"/>
        <v>125287161.89109495</v>
      </c>
      <c r="AA26" s="80">
        <f t="shared" si="43"/>
        <v>125960638.52614357</v>
      </c>
      <c r="AB26" s="80">
        <f t="shared" si="43"/>
        <v>119921170.43824847</v>
      </c>
      <c r="AC26" s="80">
        <f t="shared" si="43"/>
        <v>111578217.12737644</v>
      </c>
      <c r="AD26" s="80">
        <f t="shared" si="43"/>
        <v>97959086.567610428</v>
      </c>
      <c r="AE26" s="80">
        <f t="shared" si="43"/>
        <v>95611180.332374781</v>
      </c>
      <c r="AF26" s="80">
        <f t="shared" si="43"/>
        <v>91944937.484073415</v>
      </c>
      <c r="AG26" s="80">
        <f t="shared" si="43"/>
        <v>85561420.753104776</v>
      </c>
      <c r="AH26" s="80">
        <f t="shared" si="43"/>
        <v>93883478.597924665</v>
      </c>
      <c r="AI26" s="80">
        <f t="shared" si="43"/>
        <v>101439165.00271128</v>
      </c>
      <c r="AJ26" s="98">
        <f t="shared" si="43"/>
        <v>111442450.52104799</v>
      </c>
      <c r="AK26" s="881">
        <f t="shared" si="43"/>
        <v>120287663.75828911</v>
      </c>
    </row>
    <row r="27" spans="1:253" ht="20.149999999999999" hidden="1" customHeight="1" outlineLevel="2" x14ac:dyDescent="0.25">
      <c r="A27" s="47" t="s">
        <v>154</v>
      </c>
      <c r="B27" s="99" t="str">
        <f t="shared" si="40"/>
        <v>Valor da produção Banana Prata</v>
      </c>
      <c r="C27" s="100"/>
      <c r="D27" s="100">
        <f t="shared" si="41"/>
        <v>0</v>
      </c>
      <c r="E27" s="100">
        <f t="shared" si="41"/>
        <v>0</v>
      </c>
      <c r="F27" s="100">
        <f t="shared" si="41"/>
        <v>0</v>
      </c>
      <c r="G27" s="100">
        <f t="shared" si="41"/>
        <v>5167534.1097442843</v>
      </c>
      <c r="H27" s="100">
        <f t="shared" si="41"/>
        <v>9929771.4265674483</v>
      </c>
      <c r="I27" s="100">
        <f t="shared" si="41"/>
        <v>15327715.359982766</v>
      </c>
      <c r="J27" s="100">
        <f t="shared" si="41"/>
        <v>26151584.187400475</v>
      </c>
      <c r="K27" s="100">
        <f t="shared" si="41"/>
        <v>35424482.095280126</v>
      </c>
      <c r="L27" s="100">
        <f t="shared" si="41"/>
        <v>44166435.682106338</v>
      </c>
      <c r="M27" s="100">
        <f t="shared" si="41"/>
        <v>50431320.587467924</v>
      </c>
      <c r="N27" s="100">
        <f t="shared" si="42"/>
        <v>53743931.822021984</v>
      </c>
      <c r="O27" s="100">
        <f t="shared" si="42"/>
        <v>53687509.744441569</v>
      </c>
      <c r="P27" s="100">
        <f t="shared" si="42"/>
        <v>50218949.131686866</v>
      </c>
      <c r="Q27" s="100">
        <f t="shared" si="42"/>
        <v>47234428.819872096</v>
      </c>
      <c r="R27" s="100">
        <f t="shared" si="42"/>
        <v>42421554.457975462</v>
      </c>
      <c r="S27" s="100">
        <f t="shared" si="42"/>
        <v>42805571.46333573</v>
      </c>
      <c r="T27" s="100">
        <f t="shared" si="42"/>
        <v>42245691.645861</v>
      </c>
      <c r="U27" s="100">
        <f t="shared" si="42"/>
        <v>39899851.892239362</v>
      </c>
      <c r="V27" s="100">
        <f t="shared" si="42"/>
        <v>43848245.828530528</v>
      </c>
      <c r="W27" s="100">
        <f t="shared" si="42"/>
        <v>46220188.757756531</v>
      </c>
      <c r="X27" s="100">
        <f t="shared" si="43"/>
        <v>50122701.103199504</v>
      </c>
      <c r="Y27" s="100">
        <f t="shared" si="43"/>
        <v>53335582.474528149</v>
      </c>
      <c r="Z27" s="100">
        <f t="shared" si="43"/>
        <v>55397196.330667458</v>
      </c>
      <c r="AA27" s="100">
        <f t="shared" si="43"/>
        <v>55829470.044696227</v>
      </c>
      <c r="AB27" s="100">
        <f t="shared" si="43"/>
        <v>53469623.646874383</v>
      </c>
      <c r="AC27" s="100">
        <f t="shared" si="43"/>
        <v>51757358.718570024</v>
      </c>
      <c r="AD27" s="100">
        <f t="shared" si="43"/>
        <v>47052611.902881138</v>
      </c>
      <c r="AE27" s="100">
        <f t="shared" si="43"/>
        <v>48133085.666905306</v>
      </c>
      <c r="AF27" s="100">
        <f t="shared" si="43"/>
        <v>47744327.041705333</v>
      </c>
      <c r="AG27" s="100">
        <f t="shared" si="43"/>
        <v>44537577.183562599</v>
      </c>
      <c r="AH27" s="100">
        <f t="shared" si="43"/>
        <v>47607752.443447836</v>
      </c>
      <c r="AI27" s="100">
        <f t="shared" si="43"/>
        <v>48858899.610731259</v>
      </c>
      <c r="AJ27" s="101">
        <f t="shared" si="43"/>
        <v>51717355.634423845</v>
      </c>
      <c r="AK27" s="81">
        <f t="shared" si="43"/>
        <v>53872475.775534585</v>
      </c>
    </row>
    <row r="28" spans="1:253" ht="20.149999999999999" hidden="1" customHeight="1" outlineLevel="2" x14ac:dyDescent="0.25">
      <c r="A28" s="47" t="s">
        <v>337</v>
      </c>
      <c r="B28" s="99" t="str">
        <f t="shared" si="40"/>
        <v>Valor da produção Manga</v>
      </c>
      <c r="C28" s="100"/>
      <c r="D28" s="100">
        <f t="shared" si="41"/>
        <v>0</v>
      </c>
      <c r="E28" s="100">
        <f t="shared" si="41"/>
        <v>0</v>
      </c>
      <c r="F28" s="100">
        <f t="shared" si="41"/>
        <v>0</v>
      </c>
      <c r="G28" s="100">
        <f t="shared" si="41"/>
        <v>0</v>
      </c>
      <c r="H28" s="100">
        <f t="shared" si="41"/>
        <v>2171232.8192202877</v>
      </c>
      <c r="I28" s="100">
        <f t="shared" si="41"/>
        <v>4892511.285976382</v>
      </c>
      <c r="J28" s="100">
        <f t="shared" si="41"/>
        <v>10222418.962504558</v>
      </c>
      <c r="K28" s="100">
        <f t="shared" si="41"/>
        <v>18642841.155371059</v>
      </c>
      <c r="L28" s="100">
        <f t="shared" si="41"/>
        <v>29165567.953040425</v>
      </c>
      <c r="M28" s="100">
        <f t="shared" si="41"/>
        <v>43647190.063961178</v>
      </c>
      <c r="N28" s="100">
        <f t="shared" si="42"/>
        <v>57839905.877065003</v>
      </c>
      <c r="O28" s="100">
        <f t="shared" si="42"/>
        <v>72505198.810578093</v>
      </c>
      <c r="P28" s="100">
        <f t="shared" si="42"/>
        <v>84582424.160018906</v>
      </c>
      <c r="Q28" s="100">
        <f t="shared" si="42"/>
        <v>94212519.535115555</v>
      </c>
      <c r="R28" s="100">
        <f t="shared" si="42"/>
        <v>100232738.33181415</v>
      </c>
      <c r="S28" s="100">
        <f t="shared" si="42"/>
        <v>101839266.24771324</v>
      </c>
      <c r="T28" s="100">
        <f t="shared" si="42"/>
        <v>102429372.57853976</v>
      </c>
      <c r="U28" s="100">
        <f t="shared" si="42"/>
        <v>98790030.883956507</v>
      </c>
      <c r="V28" s="100">
        <f t="shared" si="42"/>
        <v>94997680.57160975</v>
      </c>
      <c r="W28" s="100">
        <f t="shared" si="42"/>
        <v>90716276.246070296</v>
      </c>
      <c r="X28" s="100">
        <f t="shared" si="43"/>
        <v>80800376.906066239</v>
      </c>
      <c r="Y28" s="100">
        <f t="shared" si="43"/>
        <v>71763747.11557667</v>
      </c>
      <c r="Z28" s="100">
        <f t="shared" si="43"/>
        <v>63205120.42078875</v>
      </c>
      <c r="AA28" s="100">
        <f t="shared" si="43"/>
        <v>50893209.75387758</v>
      </c>
      <c r="AB28" s="100">
        <f t="shared" si="43"/>
        <v>42579463.638333641</v>
      </c>
      <c r="AC28" s="100">
        <f t="shared" si="43"/>
        <v>38151333.259989902</v>
      </c>
      <c r="AD28" s="100">
        <f t="shared" si="43"/>
        <v>39035372.515763812</v>
      </c>
      <c r="AE28" s="100">
        <f t="shared" si="43"/>
        <v>46830873.147122152</v>
      </c>
      <c r="AF28" s="100">
        <f t="shared" si="43"/>
        <v>57839905.877065003</v>
      </c>
      <c r="AG28" s="100">
        <f t="shared" si="43"/>
        <v>72505198.810578093</v>
      </c>
      <c r="AH28" s="100">
        <f t="shared" si="43"/>
        <v>84582424.160018906</v>
      </c>
      <c r="AI28" s="100">
        <f t="shared" si="43"/>
        <v>94212519.535115555</v>
      </c>
      <c r="AJ28" s="101">
        <f t="shared" si="43"/>
        <v>100232738.33181415</v>
      </c>
      <c r="AK28" s="81">
        <f t="shared" si="43"/>
        <v>101839266.24771324</v>
      </c>
    </row>
    <row r="29" spans="1:253" ht="20.149999999999999" hidden="1" customHeight="1" outlineLevel="2" x14ac:dyDescent="0.25">
      <c r="A29" s="47" t="s">
        <v>338</v>
      </c>
      <c r="B29" s="99" t="str">
        <f t="shared" si="40"/>
        <v>Valor da produção Limão</v>
      </c>
      <c r="C29" s="100"/>
      <c r="D29" s="100">
        <f t="shared" si="41"/>
        <v>0</v>
      </c>
      <c r="E29" s="100">
        <f t="shared" si="41"/>
        <v>0</v>
      </c>
      <c r="F29" s="100">
        <f t="shared" si="41"/>
        <v>0</v>
      </c>
      <c r="G29" s="100">
        <f t="shared" si="41"/>
        <v>676669.42818134883</v>
      </c>
      <c r="H29" s="100">
        <f t="shared" si="41"/>
        <v>4084183.334380284</v>
      </c>
      <c r="I29" s="100">
        <f t="shared" si="41"/>
        <v>9223019.2858410124</v>
      </c>
      <c r="J29" s="100">
        <f t="shared" si="41"/>
        <v>20889216.472929426</v>
      </c>
      <c r="K29" s="100">
        <f t="shared" si="41"/>
        <v>34699771.295615129</v>
      </c>
      <c r="L29" s="100">
        <f t="shared" si="41"/>
        <v>49862033.290393598</v>
      </c>
      <c r="M29" s="100">
        <f t="shared" si="41"/>
        <v>70298941.908250049</v>
      </c>
      <c r="N29" s="100">
        <f t="shared" si="42"/>
        <v>87094280.958682939</v>
      </c>
      <c r="O29" s="100">
        <f t="shared" si="42"/>
        <v>99425922.787552267</v>
      </c>
      <c r="P29" s="100">
        <f t="shared" si="42"/>
        <v>106637799.60360785</v>
      </c>
      <c r="Q29" s="100">
        <f t="shared" si="42"/>
        <v>108445993.8277384</v>
      </c>
      <c r="R29" s="100">
        <f t="shared" si="42"/>
        <v>105206267.62194306</v>
      </c>
      <c r="S29" s="100">
        <f t="shared" si="42"/>
        <v>100065975.05781648</v>
      </c>
      <c r="T29" s="100">
        <f t="shared" si="42"/>
        <v>96230847.758825392</v>
      </c>
      <c r="U29" s="100">
        <f t="shared" si="42"/>
        <v>92416156.27984336</v>
      </c>
      <c r="V29" s="100">
        <f t="shared" si="42"/>
        <v>89270675.898544744</v>
      </c>
      <c r="W29" s="100">
        <f t="shared" si="42"/>
        <v>85554171.005657107</v>
      </c>
      <c r="X29" s="100">
        <f t="shared" si="43"/>
        <v>77466954.318180233</v>
      </c>
      <c r="Y29" s="100">
        <f t="shared" si="43"/>
        <v>70168515.385772765</v>
      </c>
      <c r="Z29" s="100">
        <f t="shared" si="43"/>
        <v>63667162.83941786</v>
      </c>
      <c r="AA29" s="100">
        <f t="shared" si="43"/>
        <v>54555703.380258515</v>
      </c>
      <c r="AB29" s="100">
        <f t="shared" si="43"/>
        <v>52910880.39620091</v>
      </c>
      <c r="AC29" s="100">
        <f t="shared" si="43"/>
        <v>54031216.304086141</v>
      </c>
      <c r="AD29" s="100">
        <f t="shared" si="43"/>
        <v>59434202.604597077</v>
      </c>
      <c r="AE29" s="100">
        <f t="shared" si="43"/>
        <v>73255417.971274957</v>
      </c>
      <c r="AF29" s="100">
        <f t="shared" si="43"/>
        <v>87094280.958682939</v>
      </c>
      <c r="AG29" s="100">
        <f t="shared" si="43"/>
        <v>99425922.787552267</v>
      </c>
      <c r="AH29" s="100">
        <f t="shared" si="43"/>
        <v>106637799.60360785</v>
      </c>
      <c r="AI29" s="100">
        <f t="shared" si="43"/>
        <v>108445993.8277384</v>
      </c>
      <c r="AJ29" s="101">
        <f t="shared" si="43"/>
        <v>105206267.62194306</v>
      </c>
      <c r="AK29" s="81">
        <f t="shared" si="43"/>
        <v>100065975.05781648</v>
      </c>
    </row>
    <row r="30" spans="1:253" ht="20.149999999999999" hidden="1" customHeight="1" outlineLevel="2" x14ac:dyDescent="0.25">
      <c r="A30" s="47" t="s">
        <v>339</v>
      </c>
      <c r="B30" s="99" t="str">
        <f t="shared" si="40"/>
        <v>Valor da produção Cana</v>
      </c>
      <c r="C30" s="100"/>
      <c r="D30" s="100">
        <f t="shared" si="41"/>
        <v>0</v>
      </c>
      <c r="E30" s="100">
        <f t="shared" si="41"/>
        <v>0</v>
      </c>
      <c r="F30" s="100">
        <f t="shared" si="41"/>
        <v>0</v>
      </c>
      <c r="G30" s="100">
        <f t="shared" si="41"/>
        <v>0</v>
      </c>
      <c r="H30" s="100">
        <f t="shared" si="41"/>
        <v>0</v>
      </c>
      <c r="I30" s="100">
        <f t="shared" si="41"/>
        <v>0</v>
      </c>
      <c r="J30" s="100">
        <f t="shared" si="41"/>
        <v>0</v>
      </c>
      <c r="K30" s="100">
        <f t="shared" si="41"/>
        <v>0</v>
      </c>
      <c r="L30" s="100">
        <f t="shared" si="41"/>
        <v>0</v>
      </c>
      <c r="M30" s="100">
        <f t="shared" si="41"/>
        <v>0</v>
      </c>
      <c r="N30" s="100">
        <f t="shared" si="42"/>
        <v>0</v>
      </c>
      <c r="O30" s="100">
        <f t="shared" si="42"/>
        <v>0</v>
      </c>
      <c r="P30" s="100">
        <f t="shared" si="42"/>
        <v>0</v>
      </c>
      <c r="Q30" s="100">
        <f t="shared" si="42"/>
        <v>0</v>
      </c>
      <c r="R30" s="100">
        <f t="shared" si="42"/>
        <v>0</v>
      </c>
      <c r="S30" s="100">
        <f t="shared" si="42"/>
        <v>0</v>
      </c>
      <c r="T30" s="100">
        <f t="shared" si="42"/>
        <v>0</v>
      </c>
      <c r="U30" s="100">
        <f t="shared" si="42"/>
        <v>0</v>
      </c>
      <c r="V30" s="100">
        <f t="shared" si="42"/>
        <v>0</v>
      </c>
      <c r="W30" s="100">
        <f t="shared" si="42"/>
        <v>0</v>
      </c>
      <c r="X30" s="100">
        <f t="shared" si="43"/>
        <v>0</v>
      </c>
      <c r="Y30" s="100">
        <f t="shared" si="43"/>
        <v>0</v>
      </c>
      <c r="Z30" s="100">
        <f t="shared" si="43"/>
        <v>0</v>
      </c>
      <c r="AA30" s="100">
        <f t="shared" si="43"/>
        <v>0</v>
      </c>
      <c r="AB30" s="100">
        <f t="shared" si="43"/>
        <v>0</v>
      </c>
      <c r="AC30" s="100">
        <f t="shared" si="43"/>
        <v>0</v>
      </c>
      <c r="AD30" s="100">
        <f t="shared" si="43"/>
        <v>0</v>
      </c>
      <c r="AE30" s="100">
        <f t="shared" si="43"/>
        <v>0</v>
      </c>
      <c r="AF30" s="100">
        <f t="shared" si="43"/>
        <v>0</v>
      </c>
      <c r="AG30" s="100">
        <f t="shared" si="43"/>
        <v>0</v>
      </c>
      <c r="AH30" s="100">
        <f t="shared" si="43"/>
        <v>0</v>
      </c>
      <c r="AI30" s="100">
        <f t="shared" si="43"/>
        <v>0</v>
      </c>
      <c r="AJ30" s="101">
        <f t="shared" si="43"/>
        <v>0</v>
      </c>
      <c r="AK30" s="81">
        <f t="shared" si="43"/>
        <v>0</v>
      </c>
    </row>
    <row r="31" spans="1:253" ht="20.149999999999999" hidden="1" customHeight="1" outlineLevel="2" x14ac:dyDescent="0.25">
      <c r="A31" s="47" t="s">
        <v>340</v>
      </c>
      <c r="B31" s="99" t="str">
        <f t="shared" si="40"/>
        <v>Valor da produção Soja</v>
      </c>
      <c r="C31" s="100"/>
      <c r="D31" s="100">
        <f t="shared" si="41"/>
        <v>0</v>
      </c>
      <c r="E31" s="100">
        <f t="shared" si="41"/>
        <v>0</v>
      </c>
      <c r="F31" s="100">
        <f t="shared" si="41"/>
        <v>8725410.6087455712</v>
      </c>
      <c r="G31" s="100">
        <f t="shared" si="41"/>
        <v>17450821.217491142</v>
      </c>
      <c r="H31" s="100">
        <f t="shared" si="41"/>
        <v>27933971.978542533</v>
      </c>
      <c r="I31" s="100">
        <f t="shared" si="41"/>
        <v>48181067.219014458</v>
      </c>
      <c r="J31" s="100">
        <f t="shared" si="41"/>
        <v>67177378.413655624</v>
      </c>
      <c r="K31" s="100">
        <f t="shared" si="41"/>
        <v>86722781.098803923</v>
      </c>
      <c r="L31" s="100">
        <f t="shared" si="41"/>
        <v>102643803.47907247</v>
      </c>
      <c r="M31" s="100">
        <f t="shared" si="41"/>
        <v>113929639.2647067</v>
      </c>
      <c r="N31" s="100">
        <f t="shared" si="42"/>
        <v>119607488.64000002</v>
      </c>
      <c r="O31" s="100">
        <f t="shared" si="42"/>
        <v>119607488.64000002</v>
      </c>
      <c r="P31" s="100">
        <f t="shared" si="42"/>
        <v>119607488.64000002</v>
      </c>
      <c r="Q31" s="100">
        <f t="shared" si="42"/>
        <v>119607488.64000002</v>
      </c>
      <c r="R31" s="100">
        <f t="shared" si="42"/>
        <v>119607488.64000002</v>
      </c>
      <c r="S31" s="100">
        <f t="shared" si="42"/>
        <v>119607488.64000002</v>
      </c>
      <c r="T31" s="100">
        <f t="shared" si="42"/>
        <v>119607488.64000002</v>
      </c>
      <c r="U31" s="100">
        <f t="shared" si="42"/>
        <v>119607488.64000002</v>
      </c>
      <c r="V31" s="100">
        <f t="shared" si="42"/>
        <v>119607488.64000002</v>
      </c>
      <c r="W31" s="100">
        <f t="shared" si="42"/>
        <v>119607488.64000002</v>
      </c>
      <c r="X31" s="100">
        <f t="shared" si="43"/>
        <v>119607488.64000002</v>
      </c>
      <c r="Y31" s="100">
        <f t="shared" si="43"/>
        <v>119607488.64000002</v>
      </c>
      <c r="Z31" s="100">
        <f t="shared" si="43"/>
        <v>119607488.64000002</v>
      </c>
      <c r="AA31" s="100">
        <f t="shared" si="43"/>
        <v>119607488.64000002</v>
      </c>
      <c r="AB31" s="100">
        <f t="shared" si="43"/>
        <v>119607488.64000002</v>
      </c>
      <c r="AC31" s="100">
        <f t="shared" si="43"/>
        <v>119607488.64000002</v>
      </c>
      <c r="AD31" s="100">
        <f t="shared" si="43"/>
        <v>119607488.64000002</v>
      </c>
      <c r="AE31" s="100">
        <f t="shared" si="43"/>
        <v>119607488.64000002</v>
      </c>
      <c r="AF31" s="100">
        <f t="shared" si="43"/>
        <v>119607488.64000002</v>
      </c>
      <c r="AG31" s="100">
        <f t="shared" si="43"/>
        <v>119607488.64000002</v>
      </c>
      <c r="AH31" s="100">
        <f t="shared" si="43"/>
        <v>119607488.64000002</v>
      </c>
      <c r="AI31" s="100">
        <f t="shared" si="43"/>
        <v>119607488.64000002</v>
      </c>
      <c r="AJ31" s="101">
        <f t="shared" si="43"/>
        <v>119607488.64000002</v>
      </c>
      <c r="AK31" s="81">
        <f t="shared" si="43"/>
        <v>119607488.64000002</v>
      </c>
    </row>
    <row r="32" spans="1:253" ht="20.149999999999999" hidden="1" customHeight="1" outlineLevel="2" x14ac:dyDescent="0.25">
      <c r="A32" s="47" t="s">
        <v>341</v>
      </c>
      <c r="B32" s="99" t="str">
        <f t="shared" si="40"/>
        <v>Valor da produção Feijão</v>
      </c>
      <c r="C32" s="100"/>
      <c r="D32" s="100">
        <f t="shared" si="41"/>
        <v>0</v>
      </c>
      <c r="E32" s="100">
        <f t="shared" si="41"/>
        <v>0</v>
      </c>
      <c r="F32" s="100">
        <f t="shared" si="41"/>
        <v>5146765.7958213072</v>
      </c>
      <c r="G32" s="100">
        <f t="shared" si="41"/>
        <v>10293531.591642614</v>
      </c>
      <c r="H32" s="100">
        <f t="shared" si="41"/>
        <v>16477117.005415397</v>
      </c>
      <c r="I32" s="100">
        <f t="shared" si="41"/>
        <v>28420057.220051192</v>
      </c>
      <c r="J32" s="100">
        <f t="shared" si="41"/>
        <v>39625210.660665333</v>
      </c>
      <c r="K32" s="100">
        <f t="shared" si="41"/>
        <v>51154250.899143867</v>
      </c>
      <c r="L32" s="100">
        <f t="shared" si="41"/>
        <v>60545416.20879022</v>
      </c>
      <c r="M32" s="100">
        <f t="shared" si="41"/>
        <v>67202472.959854588</v>
      </c>
      <c r="N32" s="100">
        <f t="shared" si="42"/>
        <v>70551605.999999985</v>
      </c>
      <c r="O32" s="100">
        <f t="shared" si="42"/>
        <v>70551605.999999985</v>
      </c>
      <c r="P32" s="100">
        <f t="shared" si="42"/>
        <v>70551605.999999985</v>
      </c>
      <c r="Q32" s="100">
        <f t="shared" si="42"/>
        <v>70551605.999999985</v>
      </c>
      <c r="R32" s="100">
        <f t="shared" si="42"/>
        <v>70551605.999999985</v>
      </c>
      <c r="S32" s="100">
        <f t="shared" si="42"/>
        <v>70551605.999999985</v>
      </c>
      <c r="T32" s="100">
        <f t="shared" si="42"/>
        <v>70551605.999999985</v>
      </c>
      <c r="U32" s="100">
        <f t="shared" si="42"/>
        <v>70551605.999999985</v>
      </c>
      <c r="V32" s="100">
        <f t="shared" si="42"/>
        <v>70551605.999999985</v>
      </c>
      <c r="W32" s="100">
        <f t="shared" si="42"/>
        <v>70551605.999999985</v>
      </c>
      <c r="X32" s="100">
        <f t="shared" si="43"/>
        <v>70551605.999999985</v>
      </c>
      <c r="Y32" s="100">
        <f t="shared" si="43"/>
        <v>70551605.999999985</v>
      </c>
      <c r="Z32" s="100">
        <f t="shared" si="43"/>
        <v>70551605.999999985</v>
      </c>
      <c r="AA32" s="100">
        <f t="shared" si="43"/>
        <v>70551605.999999985</v>
      </c>
      <c r="AB32" s="100">
        <f t="shared" si="43"/>
        <v>70551605.999999985</v>
      </c>
      <c r="AC32" s="100">
        <f t="shared" si="43"/>
        <v>70551605.999999985</v>
      </c>
      <c r="AD32" s="100">
        <f t="shared" si="43"/>
        <v>70551605.999999985</v>
      </c>
      <c r="AE32" s="100">
        <f t="shared" si="43"/>
        <v>70551605.999999985</v>
      </c>
      <c r="AF32" s="100">
        <f t="shared" si="43"/>
        <v>70551605.999999985</v>
      </c>
      <c r="AG32" s="100">
        <f t="shared" si="43"/>
        <v>70551605.999999985</v>
      </c>
      <c r="AH32" s="100">
        <f t="shared" si="43"/>
        <v>70551605.999999985</v>
      </c>
      <c r="AI32" s="100">
        <f t="shared" si="43"/>
        <v>70551605.999999985</v>
      </c>
      <c r="AJ32" s="101">
        <f t="shared" si="43"/>
        <v>70551605.999999985</v>
      </c>
      <c r="AK32" s="81">
        <f t="shared" si="43"/>
        <v>70551605.999999985</v>
      </c>
    </row>
    <row r="33" spans="1:37" ht="20.149999999999999" hidden="1" customHeight="1" outlineLevel="2" x14ac:dyDescent="0.25">
      <c r="A33" s="47" t="s">
        <v>342</v>
      </c>
      <c r="B33" s="99" t="str">
        <f t="shared" si="40"/>
        <v>Valor da produção Milho 1</v>
      </c>
      <c r="C33" s="100"/>
      <c r="D33" s="100">
        <f t="shared" si="41"/>
        <v>0</v>
      </c>
      <c r="E33" s="100">
        <f t="shared" si="41"/>
        <v>0</v>
      </c>
      <c r="F33" s="100">
        <f t="shared" si="41"/>
        <v>5059916.4830524968</v>
      </c>
      <c r="G33" s="100">
        <f t="shared" si="41"/>
        <v>10119832.966104994</v>
      </c>
      <c r="H33" s="100">
        <f t="shared" si="41"/>
        <v>16199073.211486893</v>
      </c>
      <c r="I33" s="100">
        <f t="shared" si="41"/>
        <v>27940481.786403965</v>
      </c>
      <c r="J33" s="100">
        <f t="shared" si="41"/>
        <v>38956553.400800854</v>
      </c>
      <c r="K33" s="100">
        <f t="shared" si="41"/>
        <v>50291046.371865585</v>
      </c>
      <c r="L33" s="100">
        <f t="shared" si="41"/>
        <v>59523740.073205367</v>
      </c>
      <c r="M33" s="100">
        <f t="shared" si="41"/>
        <v>66068462.044171065</v>
      </c>
      <c r="N33" s="100">
        <f t="shared" si="42"/>
        <v>69361080.000000015</v>
      </c>
      <c r="O33" s="100">
        <f t="shared" si="42"/>
        <v>69361080.000000015</v>
      </c>
      <c r="P33" s="100">
        <f t="shared" si="42"/>
        <v>69361080.000000015</v>
      </c>
      <c r="Q33" s="100">
        <f t="shared" si="42"/>
        <v>69361080.000000015</v>
      </c>
      <c r="R33" s="100">
        <f t="shared" si="42"/>
        <v>69361080.000000015</v>
      </c>
      <c r="S33" s="100">
        <f t="shared" si="42"/>
        <v>69361080.000000015</v>
      </c>
      <c r="T33" s="100">
        <f t="shared" si="42"/>
        <v>69361080.000000015</v>
      </c>
      <c r="U33" s="100">
        <f t="shared" si="42"/>
        <v>69361080.000000015</v>
      </c>
      <c r="V33" s="100">
        <f t="shared" si="42"/>
        <v>69361080.000000015</v>
      </c>
      <c r="W33" s="100">
        <f t="shared" si="42"/>
        <v>69361080.000000015</v>
      </c>
      <c r="X33" s="100">
        <f t="shared" si="43"/>
        <v>69361080.000000015</v>
      </c>
      <c r="Y33" s="100">
        <f t="shared" si="43"/>
        <v>69361080.000000015</v>
      </c>
      <c r="Z33" s="100">
        <f t="shared" si="43"/>
        <v>69361080.000000015</v>
      </c>
      <c r="AA33" s="100">
        <f t="shared" si="43"/>
        <v>69361080.000000015</v>
      </c>
      <c r="AB33" s="100">
        <f t="shared" si="43"/>
        <v>69361080.000000015</v>
      </c>
      <c r="AC33" s="100">
        <f t="shared" si="43"/>
        <v>69361080.000000015</v>
      </c>
      <c r="AD33" s="100">
        <f t="shared" si="43"/>
        <v>69361080.000000015</v>
      </c>
      <c r="AE33" s="100">
        <f t="shared" si="43"/>
        <v>69361080.000000015</v>
      </c>
      <c r="AF33" s="100">
        <f t="shared" si="43"/>
        <v>69361080.000000015</v>
      </c>
      <c r="AG33" s="100">
        <f t="shared" si="43"/>
        <v>69361080.000000015</v>
      </c>
      <c r="AH33" s="100">
        <f t="shared" si="43"/>
        <v>69361080.000000015</v>
      </c>
      <c r="AI33" s="100">
        <f t="shared" si="43"/>
        <v>69361080.000000015</v>
      </c>
      <c r="AJ33" s="101">
        <f t="shared" si="43"/>
        <v>69361080.000000015</v>
      </c>
      <c r="AK33" s="81">
        <f t="shared" si="43"/>
        <v>69361080.000000015</v>
      </c>
    </row>
    <row r="34" spans="1:37" ht="20.149999999999999" hidden="1" customHeight="1" outlineLevel="2" x14ac:dyDescent="0.25">
      <c r="A34" s="47" t="s">
        <v>343</v>
      </c>
      <c r="B34" s="99" t="str">
        <f t="shared" si="40"/>
        <v>Valor da produção Milho 2</v>
      </c>
      <c r="C34" s="100"/>
      <c r="D34" s="100">
        <f t="shared" si="41"/>
        <v>0</v>
      </c>
      <c r="E34" s="100">
        <f t="shared" si="41"/>
        <v>0</v>
      </c>
      <c r="F34" s="100">
        <f t="shared" si="41"/>
        <v>8944724.0037722029</v>
      </c>
      <c r="G34" s="100">
        <f t="shared" si="41"/>
        <v>17889448.007544406</v>
      </c>
      <c r="H34" s="100">
        <f t="shared" si="41"/>
        <v>28636093.002515029</v>
      </c>
      <c r="I34" s="100">
        <f t="shared" si="41"/>
        <v>49392099.444502763</v>
      </c>
      <c r="J34" s="100">
        <f t="shared" si="41"/>
        <v>68865883.35508734</v>
      </c>
      <c r="K34" s="100">
        <f t="shared" si="41"/>
        <v>88902560.183339685</v>
      </c>
      <c r="L34" s="100">
        <f t="shared" si="41"/>
        <v>105223757.82493198</v>
      </c>
      <c r="M34" s="100">
        <f t="shared" si="41"/>
        <v>116793263.35091969</v>
      </c>
      <c r="N34" s="100">
        <f t="shared" si="42"/>
        <v>122613825.59999998</v>
      </c>
      <c r="O34" s="100">
        <f t="shared" si="42"/>
        <v>122613825.59999998</v>
      </c>
      <c r="P34" s="100">
        <f t="shared" si="42"/>
        <v>122613825.59999998</v>
      </c>
      <c r="Q34" s="100">
        <f t="shared" si="42"/>
        <v>122613825.59999998</v>
      </c>
      <c r="R34" s="100">
        <f t="shared" si="42"/>
        <v>122613825.59999998</v>
      </c>
      <c r="S34" s="100">
        <f t="shared" si="42"/>
        <v>122613825.59999998</v>
      </c>
      <c r="T34" s="100">
        <f t="shared" si="42"/>
        <v>122613825.59999998</v>
      </c>
      <c r="U34" s="100">
        <f t="shared" si="42"/>
        <v>122613825.59999998</v>
      </c>
      <c r="V34" s="100">
        <f t="shared" si="42"/>
        <v>122613825.59999998</v>
      </c>
      <c r="W34" s="100">
        <f t="shared" si="42"/>
        <v>122613825.59999998</v>
      </c>
      <c r="X34" s="100">
        <f t="shared" si="43"/>
        <v>122613825.59999998</v>
      </c>
      <c r="Y34" s="100">
        <f t="shared" si="43"/>
        <v>122613825.59999998</v>
      </c>
      <c r="Z34" s="100">
        <f t="shared" si="43"/>
        <v>122613825.59999998</v>
      </c>
      <c r="AA34" s="100">
        <f t="shared" si="43"/>
        <v>122613825.59999998</v>
      </c>
      <c r="AB34" s="100">
        <f t="shared" si="43"/>
        <v>122613825.59999998</v>
      </c>
      <c r="AC34" s="100">
        <f t="shared" si="43"/>
        <v>122613825.59999998</v>
      </c>
      <c r="AD34" s="100">
        <f t="shared" si="43"/>
        <v>122613825.59999998</v>
      </c>
      <c r="AE34" s="100">
        <f t="shared" si="43"/>
        <v>122613825.59999998</v>
      </c>
      <c r="AF34" s="100">
        <f t="shared" si="43"/>
        <v>122613825.59999998</v>
      </c>
      <c r="AG34" s="100">
        <f t="shared" si="43"/>
        <v>122613825.59999998</v>
      </c>
      <c r="AH34" s="100">
        <f t="shared" si="43"/>
        <v>122613825.59999998</v>
      </c>
      <c r="AI34" s="100">
        <f t="shared" si="43"/>
        <v>122613825.59999998</v>
      </c>
      <c r="AJ34" s="101">
        <f t="shared" si="43"/>
        <v>122613825.59999998</v>
      </c>
      <c r="AK34" s="81">
        <f t="shared" si="43"/>
        <v>122613825.59999998</v>
      </c>
    </row>
    <row r="35" spans="1:37" ht="20.149999999999999" hidden="1" customHeight="1" outlineLevel="2" thickBot="1" x14ac:dyDescent="0.3">
      <c r="A35" s="52"/>
      <c r="B35" s="102" t="s">
        <v>153</v>
      </c>
      <c r="C35" s="88"/>
      <c r="D35" s="88">
        <f>SUM(D26:D34)</f>
        <v>0</v>
      </c>
      <c r="E35" s="88">
        <f>SUM(E26:E34)</f>
        <v>0</v>
      </c>
      <c r="F35" s="88">
        <f t="shared" ref="F35:AK35" si="44">SUM(F26:F34)</f>
        <v>27876816.891391579</v>
      </c>
      <c r="G35" s="88">
        <f t="shared" si="44"/>
        <v>72672257.515855327</v>
      </c>
      <c r="H35" s="88">
        <f t="shared" si="44"/>
        <v>126888131.9062243</v>
      </c>
      <c r="I35" s="88">
        <f t="shared" si="44"/>
        <v>216754708.19924879</v>
      </c>
      <c r="J35" s="88">
        <f t="shared" si="44"/>
        <v>329440177.90141153</v>
      </c>
      <c r="K35" s="88">
        <f t="shared" si="44"/>
        <v>445062359.50446069</v>
      </c>
      <c r="L35" s="88">
        <f t="shared" si="44"/>
        <v>551357524.33112931</v>
      </c>
      <c r="M35" s="88">
        <f t="shared" si="44"/>
        <v>645055748.73580873</v>
      </c>
      <c r="N35" s="88">
        <f t="shared" si="44"/>
        <v>706099280.78886497</v>
      </c>
      <c r="O35" s="88">
        <f t="shared" si="44"/>
        <v>733713270.10871553</v>
      </c>
      <c r="P35" s="88">
        <f t="shared" si="44"/>
        <v>743494343.57356215</v>
      </c>
      <c r="Q35" s="88">
        <f t="shared" si="44"/>
        <v>743605159.55010247</v>
      </c>
      <c r="R35" s="88">
        <f t="shared" si="44"/>
        <v>727953647.21934319</v>
      </c>
      <c r="S35" s="88">
        <f t="shared" si="44"/>
        <v>722455993.34124029</v>
      </c>
      <c r="T35" s="88">
        <f t="shared" si="44"/>
        <v>714984849.70729959</v>
      </c>
      <c r="U35" s="88">
        <f t="shared" si="44"/>
        <v>698801460.04914403</v>
      </c>
      <c r="V35" s="88">
        <f t="shared" si="44"/>
        <v>704134081.13660967</v>
      </c>
      <c r="W35" s="88">
        <f t="shared" si="44"/>
        <v>706063801.25219524</v>
      </c>
      <c r="X35" s="88">
        <f t="shared" si="44"/>
        <v>701966483.08849394</v>
      </c>
      <c r="Y35" s="88">
        <f t="shared" si="44"/>
        <v>697689508.97416675</v>
      </c>
      <c r="Z35" s="88">
        <f t="shared" si="44"/>
        <v>689690641.72196913</v>
      </c>
      <c r="AA35" s="88">
        <f t="shared" si="44"/>
        <v>669373021.94497597</v>
      </c>
      <c r="AB35" s="88">
        <f t="shared" si="44"/>
        <v>651015138.35965741</v>
      </c>
      <c r="AC35" s="88">
        <f t="shared" si="44"/>
        <v>637652125.65002251</v>
      </c>
      <c r="AD35" s="88">
        <f t="shared" si="44"/>
        <v>625615273.83085251</v>
      </c>
      <c r="AE35" s="88">
        <f t="shared" si="44"/>
        <v>645964557.35767722</v>
      </c>
      <c r="AF35" s="88">
        <f t="shared" si="44"/>
        <v>666757451.60152674</v>
      </c>
      <c r="AG35" s="88">
        <f t="shared" si="44"/>
        <v>684164119.7747978</v>
      </c>
      <c r="AH35" s="88">
        <f t="shared" si="44"/>
        <v>714845455.04499924</v>
      </c>
      <c r="AI35" s="88">
        <f t="shared" si="44"/>
        <v>735090578.21629655</v>
      </c>
      <c r="AJ35" s="88">
        <f t="shared" si="44"/>
        <v>750732812.3492291</v>
      </c>
      <c r="AK35" s="877">
        <f t="shared" si="44"/>
        <v>758199381.07935345</v>
      </c>
    </row>
    <row r="36" spans="1:37" ht="20.149999999999999" hidden="1" customHeight="1" outlineLevel="1" thickBot="1" x14ac:dyDescent="0.3">
      <c r="A36" s="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</row>
    <row r="37" spans="1:37" ht="20.149999999999999" hidden="1" customHeight="1" outlineLevel="1" thickBot="1" x14ac:dyDescent="0.3">
      <c r="A37" s="70">
        <v>4</v>
      </c>
      <c r="B37" s="104" t="s">
        <v>556</v>
      </c>
      <c r="C37" s="105"/>
      <c r="D37" s="105">
        <f t="shared" ref="D37:AK37" si="45">D35-D23-D16</f>
        <v>0</v>
      </c>
      <c r="E37" s="105">
        <f t="shared" si="45"/>
        <v>0</v>
      </c>
      <c r="F37" s="105">
        <f t="shared" si="45"/>
        <v>-33519266.631758008</v>
      </c>
      <c r="G37" s="105">
        <f t="shared" si="45"/>
        <v>-12660091.947561942</v>
      </c>
      <c r="H37" s="105">
        <f t="shared" si="45"/>
        <v>3713954.6622273847</v>
      </c>
      <c r="I37" s="105">
        <f t="shared" si="45"/>
        <v>-6022512.5657098144</v>
      </c>
      <c r="J37" s="105">
        <f t="shared" si="45"/>
        <v>56272643.617124066</v>
      </c>
      <c r="K37" s="105">
        <f t="shared" si="45"/>
        <v>110067505.60899371</v>
      </c>
      <c r="L37" s="105">
        <f t="shared" si="45"/>
        <v>181388124.73422208</v>
      </c>
      <c r="M37" s="105">
        <f t="shared" si="45"/>
        <v>255389956.08662602</v>
      </c>
      <c r="N37" s="105">
        <f t="shared" si="45"/>
        <v>316889921.06890076</v>
      </c>
      <c r="O37" s="105">
        <f t="shared" si="45"/>
        <v>361670698.38368905</v>
      </c>
      <c r="P37" s="105">
        <f t="shared" si="45"/>
        <v>366143183.92486852</v>
      </c>
      <c r="Q37" s="105">
        <f t="shared" si="45"/>
        <v>363438293.7150985</v>
      </c>
      <c r="R37" s="105">
        <f t="shared" si="45"/>
        <v>343799077.07240534</v>
      </c>
      <c r="S37" s="105">
        <f t="shared" si="45"/>
        <v>337940249.52228022</v>
      </c>
      <c r="T37" s="105">
        <f t="shared" si="45"/>
        <v>330111754.37445551</v>
      </c>
      <c r="U37" s="105">
        <f t="shared" si="45"/>
        <v>311503587.48115128</v>
      </c>
      <c r="V37" s="105">
        <f t="shared" si="45"/>
        <v>316911368.86155528</v>
      </c>
      <c r="W37" s="105">
        <f t="shared" si="45"/>
        <v>318599676.53240746</v>
      </c>
      <c r="X37" s="105">
        <f t="shared" si="45"/>
        <v>317046331.03461993</v>
      </c>
      <c r="Y37" s="105">
        <f t="shared" si="45"/>
        <v>318908182.90049809</v>
      </c>
      <c r="Z37" s="105">
        <f t="shared" si="45"/>
        <v>316975883.91752732</v>
      </c>
      <c r="AA37" s="105">
        <f t="shared" si="45"/>
        <v>304261389.65933597</v>
      </c>
      <c r="AB37" s="105">
        <f t="shared" si="45"/>
        <v>293154268.29733032</v>
      </c>
      <c r="AC37" s="105">
        <f t="shared" si="45"/>
        <v>283942908.83021986</v>
      </c>
      <c r="AD37" s="105">
        <f t="shared" si="45"/>
        <v>270774950.16731983</v>
      </c>
      <c r="AE37" s="105">
        <f t="shared" si="45"/>
        <v>287822672.96498686</v>
      </c>
      <c r="AF37" s="105">
        <f t="shared" si="45"/>
        <v>302848329.31804436</v>
      </c>
      <c r="AG37" s="105">
        <f t="shared" si="45"/>
        <v>309468299.79201007</v>
      </c>
      <c r="AH37" s="105">
        <f t="shared" si="45"/>
        <v>332125291.68503386</v>
      </c>
      <c r="AI37" s="105">
        <f t="shared" si="45"/>
        <v>346210404.51192558</v>
      </c>
      <c r="AJ37" s="105">
        <f t="shared" si="45"/>
        <v>359371723.34617126</v>
      </c>
      <c r="AK37" s="106">
        <f t="shared" si="45"/>
        <v>367263925.46881545</v>
      </c>
    </row>
    <row r="38" spans="1:37" ht="20.149999999999999" hidden="1" customHeight="1" outlineLevel="1" thickBot="1" x14ac:dyDescent="0.3">
      <c r="A38" s="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</row>
    <row r="39" spans="1:37" ht="20.149999999999999" hidden="1" customHeight="1" outlineLevel="1" thickBot="1" x14ac:dyDescent="0.3">
      <c r="A39" s="70">
        <v>5</v>
      </c>
      <c r="B39" s="104" t="s">
        <v>160</v>
      </c>
      <c r="C39" s="107"/>
      <c r="D39" s="107">
        <f>D37</f>
        <v>0</v>
      </c>
      <c r="E39" s="107">
        <f t="shared" ref="E39:AK39" si="46">D39+E37</f>
        <v>0</v>
      </c>
      <c r="F39" s="107">
        <f t="shared" si="46"/>
        <v>-33519266.631758008</v>
      </c>
      <c r="G39" s="107">
        <f t="shared" si="46"/>
        <v>-46179358.579319954</v>
      </c>
      <c r="H39" s="107">
        <f t="shared" si="46"/>
        <v>-42465403.917092569</v>
      </c>
      <c r="I39" s="107">
        <f t="shared" si="46"/>
        <v>-48487916.482802384</v>
      </c>
      <c r="J39" s="107">
        <f t="shared" si="46"/>
        <v>7784727.1343216822</v>
      </c>
      <c r="K39" s="107">
        <f t="shared" si="46"/>
        <v>117852232.7433154</v>
      </c>
      <c r="L39" s="107">
        <f t="shared" si="46"/>
        <v>299240357.47753751</v>
      </c>
      <c r="M39" s="107">
        <f t="shared" si="46"/>
        <v>554630313.56416357</v>
      </c>
      <c r="N39" s="107">
        <f t="shared" si="46"/>
        <v>871520234.63306427</v>
      </c>
      <c r="O39" s="107">
        <f t="shared" si="46"/>
        <v>1233190933.0167532</v>
      </c>
      <c r="P39" s="107">
        <f t="shared" si="46"/>
        <v>1599334116.9416218</v>
      </c>
      <c r="Q39" s="107">
        <f t="shared" si="46"/>
        <v>1962772410.6567202</v>
      </c>
      <c r="R39" s="107">
        <f t="shared" si="46"/>
        <v>2306571487.7291255</v>
      </c>
      <c r="S39" s="107">
        <f t="shared" si="46"/>
        <v>2644511737.2514057</v>
      </c>
      <c r="T39" s="107">
        <f t="shared" si="46"/>
        <v>2974623491.6258612</v>
      </c>
      <c r="U39" s="107">
        <f t="shared" si="46"/>
        <v>3286127079.1070123</v>
      </c>
      <c r="V39" s="107">
        <f t="shared" si="46"/>
        <v>3603038447.9685674</v>
      </c>
      <c r="W39" s="107">
        <f t="shared" si="46"/>
        <v>3921638124.5009747</v>
      </c>
      <c r="X39" s="107">
        <f t="shared" si="46"/>
        <v>4238684455.5355945</v>
      </c>
      <c r="Y39" s="107">
        <f t="shared" si="46"/>
        <v>4557592638.4360924</v>
      </c>
      <c r="Z39" s="107">
        <f t="shared" si="46"/>
        <v>4874568522.3536196</v>
      </c>
      <c r="AA39" s="107">
        <f t="shared" si="46"/>
        <v>5178829912.0129557</v>
      </c>
      <c r="AB39" s="107">
        <f t="shared" si="46"/>
        <v>5471984180.3102856</v>
      </c>
      <c r="AC39" s="107">
        <f t="shared" si="46"/>
        <v>5755927089.1405058</v>
      </c>
      <c r="AD39" s="107">
        <f t="shared" si="46"/>
        <v>6026702039.307826</v>
      </c>
      <c r="AE39" s="107">
        <f t="shared" si="46"/>
        <v>6314524712.2728128</v>
      </c>
      <c r="AF39" s="107">
        <f t="shared" si="46"/>
        <v>6617373041.5908575</v>
      </c>
      <c r="AG39" s="107">
        <f t="shared" si="46"/>
        <v>6926841341.3828678</v>
      </c>
      <c r="AH39" s="107">
        <f t="shared" si="46"/>
        <v>7258966633.0679016</v>
      </c>
      <c r="AI39" s="107">
        <f t="shared" si="46"/>
        <v>7605177037.5798273</v>
      </c>
      <c r="AJ39" s="107">
        <f t="shared" si="46"/>
        <v>7964548760.9259987</v>
      </c>
      <c r="AK39" s="108">
        <f t="shared" si="46"/>
        <v>8331812686.3948145</v>
      </c>
    </row>
    <row r="40" spans="1:37" hidden="1" outlineLevel="1" x14ac:dyDescent="0.25">
      <c r="A40" s="14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s="531" customFormat="1" ht="13.5" thickBot="1" x14ac:dyDescent="0.3">
      <c r="D41" s="532"/>
      <c r="E41" s="533"/>
      <c r="F41" s="534"/>
      <c r="H41" s="532"/>
      <c r="T41" s="532"/>
    </row>
    <row r="42" spans="1:37" s="541" customFormat="1" ht="40" customHeight="1" thickBot="1" x14ac:dyDescent="0.3">
      <c r="A42" s="538" t="s">
        <v>557</v>
      </c>
      <c r="B42" s="539"/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39"/>
      <c r="N42" s="539"/>
      <c r="O42" s="539"/>
      <c r="P42" s="539"/>
      <c r="Q42" s="539"/>
      <c r="R42" s="539"/>
      <c r="S42" s="539"/>
      <c r="T42" s="539"/>
      <c r="U42" s="539"/>
      <c r="V42" s="539"/>
      <c r="W42" s="539"/>
      <c r="X42" s="539"/>
      <c r="Y42" s="539"/>
      <c r="Z42" s="539"/>
      <c r="AA42" s="539"/>
      <c r="AB42" s="539"/>
      <c r="AC42" s="539"/>
      <c r="AD42" s="539"/>
      <c r="AE42" s="539"/>
      <c r="AF42" s="539"/>
      <c r="AG42" s="539"/>
      <c r="AH42" s="539"/>
      <c r="AI42" s="539"/>
      <c r="AJ42" s="539"/>
      <c r="AK42" s="539"/>
    </row>
    <row r="43" spans="1:37" s="546" customFormat="1" ht="30" customHeight="1" x14ac:dyDescent="0.25">
      <c r="A43" s="545" t="s">
        <v>326</v>
      </c>
      <c r="AK43" s="880"/>
    </row>
    <row r="44" spans="1:37" s="550" customFormat="1" ht="13.5" outlineLevel="1" thickBot="1" x14ac:dyDescent="0.3">
      <c r="A44" s="547" t="s">
        <v>388</v>
      </c>
      <c r="B44" s="548"/>
      <c r="C44" s="548"/>
      <c r="D44" s="548"/>
      <c r="E44" s="548"/>
      <c r="F44" s="548"/>
      <c r="G44" s="548"/>
      <c r="H44" s="548"/>
      <c r="I44" s="548"/>
      <c r="J44" s="548"/>
      <c r="K44" s="548"/>
      <c r="L44" s="548"/>
      <c r="M44" s="548"/>
      <c r="N44" s="548"/>
      <c r="O44" s="548"/>
      <c r="P44" s="548"/>
      <c r="Q44" s="548"/>
      <c r="R44" s="548"/>
      <c r="S44" s="548"/>
      <c r="T44" s="548"/>
      <c r="U44" s="548"/>
      <c r="V44" s="548"/>
      <c r="W44" s="548"/>
      <c r="X44" s="548"/>
      <c r="Y44" s="548"/>
      <c r="Z44" s="548"/>
      <c r="AA44" s="548"/>
      <c r="AB44" s="548"/>
      <c r="AC44" s="548"/>
      <c r="AD44" s="548"/>
      <c r="AE44" s="548"/>
      <c r="AF44" s="548"/>
      <c r="AG44" s="548"/>
      <c r="AH44" s="548"/>
      <c r="AI44" s="548"/>
      <c r="AJ44" s="548"/>
      <c r="AK44" s="878"/>
    </row>
    <row r="45" spans="1:37" s="58" customFormat="1" ht="20.149999999999999" customHeight="1" outlineLevel="1" thickBot="1" x14ac:dyDescent="0.3">
      <c r="A45" s="1096" t="s">
        <v>152</v>
      </c>
      <c r="B45" s="1098" t="s">
        <v>150</v>
      </c>
      <c r="C45" s="884" t="s">
        <v>151</v>
      </c>
      <c r="D45" s="885"/>
      <c r="E45" s="885"/>
      <c r="F45" s="885"/>
      <c r="G45" s="885"/>
      <c r="H45" s="885"/>
      <c r="I45" s="885"/>
      <c r="J45" s="885"/>
      <c r="K45" s="885"/>
      <c r="L45" s="885"/>
      <c r="M45" s="885"/>
      <c r="N45" s="885"/>
      <c r="O45" s="885"/>
      <c r="P45" s="885"/>
      <c r="Q45" s="885"/>
      <c r="R45" s="885"/>
      <c r="S45" s="885"/>
      <c r="T45" s="885"/>
      <c r="U45" s="885"/>
      <c r="V45" s="885"/>
      <c r="W45" s="885"/>
      <c r="X45" s="885"/>
      <c r="Y45" s="885"/>
      <c r="Z45" s="885"/>
      <c r="AA45" s="885"/>
      <c r="AB45" s="885"/>
      <c r="AC45" s="885"/>
      <c r="AD45" s="885"/>
      <c r="AE45" s="885"/>
      <c r="AF45" s="885"/>
      <c r="AG45" s="885"/>
      <c r="AH45" s="885"/>
      <c r="AI45" s="885"/>
      <c r="AJ45" s="885"/>
      <c r="AK45" s="886"/>
    </row>
    <row r="46" spans="1:37" s="58" customFormat="1" ht="20.149999999999999" customHeight="1" outlineLevel="1" thickBot="1" x14ac:dyDescent="0.3">
      <c r="A46" s="1097"/>
      <c r="B46" s="1099"/>
      <c r="C46" s="122">
        <v>1</v>
      </c>
      <c r="D46" s="122">
        <f>C46+1</f>
        <v>2</v>
      </c>
      <c r="E46" s="122">
        <f t="shared" ref="E46:AK46" si="47">D46+1</f>
        <v>3</v>
      </c>
      <c r="F46" s="122">
        <f t="shared" si="47"/>
        <v>4</v>
      </c>
      <c r="G46" s="122">
        <f t="shared" si="47"/>
        <v>5</v>
      </c>
      <c r="H46" s="122">
        <f t="shared" si="47"/>
        <v>6</v>
      </c>
      <c r="I46" s="122">
        <f t="shared" si="47"/>
        <v>7</v>
      </c>
      <c r="J46" s="122">
        <f t="shared" si="47"/>
        <v>8</v>
      </c>
      <c r="K46" s="122">
        <f t="shared" si="47"/>
        <v>9</v>
      </c>
      <c r="L46" s="122">
        <f t="shared" si="47"/>
        <v>10</v>
      </c>
      <c r="M46" s="122">
        <f t="shared" si="47"/>
        <v>11</v>
      </c>
      <c r="N46" s="122">
        <f t="shared" si="47"/>
        <v>12</v>
      </c>
      <c r="O46" s="122">
        <f t="shared" si="47"/>
        <v>13</v>
      </c>
      <c r="P46" s="122">
        <f t="shared" si="47"/>
        <v>14</v>
      </c>
      <c r="Q46" s="122">
        <f t="shared" si="47"/>
        <v>15</v>
      </c>
      <c r="R46" s="122">
        <f t="shared" si="47"/>
        <v>16</v>
      </c>
      <c r="S46" s="122">
        <f t="shared" si="47"/>
        <v>17</v>
      </c>
      <c r="T46" s="122">
        <f t="shared" si="47"/>
        <v>18</v>
      </c>
      <c r="U46" s="122">
        <f t="shared" si="47"/>
        <v>19</v>
      </c>
      <c r="V46" s="122">
        <f t="shared" si="47"/>
        <v>20</v>
      </c>
      <c r="W46" s="122">
        <f t="shared" si="47"/>
        <v>21</v>
      </c>
      <c r="X46" s="122">
        <f t="shared" si="47"/>
        <v>22</v>
      </c>
      <c r="Y46" s="122">
        <f t="shared" si="47"/>
        <v>23</v>
      </c>
      <c r="Z46" s="122">
        <f t="shared" si="47"/>
        <v>24</v>
      </c>
      <c r="AA46" s="122">
        <f t="shared" si="47"/>
        <v>25</v>
      </c>
      <c r="AB46" s="122">
        <f t="shared" si="47"/>
        <v>26</v>
      </c>
      <c r="AC46" s="122">
        <f t="shared" si="47"/>
        <v>27</v>
      </c>
      <c r="AD46" s="122">
        <f t="shared" si="47"/>
        <v>28</v>
      </c>
      <c r="AE46" s="122">
        <f t="shared" si="47"/>
        <v>29</v>
      </c>
      <c r="AF46" s="122">
        <f t="shared" si="47"/>
        <v>30</v>
      </c>
      <c r="AG46" s="122">
        <f t="shared" si="47"/>
        <v>31</v>
      </c>
      <c r="AH46" s="122">
        <f t="shared" si="47"/>
        <v>32</v>
      </c>
      <c r="AI46" s="122">
        <f t="shared" si="47"/>
        <v>33</v>
      </c>
      <c r="AJ46" s="122">
        <f t="shared" si="47"/>
        <v>34</v>
      </c>
      <c r="AK46" s="45">
        <f t="shared" si="47"/>
        <v>35</v>
      </c>
    </row>
    <row r="47" spans="1:37" ht="20.149999999999999" customHeight="1" outlineLevel="1" x14ac:dyDescent="0.25">
      <c r="A47" s="71">
        <v>1</v>
      </c>
      <c r="B47" s="76" t="s">
        <v>134</v>
      </c>
      <c r="AK47" s="838"/>
    </row>
    <row r="48" spans="1:37" ht="20.149999999999999" customHeight="1" outlineLevel="1" x14ac:dyDescent="0.25">
      <c r="A48" s="48" t="s">
        <v>74</v>
      </c>
      <c r="B48" s="78" t="s">
        <v>129</v>
      </c>
      <c r="C48" s="80"/>
      <c r="D48" s="80">
        <f>'Critérios de Implantação'!D$31*'Resumo-Cult.Perma.'!$C9</f>
        <v>0</v>
      </c>
      <c r="E48" s="80">
        <f>'Critérios de Implantação'!E$31*'Resumo-Cult.Perma.'!$C9</f>
        <v>0</v>
      </c>
      <c r="F48" s="80">
        <f>'Critérios de Implantação'!F$31*'Resumo-Cult.Perma.'!$C9</f>
        <v>146549.56613975702</v>
      </c>
      <c r="G48" s="80">
        <f>'Critérios de Implantação'!G$31*'Resumo-Cult.Perma.'!$C9</f>
        <v>146549.56613975702</v>
      </c>
      <c r="H48" s="80">
        <f>'Critérios de Implantação'!H$31*'Resumo-Cult.Perma.'!$C9</f>
        <v>176072.08012307109</v>
      </c>
      <c r="I48" s="80">
        <f>'Critérios de Implantação'!I$31*'Resumo-Cult.Perma.'!$C9</f>
        <v>340064.57187326415</v>
      </c>
      <c r="J48" s="80">
        <f>'Critérios de Implantação'!J$31*'Resumo-Cult.Perma.'!$C9</f>
        <v>319056.75144275033</v>
      </c>
      <c r="K48" s="80">
        <f>'Critérios de Implantação'!K$31*'Resumo-Cult.Perma.'!$C9</f>
        <v>328279.13916903065</v>
      </c>
      <c r="L48" s="80">
        <f>'Critérios de Implantação'!L$31*'Resumo-Cult.Perma.'!$C9</f>
        <v>267405.05713176489</v>
      </c>
      <c r="M48" s="80">
        <f>'Critérios de Implantação'!M$31*'Resumo-Cult.Perma.'!$C9</f>
        <v>189553.75420974259</v>
      </c>
      <c r="N48" s="80">
        <f>'Critérios de Implantação'!N$31*'Resumo-Cult.Perma.'!$C9</f>
        <v>95363.576554451021</v>
      </c>
      <c r="O48" s="80">
        <f>'Critérios de Implantação'!O$31*'Resumo-Cult.Perma.'!$C9</f>
        <v>0</v>
      </c>
      <c r="P48" s="80">
        <f>'Critérios de Implantação'!P$31*'Resumo-Cult.Perma.'!$C9</f>
        <v>0</v>
      </c>
      <c r="Q48" s="80">
        <f>'Critérios de Implantação'!Q$31*'Resumo-Cult.Perma.'!$C9</f>
        <v>0</v>
      </c>
      <c r="R48" s="80">
        <f>'Critérios de Implantação'!R$31*'Resumo-Cult.Perma.'!$C9</f>
        <v>0</v>
      </c>
      <c r="S48" s="80">
        <f>'Critérios de Implantação'!S$31*'Resumo-Cult.Perma.'!$C9</f>
        <v>0</v>
      </c>
      <c r="T48" s="80">
        <f>'Critérios de Implantação'!T$31*'Resumo-Cult.Perma.'!$C9</f>
        <v>0</v>
      </c>
      <c r="U48" s="80">
        <f>'Critérios de Implantação'!U$31*'Resumo-Cult.Perma.'!$C9</f>
        <v>0</v>
      </c>
      <c r="V48" s="80">
        <f>'Critérios de Implantação'!V$31*'Resumo-Cult.Perma.'!$C9</f>
        <v>0</v>
      </c>
      <c r="W48" s="80">
        <f>'Critérios de Implantação'!W$31*'Resumo-Cult.Perma.'!$C9</f>
        <v>0</v>
      </c>
      <c r="X48" s="80">
        <f>'Critérios de Implantação'!X$31*'Resumo-Cult.Perma.'!$C9</f>
        <v>0</v>
      </c>
      <c r="Y48" s="80">
        <f>'Critérios de Implantação'!Y$31*'Resumo-Cult.Perma.'!$C9</f>
        <v>0</v>
      </c>
      <c r="Z48" s="80">
        <f>'Critérios de Implantação'!Z$31*'Resumo-Cult.Perma.'!$C9</f>
        <v>0</v>
      </c>
      <c r="AA48" s="80">
        <f>'Critérios de Implantação'!AA$31*'Resumo-Cult.Perma.'!$C9</f>
        <v>0</v>
      </c>
      <c r="AB48" s="80">
        <f>'Critérios de Implantação'!AB$31*'Resumo-Cult.Perma.'!$C9</f>
        <v>0</v>
      </c>
      <c r="AC48" s="80">
        <f>'Critérios de Implantação'!AC$31*'Resumo-Cult.Perma.'!$C9</f>
        <v>0</v>
      </c>
      <c r="AD48" s="80">
        <f>'Critérios de Implantação'!AD$31*'Resumo-Cult.Perma.'!$C9</f>
        <v>0</v>
      </c>
      <c r="AE48" s="80">
        <f>'Critérios de Implantação'!AE$31*'Resumo-Cult.Perma.'!$C9</f>
        <v>0</v>
      </c>
      <c r="AF48" s="80">
        <f>'Critérios de Implantação'!AF$31*'Resumo-Cult.Perma.'!$C9</f>
        <v>0</v>
      </c>
      <c r="AG48" s="80">
        <f>'Critérios de Implantação'!AG$31*'Resumo-Cult.Perma.'!$C9</f>
        <v>0</v>
      </c>
      <c r="AH48" s="80">
        <f>'Critérios de Implantação'!AH$31*'Resumo-Cult.Perma.'!$C9</f>
        <v>0</v>
      </c>
      <c r="AI48" s="80">
        <f>'Critérios de Implantação'!AI$31*'Resumo-Cult.Perma.'!$C9</f>
        <v>0</v>
      </c>
      <c r="AJ48" s="80">
        <f>'Critérios de Implantação'!AJ$31*'Resumo-Cult.Perma.'!$C9</f>
        <v>0</v>
      </c>
      <c r="AK48" s="81">
        <f>'Critérios de Implantação'!AK$31*'Resumo-Cult.Perma.'!$C9</f>
        <v>0</v>
      </c>
    </row>
    <row r="49" spans="1:37" ht="20.149999999999999" customHeight="1" outlineLevel="1" x14ac:dyDescent="0.25">
      <c r="A49" s="48" t="s">
        <v>75</v>
      </c>
      <c r="B49" s="82" t="s">
        <v>335</v>
      </c>
      <c r="C49" s="80"/>
      <c r="D49" s="80">
        <f>'Critérios de Implantação'!D$31*'Resumo-Cult.Perma.'!$C10</f>
        <v>0</v>
      </c>
      <c r="E49" s="80">
        <f>'Critérios de Implantação'!E$31*'Resumo-Cult.Perma.'!$C10</f>
        <v>0</v>
      </c>
      <c r="F49" s="80">
        <f>'Critérios de Implantação'!F$31*'Resumo-Cult.Perma.'!$C10</f>
        <v>2548838.5269107725</v>
      </c>
      <c r="G49" s="80">
        <f>'Critérios de Implantação'!G$31*'Resumo-Cult.Perma.'!$C10</f>
        <v>2548838.5269107725</v>
      </c>
      <c r="H49" s="80">
        <f>'Critérios de Implantação'!H$31*'Resumo-Cult.Perma.'!$C10</f>
        <v>3062303.8549498371</v>
      </c>
      <c r="I49" s="80">
        <f>'Critérios de Implantação'!I$31*'Resumo-Cult.Perma.'!$C10</f>
        <v>5914515.5134843457</v>
      </c>
      <c r="J49" s="80">
        <f>'Critérios de Implantação'!J$31*'Resumo-Cult.Perma.'!$C10</f>
        <v>5549140.5520282807</v>
      </c>
      <c r="K49" s="80">
        <f>'Critérios de Implantação'!K$31*'Resumo-Cult.Perma.'!$C10</f>
        <v>5709539.3697527582</v>
      </c>
      <c r="L49" s="80">
        <f>'Critérios de Implantação'!L$31*'Resumo-Cult.Perma.'!$C10</f>
        <v>4650797.2003017534</v>
      </c>
      <c r="M49" s="80">
        <f>'Critérios de Implantação'!M$31*'Resumo-Cult.Perma.'!$C10</f>
        <v>3296781.5898521226</v>
      </c>
      <c r="N49" s="80">
        <f>'Critérios de Implantação'!N$31*'Resumo-Cult.Perma.'!$C10</f>
        <v>1658594.8658093559</v>
      </c>
      <c r="O49" s="80">
        <f>'Critérios de Implantação'!O$31*'Resumo-Cult.Perma.'!$C10</f>
        <v>0</v>
      </c>
      <c r="P49" s="80">
        <f>'Critérios de Implantação'!P$31*'Resumo-Cult.Perma.'!$C10</f>
        <v>0</v>
      </c>
      <c r="Q49" s="80">
        <f>'Critérios de Implantação'!Q$31*'Resumo-Cult.Perma.'!$C10</f>
        <v>0</v>
      </c>
      <c r="R49" s="80">
        <f>'Critérios de Implantação'!R$31*'Resumo-Cult.Perma.'!$C10</f>
        <v>0</v>
      </c>
      <c r="S49" s="80">
        <f>'Critérios de Implantação'!S$31*'Resumo-Cult.Perma.'!$C10</f>
        <v>0</v>
      </c>
      <c r="T49" s="80">
        <f>'Critérios de Implantação'!T$31*'Resumo-Cult.Perma.'!$C10</f>
        <v>0</v>
      </c>
      <c r="U49" s="80">
        <f>'Critérios de Implantação'!U$31*'Resumo-Cult.Perma.'!$C10</f>
        <v>0</v>
      </c>
      <c r="V49" s="80">
        <f>'Critérios de Implantação'!V$31*'Resumo-Cult.Perma.'!$C10</f>
        <v>0</v>
      </c>
      <c r="W49" s="80">
        <f>'Critérios de Implantação'!W$31*'Resumo-Cult.Perma.'!$C10</f>
        <v>0</v>
      </c>
      <c r="X49" s="80">
        <f>'Critérios de Implantação'!X$31*'Resumo-Cult.Perma.'!$C10</f>
        <v>0</v>
      </c>
      <c r="Y49" s="80">
        <f>'Critérios de Implantação'!Y$31*'Resumo-Cult.Perma.'!$C10</f>
        <v>0</v>
      </c>
      <c r="Z49" s="80">
        <f>'Critérios de Implantação'!Z$31*'Resumo-Cult.Perma.'!$C10</f>
        <v>0</v>
      </c>
      <c r="AA49" s="80">
        <f>'Critérios de Implantação'!AA$31*'Resumo-Cult.Perma.'!$C10</f>
        <v>0</v>
      </c>
      <c r="AB49" s="80">
        <f>'Critérios de Implantação'!AB$31*'Resumo-Cult.Perma.'!$C10</f>
        <v>0</v>
      </c>
      <c r="AC49" s="80">
        <f>'Critérios de Implantação'!AC$31*'Resumo-Cult.Perma.'!$C10</f>
        <v>0</v>
      </c>
      <c r="AD49" s="80">
        <f>'Critérios de Implantação'!AD$31*'Resumo-Cult.Perma.'!$C10</f>
        <v>0</v>
      </c>
      <c r="AE49" s="80">
        <f>'Critérios de Implantação'!AE$31*'Resumo-Cult.Perma.'!$C10</f>
        <v>0</v>
      </c>
      <c r="AF49" s="80">
        <f>'Critérios de Implantação'!AF$31*'Resumo-Cult.Perma.'!$C10</f>
        <v>0</v>
      </c>
      <c r="AG49" s="80">
        <f>'Critérios de Implantação'!AG$31*'Resumo-Cult.Perma.'!$C10</f>
        <v>0</v>
      </c>
      <c r="AH49" s="80">
        <f>'Critérios de Implantação'!AH$31*'Resumo-Cult.Perma.'!$C10</f>
        <v>0</v>
      </c>
      <c r="AI49" s="80">
        <f>'Critérios de Implantação'!AI$31*'Resumo-Cult.Perma.'!$C10</f>
        <v>0</v>
      </c>
      <c r="AJ49" s="80">
        <f>'Critérios de Implantação'!AJ$31*'Resumo-Cult.Perma.'!$C10</f>
        <v>0</v>
      </c>
      <c r="AK49" s="81">
        <f>'Critérios de Implantação'!AK$31*'Resumo-Cult.Perma.'!$C10</f>
        <v>0</v>
      </c>
    </row>
    <row r="50" spans="1:37" ht="20.149999999999999" customHeight="1" outlineLevel="1" x14ac:dyDescent="0.25">
      <c r="A50" s="48" t="s">
        <v>76</v>
      </c>
      <c r="B50" s="82" t="s">
        <v>336</v>
      </c>
      <c r="C50" s="80"/>
      <c r="D50" s="80">
        <f>'Critérios de Implantação'!D$31*'Resumo-Cult.Perma.'!$C11</f>
        <v>0</v>
      </c>
      <c r="E50" s="80">
        <f>'Critérios de Implantação'!E$31*'Resumo-Cult.Perma.'!$C11</f>
        <v>0</v>
      </c>
      <c r="F50" s="80">
        <f>'Critérios de Implantação'!F$31*'Resumo-Cult.Perma.'!$C11</f>
        <v>0</v>
      </c>
      <c r="G50" s="80">
        <f>'Critérios de Implantação'!G$31*'Resumo-Cult.Perma.'!$C11</f>
        <v>0</v>
      </c>
      <c r="H50" s="80">
        <f>'Critérios de Implantação'!H$31*'Resumo-Cult.Perma.'!$C11</f>
        <v>0</v>
      </c>
      <c r="I50" s="80">
        <f>'Critérios de Implantação'!I$31*'Resumo-Cult.Perma.'!$C11</f>
        <v>0</v>
      </c>
      <c r="J50" s="80">
        <f>'Critérios de Implantação'!J$31*'Resumo-Cult.Perma.'!$C11</f>
        <v>0</v>
      </c>
      <c r="K50" s="80">
        <f>'Critérios de Implantação'!K$31*'Resumo-Cult.Perma.'!$C11</f>
        <v>0</v>
      </c>
      <c r="L50" s="80">
        <f>'Critérios de Implantação'!L$31*'Resumo-Cult.Perma.'!$C11</f>
        <v>0</v>
      </c>
      <c r="M50" s="80">
        <f>'Critérios de Implantação'!M$31*'Resumo-Cult.Perma.'!$C11</f>
        <v>0</v>
      </c>
      <c r="N50" s="80">
        <f>'Critérios de Implantação'!N$31*'Resumo-Cult.Perma.'!$C11</f>
        <v>0</v>
      </c>
      <c r="O50" s="80">
        <f>'Critérios de Implantação'!O$31*'Resumo-Cult.Perma.'!$C11</f>
        <v>0</v>
      </c>
      <c r="P50" s="80">
        <f>'Critérios de Implantação'!P$31*'Resumo-Cult.Perma.'!$C11</f>
        <v>0</v>
      </c>
      <c r="Q50" s="80">
        <f>'Critérios de Implantação'!Q$31*'Resumo-Cult.Perma.'!$C11</f>
        <v>0</v>
      </c>
      <c r="R50" s="80">
        <f>'Critérios de Implantação'!R$31*'Resumo-Cult.Perma.'!$C11</f>
        <v>0</v>
      </c>
      <c r="S50" s="80">
        <f>'Critérios de Implantação'!S$31*'Resumo-Cult.Perma.'!$C11</f>
        <v>0</v>
      </c>
      <c r="T50" s="80">
        <f>'Critérios de Implantação'!T$31*'Resumo-Cult.Perma.'!$C11</f>
        <v>0</v>
      </c>
      <c r="U50" s="80">
        <f>'Critérios de Implantação'!U$31*'Resumo-Cult.Perma.'!$C11</f>
        <v>0</v>
      </c>
      <c r="V50" s="80">
        <f>'Critérios de Implantação'!V$31*'Resumo-Cult.Perma.'!$C11</f>
        <v>0</v>
      </c>
      <c r="W50" s="80">
        <f>'Critérios de Implantação'!W$31*'Resumo-Cult.Perma.'!$C11</f>
        <v>0</v>
      </c>
      <c r="X50" s="80">
        <f>'Critérios de Implantação'!X$31*'Resumo-Cult.Perma.'!$C11</f>
        <v>0</v>
      </c>
      <c r="Y50" s="80">
        <f>'Critérios de Implantação'!Y$31*'Resumo-Cult.Perma.'!$C11</f>
        <v>0</v>
      </c>
      <c r="Z50" s="80">
        <f>'Critérios de Implantação'!Z$31*'Resumo-Cult.Perma.'!$C11</f>
        <v>0</v>
      </c>
      <c r="AA50" s="80">
        <f>'Critérios de Implantação'!AA$31*'Resumo-Cult.Perma.'!$C11</f>
        <v>0</v>
      </c>
      <c r="AB50" s="80">
        <f>'Critérios de Implantação'!AB$31*'Resumo-Cult.Perma.'!$C11</f>
        <v>0</v>
      </c>
      <c r="AC50" s="80">
        <f>'Critérios de Implantação'!AC$31*'Resumo-Cult.Perma.'!$C11</f>
        <v>0</v>
      </c>
      <c r="AD50" s="80">
        <f>'Critérios de Implantação'!AD$31*'Resumo-Cult.Perma.'!$C11</f>
        <v>0</v>
      </c>
      <c r="AE50" s="80">
        <f>'Critérios de Implantação'!AE$31*'Resumo-Cult.Perma.'!$C11</f>
        <v>0</v>
      </c>
      <c r="AF50" s="80">
        <f>'Critérios de Implantação'!AF$31*'Resumo-Cult.Perma.'!$C11</f>
        <v>0</v>
      </c>
      <c r="AG50" s="80">
        <f>'Critérios de Implantação'!AG$31*'Resumo-Cult.Perma.'!$C11</f>
        <v>0</v>
      </c>
      <c r="AH50" s="80">
        <f>'Critérios de Implantação'!AH$31*'Resumo-Cult.Perma.'!$C11</f>
        <v>0</v>
      </c>
      <c r="AI50" s="80">
        <f>'Critérios de Implantação'!AI$31*'Resumo-Cult.Perma.'!$C11</f>
        <v>0</v>
      </c>
      <c r="AJ50" s="80">
        <f>'Critérios de Implantação'!AJ$31*'Resumo-Cult.Perma.'!$C11</f>
        <v>0</v>
      </c>
      <c r="AK50" s="81">
        <f>'Critérios de Implantação'!AK$31*'Resumo-Cult.Perma.'!$C11</f>
        <v>0</v>
      </c>
    </row>
    <row r="51" spans="1:37" ht="20.149999999999999" customHeight="1" outlineLevel="1" x14ac:dyDescent="0.25">
      <c r="A51" s="48" t="s">
        <v>126</v>
      </c>
      <c r="B51" s="82" t="s">
        <v>130</v>
      </c>
      <c r="C51" s="80"/>
      <c r="D51" s="80">
        <f>'Critérios de Implantação'!D$31*'Resumo-Cult.Perma.'!$C12</f>
        <v>0</v>
      </c>
      <c r="E51" s="80">
        <f>'Critérios de Implantação'!E$31*'Resumo-Cult.Perma.'!$C12</f>
        <v>0</v>
      </c>
      <c r="F51" s="80">
        <f>'Critérios de Implantação'!F$31*'Resumo-Cult.Perma.'!$C12</f>
        <v>2655142.0857397979</v>
      </c>
      <c r="G51" s="80">
        <f>'Critérios de Implantação'!G$31*'Resumo-Cult.Perma.'!$C12</f>
        <v>2655142.0857397979</v>
      </c>
      <c r="H51" s="80">
        <f>'Critérios de Implantação'!H$31*'Resumo-Cult.Perma.'!$C12</f>
        <v>3190022.3410602785</v>
      </c>
      <c r="I51" s="80">
        <f>'Critérios de Implantação'!I$31*'Resumo-Cult.Perma.'!$C12</f>
        <v>6161190.2405000664</v>
      </c>
      <c r="J51" s="80">
        <f>'Critérios de Implantação'!J$31*'Resumo-Cult.Perma.'!$C12</f>
        <v>5780576.7073182072</v>
      </c>
      <c r="K51" s="80">
        <f>'Critérios de Implantação'!K$31*'Resumo-Cult.Perma.'!$C12</f>
        <v>5947665.2250672476</v>
      </c>
      <c r="L51" s="80">
        <f>'Critérios de Implantação'!L$31*'Resumo-Cult.Perma.'!$C12</f>
        <v>4844766.4488690058</v>
      </c>
      <c r="M51" s="80">
        <f>'Critérios de Implantação'!M$31*'Resumo-Cult.Perma.'!$C12</f>
        <v>3434279.360692889</v>
      </c>
      <c r="N51" s="80">
        <f>'Critérios de Implantação'!N$31*'Resumo-Cult.Perma.'!$C12</f>
        <v>1727769.3290127115</v>
      </c>
      <c r="O51" s="80">
        <f>'Critérios de Implantação'!O$31*'Resumo-Cult.Perma.'!$C12</f>
        <v>0</v>
      </c>
      <c r="P51" s="80">
        <f>'Critérios de Implantação'!P$31*'Resumo-Cult.Perma.'!$C12</f>
        <v>0</v>
      </c>
      <c r="Q51" s="80">
        <f>'Critérios de Implantação'!Q$31*'Resumo-Cult.Perma.'!$C12</f>
        <v>0</v>
      </c>
      <c r="R51" s="80">
        <f>'Critérios de Implantação'!R$31*'Resumo-Cult.Perma.'!$C12</f>
        <v>0</v>
      </c>
      <c r="S51" s="80">
        <f>'Critérios de Implantação'!S$31*'Resumo-Cult.Perma.'!$C12</f>
        <v>0</v>
      </c>
      <c r="T51" s="80">
        <f>'Critérios de Implantação'!T$31*'Resumo-Cult.Perma.'!$C12</f>
        <v>0</v>
      </c>
      <c r="U51" s="80">
        <f>'Critérios de Implantação'!U$31*'Resumo-Cult.Perma.'!$C12</f>
        <v>0</v>
      </c>
      <c r="V51" s="80">
        <f>'Critérios de Implantação'!V$31*'Resumo-Cult.Perma.'!$C12</f>
        <v>0</v>
      </c>
      <c r="W51" s="80">
        <f>'Critérios de Implantação'!W$31*'Resumo-Cult.Perma.'!$C12</f>
        <v>0</v>
      </c>
      <c r="X51" s="80">
        <f>'Critérios de Implantação'!X$31*'Resumo-Cult.Perma.'!$C12</f>
        <v>0</v>
      </c>
      <c r="Y51" s="80">
        <f>'Critérios de Implantação'!Y$31*'Resumo-Cult.Perma.'!$C12</f>
        <v>0</v>
      </c>
      <c r="Z51" s="80">
        <f>'Critérios de Implantação'!Z$31*'Resumo-Cult.Perma.'!$C12</f>
        <v>0</v>
      </c>
      <c r="AA51" s="80">
        <f>'Critérios de Implantação'!AA$31*'Resumo-Cult.Perma.'!$C12</f>
        <v>0</v>
      </c>
      <c r="AB51" s="80">
        <f>'Critérios de Implantação'!AB$31*'Resumo-Cult.Perma.'!$C12</f>
        <v>0</v>
      </c>
      <c r="AC51" s="80">
        <f>'Critérios de Implantação'!AC$31*'Resumo-Cult.Perma.'!$C12</f>
        <v>0</v>
      </c>
      <c r="AD51" s="80">
        <f>'Critérios de Implantação'!AD$31*'Resumo-Cult.Perma.'!$C12</f>
        <v>0</v>
      </c>
      <c r="AE51" s="80">
        <f>'Critérios de Implantação'!AE$31*'Resumo-Cult.Perma.'!$C12</f>
        <v>0</v>
      </c>
      <c r="AF51" s="80">
        <f>'Critérios de Implantação'!AF$31*'Resumo-Cult.Perma.'!$C12</f>
        <v>0</v>
      </c>
      <c r="AG51" s="80">
        <f>'Critérios de Implantação'!AG$31*'Resumo-Cult.Perma.'!$C12</f>
        <v>0</v>
      </c>
      <c r="AH51" s="80">
        <f>'Critérios de Implantação'!AH$31*'Resumo-Cult.Perma.'!$C12</f>
        <v>0</v>
      </c>
      <c r="AI51" s="80">
        <f>'Critérios de Implantação'!AI$31*'Resumo-Cult.Perma.'!$C12</f>
        <v>0</v>
      </c>
      <c r="AJ51" s="80">
        <f>'Critérios de Implantação'!AJ$31*'Resumo-Cult.Perma.'!$C12</f>
        <v>0</v>
      </c>
      <c r="AK51" s="81">
        <f>'Critérios de Implantação'!AK$31*'Resumo-Cult.Perma.'!$C12</f>
        <v>0</v>
      </c>
    </row>
    <row r="52" spans="1:37" ht="20.149999999999999" customHeight="1" outlineLevel="1" x14ac:dyDescent="0.25">
      <c r="A52" s="48"/>
      <c r="B52" s="83" t="s">
        <v>228</v>
      </c>
      <c r="C52" s="84"/>
      <c r="D52" s="84">
        <f>'Critérios de Implantação'!D$31*'Resumo-Cult.Perma.'!$C13</f>
        <v>0</v>
      </c>
      <c r="E52" s="84">
        <f>'Critérios de Implantação'!E$31*'Resumo-Cult.Perma.'!$C13</f>
        <v>0</v>
      </c>
      <c r="F52" s="84">
        <f>'Critérios de Implantação'!F$31*'Resumo-Cult.Perma.'!$C13</f>
        <v>0</v>
      </c>
      <c r="G52" s="84">
        <f>'Critérios de Implantação'!G$31*'Resumo-Cult.Perma.'!$C13</f>
        <v>0</v>
      </c>
      <c r="H52" s="84">
        <f>'Critérios de Implantação'!H$31*'Resumo-Cult.Perma.'!$C13</f>
        <v>0</v>
      </c>
      <c r="I52" s="84">
        <f>'Critérios de Implantação'!I$31*'Resumo-Cult.Perma.'!$C13</f>
        <v>0</v>
      </c>
      <c r="J52" s="84">
        <f>'Critérios de Implantação'!J$31*'Resumo-Cult.Perma.'!$C13</f>
        <v>0</v>
      </c>
      <c r="K52" s="84">
        <f>'Critérios de Implantação'!K$31*'Resumo-Cult.Perma.'!$C13</f>
        <v>0</v>
      </c>
      <c r="L52" s="84">
        <f>'Critérios de Implantação'!L$31*'Resumo-Cult.Perma.'!$C13</f>
        <v>0</v>
      </c>
      <c r="M52" s="84">
        <f>'Critérios de Implantação'!M$31*'Resumo-Cult.Perma.'!$C13</f>
        <v>0</v>
      </c>
      <c r="N52" s="84">
        <f>'Critérios de Implantação'!N$31*'Resumo-Cult.Perma.'!$C13</f>
        <v>0</v>
      </c>
      <c r="O52" s="84">
        <f>'Critérios de Implantação'!O$31*'Resumo-Cult.Perma.'!$C13</f>
        <v>0</v>
      </c>
      <c r="P52" s="84">
        <f>'Critérios de Implantação'!P$31*'Resumo-Cult.Perma.'!$C13</f>
        <v>0</v>
      </c>
      <c r="Q52" s="84">
        <f>'Critérios de Implantação'!Q$31*'Resumo-Cult.Perma.'!$C13</f>
        <v>0</v>
      </c>
      <c r="R52" s="84">
        <f>'Critérios de Implantação'!R$31*'Resumo-Cult.Perma.'!$C13</f>
        <v>0</v>
      </c>
      <c r="S52" s="84">
        <f>'Critérios de Implantação'!S$31*'Resumo-Cult.Perma.'!$C13</f>
        <v>0</v>
      </c>
      <c r="T52" s="84">
        <f>'Critérios de Implantação'!T$31*'Resumo-Cult.Perma.'!$C13</f>
        <v>0</v>
      </c>
      <c r="U52" s="84">
        <f>'Critérios de Implantação'!U$31*'Resumo-Cult.Perma.'!$C13</f>
        <v>0</v>
      </c>
      <c r="V52" s="84">
        <f>'Critérios de Implantação'!V$31*'Resumo-Cult.Perma.'!$C13</f>
        <v>0</v>
      </c>
      <c r="W52" s="84">
        <f>'Critérios de Implantação'!W$31*'Resumo-Cult.Perma.'!$C13</f>
        <v>0</v>
      </c>
      <c r="X52" s="84">
        <f>'Critérios de Implantação'!X$31*'Resumo-Cult.Perma.'!$C13</f>
        <v>0</v>
      </c>
      <c r="Y52" s="84">
        <f>'Critérios de Implantação'!Y$31*'Resumo-Cult.Perma.'!$C13</f>
        <v>0</v>
      </c>
      <c r="Z52" s="84">
        <f>'Critérios de Implantação'!Z$31*'Resumo-Cult.Perma.'!$C13</f>
        <v>0</v>
      </c>
      <c r="AA52" s="84">
        <f>'Critérios de Implantação'!AA$31*'Resumo-Cult.Perma.'!$C13</f>
        <v>0</v>
      </c>
      <c r="AB52" s="84">
        <f>'Critérios de Implantação'!AB$31*'Resumo-Cult.Perma.'!$C13</f>
        <v>0</v>
      </c>
      <c r="AC52" s="84">
        <f>'Critérios de Implantação'!AC$31*'Resumo-Cult.Perma.'!$C13</f>
        <v>0</v>
      </c>
      <c r="AD52" s="84">
        <f>'Critérios de Implantação'!AD$31*'Resumo-Cult.Perma.'!$C13</f>
        <v>0</v>
      </c>
      <c r="AE52" s="84">
        <f>'Critérios de Implantação'!AE$31*'Resumo-Cult.Perma.'!$C13</f>
        <v>0</v>
      </c>
      <c r="AF52" s="84">
        <f>'Critérios de Implantação'!AF$31*'Resumo-Cult.Perma.'!$C13</f>
        <v>0</v>
      </c>
      <c r="AG52" s="84">
        <f>'Critérios de Implantação'!AG$31*'Resumo-Cult.Perma.'!$C13</f>
        <v>0</v>
      </c>
      <c r="AH52" s="84">
        <f>'Critérios de Implantação'!AH$31*'Resumo-Cult.Perma.'!$C13</f>
        <v>0</v>
      </c>
      <c r="AI52" s="84">
        <f>'Critérios de Implantação'!AI$31*'Resumo-Cult.Perma.'!$C13</f>
        <v>0</v>
      </c>
      <c r="AJ52" s="84">
        <f>'Critérios de Implantação'!AJ$31*'Resumo-Cult.Perma.'!$C13</f>
        <v>0</v>
      </c>
      <c r="AK52" s="879">
        <f>'Critérios de Implantação'!AK$31*'Resumo-Cult.Perma.'!$C13</f>
        <v>0</v>
      </c>
    </row>
    <row r="53" spans="1:37" ht="20.149999999999999" customHeight="1" outlineLevel="1" x14ac:dyDescent="0.25">
      <c r="A53" s="85" t="s">
        <v>135</v>
      </c>
      <c r="B53" s="82" t="s">
        <v>142</v>
      </c>
      <c r="C53" s="80"/>
      <c r="D53" s="80">
        <f>'Critérios de Implantação'!D$31*'Resumo-Cult.Perma.'!$C14</f>
        <v>0</v>
      </c>
      <c r="E53" s="80">
        <f>'Critérios de Implantação'!E$31*'Resumo-Cult.Perma.'!$C14</f>
        <v>0</v>
      </c>
      <c r="F53" s="80">
        <f>'Critérios de Implantação'!F$31*'Resumo-Cult.Perma.'!$C14</f>
        <v>3201639.1660159826</v>
      </c>
      <c r="G53" s="80">
        <f>'Critérios de Implantação'!G$31*'Resumo-Cult.Perma.'!$C14</f>
        <v>3201639.1660159826</v>
      </c>
      <c r="H53" s="80">
        <f>'Critérios de Implantação'!H$31*'Resumo-Cult.Perma.'!$C14</f>
        <v>3846611.6455529979</v>
      </c>
      <c r="I53" s="80">
        <f>'Critérios de Implantação'!I$31*'Resumo-Cult.Perma.'!$C14</f>
        <v>7429322.9312299676</v>
      </c>
      <c r="J53" s="80">
        <f>'Critérios de Implantação'!J$31*'Resumo-Cult.Perma.'!$C14</f>
        <v>6970369.2648723228</v>
      </c>
      <c r="K53" s="80">
        <f>'Critérios de Implantação'!K$31*'Resumo-Cult.Perma.'!$C14</f>
        <v>7171848.9316253839</v>
      </c>
      <c r="L53" s="80">
        <f>'Critérios de Implantação'!L$31*'Resumo-Cult.Perma.'!$C14</f>
        <v>5841944.9927770318</v>
      </c>
      <c r="M53" s="80">
        <f>'Critérios de Implantação'!M$31*'Resumo-Cult.Perma.'!$C14</f>
        <v>4141143.0926006637</v>
      </c>
      <c r="N53" s="80">
        <f>'Critérios de Implantação'!N$31*'Resumo-Cult.Perma.'!$C14</f>
        <v>2083389.0522536631</v>
      </c>
      <c r="O53" s="80">
        <f>'Critérios de Implantação'!O$31*'Resumo-Cult.Perma.'!$C14</f>
        <v>0</v>
      </c>
      <c r="P53" s="80">
        <f>'Critérios de Implantação'!P$31*'Resumo-Cult.Perma.'!$C14</f>
        <v>0</v>
      </c>
      <c r="Q53" s="80">
        <f>'Critérios de Implantação'!Q$31*'Resumo-Cult.Perma.'!$C14</f>
        <v>0</v>
      </c>
      <c r="R53" s="80">
        <f>'Critérios de Implantação'!R$31*'Resumo-Cult.Perma.'!$C14</f>
        <v>0</v>
      </c>
      <c r="S53" s="80">
        <f>'Critérios de Implantação'!S$31*'Resumo-Cult.Perma.'!$C14</f>
        <v>0</v>
      </c>
      <c r="T53" s="80">
        <f>'Critérios de Implantação'!T$31*'Resumo-Cult.Perma.'!$C14</f>
        <v>0</v>
      </c>
      <c r="U53" s="80">
        <f>'Critérios de Implantação'!U$31*'Resumo-Cult.Perma.'!$C14</f>
        <v>0</v>
      </c>
      <c r="V53" s="80">
        <f>'Critérios de Implantação'!V$31*'Resumo-Cult.Perma.'!$C14</f>
        <v>0</v>
      </c>
      <c r="W53" s="80">
        <f>'Critérios de Implantação'!W$31*'Resumo-Cult.Perma.'!$C14</f>
        <v>0</v>
      </c>
      <c r="X53" s="80">
        <f>'Critérios de Implantação'!X$31*'Resumo-Cult.Perma.'!$C14</f>
        <v>0</v>
      </c>
      <c r="Y53" s="80">
        <f>'Critérios de Implantação'!Y$31*'Resumo-Cult.Perma.'!$C14</f>
        <v>0</v>
      </c>
      <c r="Z53" s="80">
        <f>'Critérios de Implantação'!Z$31*'Resumo-Cult.Perma.'!$C14</f>
        <v>0</v>
      </c>
      <c r="AA53" s="80">
        <f>'Critérios de Implantação'!AA$31*'Resumo-Cult.Perma.'!$C14</f>
        <v>0</v>
      </c>
      <c r="AB53" s="80">
        <f>'Critérios de Implantação'!AB$31*'Resumo-Cult.Perma.'!$C14</f>
        <v>0</v>
      </c>
      <c r="AC53" s="80">
        <f>'Critérios de Implantação'!AC$31*'Resumo-Cult.Perma.'!$C14</f>
        <v>0</v>
      </c>
      <c r="AD53" s="80">
        <f>'Critérios de Implantação'!AD$31*'Resumo-Cult.Perma.'!$C14</f>
        <v>0</v>
      </c>
      <c r="AE53" s="80">
        <f>'Critérios de Implantação'!AE$31*'Resumo-Cult.Perma.'!$C14</f>
        <v>0</v>
      </c>
      <c r="AF53" s="80">
        <f>'Critérios de Implantação'!AF$31*'Resumo-Cult.Perma.'!$C14</f>
        <v>0</v>
      </c>
      <c r="AG53" s="80">
        <f>'Critérios de Implantação'!AG$31*'Resumo-Cult.Perma.'!$C14</f>
        <v>0</v>
      </c>
      <c r="AH53" s="80">
        <f>'Critérios de Implantação'!AH$31*'Resumo-Cult.Perma.'!$C14</f>
        <v>0</v>
      </c>
      <c r="AI53" s="80">
        <f>'Critérios de Implantação'!AI$31*'Resumo-Cult.Perma.'!$C14</f>
        <v>0</v>
      </c>
      <c r="AJ53" s="80">
        <f>'Critérios de Implantação'!AJ$31*'Resumo-Cult.Perma.'!$C14</f>
        <v>0</v>
      </c>
      <c r="AK53" s="81">
        <f>'Critérios de Implantação'!AK$31*'Resumo-Cult.Perma.'!$C14</f>
        <v>0</v>
      </c>
    </row>
    <row r="54" spans="1:37" ht="20.149999999999999" customHeight="1" outlineLevel="1" x14ac:dyDescent="0.25">
      <c r="A54" s="85" t="s">
        <v>157</v>
      </c>
      <c r="B54" s="34" t="s">
        <v>146</v>
      </c>
      <c r="C54" s="80"/>
      <c r="D54" s="80">
        <f>'Critérios de Implantação'!D$31*'Resumo-Cult.Perma.'!$C15</f>
        <v>0</v>
      </c>
      <c r="E54" s="80">
        <f>'Critérios de Implantação'!E$31*'Resumo-Cult.Perma.'!$C15</f>
        <v>0</v>
      </c>
      <c r="F54" s="80">
        <f>'Critérios de Implantação'!F$31*'Resumo-Cult.Perma.'!$C15</f>
        <v>995406.40604288701</v>
      </c>
      <c r="G54" s="80">
        <f>'Critérios de Implantação'!G$31*'Resumo-Cult.Perma.'!$C15</f>
        <v>995406.40604288701</v>
      </c>
      <c r="H54" s="80">
        <f>'Critérios de Implantação'!H$31*'Resumo-Cult.Perma.'!$C15</f>
        <v>1195931.7321530764</v>
      </c>
      <c r="I54" s="80">
        <f>'Critérios de Implantação'!I$31*'Resumo-Cult.Perma.'!$C15</f>
        <v>2309815.4585327529</v>
      </c>
      <c r="J54" s="80">
        <f>'Critérios de Implantação'!J$31*'Resumo-Cult.Perma.'!$C15</f>
        <v>2167124.3569187778</v>
      </c>
      <c r="K54" s="80">
        <f>'Critérios de Implantação'!K$31*'Resumo-Cult.Perma.'!$C15</f>
        <v>2229765.4418674437</v>
      </c>
      <c r="L54" s="80">
        <f>'Critérios de Implantação'!L$31*'Resumo-Cult.Perma.'!$C15</f>
        <v>1816291.3332911781</v>
      </c>
      <c r="M54" s="80">
        <f>'Critérios de Implantação'!M$31*'Resumo-Cult.Perma.'!$C15</f>
        <v>1287503.1035569157</v>
      </c>
      <c r="N54" s="80">
        <f>'Critérios de Implantação'!N$31*'Resumo-Cult.Perma.'!$C15</f>
        <v>647736.58159408043</v>
      </c>
      <c r="O54" s="80">
        <f>'Critérios de Implantação'!O$31*'Resumo-Cult.Perma.'!$C15</f>
        <v>0</v>
      </c>
      <c r="P54" s="80">
        <f>'Critérios de Implantação'!P$31*'Resumo-Cult.Perma.'!$C15</f>
        <v>0</v>
      </c>
      <c r="Q54" s="80">
        <f>'Critérios de Implantação'!Q$31*'Resumo-Cult.Perma.'!$C15</f>
        <v>0</v>
      </c>
      <c r="R54" s="80">
        <f>'Critérios de Implantação'!R$31*'Resumo-Cult.Perma.'!$C15</f>
        <v>0</v>
      </c>
      <c r="S54" s="80">
        <f>'Critérios de Implantação'!S$31*'Resumo-Cult.Perma.'!$C15</f>
        <v>0</v>
      </c>
      <c r="T54" s="80">
        <f>'Critérios de Implantação'!T$31*'Resumo-Cult.Perma.'!$C15</f>
        <v>0</v>
      </c>
      <c r="U54" s="80">
        <f>'Critérios de Implantação'!U$31*'Resumo-Cult.Perma.'!$C15</f>
        <v>0</v>
      </c>
      <c r="V54" s="80">
        <f>'Critérios de Implantação'!V$31*'Resumo-Cult.Perma.'!$C15</f>
        <v>0</v>
      </c>
      <c r="W54" s="80">
        <f>'Critérios de Implantação'!W$31*'Resumo-Cult.Perma.'!$C15</f>
        <v>0</v>
      </c>
      <c r="X54" s="80">
        <f>'Critérios de Implantação'!X$31*'Resumo-Cult.Perma.'!$C15</f>
        <v>0</v>
      </c>
      <c r="Y54" s="80">
        <f>'Critérios de Implantação'!Y$31*'Resumo-Cult.Perma.'!$C15</f>
        <v>0</v>
      </c>
      <c r="Z54" s="80">
        <f>'Critérios de Implantação'!Z$31*'Resumo-Cult.Perma.'!$C15</f>
        <v>0</v>
      </c>
      <c r="AA54" s="80">
        <f>'Critérios de Implantação'!AA$31*'Resumo-Cult.Perma.'!$C15</f>
        <v>0</v>
      </c>
      <c r="AB54" s="80">
        <f>'Critérios de Implantação'!AB$31*'Resumo-Cult.Perma.'!$C15</f>
        <v>0</v>
      </c>
      <c r="AC54" s="80">
        <f>'Critérios de Implantação'!AC$31*'Resumo-Cult.Perma.'!$C15</f>
        <v>0</v>
      </c>
      <c r="AD54" s="80">
        <f>'Critérios de Implantação'!AD$31*'Resumo-Cult.Perma.'!$C15</f>
        <v>0</v>
      </c>
      <c r="AE54" s="80">
        <f>'Critérios de Implantação'!AE$31*'Resumo-Cult.Perma.'!$C15</f>
        <v>0</v>
      </c>
      <c r="AF54" s="80">
        <f>'Critérios de Implantação'!AF$31*'Resumo-Cult.Perma.'!$C15</f>
        <v>0</v>
      </c>
      <c r="AG54" s="80">
        <f>'Critérios de Implantação'!AG$31*'Resumo-Cult.Perma.'!$C15</f>
        <v>0</v>
      </c>
      <c r="AH54" s="80">
        <f>'Critérios de Implantação'!AH$31*'Resumo-Cult.Perma.'!$C15</f>
        <v>0</v>
      </c>
      <c r="AI54" s="80">
        <f>'Critérios de Implantação'!AI$31*'Resumo-Cult.Perma.'!$C15</f>
        <v>0</v>
      </c>
      <c r="AJ54" s="80">
        <f>'Critérios de Implantação'!AJ$31*'Resumo-Cult.Perma.'!$C15</f>
        <v>0</v>
      </c>
      <c r="AK54" s="81">
        <f>'Critérios de Implantação'!AK$31*'Resumo-Cult.Perma.'!$C15</f>
        <v>0</v>
      </c>
    </row>
    <row r="55" spans="1:37" ht="20.149999999999999" customHeight="1" outlineLevel="1" x14ac:dyDescent="0.25">
      <c r="A55" s="85" t="s">
        <v>158</v>
      </c>
      <c r="B55" s="82" t="s">
        <v>143</v>
      </c>
      <c r="C55" s="80"/>
      <c r="D55" s="80">
        <f>'Critérios de Implantação'!D$31*'Resumo-Cult.Perma.'!$C16</f>
        <v>0</v>
      </c>
      <c r="E55" s="80">
        <f>'Critérios de Implantação'!E$31*'Resumo-Cult.Perma.'!$C16</f>
        <v>0</v>
      </c>
      <c r="F55" s="80">
        <f>'Critérios de Implantação'!F$31*'Resumo-Cult.Perma.'!$C16</f>
        <v>864905.87346505548</v>
      </c>
      <c r="G55" s="80">
        <f>'Critérios de Implantação'!G$31*'Resumo-Cult.Perma.'!$C16</f>
        <v>864905.87346505548</v>
      </c>
      <c r="H55" s="80">
        <f>'Critérios de Implantação'!H$31*'Resumo-Cult.Perma.'!$C16</f>
        <v>1039141.7747796448</v>
      </c>
      <c r="I55" s="80">
        <f>'Critérios de Implantação'!I$31*'Resumo-Cult.Perma.'!$C16</f>
        <v>2006992.2642423545</v>
      </c>
      <c r="J55" s="80">
        <f>'Critérios de Implantação'!J$31*'Resumo-Cult.Perma.'!$C16</f>
        <v>1883008.3606549299</v>
      </c>
      <c r="K55" s="80">
        <f>'Critérios de Implantação'!K$31*'Resumo-Cult.Perma.'!$C16</f>
        <v>1937437.0261361026</v>
      </c>
      <c r="L55" s="80">
        <f>'Critérios de Implantação'!L$31*'Resumo-Cult.Perma.'!$C16</f>
        <v>1578170.5166357283</v>
      </c>
      <c r="M55" s="80">
        <f>'Critérios de Implantação'!M$31*'Resumo-Cult.Perma.'!$C16</f>
        <v>1118707.886156487</v>
      </c>
      <c r="N55" s="80">
        <f>'Critérios de Implantação'!N$31*'Resumo-Cult.Perma.'!$C16</f>
        <v>562816.52446464135</v>
      </c>
      <c r="O55" s="80">
        <f>'Critérios de Implantação'!O$31*'Resumo-Cult.Perma.'!$C16</f>
        <v>0</v>
      </c>
      <c r="P55" s="80">
        <f>'Critérios de Implantação'!P$31*'Resumo-Cult.Perma.'!$C16</f>
        <v>0</v>
      </c>
      <c r="Q55" s="80">
        <f>'Critérios de Implantação'!Q$31*'Resumo-Cult.Perma.'!$C16</f>
        <v>0</v>
      </c>
      <c r="R55" s="80">
        <f>'Critérios de Implantação'!R$31*'Resumo-Cult.Perma.'!$C16</f>
        <v>0</v>
      </c>
      <c r="S55" s="80">
        <f>'Critérios de Implantação'!S$31*'Resumo-Cult.Perma.'!$C16</f>
        <v>0</v>
      </c>
      <c r="T55" s="80">
        <f>'Critérios de Implantação'!T$31*'Resumo-Cult.Perma.'!$C16</f>
        <v>0</v>
      </c>
      <c r="U55" s="80">
        <f>'Critérios de Implantação'!U$31*'Resumo-Cult.Perma.'!$C16</f>
        <v>0</v>
      </c>
      <c r="V55" s="80">
        <f>'Critérios de Implantação'!V$31*'Resumo-Cult.Perma.'!$C16</f>
        <v>0</v>
      </c>
      <c r="W55" s="80">
        <f>'Critérios de Implantação'!W$31*'Resumo-Cult.Perma.'!$C16</f>
        <v>0</v>
      </c>
      <c r="X55" s="80">
        <f>'Critérios de Implantação'!X$31*'Resumo-Cult.Perma.'!$C16</f>
        <v>0</v>
      </c>
      <c r="Y55" s="80">
        <f>'Critérios de Implantação'!Y$31*'Resumo-Cult.Perma.'!$C16</f>
        <v>0</v>
      </c>
      <c r="Z55" s="80">
        <f>'Critérios de Implantação'!Z$31*'Resumo-Cult.Perma.'!$C16</f>
        <v>0</v>
      </c>
      <c r="AA55" s="80">
        <f>'Critérios de Implantação'!AA$31*'Resumo-Cult.Perma.'!$C16</f>
        <v>0</v>
      </c>
      <c r="AB55" s="80">
        <f>'Critérios de Implantação'!AB$31*'Resumo-Cult.Perma.'!$C16</f>
        <v>0</v>
      </c>
      <c r="AC55" s="80">
        <f>'Critérios de Implantação'!AC$31*'Resumo-Cult.Perma.'!$C16</f>
        <v>0</v>
      </c>
      <c r="AD55" s="80">
        <f>'Critérios de Implantação'!AD$31*'Resumo-Cult.Perma.'!$C16</f>
        <v>0</v>
      </c>
      <c r="AE55" s="80">
        <f>'Critérios de Implantação'!AE$31*'Resumo-Cult.Perma.'!$C16</f>
        <v>0</v>
      </c>
      <c r="AF55" s="80">
        <f>'Critérios de Implantação'!AF$31*'Resumo-Cult.Perma.'!$C16</f>
        <v>0</v>
      </c>
      <c r="AG55" s="80">
        <f>'Critérios de Implantação'!AG$31*'Resumo-Cult.Perma.'!$C16</f>
        <v>0</v>
      </c>
      <c r="AH55" s="80">
        <f>'Critérios de Implantação'!AH$31*'Resumo-Cult.Perma.'!$C16</f>
        <v>0</v>
      </c>
      <c r="AI55" s="80">
        <f>'Critérios de Implantação'!AI$31*'Resumo-Cult.Perma.'!$C16</f>
        <v>0</v>
      </c>
      <c r="AJ55" s="80">
        <f>'Critérios de Implantação'!AJ$31*'Resumo-Cult.Perma.'!$C16</f>
        <v>0</v>
      </c>
      <c r="AK55" s="81">
        <f>'Critérios de Implantação'!AK$31*'Resumo-Cult.Perma.'!$C16</f>
        <v>0</v>
      </c>
    </row>
    <row r="56" spans="1:37" ht="20.149999999999999" customHeight="1" outlineLevel="1" x14ac:dyDescent="0.25">
      <c r="A56" s="85" t="s">
        <v>159</v>
      </c>
      <c r="B56" s="34" t="s">
        <v>141</v>
      </c>
      <c r="C56" s="80"/>
      <c r="D56" s="80">
        <f>'Critérios de Implantação'!D$31*'Resumo-Cult.Perma.'!$C17</f>
        <v>0</v>
      </c>
      <c r="E56" s="80">
        <f>'Critérios de Implantação'!E$31*'Resumo-Cult.Perma.'!$C17</f>
        <v>0</v>
      </c>
      <c r="F56" s="80">
        <f>'Critérios de Implantação'!F$31*'Resumo-Cult.Perma.'!$C17</f>
        <v>452696.47177594434</v>
      </c>
      <c r="G56" s="80">
        <f>'Critérios de Implantação'!G$31*'Resumo-Cult.Perma.'!$C17</f>
        <v>452696.47177594434</v>
      </c>
      <c r="H56" s="80">
        <f>'Critérios de Implantação'!H$31*'Resumo-Cult.Perma.'!$C17</f>
        <v>543892.49691775185</v>
      </c>
      <c r="I56" s="80">
        <f>'Critérios de Implantação'!I$31*'Resumo-Cult.Perma.'!$C17</f>
        <v>1050470.7445958117</v>
      </c>
      <c r="J56" s="80">
        <f>'Critérios de Implantação'!J$31*'Resumo-Cult.Perma.'!$C17</f>
        <v>985576.89032450796</v>
      </c>
      <c r="K56" s="80">
        <f>'Critérios de Implantação'!K$31*'Resumo-Cult.Perma.'!$C17</f>
        <v>1014065.1519755552</v>
      </c>
      <c r="L56" s="80">
        <f>'Critérios de Implantação'!L$31*'Resumo-Cult.Perma.'!$C17</f>
        <v>826023.09298652073</v>
      </c>
      <c r="M56" s="80">
        <f>'Critérios de Implantação'!M$31*'Resumo-Cult.Perma.'!$C17</f>
        <v>585537.83544334758</v>
      </c>
      <c r="N56" s="80">
        <f>'Critérios de Implantação'!N$31*'Resumo-Cult.Perma.'!$C17</f>
        <v>294581.25178593397</v>
      </c>
      <c r="O56" s="80">
        <f>'Critérios de Implantação'!O$31*'Resumo-Cult.Perma.'!$C17</f>
        <v>0</v>
      </c>
      <c r="P56" s="80">
        <f>'Critérios de Implantação'!P$31*'Resumo-Cult.Perma.'!$C17</f>
        <v>0</v>
      </c>
      <c r="Q56" s="80">
        <f>'Critérios de Implantação'!Q$31*'Resumo-Cult.Perma.'!$C17</f>
        <v>0</v>
      </c>
      <c r="R56" s="80">
        <f>'Critérios de Implantação'!R$31*'Resumo-Cult.Perma.'!$C17</f>
        <v>0</v>
      </c>
      <c r="S56" s="80">
        <f>'Critérios de Implantação'!S$31*'Resumo-Cult.Perma.'!$C17</f>
        <v>0</v>
      </c>
      <c r="T56" s="80">
        <f>'Critérios de Implantação'!T$31*'Resumo-Cult.Perma.'!$C17</f>
        <v>0</v>
      </c>
      <c r="U56" s="80">
        <f>'Critérios de Implantação'!U$31*'Resumo-Cult.Perma.'!$C17</f>
        <v>0</v>
      </c>
      <c r="V56" s="80">
        <f>'Critérios de Implantação'!V$31*'Resumo-Cult.Perma.'!$C17</f>
        <v>0</v>
      </c>
      <c r="W56" s="80">
        <f>'Critérios de Implantação'!W$31*'Resumo-Cult.Perma.'!$C17</f>
        <v>0</v>
      </c>
      <c r="X56" s="80">
        <f>'Critérios de Implantação'!X$31*'Resumo-Cult.Perma.'!$C17</f>
        <v>0</v>
      </c>
      <c r="Y56" s="80">
        <f>'Critérios de Implantação'!Y$31*'Resumo-Cult.Perma.'!$C17</f>
        <v>0</v>
      </c>
      <c r="Z56" s="80">
        <f>'Critérios de Implantação'!Z$31*'Resumo-Cult.Perma.'!$C17</f>
        <v>0</v>
      </c>
      <c r="AA56" s="80">
        <f>'Critérios de Implantação'!AA$31*'Resumo-Cult.Perma.'!$C17</f>
        <v>0</v>
      </c>
      <c r="AB56" s="80">
        <f>'Critérios de Implantação'!AB$31*'Resumo-Cult.Perma.'!$C17</f>
        <v>0</v>
      </c>
      <c r="AC56" s="80">
        <f>'Critérios de Implantação'!AC$31*'Resumo-Cult.Perma.'!$C17</f>
        <v>0</v>
      </c>
      <c r="AD56" s="80">
        <f>'Critérios de Implantação'!AD$31*'Resumo-Cult.Perma.'!$C17</f>
        <v>0</v>
      </c>
      <c r="AE56" s="80">
        <f>'Critérios de Implantação'!AE$31*'Resumo-Cult.Perma.'!$C17</f>
        <v>0</v>
      </c>
      <c r="AF56" s="80">
        <f>'Critérios de Implantação'!AF$31*'Resumo-Cult.Perma.'!$C17</f>
        <v>0</v>
      </c>
      <c r="AG56" s="80">
        <f>'Critérios de Implantação'!AG$31*'Resumo-Cult.Perma.'!$C17</f>
        <v>0</v>
      </c>
      <c r="AH56" s="80">
        <f>'Critérios de Implantação'!AH$31*'Resumo-Cult.Perma.'!$C17</f>
        <v>0</v>
      </c>
      <c r="AI56" s="80">
        <f>'Critérios de Implantação'!AI$31*'Resumo-Cult.Perma.'!$C17</f>
        <v>0</v>
      </c>
      <c r="AJ56" s="80">
        <f>'Critérios de Implantação'!AJ$31*'Resumo-Cult.Perma.'!$C17</f>
        <v>0</v>
      </c>
      <c r="AK56" s="81">
        <f>'Critérios de Implantação'!AK$31*'Resumo-Cult.Perma.'!$C17</f>
        <v>0</v>
      </c>
    </row>
    <row r="57" spans="1:37" s="15" customFormat="1" ht="20.149999999999999" customHeight="1" outlineLevel="1" thickBot="1" x14ac:dyDescent="0.3">
      <c r="A57" s="86"/>
      <c r="B57" s="87" t="s">
        <v>148</v>
      </c>
      <c r="C57" s="88"/>
      <c r="D57" s="88">
        <f t="shared" ref="D57:AK57" si="48">SUM(D48:D56)</f>
        <v>0</v>
      </c>
      <c r="E57" s="88">
        <f t="shared" si="48"/>
        <v>0</v>
      </c>
      <c r="F57" s="88">
        <f t="shared" si="48"/>
        <v>10865178.096090198</v>
      </c>
      <c r="G57" s="88">
        <f t="shared" si="48"/>
        <v>10865178.096090198</v>
      </c>
      <c r="H57" s="88">
        <f t="shared" si="48"/>
        <v>13053975.92553666</v>
      </c>
      <c r="I57" s="88">
        <f t="shared" si="48"/>
        <v>25212371.724458564</v>
      </c>
      <c r="J57" s="88">
        <f t="shared" si="48"/>
        <v>23654852.883559778</v>
      </c>
      <c r="K57" s="88">
        <f t="shared" si="48"/>
        <v>24338600.285593525</v>
      </c>
      <c r="L57" s="88">
        <f t="shared" si="48"/>
        <v>19825398.641992979</v>
      </c>
      <c r="M57" s="88">
        <f t="shared" si="48"/>
        <v>14053506.622512167</v>
      </c>
      <c r="N57" s="88">
        <f t="shared" si="48"/>
        <v>7070251.1814748384</v>
      </c>
      <c r="O57" s="88">
        <f t="shared" si="48"/>
        <v>0</v>
      </c>
      <c r="P57" s="88">
        <f t="shared" si="48"/>
        <v>0</v>
      </c>
      <c r="Q57" s="88">
        <f t="shared" si="48"/>
        <v>0</v>
      </c>
      <c r="R57" s="88">
        <f t="shared" si="48"/>
        <v>0</v>
      </c>
      <c r="S57" s="88">
        <f t="shared" si="48"/>
        <v>0</v>
      </c>
      <c r="T57" s="88">
        <f t="shared" si="48"/>
        <v>0</v>
      </c>
      <c r="U57" s="88">
        <f t="shared" si="48"/>
        <v>0</v>
      </c>
      <c r="V57" s="88">
        <f t="shared" si="48"/>
        <v>0</v>
      </c>
      <c r="W57" s="88">
        <f t="shared" si="48"/>
        <v>0</v>
      </c>
      <c r="X57" s="88">
        <f t="shared" si="48"/>
        <v>0</v>
      </c>
      <c r="Y57" s="88">
        <f t="shared" si="48"/>
        <v>0</v>
      </c>
      <c r="Z57" s="88">
        <f t="shared" si="48"/>
        <v>0</v>
      </c>
      <c r="AA57" s="88">
        <f t="shared" si="48"/>
        <v>0</v>
      </c>
      <c r="AB57" s="88">
        <f t="shared" si="48"/>
        <v>0</v>
      </c>
      <c r="AC57" s="88">
        <f t="shared" si="48"/>
        <v>0</v>
      </c>
      <c r="AD57" s="88">
        <f t="shared" si="48"/>
        <v>0</v>
      </c>
      <c r="AE57" s="88">
        <f t="shared" si="48"/>
        <v>0</v>
      </c>
      <c r="AF57" s="88">
        <f t="shared" si="48"/>
        <v>0</v>
      </c>
      <c r="AG57" s="88">
        <f t="shared" si="48"/>
        <v>0</v>
      </c>
      <c r="AH57" s="88">
        <f t="shared" si="48"/>
        <v>0</v>
      </c>
      <c r="AI57" s="88">
        <f t="shared" si="48"/>
        <v>0</v>
      </c>
      <c r="AJ57" s="88">
        <f t="shared" si="48"/>
        <v>0</v>
      </c>
      <c r="AK57" s="89">
        <f t="shared" si="48"/>
        <v>0</v>
      </c>
    </row>
    <row r="58" spans="1:37" ht="20.149999999999999" customHeight="1" outlineLevel="1" thickBot="1" x14ac:dyDescent="0.3">
      <c r="A58" s="14"/>
      <c r="C58" s="90"/>
      <c r="D58" s="90"/>
      <c r="E58" s="90"/>
      <c r="F58" s="90"/>
      <c r="G58" s="980"/>
      <c r="H58" s="98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</row>
    <row r="59" spans="1:37" ht="20.149999999999999" customHeight="1" outlineLevel="1" x14ac:dyDescent="0.25">
      <c r="A59" s="71">
        <v>2</v>
      </c>
      <c r="B59" s="76" t="s">
        <v>136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2"/>
    </row>
    <row r="60" spans="1:37" ht="20.149999999999999" customHeight="1" outlineLevel="1" x14ac:dyDescent="0.25">
      <c r="A60" s="48" t="s">
        <v>137</v>
      </c>
      <c r="B60" s="82" t="s">
        <v>142</v>
      </c>
      <c r="C60" s="93"/>
      <c r="D60" s="93">
        <f>IFERROR(('Resumo-Cult.Perma.'!C21*('Critérios de Implantação'!D$52)),0)+IFERROR(('Resumo-Cult.Perma.'!B21*('Critérios de Implantação'!D$53)),0)+IFERROR(('Resumo-Cult.Perma.'!A21*('Critérios de Implantação'!D$60)),0)</f>
        <v>0</v>
      </c>
      <c r="E60" s="93">
        <f>IFERROR(('Resumo-Cult.Perma.'!D21*('Critérios de Implantação'!E$52)),0)+IFERROR(('Resumo-Cult.Perma.'!C21*('Critérios de Implantação'!E$53)),0)+IFERROR(('Resumo-Cult.Perma.'!B21*('Critérios de Implantação'!E$60)),0)</f>
        <v>0</v>
      </c>
      <c r="F60" s="93">
        <f>IFERROR(('Resumo-Cult.Perma.'!C21*('Critérios de Implantação'!F$52)),0)+IFERROR(('Resumo-Cult.Perma.'!B21*('Critérios de Implantação'!F$53)),0)+IFERROR(('Resumo-Cult.Perma.'!A21*('Critérios de Implantação'!F$54)),0)+IFERROR(('Resumo-Cult.Perma.'!#REF!*('Critérios de Implantação'!F$55)),0)+IFERROR(('Resumo-Cult.Perma.'!#REF!*('Critérios de Implantação'!F$56)),0)+IFERROR(('Resumo-Cult.Perma.'!#REF!*('Critérios de Implantação'!F$57)),0)+IFERROR(('Resumo-Cult.Perma.'!#REF!*('Critérios de Implantação'!F$58)),0)+IFERROR(('Resumo-Cult.Perma.'!#REF!*('Critérios de Implantação'!F$59)),0)+IFERROR(('Resumo-Cult.Perma.'!#REF!*('Critérios de Implantação'!F$60)),0)</f>
        <v>0</v>
      </c>
      <c r="G60" s="93">
        <f>IFERROR('Resumo-Cult.Perma.'!D21*'Critérios de Implantação'!G$52,0)+IFERROR('Resumo-Cult.Perma.'!C21*'Critérios de Implantação'!G$53,0)+IFERROR('Resumo-Cult.Perma.'!B21*'Critérios de Implantação'!$Q$54,0)+IFERROR('Resumo-Cult.Perma.'!A21*'Critérios de Implantação'!$Q$55,0)+IFERROR('Resumo-Cult.Perma.'!#REF!*'Critérios de Implantação'!$Q$56,0)+IFERROR('Resumo-Cult.Perma.'!#REF!*'Critérios de Implantação'!$Q$57,0)+IFERROR('Resumo-Cult.Perma.'!#REF!*'Critérios de Implantação'!$Q$58,0)+IFERROR('Resumo-Cult.Perma.'!#REF!*'Critérios de Implantação'!$Q$59,0)+IFERROR('Resumo-Cult.Perma.'!#REF!*'Critérios de Implantação'!$Q$60,0)</f>
        <v>1856488.1607765625</v>
      </c>
      <c r="H60" s="93">
        <f>IFERROR('Resumo-Cult.Perma.'!E21*'Critérios de Implantação'!H$52,0)+IFERROR('Resumo-Cult.Perma.'!D21*'Critérios de Implantação'!H$53,0)+IFERROR('Resumo-Cult.Perma.'!C21*'Critérios de Implantação'!$Q$54,0)+IFERROR('Resumo-Cult.Perma.'!B21*'Critérios de Implantação'!$Q$55,0)+IFERROR('Resumo-Cult.Perma.'!A21*'Critérios de Implantação'!$Q$56,0)+IFERROR('Resumo-Cult.Perma.'!#REF!*'Critérios de Implantação'!$Q$57,0)+IFERROR('Resumo-Cult.Perma.'!#REF!*'Critérios de Implantação'!$Q$58,0)+IFERROR('Resumo-Cult.Perma.'!#REF!*'Critérios de Implantação'!$Q$59,0)+IFERROR('Resumo-Cult.Perma.'!#REF!*'Critérios de Implantação'!$Q$60,0)</f>
        <v>3711871.8248581304</v>
      </c>
      <c r="I60" s="93">
        <f>IFERROR('Resumo-Cult.Perma.'!F21*'Critérios de Implantação'!I$52,0)+IFERROR('Resumo-Cult.Perma.'!E21*'Critérios de Implantação'!I$53,0)+IFERROR('Resumo-Cult.Perma.'!D21*'Critérios de Implantação'!$Q$54,0)+IFERROR('Resumo-Cult.Perma.'!C21*'Critérios de Implantação'!$Q$55,0)+IFERROR('Resumo-Cult.Perma.'!B21*'Critérios de Implantação'!$Q$56,0)+IFERROR('Resumo-Cult.Perma.'!A21*'Critérios de Implantação'!$Q$57,0)+IFERROR('Resumo-Cult.Perma.'!#REF!*'Critérios de Implantação'!$Q$58,0)+IFERROR('Resumo-Cult.Perma.'!#REF!*'Critérios de Implantação'!$Q$59,0)+IFERROR('Resumo-Cult.Perma.'!#REF!*'Critérios de Implantação'!$Q$60,0)</f>
        <v>5941246.3449352412</v>
      </c>
      <c r="J60" s="93">
        <f>IFERROR('Resumo-Cult.Perma.'!G21*'Critérios de Implantação'!J$52,0)+IFERROR('Resumo-Cult.Perma.'!F21*'Critérios de Implantação'!J$53,0)+IFERROR('Resumo-Cult.Perma.'!E21*'Critérios de Implantação'!$Q$54,0)+IFERROR('Resumo-Cult.Perma.'!D21*'Critérios de Implantação'!$Q$55,0)+IFERROR('Resumo-Cult.Perma.'!C21*'Critérios de Implantação'!$Q$56,0)+IFERROR('Resumo-Cult.Perma.'!B21*'Critérios de Implantação'!$Q$57,0)+IFERROR('Resumo-Cult.Perma.'!A21*'Critérios de Implantação'!$Q$58,0)+IFERROR('Resumo-Cult.Perma.'!#REF!*'Critérios de Implantação'!$Q$59,0)+IFERROR('Resumo-Cult.Perma.'!#REF!*'Critérios de Implantação'!$Q$60,0)</f>
        <v>10086218.057421263</v>
      </c>
      <c r="K60" s="93">
        <f>IFERROR('Resumo-Cult.Perma.'!H21*'Critérios de Implantação'!K$52,0)+IFERROR('Resumo-Cult.Perma.'!G21*'Critérios de Implantação'!K$53,0)+IFERROR('Resumo-Cult.Perma.'!F21*'Critérios de Implantação'!$Q$54,0)+IFERROR('Resumo-Cult.Perma.'!E21*'Critérios de Implantação'!$Q$55,0)+IFERROR('Resumo-Cult.Perma.'!D21*'Critérios de Implantação'!$Q$56,0)+IFERROR('Resumo-Cult.Perma.'!C21*'Critérios de Implantação'!$Q$57,0)+IFERROR('Resumo-Cult.Perma.'!B21*'Critérios de Implantação'!$Q$58,0)+IFERROR('Resumo-Cult.Perma.'!A21*'Critérios de Implantação'!$Q$59,0)+IFERROR('Resumo-Cult.Perma.'!#REF!*'Critérios de Implantação'!$Q$60,0)</f>
        <v>13963826.992178248</v>
      </c>
      <c r="L60" s="93">
        <f>IFERROR('Resumo-Cult.Perma.'!I21*'Critérios de Implantação'!L$52,0)+IFERROR('Resumo-Cult.Perma.'!H21*'Critérios de Implantação'!L$53,0)+IFERROR('Resumo-Cult.Perma.'!G21*'Critérios de Implantação'!$Q$54,0)+IFERROR('Resumo-Cult.Perma.'!F21*'Critérios de Implantação'!$Q$55,0)+IFERROR('Resumo-Cult.Perma.'!E21*'Critérios de Implantação'!$Q$56,0)+IFERROR('Resumo-Cult.Perma.'!D21*'Critérios de Implantação'!$Q$57,0)+IFERROR('Resumo-Cult.Perma.'!C21*'Critérios de Implantação'!$Q$58,0)+IFERROR('Resumo-Cult.Perma.'!B21*'Critérios de Implantação'!$Q$59,0)+IFERROR('Resumo-Cult.Perma.'!A21*'Critérios de Implantação'!$Q$60,0)</f>
        <v>17925861.820253812</v>
      </c>
      <c r="M60" s="93">
        <f>IFERROR('Resumo-Cult.Perma.'!J21*'Critérios de Implantação'!M$52,0)+IFERROR('Resumo-Cult.Perma.'!I21*'Critérios de Implantação'!M$53,0)+IFERROR('Resumo-Cult.Perma.'!H21*'Critérios de Implantação'!$Q$54,0)+IFERROR('Resumo-Cult.Perma.'!G21*'Critérios de Implantação'!$Q$55,0)+IFERROR('Resumo-Cult.Perma.'!F21*'Critérios de Implantação'!$Q$56,0)+IFERROR('Resumo-Cult.Perma.'!E21*'Critérios de Implantação'!$Q$57,0)+IFERROR('Resumo-Cult.Perma.'!D21*'Critérios de Implantação'!$Q$58,0)+IFERROR('Resumo-Cult.Perma.'!C21*'Critérios de Implantação'!$Q$59,0)+IFERROR('Resumo-Cult.Perma.'!B21*'Critérios de Implantação'!$Q$60,0)</f>
        <v>20935801.27008589</v>
      </c>
      <c r="N60" s="93">
        <f>IFERROR('Resumo-Cult.Perma.'!K21*'Critérios de Implantação'!N$52,0)+IFERROR('Resumo-Cult.Perma.'!J21*'Critérios de Implantação'!N$53,0)+IFERROR('Resumo-Cult.Perma.'!I21*'Critérios de Implantação'!$Q$54,0)+IFERROR('Resumo-Cult.Perma.'!H21*'Critérios de Implantação'!$Q$55,0)+IFERROR('Resumo-Cult.Perma.'!G21*'Critérios de Implantação'!$Q$56,0)+IFERROR('Resumo-Cult.Perma.'!F21*'Critérios de Implantação'!$Q$57,0)+IFERROR('Resumo-Cult.Perma.'!E21*'Critérios de Implantação'!$Q$58,0)+IFERROR('Resumo-Cult.Perma.'!D21*'Critérios de Implantação'!$Q$59,0)+IFERROR('Resumo-Cult.Perma.'!C21*'Critérios de Implantação'!$Q$60,0)</f>
        <v>22983150.474492341</v>
      </c>
      <c r="O60" s="93">
        <f>IFERROR('Resumo-Cult.Perma.'!L21*'Critérios de Implantação'!O$52,0)+IFERROR('Resumo-Cult.Perma.'!K21*'Critérios de Implantação'!O$53,0)+IFERROR('Resumo-Cult.Perma.'!J21*'Critérios de Implantação'!$Q$54,0)+IFERROR('Resumo-Cult.Perma.'!I21*'Critérios de Implantação'!$Q$55,0)+IFERROR('Resumo-Cult.Perma.'!H21*'Critérios de Implantação'!$Q$56,0)+IFERROR('Resumo-Cult.Perma.'!G21*'Critérios de Implantação'!$Q$57,0)+IFERROR('Resumo-Cult.Perma.'!F21*'Critérios de Implantação'!$Q$58,0)+IFERROR('Resumo-Cult.Perma.'!E21*'Critérios de Implantação'!$Q$59,0)+IFERROR('Resumo-Cult.Perma.'!D21*'Critérios de Implantação'!$Q$60,0)</f>
        <v>23827714.637110747</v>
      </c>
      <c r="P60" s="93">
        <f>IFERROR('Resumo-Cult.Perma.'!M21*'Critérios de Implantação'!P$52,0)+IFERROR('Resumo-Cult.Perma.'!L21*'Critérios de Implantação'!P$53,0)+IFERROR('Resumo-Cult.Perma.'!K21*'Critérios de Implantação'!$Q$54,0)+IFERROR('Resumo-Cult.Perma.'!J21*'Critérios de Implantação'!$Q$55,0)+IFERROR('Resumo-Cult.Perma.'!I21*'Critérios de Implantação'!$Q$56,0)+IFERROR('Resumo-Cult.Perma.'!H21*'Critérios de Implantação'!$Q$57,0)+IFERROR('Resumo-Cult.Perma.'!G21*'Critérios de Implantação'!$Q$58,0)+IFERROR('Resumo-Cult.Perma.'!F21*'Critérios de Implantação'!$Q$59,0)+IFERROR('Resumo-Cult.Perma.'!E21*'Critérios de Implantação'!$Q$60,0)</f>
        <v>23532064.430009805</v>
      </c>
      <c r="Q60" s="93">
        <f>IFERROR('Resumo-Cult.Perma.'!N21*'Critérios de Implantação'!Q$52,0)+IFERROR('Resumo-Cult.Perma.'!M21*'Critérios de Implantação'!Q$53,0)+IFERROR('Resumo-Cult.Perma.'!L21*'Critérios de Implantação'!$Q$54,0)+IFERROR('Resumo-Cult.Perma.'!K21*'Critérios de Implantação'!$Q$55,0)+IFERROR('Resumo-Cult.Perma.'!J21*'Critérios de Implantação'!$Q$56,0)+IFERROR('Resumo-Cult.Perma.'!I21*'Critérios de Implantação'!$Q$57,0)+IFERROR('Resumo-Cult.Perma.'!H21*'Critérios de Implantação'!$Q$58,0)+IFERROR('Resumo-Cult.Perma.'!G21*'Critérios de Implantação'!$Q$59,0)+IFERROR('Resumo-Cult.Perma.'!F21*'Critérios de Implantação'!$Q$60,0)</f>
        <v>23322998.190304667</v>
      </c>
      <c r="R60" s="93">
        <f>IFERROR('Resumo-Cult.Perma.'!O21*'Critérios de Implantação'!R$52,0)+IFERROR('Resumo-Cult.Perma.'!N21*'Critérios de Implantação'!R$53,0)+IFERROR('Resumo-Cult.Perma.'!M21*'Critérios de Implantação'!$Q$54,0)+IFERROR('Resumo-Cult.Perma.'!L21*'Critérios de Implantação'!$Q$55,0)+IFERROR('Resumo-Cult.Perma.'!K21*'Critérios de Implantação'!$Q$56,0)+IFERROR('Resumo-Cult.Perma.'!J21*'Critérios de Implantação'!$Q$57,0)+IFERROR('Resumo-Cult.Perma.'!I21*'Critérios de Implantação'!$Q$58,0)+IFERROR('Resumo-Cult.Perma.'!H21*'Critérios de Implantação'!$Q$59,0)+IFERROR('Resumo-Cult.Perma.'!G21*'Critérios de Implantação'!$Q$60,0)</f>
        <v>24725708.719536223</v>
      </c>
      <c r="S60" s="93">
        <f>IFERROR('Resumo-Cult.Perma.'!P21*'Critérios de Implantação'!S$52,0)+IFERROR('Resumo-Cult.Perma.'!O21*'Critérios de Implantação'!S$53,0)+IFERROR('Resumo-Cult.Perma.'!N21*'Critérios de Implantação'!$Q$54,0)+IFERROR('Resumo-Cult.Perma.'!M21*'Critérios de Implantação'!$Q$55,0)+IFERROR('Resumo-Cult.Perma.'!L21*'Critérios de Implantação'!$Q$56,0)+IFERROR('Resumo-Cult.Perma.'!K21*'Critérios de Implantação'!$Q$57,0)+IFERROR('Resumo-Cult.Perma.'!J21*'Critérios de Implantação'!$Q$58,0)+IFERROR('Resumo-Cult.Perma.'!I21*'Critérios de Implantação'!$Q$59,0)+IFERROR('Resumo-Cult.Perma.'!H21*'Critérios de Implantação'!$Q$60,0)</f>
        <v>24888448.457121022</v>
      </c>
      <c r="T60" s="93">
        <f>IFERROR('Resumo-Cult.Perma.'!Q21*'Critérios de Implantação'!T$52,0)+IFERROR('Resumo-Cult.Perma.'!P21*'Critérios de Implantação'!T$53,0)+IFERROR('Resumo-Cult.Perma.'!O21*'Critérios de Implantação'!$Q$54,0)+IFERROR('Resumo-Cult.Perma.'!N21*'Critérios de Implantação'!$Q$55,0)+IFERROR('Resumo-Cult.Perma.'!M21*'Critérios de Implantação'!$Q$56,0)+IFERROR('Resumo-Cult.Perma.'!L21*'Critérios de Implantação'!$Q$57,0)+IFERROR('Resumo-Cult.Perma.'!K21*'Critérios de Implantação'!$Q$58,0)+IFERROR('Resumo-Cult.Perma.'!J21*'Critérios de Implantação'!$Q$59,0)+IFERROR('Resumo-Cult.Perma.'!I21*'Critérios de Implantação'!$Q$60,0)</f>
        <v>25353849.357049931</v>
      </c>
      <c r="U60" s="93">
        <f>IFERROR('Resumo-Cult.Perma.'!R21*'Critérios de Implantação'!U$52,0)+IFERROR('Resumo-Cult.Perma.'!Q21*'Critérios de Implantação'!U$53,0)+IFERROR('Resumo-Cult.Perma.'!P21*'Critérios de Implantação'!$Q$54,0)+IFERROR('Resumo-Cult.Perma.'!O21*'Critérios de Implantação'!$Q$55,0)+IFERROR('Resumo-Cult.Perma.'!N21*'Critérios de Implantação'!$Q$56,0)+IFERROR('Resumo-Cult.Perma.'!M21*'Critérios de Implantação'!$Q$57,0)+IFERROR('Resumo-Cult.Perma.'!L21*'Critérios de Implantação'!$Q$58,0)+IFERROR('Resumo-Cult.Perma.'!K21*'Critérios de Implantação'!$Q$59,0)+IFERROR('Resumo-Cult.Perma.'!J21*'Critérios de Implantação'!$Q$60,0)</f>
        <v>27235634.66744509</v>
      </c>
      <c r="V60" s="93">
        <f>IFERROR('Resumo-Cult.Perma.'!S21*'Critérios de Implantação'!V$52,0)+IFERROR('Resumo-Cult.Perma.'!R21*'Critérios de Implantação'!V$53,0)+IFERROR('Resumo-Cult.Perma.'!Q21*'Critérios de Implantação'!$Q$54,0)+IFERROR('Resumo-Cult.Perma.'!P21*'Critérios de Implantação'!$Q$55,0)+IFERROR('Resumo-Cult.Perma.'!O21*'Critérios de Implantação'!$Q$56,0)+IFERROR('Resumo-Cult.Perma.'!N21*'Critérios de Implantação'!$Q$57,0)+IFERROR('Resumo-Cult.Perma.'!M21*'Critérios de Implantação'!$Q$58,0)+IFERROR('Resumo-Cult.Perma.'!L21*'Critérios de Implantação'!$Q$59,0)+IFERROR('Resumo-Cult.Perma.'!K21*'Critérios de Implantação'!$Q$60,0)</f>
        <v>27234150.362665858</v>
      </c>
      <c r="W60" s="93">
        <f>IFERROR('Resumo-Cult.Perma.'!T21*'Critérios de Implantação'!W$52,0)+IFERROR('Resumo-Cult.Perma.'!S21*'Critérios de Implantação'!W$53,0)+IFERROR('Resumo-Cult.Perma.'!R21*'Critérios de Implantação'!$Q$54,0)+IFERROR('Resumo-Cult.Perma.'!Q21*'Critérios de Implantação'!$Q$55,0)+IFERROR('Resumo-Cult.Perma.'!P21*'Critérios de Implantação'!$Q$56,0)+IFERROR('Resumo-Cult.Perma.'!O21*'Critérios de Implantação'!$Q$57,0)+IFERROR('Resumo-Cult.Perma.'!N21*'Critérios de Implantação'!$Q$58,0)+IFERROR('Resumo-Cult.Perma.'!M21*'Critérios de Implantação'!$Q$59,0)+IFERROR('Resumo-Cult.Perma.'!L21*'Critérios de Implantação'!$Q$60,0)</f>
        <v>27519148.75305891</v>
      </c>
      <c r="X60" s="93">
        <f>IFERROR('Resumo-Cult.Perma.'!U21*'Critérios de Implantação'!X$52,0)+IFERROR('Resumo-Cult.Perma.'!T21*'Critérios de Implantação'!X$53,0)+IFERROR('Resumo-Cult.Perma.'!S21*'Critérios de Implantação'!$Q$54,0)+IFERROR('Resumo-Cult.Perma.'!R21*'Critérios de Implantação'!$Q$55,0)+IFERROR('Resumo-Cult.Perma.'!Q21*'Critérios de Implantação'!$Q$56,0)+IFERROR('Resumo-Cult.Perma.'!P21*'Critérios de Implantação'!$Q$57,0)+IFERROR('Resumo-Cult.Perma.'!O21*'Critérios de Implantação'!$Q$58,0)+IFERROR('Resumo-Cult.Perma.'!N21*'Critérios de Implantação'!$Q$59,0)+IFERROR('Resumo-Cult.Perma.'!M21*'Critérios de Implantação'!$Q$60,0)</f>
        <v>27060742.387208167</v>
      </c>
      <c r="Y60" s="93">
        <f>IFERROR('Resumo-Cult.Perma.'!V21*'Critérios de Implantação'!Y$52,0)+IFERROR('Resumo-Cult.Perma.'!U21*'Critérios de Implantação'!Y$53,0)+IFERROR('Resumo-Cult.Perma.'!T21*'Critérios de Implantação'!$Q$54,0)+IFERROR('Resumo-Cult.Perma.'!S21*'Critérios de Implantação'!$Q$55,0)+IFERROR('Resumo-Cult.Perma.'!R21*'Critérios de Implantação'!$Q$56,0)+IFERROR('Resumo-Cult.Perma.'!Q21*'Critérios de Implantação'!$Q$57,0)+IFERROR('Resumo-Cult.Perma.'!P21*'Critérios de Implantação'!$Q$58,0)+IFERROR('Resumo-Cult.Perma.'!O21*'Critérios de Implantação'!$Q$59,0)+IFERROR('Resumo-Cult.Perma.'!N21*'Critérios de Implantação'!$Q$60,0)</f>
        <v>26179110.078175556</v>
      </c>
      <c r="Z60" s="93">
        <f>IFERROR('Resumo-Cult.Perma.'!W21*'Critérios de Implantação'!Z$52,0)+IFERROR('Resumo-Cult.Perma.'!V21*'Critérios de Implantação'!Z$53,0)+IFERROR('Resumo-Cult.Perma.'!U21*'Critérios de Implantação'!$Q$54,0)+IFERROR('Resumo-Cult.Perma.'!T21*'Critérios de Implantação'!$Q$55,0)+IFERROR('Resumo-Cult.Perma.'!S21*'Critérios de Implantação'!$Q$56,0)+IFERROR('Resumo-Cult.Perma.'!R21*'Critérios de Implantação'!$Q$57,0)+IFERROR('Resumo-Cult.Perma.'!Q21*'Critérios de Implantação'!$Q$58,0)+IFERROR('Resumo-Cult.Perma.'!P21*'Critérios de Implantação'!$Q$59,0)+IFERROR('Resumo-Cult.Perma.'!O21*'Critérios de Implantação'!$Q$60,0)</f>
        <v>25066539.526746005</v>
      </c>
      <c r="AA60" s="93">
        <f>IFERROR('Resumo-Cult.Perma.'!X21*'Critérios de Implantação'!AA$52,0)+IFERROR('Resumo-Cult.Perma.'!W21*'Critérios de Implantação'!AA$53,0)+IFERROR('Resumo-Cult.Perma.'!V21*'Critérios de Implantação'!$Q$54,0)+IFERROR('Resumo-Cult.Perma.'!U21*'Critérios de Implantação'!$Q$55,0)+IFERROR('Resumo-Cult.Perma.'!T21*'Critérios de Implantação'!$Q$56,0)+IFERROR('Resumo-Cult.Perma.'!S21*'Critérios de Implantação'!$Q$57,0)+IFERROR('Resumo-Cult.Perma.'!R21*'Critérios de Implantação'!$Q$58,0)+IFERROR('Resumo-Cult.Perma.'!Q21*'Critérios de Implantação'!$Q$59,0)+IFERROR('Resumo-Cult.Perma.'!P21*'Critérios de Implantação'!$Q$60,0)</f>
        <v>23827714.637110747</v>
      </c>
      <c r="AB60" s="93">
        <f>IFERROR('Resumo-Cult.Perma.'!Y21*'Critérios de Implantação'!AB$52,0)+IFERROR('Resumo-Cult.Perma.'!X21*'Critérios de Implantação'!AB$53,0)+IFERROR('Resumo-Cult.Perma.'!W21*'Critérios de Implantação'!$Q$54,0)+IFERROR('Resumo-Cult.Perma.'!V21*'Critérios de Implantação'!$Q$55,0)+IFERROR('Resumo-Cult.Perma.'!U21*'Critérios de Implantação'!$Q$56,0)+IFERROR('Resumo-Cult.Perma.'!T21*'Critérios de Implantação'!$Q$57,0)+IFERROR('Resumo-Cult.Perma.'!S21*'Critérios de Implantação'!$Q$58,0)+IFERROR('Resumo-Cult.Perma.'!R21*'Critérios de Implantação'!$Q$59,0)+IFERROR('Resumo-Cult.Perma.'!Q21*'Critérios de Implantação'!$Q$60,0)</f>
        <v>23532064.430009805</v>
      </c>
      <c r="AC60" s="93">
        <f>IFERROR('Resumo-Cult.Perma.'!Z21*'Critérios de Implantação'!AC$52,0)+IFERROR('Resumo-Cult.Perma.'!Y21*'Critérios de Implantação'!AC$53,0)+IFERROR('Resumo-Cult.Perma.'!X21*'Critérios de Implantação'!$Q$54,0)+IFERROR('Resumo-Cult.Perma.'!W21*'Critérios de Implantação'!$Q$55,0)+IFERROR('Resumo-Cult.Perma.'!V21*'Critérios de Implantação'!$Q$56,0)+IFERROR('Resumo-Cult.Perma.'!U21*'Critérios de Implantação'!$Q$57,0)+IFERROR('Resumo-Cult.Perma.'!T21*'Critérios de Implantação'!$Q$58,0)+IFERROR('Resumo-Cult.Perma.'!S21*'Critérios de Implantação'!$Q$59,0)+IFERROR('Resumo-Cult.Perma.'!R21*'Critérios de Implantação'!$Q$60,0)</f>
        <v>23322998.190304667</v>
      </c>
      <c r="AD60" s="93">
        <f>IFERROR('Resumo-Cult.Perma.'!AA21*'Critérios de Implantação'!AD$52,0)+IFERROR('Resumo-Cult.Perma.'!Z21*'Critérios de Implantação'!AD$53,0)+IFERROR('Resumo-Cult.Perma.'!Y21*'Critérios de Implantação'!$Q$54,0)+IFERROR('Resumo-Cult.Perma.'!X21*'Critérios de Implantação'!$Q$55,0)+IFERROR('Resumo-Cult.Perma.'!W21*'Critérios de Implantação'!$Q$56,0)+IFERROR('Resumo-Cult.Perma.'!V21*'Critérios de Implantação'!$Q$57,0)+IFERROR('Resumo-Cult.Perma.'!U21*'Critérios de Implantação'!$Q$58,0)+IFERROR('Resumo-Cult.Perma.'!T21*'Critérios de Implantação'!$Q$59,0)+IFERROR('Resumo-Cult.Perma.'!S21*'Critérios de Implantação'!$Q$60,0)</f>
        <v>24725708.719536223</v>
      </c>
      <c r="AE60" s="93">
        <f>IFERROR('Resumo-Cult.Perma.'!AB21*'Critérios de Implantação'!AE$52,0)+IFERROR('Resumo-Cult.Perma.'!AA21*'Critérios de Implantação'!AE$53,0)+IFERROR('Resumo-Cult.Perma.'!Z21*'Critérios de Implantação'!$Q$54,0)+IFERROR('Resumo-Cult.Perma.'!Y21*'Critérios de Implantação'!$Q$55,0)+IFERROR('Resumo-Cult.Perma.'!X21*'Critérios de Implantação'!$Q$56,0)+IFERROR('Resumo-Cult.Perma.'!W21*'Critérios de Implantação'!$Q$57,0)+IFERROR('Resumo-Cult.Perma.'!V21*'Critérios de Implantação'!$Q$58,0)+IFERROR('Resumo-Cult.Perma.'!U21*'Critérios de Implantação'!$Q$59,0)+IFERROR('Resumo-Cult.Perma.'!T21*'Critérios de Implantação'!$Q$60,0)</f>
        <v>24888448.457121022</v>
      </c>
      <c r="AF60" s="93">
        <f>IFERROR('Resumo-Cult.Perma.'!AC21*'Critérios de Implantação'!AF$52,0)+IFERROR('Resumo-Cult.Perma.'!AB21*'Critérios de Implantação'!AF$53,0)+IFERROR('Resumo-Cult.Perma.'!AA21*'Critérios de Implantação'!$Q$54,0)+IFERROR('Resumo-Cult.Perma.'!Z21*'Critérios de Implantação'!$Q$55,0)+IFERROR('Resumo-Cult.Perma.'!Y21*'Critérios de Implantação'!$Q$56,0)+IFERROR('Resumo-Cult.Perma.'!X21*'Critérios de Implantação'!$Q$57,0)+IFERROR('Resumo-Cult.Perma.'!W21*'Critérios de Implantação'!$Q$58,0)+IFERROR('Resumo-Cult.Perma.'!V21*'Critérios de Implantação'!$Q$59,0)+IFERROR('Resumo-Cult.Perma.'!U21*'Critérios de Implantação'!$Q$60,0)</f>
        <v>25353849.357049931</v>
      </c>
      <c r="AG60" s="93">
        <f>IFERROR('Resumo-Cult.Perma.'!AD21*'Critérios de Implantação'!AG$52,0)+IFERROR('Resumo-Cult.Perma.'!AC21*'Critérios de Implantação'!AG$53,0)+IFERROR('Resumo-Cult.Perma.'!AB21*'Critérios de Implantação'!$Q$54,0)+IFERROR('Resumo-Cult.Perma.'!AA21*'Critérios de Implantação'!$Q$55,0)+IFERROR('Resumo-Cult.Perma.'!Z21*'Critérios de Implantação'!$Q$56,0)+IFERROR('Resumo-Cult.Perma.'!Y21*'Critérios de Implantação'!$Q$57,0)+IFERROR('Resumo-Cult.Perma.'!X21*'Critérios de Implantação'!$Q$58,0)+IFERROR('Resumo-Cult.Perma.'!W21*'Critérios de Implantação'!$Q$59,0)+IFERROR('Resumo-Cult.Perma.'!V21*'Critérios de Implantação'!$Q$60,0)</f>
        <v>27235634.66744509</v>
      </c>
      <c r="AH60" s="93">
        <f>IFERROR('Resumo-Cult.Perma.'!AE21*'Critérios de Implantação'!AH$52,0)+IFERROR('Resumo-Cult.Perma.'!AD21*'Critérios de Implantação'!AH$53,0)+IFERROR('Resumo-Cult.Perma.'!AC21*'Critérios de Implantação'!$Q$54,0)+IFERROR('Resumo-Cult.Perma.'!AB21*'Critérios de Implantação'!$Q$55,0)+IFERROR('Resumo-Cult.Perma.'!AA21*'Critérios de Implantação'!$Q$56,0)+IFERROR('Resumo-Cult.Perma.'!Z21*'Critérios de Implantação'!$Q$57,0)+IFERROR('Resumo-Cult.Perma.'!Y21*'Critérios de Implantação'!$Q$58,0)+IFERROR('Resumo-Cult.Perma.'!X21*'Critérios de Implantação'!$Q$59,0)+IFERROR('Resumo-Cult.Perma.'!W21*'Critérios de Implantação'!$Q$60,0)</f>
        <v>27234150.362665858</v>
      </c>
      <c r="AI60" s="93">
        <f>IFERROR('Resumo-Cult.Perma.'!AF21*'Critérios de Implantação'!AI$52,0)+IFERROR('Resumo-Cult.Perma.'!AE21*'Critérios de Implantação'!AI$53,0)+IFERROR('Resumo-Cult.Perma.'!AD21*'Critérios de Implantação'!$Q$54,0)+IFERROR('Resumo-Cult.Perma.'!AC21*'Critérios de Implantação'!$Q$55,0)+IFERROR('Resumo-Cult.Perma.'!AB21*'Critérios de Implantação'!$Q$56,0)+IFERROR('Resumo-Cult.Perma.'!AA21*'Critérios de Implantação'!$Q$57,0)+IFERROR('Resumo-Cult.Perma.'!Z21*'Critérios de Implantação'!$Q$58,0)+IFERROR('Resumo-Cult.Perma.'!Y21*'Critérios de Implantação'!$Q$59,0)+IFERROR('Resumo-Cult.Perma.'!X21*'Critérios de Implantação'!$Q$60,0)</f>
        <v>27519148.75305891</v>
      </c>
      <c r="AJ60" s="93">
        <f>IFERROR('Resumo-Cult.Perma.'!AG21*'Critérios de Implantação'!AJ$52,0)+IFERROR('Resumo-Cult.Perma.'!AF21*'Critérios de Implantação'!AJ$53,0)+IFERROR('Resumo-Cult.Perma.'!AE21*'Critérios de Implantação'!$Q$54,0)+IFERROR('Resumo-Cult.Perma.'!AD21*'Critérios de Implantação'!$Q$55,0)+IFERROR('Resumo-Cult.Perma.'!AC21*'Critérios de Implantação'!$Q$56,0)+IFERROR('Resumo-Cult.Perma.'!AB21*'Critérios de Implantação'!$Q$57,0)+IFERROR('Resumo-Cult.Perma.'!AA21*'Critérios de Implantação'!$Q$58,0)+IFERROR('Resumo-Cult.Perma.'!Z21*'Critérios de Implantação'!$Q$59,0)+IFERROR('Resumo-Cult.Perma.'!Y21*'Critérios de Implantação'!$Q$60,0)</f>
        <v>27060742.387208167</v>
      </c>
      <c r="AK60" s="81">
        <f>IFERROR('Resumo-Cult.Perma.'!AH21*'Critérios de Implantação'!AK$52,0)+IFERROR('Resumo-Cult.Perma.'!AG21*'Critérios de Implantação'!AK$53,0)+IFERROR('Resumo-Cult.Perma.'!AF21*'Critérios de Implantação'!$Q$54,0)+IFERROR('Resumo-Cult.Perma.'!AE21*'Critérios de Implantação'!$Q$55,0)+IFERROR('Resumo-Cult.Perma.'!AD21*'Critérios de Implantação'!$Q$56,0)+IFERROR('Resumo-Cult.Perma.'!AC21*'Critérios de Implantação'!$Q$57,0)+IFERROR('Resumo-Cult.Perma.'!AB21*'Critérios de Implantação'!$Q$58,0)+IFERROR('Resumo-Cult.Perma.'!AA21*'Critérios de Implantação'!$Q$59,0)+IFERROR('Resumo-Cult.Perma.'!Z21*'Critérios de Implantação'!$Q$60,0)</f>
        <v>26179110.078175556</v>
      </c>
    </row>
    <row r="61" spans="1:37" ht="20.149999999999999" customHeight="1" outlineLevel="1" x14ac:dyDescent="0.25">
      <c r="A61" s="48" t="s">
        <v>138</v>
      </c>
      <c r="B61" s="34" t="s">
        <v>146</v>
      </c>
      <c r="C61" s="80"/>
      <c r="D61" s="93">
        <f>IFERROR('Resumo-Cult.Perma.'!A22*'Critérios de Implantação'!D52,0)+IFERROR('Resumo-Cult.Perma.'!#REF!*'Critérios de Implantação'!D53,0)+IFERROR('Resumo-Cult.Perma.'!#REF!*'Critérios de Implantação'!D54,0)+IFERROR('Resumo-Cult.Perma.'!#REF!*'Critérios de Implantação'!D55,0)+IFERROR('Resumo-Cult.Perma.'!#REF!*'Critérios de Implantação'!D56,0)+IFERROR('Resumo-Cult.Perma.'!#REF!*'Critérios de Implantação'!D57,0)+IFERROR('Resumo-Cult.Perma.'!#REF!*'Critérios de Implantação'!D58,0)+IFERROR('Resumo-Cult.Perma.'!#REF!*'Critérios de Implantação'!D59,0)+IFERROR('Resumo-Cult.Perma.'!#REF!*'Critérios de Implantação'!D60,0)</f>
        <v>0</v>
      </c>
      <c r="E61" s="93">
        <f>IFERROR('Resumo-Cult.Perma.'!B22*'Critérios de Implantação'!E52,0)+IFERROR('Resumo-Cult.Perma.'!A22*'Critérios de Implantação'!E53,0)+IFERROR('Resumo-Cult.Perma.'!#REF!*'Critérios de Implantação'!E54,0)+IFERROR('Resumo-Cult.Perma.'!#REF!*'Critérios de Implantação'!E55,0)+IFERROR('Resumo-Cult.Perma.'!#REF!*'Critérios de Implantação'!E56,0)+IFERROR('Resumo-Cult.Perma.'!#REF!*'Critérios de Implantação'!E57,0)+IFERROR('Resumo-Cult.Perma.'!#REF!*'Critérios de Implantação'!E58,0)+IFERROR('Resumo-Cult.Perma.'!#REF!*'Critérios de Implantação'!E59,0)+IFERROR('Resumo-Cult.Perma.'!#REF!*'Critérios de Implantação'!E60,0)</f>
        <v>0</v>
      </c>
      <c r="F61" s="93">
        <f>IFERROR('Resumo-Cult.Perma.'!C22*'Critérios de Implantação'!F52,0)+IFERROR('Resumo-Cult.Perma.'!B22*'Critérios de Implantação'!F53,0)+IFERROR('Resumo-Cult.Perma.'!A22*'Critérios de Implantação'!F54,0)+IFERROR('Resumo-Cult.Perma.'!#REF!*'Critérios de Implantação'!F55,0)+IFERROR('Resumo-Cult.Perma.'!#REF!*'Critérios de Implantação'!F56,0)+IFERROR('Resumo-Cult.Perma.'!#REF!*'Critérios de Implantação'!F57,0)+IFERROR('Resumo-Cult.Perma.'!#REF!*'Critérios de Implantação'!F58,0)+IFERROR('Resumo-Cult.Perma.'!#REF!*'Critérios de Implantação'!F59,0)+IFERROR('Resumo-Cult.Perma.'!#REF!*'Critérios de Implantação'!F60,0)</f>
        <v>0</v>
      </c>
      <c r="G61" s="93">
        <f>IFERROR('Resumo-Cult.Perma.'!D22*'Critérios de Implantação'!G$52,0)+IFERROR('Resumo-Cult.Perma.'!C22*'Critérios de Implantação'!G$53,0)+IFERROR('Resumo-Cult.Perma.'!B22*'Critérios de Implantação'!$Q$54,0)+IFERROR('Resumo-Cult.Perma.'!A22*'Critérios de Implantação'!$Q$55,0)+IFERROR('Resumo-Cult.Perma.'!#REF!*'Critérios de Implantação'!$Q$56,0)+IFERROR('Resumo-Cult.Perma.'!#REF!*'Critérios de Implantação'!$Q$57,0)+IFERROR('Resumo-Cult.Perma.'!#REF!*'Critérios de Implantação'!$Q$58,0)+IFERROR('Resumo-Cult.Perma.'!#REF!*'Critérios de Implantação'!$Q$59,0)+IFERROR('Resumo-Cult.Perma.'!#REF!*'Critérios de Implantação'!$Q$60,0)</f>
        <v>2187243.301226364</v>
      </c>
      <c r="H61" s="93">
        <f>IFERROR('Resumo-Cult.Perma.'!E22*'Critérios de Implantação'!H$52,0)+IFERROR('Resumo-Cult.Perma.'!D22*'Critérios de Implantação'!H$53,0)+IFERROR('Resumo-Cult.Perma.'!C22*'Critérios de Implantação'!$Q$54,0)+IFERROR('Resumo-Cult.Perma.'!B22*'Critérios de Implantação'!$Q$55,0)+IFERROR('Resumo-Cult.Perma.'!A22*'Critérios de Implantação'!$Q$56,0)+IFERROR('Resumo-Cult.Perma.'!#REF!*'Critérios de Implantação'!$Q$57,0)+IFERROR('Resumo-Cult.Perma.'!#REF!*'Critérios de Implantação'!$Q$58,0)+IFERROR('Resumo-Cult.Perma.'!#REF!*'Critérios de Implantação'!$Q$59,0)+IFERROR('Resumo-Cult.Perma.'!#REF!*'Critérios de Implantação'!$Q$60,0)</f>
        <v>4265091.8688991219</v>
      </c>
      <c r="I61" s="93">
        <f>IFERROR('Resumo-Cult.Perma.'!F22*'Critérios de Implantação'!I$52,0)+IFERROR('Resumo-Cult.Perma.'!E22*'Critérios de Implantação'!I$53,0)+IFERROR('Resumo-Cult.Perma.'!D22*'Critérios de Implantação'!$Q$54,0)+IFERROR('Resumo-Cult.Perma.'!C22*'Critérios de Implantação'!$Q$55,0)+IFERROR('Resumo-Cult.Perma.'!B22*'Critérios de Implantação'!$Q$56,0)+IFERROR('Resumo-Cult.Perma.'!A22*'Critérios de Implantação'!$Q$57,0)+IFERROR('Resumo-Cult.Perma.'!#REF!*'Critérios de Implantação'!$Q$58,0)+IFERROR('Resumo-Cult.Perma.'!#REF!*'Critérios de Implantação'!$Q$59,0)+IFERROR('Resumo-Cult.Perma.'!#REF!*'Critérios de Implantação'!$Q$60,0)</f>
        <v>6680737.7558333436</v>
      </c>
      <c r="J61" s="93">
        <f>IFERROR('Resumo-Cult.Perma.'!G22*'Critérios de Implantação'!J$52,0)+IFERROR('Resumo-Cult.Perma.'!F22*'Critérios de Implantação'!J$53,0)+IFERROR('Resumo-Cult.Perma.'!E22*'Critérios de Implantação'!$Q$54,0)+IFERROR('Resumo-Cult.Perma.'!D22*'Critérios de Implantação'!$Q$55,0)+IFERROR('Resumo-Cult.Perma.'!C22*'Critérios de Implantação'!$Q$56,0)+IFERROR('Resumo-Cult.Perma.'!B22*'Critérios de Implantação'!$Q$57,0)+IFERROR('Resumo-Cult.Perma.'!A22*'Critérios de Implantação'!$Q$58,0)+IFERROR('Resumo-Cult.Perma.'!#REF!*'Critérios de Implantação'!$Q$59,0)+IFERROR('Resumo-Cult.Perma.'!#REF!*'Critérios de Implantação'!$Q$60,0)</f>
        <v>11521923.894057056</v>
      </c>
      <c r="K61" s="93">
        <f>IFERROR('Resumo-Cult.Perma.'!H22*'Critérios de Implantação'!K$52,0)+IFERROR('Resumo-Cult.Perma.'!G22*'Critérios de Implantação'!K$53,0)+IFERROR('Resumo-Cult.Perma.'!F22*'Critérios de Implantação'!$Q$54,0)+IFERROR('Resumo-Cult.Perma.'!E22*'Critérios de Implantação'!$Q$55,0)+IFERROR('Resumo-Cult.Perma.'!D22*'Critérios de Implantação'!$Q$56,0)+IFERROR('Resumo-Cult.Perma.'!C22*'Critérios de Implantação'!$Q$57,0)+IFERROR('Resumo-Cult.Perma.'!B22*'Critérios de Implantação'!$Q$58,0)+IFERROR('Resumo-Cult.Perma.'!A22*'Critérios de Implantação'!$Q$59,0)+IFERROR('Resumo-Cult.Perma.'!#REF!*'Critérios de Implantação'!$Q$60,0)</f>
        <v>15906440.211759027</v>
      </c>
      <c r="L61" s="93">
        <f>IFERROR('Resumo-Cult.Perma.'!I22*'Critérios de Implantação'!L$52,0)+IFERROR('Resumo-Cult.Perma.'!H22*'Critérios de Implantação'!L$53,0)+IFERROR('Resumo-Cult.Perma.'!G22*'Critérios de Implantação'!$Q$54,0)+IFERROR('Resumo-Cult.Perma.'!F22*'Critérios de Implantação'!$Q$55,0)+IFERROR('Resumo-Cult.Perma.'!E22*'Critérios de Implantação'!$Q$56,0)+IFERROR('Resumo-Cult.Perma.'!D22*'Critérios de Implantação'!$Q$57,0)+IFERROR('Resumo-Cult.Perma.'!C22*'Critérios de Implantação'!$Q$58,0)+IFERROR('Resumo-Cult.Perma.'!B22*'Critérios de Implantação'!$Q$59,0)+IFERROR('Resumo-Cult.Perma.'!A22*'Critérios de Implantação'!$Q$60,0)</f>
        <v>20226394.425706062</v>
      </c>
      <c r="M61" s="93">
        <f>IFERROR('Resumo-Cult.Perma.'!J22*'Critérios de Implantação'!M$52,0)+IFERROR('Resumo-Cult.Perma.'!I22*'Critérios de Implantação'!M$53,0)+IFERROR('Resumo-Cult.Perma.'!H22*'Critérios de Implantação'!$Q$54,0)+IFERROR('Resumo-Cult.Perma.'!G22*'Critérios de Implantação'!$Q$55,0)+IFERROR('Resumo-Cult.Perma.'!F22*'Critérios de Implantação'!$Q$56,0)+IFERROR('Resumo-Cult.Perma.'!E22*'Critérios de Implantação'!$Q$57,0)+IFERROR('Resumo-Cult.Perma.'!D22*'Critérios de Implantação'!$Q$58,0)+IFERROR('Resumo-Cult.Perma.'!C22*'Critérios de Implantação'!$Q$59,0)+IFERROR('Resumo-Cult.Perma.'!B22*'Critérios de Implantação'!$Q$60,0)</f>
        <v>23645662.299398668</v>
      </c>
      <c r="N61" s="93">
        <f>IFERROR('Resumo-Cult.Perma.'!K22*'Critérios de Implantação'!N$52,0)+IFERROR('Resumo-Cult.Perma.'!J22*'Critérios de Implantação'!N$53,0)+IFERROR('Resumo-Cult.Perma.'!I22*'Critérios de Implantação'!$Q$54,0)+IFERROR('Resumo-Cult.Perma.'!H22*'Critérios de Implantação'!$Q$55,0)+IFERROR('Resumo-Cult.Perma.'!G22*'Critérios de Implantação'!$Q$56,0)+IFERROR('Resumo-Cult.Perma.'!F22*'Critérios de Implantação'!$Q$57,0)+IFERROR('Resumo-Cult.Perma.'!E22*'Critérios de Implantação'!$Q$58,0)+IFERROR('Resumo-Cult.Perma.'!D22*'Critérios de Implantação'!$Q$59,0)+IFERROR('Resumo-Cult.Perma.'!C22*'Critérios de Implantação'!$Q$60,0)</f>
        <v>25612786.88416712</v>
      </c>
      <c r="O61" s="93">
        <f>IFERROR('Resumo-Cult.Perma.'!L22*'Critérios de Implantação'!O$52,0)+IFERROR('Resumo-Cult.Perma.'!K22*'Critérios de Implantação'!O$53,0)+IFERROR('Resumo-Cult.Perma.'!J22*'Critérios de Implantação'!$Q$54,0)+IFERROR('Resumo-Cult.Perma.'!I22*'Critérios de Implantação'!$Q$55,0)+IFERROR('Resumo-Cult.Perma.'!H22*'Critérios de Implantação'!$Q$56,0)+IFERROR('Resumo-Cult.Perma.'!G22*'Critérios de Implantação'!$Q$57,0)+IFERROR('Resumo-Cult.Perma.'!F22*'Critérios de Implantação'!$Q$58,0)+IFERROR('Resumo-Cult.Perma.'!E22*'Critérios de Implantação'!$Q$59,0)+IFERROR('Resumo-Cult.Perma.'!D22*'Critérios de Implantação'!$Q$60,0)</f>
        <v>26057066.490034714</v>
      </c>
      <c r="P61" s="93">
        <f>IFERROR('Resumo-Cult.Perma.'!M22*'Critérios de Implantação'!P$52,0)+IFERROR('Resumo-Cult.Perma.'!L22*'Critérios de Implantação'!P$53,0)+IFERROR('Resumo-Cult.Perma.'!K22*'Critérios de Implantação'!$Q$54,0)+IFERROR('Resumo-Cult.Perma.'!J22*'Critérios de Implantação'!$Q$55,0)+IFERROR('Resumo-Cult.Perma.'!I22*'Critérios de Implantação'!$Q$56,0)+IFERROR('Resumo-Cult.Perma.'!H22*'Critérios de Implantação'!$Q$57,0)+IFERROR('Resumo-Cult.Perma.'!G22*'Critérios de Implantação'!$Q$58,0)+IFERROR('Resumo-Cult.Perma.'!F22*'Critérios de Implantação'!$Q$59,0)+IFERROR('Resumo-Cult.Perma.'!E22*'Critérios de Implantação'!$Q$60,0)</f>
        <v>25155581.559143644</v>
      </c>
      <c r="Q61" s="93">
        <f>IFERROR('Resumo-Cult.Perma.'!N22*'Critérios de Implantação'!Q$52,0)+IFERROR('Resumo-Cult.Perma.'!M22*'Critérios de Implantação'!Q$53,0)+IFERROR('Resumo-Cult.Perma.'!L22*'Critérios de Implantação'!$Q$54,0)+IFERROR('Resumo-Cult.Perma.'!K22*'Critérios de Implantação'!$Q$55,0)+IFERROR('Resumo-Cult.Perma.'!J22*'Critérios de Implantação'!$Q$56,0)+IFERROR('Resumo-Cult.Perma.'!I22*'Critérios de Implantação'!$Q$57,0)+IFERROR('Resumo-Cult.Perma.'!H22*'Critérios de Implantação'!$Q$58,0)+IFERROR('Resumo-Cult.Perma.'!G22*'Critérios de Implantação'!$Q$59,0)+IFERROR('Resumo-Cult.Perma.'!F22*'Critérios de Implantação'!$Q$60,0)</f>
        <v>23916171.668249674</v>
      </c>
      <c r="R61" s="93">
        <f>IFERROR('Resumo-Cult.Perma.'!O22*'Critérios de Implantação'!R$52,0)+IFERROR('Resumo-Cult.Perma.'!N22*'Critérios de Implantação'!R$53,0)+IFERROR('Resumo-Cult.Perma.'!M22*'Critérios de Implantação'!$Q$54,0)+IFERROR('Resumo-Cult.Perma.'!L22*'Critérios de Implantação'!$Q$55,0)+IFERROR('Resumo-Cult.Perma.'!K22*'Critérios de Implantação'!$Q$56,0)+IFERROR('Resumo-Cult.Perma.'!J22*'Critérios de Implantação'!$Q$57,0)+IFERROR('Resumo-Cult.Perma.'!I22*'Critérios de Implantação'!$Q$58,0)+IFERROR('Resumo-Cult.Perma.'!H22*'Critérios de Implantação'!$Q$59,0)+IFERROR('Resumo-Cult.Perma.'!G22*'Critérios de Implantação'!$Q$60,0)</f>
        <v>22352868.813020676</v>
      </c>
      <c r="S61" s="93">
        <f>IFERROR('Resumo-Cult.Perma.'!P22*'Critérios de Implantação'!S$52,0)+IFERROR('Resumo-Cult.Perma.'!O22*'Critérios de Implantação'!S$53,0)+IFERROR('Resumo-Cult.Perma.'!N22*'Critérios de Implantação'!$Q$54,0)+IFERROR('Resumo-Cult.Perma.'!M22*'Critérios de Implantação'!$Q$55,0)+IFERROR('Resumo-Cult.Perma.'!L22*'Critérios de Implantação'!$Q$56,0)+IFERROR('Resumo-Cult.Perma.'!K22*'Critérios de Implantação'!$Q$57,0)+IFERROR('Resumo-Cult.Perma.'!J22*'Critérios de Implantação'!$Q$58,0)+IFERROR('Resumo-Cult.Perma.'!I22*'Critérios de Implantação'!$Q$59,0)+IFERROR('Resumo-Cult.Perma.'!H22*'Critérios de Implantação'!$Q$60,0)</f>
        <v>22010639.620273039</v>
      </c>
      <c r="T61" s="93">
        <f>IFERROR('Resumo-Cult.Perma.'!Q22*'Critérios de Implantação'!T$52,0)+IFERROR('Resumo-Cult.Perma.'!P22*'Critérios de Implantação'!T$53,0)+IFERROR('Resumo-Cult.Perma.'!O22*'Critérios de Implantação'!$Q$54,0)+IFERROR('Resumo-Cult.Perma.'!N22*'Critérios de Implantação'!$Q$55,0)+IFERROR('Resumo-Cult.Perma.'!M22*'Critérios de Implantação'!$Q$56,0)+IFERROR('Resumo-Cult.Perma.'!L22*'Critérios de Implantação'!$Q$57,0)+IFERROR('Resumo-Cult.Perma.'!K22*'Critérios de Implantação'!$Q$58,0)+IFERROR('Resumo-Cult.Perma.'!J22*'Critérios de Implantação'!$Q$59,0)+IFERROR('Resumo-Cult.Perma.'!I22*'Critérios de Implantação'!$Q$60,0)</f>
        <v>21558643.009149298</v>
      </c>
      <c r="U61" s="93">
        <f>IFERROR('Resumo-Cult.Perma.'!R22*'Critérios de Implantação'!U$52,0)+IFERROR('Resumo-Cult.Perma.'!Q22*'Critérios de Implantação'!U$53,0)+IFERROR('Resumo-Cult.Perma.'!P22*'Critérios de Implantação'!$Q$54,0)+IFERROR('Resumo-Cult.Perma.'!O22*'Critérios de Implantação'!$Q$55,0)+IFERROR('Resumo-Cult.Perma.'!N22*'Critérios de Implantação'!$Q$56,0)+IFERROR('Resumo-Cult.Perma.'!M22*'Critérios de Implantação'!$Q$57,0)+IFERROR('Resumo-Cult.Perma.'!L22*'Critérios de Implantação'!$Q$58,0)+IFERROR('Resumo-Cult.Perma.'!K22*'Critérios de Implantação'!$Q$59,0)+IFERROR('Resumo-Cult.Perma.'!J22*'Critérios de Implantação'!$Q$60,0)</f>
        <v>21126311.84246356</v>
      </c>
      <c r="V61" s="93">
        <f>IFERROR('Resumo-Cult.Perma.'!S22*'Critérios de Implantação'!V$52,0)+IFERROR('Resumo-Cult.Perma.'!R22*'Critérios de Implantação'!V$53,0)+IFERROR('Resumo-Cult.Perma.'!Q22*'Critérios de Implantação'!$Q$54,0)+IFERROR('Resumo-Cult.Perma.'!P22*'Critérios de Implantação'!$Q$55,0)+IFERROR('Resumo-Cult.Perma.'!O22*'Critérios de Implantação'!$Q$56,0)+IFERROR('Resumo-Cult.Perma.'!N22*'Critérios de Implantação'!$Q$57,0)+IFERROR('Resumo-Cult.Perma.'!M22*'Critérios de Implantação'!$Q$58,0)+IFERROR('Resumo-Cult.Perma.'!L22*'Critérios de Implantação'!$Q$59,0)+IFERROR('Resumo-Cult.Perma.'!K22*'Critérios de Implantação'!$Q$60,0)</f>
        <v>22304040.03703817</v>
      </c>
      <c r="W61" s="93">
        <f>IFERROR('Resumo-Cult.Perma.'!T22*'Critérios de Implantação'!W$52,0)+IFERROR('Resumo-Cult.Perma.'!S22*'Critérios de Implantação'!W$53,0)+IFERROR('Resumo-Cult.Perma.'!R22*'Critérios de Implantação'!$Q$54,0)+IFERROR('Resumo-Cult.Perma.'!Q22*'Critérios de Implantação'!$Q$55,0)+IFERROR('Resumo-Cult.Perma.'!P22*'Critérios de Implantação'!$Q$56,0)+IFERROR('Resumo-Cult.Perma.'!O22*'Critérios de Implantação'!$Q$57,0)+IFERROR('Resumo-Cult.Perma.'!N22*'Critérios de Implantação'!$Q$58,0)+IFERROR('Resumo-Cult.Perma.'!M22*'Critérios de Implantação'!$Q$59,0)+IFERROR('Resumo-Cult.Perma.'!L22*'Critérios de Implantação'!$Q$60,0)</f>
        <v>23454496.593231514</v>
      </c>
      <c r="X61" s="93">
        <f>IFERROR('Resumo-Cult.Perma.'!U22*'Critérios de Implantação'!X$52,0)+IFERROR('Resumo-Cult.Perma.'!T22*'Critérios de Implantação'!X$53,0)+IFERROR('Resumo-Cult.Perma.'!S22*'Critérios de Implantação'!$Q$54,0)+IFERROR('Resumo-Cult.Perma.'!R22*'Critérios de Implantação'!$Q$55,0)+IFERROR('Resumo-Cult.Perma.'!Q22*'Critérios de Implantação'!$Q$56,0)+IFERROR('Resumo-Cult.Perma.'!P22*'Critérios de Implantação'!$Q$57,0)+IFERROR('Resumo-Cult.Perma.'!O22*'Critérios de Implantação'!$Q$58,0)+IFERROR('Resumo-Cult.Perma.'!N22*'Critérios de Implantação'!$Q$59,0)+IFERROR('Resumo-Cult.Perma.'!M22*'Critérios de Implantação'!$Q$60,0)</f>
        <v>24749930.935261995</v>
      </c>
      <c r="Y61" s="93">
        <f>IFERROR('Resumo-Cult.Perma.'!V22*'Critérios de Implantação'!Y$52,0)+IFERROR('Resumo-Cult.Perma.'!U22*'Critérios de Implantação'!Y$53,0)+IFERROR('Resumo-Cult.Perma.'!T22*'Critérios de Implantação'!$Q$54,0)+IFERROR('Resumo-Cult.Perma.'!S22*'Critérios de Implantação'!$Q$55,0)+IFERROR('Resumo-Cult.Perma.'!R22*'Critérios de Implantação'!$Q$56,0)+IFERROR('Resumo-Cult.Perma.'!Q22*'Critérios de Implantação'!$Q$57,0)+IFERROR('Resumo-Cult.Perma.'!P22*'Critérios de Implantação'!$Q$58,0)+IFERROR('Resumo-Cult.Perma.'!O22*'Critérios de Implantação'!$Q$59,0)+IFERROR('Resumo-Cult.Perma.'!N22*'Critérios de Implantação'!$Q$60,0)</f>
        <v>25816901.605122495</v>
      </c>
      <c r="Z61" s="93">
        <f>IFERROR('Resumo-Cult.Perma.'!W22*'Critérios de Implantação'!Z$52,0)+IFERROR('Resumo-Cult.Perma.'!V22*'Critérios de Implantação'!Z$53,0)+IFERROR('Resumo-Cult.Perma.'!U22*'Critérios de Implantação'!$Q$54,0)+IFERROR('Resumo-Cult.Perma.'!T22*'Critérios de Implantação'!$Q$55,0)+IFERROR('Resumo-Cult.Perma.'!S22*'Critérios de Implantação'!$Q$56,0)+IFERROR('Resumo-Cult.Perma.'!R22*'Critérios de Implantação'!$Q$57,0)+IFERROR('Resumo-Cult.Perma.'!Q22*'Critérios de Implantação'!$Q$58,0)+IFERROR('Resumo-Cult.Perma.'!P22*'Critérios de Implantação'!$Q$59,0)+IFERROR('Resumo-Cult.Perma.'!O22*'Critérios de Implantação'!$Q$60,0)</f>
        <v>26260523.4657612</v>
      </c>
      <c r="AA61" s="93">
        <f>IFERROR('Resumo-Cult.Perma.'!X22*'Critérios de Implantação'!AA$52,0)+IFERROR('Resumo-Cult.Perma.'!W22*'Critérios de Implantação'!AA$53,0)+IFERROR('Resumo-Cult.Perma.'!V22*'Critérios de Implantação'!$Q$54,0)+IFERROR('Resumo-Cult.Perma.'!U22*'Critérios de Implantação'!$Q$55,0)+IFERROR('Resumo-Cult.Perma.'!T22*'Critérios de Implantação'!$Q$56,0)+IFERROR('Resumo-Cult.Perma.'!S22*'Critérios de Implantação'!$Q$57,0)+IFERROR('Resumo-Cult.Perma.'!R22*'Critérios de Implantação'!$Q$58,0)+IFERROR('Resumo-Cult.Perma.'!Q22*'Critérios de Implantação'!$Q$59,0)+IFERROR('Resumo-Cult.Perma.'!P22*'Critérios de Implantação'!$Q$60,0)</f>
        <v>26057066.490034714</v>
      </c>
      <c r="AB61" s="93">
        <f>IFERROR('Resumo-Cult.Perma.'!Y22*'Critérios de Implantação'!AB$52,0)+IFERROR('Resumo-Cult.Perma.'!X22*'Critérios de Implantação'!AB$53,0)+IFERROR('Resumo-Cult.Perma.'!W22*'Critérios de Implantação'!$Q$54,0)+IFERROR('Resumo-Cult.Perma.'!V22*'Critérios de Implantação'!$Q$55,0)+IFERROR('Resumo-Cult.Perma.'!U22*'Critérios de Implantação'!$Q$56,0)+IFERROR('Resumo-Cult.Perma.'!T22*'Critérios de Implantação'!$Q$57,0)+IFERROR('Resumo-Cult.Perma.'!S22*'Critérios de Implantação'!$Q$58,0)+IFERROR('Resumo-Cult.Perma.'!R22*'Critérios de Implantação'!$Q$59,0)+IFERROR('Resumo-Cult.Perma.'!Q22*'Critérios de Implantação'!$Q$60,0)</f>
        <v>25155581.559143644</v>
      </c>
      <c r="AC61" s="93">
        <f>IFERROR('Resumo-Cult.Perma.'!Z22*'Critérios de Implantação'!AC$52,0)+IFERROR('Resumo-Cult.Perma.'!Y22*'Critérios de Implantação'!AC$53,0)+IFERROR('Resumo-Cult.Perma.'!X22*'Critérios de Implantação'!$Q$54,0)+IFERROR('Resumo-Cult.Perma.'!W22*'Critérios de Implantação'!$Q$55,0)+IFERROR('Resumo-Cult.Perma.'!V22*'Critérios de Implantação'!$Q$56,0)+IFERROR('Resumo-Cult.Perma.'!U22*'Critérios de Implantação'!$Q$57,0)+IFERROR('Resumo-Cult.Perma.'!T22*'Critérios de Implantação'!$Q$58,0)+IFERROR('Resumo-Cult.Perma.'!S22*'Critérios de Implantação'!$Q$59,0)+IFERROR('Resumo-Cult.Perma.'!R22*'Critérios de Implantação'!$Q$60,0)</f>
        <v>23916171.668249674</v>
      </c>
      <c r="AD61" s="93">
        <f>IFERROR('Resumo-Cult.Perma.'!AA22*'Critérios de Implantação'!AD$52,0)+IFERROR('Resumo-Cult.Perma.'!Z22*'Critérios de Implantação'!AD$53,0)+IFERROR('Resumo-Cult.Perma.'!Y22*'Critérios de Implantação'!$Q$54,0)+IFERROR('Resumo-Cult.Perma.'!X22*'Critérios de Implantação'!$Q$55,0)+IFERROR('Resumo-Cult.Perma.'!W22*'Critérios de Implantação'!$Q$56,0)+IFERROR('Resumo-Cult.Perma.'!V22*'Critérios de Implantação'!$Q$57,0)+IFERROR('Resumo-Cult.Perma.'!U22*'Critérios de Implantação'!$Q$58,0)+IFERROR('Resumo-Cult.Perma.'!T22*'Critérios de Implantação'!$Q$59,0)+IFERROR('Resumo-Cult.Perma.'!S22*'Critérios de Implantação'!$Q$60,0)</f>
        <v>22352868.813020676</v>
      </c>
      <c r="AE61" s="93">
        <f>IFERROR('Resumo-Cult.Perma.'!AB22*'Critérios de Implantação'!AE$52,0)+IFERROR('Resumo-Cult.Perma.'!AA22*'Critérios de Implantação'!AE$53,0)+IFERROR('Resumo-Cult.Perma.'!Z22*'Critérios de Implantação'!$Q$54,0)+IFERROR('Resumo-Cult.Perma.'!Y22*'Critérios de Implantação'!$Q$55,0)+IFERROR('Resumo-Cult.Perma.'!X22*'Critérios de Implantação'!$Q$56,0)+IFERROR('Resumo-Cult.Perma.'!W22*'Critérios de Implantação'!$Q$57,0)+IFERROR('Resumo-Cult.Perma.'!V22*'Critérios de Implantação'!$Q$58,0)+IFERROR('Resumo-Cult.Perma.'!U22*'Critérios de Implantação'!$Q$59,0)+IFERROR('Resumo-Cult.Perma.'!T22*'Critérios de Implantação'!$Q$60,0)</f>
        <v>22010639.620273039</v>
      </c>
      <c r="AF61" s="93">
        <f>IFERROR('Resumo-Cult.Perma.'!AC22*'Critérios de Implantação'!AF$52,0)+IFERROR('Resumo-Cult.Perma.'!AB22*'Critérios de Implantação'!AF$53,0)+IFERROR('Resumo-Cult.Perma.'!AA22*'Critérios de Implantação'!$Q$54,0)+IFERROR('Resumo-Cult.Perma.'!Z22*'Critérios de Implantação'!$Q$55,0)+IFERROR('Resumo-Cult.Perma.'!Y22*'Critérios de Implantação'!$Q$56,0)+IFERROR('Resumo-Cult.Perma.'!X22*'Critérios de Implantação'!$Q$57,0)+IFERROR('Resumo-Cult.Perma.'!W22*'Critérios de Implantação'!$Q$58,0)+IFERROR('Resumo-Cult.Perma.'!V22*'Critérios de Implantação'!$Q$59,0)+IFERROR('Resumo-Cult.Perma.'!U22*'Critérios de Implantação'!$Q$60,0)</f>
        <v>21558643.009149298</v>
      </c>
      <c r="AG61" s="93">
        <f>IFERROR('Resumo-Cult.Perma.'!AD22*'Critérios de Implantação'!AG$52,0)+IFERROR('Resumo-Cult.Perma.'!AC22*'Critérios de Implantação'!AG$53,0)+IFERROR('Resumo-Cult.Perma.'!AB22*'Critérios de Implantação'!$Q$54,0)+IFERROR('Resumo-Cult.Perma.'!AA22*'Critérios de Implantação'!$Q$55,0)+IFERROR('Resumo-Cult.Perma.'!Z22*'Critérios de Implantação'!$Q$56,0)+IFERROR('Resumo-Cult.Perma.'!Y22*'Critérios de Implantação'!$Q$57,0)+IFERROR('Resumo-Cult.Perma.'!X22*'Critérios de Implantação'!$Q$58,0)+IFERROR('Resumo-Cult.Perma.'!W22*'Critérios de Implantação'!$Q$59,0)+IFERROR('Resumo-Cult.Perma.'!V22*'Critérios de Implantação'!$Q$60,0)</f>
        <v>21126311.84246356</v>
      </c>
      <c r="AH61" s="93">
        <f>IFERROR('Resumo-Cult.Perma.'!AE22*'Critérios de Implantação'!AH$52,0)+IFERROR('Resumo-Cult.Perma.'!AD22*'Critérios de Implantação'!AH$53,0)+IFERROR('Resumo-Cult.Perma.'!AC22*'Critérios de Implantação'!$Q$54,0)+IFERROR('Resumo-Cult.Perma.'!AB22*'Critérios de Implantação'!$Q$55,0)+IFERROR('Resumo-Cult.Perma.'!AA22*'Critérios de Implantação'!$Q$56,0)+IFERROR('Resumo-Cult.Perma.'!Z22*'Critérios de Implantação'!$Q$57,0)+IFERROR('Resumo-Cult.Perma.'!Y22*'Critérios de Implantação'!$Q$58,0)+IFERROR('Resumo-Cult.Perma.'!X22*'Critérios de Implantação'!$Q$59,0)+IFERROR('Resumo-Cult.Perma.'!W22*'Critérios de Implantação'!$Q$60,0)</f>
        <v>22304040.03703817</v>
      </c>
      <c r="AI61" s="93">
        <f>IFERROR('Resumo-Cult.Perma.'!AF22*'Critérios de Implantação'!AI$52,0)+IFERROR('Resumo-Cult.Perma.'!AE22*'Critérios de Implantação'!AI$53,0)+IFERROR('Resumo-Cult.Perma.'!AD22*'Critérios de Implantação'!$Q$54,0)+IFERROR('Resumo-Cult.Perma.'!AC22*'Critérios de Implantação'!$Q$55,0)+IFERROR('Resumo-Cult.Perma.'!AB22*'Critérios de Implantação'!$Q$56,0)+IFERROR('Resumo-Cult.Perma.'!AA22*'Critérios de Implantação'!$Q$57,0)+IFERROR('Resumo-Cult.Perma.'!Z22*'Critérios de Implantação'!$Q$58,0)+IFERROR('Resumo-Cult.Perma.'!Y22*'Critérios de Implantação'!$Q$59,0)+IFERROR('Resumo-Cult.Perma.'!X22*'Critérios de Implantação'!$Q$60,0)</f>
        <v>23454496.593231514</v>
      </c>
      <c r="AJ61" s="93">
        <f>IFERROR('Resumo-Cult.Perma.'!AG22*'Critérios de Implantação'!AJ$52,0)+IFERROR('Resumo-Cult.Perma.'!AF22*'Critérios de Implantação'!AJ$53,0)+IFERROR('Resumo-Cult.Perma.'!AE22*'Critérios de Implantação'!$Q$54,0)+IFERROR('Resumo-Cult.Perma.'!AD22*'Critérios de Implantação'!$Q$55,0)+IFERROR('Resumo-Cult.Perma.'!AC22*'Critérios de Implantação'!$Q$56,0)+IFERROR('Resumo-Cult.Perma.'!AB22*'Critérios de Implantação'!$Q$57,0)+IFERROR('Resumo-Cult.Perma.'!AA22*'Critérios de Implantação'!$Q$58,0)+IFERROR('Resumo-Cult.Perma.'!Z22*'Critérios de Implantação'!$Q$59,0)+IFERROR('Resumo-Cult.Perma.'!Y22*'Critérios de Implantação'!$Q$60,0)</f>
        <v>24749930.935261995</v>
      </c>
      <c r="AK61" s="81">
        <f>IFERROR('Resumo-Cult.Perma.'!AH22*'Critérios de Implantação'!AK$52,0)+IFERROR('Resumo-Cult.Perma.'!AG22*'Critérios de Implantação'!AK$53,0)+IFERROR('Resumo-Cult.Perma.'!AF22*'Critérios de Implantação'!$Q$54,0)+IFERROR('Resumo-Cult.Perma.'!AE22*'Critérios de Implantação'!$Q$55,0)+IFERROR('Resumo-Cult.Perma.'!AD22*'Critérios de Implantação'!$Q$56,0)+IFERROR('Resumo-Cult.Perma.'!AC22*'Critérios de Implantação'!$Q$57,0)+IFERROR('Resumo-Cult.Perma.'!AB22*'Critérios de Implantação'!$Q$58,0)+IFERROR('Resumo-Cult.Perma.'!AA22*'Critérios de Implantação'!$Q$59,0)+IFERROR('Resumo-Cult.Perma.'!Z22*'Critérios de Implantação'!$Q$60,0)</f>
        <v>25816901.605122495</v>
      </c>
    </row>
    <row r="62" spans="1:37" ht="20.149999999999999" customHeight="1" outlineLevel="1" x14ac:dyDescent="0.25">
      <c r="A62" s="48" t="s">
        <v>139</v>
      </c>
      <c r="B62" s="82" t="s">
        <v>143</v>
      </c>
      <c r="C62" s="80"/>
      <c r="D62" s="93">
        <f>IFERROR(('Resumo-Cult.Perma.'!C23*('Critérios de Implantação'!D$52)),0)+IFERROR(('Resumo-Cult.Perma.'!B23*('Critérios de Implantação'!D$53)),0)+IFERROR(('Resumo-Cult.Perma.'!A23*('Critérios de Implantação'!D$60)),0)</f>
        <v>0</v>
      </c>
      <c r="E62" s="93">
        <f>IFERROR(('Resumo-Cult.Perma.'!D23*('Critérios de Implantação'!E$52)),0)+IFERROR(('Resumo-Cult.Perma.'!C23*('Critérios de Implantação'!E$53)),0)+IFERROR(('Resumo-Cult.Perma.'!B23*('Critérios de Implantação'!E$60)),0)</f>
        <v>0</v>
      </c>
      <c r="F62" s="93">
        <f>IFERROR(('Resumo-Cult.Perma.'!C23*('Critérios de Implantação'!F$52)),0)+IFERROR(('Resumo-Cult.Perma.'!B23*('Critérios de Implantação'!F$53)),0)+IFERROR(('Resumo-Cult.Perma.'!A23*('Critérios de Implantação'!F$54)),0)+IFERROR(('Resumo-Cult.Perma.'!#REF!*('Critérios de Implantação'!F$55)),0)+IFERROR(('Resumo-Cult.Perma.'!#REF!*('Critérios de Implantação'!F$56)),0)+IFERROR(('Resumo-Cult.Perma.'!#REF!*('Critérios de Implantação'!F$57)),0)+IFERROR(('Resumo-Cult.Perma.'!#REF!*('Critérios de Implantação'!F$58)),0)+IFERROR(('Resumo-Cult.Perma.'!#REF!*('Critérios de Implantação'!F$59)),0)+IFERROR(('Resumo-Cult.Perma.'!#REF!*('Critérios de Implantação'!F$60)),0)</f>
        <v>0</v>
      </c>
      <c r="G62" s="93">
        <f>IFERROR('Resumo-Cult.Perma.'!D23*'Critérios de Implantação'!G$52,0)+IFERROR('Resumo-Cult.Perma.'!C23*'Critérios de Implantação'!G$53,0)+IFERROR('Resumo-Cult.Perma.'!B23*'Critérios de Implantação'!$Q$54,0)+IFERROR('Resumo-Cult.Perma.'!A23*'Critérios de Implantação'!$Q$55,0)+IFERROR('Resumo-Cult.Perma.'!#REF!*'Critérios de Implantação'!$Q$56,0)+IFERROR('Resumo-Cult.Perma.'!#REF!*'Critérios de Implantação'!$Q$57,0)+IFERROR('Resumo-Cult.Perma.'!#REF!*'Critérios de Implantação'!$Q$58,0)+IFERROR('Resumo-Cult.Perma.'!#REF!*'Critérios de Implantação'!$Q$59,0)+IFERROR('Resumo-Cult.Perma.'!#REF!*'Critérios de Implantação'!$Q$60,0)</f>
        <v>387989.86465197313</v>
      </c>
      <c r="H62" s="93">
        <f>IFERROR('Resumo-Cult.Perma.'!E23*'Critérios de Implantação'!H$52,0)+IFERROR('Resumo-Cult.Perma.'!D23*'Critérios de Implantação'!H$53,0)+IFERROR('Resumo-Cult.Perma.'!C23*'Critérios de Implantação'!$Q$54,0)+IFERROR('Resumo-Cult.Perma.'!B23*'Critérios de Implantação'!$Q$55,0)+IFERROR('Resumo-Cult.Perma.'!A23*'Critérios de Implantação'!$Q$56,0)+IFERROR('Resumo-Cult.Perma.'!#REF!*'Critérios de Implantação'!$Q$57,0)+IFERROR('Resumo-Cult.Perma.'!#REF!*'Critérios de Implantação'!$Q$58,0)+IFERROR('Resumo-Cult.Perma.'!#REF!*'Critérios de Implantação'!$Q$59,0)+IFERROR('Resumo-Cult.Perma.'!#REF!*'Critérios de Implantação'!$Q$60,0)</f>
        <v>712258.76613117696</v>
      </c>
      <c r="I62" s="93">
        <f>IFERROR('Resumo-Cult.Perma.'!F23*'Critérios de Implantação'!I$52,0)+IFERROR('Resumo-Cult.Perma.'!E23*'Critérios de Implantação'!I$53,0)+IFERROR('Resumo-Cult.Perma.'!D23*'Critérios de Implantação'!$Q$54,0)+IFERROR('Resumo-Cult.Perma.'!C23*'Critérios de Implantação'!$Q$55,0)+IFERROR('Resumo-Cult.Perma.'!B23*'Critérios de Implantação'!$Q$56,0)+IFERROR('Resumo-Cult.Perma.'!A23*'Critérios de Implantação'!$Q$57,0)+IFERROR('Resumo-Cult.Perma.'!#REF!*'Critérios de Implantação'!$Q$58,0)+IFERROR('Resumo-Cult.Perma.'!#REF!*'Critérios de Implantação'!$Q$59,0)+IFERROR('Resumo-Cult.Perma.'!#REF!*'Critérios de Implantação'!$Q$60,0)</f>
        <v>1107608.3938593529</v>
      </c>
      <c r="J62" s="93">
        <f>IFERROR('Resumo-Cult.Perma.'!G23*'Critérios de Implantação'!J$52,0)+IFERROR('Resumo-Cult.Perma.'!F23*'Critérios de Implantação'!J$53,0)+IFERROR('Resumo-Cult.Perma.'!E23*'Critérios de Implantação'!$Q$54,0)+IFERROR('Resumo-Cult.Perma.'!D23*'Critérios de Implantação'!$Q$55,0)+IFERROR('Resumo-Cult.Perma.'!C23*'Critérios de Implantação'!$Q$56,0)+IFERROR('Resumo-Cult.Perma.'!B23*'Critérios de Implantação'!$Q$57,0)+IFERROR('Resumo-Cult.Perma.'!A23*'Critérios de Implantação'!$Q$58,0)+IFERROR('Resumo-Cult.Perma.'!#REF!*'Critérios de Implantação'!$Q$59,0)+IFERROR('Resumo-Cult.Perma.'!#REF!*'Critérios de Implantação'!$Q$60,0)</f>
        <v>1931371.4923160018</v>
      </c>
      <c r="K62" s="93">
        <f>IFERROR('Resumo-Cult.Perma.'!H23*'Critérios de Implantação'!K$52,0)+IFERROR('Resumo-Cult.Perma.'!G23*'Critérios de Implantação'!K$53,0)+IFERROR('Resumo-Cult.Perma.'!F23*'Critérios de Implantação'!$Q$54,0)+IFERROR('Resumo-Cult.Perma.'!E23*'Critérios de Implantação'!$Q$55,0)+IFERROR('Resumo-Cult.Perma.'!D23*'Critérios de Implantação'!$Q$56,0)+IFERROR('Resumo-Cult.Perma.'!C23*'Critérios de Implantação'!$Q$57,0)+IFERROR('Resumo-Cult.Perma.'!B23*'Critérios de Implantação'!$Q$58,0)+IFERROR('Resumo-Cult.Perma.'!#REF!*'Critérios de Implantação'!$Q$59,0)+IFERROR('Resumo-Cult.Perma.'!#REF!*'Critérios de Implantação'!$Q$60,0)</f>
        <v>2619704.7111350042</v>
      </c>
      <c r="L62" s="93">
        <f>IFERROR('Resumo-Cult.Perma.'!I23*'Critérios de Implantação'!L$52,0)+IFERROR('Resumo-Cult.Perma.'!H23*'Critérios de Implantação'!L$53,0)+IFERROR('Resumo-Cult.Perma.'!G23*'Critérios de Implantação'!$Q$54,0)+IFERROR('Resumo-Cult.Perma.'!F23*'Critérios de Implantação'!$Q$55,0)+IFERROR('Resumo-Cult.Perma.'!E23*'Critérios de Implantação'!$Q$56,0)+IFERROR('Resumo-Cult.Perma.'!D23*'Critérios de Implantação'!$Q$57,0)+IFERROR('Resumo-Cult.Perma.'!C23*'Critérios de Implantação'!$Q$58,0)+IFERROR('Resumo-Cult.Perma.'!B23*'Critérios de Implantação'!$Q$59,0)+IFERROR('Resumo-Cult.Perma.'!A23*'Critérios de Implantação'!$Q$60,0)</f>
        <v>3342172.157900732</v>
      </c>
      <c r="M62" s="93">
        <f>IFERROR('Resumo-Cult.Perma.'!J23*'Critérios de Implantação'!M$52,0)+IFERROR('Resumo-Cult.Perma.'!I23*'Critérios de Implantação'!M$53,0)+IFERROR('Resumo-Cult.Perma.'!H23*'Critérios de Implantação'!$Q$54,0)+IFERROR('Resumo-Cult.Perma.'!G23*'Critérios de Implantação'!$Q$55,0)+IFERROR('Resumo-Cult.Perma.'!F23*'Critérios de Implantação'!$Q$56,0)+IFERROR('Resumo-Cult.Perma.'!E23*'Critérios de Implantação'!$Q$57,0)+IFERROR('Resumo-Cult.Perma.'!D23*'Critérios de Implantação'!$Q$58,0)+IFERROR('Resumo-Cult.Perma.'!C23*'Critérios de Implantação'!$Q$59,0)+IFERROR('Resumo-Cult.Perma.'!B23*'Critérios de Implantação'!$Q$60,0)</f>
        <v>3899896.8894431419</v>
      </c>
      <c r="N62" s="93">
        <f>IFERROR('Resumo-Cult.Perma.'!K23*'Critérios de Implantação'!N$52,0)+IFERROR('Resumo-Cult.Perma.'!J23*'Critérios de Implantação'!N$53,0)+IFERROR('Resumo-Cult.Perma.'!I23*'Critérios de Implantação'!$Q$54,0)+IFERROR('Resumo-Cult.Perma.'!H23*'Critérios de Implantação'!$Q$55,0)+IFERROR('Resumo-Cult.Perma.'!G23*'Critérios de Implantação'!$Q$56,0)+IFERROR('Resumo-Cult.Perma.'!F23*'Critérios de Implantação'!$Q$57,0)+IFERROR('Resumo-Cult.Perma.'!E23*'Critérios de Implantação'!$Q$58,0)+IFERROR('Resumo-Cult.Perma.'!D23*'Critérios de Implantação'!$Q$59,0)+IFERROR('Resumo-Cult.Perma.'!C23*'Critérios de Implantação'!$Q$60,0)</f>
        <v>4277102.016790146</v>
      </c>
      <c r="O62" s="93">
        <f>IFERROR('Resumo-Cult.Perma.'!L23*'Critérios de Implantação'!O$52,0)+IFERROR('Resumo-Cult.Perma.'!K23*'Critérios de Implantação'!O$53,0)+IFERROR('Resumo-Cult.Perma.'!J23*'Critérios de Implantação'!$Q$54,0)+IFERROR('Resumo-Cult.Perma.'!I23*'Critérios de Implantação'!$Q$55,0)+IFERROR('Resumo-Cult.Perma.'!H23*'Critérios de Implantação'!$Q$56,0)+IFERROR('Resumo-Cult.Perma.'!G23*'Critérios de Implantação'!$Q$57,0)+IFERROR('Resumo-Cult.Perma.'!F23*'Critérios de Implantação'!$Q$58,0)+IFERROR('Resumo-Cult.Perma.'!E23*'Critérios de Implantação'!$Q$59,0)+IFERROR('Resumo-Cult.Perma.'!D23*'Critérios de Implantação'!$Q$60,0)</f>
        <v>4442606.954605815</v>
      </c>
      <c r="P62" s="93">
        <f>IFERROR('Resumo-Cult.Perma.'!M23*'Critérios de Implantação'!P$52,0)+IFERROR('Resumo-Cult.Perma.'!L23*'Critérios de Implantação'!P$53,0)+IFERROR('Resumo-Cult.Perma.'!K23*'Critérios de Implantação'!$Q$54,0)+IFERROR('Resumo-Cult.Perma.'!J23*'Critérios de Implantação'!$Q$55,0)+IFERROR('Resumo-Cult.Perma.'!I23*'Critérios de Implantação'!$Q$56,0)+IFERROR('Resumo-Cult.Perma.'!H23*'Critérios de Implantação'!$Q$57,0)+IFERROR('Resumo-Cult.Perma.'!G23*'Critérios de Implantação'!$Q$58,0)+IFERROR('Resumo-Cult.Perma.'!F23*'Critérios de Implantação'!$Q$59,0)+IFERROR('Resumo-Cult.Perma.'!E23*'Critérios de Implantação'!$Q$60,0)</f>
        <v>4396534.8749999991</v>
      </c>
      <c r="Q62" s="93">
        <f>IFERROR('Resumo-Cult.Perma.'!N23*'Critérios de Implantação'!Q$52,0)+IFERROR('Resumo-Cult.Perma.'!M23*'Critérios de Implantação'!Q$53,0)+IFERROR('Resumo-Cult.Perma.'!L23*'Critérios de Implantação'!$Q$54,0)+IFERROR('Resumo-Cult.Perma.'!K23*'Critérios de Implantação'!$Q$55,0)+IFERROR('Resumo-Cult.Perma.'!J23*'Critérios de Implantação'!$Q$56,0)+IFERROR('Resumo-Cult.Perma.'!I23*'Critérios de Implantação'!$Q$57,0)+IFERROR('Resumo-Cult.Perma.'!H23*'Critérios de Implantação'!$Q$58,0)+IFERROR('Resumo-Cult.Perma.'!G23*'Critérios de Implantação'!$Q$59,0)+IFERROR('Resumo-Cult.Perma.'!F23*'Critérios de Implantação'!$Q$60,0)</f>
        <v>4396534.875</v>
      </c>
      <c r="R62" s="93">
        <f>IFERROR('Resumo-Cult.Perma.'!O23*'Critérios de Implantação'!R$52,0)+IFERROR('Resumo-Cult.Perma.'!N23*'Critérios de Implantação'!R$53,0)+IFERROR('Resumo-Cult.Perma.'!M23*'Critérios de Implantação'!$Q$54,0)+IFERROR('Resumo-Cult.Perma.'!L23*'Critérios de Implantação'!$Q$55,0)+IFERROR('Resumo-Cult.Perma.'!K23*'Critérios de Implantação'!$Q$56,0)+IFERROR('Resumo-Cult.Perma.'!J23*'Critérios de Implantação'!$Q$57,0)+IFERROR('Resumo-Cult.Perma.'!I23*'Critérios de Implantação'!$Q$58,0)+IFERROR('Resumo-Cult.Perma.'!H23*'Critérios de Implantação'!$Q$59,0)+IFERROR('Resumo-Cult.Perma.'!G23*'Critérios de Implantação'!$Q$60,0)</f>
        <v>5506299.1696169497</v>
      </c>
      <c r="S62" s="93">
        <f>IFERROR('Resumo-Cult.Perma.'!P23*'Critérios de Implantação'!S$52,0)+IFERROR('Resumo-Cult.Perma.'!O23*'Critérios de Implantação'!S$53,0)+IFERROR('Resumo-Cult.Perma.'!N23*'Critérios de Implantação'!$Q$54,0)+IFERROR('Resumo-Cult.Perma.'!M23*'Critérios de Implantação'!$Q$55,0)+IFERROR('Resumo-Cult.Perma.'!L23*'Critérios de Implantação'!$Q$56,0)+IFERROR('Resumo-Cult.Perma.'!K23*'Critérios de Implantação'!$Q$57,0)+IFERROR('Resumo-Cult.Perma.'!J23*'Critérios de Implantação'!$Q$58,0)+IFERROR('Resumo-Cult.Perma.'!I23*'Critérios de Implantação'!$Q$59,0)+IFERROR('Resumo-Cult.Perma.'!H23*'Critérios de Implantação'!$Q$60,0)</f>
        <v>5577100.2398089152</v>
      </c>
      <c r="T62" s="93">
        <f>IFERROR('Resumo-Cult.Perma.'!Q23*'Critérios de Implantação'!T$52,0)+IFERROR('Resumo-Cult.Perma.'!P23*'Critérios de Implantação'!T$53,0)+IFERROR('Resumo-Cult.Perma.'!O23*'Critérios de Implantação'!$Q$54,0)+IFERROR('Resumo-Cult.Perma.'!N23*'Critérios de Implantação'!$Q$55,0)+IFERROR('Resumo-Cult.Perma.'!M23*'Critérios de Implantação'!$Q$56,0)+IFERROR('Resumo-Cult.Perma.'!L23*'Critérios de Implantação'!$Q$57,0)+IFERROR('Resumo-Cult.Perma.'!K23*'Critérios de Implantação'!$Q$58,0)+IFERROR('Resumo-Cult.Perma.'!J23*'Critérios de Implantação'!$Q$59,0)+IFERROR('Resumo-Cult.Perma.'!I23*'Critérios de Implantação'!$Q$60,0)</f>
        <v>5800663.0436371239</v>
      </c>
      <c r="U62" s="93">
        <f>IFERROR('Resumo-Cult.Perma.'!R23*'Critérios de Implantação'!U$52,0)+IFERROR('Resumo-Cult.Perma.'!Q23*'Critérios de Implantação'!U$53,0)+IFERROR('Resumo-Cult.Perma.'!P23*'Critérios de Implantação'!$Q$54,0)+IFERROR('Resumo-Cult.Perma.'!O23*'Critérios de Implantação'!$Q$55,0)+IFERROR('Resumo-Cult.Perma.'!N23*'Critérios de Implantação'!$Q$56,0)+IFERROR('Resumo-Cult.Perma.'!M23*'Critérios de Implantação'!$Q$57,0)+IFERROR('Resumo-Cult.Perma.'!L23*'Critérios de Implantação'!$Q$58,0)+IFERROR('Resumo-Cult.Perma.'!K23*'Critérios de Implantação'!$Q$59,0)+IFERROR('Resumo-Cult.Perma.'!J23*'Critérios de Implantação'!$Q$60,0)</f>
        <v>7056778.9255419113</v>
      </c>
      <c r="V62" s="93">
        <f>IFERROR('Resumo-Cult.Perma.'!S23*'Critérios de Implantação'!V$52,0)+IFERROR('Resumo-Cult.Perma.'!R23*'Critérios de Implantação'!V$53,0)+IFERROR('Resumo-Cult.Perma.'!Q23*'Critérios de Implantação'!$Q$54,0)+IFERROR('Resumo-Cult.Perma.'!P23*'Critérios de Implantação'!$Q$55,0)+IFERROR('Resumo-Cult.Perma.'!O23*'Critérios de Implantação'!$Q$56,0)+IFERROR('Resumo-Cult.Perma.'!N23*'Critérios de Implantação'!$Q$57,0)+IFERROR('Resumo-Cult.Perma.'!M23*'Critérios de Implantação'!$Q$58,0)+IFERROR('Resumo-Cult.Perma.'!L23*'Critérios de Implantação'!$Q$59,0)+IFERROR('Resumo-Cult.Perma.'!K23*'Critérios de Implantação'!$Q$60,0)</f>
        <v>6976922.7689498998</v>
      </c>
      <c r="W62" s="93">
        <f>IFERROR('Resumo-Cult.Perma.'!T23*'Critérios de Implantação'!W$52,0)+IFERROR('Resumo-Cult.Perma.'!S23*'Critérios de Implantação'!W$53,0)+IFERROR('Resumo-Cult.Perma.'!R23*'Critérios de Implantação'!$Q$54,0)+IFERROR('Resumo-Cult.Perma.'!Q23*'Critérios de Implantação'!$Q$55,0)+IFERROR('Resumo-Cult.Perma.'!P23*'Critérios de Implantação'!$Q$56,0)+IFERROR('Resumo-Cult.Perma.'!O23*'Critérios de Implantação'!$Q$57,0)+IFERROR('Resumo-Cult.Perma.'!N23*'Critérios de Implantação'!$Q$58,0)+IFERROR('Resumo-Cult.Perma.'!M23*'Critérios de Implantação'!$Q$59,0)+IFERROR('Resumo-Cult.Perma.'!L23*'Critérios de Implantação'!$Q$60,0)</f>
        <v>7036611.1097022481</v>
      </c>
      <c r="X62" s="93">
        <f>IFERROR('Resumo-Cult.Perma.'!U23*'Critérios de Implantação'!X$52,0)+IFERROR('Resumo-Cult.Perma.'!T23*'Critérios de Implantação'!X$53,0)+IFERROR('Resumo-Cult.Perma.'!S23*'Critérios de Implantação'!$Q$54,0)+IFERROR('Resumo-Cult.Perma.'!R23*'Critérios de Implantação'!$Q$55,0)+IFERROR('Resumo-Cult.Perma.'!Q23*'Critérios de Implantação'!$Q$56,0)+IFERROR('Resumo-Cult.Perma.'!P23*'Critérios de Implantação'!$Q$57,0)+IFERROR('Resumo-Cult.Perma.'!O23*'Critérios de Implantação'!$Q$58,0)+IFERROR('Resumo-Cult.Perma.'!N23*'Critérios de Implantação'!$Q$59,0)+IFERROR('Resumo-Cult.Perma.'!M23*'Critérios de Implantação'!$Q$60,0)</f>
        <v>6580090.2918378478</v>
      </c>
      <c r="Y62" s="93">
        <f>IFERROR('Resumo-Cult.Perma.'!V23*'Critérios de Implantação'!Y$52,0)+IFERROR('Resumo-Cult.Perma.'!U23*'Critérios de Implantação'!Y$53,0)+IFERROR('Resumo-Cult.Perma.'!T23*'Critérios de Implantação'!$Q$54,0)+IFERROR('Resumo-Cult.Perma.'!S23*'Critérios de Implantação'!$Q$55,0)+IFERROR('Resumo-Cult.Perma.'!R23*'Critérios de Implantação'!$Q$56,0)+IFERROR('Resumo-Cult.Perma.'!Q23*'Critérios de Implantação'!$Q$57,0)+IFERROR('Resumo-Cult.Perma.'!P23*'Critérios de Implantação'!$Q$58,0)+IFERROR('Resumo-Cult.Perma.'!O23*'Critérios de Implantação'!$Q$59,0)+IFERROR('Resumo-Cult.Perma.'!N23*'Critérios de Implantação'!$Q$60,0)</f>
        <v>5961142.3903411068</v>
      </c>
      <c r="Z62" s="93">
        <f>IFERROR('Resumo-Cult.Perma.'!W23*'Critérios de Implantação'!Z$52,0)+IFERROR('Resumo-Cult.Perma.'!V23*'Critérios de Implantação'!Z$53,0)+IFERROR('Resumo-Cult.Perma.'!U23*'Critérios de Implantação'!$Q$54,0)+IFERROR('Resumo-Cult.Perma.'!T23*'Critérios de Implantação'!$Q$55,0)+IFERROR('Resumo-Cult.Perma.'!S23*'Critérios de Implantação'!$Q$56,0)+IFERROR('Resumo-Cult.Perma.'!R23*'Critérios de Implantação'!$Q$57,0)+IFERROR('Resumo-Cult.Perma.'!Q23*'Critérios de Implantação'!$Q$58,0)+IFERROR('Resumo-Cult.Perma.'!P23*'Critérios de Implantação'!$Q$59,0)+IFERROR('Resumo-Cult.Perma.'!O23*'Critérios de Implantação'!$Q$60,0)</f>
        <v>5210264.3459581742</v>
      </c>
      <c r="AA62" s="93">
        <f>IFERROR('Resumo-Cult.Perma.'!X23*'Critérios de Implantação'!AA$52,0)+IFERROR('Resumo-Cult.Perma.'!W23*'Critérios de Implantação'!AA$53,0)+IFERROR('Resumo-Cult.Perma.'!V23*'Critérios de Implantação'!$Q$54,0)+IFERROR('Resumo-Cult.Perma.'!U23*'Critérios de Implantação'!$Q$55,0)+IFERROR('Resumo-Cult.Perma.'!T23*'Critérios de Implantação'!$Q$56,0)+IFERROR('Resumo-Cult.Perma.'!S23*'Critérios de Implantação'!$Q$57,0)+IFERROR('Resumo-Cult.Perma.'!R23*'Critérios de Implantação'!$Q$58,0)+IFERROR('Resumo-Cult.Perma.'!Q23*'Critérios de Implantação'!$Q$59,0)+IFERROR('Resumo-Cult.Perma.'!P23*'Critérios de Implantação'!$Q$60,0)</f>
        <v>4442606.954605815</v>
      </c>
      <c r="AB62" s="93">
        <f>IFERROR('Resumo-Cult.Perma.'!Y23*'Critérios de Implantação'!AB$52,0)+IFERROR('Resumo-Cult.Perma.'!X23*'Critérios de Implantação'!AB$53,0)+IFERROR('Resumo-Cult.Perma.'!W23*'Critérios de Implantação'!$Q$54,0)+IFERROR('Resumo-Cult.Perma.'!V23*'Critérios de Implantação'!$Q$55,0)+IFERROR('Resumo-Cult.Perma.'!U23*'Critérios de Implantação'!$Q$56,0)+IFERROR('Resumo-Cult.Perma.'!T23*'Critérios de Implantação'!$Q$57,0)+IFERROR('Resumo-Cult.Perma.'!S23*'Critérios de Implantação'!$Q$58,0)+IFERROR('Resumo-Cult.Perma.'!R23*'Critérios de Implantação'!$Q$59,0)+IFERROR('Resumo-Cult.Perma.'!Q23*'Critérios de Implantação'!$Q$60,0)</f>
        <v>4396534.8749999991</v>
      </c>
      <c r="AC62" s="93">
        <f>IFERROR('Resumo-Cult.Perma.'!Z23*'Critérios de Implantação'!AC$52,0)+IFERROR('Resumo-Cult.Perma.'!Y23*'Critérios de Implantação'!AC$53,0)+IFERROR('Resumo-Cult.Perma.'!X23*'Critérios de Implantação'!$Q$54,0)+IFERROR('Resumo-Cult.Perma.'!W23*'Critérios de Implantação'!$Q$55,0)+IFERROR('Resumo-Cult.Perma.'!V23*'Critérios de Implantação'!$Q$56,0)+IFERROR('Resumo-Cult.Perma.'!U23*'Critérios de Implantação'!$Q$57,0)+IFERROR('Resumo-Cult.Perma.'!T23*'Critérios de Implantação'!$Q$58,0)+IFERROR('Resumo-Cult.Perma.'!S23*'Critérios de Implantação'!$Q$59,0)+IFERROR('Resumo-Cult.Perma.'!R23*'Critérios de Implantação'!$Q$60,0)</f>
        <v>4396534.875</v>
      </c>
      <c r="AD62" s="93">
        <f>IFERROR('Resumo-Cult.Perma.'!AA23*'Critérios de Implantação'!AD$52,0)+IFERROR('Resumo-Cult.Perma.'!Z23*'Critérios de Implantação'!AD$53,0)+IFERROR('Resumo-Cult.Perma.'!Y23*'Critérios de Implantação'!$Q$54,0)+IFERROR('Resumo-Cult.Perma.'!X23*'Critérios de Implantação'!$Q$55,0)+IFERROR('Resumo-Cult.Perma.'!W23*'Critérios de Implantação'!$Q$56,0)+IFERROR('Resumo-Cult.Perma.'!V23*'Critérios de Implantação'!$Q$57,0)+IFERROR('Resumo-Cult.Perma.'!U23*'Critérios de Implantação'!$Q$58,0)+IFERROR('Resumo-Cult.Perma.'!T23*'Critérios de Implantação'!$Q$59,0)+IFERROR('Resumo-Cult.Perma.'!S23*'Critérios de Implantação'!$Q$60,0)</f>
        <v>5506299.1696169497</v>
      </c>
      <c r="AE62" s="93">
        <f>IFERROR('Resumo-Cult.Perma.'!AB23*'Critérios de Implantação'!AE$52,0)+IFERROR('Resumo-Cult.Perma.'!AA23*'Critérios de Implantação'!AE$53,0)+IFERROR('Resumo-Cult.Perma.'!Z23*'Critérios de Implantação'!$Q$54,0)+IFERROR('Resumo-Cult.Perma.'!Y23*'Critérios de Implantação'!$Q$55,0)+IFERROR('Resumo-Cult.Perma.'!X23*'Critérios de Implantação'!$Q$56,0)+IFERROR('Resumo-Cult.Perma.'!W23*'Critérios de Implantação'!$Q$57,0)+IFERROR('Resumo-Cult.Perma.'!V23*'Critérios de Implantação'!$Q$58,0)+IFERROR('Resumo-Cult.Perma.'!U23*'Critérios de Implantação'!$Q$59,0)+IFERROR('Resumo-Cult.Perma.'!T23*'Critérios de Implantação'!$Q$60,0)</f>
        <v>5577100.2398089152</v>
      </c>
      <c r="AF62" s="93">
        <f>IFERROR('Resumo-Cult.Perma.'!AC23*'Critérios de Implantação'!AF$52,0)+IFERROR('Resumo-Cult.Perma.'!AB23*'Critérios de Implantação'!AF$53,0)+IFERROR('Resumo-Cult.Perma.'!AA23*'Critérios de Implantação'!$Q$54,0)+IFERROR('Resumo-Cult.Perma.'!Z23*'Critérios de Implantação'!$Q$55,0)+IFERROR('Resumo-Cult.Perma.'!Y23*'Critérios de Implantação'!$Q$56,0)+IFERROR('Resumo-Cult.Perma.'!X23*'Critérios de Implantação'!$Q$57,0)+IFERROR('Resumo-Cult.Perma.'!W23*'Critérios de Implantação'!$Q$58,0)+IFERROR('Resumo-Cult.Perma.'!V23*'Critérios de Implantação'!$Q$59,0)+IFERROR('Resumo-Cult.Perma.'!U23*'Critérios de Implantação'!$Q$60,0)</f>
        <v>5800663.0436371239</v>
      </c>
      <c r="AG62" s="93">
        <f>IFERROR('Resumo-Cult.Perma.'!AD23*'Critérios de Implantação'!AG$52,0)+IFERROR('Resumo-Cult.Perma.'!AC23*'Critérios de Implantação'!AG$53,0)+IFERROR('Resumo-Cult.Perma.'!AB23*'Critérios de Implantação'!$Q$54,0)+IFERROR('Resumo-Cult.Perma.'!AA23*'Critérios de Implantação'!$Q$55,0)+IFERROR('Resumo-Cult.Perma.'!Z23*'Critérios de Implantação'!$Q$56,0)+IFERROR('Resumo-Cult.Perma.'!Y23*'Critérios de Implantação'!$Q$57,0)+IFERROR('Resumo-Cult.Perma.'!X23*'Critérios de Implantação'!$Q$58,0)+IFERROR('Resumo-Cult.Perma.'!W23*'Critérios de Implantação'!$Q$59,0)+IFERROR('Resumo-Cult.Perma.'!V23*'Critérios de Implantação'!$Q$60,0)</f>
        <v>7056778.9255419113</v>
      </c>
      <c r="AH62" s="93">
        <f>IFERROR('Resumo-Cult.Perma.'!AE23*'Critérios de Implantação'!AH$52,0)+IFERROR('Resumo-Cult.Perma.'!AD23*'Critérios de Implantação'!AH$53,0)+IFERROR('Resumo-Cult.Perma.'!AC23*'Critérios de Implantação'!$Q$54,0)+IFERROR('Resumo-Cult.Perma.'!AB23*'Critérios de Implantação'!$Q$55,0)+IFERROR('Resumo-Cult.Perma.'!AA23*'Critérios de Implantação'!$Q$56,0)+IFERROR('Resumo-Cult.Perma.'!Z23*'Critérios de Implantação'!$Q$57,0)+IFERROR('Resumo-Cult.Perma.'!Y23*'Critérios de Implantação'!$Q$58,0)+IFERROR('Resumo-Cult.Perma.'!X23*'Critérios de Implantação'!$Q$59,0)+IFERROR('Resumo-Cult.Perma.'!W23*'Critérios de Implantação'!$Q$60,0)</f>
        <v>6976922.7689498998</v>
      </c>
      <c r="AI62" s="93">
        <f>IFERROR('Resumo-Cult.Perma.'!AF23*'Critérios de Implantação'!AI$52,0)+IFERROR('Resumo-Cult.Perma.'!AE23*'Critérios de Implantação'!AI$53,0)+IFERROR('Resumo-Cult.Perma.'!AD23*'Critérios de Implantação'!$Q$54,0)+IFERROR('Resumo-Cult.Perma.'!AC23*'Critérios de Implantação'!$Q$55,0)+IFERROR('Resumo-Cult.Perma.'!AB23*'Critérios de Implantação'!$Q$56,0)+IFERROR('Resumo-Cult.Perma.'!AA23*'Critérios de Implantação'!$Q$57,0)+IFERROR('Resumo-Cult.Perma.'!Z23*'Critérios de Implantação'!$Q$58,0)+IFERROR('Resumo-Cult.Perma.'!Y23*'Critérios de Implantação'!$Q$59,0)+IFERROR('Resumo-Cult.Perma.'!X23*'Critérios de Implantação'!$Q$60,0)</f>
        <v>7036611.1097022481</v>
      </c>
      <c r="AJ62" s="93">
        <f>IFERROR('Resumo-Cult.Perma.'!AG23*'Critérios de Implantação'!AJ$52,0)+IFERROR('Resumo-Cult.Perma.'!AF23*'Critérios de Implantação'!AJ$53,0)+IFERROR('Resumo-Cult.Perma.'!AE23*'Critérios de Implantação'!$Q$54,0)+IFERROR('Resumo-Cult.Perma.'!AD23*'Critérios de Implantação'!$Q$55,0)+IFERROR('Resumo-Cult.Perma.'!AC23*'Critérios de Implantação'!$Q$56,0)+IFERROR('Resumo-Cult.Perma.'!AB23*'Critérios de Implantação'!$Q$57,0)+IFERROR('Resumo-Cult.Perma.'!AA23*'Critérios de Implantação'!$Q$58,0)+IFERROR('Resumo-Cult.Perma.'!Z23*'Critérios de Implantação'!$Q$59,0)+IFERROR('Resumo-Cult.Perma.'!Y23*'Critérios de Implantação'!$Q$60,0)</f>
        <v>6580090.2918378478</v>
      </c>
      <c r="AK62" s="81">
        <f>IFERROR('Resumo-Cult.Perma.'!AH23*'Critérios de Implantação'!AK$52,0)+IFERROR('Resumo-Cult.Perma.'!AG23*'Critérios de Implantação'!AK$53,0)+IFERROR('Resumo-Cult.Perma.'!AF23*'Critérios de Implantação'!$Q$54,0)+IFERROR('Resumo-Cult.Perma.'!AE23*'Critérios de Implantação'!$Q$55,0)+IFERROR('Resumo-Cult.Perma.'!AD23*'Critérios de Implantação'!$Q$56,0)+IFERROR('Resumo-Cult.Perma.'!AC23*'Critérios de Implantação'!$Q$57,0)+IFERROR('Resumo-Cult.Perma.'!AB23*'Critérios de Implantação'!$Q$58,0)+IFERROR('Resumo-Cult.Perma.'!AA23*'Critérios de Implantação'!$Q$59,0)+IFERROR('Resumo-Cult.Perma.'!Z23*'Critérios de Implantação'!$Q$60,0)</f>
        <v>5961142.3903411068</v>
      </c>
    </row>
    <row r="63" spans="1:37" ht="20.149999999999999" customHeight="1" outlineLevel="1" x14ac:dyDescent="0.25">
      <c r="A63" s="48" t="s">
        <v>140</v>
      </c>
      <c r="B63" s="34" t="s">
        <v>141</v>
      </c>
      <c r="C63" s="80"/>
      <c r="D63" s="93">
        <f>IFERROR(('Resumo-Cult.Perma.'!C24*('Critérios de Implantação'!D$52)),0)+IFERROR(('Resumo-Cult.Perma.'!B24*('Critérios de Implantação'!D$53)),0)+IFERROR(('Resumo-Cult.Perma.'!A24*('Critérios de Implantação'!D$60)),0)</f>
        <v>0</v>
      </c>
      <c r="E63" s="93">
        <f>IFERROR(('Resumo-Cult.Perma.'!D24*('Critérios de Implantação'!E$52)),0)+IFERROR(('Resumo-Cult.Perma.'!C24*('Critérios de Implantação'!E$53)),0)+IFERROR(('Resumo-Cult.Perma.'!B24*('Critérios de Implantação'!E$60)),0)</f>
        <v>0</v>
      </c>
      <c r="F63" s="93">
        <f>IFERROR(('Resumo-Cult.Perma.'!C24*('Critérios de Implantação'!F$52)),0)+IFERROR(('Resumo-Cult.Perma.'!B24*('Critérios de Implantação'!F$53)),0)+IFERROR(('Resumo-Cult.Perma.'!A24*('Critérios de Implantação'!F$54)),0)+IFERROR(('Resumo-Cult.Perma.'!#REF!*('Critérios de Implantação'!F$55)),0)+IFERROR(('Resumo-Cult.Perma.'!#REF!*('Critérios de Implantação'!F$56)),0)+IFERROR(('Resumo-Cult.Perma.'!#REF!*('Critérios de Implantação'!F$57)),0)+IFERROR(('Resumo-Cult.Perma.'!#REF!*('Critérios de Implantação'!F$58)),0)+IFERROR(('Resumo-Cult.Perma.'!#REF!*('Critérios de Implantação'!F$59)),0)+IFERROR(('Resumo-Cult.Perma.'!#REF!*('Critérios de Implantação'!F$60)),0)</f>
        <v>0</v>
      </c>
      <c r="G63" s="93">
        <f>IFERROR('Resumo-Cult.Perma.'!D24*'Critérios de Implantação'!G$52,0)+IFERROR('Resumo-Cult.Perma.'!C24*'Critérios de Implantação'!G$53,0)+IFERROR('Resumo-Cult.Perma.'!B24*'Critérios de Implantação'!$Q$54,0)+IFERROR('Resumo-Cult.Perma.'!A24*'Critérios de Implantação'!$Q$55,0)+IFERROR('Resumo-Cult.Perma.'!#REF!*'Critérios de Implantação'!$Q$56,0)+IFERROR('Resumo-Cult.Perma.'!#REF!*'Critérios de Implantação'!$Q$57,0)+IFERROR('Resumo-Cult.Perma.'!#REF!*'Critérios de Implantação'!$Q$58,0)+IFERROR('Resumo-Cult.Perma.'!#REF!*'Critérios de Implantação'!$Q$59,0)+IFERROR('Resumo-Cult.Perma.'!#REF!*'Critérios de Implantação'!$Q$60,0)</f>
        <v>478716.37483919726</v>
      </c>
      <c r="H63" s="93">
        <f>IFERROR('Resumo-Cult.Perma.'!E24*'Critérios de Implantação'!H$52,0)+IFERROR('Resumo-Cult.Perma.'!D24*'Critérios de Implantação'!H$53,0)+IFERROR('Resumo-Cult.Perma.'!C24*'Critérios de Implantação'!$Q$54,0)+IFERROR('Resumo-Cult.Perma.'!B24*'Critérios de Implantação'!$Q$55,0)+IFERROR('Resumo-Cult.Perma.'!A24*'Critérios de Implantação'!$Q$56,0)+IFERROR('Resumo-Cult.Perma.'!#REF!*'Critérios de Implantação'!$Q$57,0)+IFERROR('Resumo-Cult.Perma.'!#REF!*'Critérios de Implantação'!$Q$58,0)+IFERROR('Resumo-Cult.Perma.'!#REF!*'Critérios de Implantação'!$Q$59,0)+IFERROR('Resumo-Cult.Perma.'!#REF!*'Critérios de Implantação'!$Q$60,0)</f>
        <v>970442.70121002081</v>
      </c>
      <c r="I63" s="93">
        <f>IFERROR('Resumo-Cult.Perma.'!F24*'Critérios de Implantação'!I$52,0)+IFERROR('Resumo-Cult.Perma.'!E24*'Critérios de Implantação'!I$53,0)+IFERROR('Resumo-Cult.Perma.'!D24*'Critérios de Implantação'!$Q$54,0)+IFERROR('Resumo-Cult.Perma.'!C24*'Critérios de Implantação'!$Q$55,0)+IFERROR('Resumo-Cult.Perma.'!B24*'Critérios de Implantação'!$Q$56,0)+IFERROR('Resumo-Cult.Perma.'!A24*'Critérios de Implantação'!$Q$57,0)+IFERROR('Resumo-Cult.Perma.'!#REF!*'Critérios de Implantação'!$Q$58,0)+IFERROR('Resumo-Cult.Perma.'!#REF!*'Critérios de Implantação'!$Q$59,0)+IFERROR('Resumo-Cult.Perma.'!#REF!*'Critérios de Implantação'!$Q$60,0)</f>
        <v>1558606.7806394496</v>
      </c>
      <c r="J63" s="93">
        <f>IFERROR('Resumo-Cult.Perma.'!G24*'Critérios de Implantação'!J$52,0)+IFERROR('Resumo-Cult.Perma.'!F24*'Critérios de Implantação'!J$53,0)+IFERROR('Resumo-Cult.Perma.'!E24*'Critérios de Implantação'!$Q$54,0)+IFERROR('Resumo-Cult.Perma.'!D24*'Critérios de Implantação'!$Q$55,0)+IFERROR('Resumo-Cult.Perma.'!C24*'Critérios de Implantação'!$Q$56,0)+IFERROR('Resumo-Cult.Perma.'!B24*'Critérios de Implantação'!$Q$57,0)+IFERROR('Resumo-Cult.Perma.'!A24*'Critérios de Implantação'!$Q$58,0)+IFERROR('Resumo-Cult.Perma.'!#REF!*'Critérios de Implantação'!$Q$59,0)+IFERROR('Resumo-Cult.Perma.'!#REF!*'Critérios de Implantação'!$Q$60,0)</f>
        <v>2698096.8210268356</v>
      </c>
      <c r="K63" s="93">
        <f>IFERROR('Resumo-Cult.Perma.'!H24*'Critérios de Implantação'!K$52,0)+IFERROR('Resumo-Cult.Perma.'!G24*'Critérios de Implantação'!K$53,0)+IFERROR('Resumo-Cult.Perma.'!F24*'Critérios de Implantação'!$Q$54,0)+IFERROR('Resumo-Cult.Perma.'!E24*'Critérios de Implantação'!$Q$55,0)+IFERROR('Resumo-Cult.Perma.'!D24*'Critérios de Implantação'!$Q$56,0)+IFERROR('Resumo-Cult.Perma.'!C24*'Critérios de Implantação'!$Q$57,0)+IFERROR('Resumo-Cult.Perma.'!B24*'Critérios de Implantação'!$Q$58,0)+IFERROR('Resumo-Cult.Perma.'!A24*'Critérios de Implantação'!$Q$59,0)+IFERROR('Resumo-Cult.Perma.'!#REF!*'Critérios de Implantação'!$Q$60,0)</f>
        <v>3783521.513564663</v>
      </c>
      <c r="L63" s="93">
        <f>IFERROR('Resumo-Cult.Perma.'!I24*'Critérios de Implantação'!L$52,0)+IFERROR('Resumo-Cult.Perma.'!H24*'Critérios de Implantação'!L$53,0)+IFERROR('Resumo-Cult.Perma.'!G24*'Critérios de Implantação'!$Q$54,0)+IFERROR('Resumo-Cult.Perma.'!F24*'Critérios de Implantação'!$Q$55,0)+IFERROR('Resumo-Cult.Perma.'!E24*'Critérios de Implantação'!$Q$56,0)+IFERROR('Resumo-Cult.Perma.'!D24*'Critérios de Implantação'!$Q$57,0)+IFERROR('Resumo-Cult.Perma.'!C24*'Critérios de Implantação'!$Q$58,0)+IFERROR('Resumo-Cult.Perma.'!B24*'Critérios de Implantação'!$Q$59,0)+IFERROR('Resumo-Cult.Perma.'!A24*'Critérios de Implantação'!$Q$60,0)</f>
        <v>4925847.7002159627</v>
      </c>
      <c r="M63" s="93">
        <f>IFERROR('Resumo-Cult.Perma.'!J24*'Critérios de Implantação'!M$52,0)+IFERROR('Resumo-Cult.Perma.'!I24*'Critérios de Implantação'!M$53,0)+IFERROR('Resumo-Cult.Perma.'!H24*'Critérios de Implantação'!$Q$54,0)+IFERROR('Resumo-Cult.Perma.'!G24*'Critérios de Implantação'!$Q$55,0)+IFERROR('Resumo-Cult.Perma.'!F24*'Critérios de Implantação'!$Q$56,0)+IFERROR('Resumo-Cult.Perma.'!E24*'Critérios de Implantação'!$Q$57,0)+IFERROR('Resumo-Cult.Perma.'!D24*'Critérios de Implantação'!$Q$58,0)+IFERROR('Resumo-Cult.Perma.'!C24*'Critérios de Implantação'!$Q$59,0)+IFERROR('Resumo-Cult.Perma.'!B24*'Critérios de Implantação'!$Q$60,0)</f>
        <v>5884700.7903836016</v>
      </c>
      <c r="N63" s="93">
        <f>IFERROR('Resumo-Cult.Perma.'!K24*'Critérios de Implantação'!N$52,0)+IFERROR('Resumo-Cult.Perma.'!J24*'Critérios de Implantação'!N$53,0)+IFERROR('Resumo-Cult.Perma.'!I24*'Critérios de Implantação'!$Q$54,0)+IFERROR('Resumo-Cult.Perma.'!H24*'Critérios de Implantação'!$Q$55,0)+IFERROR('Resumo-Cult.Perma.'!G24*'Critérios de Implantação'!$Q$56,0)+IFERROR('Resumo-Cult.Perma.'!F24*'Critérios de Implantação'!$Q$57,0)+IFERROR('Resumo-Cult.Perma.'!E24*'Critérios de Implantação'!$Q$58,0)+IFERROR('Resumo-Cult.Perma.'!D24*'Critérios de Implantação'!$Q$59,0)+IFERROR('Resumo-Cult.Perma.'!C24*'Critérios de Implantação'!$Q$60,0)</f>
        <v>6587218.7638310175</v>
      </c>
      <c r="O63" s="93">
        <f>IFERROR('Resumo-Cult.Perma.'!L24*'Critérios de Implantação'!O$52,0)+IFERROR('Resumo-Cult.Perma.'!K24*'Critérios de Implantação'!O$53,0)+IFERROR('Resumo-Cult.Perma.'!J24*'Critérios de Implantação'!$Q$54,0)+IFERROR('Resumo-Cult.Perma.'!I24*'Critérios de Implantação'!$Q$55,0)+IFERROR('Resumo-Cult.Perma.'!H24*'Critérios de Implantação'!$Q$56,0)+IFERROR('Resumo-Cult.Perma.'!G24*'Critérios de Implantação'!$Q$57,0)+IFERROR('Resumo-Cult.Perma.'!F24*'Critérios de Implantação'!$Q$58,0)+IFERROR('Resumo-Cult.Perma.'!E24*'Critérios de Implantação'!$Q$59,0)+IFERROR('Resumo-Cult.Perma.'!D24*'Critérios de Implantação'!$Q$60,0)</f>
        <v>7005081.0292243967</v>
      </c>
      <c r="P63" s="93">
        <f>IFERROR('Resumo-Cult.Perma.'!M24*'Critérios de Implantação'!P$52,0)+IFERROR('Resumo-Cult.Perma.'!L24*'Critérios de Implantação'!P$53,0)+IFERROR('Resumo-Cult.Perma.'!K24*'Critérios de Implantação'!$Q$54,0)+IFERROR('Resumo-Cult.Perma.'!J24*'Critérios de Implantação'!$Q$55,0)+IFERROR('Resumo-Cult.Perma.'!I24*'Critérios de Implantação'!$Q$56,0)+IFERROR('Resumo-Cult.Perma.'!H24*'Critérios de Implantação'!$Q$57,0)+IFERROR('Resumo-Cult.Perma.'!G24*'Critérios de Implantação'!$Q$58,0)+IFERROR('Resumo-Cult.Perma.'!F24*'Critérios de Implantação'!$Q$59,0)+IFERROR('Resumo-Cult.Perma.'!E24*'Critérios de Implantação'!$Q$60,0)</f>
        <v>7093934.4351311103</v>
      </c>
      <c r="Q63" s="93">
        <f>IFERROR('Resumo-Cult.Perma.'!N24*'Critérios de Implantação'!Q$52,0)+IFERROR('Resumo-Cult.Perma.'!M24*'Critérios de Implantação'!Q$53,0)+IFERROR('Resumo-Cult.Perma.'!L24*'Critérios de Implantação'!$Q$54,0)+IFERROR('Resumo-Cult.Perma.'!K24*'Critérios de Implantação'!$Q$55,0)+IFERROR('Resumo-Cult.Perma.'!J24*'Critérios de Implantação'!$Q$56,0)+IFERROR('Resumo-Cult.Perma.'!I24*'Critérios de Implantação'!$Q$57,0)+IFERROR('Resumo-Cult.Perma.'!H24*'Critérios de Implantação'!$Q$58,0)+IFERROR('Resumo-Cult.Perma.'!G24*'Critérios de Implantação'!$Q$59,0)+IFERROR('Resumo-Cult.Perma.'!F24*'Critérios de Implantação'!$Q$60,0)</f>
        <v>7169048.1104815742</v>
      </c>
      <c r="R63" s="93">
        <f>IFERROR('Resumo-Cult.Perma.'!O24*'Critérios de Implantação'!R$52,0)+IFERROR('Resumo-Cult.Perma.'!N24*'Critérios de Implantação'!R$53,0)+IFERROR('Resumo-Cult.Perma.'!M24*'Critérios de Implantação'!$Q$54,0)+IFERROR('Resumo-Cult.Perma.'!L24*'Critérios de Implantação'!$Q$55,0)+IFERROR('Resumo-Cult.Perma.'!K24*'Critérios de Implantação'!$Q$56,0)+IFERROR('Resumo-Cult.Perma.'!J24*'Critérios de Implantação'!$Q$57,0)+IFERROR('Resumo-Cult.Perma.'!I24*'Critérios de Implantação'!$Q$58,0)+IFERROR('Resumo-Cult.Perma.'!H24*'Critérios de Implantação'!$Q$59,0)+IFERROR('Resumo-Cult.Perma.'!G24*'Critérios de Implantação'!$Q$60,0)</f>
        <v>7146932.1300247246</v>
      </c>
      <c r="S63" s="93">
        <f>IFERROR('Resumo-Cult.Perma.'!P24*'Critérios de Implantação'!S$52,0)+IFERROR('Resumo-Cult.Perma.'!O24*'Critérios de Implantação'!S$53,0)+IFERROR('Resumo-Cult.Perma.'!N24*'Critérios de Implantação'!$Q$54,0)+IFERROR('Resumo-Cult.Perma.'!M24*'Critérios de Implantação'!$Q$55,0)+IFERROR('Resumo-Cult.Perma.'!L24*'Critérios de Implantação'!$Q$56,0)+IFERROR('Resumo-Cult.Perma.'!K24*'Critérios de Implantação'!$Q$57,0)+IFERROR('Resumo-Cult.Perma.'!J24*'Critérios de Implantação'!$Q$58,0)+IFERROR('Resumo-Cult.Perma.'!I24*'Critérios de Implantação'!$Q$59,0)+IFERROR('Resumo-Cult.Perma.'!H24*'Critérios de Implantação'!$Q$60,0)</f>
        <v>7128547.6286509437</v>
      </c>
      <c r="T63" s="93">
        <f>IFERROR('Resumo-Cult.Perma.'!Q24*'Critérios de Implantação'!T$52,0)+IFERROR('Resumo-Cult.Perma.'!P24*'Critérios de Implantação'!T$53,0)+IFERROR('Resumo-Cult.Perma.'!O24*'Critérios de Implantação'!$Q$54,0)+IFERROR('Resumo-Cult.Perma.'!N24*'Critérios de Implantação'!$Q$55,0)+IFERROR('Resumo-Cult.Perma.'!M24*'Critérios de Implantação'!$Q$56,0)+IFERROR('Resumo-Cult.Perma.'!L24*'Critérios de Implantação'!$Q$57,0)+IFERROR('Resumo-Cult.Perma.'!K24*'Critérios de Implantação'!$Q$58,0)+IFERROR('Resumo-Cult.Perma.'!J24*'Critérios de Implantação'!$Q$59,0)+IFERROR('Resumo-Cult.Perma.'!I24*'Critérios de Implantação'!$Q$60,0)</f>
        <v>7090724.4112797817</v>
      </c>
      <c r="U63" s="93">
        <f>IFERROR('Resumo-Cult.Perma.'!R24*'Critérios de Implantação'!U$52,0)+IFERROR('Resumo-Cult.Perma.'!Q24*'Critérios de Implantação'!U$53,0)+IFERROR('Resumo-Cult.Perma.'!P24*'Critérios de Implantação'!$Q$54,0)+IFERROR('Resumo-Cult.Perma.'!O24*'Critérios de Implantação'!$Q$55,0)+IFERROR('Resumo-Cult.Perma.'!N24*'Critérios de Implantação'!$Q$56,0)+IFERROR('Resumo-Cult.Perma.'!M24*'Critérios de Implantação'!$Q$57,0)+IFERROR('Resumo-Cult.Perma.'!L24*'Critérios de Implantação'!$Q$58,0)+IFERROR('Resumo-Cult.Perma.'!K24*'Critérios de Implantação'!$Q$59,0)+IFERROR('Resumo-Cult.Perma.'!J24*'Critérios de Implantação'!$Q$60,0)</f>
        <v>6953860.4074816927</v>
      </c>
      <c r="V63" s="93">
        <f>IFERROR('Resumo-Cult.Perma.'!S24*'Critérios de Implantação'!V$52,0)+IFERROR('Resumo-Cult.Perma.'!R24*'Critérios de Implantação'!V$53,0)+IFERROR('Resumo-Cult.Perma.'!Q24*'Critérios de Implantação'!$Q$54,0)+IFERROR('Resumo-Cult.Perma.'!P24*'Critérios de Implantação'!$Q$55,0)+IFERROR('Resumo-Cult.Perma.'!O24*'Critérios de Implantação'!$Q$56,0)+IFERROR('Resumo-Cult.Perma.'!N24*'Critérios de Implantação'!$Q$57,0)+IFERROR('Resumo-Cult.Perma.'!M24*'Critérios de Implantação'!$Q$58,0)+IFERROR('Resumo-Cult.Perma.'!L24*'Critérios de Implantação'!$Q$59,0)+IFERROR('Resumo-Cult.Perma.'!K24*'Critérios de Implantação'!$Q$60,0)</f>
        <v>6872933.9443830689</v>
      </c>
      <c r="W63" s="93">
        <f>IFERROR('Resumo-Cult.Perma.'!T24*'Critérios de Implantação'!W$52,0)+IFERROR('Resumo-Cult.Perma.'!S24*'Critérios de Implantação'!W$53,0)+IFERROR('Resumo-Cult.Perma.'!R24*'Critérios de Implantação'!$Q$54,0)+IFERROR('Resumo-Cult.Perma.'!Q24*'Critérios de Implantação'!$Q$55,0)+IFERROR('Resumo-Cult.Perma.'!P24*'Critérios de Implantação'!$Q$56,0)+IFERROR('Resumo-Cult.Perma.'!O24*'Critérios de Implantação'!$Q$57,0)+IFERROR('Resumo-Cult.Perma.'!N24*'Critérios de Implantação'!$Q$58,0)+IFERROR('Resumo-Cult.Perma.'!M24*'Critérios de Implantação'!$Q$59,0)+IFERROR('Resumo-Cult.Perma.'!L24*'Critérios de Implantação'!$Q$60,0)</f>
        <v>6797923.6776740886</v>
      </c>
      <c r="X63" s="93">
        <f>IFERROR('Resumo-Cult.Perma.'!U24*'Critérios de Implantação'!X$52,0)+IFERROR('Resumo-Cult.Perma.'!T24*'Critérios de Implantação'!X$53,0)+IFERROR('Resumo-Cult.Perma.'!S24*'Critérios de Implantação'!$Q$54,0)+IFERROR('Resumo-Cult.Perma.'!R24*'Critérios de Implantação'!$Q$55,0)+IFERROR('Resumo-Cult.Perma.'!Q24*'Critérios de Implantação'!$Q$56,0)+IFERROR('Resumo-Cult.Perma.'!P24*'Critérios de Implantação'!$Q$57,0)+IFERROR('Resumo-Cult.Perma.'!O24*'Critérios de Implantação'!$Q$58,0)+IFERROR('Resumo-Cult.Perma.'!N24*'Critérios de Implantação'!$Q$59,0)+IFERROR('Resumo-Cult.Perma.'!M24*'Critérios de Implantação'!$Q$60,0)</f>
        <v>6783751.2576122712</v>
      </c>
      <c r="Y63" s="93">
        <f>IFERROR('Resumo-Cult.Perma.'!V24*'Critérios de Implantação'!Y$52,0)+IFERROR('Resumo-Cult.Perma.'!U24*'Critérios de Implantação'!Y$53,0)+IFERROR('Resumo-Cult.Perma.'!T24*'Critérios de Implantação'!$Q$54,0)+IFERROR('Resumo-Cult.Perma.'!S24*'Critérios de Implantação'!$Q$55,0)+IFERROR('Resumo-Cult.Perma.'!R24*'Critérios de Implantação'!$Q$56,0)+IFERROR('Resumo-Cult.Perma.'!Q24*'Critérios de Implantação'!$Q$57,0)+IFERROR('Resumo-Cult.Perma.'!P24*'Critérios de Implantação'!$Q$58,0)+IFERROR('Resumo-Cult.Perma.'!O24*'Critérios de Implantação'!$Q$59,0)+IFERROR('Resumo-Cult.Perma.'!N24*'Critérios de Implantação'!$Q$60,0)</f>
        <v>6815615.3405352142</v>
      </c>
      <c r="Z63" s="93">
        <f>IFERROR('Resumo-Cult.Perma.'!W24*'Critérios de Implantação'!Z$52,0)+IFERROR('Resumo-Cult.Perma.'!V24*'Critérios de Implantação'!Z$53,0)+IFERROR('Resumo-Cult.Perma.'!U24*'Critérios de Implantação'!$Q$54,0)+IFERROR('Resumo-Cult.Perma.'!T24*'Critérios de Implantação'!$Q$55,0)+IFERROR('Resumo-Cult.Perma.'!S24*'Critérios de Implantação'!$Q$56,0)+IFERROR('Resumo-Cult.Perma.'!R24*'Critérios de Implantação'!$Q$57,0)+IFERROR('Resumo-Cult.Perma.'!Q24*'Critérios de Implantação'!$Q$58,0)+IFERROR('Resumo-Cult.Perma.'!P24*'Critérios de Implantação'!$Q$59,0)+IFERROR('Resumo-Cult.Perma.'!O24*'Critérios de Implantação'!$Q$60,0)</f>
        <v>6881800.0156169515</v>
      </c>
      <c r="AA63" s="93">
        <f>IFERROR('Resumo-Cult.Perma.'!X24*'Critérios de Implantação'!AA$52,0)+IFERROR('Resumo-Cult.Perma.'!W24*'Critérios de Implantação'!AA$53,0)+IFERROR('Resumo-Cult.Perma.'!V24*'Critérios de Implantação'!$Q$54,0)+IFERROR('Resumo-Cult.Perma.'!U24*'Critérios de Implantação'!$Q$55,0)+IFERROR('Resumo-Cult.Perma.'!T24*'Critérios de Implantação'!$Q$56,0)+IFERROR('Resumo-Cult.Perma.'!S24*'Critérios de Implantação'!$Q$57,0)+IFERROR('Resumo-Cult.Perma.'!R24*'Critérios de Implantação'!$Q$58,0)+IFERROR('Resumo-Cult.Perma.'!Q24*'Critérios de Implantação'!$Q$59,0)+IFERROR('Resumo-Cult.Perma.'!P24*'Critérios de Implantação'!$Q$60,0)</f>
        <v>7005081.0292243967</v>
      </c>
      <c r="AB63" s="93">
        <f>IFERROR('Resumo-Cult.Perma.'!Y24*'Critérios de Implantação'!AB$52,0)+IFERROR('Resumo-Cult.Perma.'!X24*'Critérios de Implantação'!AB$53,0)+IFERROR('Resumo-Cult.Perma.'!W24*'Critérios de Implantação'!$Q$54,0)+IFERROR('Resumo-Cult.Perma.'!V24*'Critérios de Implantação'!$Q$55,0)+IFERROR('Resumo-Cult.Perma.'!U24*'Critérios de Implantação'!$Q$56,0)+IFERROR('Resumo-Cult.Perma.'!T24*'Critérios de Implantação'!$Q$57,0)+IFERROR('Resumo-Cult.Perma.'!S24*'Critérios de Implantação'!$Q$58,0)+IFERROR('Resumo-Cult.Perma.'!R24*'Critérios de Implantação'!$Q$59,0)+IFERROR('Resumo-Cult.Perma.'!Q24*'Critérios de Implantação'!$Q$60,0)</f>
        <v>7093934.4351311103</v>
      </c>
      <c r="AC63" s="93">
        <f>IFERROR('Resumo-Cult.Perma.'!Z24*'Critérios de Implantação'!AC$52,0)+IFERROR('Resumo-Cult.Perma.'!Y24*'Critérios de Implantação'!AC$53,0)+IFERROR('Resumo-Cult.Perma.'!X24*'Critérios de Implantação'!$Q$54,0)+IFERROR('Resumo-Cult.Perma.'!W24*'Critérios de Implantação'!$Q$55,0)+IFERROR('Resumo-Cult.Perma.'!V24*'Critérios de Implantação'!$Q$56,0)+IFERROR('Resumo-Cult.Perma.'!U24*'Critérios de Implantação'!$Q$57,0)+IFERROR('Resumo-Cult.Perma.'!T24*'Critérios de Implantação'!$Q$58,0)+IFERROR('Resumo-Cult.Perma.'!S24*'Critérios de Implantação'!$Q$59,0)+IFERROR('Resumo-Cult.Perma.'!R24*'Critérios de Implantação'!$Q$60,0)</f>
        <v>7169048.1104815742</v>
      </c>
      <c r="AD63" s="93">
        <f>IFERROR('Resumo-Cult.Perma.'!AA24*'Critérios de Implantação'!AD$52,0)+IFERROR('Resumo-Cult.Perma.'!Z24*'Critérios de Implantação'!AD$53,0)+IFERROR('Resumo-Cult.Perma.'!Y24*'Critérios de Implantação'!$Q$54,0)+IFERROR('Resumo-Cult.Perma.'!X24*'Critérios de Implantação'!$Q$55,0)+IFERROR('Resumo-Cult.Perma.'!W24*'Critérios de Implantação'!$Q$56,0)+IFERROR('Resumo-Cult.Perma.'!V24*'Critérios de Implantação'!$Q$57,0)+IFERROR('Resumo-Cult.Perma.'!U24*'Critérios de Implantação'!$Q$58,0)+IFERROR('Resumo-Cult.Perma.'!T24*'Critérios de Implantação'!$Q$59,0)+IFERROR('Resumo-Cult.Perma.'!S24*'Critérios de Implantação'!$Q$60,0)</f>
        <v>7146932.1300247246</v>
      </c>
      <c r="AE63" s="93">
        <f>IFERROR('Resumo-Cult.Perma.'!AB24*'Critérios de Implantação'!AE$52,0)+IFERROR('Resumo-Cult.Perma.'!AA24*'Critérios de Implantação'!AE$53,0)+IFERROR('Resumo-Cult.Perma.'!Z24*'Critérios de Implantação'!$Q$54,0)+IFERROR('Resumo-Cult.Perma.'!Y24*'Critérios de Implantação'!$Q$55,0)+IFERROR('Resumo-Cult.Perma.'!X24*'Critérios de Implantação'!$Q$56,0)+IFERROR('Resumo-Cult.Perma.'!W24*'Critérios de Implantação'!$Q$57,0)+IFERROR('Resumo-Cult.Perma.'!V24*'Critérios de Implantação'!$Q$58,0)+IFERROR('Resumo-Cult.Perma.'!U24*'Critérios de Implantação'!$Q$59,0)+IFERROR('Resumo-Cult.Perma.'!T24*'Critérios de Implantação'!$Q$60,0)</f>
        <v>7128547.6286509437</v>
      </c>
      <c r="AF63" s="93">
        <f>IFERROR('Resumo-Cult.Perma.'!AC24*'Critérios de Implantação'!AF$52,0)+IFERROR('Resumo-Cult.Perma.'!AB24*'Critérios de Implantação'!AF$53,0)+IFERROR('Resumo-Cult.Perma.'!AA24*'Critérios de Implantação'!$Q$54,0)+IFERROR('Resumo-Cult.Perma.'!Z24*'Critérios de Implantação'!$Q$55,0)+IFERROR('Resumo-Cult.Perma.'!Y24*'Critérios de Implantação'!$Q$56,0)+IFERROR('Resumo-Cult.Perma.'!X24*'Critérios de Implantação'!$Q$57,0)+IFERROR('Resumo-Cult.Perma.'!W24*'Critérios de Implantação'!$Q$58,0)+IFERROR('Resumo-Cult.Perma.'!V24*'Critérios de Implantação'!$Q$59,0)+IFERROR('Resumo-Cult.Perma.'!U24*'Critérios de Implantação'!$Q$60,0)</f>
        <v>7090724.4112797817</v>
      </c>
      <c r="AG63" s="93">
        <f>IFERROR('Resumo-Cult.Perma.'!AD24*'Critérios de Implantação'!AG$52,0)+IFERROR('Resumo-Cult.Perma.'!AC24*'Critérios de Implantação'!AG$53,0)+IFERROR('Resumo-Cult.Perma.'!AB24*'Critérios de Implantação'!$Q$54,0)+IFERROR('Resumo-Cult.Perma.'!AA24*'Critérios de Implantação'!$Q$55,0)+IFERROR('Resumo-Cult.Perma.'!Z24*'Critérios de Implantação'!$Q$56,0)+IFERROR('Resumo-Cult.Perma.'!Y24*'Critérios de Implantação'!$Q$57,0)+IFERROR('Resumo-Cult.Perma.'!X24*'Critérios de Implantação'!$Q$58,0)+IFERROR('Resumo-Cult.Perma.'!W24*'Critérios de Implantação'!$Q$59,0)+IFERROR('Resumo-Cult.Perma.'!V24*'Critérios de Implantação'!$Q$60,0)</f>
        <v>6953860.4074816927</v>
      </c>
      <c r="AH63" s="93">
        <f>IFERROR('Resumo-Cult.Perma.'!AE24*'Critérios de Implantação'!AH$52,0)+IFERROR('Resumo-Cult.Perma.'!AD24*'Critérios de Implantação'!AH$53,0)+IFERROR('Resumo-Cult.Perma.'!AC24*'Critérios de Implantação'!$Q$54,0)+IFERROR('Resumo-Cult.Perma.'!AB24*'Critérios de Implantação'!$Q$55,0)+IFERROR('Resumo-Cult.Perma.'!AA24*'Critérios de Implantação'!$Q$56,0)+IFERROR('Resumo-Cult.Perma.'!Z24*'Critérios de Implantação'!$Q$57,0)+IFERROR('Resumo-Cult.Perma.'!Y24*'Critérios de Implantação'!$Q$58,0)+IFERROR('Resumo-Cult.Perma.'!X24*'Critérios de Implantação'!$Q$59,0)+IFERROR('Resumo-Cult.Perma.'!W24*'Critérios de Implantação'!$Q$60,0)</f>
        <v>6872933.9443830689</v>
      </c>
      <c r="AI63" s="93">
        <f>IFERROR('Resumo-Cult.Perma.'!AF24*'Critérios de Implantação'!AI$52,0)+IFERROR('Resumo-Cult.Perma.'!AE24*'Critérios de Implantação'!AI$53,0)+IFERROR('Resumo-Cult.Perma.'!AD24*'Critérios de Implantação'!$Q$54,0)+IFERROR('Resumo-Cult.Perma.'!AC24*'Critérios de Implantação'!$Q$55,0)+IFERROR('Resumo-Cult.Perma.'!AB24*'Critérios de Implantação'!$Q$56,0)+IFERROR('Resumo-Cult.Perma.'!AA24*'Critérios de Implantação'!$Q$57,0)+IFERROR('Resumo-Cult.Perma.'!Z24*'Critérios de Implantação'!$Q$58,0)+IFERROR('Resumo-Cult.Perma.'!Y24*'Critérios de Implantação'!$Q$59,0)+IFERROR('Resumo-Cult.Perma.'!X24*'Critérios de Implantação'!$Q$60,0)</f>
        <v>6797923.6776740886</v>
      </c>
      <c r="AJ63" s="93">
        <f>IFERROR('Resumo-Cult.Perma.'!AG24*'Critérios de Implantação'!AJ$52,0)+IFERROR('Resumo-Cult.Perma.'!AF24*'Critérios de Implantação'!AJ$53,0)+IFERROR('Resumo-Cult.Perma.'!AE24*'Critérios de Implantação'!$Q$54,0)+IFERROR('Resumo-Cult.Perma.'!AD24*'Critérios de Implantação'!$Q$55,0)+IFERROR('Resumo-Cult.Perma.'!AC24*'Critérios de Implantação'!$Q$56,0)+IFERROR('Resumo-Cult.Perma.'!AB24*'Critérios de Implantação'!$Q$57,0)+IFERROR('Resumo-Cult.Perma.'!AA24*'Critérios de Implantação'!$Q$58,0)+IFERROR('Resumo-Cult.Perma.'!Z24*'Critérios de Implantação'!$Q$59,0)+IFERROR('Resumo-Cult.Perma.'!Y24*'Critérios de Implantação'!$Q$60,0)</f>
        <v>6783751.2576122712</v>
      </c>
      <c r="AK63" s="81">
        <f>IFERROR('Resumo-Cult.Perma.'!AH24*'Critérios de Implantação'!AK$52,0)+IFERROR('Resumo-Cult.Perma.'!AG24*'Critérios de Implantação'!AK$53,0)+IFERROR('Resumo-Cult.Perma.'!AF24*'Critérios de Implantação'!$Q$54,0)+IFERROR('Resumo-Cult.Perma.'!AE24*'Critérios de Implantação'!$Q$55,0)+IFERROR('Resumo-Cult.Perma.'!AD24*'Critérios de Implantação'!$Q$56,0)+IFERROR('Resumo-Cult.Perma.'!AC24*'Critérios de Implantação'!$Q$57,0)+IFERROR('Resumo-Cult.Perma.'!AB24*'Critérios de Implantação'!$Q$58,0)+IFERROR('Resumo-Cult.Perma.'!AA24*'Critérios de Implantação'!$Q$59,0)+IFERROR('Resumo-Cult.Perma.'!Z24*'Critérios de Implantação'!$Q$60,0)</f>
        <v>6815615.3405352142</v>
      </c>
    </row>
    <row r="64" spans="1:37" ht="20.149999999999999" customHeight="1" outlineLevel="1" thickBot="1" x14ac:dyDescent="0.3">
      <c r="A64" s="96"/>
      <c r="B64" s="87" t="s">
        <v>149</v>
      </c>
      <c r="C64" s="88"/>
      <c r="D64" s="88">
        <f t="shared" ref="D64:AK64" si="49">SUM(D60:D63)</f>
        <v>0</v>
      </c>
      <c r="E64" s="88">
        <f t="shared" si="49"/>
        <v>0</v>
      </c>
      <c r="F64" s="88">
        <f>SUM(F60:F63)</f>
        <v>0</v>
      </c>
      <c r="G64" s="976">
        <f>SUM(G60:G63)</f>
        <v>4910437.7014940968</v>
      </c>
      <c r="H64" s="976">
        <f t="shared" si="49"/>
        <v>9659665.1610984504</v>
      </c>
      <c r="I64" s="976">
        <f t="shared" si="49"/>
        <v>15288199.275267387</v>
      </c>
      <c r="J64" s="976">
        <f t="shared" si="49"/>
        <v>26237610.264821153</v>
      </c>
      <c r="K64" s="976">
        <f t="shared" si="49"/>
        <v>36273493.428636946</v>
      </c>
      <c r="L64" s="976">
        <f t="shared" si="49"/>
        <v>46420276.104076579</v>
      </c>
      <c r="M64" s="976">
        <f t="shared" si="49"/>
        <v>54366061.249311306</v>
      </c>
      <c r="N64" s="976">
        <f t="shared" si="49"/>
        <v>59460258.139280625</v>
      </c>
      <c r="O64" s="976">
        <f t="shared" si="49"/>
        <v>61332469.110975675</v>
      </c>
      <c r="P64" s="976">
        <f t="shared" si="49"/>
        <v>60178115.299284555</v>
      </c>
      <c r="Q64" s="976">
        <f t="shared" si="49"/>
        <v>58804752.844035916</v>
      </c>
      <c r="R64" s="976">
        <f t="shared" si="49"/>
        <v>59731808.832198575</v>
      </c>
      <c r="S64" s="976">
        <f t="shared" si="49"/>
        <v>59604735.945853919</v>
      </c>
      <c r="T64" s="976">
        <f t="shared" si="49"/>
        <v>59803879.821116135</v>
      </c>
      <c r="U64" s="976">
        <f t="shared" si="49"/>
        <v>62372585.842932247</v>
      </c>
      <c r="V64" s="976">
        <f t="shared" si="49"/>
        <v>63388047.11303699</v>
      </c>
      <c r="W64" s="976">
        <f t="shared" si="49"/>
        <v>64808180.133666754</v>
      </c>
      <c r="X64" s="976">
        <f t="shared" si="49"/>
        <v>65174514.87192028</v>
      </c>
      <c r="Y64" s="976">
        <f t="shared" si="49"/>
        <v>64772769.41417437</v>
      </c>
      <c r="Z64" s="976">
        <f t="shared" si="49"/>
        <v>63419127.354082331</v>
      </c>
      <c r="AA64" s="976">
        <f t="shared" si="49"/>
        <v>61332469.110975675</v>
      </c>
      <c r="AB64" s="976">
        <f t="shared" si="49"/>
        <v>60178115.299284555</v>
      </c>
      <c r="AC64" s="976">
        <f t="shared" si="49"/>
        <v>58804752.844035916</v>
      </c>
      <c r="AD64" s="976">
        <f t="shared" si="49"/>
        <v>59731808.832198575</v>
      </c>
      <c r="AE64" s="976">
        <f t="shared" si="49"/>
        <v>59604735.945853919</v>
      </c>
      <c r="AF64" s="976">
        <f t="shared" si="49"/>
        <v>59803879.821116135</v>
      </c>
      <c r="AG64" s="976">
        <f t="shared" si="49"/>
        <v>62372585.842932247</v>
      </c>
      <c r="AH64" s="976">
        <f t="shared" si="49"/>
        <v>63388047.11303699</v>
      </c>
      <c r="AI64" s="976">
        <f t="shared" si="49"/>
        <v>64808180.133666754</v>
      </c>
      <c r="AJ64" s="976">
        <f t="shared" si="49"/>
        <v>65174514.87192028</v>
      </c>
      <c r="AK64" s="979">
        <f t="shared" si="49"/>
        <v>64772769.41417437</v>
      </c>
    </row>
    <row r="65" spans="1:37" ht="20.149999999999999" customHeight="1" outlineLevel="1" thickBot="1" x14ac:dyDescent="0.3">
      <c r="G65" s="981"/>
      <c r="H65" s="981"/>
      <c r="I65" s="981"/>
      <c r="J65" s="981"/>
      <c r="K65" s="981"/>
      <c r="L65" s="981"/>
      <c r="M65" s="981"/>
      <c r="N65" s="981"/>
      <c r="O65" s="981"/>
      <c r="P65" s="981"/>
      <c r="Q65" s="981"/>
      <c r="R65" s="981"/>
      <c r="S65" s="981"/>
      <c r="T65" s="981"/>
      <c r="U65" s="981"/>
      <c r="V65" s="981"/>
      <c r="W65" s="981"/>
      <c r="X65" s="981"/>
      <c r="Y65" s="981"/>
      <c r="Z65" s="981"/>
      <c r="AA65" s="981"/>
      <c r="AB65" s="981"/>
      <c r="AC65" s="981"/>
      <c r="AD65" s="981"/>
      <c r="AE65" s="981"/>
      <c r="AF65" s="981"/>
      <c r="AG65" s="981"/>
      <c r="AH65" s="981"/>
      <c r="AI65" s="981"/>
      <c r="AJ65" s="981"/>
      <c r="AK65" s="981"/>
    </row>
    <row r="66" spans="1:37" ht="20.149999999999999" customHeight="1" outlineLevel="1" x14ac:dyDescent="0.25">
      <c r="A66" s="42">
        <v>3</v>
      </c>
      <c r="B66" s="97" t="s">
        <v>144</v>
      </c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2"/>
    </row>
    <row r="67" spans="1:37" ht="20.149999999999999" customHeight="1" outlineLevel="1" x14ac:dyDescent="0.25">
      <c r="A67" s="47" t="s">
        <v>147</v>
      </c>
      <c r="B67" s="22" t="str">
        <f>"Valor da produção "&amp;A43</f>
        <v>Valor da produção Banana Nanica</v>
      </c>
      <c r="C67" s="80"/>
      <c r="D67" s="80">
        <f>IFERROR(('Resumo-Cult.Perma.'!A28*('Critérios de Implantação'!D$52)),0)+IFERROR(('Resumo-Cult.Perma.'!#REF!*('Critérios de Implantação'!D$53)),0)+IFERROR(('Resumo-Cult.Perma.'!#REF!*('Critérios de Implantação'!D$54)),0)+IFERROR(('Resumo-Cult.Perma.'!#REF!*('Critérios de Implantação'!D$55)),0)+IFERROR(('Resumo-Cult.Perma.'!#REF!*('Critérios de Implantação'!D$56)),0)+IFERROR(('Resumo-Cult.Perma.'!#REF!*('Critérios de Implantação'!D$57)),0)+IFERROR(('Resumo-Cult.Perma.'!#REF!*('Critérios de Implantação'!D$58)),0)+IFERROR(('Resumo-Cult.Perma.'!#REF!*('Critérios de Implantação'!D$59)),0)+IFERROR(('Resumo-Cult.Perma.'!#REF!*('Critérios de Implantação'!D$60)),0)</f>
        <v>0</v>
      </c>
      <c r="E67" s="80">
        <f>IFERROR(('Resumo-Cult.Perma.'!B28*('Critérios de Implantação'!E$52)),0)+IFERROR(('Resumo-Cult.Perma.'!A28*('Critérios de Implantação'!E$53)),0)+IFERROR(('Resumo-Cult.Perma.'!#REF!*('Critérios de Implantação'!E$54)),0)+IFERROR(('Resumo-Cult.Perma.'!#REF!*('Critérios de Implantação'!E$55)),0)+IFERROR(('Resumo-Cult.Perma.'!#REF!*('Critérios de Implantação'!E$56)),0)+IFERROR(('Resumo-Cult.Perma.'!#REF!*('Critérios de Implantação'!E$57)),0)+IFERROR(('Resumo-Cult.Perma.'!#REF!*('Critérios de Implantação'!E$58)),0)+IFERROR(('Resumo-Cult.Perma.'!#REF!*('Critérios de Implantação'!E$59)),0)+IFERROR(('Resumo-Cult.Perma.'!#REF!*('Critérios de Implantação'!E$60)),0)</f>
        <v>0</v>
      </c>
      <c r="F67" s="80">
        <f>IFERROR(('Resumo-Cult.Perma.'!C28*('Critérios de Implantação'!F$52)),0)+IFERROR(('Resumo-Cult.Perma.'!B28*('Critérios de Implantação'!F$53)),0)+IFERROR(('Resumo-Cult.Perma.'!A28*('Critérios de Implantação'!F$54)),0)+IFERROR(('Resumo-Cult.Perma.'!#REF!*('Critérios de Implantação'!F$55)),0)+IFERROR(('Resumo-Cult.Perma.'!#REF!*('Critérios de Implantação'!F$56)),0)+IFERROR(('Resumo-Cult.Perma.'!#REF!*('Critérios de Implantação'!F$57)),0)+IFERROR(('Resumo-Cult.Perma.'!#REF!*('Critérios de Implantação'!F$58)),0)+IFERROR(('Resumo-Cult.Perma.'!#REF!*('Critérios de Implantação'!F$59)),0)+IFERROR(('Resumo-Cult.Perma.'!#REF!*('Critérios de Implantação'!F$60)),0)</f>
        <v>0</v>
      </c>
      <c r="G67" s="80">
        <f>IFERROR(('Resumo-Cult.Perma.'!D28*('Critérios de Implantação'!G$52)),0)+IFERROR(('Resumo-Cult.Perma.'!C28*('Critérios de Implantação'!G$53)),0)+IFERROR(('Resumo-Cult.Perma.'!B28*('Critérios de Implantação'!G$54)),0)+IFERROR(('Resumo-Cult.Perma.'!A28*('Critérios de Implantação'!G$55)),0)+IFERROR(('Resumo-Cult.Perma.'!#REF!*('Critérios de Implantação'!G$56)),0)+IFERROR(('Resumo-Cult.Perma.'!#REF!*('Critérios de Implantação'!G$57)),0)+IFERROR(('Resumo-Cult.Perma.'!#REF!*('Critérios de Implantação'!G$58)),0)+IFERROR(('Resumo-Cult.Perma.'!#REF!*('Critérios de Implantação'!G$59)),0)+IFERROR(('Resumo-Cult.Perma.'!#REF!*('Critérios de Implantação'!G$60)),0)</f>
        <v>11074420.195146538</v>
      </c>
      <c r="H67" s="80">
        <f>IFERROR(('Resumo-Cult.Perma.'!E28*('Critérios de Implantação'!H$52)),0)+IFERROR(('Resumo-Cult.Perma.'!D28*('Critérios de Implantação'!H$53)),0)+IFERROR(('Resumo-Cult.Perma.'!C28*('Critérios de Implantação'!H$54)),0)+IFERROR(('Resumo-Cult.Perma.'!B28*('Critérios de Implantação'!H$55)),0)+IFERROR(('Resumo-Cult.Perma.'!A28*('Critérios de Implantação'!H$56)),0)+IFERROR(('Resumo-Cult.Perma.'!#REF!*('Critérios de Implantação'!H$57)),0)+IFERROR(('Resumo-Cult.Perma.'!#REF!*('Critérios de Implantação'!H$58)),0)+IFERROR(('Resumo-Cult.Perma.'!#REF!*('Critérios de Implantação'!H$59)),0)+IFERROR(('Resumo-Cult.Perma.'!#REF!*('Critérios de Implantação'!H$60)),0)</f>
        <v>21456689.128096417</v>
      </c>
      <c r="I67" s="80">
        <f>IFERROR(('Resumo-Cult.Perma.'!F28*('Critérios de Implantação'!I$52)),0)+IFERROR(('Resumo-Cult.Perma.'!E28*('Critérios de Implantação'!I$53)),0)+IFERROR(('Resumo-Cult.Perma.'!D28*('Critérios de Implantação'!I$54)),0)+IFERROR(('Resumo-Cult.Perma.'!C28*('Critérios de Implantação'!I$55)),0)+IFERROR(('Resumo-Cult.Perma.'!B28*('Critérios de Implantação'!I$56)),0)+IFERROR(('Resumo-Cult.Perma.'!A28*('Critérios de Implantação'!I$57)),0)+IFERROR(('Resumo-Cult.Perma.'!#REF!*('Critérios de Implantação'!I$58)),0)+IFERROR(('Resumo-Cult.Perma.'!#REF!*('Critérios de Implantação'!I$59)),0)+IFERROR(('Resumo-Cult.Perma.'!#REF!*('Critérios de Implantação'!I$60)),0)</f>
        <v>33377756.597476259</v>
      </c>
      <c r="J67" s="80">
        <f>IFERROR(('Resumo-Cult.Perma.'!G28*('Critérios de Implantação'!J$52)),0)+IFERROR(('Resumo-Cult.Perma.'!F28*('Critérios de Implantação'!J$53)),0)+IFERROR(('Resumo-Cult.Perma.'!E28*('Critérios de Implantação'!J$54)),0)+IFERROR(('Resumo-Cult.Perma.'!D28*('Critérios de Implantação'!J$55)),0)+IFERROR(('Resumo-Cult.Perma.'!C28*('Critérios de Implantação'!J$56)),0)+IFERROR(('Resumo-Cult.Perma.'!B28*('Critérios de Implantação'!J$57)),0)+IFERROR(('Resumo-Cult.Perma.'!A28*('Critérios de Implantação'!J$58)),0)+IFERROR(('Resumo-Cult.Perma.'!#REF!*('Critérios de Implantação'!J$59)),0)+IFERROR(('Resumo-Cult.Perma.'!#REF!*('Critérios de Implantação'!J$60)),0)</f>
        <v>57551932.448367871</v>
      </c>
      <c r="K67" s="80">
        <f>IFERROR(('Resumo-Cult.Perma.'!H28*('Critérios de Implantação'!K$52)),0)+IFERROR(('Resumo-Cult.Perma.'!G28*('Critérios de Implantação'!K$53)),0)+IFERROR(('Resumo-Cult.Perma.'!F28*('Critérios de Implantação'!K$54)),0)+IFERROR(('Resumo-Cult.Perma.'!E28*('Critérios de Implantação'!K$55)),0)+IFERROR(('Resumo-Cult.Perma.'!D28*('Critérios de Implantação'!K$56)),0)+IFERROR(('Resumo-Cult.Perma.'!C28*('Critérios de Implantação'!K$57)),0)+IFERROR(('Resumo-Cult.Perma.'!B28*('Critérios de Implantação'!K$58)),0)+IFERROR(('Resumo-Cult.Perma.'!A28*('Critérios de Implantação'!K$59)),0)+IFERROR(('Resumo-Cult.Perma.'!#REF!*('Critérios de Implantação'!K$60)),0)</f>
        <v>79224626.405041292</v>
      </c>
      <c r="L67" s="80">
        <f>IFERROR(('Resumo-Cult.Perma.'!I28*('Critérios de Implantação'!L$52)),0)+IFERROR(('Resumo-Cult.Perma.'!H28*('Critérios de Implantação'!L$53)),0)+IFERROR(('Resumo-Cult.Perma.'!G28*('Critérios de Implantação'!L$54)),0)+IFERROR(('Resumo-Cult.Perma.'!F28*('Critérios de Implantação'!L$55)),0)+IFERROR(('Resumo-Cult.Perma.'!E28*('Critérios de Implantação'!L$56)),0)+IFERROR(('Resumo-Cult.Perma.'!D28*('Critérios de Implantação'!L$57)),0)+IFERROR(('Resumo-Cult.Perma.'!C28*('Critérios de Implantação'!L$58)),0)+IFERROR(('Resumo-Cult.Perma.'!B28*('Critérios de Implantação'!L$59)),0)+IFERROR(('Resumo-Cult.Perma.'!A28*('Critérios de Implantação'!L$60)),0)</f>
        <v>100226769.81958896</v>
      </c>
      <c r="M67" s="80">
        <f>IFERROR(('Resumo-Cult.Perma.'!J28*('Critérios de Implantação'!M$52)),0)+IFERROR(('Resumo-Cult.Perma.'!I28*('Critérios de Implantação'!M$53)),0)+IFERROR(('Resumo-Cult.Perma.'!H28*('Critérios de Implantação'!M$54)),0)+IFERROR(('Resumo-Cult.Perma.'!G28*('Critérios de Implantação'!M$55)),0)+IFERROR(('Resumo-Cult.Perma.'!F28*('Critérios de Implantação'!M$56)),0)+IFERROR(('Resumo-Cult.Perma.'!E28*('Critérios de Implantação'!M$57)),0)+IFERROR(('Resumo-Cult.Perma.'!D28*('Critérios de Implantação'!M$58)),0)+IFERROR(('Resumo-Cult.Perma.'!C28*('Critérios de Implantação'!M$59)),0)+IFERROR(('Resumo-Cult.Perma.'!B28*('Critérios de Implantação'!M$60)),0)</f>
        <v>116684458.5564775</v>
      </c>
      <c r="N67" s="80">
        <f>IFERROR(('Resumo-Cult.Perma.'!K28*('Critérios de Implantação'!N$52)),0)+IFERROR(('Resumo-Cult.Perma.'!J28*('Critérios de Implantação'!N$53)),0)+IFERROR(('Resumo-Cult.Perma.'!I28*('Critérios de Implantação'!N$54)),0)+IFERROR(('Resumo-Cult.Perma.'!H28*('Critérios de Implantação'!N$55)),0)+IFERROR(('Resumo-Cult.Perma.'!G28*('Critérios de Implantação'!N$56)),0)+IFERROR(('Resumo-Cult.Perma.'!F28*('Critérios de Implantação'!N$57)),0)+IFERROR(('Resumo-Cult.Perma.'!E28*('Critérios de Implantação'!N$58)),0)+IFERROR(('Resumo-Cult.Perma.'!D28*('Critérios de Implantação'!N$59)),0)+IFERROR(('Resumo-Cult.Perma.'!C28*('Critérios de Implantação'!N$60)),0)</f>
        <v>125287161.89109495</v>
      </c>
      <c r="O67" s="80">
        <f>IFERROR(('Resumo-Cult.Perma.'!L28*('Critérios de Implantação'!O$52)),0)+IFERROR(('Resumo-Cult.Perma.'!K28*('Critérios de Implantação'!O$53)),0)+IFERROR(('Resumo-Cult.Perma.'!J28*('Critérios de Implantação'!O$54)),0)+IFERROR(('Resumo-Cult.Perma.'!I28*('Critérios de Implantação'!O$55)),0)+IFERROR(('Resumo-Cult.Perma.'!H28*('Critérios de Implantação'!O$56)),0)+IFERROR(('Resumo-Cult.Perma.'!G28*('Critérios de Implantação'!O$57)),0)+IFERROR(('Resumo-Cult.Perma.'!F28*('Critérios de Implantação'!O$58)),0)+IFERROR(('Resumo-Cult.Perma.'!E28*('Critérios de Implantação'!O$59)),0)+IFERROR(('Resumo-Cult.Perma.'!D28*('Critérios de Implantação'!O$60)),0)</f>
        <v>125960638.52614357</v>
      </c>
      <c r="P67" s="80">
        <f>IFERROR(('Resumo-Cult.Perma.'!M28*('Critérios de Implantação'!P$52)),0)+IFERROR(('Resumo-Cult.Perma.'!L28*('Critérios de Implantação'!P$53)),0)+IFERROR(('Resumo-Cult.Perma.'!K28*('Critérios de Implantação'!P$54)),0)+IFERROR(('Resumo-Cult.Perma.'!J28*('Critérios de Implantação'!P$55)),0)+IFERROR(('Resumo-Cult.Perma.'!I28*('Critérios de Implantação'!P$56)),0)+IFERROR(('Resumo-Cult.Perma.'!H28*('Critérios de Implantação'!P$57)),0)+IFERROR(('Resumo-Cult.Perma.'!G28*('Critérios de Implantação'!P$58)),0)+IFERROR(('Resumo-Cult.Perma.'!F28*('Critérios de Implantação'!P$59)),0)+IFERROR(('Resumo-Cult.Perma.'!E28*('Critérios de Implantação'!P$60)),0)</f>
        <v>119921170.43824847</v>
      </c>
      <c r="Q67" s="80">
        <f>IFERROR(('Resumo-Cult.Perma.'!N28*('Critérios de Implantação'!Q$52)),0)+IFERROR(('Resumo-Cult.Perma.'!M28*('Critérios de Implantação'!Q$53)),0)+IFERROR(('Resumo-Cult.Perma.'!L28*('Critérios de Implantação'!Q$54)),0)+IFERROR(('Resumo-Cult.Perma.'!K28*('Critérios de Implantação'!Q$55)),0)+IFERROR(('Resumo-Cult.Perma.'!J28*('Critérios de Implantação'!Q$56)),0)+IFERROR(('Resumo-Cult.Perma.'!I28*('Critérios de Implantação'!Q$57)),0)+IFERROR(('Resumo-Cult.Perma.'!H28*('Critérios de Implantação'!Q$58)),0)+IFERROR(('Resumo-Cult.Perma.'!G28*('Critérios de Implantação'!Q$59)),0)+IFERROR(('Resumo-Cult.Perma.'!F28*('Critérios de Implantação'!Q$60)),0)</f>
        <v>111578217.12737644</v>
      </c>
      <c r="R67" s="80">
        <f>IFERROR(('Resumo-Cult.Perma.'!O28*('Critérios de Implantação'!R$52)),0)+IFERROR(('Resumo-Cult.Perma.'!N28*('Critérios de Implantação'!R$53)),0)+IFERROR(('Resumo-Cult.Perma.'!M28*('Critérios de Implantação'!R$54)),0)+IFERROR(('Resumo-Cult.Perma.'!L28*('Critérios de Implantação'!R$55)),0)+IFERROR(('Resumo-Cult.Perma.'!K28*('Critérios de Implantação'!R$56)),0)+IFERROR(('Resumo-Cult.Perma.'!J28*('Critérios de Implantação'!R$57)),0)+IFERROR(('Resumo-Cult.Perma.'!I28*('Critérios de Implantação'!R$58)),0)+IFERROR(('Resumo-Cult.Perma.'!H28*('Critérios de Implantação'!R$59)),0)+IFERROR(('Resumo-Cult.Perma.'!G28*('Critérios de Implantação'!R$60)),0)</f>
        <v>97959086.567610428</v>
      </c>
      <c r="S67" s="80">
        <f>IFERROR(('Resumo-Cult.Perma.'!P28*('Critérios de Implantação'!S$52)),0)+IFERROR(('Resumo-Cult.Perma.'!O28*('Critérios de Implantação'!S$53)),0)+IFERROR(('Resumo-Cult.Perma.'!N28*('Critérios de Implantação'!S$54)),0)+IFERROR(('Resumo-Cult.Perma.'!M28*('Critérios de Implantação'!S$55)),0)+IFERROR(('Resumo-Cult.Perma.'!L28*('Critérios de Implantação'!S$56)),0)+IFERROR(('Resumo-Cult.Perma.'!K28*('Critérios de Implantação'!S$57)),0)+IFERROR(('Resumo-Cult.Perma.'!J28*('Critérios de Implantação'!S$58)),0)+IFERROR(('Resumo-Cult.Perma.'!I28*('Critérios de Implantação'!S$59)),0)+IFERROR(('Resumo-Cult.Perma.'!H28*('Critérios de Implantação'!S$60)),0)</f>
        <v>95611180.332374781</v>
      </c>
      <c r="T67" s="80">
        <f>IFERROR(('Resumo-Cult.Perma.'!Q28*('Critérios de Implantação'!T$52)),0)+IFERROR(('Resumo-Cult.Perma.'!P28*('Critérios de Implantação'!T$53)),0)+IFERROR(('Resumo-Cult.Perma.'!O28*('Critérios de Implantação'!T$54)),0)+IFERROR(('Resumo-Cult.Perma.'!N28*('Critérios de Implantação'!T$55)),0)+IFERROR(('Resumo-Cult.Perma.'!M28*('Critérios de Implantação'!T$56)),0)+IFERROR(('Resumo-Cult.Perma.'!L28*('Critérios de Implantação'!T$57)),0)+IFERROR(('Resumo-Cult.Perma.'!K28*('Critérios de Implantação'!T$58)),0)+IFERROR(('Resumo-Cult.Perma.'!J28*('Critérios de Implantação'!T$59)),0)+IFERROR(('Resumo-Cult.Perma.'!I28*('Critérios de Implantação'!T$60)),0)</f>
        <v>91944937.484073415</v>
      </c>
      <c r="U67" s="80">
        <f>IFERROR(('Resumo-Cult.Perma.'!R28*('Critérios de Implantação'!U$52)),0)+IFERROR(('Resumo-Cult.Perma.'!Q28*('Critérios de Implantação'!U$53)),0)+IFERROR(('Resumo-Cult.Perma.'!P28*('Critérios de Implantação'!U$54)),0)+IFERROR(('Resumo-Cult.Perma.'!O28*('Critérios de Implantação'!U$55)),0)+IFERROR(('Resumo-Cult.Perma.'!N28*('Critérios de Implantação'!U$56)),0)+IFERROR(('Resumo-Cult.Perma.'!M28*('Critérios de Implantação'!U$57)),0)+IFERROR(('Resumo-Cult.Perma.'!L28*('Critérios de Implantação'!U$58)),0)+IFERROR(('Resumo-Cult.Perma.'!K28*('Critérios de Implantação'!U$59)),0)+IFERROR(('Resumo-Cult.Perma.'!J28*('Critérios de Implantação'!U$60)),0)</f>
        <v>85561420.753104776</v>
      </c>
      <c r="V67" s="80">
        <f>IFERROR(('Resumo-Cult.Perma.'!S28*('Critérios de Implantação'!V$52)),0)+IFERROR(('Resumo-Cult.Perma.'!R28*('Critérios de Implantação'!V$53)),0)+IFERROR(('Resumo-Cult.Perma.'!Q28*('Critérios de Implantação'!V$54)),0)+IFERROR(('Resumo-Cult.Perma.'!P28*('Critérios de Implantação'!V$55)),0)+IFERROR(('Resumo-Cult.Perma.'!O28*('Critérios de Implantação'!V$56)),0)+IFERROR(('Resumo-Cult.Perma.'!N28*('Critérios de Implantação'!V$57)),0)+IFERROR(('Resumo-Cult.Perma.'!M28*('Critérios de Implantação'!V$58)),0)+IFERROR(('Resumo-Cult.Perma.'!L28*('Critérios de Implantação'!V$59)),0)+IFERROR(('Resumo-Cult.Perma.'!K28*('Critérios de Implantação'!V$60)),0)</f>
        <v>93883478.597924665</v>
      </c>
      <c r="W67" s="80">
        <f>IFERROR(('Resumo-Cult.Perma.'!T28*('Critérios de Implantação'!W$52)),0)+IFERROR(('Resumo-Cult.Perma.'!S28*('Critérios de Implantação'!W$53)),0)+IFERROR(('Resumo-Cult.Perma.'!R28*('Critérios de Implantação'!W$54)),0)+IFERROR(('Resumo-Cult.Perma.'!Q28*('Critérios de Implantação'!W$55)),0)+IFERROR(('Resumo-Cult.Perma.'!P28*('Critérios de Implantação'!W$56)),0)+IFERROR(('Resumo-Cult.Perma.'!O28*('Critérios de Implantação'!W$57)),0)+IFERROR(('Resumo-Cult.Perma.'!N28*('Critérios de Implantação'!W$58)),0)+IFERROR(('Resumo-Cult.Perma.'!M28*('Critérios de Implantação'!W$59)),0)+IFERROR(('Resumo-Cult.Perma.'!L28*('Critérios de Implantação'!W$60)),0)</f>
        <v>101439165.00271128</v>
      </c>
      <c r="X67" s="80">
        <f>IFERROR(('Resumo-Cult.Perma.'!U28*('Critérios de Implantação'!X$52)),0)+IFERROR(('Resumo-Cult.Perma.'!T28*('Critérios de Implantação'!X$53)),0)+IFERROR(('Resumo-Cult.Perma.'!S28*('Critérios de Implantação'!X$54)),0)+IFERROR(('Resumo-Cult.Perma.'!R28*('Critérios de Implantação'!X$55)),0)+IFERROR(('Resumo-Cult.Perma.'!Q28*('Critérios de Implantação'!X$56)),0)+IFERROR(('Resumo-Cult.Perma.'!P28*('Critérios de Implantação'!X$57)),0)+IFERROR(('Resumo-Cult.Perma.'!O28*('Critérios de Implantação'!X$58)),0)+IFERROR(('Resumo-Cult.Perma.'!N28*('Critérios de Implantação'!X$59)),0)+IFERROR(('Resumo-Cult.Perma.'!M28*('Critérios de Implantação'!X$60)),0)</f>
        <v>111442450.52104799</v>
      </c>
      <c r="Y67" s="80">
        <f>IFERROR(('Resumo-Cult.Perma.'!V28*('Critérios de Implantação'!Y$52)),0)+IFERROR(('Resumo-Cult.Perma.'!U28*('Critérios de Implantação'!Y$53)),0)+IFERROR(('Resumo-Cult.Perma.'!T28*('Critérios de Implantação'!Y$54)),0)+IFERROR(('Resumo-Cult.Perma.'!S28*('Critérios de Implantação'!Y$55)),0)+IFERROR(('Resumo-Cult.Perma.'!R28*('Critérios de Implantação'!Y$56)),0)+IFERROR(('Resumo-Cult.Perma.'!Q28*('Critérios de Implantação'!Y$57)),0)+IFERROR(('Resumo-Cult.Perma.'!P28*('Critérios de Implantação'!Y$58)),0)+IFERROR(('Resumo-Cult.Perma.'!O28*('Critérios de Implantação'!Y$59)),0)+IFERROR(('Resumo-Cult.Perma.'!N28*('Critérios de Implantação'!Y$60)),0)</f>
        <v>120287663.75828911</v>
      </c>
      <c r="Z67" s="80">
        <f>IFERROR(('Resumo-Cult.Perma.'!W28*('Critérios de Implantação'!Z$52)),0)+IFERROR(('Resumo-Cult.Perma.'!V28*('Critérios de Implantação'!Z$53)),0)+IFERROR(('Resumo-Cult.Perma.'!U28*('Critérios de Implantação'!Z$54)),0)+IFERROR(('Resumo-Cult.Perma.'!T28*('Critérios de Implantação'!Z$55)),0)+IFERROR(('Resumo-Cult.Perma.'!S28*('Critérios de Implantação'!Z$56)),0)+IFERROR(('Resumo-Cult.Perma.'!R28*('Critérios de Implantação'!Z$57)),0)+IFERROR(('Resumo-Cult.Perma.'!Q28*('Critérios de Implantação'!Z$58)),0)+IFERROR(('Resumo-Cult.Perma.'!P28*('Critérios de Implantação'!Z$59)),0)+IFERROR(('Resumo-Cult.Perma.'!O28*('Critérios de Implantação'!Z$60)),0)</f>
        <v>125287161.89109495</v>
      </c>
      <c r="AA67" s="80">
        <f>IFERROR(('Resumo-Cult.Perma.'!X28*('Critérios de Implantação'!AA$52)),0)+IFERROR(('Resumo-Cult.Perma.'!W28*('Critérios de Implantação'!AA$53)),0)+IFERROR(('Resumo-Cult.Perma.'!V28*('Critérios de Implantação'!AA$54)),0)+IFERROR(('Resumo-Cult.Perma.'!U28*('Critérios de Implantação'!AA$55)),0)+IFERROR(('Resumo-Cult.Perma.'!T28*('Critérios de Implantação'!AA$56)),0)+IFERROR(('Resumo-Cult.Perma.'!S28*('Critérios de Implantação'!AA$57)),0)+IFERROR(('Resumo-Cult.Perma.'!R28*('Critérios de Implantação'!AA$58)),0)+IFERROR(('Resumo-Cult.Perma.'!Q28*('Critérios de Implantação'!AA$59)),0)+IFERROR(('Resumo-Cult.Perma.'!P28*('Critérios de Implantação'!AA$60)),0)</f>
        <v>125960638.52614357</v>
      </c>
      <c r="AB67" s="80">
        <f>IFERROR(('Resumo-Cult.Perma.'!Y28*('Critérios de Implantação'!AB$52)),0)+IFERROR(('Resumo-Cult.Perma.'!X28*('Critérios de Implantação'!AB$53)),0)+IFERROR(('Resumo-Cult.Perma.'!W28*('Critérios de Implantação'!AB$54)),0)+IFERROR(('Resumo-Cult.Perma.'!V28*('Critérios de Implantação'!AB$55)),0)+IFERROR(('Resumo-Cult.Perma.'!U28*('Critérios de Implantação'!AB$56)),0)+IFERROR(('Resumo-Cult.Perma.'!T28*('Critérios de Implantação'!AB$57)),0)+IFERROR(('Resumo-Cult.Perma.'!S28*('Critérios de Implantação'!AB$58)),0)+IFERROR(('Resumo-Cult.Perma.'!R28*('Critérios de Implantação'!AB$59)),0)+IFERROR(('Resumo-Cult.Perma.'!Q28*('Critérios de Implantação'!AB$60)),0)</f>
        <v>119921170.43824847</v>
      </c>
      <c r="AC67" s="80">
        <f>IFERROR(('Resumo-Cult.Perma.'!Z28*('Critérios de Implantação'!AC$52)),0)+IFERROR(('Resumo-Cult.Perma.'!Y28*('Critérios de Implantação'!AC$53)),0)+IFERROR(('Resumo-Cult.Perma.'!X28*('Critérios de Implantação'!AC$54)),0)+IFERROR(('Resumo-Cult.Perma.'!W28*('Critérios de Implantação'!AC$55)),0)+IFERROR(('Resumo-Cult.Perma.'!V28*('Critérios de Implantação'!AC$56)),0)+IFERROR(('Resumo-Cult.Perma.'!U28*('Critérios de Implantação'!AC$57)),0)+IFERROR(('Resumo-Cult.Perma.'!T28*('Critérios de Implantação'!AC$58)),0)+IFERROR(('Resumo-Cult.Perma.'!S28*('Critérios de Implantação'!AC$59)),0)+IFERROR(('Resumo-Cult.Perma.'!R28*('Critérios de Implantação'!AC$60)),0)</f>
        <v>111578217.12737644</v>
      </c>
      <c r="AD67" s="80">
        <f>IFERROR(('Resumo-Cult.Perma.'!AA28*('Critérios de Implantação'!AD$52)),0)+IFERROR(('Resumo-Cult.Perma.'!Z28*('Critérios de Implantação'!AD$53)),0)+IFERROR(('Resumo-Cult.Perma.'!Y28*('Critérios de Implantação'!AD$54)),0)+IFERROR(('Resumo-Cult.Perma.'!X28*('Critérios de Implantação'!AD$55)),0)+IFERROR(('Resumo-Cult.Perma.'!W28*('Critérios de Implantação'!AD$56)),0)+IFERROR(('Resumo-Cult.Perma.'!V28*('Critérios de Implantação'!AD$57)),0)+IFERROR(('Resumo-Cult.Perma.'!U28*('Critérios de Implantação'!AD$58)),0)+IFERROR(('Resumo-Cult.Perma.'!T28*('Critérios de Implantação'!AD$59)),0)+IFERROR(('Resumo-Cult.Perma.'!S28*('Critérios de Implantação'!AD$60)),0)</f>
        <v>97959086.567610428</v>
      </c>
      <c r="AE67" s="80">
        <f>IFERROR(('Resumo-Cult.Perma.'!AB28*('Critérios de Implantação'!AE$52)),0)+IFERROR(('Resumo-Cult.Perma.'!AA28*('Critérios de Implantação'!AE$53)),0)+IFERROR(('Resumo-Cult.Perma.'!Z28*('Critérios de Implantação'!AE$54)),0)+IFERROR(('Resumo-Cult.Perma.'!Y28*('Critérios de Implantação'!AE$55)),0)+IFERROR(('Resumo-Cult.Perma.'!X28*('Critérios de Implantação'!AE$56)),0)+IFERROR(('Resumo-Cult.Perma.'!W28*('Critérios de Implantação'!AE$57)),0)+IFERROR(('Resumo-Cult.Perma.'!V28*('Critérios de Implantação'!AE$58)),0)+IFERROR(('Resumo-Cult.Perma.'!U28*('Critérios de Implantação'!AE$59)),0)+IFERROR(('Resumo-Cult.Perma.'!T28*('Critérios de Implantação'!AE$60)),0)</f>
        <v>95611180.332374781</v>
      </c>
      <c r="AF67" s="80">
        <f>IFERROR(('Resumo-Cult.Perma.'!AC28*('Critérios de Implantação'!AF$52)),0)+IFERROR(('Resumo-Cult.Perma.'!AB28*('Critérios de Implantação'!AF$53)),0)+IFERROR(('Resumo-Cult.Perma.'!AA28*('Critérios de Implantação'!AF$54)),0)+IFERROR(('Resumo-Cult.Perma.'!Z28*('Critérios de Implantação'!AF$55)),0)+IFERROR(('Resumo-Cult.Perma.'!Y28*('Critérios de Implantação'!AF$56)),0)+IFERROR(('Resumo-Cult.Perma.'!X28*('Critérios de Implantação'!AF$57)),0)+IFERROR(('Resumo-Cult.Perma.'!W28*('Critérios de Implantação'!AF$58)),0)+IFERROR(('Resumo-Cult.Perma.'!V28*('Critérios de Implantação'!AF$59)),0)+IFERROR(('Resumo-Cult.Perma.'!U28*('Critérios de Implantação'!AF$60)),0)</f>
        <v>91944937.484073415</v>
      </c>
      <c r="AG67" s="80">
        <f>IFERROR(('Resumo-Cult.Perma.'!AD28*('Critérios de Implantação'!AG$52)),0)+IFERROR(('Resumo-Cult.Perma.'!AC28*('Critérios de Implantação'!AG$53)),0)+IFERROR(('Resumo-Cult.Perma.'!AB28*('Critérios de Implantação'!AG$54)),0)+IFERROR(('Resumo-Cult.Perma.'!AA28*('Critérios de Implantação'!AG$55)),0)+IFERROR(('Resumo-Cult.Perma.'!Z28*('Critérios de Implantação'!AG$56)),0)+IFERROR(('Resumo-Cult.Perma.'!Y28*('Critérios de Implantação'!AG$57)),0)+IFERROR(('Resumo-Cult.Perma.'!X28*('Critérios de Implantação'!AG$58)),0)+IFERROR(('Resumo-Cult.Perma.'!W28*('Critérios de Implantação'!AG$59)),0)+IFERROR(('Resumo-Cult.Perma.'!V28*('Critérios de Implantação'!AG$60)),0)</f>
        <v>85561420.753104776</v>
      </c>
      <c r="AH67" s="80">
        <f>IFERROR(('Resumo-Cult.Perma.'!AE28*('Critérios de Implantação'!AH$52)),0)+IFERROR(('Resumo-Cult.Perma.'!AD28*('Critérios de Implantação'!AH$53)),0)+IFERROR(('Resumo-Cult.Perma.'!AC28*('Critérios de Implantação'!AH$54)),0)+IFERROR(('Resumo-Cult.Perma.'!AB28*('Critérios de Implantação'!AH$55)),0)+IFERROR(('Resumo-Cult.Perma.'!AA28*('Critérios de Implantação'!AH$56)),0)+IFERROR(('Resumo-Cult.Perma.'!Z28*('Critérios de Implantação'!AH$57)),0)+IFERROR(('Resumo-Cult.Perma.'!Y28*('Critérios de Implantação'!AH$58)),0)+IFERROR(('Resumo-Cult.Perma.'!X28*('Critérios de Implantação'!AH$59)),0)+IFERROR(('Resumo-Cult.Perma.'!W28*('Critérios de Implantação'!AH$60)),0)</f>
        <v>93883478.597924665</v>
      </c>
      <c r="AI67" s="80">
        <f>IFERROR(('Resumo-Cult.Perma.'!AF28*('Critérios de Implantação'!AI$52)),0)+IFERROR(('Resumo-Cult.Perma.'!AE28*('Critérios de Implantação'!AI$53)),0)+IFERROR(('Resumo-Cult.Perma.'!AD28*('Critérios de Implantação'!AI$54)),0)+IFERROR(('Resumo-Cult.Perma.'!AC28*('Critérios de Implantação'!AI$55)),0)+IFERROR(('Resumo-Cult.Perma.'!AB28*('Critérios de Implantação'!AI$56)),0)+IFERROR(('Resumo-Cult.Perma.'!AA28*('Critérios de Implantação'!AI$57)),0)+IFERROR(('Resumo-Cult.Perma.'!Z28*('Critérios de Implantação'!AI$58)),0)+IFERROR(('Resumo-Cult.Perma.'!Y28*('Critérios de Implantação'!AI$59)),0)+IFERROR(('Resumo-Cult.Perma.'!X28*('Critérios de Implantação'!AI$60)),0)</f>
        <v>101439165.00271128</v>
      </c>
      <c r="AJ67" s="80">
        <f>IFERROR(('Resumo-Cult.Perma.'!AG28*('Critérios de Implantação'!AJ$52)),0)+IFERROR(('Resumo-Cult.Perma.'!AF28*('Critérios de Implantação'!AJ$53)),0)+IFERROR(('Resumo-Cult.Perma.'!AE28*('Critérios de Implantação'!AJ$54)),0)+IFERROR(('Resumo-Cult.Perma.'!AD28*('Critérios de Implantação'!AJ$55)),0)+IFERROR(('Resumo-Cult.Perma.'!AC28*('Critérios de Implantação'!AJ$56)),0)+IFERROR(('Resumo-Cult.Perma.'!AB28*('Critérios de Implantação'!AJ$57)),0)+IFERROR(('Resumo-Cult.Perma.'!AA28*('Critérios de Implantação'!AJ$58)),0)+IFERROR(('Resumo-Cult.Perma.'!Z28*('Critérios de Implantação'!AJ$59)),0)+IFERROR(('Resumo-Cult.Perma.'!Y28*('Critérios de Implantação'!AJ$60)),0)</f>
        <v>111442450.52104799</v>
      </c>
      <c r="AK67" s="95">
        <f>IFERROR(('Resumo-Cult.Perma.'!AH28*('Critérios de Implantação'!AK$52)),0)+IFERROR(('Resumo-Cult.Perma.'!AG28*('Critérios de Implantação'!AK$53)),0)+IFERROR(('Resumo-Cult.Perma.'!AF28*('Critérios de Implantação'!AK$54)),0)+IFERROR(('Resumo-Cult.Perma.'!AE28*('Critérios de Implantação'!AK$55)),0)+IFERROR(('Resumo-Cult.Perma.'!AD28*('Critérios de Implantação'!AK$56)),0)+IFERROR(('Resumo-Cult.Perma.'!AC28*('Critérios de Implantação'!AK$57)),0)+IFERROR(('Resumo-Cult.Perma.'!AB28*('Critérios de Implantação'!AK$58)),0)+IFERROR(('Resumo-Cult.Perma.'!AA28*('Critérios de Implantação'!AK$59)),0)+IFERROR(('Resumo-Cult.Perma.'!Z28*('Critérios de Implantação'!AK$60)),0)</f>
        <v>120287663.75828911</v>
      </c>
    </row>
    <row r="68" spans="1:37" ht="20.149999999999999" customHeight="1" outlineLevel="1" thickBot="1" x14ac:dyDescent="0.3">
      <c r="A68" s="52"/>
      <c r="B68" s="102" t="s">
        <v>153</v>
      </c>
      <c r="C68" s="88"/>
      <c r="D68" s="88">
        <f>SUM(D67:D67)</f>
        <v>0</v>
      </c>
      <c r="E68" s="88">
        <f t="shared" ref="E68:AK68" si="50">SUM(E67:E67)</f>
        <v>0</v>
      </c>
      <c r="F68" s="88">
        <f t="shared" si="50"/>
        <v>0</v>
      </c>
      <c r="G68" s="88">
        <f>SUM(G67:G67)</f>
        <v>11074420.195146538</v>
      </c>
      <c r="H68" s="88">
        <f>SUM(H67:H67)</f>
        <v>21456689.128096417</v>
      </c>
      <c r="I68" s="88">
        <f t="shared" si="50"/>
        <v>33377756.597476259</v>
      </c>
      <c r="J68" s="88">
        <f t="shared" si="50"/>
        <v>57551932.448367871</v>
      </c>
      <c r="K68" s="88">
        <f t="shared" si="50"/>
        <v>79224626.405041292</v>
      </c>
      <c r="L68" s="88">
        <f t="shared" si="50"/>
        <v>100226769.81958896</v>
      </c>
      <c r="M68" s="88">
        <f t="shared" si="50"/>
        <v>116684458.5564775</v>
      </c>
      <c r="N68" s="88">
        <f t="shared" si="50"/>
        <v>125287161.89109495</v>
      </c>
      <c r="O68" s="88">
        <f t="shared" si="50"/>
        <v>125960638.52614357</v>
      </c>
      <c r="P68" s="88">
        <f t="shared" si="50"/>
        <v>119921170.43824847</v>
      </c>
      <c r="Q68" s="88">
        <f t="shared" si="50"/>
        <v>111578217.12737644</v>
      </c>
      <c r="R68" s="88">
        <f t="shared" si="50"/>
        <v>97959086.567610428</v>
      </c>
      <c r="S68" s="88">
        <f t="shared" si="50"/>
        <v>95611180.332374781</v>
      </c>
      <c r="T68" s="88">
        <f t="shared" si="50"/>
        <v>91944937.484073415</v>
      </c>
      <c r="U68" s="88">
        <f t="shared" si="50"/>
        <v>85561420.753104776</v>
      </c>
      <c r="V68" s="88">
        <f t="shared" si="50"/>
        <v>93883478.597924665</v>
      </c>
      <c r="W68" s="88">
        <f t="shared" si="50"/>
        <v>101439165.00271128</v>
      </c>
      <c r="X68" s="88">
        <f t="shared" si="50"/>
        <v>111442450.52104799</v>
      </c>
      <c r="Y68" s="88">
        <f t="shared" si="50"/>
        <v>120287663.75828911</v>
      </c>
      <c r="Z68" s="88">
        <f t="shared" si="50"/>
        <v>125287161.89109495</v>
      </c>
      <c r="AA68" s="88">
        <f t="shared" si="50"/>
        <v>125960638.52614357</v>
      </c>
      <c r="AB68" s="88">
        <f t="shared" si="50"/>
        <v>119921170.43824847</v>
      </c>
      <c r="AC68" s="88">
        <f t="shared" si="50"/>
        <v>111578217.12737644</v>
      </c>
      <c r="AD68" s="88">
        <f t="shared" si="50"/>
        <v>97959086.567610428</v>
      </c>
      <c r="AE68" s="88">
        <f t="shared" si="50"/>
        <v>95611180.332374781</v>
      </c>
      <c r="AF68" s="88">
        <f t="shared" si="50"/>
        <v>91944937.484073415</v>
      </c>
      <c r="AG68" s="88">
        <f t="shared" si="50"/>
        <v>85561420.753104776</v>
      </c>
      <c r="AH68" s="88">
        <f t="shared" si="50"/>
        <v>93883478.597924665</v>
      </c>
      <c r="AI68" s="88">
        <f t="shared" si="50"/>
        <v>101439165.00271128</v>
      </c>
      <c r="AJ68" s="88">
        <f t="shared" si="50"/>
        <v>111442450.52104799</v>
      </c>
      <c r="AK68" s="89">
        <f t="shared" si="50"/>
        <v>120287663.75828911</v>
      </c>
    </row>
    <row r="69" spans="1:37" ht="20.149999999999999" customHeight="1" outlineLevel="1" thickBot="1" x14ac:dyDescent="0.3">
      <c r="A69" s="14"/>
      <c r="C69" s="103"/>
      <c r="D69" s="103"/>
      <c r="E69" s="103"/>
      <c r="F69" s="103"/>
      <c r="G69" s="103"/>
      <c r="H69" s="103"/>
      <c r="I69" s="103"/>
      <c r="J69" s="103"/>
      <c r="K69" s="103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</row>
    <row r="70" spans="1:37" ht="20.149999999999999" customHeight="1" outlineLevel="1" thickBot="1" x14ac:dyDescent="0.3">
      <c r="A70" s="70">
        <v>4</v>
      </c>
      <c r="B70" s="104" t="s">
        <v>556</v>
      </c>
      <c r="C70" s="105"/>
      <c r="D70" s="105">
        <f t="shared" ref="D70:AK70" si="51">D68-D64-D57</f>
        <v>0</v>
      </c>
      <c r="E70" s="105">
        <f t="shared" si="51"/>
        <v>0</v>
      </c>
      <c r="F70" s="105">
        <f t="shared" si="51"/>
        <v>-10865178.096090198</v>
      </c>
      <c r="G70" s="105">
        <f t="shared" si="51"/>
        <v>-4701195.602437756</v>
      </c>
      <c r="H70" s="105">
        <f t="shared" si="51"/>
        <v>-1256951.9585386943</v>
      </c>
      <c r="I70" s="105">
        <f t="shared" si="51"/>
        <v>-7122814.4022496901</v>
      </c>
      <c r="J70" s="105">
        <f t="shared" si="51"/>
        <v>7659469.2999869399</v>
      </c>
      <c r="K70" s="105">
        <f t="shared" si="51"/>
        <v>18612532.690810822</v>
      </c>
      <c r="L70" s="105">
        <f t="shared" si="51"/>
        <v>33981095.073519401</v>
      </c>
      <c r="M70" s="105">
        <f t="shared" si="51"/>
        <v>48264890.684654027</v>
      </c>
      <c r="N70" s="105">
        <f t="shared" si="51"/>
        <v>58756652.570339486</v>
      </c>
      <c r="O70" s="105">
        <f t="shared" si="51"/>
        <v>64628169.41516789</v>
      </c>
      <c r="P70" s="105">
        <f t="shared" si="51"/>
        <v>59743055.138963915</v>
      </c>
      <c r="Q70" s="105">
        <f t="shared" si="51"/>
        <v>52773464.283340521</v>
      </c>
      <c r="R70" s="105">
        <f t="shared" si="51"/>
        <v>38227277.735411853</v>
      </c>
      <c r="S70" s="105">
        <f t="shared" si="51"/>
        <v>36006444.386520863</v>
      </c>
      <c r="T70" s="105">
        <f t="shared" si="51"/>
        <v>32141057.662957281</v>
      </c>
      <c r="U70" s="105">
        <f t="shared" si="51"/>
        <v>23188834.91017253</v>
      </c>
      <c r="V70" s="105">
        <f t="shared" si="51"/>
        <v>30495431.484887674</v>
      </c>
      <c r="W70" s="105">
        <f t="shared" si="51"/>
        <v>36630984.869044527</v>
      </c>
      <c r="X70" s="105">
        <f t="shared" si="51"/>
        <v>46267935.649127714</v>
      </c>
      <c r="Y70" s="105">
        <f t="shared" si="51"/>
        <v>55514894.344114743</v>
      </c>
      <c r="Z70" s="105">
        <f t="shared" si="51"/>
        <v>61868034.537012622</v>
      </c>
      <c r="AA70" s="105">
        <f t="shared" si="51"/>
        <v>64628169.41516789</v>
      </c>
      <c r="AB70" s="105">
        <f t="shared" si="51"/>
        <v>59743055.138963915</v>
      </c>
      <c r="AC70" s="105">
        <f t="shared" si="51"/>
        <v>52773464.283340521</v>
      </c>
      <c r="AD70" s="105">
        <f t="shared" si="51"/>
        <v>38227277.735411853</v>
      </c>
      <c r="AE70" s="105">
        <f t="shared" si="51"/>
        <v>36006444.386520863</v>
      </c>
      <c r="AF70" s="105">
        <f t="shared" si="51"/>
        <v>32141057.662957281</v>
      </c>
      <c r="AG70" s="105">
        <f t="shared" si="51"/>
        <v>23188834.91017253</v>
      </c>
      <c r="AH70" s="105">
        <f t="shared" si="51"/>
        <v>30495431.484887674</v>
      </c>
      <c r="AI70" s="105">
        <f t="shared" si="51"/>
        <v>36630984.869044527</v>
      </c>
      <c r="AJ70" s="105">
        <f t="shared" si="51"/>
        <v>46267935.649127714</v>
      </c>
      <c r="AK70" s="106">
        <f t="shared" si="51"/>
        <v>55514894.344114743</v>
      </c>
    </row>
    <row r="71" spans="1:37" ht="20.149999999999999" customHeight="1" outlineLevel="1" thickBot="1" x14ac:dyDescent="0.3">
      <c r="A71" s="14"/>
      <c r="C71" s="103"/>
      <c r="D71" s="103"/>
      <c r="E71" s="103"/>
      <c r="F71" s="103"/>
      <c r="G71" s="103"/>
      <c r="H71" s="103"/>
      <c r="I71" s="103"/>
      <c r="J71" s="103"/>
      <c r="K71" s="103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</row>
    <row r="72" spans="1:37" ht="20.149999999999999" customHeight="1" outlineLevel="1" thickBot="1" x14ac:dyDescent="0.3">
      <c r="A72" s="70">
        <v>5</v>
      </c>
      <c r="B72" s="104" t="s">
        <v>160</v>
      </c>
      <c r="C72" s="107"/>
      <c r="D72" s="107">
        <f>D70</f>
        <v>0</v>
      </c>
      <c r="E72" s="107">
        <f>D72+E70</f>
        <v>0</v>
      </c>
      <c r="F72" s="107">
        <f t="shared" ref="F72:AJ72" si="52">E72+F70</f>
        <v>-10865178.096090198</v>
      </c>
      <c r="G72" s="107">
        <f t="shared" si="52"/>
        <v>-15566373.698527955</v>
      </c>
      <c r="H72" s="107">
        <f>G72+H70</f>
        <v>-16823325.657066651</v>
      </c>
      <c r="I72" s="107">
        <f>H72+I70</f>
        <v>-23946140.059316341</v>
      </c>
      <c r="J72" s="107">
        <f t="shared" si="52"/>
        <v>-16286670.759329401</v>
      </c>
      <c r="K72" s="107">
        <f t="shared" si="52"/>
        <v>2325861.931481421</v>
      </c>
      <c r="L72" s="107">
        <f t="shared" si="52"/>
        <v>36306957.005000822</v>
      </c>
      <c r="M72" s="107">
        <f t="shared" si="52"/>
        <v>84571847.689654857</v>
      </c>
      <c r="N72" s="107">
        <f t="shared" si="52"/>
        <v>143328500.25999433</v>
      </c>
      <c r="O72" s="107">
        <f t="shared" si="52"/>
        <v>207956669.67516223</v>
      </c>
      <c r="P72" s="107">
        <f t="shared" si="52"/>
        <v>267699724.81412613</v>
      </c>
      <c r="Q72" s="107">
        <f t="shared" si="52"/>
        <v>320473189.09746665</v>
      </c>
      <c r="R72" s="107">
        <f t="shared" si="52"/>
        <v>358700466.83287847</v>
      </c>
      <c r="S72" s="107">
        <f t="shared" si="52"/>
        <v>394706911.21939933</v>
      </c>
      <c r="T72" s="107">
        <f t="shared" si="52"/>
        <v>426847968.88235664</v>
      </c>
      <c r="U72" s="107">
        <f t="shared" si="52"/>
        <v>450036803.79252917</v>
      </c>
      <c r="V72" s="107">
        <f t="shared" si="52"/>
        <v>480532235.27741683</v>
      </c>
      <c r="W72" s="107">
        <f t="shared" si="52"/>
        <v>517163220.14646137</v>
      </c>
      <c r="X72" s="107">
        <f t="shared" si="52"/>
        <v>563431155.79558909</v>
      </c>
      <c r="Y72" s="107">
        <f t="shared" si="52"/>
        <v>618946050.13970387</v>
      </c>
      <c r="Z72" s="107">
        <f t="shared" si="52"/>
        <v>680814084.67671645</v>
      </c>
      <c r="AA72" s="107">
        <f t="shared" si="52"/>
        <v>745442254.09188437</v>
      </c>
      <c r="AB72" s="107">
        <f t="shared" si="52"/>
        <v>805185309.23084831</v>
      </c>
      <c r="AC72" s="107">
        <f t="shared" si="52"/>
        <v>857958773.51418889</v>
      </c>
      <c r="AD72" s="107">
        <f t="shared" si="52"/>
        <v>896186051.24960077</v>
      </c>
      <c r="AE72" s="107">
        <f t="shared" si="52"/>
        <v>932192495.63612163</v>
      </c>
      <c r="AF72" s="107">
        <f t="shared" si="52"/>
        <v>964333553.29907894</v>
      </c>
      <c r="AG72" s="107">
        <f t="shared" si="52"/>
        <v>987522388.20925152</v>
      </c>
      <c r="AH72" s="107">
        <f t="shared" si="52"/>
        <v>1018017819.6941392</v>
      </c>
      <c r="AI72" s="107">
        <f t="shared" si="52"/>
        <v>1054648804.5631838</v>
      </c>
      <c r="AJ72" s="107">
        <f t="shared" si="52"/>
        <v>1100916740.2123115</v>
      </c>
      <c r="AK72" s="108">
        <f>AJ72+AK70</f>
        <v>1156431634.5564263</v>
      </c>
    </row>
    <row r="73" spans="1:37" outlineLevel="1" x14ac:dyDescent="0.25">
      <c r="H73" s="535"/>
    </row>
    <row r="74" spans="1:37" s="546" customFormat="1" ht="30" customHeight="1" collapsed="1" x14ac:dyDescent="0.25">
      <c r="A74" s="545" t="s">
        <v>376</v>
      </c>
      <c r="AK74" s="870"/>
    </row>
    <row r="75" spans="1:37" s="550" customFormat="1" ht="20.149999999999999" hidden="1" customHeight="1" outlineLevel="1" thickBot="1" x14ac:dyDescent="0.3">
      <c r="A75" s="547" t="s">
        <v>389</v>
      </c>
      <c r="B75" s="548"/>
      <c r="C75" s="548"/>
      <c r="D75" s="548"/>
      <c r="E75" s="548"/>
      <c r="F75" s="548"/>
      <c r="G75" s="548"/>
      <c r="H75" s="548"/>
      <c r="I75" s="548"/>
      <c r="J75" s="548"/>
      <c r="K75" s="548"/>
      <c r="L75" s="548"/>
      <c r="M75" s="548"/>
      <c r="N75" s="548"/>
      <c r="O75" s="548"/>
      <c r="P75" s="548"/>
      <c r="Q75" s="548"/>
      <c r="R75" s="548"/>
      <c r="S75" s="548"/>
      <c r="T75" s="548"/>
      <c r="U75" s="548"/>
      <c r="V75" s="548"/>
      <c r="W75" s="548"/>
      <c r="X75" s="548"/>
      <c r="Y75" s="548"/>
      <c r="Z75" s="548"/>
      <c r="AA75" s="548"/>
      <c r="AB75" s="548"/>
      <c r="AC75" s="548"/>
      <c r="AD75" s="548"/>
      <c r="AE75" s="548"/>
      <c r="AF75" s="548"/>
      <c r="AG75" s="548"/>
      <c r="AH75" s="548"/>
      <c r="AI75" s="548"/>
      <c r="AJ75" s="548"/>
      <c r="AK75" s="878"/>
    </row>
    <row r="76" spans="1:37" s="58" customFormat="1" ht="20.149999999999999" hidden="1" customHeight="1" outlineLevel="1" thickBot="1" x14ac:dyDescent="0.3">
      <c r="A76" s="1096" t="s">
        <v>152</v>
      </c>
      <c r="B76" s="1098" t="s">
        <v>150</v>
      </c>
      <c r="C76" s="884" t="s">
        <v>151</v>
      </c>
      <c r="D76" s="885"/>
      <c r="E76" s="885"/>
      <c r="F76" s="885"/>
      <c r="G76" s="885"/>
      <c r="H76" s="885"/>
      <c r="I76" s="885"/>
      <c r="J76" s="885"/>
      <c r="K76" s="885"/>
      <c r="L76" s="885"/>
      <c r="M76" s="885"/>
      <c r="N76" s="885"/>
      <c r="O76" s="885"/>
      <c r="P76" s="885"/>
      <c r="Q76" s="885"/>
      <c r="R76" s="885"/>
      <c r="S76" s="885"/>
      <c r="T76" s="885"/>
      <c r="U76" s="885"/>
      <c r="V76" s="885"/>
      <c r="W76" s="885"/>
      <c r="X76" s="885"/>
      <c r="Y76" s="885"/>
      <c r="Z76" s="885"/>
      <c r="AA76" s="885"/>
      <c r="AB76" s="885"/>
      <c r="AC76" s="885"/>
      <c r="AD76" s="885"/>
      <c r="AE76" s="885"/>
      <c r="AF76" s="885"/>
      <c r="AG76" s="885"/>
      <c r="AH76" s="885"/>
      <c r="AI76" s="885"/>
      <c r="AJ76" s="885"/>
      <c r="AK76" s="886"/>
    </row>
    <row r="77" spans="1:37" s="58" customFormat="1" ht="20.149999999999999" hidden="1" customHeight="1" outlineLevel="1" thickBot="1" x14ac:dyDescent="0.3">
      <c r="A77" s="1097"/>
      <c r="B77" s="1099"/>
      <c r="C77" s="122">
        <v>1</v>
      </c>
      <c r="D77" s="122">
        <f>C77+1</f>
        <v>2</v>
      </c>
      <c r="E77" s="122">
        <f t="shared" ref="E77:AK77" si="53">D77+1</f>
        <v>3</v>
      </c>
      <c r="F77" s="122">
        <f t="shared" si="53"/>
        <v>4</v>
      </c>
      <c r="G77" s="122">
        <f t="shared" si="53"/>
        <v>5</v>
      </c>
      <c r="H77" s="122">
        <f t="shared" si="53"/>
        <v>6</v>
      </c>
      <c r="I77" s="122">
        <f t="shared" si="53"/>
        <v>7</v>
      </c>
      <c r="J77" s="122">
        <f t="shared" si="53"/>
        <v>8</v>
      </c>
      <c r="K77" s="122">
        <f t="shared" si="53"/>
        <v>9</v>
      </c>
      <c r="L77" s="122">
        <f t="shared" si="53"/>
        <v>10</v>
      </c>
      <c r="M77" s="122">
        <f t="shared" si="53"/>
        <v>11</v>
      </c>
      <c r="N77" s="122">
        <f t="shared" si="53"/>
        <v>12</v>
      </c>
      <c r="O77" s="122">
        <f t="shared" si="53"/>
        <v>13</v>
      </c>
      <c r="P77" s="122">
        <f t="shared" si="53"/>
        <v>14</v>
      </c>
      <c r="Q77" s="122">
        <f t="shared" si="53"/>
        <v>15</v>
      </c>
      <c r="R77" s="122">
        <f t="shared" si="53"/>
        <v>16</v>
      </c>
      <c r="S77" s="122">
        <f t="shared" si="53"/>
        <v>17</v>
      </c>
      <c r="T77" s="122">
        <f t="shared" si="53"/>
        <v>18</v>
      </c>
      <c r="U77" s="122">
        <f t="shared" si="53"/>
        <v>19</v>
      </c>
      <c r="V77" s="122">
        <f t="shared" si="53"/>
        <v>20</v>
      </c>
      <c r="W77" s="122">
        <f t="shared" si="53"/>
        <v>21</v>
      </c>
      <c r="X77" s="122">
        <f t="shared" si="53"/>
        <v>22</v>
      </c>
      <c r="Y77" s="122">
        <f t="shared" si="53"/>
        <v>23</v>
      </c>
      <c r="Z77" s="122">
        <f t="shared" si="53"/>
        <v>24</v>
      </c>
      <c r="AA77" s="122">
        <f t="shared" si="53"/>
        <v>25</v>
      </c>
      <c r="AB77" s="122">
        <f t="shared" si="53"/>
        <v>26</v>
      </c>
      <c r="AC77" s="122">
        <f t="shared" si="53"/>
        <v>27</v>
      </c>
      <c r="AD77" s="122">
        <f t="shared" si="53"/>
        <v>28</v>
      </c>
      <c r="AE77" s="122">
        <f t="shared" si="53"/>
        <v>29</v>
      </c>
      <c r="AF77" s="122">
        <f t="shared" si="53"/>
        <v>30</v>
      </c>
      <c r="AG77" s="122">
        <f t="shared" si="53"/>
        <v>31</v>
      </c>
      <c r="AH77" s="122">
        <f t="shared" si="53"/>
        <v>32</v>
      </c>
      <c r="AI77" s="122">
        <f t="shared" si="53"/>
        <v>33</v>
      </c>
      <c r="AJ77" s="122">
        <f t="shared" si="53"/>
        <v>34</v>
      </c>
      <c r="AK77" s="45">
        <f t="shared" si="53"/>
        <v>35</v>
      </c>
    </row>
    <row r="78" spans="1:37" ht="20.149999999999999" hidden="1" customHeight="1" outlineLevel="1" x14ac:dyDescent="0.25">
      <c r="A78" s="71">
        <v>1</v>
      </c>
      <c r="B78" s="76" t="s">
        <v>134</v>
      </c>
      <c r="AK78" s="77"/>
    </row>
    <row r="79" spans="1:37" ht="20.149999999999999" hidden="1" customHeight="1" outlineLevel="1" x14ac:dyDescent="0.25">
      <c r="A79" s="48" t="s">
        <v>74</v>
      </c>
      <c r="B79" s="78" t="s">
        <v>129</v>
      </c>
      <c r="C79" s="80"/>
      <c r="D79" s="80">
        <f>'Critérios de Implantação'!D$32*'Resumo-Cult.Perma.'!$C42</f>
        <v>0</v>
      </c>
      <c r="E79" s="80">
        <f>'Critérios de Implantação'!E$32*'Resumo-Cult.Perma.'!$C42</f>
        <v>0</v>
      </c>
      <c r="F79" s="80">
        <f>'Critérios de Implantação'!F$32*'Resumo-Cult.Perma.'!$C42</f>
        <v>81416.425633198334</v>
      </c>
      <c r="G79" s="80">
        <f>'Critérios de Implantação'!G$32*'Resumo-Cult.Perma.'!$C42</f>
        <v>81416.425633198334</v>
      </c>
      <c r="H79" s="80">
        <f>'Critérios de Implantação'!H$32*'Resumo-Cult.Perma.'!$C42</f>
        <v>97817.822290595068</v>
      </c>
      <c r="I79" s="80">
        <f>'Critérios de Implantação'!I$32*'Resumo-Cult.Perma.'!$C42</f>
        <v>188924.7621518134</v>
      </c>
      <c r="J79" s="80">
        <f>'Critérios de Implantação'!J$32*'Resumo-Cult.Perma.'!$C42</f>
        <v>177253.75080152799</v>
      </c>
      <c r="K79" s="80">
        <f>'Critérios de Implantação'!K$32*'Resumo-Cult.Perma.'!$C42</f>
        <v>182377.29953835037</v>
      </c>
      <c r="L79" s="80">
        <f>'Critérios de Implantação'!L$32*'Resumo-Cult.Perma.'!$C42</f>
        <v>148558.36507320273</v>
      </c>
      <c r="M79" s="80">
        <f>'Critérios de Implantação'!M$32*'Resumo-Cult.Perma.'!$C42</f>
        <v>105307.64122763478</v>
      </c>
      <c r="N79" s="80">
        <f>'Critérios de Implantação'!N$32*'Resumo-Cult.Perma.'!$C42</f>
        <v>52979.764752472787</v>
      </c>
      <c r="O79" s="80">
        <f>'Critérios de Implantação'!O$32*'Resumo-Cult.Perma.'!$C42</f>
        <v>0</v>
      </c>
      <c r="P79" s="80">
        <f>'Critérios de Implantação'!P$32*'Resumo-Cult.Perma.'!$C42</f>
        <v>0</v>
      </c>
      <c r="Q79" s="80">
        <f>'Critérios de Implantação'!Q$32*'Resumo-Cult.Perma.'!$C42</f>
        <v>0</v>
      </c>
      <c r="R79" s="80">
        <f>'Critérios de Implantação'!R$32*'Resumo-Cult.Perma.'!$C42</f>
        <v>0</v>
      </c>
      <c r="S79" s="80">
        <f>'Critérios de Implantação'!S$32*'Resumo-Cult.Perma.'!$C42</f>
        <v>0</v>
      </c>
      <c r="T79" s="80">
        <f>'Critérios de Implantação'!T$32*'Resumo-Cult.Perma.'!$C42</f>
        <v>0</v>
      </c>
      <c r="U79" s="80">
        <f>'Critérios de Implantação'!U$32*'Resumo-Cult.Perma.'!$C42</f>
        <v>0</v>
      </c>
      <c r="V79" s="80">
        <f>'Critérios de Implantação'!V$32*'Resumo-Cult.Perma.'!$C42</f>
        <v>0</v>
      </c>
      <c r="W79" s="80">
        <f>'Critérios de Implantação'!W$32*'Resumo-Cult.Perma.'!$C42</f>
        <v>0</v>
      </c>
      <c r="X79" s="80">
        <f>'Critérios de Implantação'!X$32*'Resumo-Cult.Perma.'!$C42</f>
        <v>0</v>
      </c>
      <c r="Y79" s="80">
        <f>'Critérios de Implantação'!Y$32*'Resumo-Cult.Perma.'!$C42</f>
        <v>0</v>
      </c>
      <c r="Z79" s="80">
        <f>'Critérios de Implantação'!Z$32*'Resumo-Cult.Perma.'!$C42</f>
        <v>0</v>
      </c>
      <c r="AA79" s="80">
        <f>'Critérios de Implantação'!AA$32*'Resumo-Cult.Perma.'!$C42</f>
        <v>0</v>
      </c>
      <c r="AB79" s="80">
        <f>'Critérios de Implantação'!AB$32*'Resumo-Cult.Perma.'!$C42</f>
        <v>0</v>
      </c>
      <c r="AC79" s="80">
        <f>'Critérios de Implantação'!AC$32*'Resumo-Cult.Perma.'!$C42</f>
        <v>0</v>
      </c>
      <c r="AD79" s="80">
        <f>'Critérios de Implantação'!AD$32*'Resumo-Cult.Perma.'!$C42</f>
        <v>0</v>
      </c>
      <c r="AE79" s="80">
        <f>'Critérios de Implantação'!AE$32*'Resumo-Cult.Perma.'!$C42</f>
        <v>0</v>
      </c>
      <c r="AF79" s="80">
        <f>'Critérios de Implantação'!AF$32*'Resumo-Cult.Perma.'!$C42</f>
        <v>0</v>
      </c>
      <c r="AG79" s="80">
        <f>'Critérios de Implantação'!AG$32*'Resumo-Cult.Perma.'!$C42</f>
        <v>0</v>
      </c>
      <c r="AH79" s="80">
        <f>'Critérios de Implantação'!AH$32*'Resumo-Cult.Perma.'!$C42</f>
        <v>0</v>
      </c>
      <c r="AI79" s="80">
        <f>'Critérios de Implantação'!AI$32*'Resumo-Cult.Perma.'!$C42</f>
        <v>0</v>
      </c>
      <c r="AJ79" s="80">
        <f>'Critérios de Implantação'!AJ$32*'Resumo-Cult.Perma.'!$C42</f>
        <v>0</v>
      </c>
      <c r="AK79" s="81">
        <f>'Critérios de Implantação'!AK$32*'Resumo-Cult.Perma.'!$C42</f>
        <v>0</v>
      </c>
    </row>
    <row r="80" spans="1:37" ht="20.149999999999999" hidden="1" customHeight="1" outlineLevel="1" x14ac:dyDescent="0.25">
      <c r="A80" s="48" t="s">
        <v>75</v>
      </c>
      <c r="B80" s="82" t="s">
        <v>335</v>
      </c>
      <c r="C80" s="80"/>
      <c r="D80" s="80">
        <f>'Critérios de Implantação'!D$32*'Resumo-Cult.Perma.'!$C43</f>
        <v>0</v>
      </c>
      <c r="E80" s="80">
        <f>'Critérios de Implantação'!E$32*'Resumo-Cult.Perma.'!$C43</f>
        <v>0</v>
      </c>
      <c r="F80" s="80">
        <f>'Critérios de Implantação'!F$32*'Resumo-Cult.Perma.'!$C43</f>
        <v>1416021.4038393181</v>
      </c>
      <c r="G80" s="80">
        <f>'Critérios de Implantação'!G$32*'Resumo-Cult.Perma.'!$C43</f>
        <v>1416021.4038393181</v>
      </c>
      <c r="H80" s="80">
        <f>'Critérios de Implantação'!H$32*'Resumo-Cult.Perma.'!$C43</f>
        <v>1701279.9194165764</v>
      </c>
      <c r="I80" s="80">
        <f>'Critérios de Implantação'!I$32*'Resumo-Cult.Perma.'!$C43</f>
        <v>3285841.9519357476</v>
      </c>
      <c r="J80" s="80">
        <f>'Critérios de Implantação'!J$32*'Resumo-Cult.Perma.'!$C43</f>
        <v>3082855.862237934</v>
      </c>
      <c r="K80" s="80">
        <f>'Critérios de Implantação'!K$32*'Resumo-Cult.Perma.'!$C43</f>
        <v>3171966.3165293103</v>
      </c>
      <c r="L80" s="80">
        <f>'Critérios de Implantação'!L$32*'Resumo-Cult.Perma.'!$C43</f>
        <v>2583776.2223898633</v>
      </c>
      <c r="M80" s="80">
        <f>'Critérios de Implantação'!M$32*'Resumo-Cult.Perma.'!$C43</f>
        <v>1831545.327695624</v>
      </c>
      <c r="N80" s="80">
        <f>'Critérios de Implantação'!N$32*'Resumo-Cult.Perma.'!$C43</f>
        <v>921441.59211630875</v>
      </c>
      <c r="O80" s="80">
        <f>'Critérios de Implantação'!O$32*'Resumo-Cult.Perma.'!$C43</f>
        <v>0</v>
      </c>
      <c r="P80" s="80">
        <f>'Critérios de Implantação'!P$32*'Resumo-Cult.Perma.'!$C43</f>
        <v>0</v>
      </c>
      <c r="Q80" s="80">
        <f>'Critérios de Implantação'!Q$32*'Resumo-Cult.Perma.'!$C43</f>
        <v>0</v>
      </c>
      <c r="R80" s="80">
        <f>'Critérios de Implantação'!R$32*'Resumo-Cult.Perma.'!$C43</f>
        <v>0</v>
      </c>
      <c r="S80" s="80">
        <f>'Critérios de Implantação'!S$32*'Resumo-Cult.Perma.'!$C43</f>
        <v>0</v>
      </c>
      <c r="T80" s="80">
        <f>'Critérios de Implantação'!T$32*'Resumo-Cult.Perma.'!$C43</f>
        <v>0</v>
      </c>
      <c r="U80" s="80">
        <f>'Critérios de Implantação'!U$32*'Resumo-Cult.Perma.'!$C43</f>
        <v>0</v>
      </c>
      <c r="V80" s="80">
        <f>'Critérios de Implantação'!V$32*'Resumo-Cult.Perma.'!$C43</f>
        <v>0</v>
      </c>
      <c r="W80" s="80">
        <f>'Critérios de Implantação'!W$32*'Resumo-Cult.Perma.'!$C43</f>
        <v>0</v>
      </c>
      <c r="X80" s="80">
        <f>'Critérios de Implantação'!X$32*'Resumo-Cult.Perma.'!$C43</f>
        <v>0</v>
      </c>
      <c r="Y80" s="80">
        <f>'Critérios de Implantação'!Y$32*'Resumo-Cult.Perma.'!$C43</f>
        <v>0</v>
      </c>
      <c r="Z80" s="80">
        <f>'Critérios de Implantação'!Z$32*'Resumo-Cult.Perma.'!$C43</f>
        <v>0</v>
      </c>
      <c r="AA80" s="80">
        <f>'Critérios de Implantação'!AA$32*'Resumo-Cult.Perma.'!$C43</f>
        <v>0</v>
      </c>
      <c r="AB80" s="80">
        <f>'Critérios de Implantação'!AB$32*'Resumo-Cult.Perma.'!$C43</f>
        <v>0</v>
      </c>
      <c r="AC80" s="80">
        <f>'Critérios de Implantação'!AC$32*'Resumo-Cult.Perma.'!$C43</f>
        <v>0</v>
      </c>
      <c r="AD80" s="80">
        <f>'Critérios de Implantação'!AD$32*'Resumo-Cult.Perma.'!$C43</f>
        <v>0</v>
      </c>
      <c r="AE80" s="80">
        <f>'Critérios de Implantação'!AE$32*'Resumo-Cult.Perma.'!$C43</f>
        <v>0</v>
      </c>
      <c r="AF80" s="80">
        <f>'Critérios de Implantação'!AF$32*'Resumo-Cult.Perma.'!$C43</f>
        <v>0</v>
      </c>
      <c r="AG80" s="80">
        <f>'Critérios de Implantação'!AG$32*'Resumo-Cult.Perma.'!$C43</f>
        <v>0</v>
      </c>
      <c r="AH80" s="80">
        <f>'Critérios de Implantação'!AH$32*'Resumo-Cult.Perma.'!$C43</f>
        <v>0</v>
      </c>
      <c r="AI80" s="80">
        <f>'Critérios de Implantação'!AI$32*'Resumo-Cult.Perma.'!$C43</f>
        <v>0</v>
      </c>
      <c r="AJ80" s="80">
        <f>'Critérios de Implantação'!AJ$32*'Resumo-Cult.Perma.'!$C43</f>
        <v>0</v>
      </c>
      <c r="AK80" s="81">
        <f>'Critérios de Implantação'!AK$32*'Resumo-Cult.Perma.'!$C43</f>
        <v>0</v>
      </c>
    </row>
    <row r="81" spans="1:37" ht="20.149999999999999" hidden="1" customHeight="1" outlineLevel="1" x14ac:dyDescent="0.25">
      <c r="A81" s="48" t="s">
        <v>76</v>
      </c>
      <c r="B81" s="82" t="s">
        <v>336</v>
      </c>
      <c r="C81" s="80"/>
      <c r="D81" s="80">
        <f>'Critérios de Implantação'!D$32*'Resumo-Cult.Perma.'!$C44</f>
        <v>0</v>
      </c>
      <c r="E81" s="80">
        <f>'Critérios de Implantação'!E$32*'Resumo-Cult.Perma.'!$C44</f>
        <v>0</v>
      </c>
      <c r="F81" s="80">
        <f>'Critérios de Implantação'!F$32*'Resumo-Cult.Perma.'!$C44</f>
        <v>0</v>
      </c>
      <c r="G81" s="80">
        <f>'Critérios de Implantação'!G$32*'Resumo-Cult.Perma.'!$C44</f>
        <v>0</v>
      </c>
      <c r="H81" s="80">
        <f>'Critérios de Implantação'!H$32*'Resumo-Cult.Perma.'!$C44</f>
        <v>0</v>
      </c>
      <c r="I81" s="80">
        <f>'Critérios de Implantação'!I$32*'Resumo-Cult.Perma.'!$C44</f>
        <v>0</v>
      </c>
      <c r="J81" s="80">
        <f>'Critérios de Implantação'!J$32*'Resumo-Cult.Perma.'!$C44</f>
        <v>0</v>
      </c>
      <c r="K81" s="80">
        <f>'Critérios de Implantação'!K$32*'Resumo-Cult.Perma.'!$C44</f>
        <v>0</v>
      </c>
      <c r="L81" s="80">
        <f>'Critérios de Implantação'!L$32*'Resumo-Cult.Perma.'!$C44</f>
        <v>0</v>
      </c>
      <c r="M81" s="80">
        <f>'Critérios de Implantação'!M$32*'Resumo-Cult.Perma.'!$C44</f>
        <v>0</v>
      </c>
      <c r="N81" s="80">
        <f>'Critérios de Implantação'!N$32*'Resumo-Cult.Perma.'!$C44</f>
        <v>0</v>
      </c>
      <c r="O81" s="80">
        <f>'Critérios de Implantação'!O$32*'Resumo-Cult.Perma.'!$C44</f>
        <v>0</v>
      </c>
      <c r="P81" s="80">
        <f>'Critérios de Implantação'!P$32*'Resumo-Cult.Perma.'!$C44</f>
        <v>0</v>
      </c>
      <c r="Q81" s="80">
        <f>'Critérios de Implantação'!Q$32*'Resumo-Cult.Perma.'!$C44</f>
        <v>0</v>
      </c>
      <c r="R81" s="80">
        <f>'Critérios de Implantação'!R$32*'Resumo-Cult.Perma.'!$C44</f>
        <v>0</v>
      </c>
      <c r="S81" s="80">
        <f>'Critérios de Implantação'!S$32*'Resumo-Cult.Perma.'!$C44</f>
        <v>0</v>
      </c>
      <c r="T81" s="80">
        <f>'Critérios de Implantação'!T$32*'Resumo-Cult.Perma.'!$C44</f>
        <v>0</v>
      </c>
      <c r="U81" s="80">
        <f>'Critérios de Implantação'!U$32*'Resumo-Cult.Perma.'!$C44</f>
        <v>0</v>
      </c>
      <c r="V81" s="80">
        <f>'Critérios de Implantação'!V$32*'Resumo-Cult.Perma.'!$C44</f>
        <v>0</v>
      </c>
      <c r="W81" s="80">
        <f>'Critérios de Implantação'!W$32*'Resumo-Cult.Perma.'!$C44</f>
        <v>0</v>
      </c>
      <c r="X81" s="80">
        <f>'Critérios de Implantação'!X$32*'Resumo-Cult.Perma.'!$C44</f>
        <v>0</v>
      </c>
      <c r="Y81" s="80">
        <f>'Critérios de Implantação'!Y$32*'Resumo-Cult.Perma.'!$C44</f>
        <v>0</v>
      </c>
      <c r="Z81" s="80">
        <f>'Critérios de Implantação'!Z$32*'Resumo-Cult.Perma.'!$C44</f>
        <v>0</v>
      </c>
      <c r="AA81" s="80">
        <f>'Critérios de Implantação'!AA$32*'Resumo-Cult.Perma.'!$C44</f>
        <v>0</v>
      </c>
      <c r="AB81" s="80">
        <f>'Critérios de Implantação'!AB$32*'Resumo-Cult.Perma.'!$C44</f>
        <v>0</v>
      </c>
      <c r="AC81" s="80">
        <f>'Critérios de Implantação'!AC$32*'Resumo-Cult.Perma.'!$C44</f>
        <v>0</v>
      </c>
      <c r="AD81" s="80">
        <f>'Critérios de Implantação'!AD$32*'Resumo-Cult.Perma.'!$C44</f>
        <v>0</v>
      </c>
      <c r="AE81" s="80">
        <f>'Critérios de Implantação'!AE$32*'Resumo-Cult.Perma.'!$C44</f>
        <v>0</v>
      </c>
      <c r="AF81" s="80">
        <f>'Critérios de Implantação'!AF$32*'Resumo-Cult.Perma.'!$C44</f>
        <v>0</v>
      </c>
      <c r="AG81" s="80">
        <f>'Critérios de Implantação'!AG$32*'Resumo-Cult.Perma.'!$C44</f>
        <v>0</v>
      </c>
      <c r="AH81" s="80">
        <f>'Critérios de Implantação'!AH$32*'Resumo-Cult.Perma.'!$C44</f>
        <v>0</v>
      </c>
      <c r="AI81" s="80">
        <f>'Critérios de Implantação'!AI$32*'Resumo-Cult.Perma.'!$C44</f>
        <v>0</v>
      </c>
      <c r="AJ81" s="80">
        <f>'Critérios de Implantação'!AJ$32*'Resumo-Cult.Perma.'!$C44</f>
        <v>0</v>
      </c>
      <c r="AK81" s="81">
        <f>'Critérios de Implantação'!AK$32*'Resumo-Cult.Perma.'!$C44</f>
        <v>0</v>
      </c>
    </row>
    <row r="82" spans="1:37" ht="20.149999999999999" hidden="1" customHeight="1" outlineLevel="1" x14ac:dyDescent="0.25">
      <c r="A82" s="48" t="s">
        <v>126</v>
      </c>
      <c r="B82" s="82" t="s">
        <v>130</v>
      </c>
      <c r="C82" s="80"/>
      <c r="D82" s="80">
        <f>'Critérios de Implantação'!D$32*'Resumo-Cult.Perma.'!$C45</f>
        <v>0</v>
      </c>
      <c r="E82" s="80">
        <f>'Critérios de Implantação'!E$32*'Resumo-Cult.Perma.'!$C45</f>
        <v>0</v>
      </c>
      <c r="F82" s="80">
        <f>'Critérios de Implantação'!F$32*'Resumo-Cult.Perma.'!$C45</f>
        <v>1475078.9365221099</v>
      </c>
      <c r="G82" s="80">
        <f>'Critérios de Implantação'!G$32*'Resumo-Cult.Perma.'!$C45</f>
        <v>1475078.9365221099</v>
      </c>
      <c r="H82" s="80">
        <f>'Critérios de Implantação'!H$32*'Resumo-Cult.Perma.'!$C45</f>
        <v>1772234.6339223771</v>
      </c>
      <c r="I82" s="80">
        <f>'Critérios de Implantação'!I$32*'Resumo-Cult.Perma.'!$C45</f>
        <v>3422883.4669444812</v>
      </c>
      <c r="J82" s="80">
        <f>'Critérios de Implantação'!J$32*'Resumo-Cult.Perma.'!$C45</f>
        <v>3211431.504065671</v>
      </c>
      <c r="K82" s="80">
        <f>'Critérios de Implantação'!K$32*'Resumo-Cult.Perma.'!$C45</f>
        <v>3304258.458370693</v>
      </c>
      <c r="L82" s="80">
        <f>'Critérios de Implantação'!L$32*'Resumo-Cult.Perma.'!$C45</f>
        <v>2691536.9160383367</v>
      </c>
      <c r="M82" s="80">
        <f>'Critérios de Implantação'!M$32*'Resumo-Cult.Perma.'!$C45</f>
        <v>1907932.9781627161</v>
      </c>
      <c r="N82" s="80">
        <f>'Critérios de Implantação'!N$32*'Resumo-Cult.Perma.'!$C45</f>
        <v>959871.84945150639</v>
      </c>
      <c r="O82" s="80">
        <f>'Critérios de Implantação'!O$32*'Resumo-Cult.Perma.'!$C45</f>
        <v>0</v>
      </c>
      <c r="P82" s="80">
        <f>'Critérios de Implantação'!P$32*'Resumo-Cult.Perma.'!$C45</f>
        <v>0</v>
      </c>
      <c r="Q82" s="80">
        <f>'Critérios de Implantação'!Q$32*'Resumo-Cult.Perma.'!$C45</f>
        <v>0</v>
      </c>
      <c r="R82" s="80">
        <f>'Critérios de Implantação'!R$32*'Resumo-Cult.Perma.'!$C45</f>
        <v>0</v>
      </c>
      <c r="S82" s="80">
        <f>'Critérios de Implantação'!S$32*'Resumo-Cult.Perma.'!$C45</f>
        <v>0</v>
      </c>
      <c r="T82" s="80">
        <f>'Critérios de Implantação'!T$32*'Resumo-Cult.Perma.'!$C45</f>
        <v>0</v>
      </c>
      <c r="U82" s="80">
        <f>'Critérios de Implantação'!U$32*'Resumo-Cult.Perma.'!$C45</f>
        <v>0</v>
      </c>
      <c r="V82" s="80">
        <f>'Critérios de Implantação'!V$32*'Resumo-Cult.Perma.'!$C45</f>
        <v>0</v>
      </c>
      <c r="W82" s="80">
        <f>'Critérios de Implantação'!W$32*'Resumo-Cult.Perma.'!$C45</f>
        <v>0</v>
      </c>
      <c r="X82" s="80">
        <f>'Critérios de Implantação'!X$32*'Resumo-Cult.Perma.'!$C45</f>
        <v>0</v>
      </c>
      <c r="Y82" s="80">
        <f>'Critérios de Implantação'!Y$32*'Resumo-Cult.Perma.'!$C45</f>
        <v>0</v>
      </c>
      <c r="Z82" s="80">
        <f>'Critérios de Implantação'!Z$32*'Resumo-Cult.Perma.'!$C45</f>
        <v>0</v>
      </c>
      <c r="AA82" s="80">
        <f>'Critérios de Implantação'!AA$32*'Resumo-Cult.Perma.'!$C45</f>
        <v>0</v>
      </c>
      <c r="AB82" s="80">
        <f>'Critérios de Implantação'!AB$32*'Resumo-Cult.Perma.'!$C45</f>
        <v>0</v>
      </c>
      <c r="AC82" s="80">
        <f>'Critérios de Implantação'!AC$32*'Resumo-Cult.Perma.'!$C45</f>
        <v>0</v>
      </c>
      <c r="AD82" s="80">
        <f>'Critérios de Implantação'!AD$32*'Resumo-Cult.Perma.'!$C45</f>
        <v>0</v>
      </c>
      <c r="AE82" s="80">
        <f>'Critérios de Implantação'!AE$32*'Resumo-Cult.Perma.'!$C45</f>
        <v>0</v>
      </c>
      <c r="AF82" s="80">
        <f>'Critérios de Implantação'!AF$32*'Resumo-Cult.Perma.'!$C45</f>
        <v>0</v>
      </c>
      <c r="AG82" s="80">
        <f>'Critérios de Implantação'!AG$32*'Resumo-Cult.Perma.'!$C45</f>
        <v>0</v>
      </c>
      <c r="AH82" s="80">
        <f>'Critérios de Implantação'!AH$32*'Resumo-Cult.Perma.'!$C45</f>
        <v>0</v>
      </c>
      <c r="AI82" s="80">
        <f>'Critérios de Implantação'!AI$32*'Resumo-Cult.Perma.'!$C45</f>
        <v>0</v>
      </c>
      <c r="AJ82" s="80">
        <f>'Critérios de Implantação'!AJ$32*'Resumo-Cult.Perma.'!$C45</f>
        <v>0</v>
      </c>
      <c r="AK82" s="81">
        <f>'Critérios de Implantação'!AK$32*'Resumo-Cult.Perma.'!$C45</f>
        <v>0</v>
      </c>
    </row>
    <row r="83" spans="1:37" ht="20.149999999999999" hidden="1" customHeight="1" outlineLevel="1" x14ac:dyDescent="0.25">
      <c r="A83" s="48"/>
      <c r="B83" s="83" t="s">
        <v>228</v>
      </c>
      <c r="C83" s="93"/>
      <c r="D83" s="80">
        <f>'Critérios de Implantação'!D$32*'Resumo-Cult.Perma.'!$C46</f>
        <v>0</v>
      </c>
      <c r="E83" s="80">
        <f>'Critérios de Implantação'!E$32*'Resumo-Cult.Perma.'!$C46</f>
        <v>0</v>
      </c>
      <c r="F83" s="80">
        <f>'Critérios de Implantação'!F$32*'Resumo-Cult.Perma.'!$C46</f>
        <v>0</v>
      </c>
      <c r="G83" s="80">
        <f>'Critérios de Implantação'!G$32*'Resumo-Cult.Perma.'!$C46</f>
        <v>0</v>
      </c>
      <c r="H83" s="80">
        <f>'Critérios de Implantação'!H$32*'Resumo-Cult.Perma.'!$C46</f>
        <v>0</v>
      </c>
      <c r="I83" s="80">
        <f>'Critérios de Implantação'!I$32*'Resumo-Cult.Perma.'!$C46</f>
        <v>0</v>
      </c>
      <c r="J83" s="80">
        <f>'Critérios de Implantação'!J$32*'Resumo-Cult.Perma.'!$C46</f>
        <v>0</v>
      </c>
      <c r="K83" s="80">
        <f>'Critérios de Implantação'!K$32*'Resumo-Cult.Perma.'!$C46</f>
        <v>0</v>
      </c>
      <c r="L83" s="80">
        <f>'Critérios de Implantação'!L$32*'Resumo-Cult.Perma.'!$C46</f>
        <v>0</v>
      </c>
      <c r="M83" s="80">
        <f>'Critérios de Implantação'!M$32*'Resumo-Cult.Perma.'!$C46</f>
        <v>0</v>
      </c>
      <c r="N83" s="80">
        <f>'Critérios de Implantação'!N$32*'Resumo-Cult.Perma.'!$C46</f>
        <v>0</v>
      </c>
      <c r="O83" s="80">
        <f>'Critérios de Implantação'!O$32*'Resumo-Cult.Perma.'!$C46</f>
        <v>0</v>
      </c>
      <c r="P83" s="80">
        <f>'Critérios de Implantação'!P$32*'Resumo-Cult.Perma.'!$C46</f>
        <v>0</v>
      </c>
      <c r="Q83" s="80">
        <f>'Critérios de Implantação'!Q$32*'Resumo-Cult.Perma.'!$C46</f>
        <v>0</v>
      </c>
      <c r="R83" s="80">
        <f>'Critérios de Implantação'!R$32*'Resumo-Cult.Perma.'!$C46</f>
        <v>0</v>
      </c>
      <c r="S83" s="80">
        <f>'Critérios de Implantação'!S$32*'Resumo-Cult.Perma.'!$C46</f>
        <v>0</v>
      </c>
      <c r="T83" s="80">
        <f>'Critérios de Implantação'!T$32*'Resumo-Cult.Perma.'!$C46</f>
        <v>0</v>
      </c>
      <c r="U83" s="80">
        <f>'Critérios de Implantação'!U$32*'Resumo-Cult.Perma.'!$C46</f>
        <v>0</v>
      </c>
      <c r="V83" s="80">
        <f>'Critérios de Implantação'!V$32*'Resumo-Cult.Perma.'!$C46</f>
        <v>0</v>
      </c>
      <c r="W83" s="80">
        <f>'Critérios de Implantação'!W$32*'Resumo-Cult.Perma.'!$C46</f>
        <v>0</v>
      </c>
      <c r="X83" s="80">
        <f>'Critérios de Implantação'!X$32*'Resumo-Cult.Perma.'!$C46</f>
        <v>0</v>
      </c>
      <c r="Y83" s="80">
        <f>'Critérios de Implantação'!Y$32*'Resumo-Cult.Perma.'!$C46</f>
        <v>0</v>
      </c>
      <c r="Z83" s="80">
        <f>'Critérios de Implantação'!Z$32*'Resumo-Cult.Perma.'!$C46</f>
        <v>0</v>
      </c>
      <c r="AA83" s="80">
        <f>'Critérios de Implantação'!AA$32*'Resumo-Cult.Perma.'!$C46</f>
        <v>0</v>
      </c>
      <c r="AB83" s="80">
        <f>'Critérios de Implantação'!AB$32*'Resumo-Cult.Perma.'!$C46</f>
        <v>0</v>
      </c>
      <c r="AC83" s="80">
        <f>'Critérios de Implantação'!AC$32*'Resumo-Cult.Perma.'!$C46</f>
        <v>0</v>
      </c>
      <c r="AD83" s="80">
        <f>'Critérios de Implantação'!AD$32*'Resumo-Cult.Perma.'!$C46</f>
        <v>0</v>
      </c>
      <c r="AE83" s="80">
        <f>'Critérios de Implantação'!AE$32*'Resumo-Cult.Perma.'!$C46</f>
        <v>0</v>
      </c>
      <c r="AF83" s="80">
        <f>'Critérios de Implantação'!AF$32*'Resumo-Cult.Perma.'!$C46</f>
        <v>0</v>
      </c>
      <c r="AG83" s="80">
        <f>'Critérios de Implantação'!AG$32*'Resumo-Cult.Perma.'!$C46</f>
        <v>0</v>
      </c>
      <c r="AH83" s="80">
        <f>'Critérios de Implantação'!AH$32*'Resumo-Cult.Perma.'!$C46</f>
        <v>0</v>
      </c>
      <c r="AI83" s="80">
        <f>'Critérios de Implantação'!AI$32*'Resumo-Cult.Perma.'!$C46</f>
        <v>0</v>
      </c>
      <c r="AJ83" s="80">
        <f>'Critérios de Implantação'!AJ$32*'Resumo-Cult.Perma.'!$C46</f>
        <v>0</v>
      </c>
      <c r="AK83" s="81">
        <f>'Critérios de Implantação'!AK$32*'Resumo-Cult.Perma.'!$C46</f>
        <v>0</v>
      </c>
    </row>
    <row r="84" spans="1:37" ht="20.149999999999999" hidden="1" customHeight="1" outlineLevel="1" x14ac:dyDescent="0.25">
      <c r="A84" s="85" t="s">
        <v>135</v>
      </c>
      <c r="B84" s="82" t="s">
        <v>142</v>
      </c>
      <c r="C84" s="80"/>
      <c r="D84" s="80">
        <f>'Critérios de Implantação'!D$32*'Resumo-Cult.Perma.'!$C47</f>
        <v>0</v>
      </c>
      <c r="E84" s="80">
        <f>'Critérios de Implantação'!E$32*'Resumo-Cult.Perma.'!$C47</f>
        <v>0</v>
      </c>
      <c r="F84" s="80">
        <f>'Critérios de Implantação'!F$32*'Resumo-Cult.Perma.'!$C47</f>
        <v>998474.57828644128</v>
      </c>
      <c r="G84" s="80">
        <f>'Critérios de Implantação'!G$32*'Resumo-Cult.Perma.'!$C47</f>
        <v>998474.57828644128</v>
      </c>
      <c r="H84" s="80">
        <f>'Critérios de Implantação'!H$32*'Resumo-Cult.Perma.'!$C47</f>
        <v>1199617.9898700274</v>
      </c>
      <c r="I84" s="80">
        <f>'Critérios de Implantação'!I$32*'Resumo-Cult.Perma.'!$C47</f>
        <v>2316935.0748367873</v>
      </c>
      <c r="J84" s="80">
        <f>'Critérios de Implantação'!J$32*'Resumo-Cult.Perma.'!$C47</f>
        <v>2173804.1519852588</v>
      </c>
      <c r="K84" s="80">
        <f>'Critérios de Implantação'!K$32*'Resumo-Cult.Perma.'!$C47</f>
        <v>2236638.3175058188</v>
      </c>
      <c r="L84" s="80">
        <f>'Critérios de Implantação'!L$32*'Resumo-Cult.Perma.'!$C47</f>
        <v>1821889.7447753537</v>
      </c>
      <c r="M84" s="80">
        <f>'Critérios de Implantação'!M$32*'Resumo-Cult.Perma.'!$C47</f>
        <v>1291471.614570952</v>
      </c>
      <c r="N84" s="80">
        <f>'Critérios de Implantação'!N$32*'Resumo-Cult.Perma.'!$C47</f>
        <v>649733.12028291833</v>
      </c>
      <c r="O84" s="80">
        <f>'Critérios de Implantação'!O$32*'Resumo-Cult.Perma.'!$C47</f>
        <v>0</v>
      </c>
      <c r="P84" s="80">
        <f>'Critérios de Implantação'!P$32*'Resumo-Cult.Perma.'!$C47</f>
        <v>0</v>
      </c>
      <c r="Q84" s="80">
        <f>'Critérios de Implantação'!Q$32*'Resumo-Cult.Perma.'!$C47</f>
        <v>0</v>
      </c>
      <c r="R84" s="80">
        <f>'Critérios de Implantação'!R$32*'Resumo-Cult.Perma.'!$C47</f>
        <v>0</v>
      </c>
      <c r="S84" s="80">
        <f>'Critérios de Implantação'!S$32*'Resumo-Cult.Perma.'!$C47</f>
        <v>0</v>
      </c>
      <c r="T84" s="80">
        <f>'Critérios de Implantação'!T$32*'Resumo-Cult.Perma.'!$C47</f>
        <v>0</v>
      </c>
      <c r="U84" s="80">
        <f>'Critérios de Implantação'!U$32*'Resumo-Cult.Perma.'!$C47</f>
        <v>0</v>
      </c>
      <c r="V84" s="80">
        <f>'Critérios de Implantação'!V$32*'Resumo-Cult.Perma.'!$C47</f>
        <v>0</v>
      </c>
      <c r="W84" s="80">
        <f>'Critérios de Implantação'!W$32*'Resumo-Cult.Perma.'!$C47</f>
        <v>0</v>
      </c>
      <c r="X84" s="80">
        <f>'Critérios de Implantação'!X$32*'Resumo-Cult.Perma.'!$C47</f>
        <v>0</v>
      </c>
      <c r="Y84" s="80">
        <f>'Critérios de Implantação'!Y$32*'Resumo-Cult.Perma.'!$C47</f>
        <v>0</v>
      </c>
      <c r="Z84" s="80">
        <f>'Critérios de Implantação'!Z$32*'Resumo-Cult.Perma.'!$C47</f>
        <v>0</v>
      </c>
      <c r="AA84" s="80">
        <f>'Critérios de Implantação'!AA$32*'Resumo-Cult.Perma.'!$C47</f>
        <v>0</v>
      </c>
      <c r="AB84" s="80">
        <f>'Critérios de Implantação'!AB$32*'Resumo-Cult.Perma.'!$C47</f>
        <v>0</v>
      </c>
      <c r="AC84" s="80">
        <f>'Critérios de Implantação'!AC$32*'Resumo-Cult.Perma.'!$C47</f>
        <v>0</v>
      </c>
      <c r="AD84" s="80">
        <f>'Critérios de Implantação'!AD$32*'Resumo-Cult.Perma.'!$C47</f>
        <v>0</v>
      </c>
      <c r="AE84" s="80">
        <f>'Critérios de Implantação'!AE$32*'Resumo-Cult.Perma.'!$C47</f>
        <v>0</v>
      </c>
      <c r="AF84" s="80">
        <f>'Critérios de Implantação'!AF$32*'Resumo-Cult.Perma.'!$C47</f>
        <v>0</v>
      </c>
      <c r="AG84" s="80">
        <f>'Critérios de Implantação'!AG$32*'Resumo-Cult.Perma.'!$C47</f>
        <v>0</v>
      </c>
      <c r="AH84" s="80">
        <f>'Critérios de Implantação'!AH$32*'Resumo-Cult.Perma.'!$C47</f>
        <v>0</v>
      </c>
      <c r="AI84" s="80">
        <f>'Critérios de Implantação'!AI$32*'Resumo-Cult.Perma.'!$C47</f>
        <v>0</v>
      </c>
      <c r="AJ84" s="80">
        <f>'Critérios de Implantação'!AJ$32*'Resumo-Cult.Perma.'!$C47</f>
        <v>0</v>
      </c>
      <c r="AK84" s="81">
        <f>'Critérios de Implantação'!AK$32*'Resumo-Cult.Perma.'!$C47</f>
        <v>0</v>
      </c>
    </row>
    <row r="85" spans="1:37" ht="20.149999999999999" hidden="1" customHeight="1" outlineLevel="1" x14ac:dyDescent="0.25">
      <c r="A85" s="85" t="s">
        <v>157</v>
      </c>
      <c r="B85" s="34" t="s">
        <v>146</v>
      </c>
      <c r="C85" s="80"/>
      <c r="D85" s="80">
        <f>'Critérios de Implantação'!D$32*'Resumo-Cult.Perma.'!$C48</f>
        <v>0</v>
      </c>
      <c r="E85" s="80">
        <f>'Critérios de Implantação'!E$32*'Resumo-Cult.Perma.'!$C48</f>
        <v>0</v>
      </c>
      <c r="F85" s="80">
        <f>'Critérios de Implantação'!F$32*'Resumo-Cult.Perma.'!$C48</f>
        <v>489125.26002840797</v>
      </c>
      <c r="G85" s="80">
        <f>'Critérios de Implantação'!G$32*'Resumo-Cult.Perma.'!$C48</f>
        <v>489125.26002840797</v>
      </c>
      <c r="H85" s="80">
        <f>'Critérios de Implantação'!H$32*'Resumo-Cult.Perma.'!$C48</f>
        <v>587659.89038691693</v>
      </c>
      <c r="I85" s="80">
        <f>'Critérios de Implantação'!I$32*'Resumo-Cult.Perma.'!$C48</f>
        <v>1135002.8289086502</v>
      </c>
      <c r="J85" s="80">
        <f>'Critérios de Implantação'!J$32*'Resumo-Cult.Perma.'!$C48</f>
        <v>1064886.9227250321</v>
      </c>
      <c r="K85" s="80">
        <f>'Critérios de Implantação'!K$32*'Resumo-Cult.Perma.'!$C48</f>
        <v>1095667.6538695912</v>
      </c>
      <c r="L85" s="80">
        <f>'Critérios de Implantação'!L$32*'Resumo-Cult.Perma.'!$C48</f>
        <v>892493.72446284525</v>
      </c>
      <c r="M85" s="80">
        <f>'Critérios de Implantação'!M$32*'Resumo-Cult.Perma.'!$C48</f>
        <v>632656.45719335065</v>
      </c>
      <c r="N85" s="80">
        <f>'Critérios de Implantação'!N$32*'Resumo-Cult.Perma.'!$C48</f>
        <v>318286.40239679784</v>
      </c>
      <c r="O85" s="80">
        <f>'Critérios de Implantação'!O$32*'Resumo-Cult.Perma.'!$C48</f>
        <v>0</v>
      </c>
      <c r="P85" s="80">
        <f>'Critérios de Implantação'!P$32*'Resumo-Cult.Perma.'!$C48</f>
        <v>0</v>
      </c>
      <c r="Q85" s="80">
        <f>'Critérios de Implantação'!Q$32*'Resumo-Cult.Perma.'!$C48</f>
        <v>0</v>
      </c>
      <c r="R85" s="80">
        <f>'Critérios de Implantação'!R$32*'Resumo-Cult.Perma.'!$C48</f>
        <v>0</v>
      </c>
      <c r="S85" s="80">
        <f>'Critérios de Implantação'!S$32*'Resumo-Cult.Perma.'!$C48</f>
        <v>0</v>
      </c>
      <c r="T85" s="80">
        <f>'Critérios de Implantação'!T$32*'Resumo-Cult.Perma.'!$C48</f>
        <v>0</v>
      </c>
      <c r="U85" s="80">
        <f>'Critérios de Implantação'!U$32*'Resumo-Cult.Perma.'!$C48</f>
        <v>0</v>
      </c>
      <c r="V85" s="80">
        <f>'Critérios de Implantação'!V$32*'Resumo-Cult.Perma.'!$C48</f>
        <v>0</v>
      </c>
      <c r="W85" s="80">
        <f>'Critérios de Implantação'!W$32*'Resumo-Cult.Perma.'!$C48</f>
        <v>0</v>
      </c>
      <c r="X85" s="80">
        <f>'Critérios de Implantação'!X$32*'Resumo-Cult.Perma.'!$C48</f>
        <v>0</v>
      </c>
      <c r="Y85" s="80">
        <f>'Critérios de Implantação'!Y$32*'Resumo-Cult.Perma.'!$C48</f>
        <v>0</v>
      </c>
      <c r="Z85" s="80">
        <f>'Critérios de Implantação'!Z$32*'Resumo-Cult.Perma.'!$C48</f>
        <v>0</v>
      </c>
      <c r="AA85" s="80">
        <f>'Critérios de Implantação'!AA$32*'Resumo-Cult.Perma.'!$C48</f>
        <v>0</v>
      </c>
      <c r="AB85" s="80">
        <f>'Critérios de Implantação'!AB$32*'Resumo-Cult.Perma.'!$C48</f>
        <v>0</v>
      </c>
      <c r="AC85" s="80">
        <f>'Critérios de Implantação'!AC$32*'Resumo-Cult.Perma.'!$C48</f>
        <v>0</v>
      </c>
      <c r="AD85" s="80">
        <f>'Critérios de Implantação'!AD$32*'Resumo-Cult.Perma.'!$C48</f>
        <v>0</v>
      </c>
      <c r="AE85" s="80">
        <f>'Critérios de Implantação'!AE$32*'Resumo-Cult.Perma.'!$C48</f>
        <v>0</v>
      </c>
      <c r="AF85" s="80">
        <f>'Critérios de Implantação'!AF$32*'Resumo-Cult.Perma.'!$C48</f>
        <v>0</v>
      </c>
      <c r="AG85" s="80">
        <f>'Critérios de Implantação'!AG$32*'Resumo-Cult.Perma.'!$C48</f>
        <v>0</v>
      </c>
      <c r="AH85" s="80">
        <f>'Critérios de Implantação'!AH$32*'Resumo-Cult.Perma.'!$C48</f>
        <v>0</v>
      </c>
      <c r="AI85" s="80">
        <f>'Critérios de Implantação'!AI$32*'Resumo-Cult.Perma.'!$C48</f>
        <v>0</v>
      </c>
      <c r="AJ85" s="80">
        <f>'Critérios de Implantação'!AJ$32*'Resumo-Cult.Perma.'!$C48</f>
        <v>0</v>
      </c>
      <c r="AK85" s="81">
        <f>'Critérios de Implantação'!AK$32*'Resumo-Cult.Perma.'!$C48</f>
        <v>0</v>
      </c>
    </row>
    <row r="86" spans="1:37" ht="20.149999999999999" hidden="1" customHeight="1" outlineLevel="1" x14ac:dyDescent="0.25">
      <c r="A86" s="85" t="s">
        <v>158</v>
      </c>
      <c r="B86" s="82" t="s">
        <v>143</v>
      </c>
      <c r="C86" s="80"/>
      <c r="D86" s="80">
        <f>'Critérios de Implantação'!D$32*'Resumo-Cult.Perma.'!$C49</f>
        <v>0</v>
      </c>
      <c r="E86" s="80">
        <f>'Critérios de Implantação'!E$32*'Resumo-Cult.Perma.'!$C49</f>
        <v>0</v>
      </c>
      <c r="F86" s="80">
        <f>'Critérios de Implantação'!F$32*'Resumo-Cult.Perma.'!$C49</f>
        <v>480503.26303614187</v>
      </c>
      <c r="G86" s="80">
        <f>'Critérios de Implantação'!G$32*'Resumo-Cult.Perma.'!$C49</f>
        <v>480503.26303614187</v>
      </c>
      <c r="H86" s="80">
        <f>'Critérios de Implantação'!H$32*'Resumo-Cult.Perma.'!$C49</f>
        <v>577300.98598869157</v>
      </c>
      <c r="I86" s="80">
        <f>'Critérios de Implantação'!I$32*'Resumo-Cult.Perma.'!$C49</f>
        <v>1114995.7023568638</v>
      </c>
      <c r="J86" s="80">
        <f>'Critérios de Implantação'!J$32*'Resumo-Cult.Perma.'!$C49</f>
        <v>1046115.7559194056</v>
      </c>
      <c r="K86" s="80">
        <f>'Critérios de Implantação'!K$32*'Resumo-Cult.Perma.'!$C49</f>
        <v>1076353.903408946</v>
      </c>
      <c r="L86" s="80">
        <f>'Critérios de Implantação'!L$32*'Resumo-Cult.Perma.'!$C49</f>
        <v>876761.3981309603</v>
      </c>
      <c r="M86" s="80">
        <f>'Critérios de Implantação'!M$32*'Resumo-Cult.Perma.'!$C49</f>
        <v>621504.38119804836</v>
      </c>
      <c r="N86" s="80">
        <f>'Critérios de Implantação'!N$32*'Resumo-Cult.Perma.'!$C49</f>
        <v>312675.84692480078</v>
      </c>
      <c r="O86" s="80">
        <f>'Critérios de Implantação'!O$32*'Resumo-Cult.Perma.'!$C49</f>
        <v>0</v>
      </c>
      <c r="P86" s="80">
        <f>'Critérios de Implantação'!P$32*'Resumo-Cult.Perma.'!$C49</f>
        <v>0</v>
      </c>
      <c r="Q86" s="80">
        <f>'Critérios de Implantação'!Q$32*'Resumo-Cult.Perma.'!$C49</f>
        <v>0</v>
      </c>
      <c r="R86" s="80">
        <f>'Critérios de Implantação'!R$32*'Resumo-Cult.Perma.'!$C49</f>
        <v>0</v>
      </c>
      <c r="S86" s="80">
        <f>'Critérios de Implantação'!S$32*'Resumo-Cult.Perma.'!$C49</f>
        <v>0</v>
      </c>
      <c r="T86" s="80">
        <f>'Critérios de Implantação'!T$32*'Resumo-Cult.Perma.'!$C49</f>
        <v>0</v>
      </c>
      <c r="U86" s="80">
        <f>'Critérios de Implantação'!U$32*'Resumo-Cult.Perma.'!$C49</f>
        <v>0</v>
      </c>
      <c r="V86" s="80">
        <f>'Critérios de Implantação'!V$32*'Resumo-Cult.Perma.'!$C49</f>
        <v>0</v>
      </c>
      <c r="W86" s="80">
        <f>'Critérios de Implantação'!W$32*'Resumo-Cult.Perma.'!$C49</f>
        <v>0</v>
      </c>
      <c r="X86" s="80">
        <f>'Critérios de Implantação'!X$32*'Resumo-Cult.Perma.'!$C49</f>
        <v>0</v>
      </c>
      <c r="Y86" s="80">
        <f>'Critérios de Implantação'!Y$32*'Resumo-Cult.Perma.'!$C49</f>
        <v>0</v>
      </c>
      <c r="Z86" s="80">
        <f>'Critérios de Implantação'!Z$32*'Resumo-Cult.Perma.'!$C49</f>
        <v>0</v>
      </c>
      <c r="AA86" s="80">
        <f>'Critérios de Implantação'!AA$32*'Resumo-Cult.Perma.'!$C49</f>
        <v>0</v>
      </c>
      <c r="AB86" s="80">
        <f>'Critérios de Implantação'!AB$32*'Resumo-Cult.Perma.'!$C49</f>
        <v>0</v>
      </c>
      <c r="AC86" s="80">
        <f>'Critérios de Implantação'!AC$32*'Resumo-Cult.Perma.'!$C49</f>
        <v>0</v>
      </c>
      <c r="AD86" s="80">
        <f>'Critérios de Implantação'!AD$32*'Resumo-Cult.Perma.'!$C49</f>
        <v>0</v>
      </c>
      <c r="AE86" s="80">
        <f>'Critérios de Implantação'!AE$32*'Resumo-Cult.Perma.'!$C49</f>
        <v>0</v>
      </c>
      <c r="AF86" s="80">
        <f>'Critérios de Implantação'!AF$32*'Resumo-Cult.Perma.'!$C49</f>
        <v>0</v>
      </c>
      <c r="AG86" s="80">
        <f>'Critérios de Implantação'!AG$32*'Resumo-Cult.Perma.'!$C49</f>
        <v>0</v>
      </c>
      <c r="AH86" s="80">
        <f>'Critérios de Implantação'!AH$32*'Resumo-Cult.Perma.'!$C49</f>
        <v>0</v>
      </c>
      <c r="AI86" s="80">
        <f>'Critérios de Implantação'!AI$32*'Resumo-Cult.Perma.'!$C49</f>
        <v>0</v>
      </c>
      <c r="AJ86" s="80">
        <f>'Critérios de Implantação'!AJ$32*'Resumo-Cult.Perma.'!$C49</f>
        <v>0</v>
      </c>
      <c r="AK86" s="81">
        <f>'Critérios de Implantação'!AK$32*'Resumo-Cult.Perma.'!$C49</f>
        <v>0</v>
      </c>
    </row>
    <row r="87" spans="1:37" ht="20.149999999999999" hidden="1" customHeight="1" outlineLevel="1" x14ac:dyDescent="0.25">
      <c r="A87" s="85" t="s">
        <v>159</v>
      </c>
      <c r="B87" s="34" t="s">
        <v>141</v>
      </c>
      <c r="C87" s="80"/>
      <c r="D87" s="80">
        <f>'Critérios de Implantação'!D$32*'Resumo-Cult.Perma.'!$C50</f>
        <v>0</v>
      </c>
      <c r="E87" s="80">
        <f>'Critérios de Implantação'!E$32*'Resumo-Cult.Perma.'!$C50</f>
        <v>0</v>
      </c>
      <c r="F87" s="80">
        <f>'Critérios de Implantação'!F$32*'Resumo-Cult.Perma.'!$C50</f>
        <v>251498.03987552464</v>
      </c>
      <c r="G87" s="80">
        <f>'Critérios de Implantação'!G$32*'Resumo-Cult.Perma.'!$C50</f>
        <v>251498.03987552464</v>
      </c>
      <c r="H87" s="80">
        <f>'Critérios de Implantação'!H$32*'Resumo-Cult.Perma.'!$C50</f>
        <v>302162.49828763993</v>
      </c>
      <c r="I87" s="80">
        <f>'Critérios de Implantação'!I$32*'Resumo-Cult.Perma.'!$C50</f>
        <v>583594.8581087843</v>
      </c>
      <c r="J87" s="80">
        <f>'Critérios de Implantação'!J$32*'Resumo-Cult.Perma.'!$C50</f>
        <v>547542.71684694896</v>
      </c>
      <c r="K87" s="80">
        <f>'Critérios de Implantação'!K$32*'Resumo-Cult.Perma.'!$C50</f>
        <v>563369.52887530846</v>
      </c>
      <c r="L87" s="80">
        <f>'Critérios de Implantação'!L$32*'Resumo-Cult.Perma.'!$C50</f>
        <v>458901.71832584491</v>
      </c>
      <c r="M87" s="80">
        <f>'Critérios de Implantação'!M$32*'Resumo-Cult.Perma.'!$C50</f>
        <v>325298.79746852646</v>
      </c>
      <c r="N87" s="80">
        <f>'Critérios de Implantação'!N$32*'Resumo-Cult.Perma.'!$C50</f>
        <v>163656.25099218552</v>
      </c>
      <c r="O87" s="80">
        <f>'Critérios de Implantação'!O$32*'Resumo-Cult.Perma.'!$C50</f>
        <v>0</v>
      </c>
      <c r="P87" s="80">
        <f>'Critérios de Implantação'!P$32*'Resumo-Cult.Perma.'!$C50</f>
        <v>0</v>
      </c>
      <c r="Q87" s="80">
        <f>'Critérios de Implantação'!Q$32*'Resumo-Cult.Perma.'!$C50</f>
        <v>0</v>
      </c>
      <c r="R87" s="80">
        <f>'Critérios de Implantação'!R$32*'Resumo-Cult.Perma.'!$C50</f>
        <v>0</v>
      </c>
      <c r="S87" s="80">
        <f>'Critérios de Implantação'!S$32*'Resumo-Cult.Perma.'!$C50</f>
        <v>0</v>
      </c>
      <c r="T87" s="80">
        <f>'Critérios de Implantação'!T$32*'Resumo-Cult.Perma.'!$C50</f>
        <v>0</v>
      </c>
      <c r="U87" s="80">
        <f>'Critérios de Implantação'!U$32*'Resumo-Cult.Perma.'!$C50</f>
        <v>0</v>
      </c>
      <c r="V87" s="80">
        <f>'Critérios de Implantação'!V$32*'Resumo-Cult.Perma.'!$C50</f>
        <v>0</v>
      </c>
      <c r="W87" s="80">
        <f>'Critérios de Implantação'!W$32*'Resumo-Cult.Perma.'!$C50</f>
        <v>0</v>
      </c>
      <c r="X87" s="80">
        <f>'Critérios de Implantação'!X$32*'Resumo-Cult.Perma.'!$C50</f>
        <v>0</v>
      </c>
      <c r="Y87" s="80">
        <f>'Critérios de Implantação'!Y$32*'Resumo-Cult.Perma.'!$C50</f>
        <v>0</v>
      </c>
      <c r="Z87" s="80">
        <f>'Critérios de Implantação'!Z$32*'Resumo-Cult.Perma.'!$C50</f>
        <v>0</v>
      </c>
      <c r="AA87" s="80">
        <f>'Critérios de Implantação'!AA$32*'Resumo-Cult.Perma.'!$C50</f>
        <v>0</v>
      </c>
      <c r="AB87" s="80">
        <f>'Critérios de Implantação'!AB$32*'Resumo-Cult.Perma.'!$C50</f>
        <v>0</v>
      </c>
      <c r="AC87" s="80">
        <f>'Critérios de Implantação'!AC$32*'Resumo-Cult.Perma.'!$C50</f>
        <v>0</v>
      </c>
      <c r="AD87" s="80">
        <f>'Critérios de Implantação'!AD$32*'Resumo-Cult.Perma.'!$C50</f>
        <v>0</v>
      </c>
      <c r="AE87" s="80">
        <f>'Critérios de Implantação'!AE$32*'Resumo-Cult.Perma.'!$C50</f>
        <v>0</v>
      </c>
      <c r="AF87" s="80">
        <f>'Critérios de Implantação'!AF$32*'Resumo-Cult.Perma.'!$C50</f>
        <v>0</v>
      </c>
      <c r="AG87" s="80">
        <f>'Critérios de Implantação'!AG$32*'Resumo-Cult.Perma.'!$C50</f>
        <v>0</v>
      </c>
      <c r="AH87" s="80">
        <f>'Critérios de Implantação'!AH$32*'Resumo-Cult.Perma.'!$C50</f>
        <v>0</v>
      </c>
      <c r="AI87" s="80">
        <f>'Critérios de Implantação'!AI$32*'Resumo-Cult.Perma.'!$C50</f>
        <v>0</v>
      </c>
      <c r="AJ87" s="80">
        <f>'Critérios de Implantação'!AJ$32*'Resumo-Cult.Perma.'!$C50</f>
        <v>0</v>
      </c>
      <c r="AK87" s="81">
        <f>'Critérios de Implantação'!AK$32*'Resumo-Cult.Perma.'!$C50</f>
        <v>0</v>
      </c>
    </row>
    <row r="88" spans="1:37" s="15" customFormat="1" ht="20.149999999999999" hidden="1" customHeight="1" outlineLevel="1" thickBot="1" x14ac:dyDescent="0.3">
      <c r="A88" s="86"/>
      <c r="B88" s="87" t="s">
        <v>148</v>
      </c>
      <c r="C88" s="88"/>
      <c r="D88" s="88">
        <f t="shared" ref="D88:AK88" si="54">SUM(D79:D87)</f>
        <v>0</v>
      </c>
      <c r="E88" s="88">
        <f t="shared" si="54"/>
        <v>0</v>
      </c>
      <c r="F88" s="88">
        <f t="shared" si="54"/>
        <v>5192117.9072211422</v>
      </c>
      <c r="G88" s="88">
        <f t="shared" si="54"/>
        <v>5192117.9072211422</v>
      </c>
      <c r="H88" s="88">
        <f t="shared" si="54"/>
        <v>6238073.7401628243</v>
      </c>
      <c r="I88" s="88">
        <f t="shared" si="54"/>
        <v>12048178.645243129</v>
      </c>
      <c r="J88" s="88">
        <f t="shared" si="54"/>
        <v>11303890.664581779</v>
      </c>
      <c r="K88" s="88">
        <f t="shared" si="54"/>
        <v>11630631.47809802</v>
      </c>
      <c r="L88" s="88">
        <f t="shared" si="54"/>
        <v>9473918.0891964063</v>
      </c>
      <c r="M88" s="88">
        <f t="shared" si="54"/>
        <v>6715717.1975168521</v>
      </c>
      <c r="N88" s="88">
        <f t="shared" si="54"/>
        <v>3378644.8269169903</v>
      </c>
      <c r="O88" s="88">
        <f t="shared" si="54"/>
        <v>0</v>
      </c>
      <c r="P88" s="88">
        <f t="shared" si="54"/>
        <v>0</v>
      </c>
      <c r="Q88" s="88">
        <f t="shared" si="54"/>
        <v>0</v>
      </c>
      <c r="R88" s="88">
        <f t="shared" si="54"/>
        <v>0</v>
      </c>
      <c r="S88" s="88">
        <f t="shared" si="54"/>
        <v>0</v>
      </c>
      <c r="T88" s="88">
        <f t="shared" si="54"/>
        <v>0</v>
      </c>
      <c r="U88" s="88">
        <f t="shared" si="54"/>
        <v>0</v>
      </c>
      <c r="V88" s="88">
        <f t="shared" si="54"/>
        <v>0</v>
      </c>
      <c r="W88" s="88">
        <f t="shared" si="54"/>
        <v>0</v>
      </c>
      <c r="X88" s="88">
        <f t="shared" si="54"/>
        <v>0</v>
      </c>
      <c r="Y88" s="88">
        <f t="shared" si="54"/>
        <v>0</v>
      </c>
      <c r="Z88" s="88">
        <f t="shared" si="54"/>
        <v>0</v>
      </c>
      <c r="AA88" s="88">
        <f t="shared" si="54"/>
        <v>0</v>
      </c>
      <c r="AB88" s="88">
        <f t="shared" si="54"/>
        <v>0</v>
      </c>
      <c r="AC88" s="88">
        <f t="shared" si="54"/>
        <v>0</v>
      </c>
      <c r="AD88" s="88">
        <f t="shared" si="54"/>
        <v>0</v>
      </c>
      <c r="AE88" s="88">
        <f t="shared" si="54"/>
        <v>0</v>
      </c>
      <c r="AF88" s="88">
        <f t="shared" si="54"/>
        <v>0</v>
      </c>
      <c r="AG88" s="88">
        <f t="shared" si="54"/>
        <v>0</v>
      </c>
      <c r="AH88" s="88">
        <f t="shared" si="54"/>
        <v>0</v>
      </c>
      <c r="AI88" s="88">
        <f t="shared" si="54"/>
        <v>0</v>
      </c>
      <c r="AJ88" s="88">
        <f t="shared" si="54"/>
        <v>0</v>
      </c>
      <c r="AK88" s="89">
        <f t="shared" si="54"/>
        <v>0</v>
      </c>
    </row>
    <row r="89" spans="1:37" ht="20.149999999999999" hidden="1" customHeight="1" outlineLevel="1" thickBot="1" x14ac:dyDescent="0.3">
      <c r="A89" s="14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</row>
    <row r="90" spans="1:37" ht="20.149999999999999" hidden="1" customHeight="1" outlineLevel="1" x14ac:dyDescent="0.25">
      <c r="A90" s="71">
        <v>2</v>
      </c>
      <c r="B90" s="76" t="s">
        <v>136</v>
      </c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2"/>
    </row>
    <row r="91" spans="1:37" ht="20.149999999999999" hidden="1" customHeight="1" outlineLevel="1" x14ac:dyDescent="0.25">
      <c r="A91" s="48" t="s">
        <v>137</v>
      </c>
      <c r="B91" s="82" t="s">
        <v>142</v>
      </c>
      <c r="C91" s="93"/>
      <c r="D91" s="93">
        <f>IFERROR('Resumo-Cult.Perma.'!A54*'Critérios de Implantação'!D$61,0)+IFERROR('Resumo-Cult.Perma.'!#REF!*'Critérios de Implantação'!D$62,0)+IFERROR('Resumo-Cult.Perma.'!#REF!*'Critérios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E91" s="93">
        <f>IFERROR('Resumo-Cult.Perma.'!B54*'Critérios de Implantação'!E$61,0)+IFERROR('Resumo-Cult.Perma.'!A54*'Critérios de Implantação'!E$62,0)+IFERROR('Resumo-Cult.Perma.'!#REF!*'Critérios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F91" s="93">
        <f>IFERROR('Resumo-Cult.Perma.'!C54*'Critérios de Implantação'!F$61,0)+IFERROR('Resumo-Cult.Perma.'!B54*'Critérios de Implantação'!F$62,0)+IFERROR('Resumo-Cult.Perma.'!A54*'Critérios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G91" s="93">
        <f>IFERROR('Resumo-Cult.Perma.'!D54*'Critérios de Implantação'!G$61,0)+IFERROR('Resumo-Cult.Perma.'!C54*'Critérios de Implantação'!G$62,0)+IFERROR('Resumo-Cult.Perma.'!B54*'Critérios de Implantação'!$Q$63,0)+IFERROR('Resumo-Cult.Perma.'!A54*'Critérios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633144.83215297421</v>
      </c>
      <c r="H91" s="93">
        <f>IFERROR('Resumo-Cult.Perma.'!E54*'Critérios de Implantação'!H$61,0)+IFERROR('Resumo-Cult.Perma.'!D54*'Critérios de Implantação'!H$62,0)+IFERROR('Resumo-Cult.Perma.'!C54*'Critérios de Implantação'!$Q$63,0)+IFERROR('Resumo-Cult.Perma.'!B54*'Critérios de Implantação'!$Q$64,0)+IFERROR('Resumo-Cult.Perma.'!A54*'Critérios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1265676.0550309513</v>
      </c>
      <c r="I91" s="93">
        <f>IFERROR('Resumo-Cult.Perma.'!F54*'Critérios de Implantação'!I$61,0)+IFERROR('Resumo-Cult.Perma.'!E54*'Critérios de Implantação'!I$62,0)+IFERROR('Resumo-Cult.Perma.'!D54*'Critérios de Implantação'!$Q$63,0)+IFERROR('Resumo-Cult.Perma.'!C54*'Critérios de Implantação'!$Q$64,0)+IFERROR('Resumo-Cult.Perma.'!B54*'Critérios de Implantação'!$Q$65,0)+IFERROR('Resumo-Cult.Perma.'!A54*'Critérios de Implantação'!$Q$66,0)+IFERROR('Resumo-Cult.Perma.'!#REF!*'Critérios de Implantação'!$Q$67,0)+IFERROR('Resumo-Cult.Perma.'!#REF!*'Critérios de Implantação'!$Q$68,0)+IFERROR('Resumo-Cult.Perma.'!#REF!*'Critérios de Implantação'!$Q$69,0)</f>
        <v>2025754.7531629568</v>
      </c>
      <c r="J91" s="93">
        <f>IFERROR('Resumo-Cult.Perma.'!G54*'Critérios de Implantação'!J$61,0)+IFERROR('Resumo-Cult.Perma.'!F54*'Critérios de Implantação'!J$62,0)+IFERROR('Resumo-Cult.Perma.'!E54*'Critérios de Implantação'!$Q$63,0)+IFERROR('Resumo-Cult.Perma.'!D54*'Critérios de Implantação'!$Q$64,0)+IFERROR('Resumo-Cult.Perma.'!C54*'Critérios de Implantação'!$Q$65,0)+IFERROR('Resumo-Cult.Perma.'!B54*'Critérios de Implantação'!$Q$66,0)+IFERROR('Resumo-Cult.Perma.'!A54*'Critérios de Implantação'!$Q$67,0)+IFERROR('Resumo-Cult.Perma.'!#REF!*'Critérios de Implantação'!$Q$68,0)+IFERROR('Resumo-Cult.Perma.'!#REF!*'Critérios de Implantação'!$Q$69,0)</f>
        <v>3449416.5146095445</v>
      </c>
      <c r="K91" s="93">
        <f>IFERROR('Resumo-Cult.Perma.'!H54*'Critérios de Implantação'!K$61,0)+IFERROR('Resumo-Cult.Perma.'!G54*'Critérios de Implantação'!K$62,0)+IFERROR('Resumo-Cult.Perma.'!F54*'Critérios de Implantação'!$Q$63,0)+IFERROR('Resumo-Cult.Perma.'!E54*'Critérios de Implantação'!$Q$64,0)+IFERROR('Resumo-Cult.Perma.'!D54*'Critérios de Implantação'!$Q$65,0)+IFERROR('Resumo-Cult.Perma.'!C54*'Critérios de Implantação'!$Q$66,0)+IFERROR('Resumo-Cult.Perma.'!B54*'Critérios de Implantação'!$Q$67,0)+IFERROR('Resumo-Cult.Perma.'!A54*'Critérios de Implantação'!$Q$68,0)+IFERROR('Resumo-Cult.Perma.'!#REF!*'Critérios de Implantação'!$Q$69,0)</f>
        <v>4781630.5795029756</v>
      </c>
      <c r="L91" s="93">
        <f>IFERROR('Resumo-Cult.Perma.'!I54*'Critérios de Implantação'!L$61,0)+IFERROR('Resumo-Cult.Perma.'!H54*'Critérios de Implantação'!L$62,0)+IFERROR('Resumo-Cult.Perma.'!G54*'Critérios de Implantação'!$Q$63,0)+IFERROR('Resumo-Cult.Perma.'!F54*'Critérios de Implantação'!$Q$64,0)+IFERROR('Resumo-Cult.Perma.'!E54*'Critérios de Implantação'!$Q$65,0)+IFERROR('Resumo-Cult.Perma.'!D54*'Critérios de Implantação'!$Q$66,0)+IFERROR('Resumo-Cult.Perma.'!C54*'Critérios de Implantação'!$Q$67,0)+IFERROR('Resumo-Cult.Perma.'!B54*'Critérios de Implantação'!$Q$68,0)+IFERROR('Resumo-Cult.Perma.'!A54*'Critérios de Implantação'!$Q$69,0)</f>
        <v>6144751.9965087976</v>
      </c>
      <c r="M91" s="93">
        <f>IFERROR('Resumo-Cult.Perma.'!J54*'Critérios de Implantação'!M$61,0)+IFERROR('Resumo-Cult.Perma.'!I54*'Critérios de Implantação'!M$62,0)+IFERROR('Resumo-Cult.Perma.'!H54*'Critérios de Implantação'!$Q$63,0)+IFERROR('Resumo-Cult.Perma.'!G54*'Critérios de Implantação'!$Q$64,0)+IFERROR('Resumo-Cult.Perma.'!F54*'Critérios de Implantação'!$Q$65,0)+IFERROR('Resumo-Cult.Perma.'!E54*'Critérios de Implantação'!$Q$66,0)+IFERROR('Resumo-Cult.Perma.'!D54*'Critérios de Implantação'!$Q$67,0)+IFERROR('Resumo-Cult.Perma.'!C54*'Critérios de Implantação'!$Q$68,0)+IFERROR('Resumo-Cult.Perma.'!B54*'Critérios de Implantação'!$Q$69,0)</f>
        <v>7194708.075024371</v>
      </c>
      <c r="N91" s="93">
        <f>IFERROR('Resumo-Cult.Perma.'!K54*'Critérios de Implantação'!N$61,0)+IFERROR('Resumo-Cult.Perma.'!J54*'Critérios de Implantação'!N$62,0)+IFERROR('Resumo-Cult.Perma.'!I54*'Critérios de Implantação'!$Q$63,0)+IFERROR('Resumo-Cult.Perma.'!H54*'Critérios de Implantação'!$Q$64,0)+IFERROR('Resumo-Cult.Perma.'!G54*'Critérios de Implantação'!$Q$65,0)+IFERROR('Resumo-Cult.Perma.'!F54*'Critérios de Implantação'!$Q$66,0)+IFERROR('Resumo-Cult.Perma.'!E54*'Critérios de Implantação'!$Q$67,0)+IFERROR('Resumo-Cult.Perma.'!D54*'Critérios de Implantação'!$Q$68,0)+IFERROR('Resumo-Cult.Perma.'!C54*'Critérios de Implantação'!$Q$69,0)</f>
        <v>7914996.1926550344</v>
      </c>
      <c r="O91" s="93">
        <f>IFERROR('Resumo-Cult.Perma.'!L54*'Critérios de Implantação'!O$61,0)+IFERROR('Resumo-Cult.Perma.'!K54*'Critérios de Implantação'!O$62,0)+IFERROR('Resumo-Cult.Perma.'!J54*'Critérios de Implantação'!$Q$63,0)+IFERROR('Resumo-Cult.Perma.'!I54*'Critérios de Implantação'!$Q$64,0)+IFERROR('Resumo-Cult.Perma.'!H54*'Critérios de Implantação'!$Q$65,0)+IFERROR('Resumo-Cult.Perma.'!G54*'Critérios de Implantação'!$Q$66,0)+IFERROR('Resumo-Cult.Perma.'!F54*'Critérios de Implantação'!$Q$67,0)+IFERROR('Resumo-Cult.Perma.'!E54*'Critérios de Implantação'!$Q$68,0)+IFERROR('Resumo-Cult.Perma.'!D54*'Critérios de Implantação'!$Q$69,0)</f>
        <v>8225856.9974601185</v>
      </c>
      <c r="P91" s="93">
        <f>IFERROR('Resumo-Cult.Perma.'!M54*'Critérios de Implantação'!P$61,0)+IFERROR('Resumo-Cult.Perma.'!L54*'Critérios de Implantação'!P$62,0)+IFERROR('Resumo-Cult.Perma.'!K54*'Critérios de Implantação'!$Q$63,0)+IFERROR('Resumo-Cult.Perma.'!J54*'Critérios de Implantação'!$Q$64,0)+IFERROR('Resumo-Cult.Perma.'!I54*'Critérios de Implantação'!$Q$65,0)+IFERROR('Resumo-Cult.Perma.'!H54*'Critérios de Implantação'!$Q$66,0)+IFERROR('Resumo-Cult.Perma.'!G54*'Critérios de Implantação'!$Q$67,0)+IFERROR('Resumo-Cult.Perma.'!F54*'Critérios de Implantação'!$Q$68,0)+IFERROR('Resumo-Cult.Perma.'!E54*'Critérios de Implantação'!$Q$69,0)</f>
        <v>8143716.6725250157</v>
      </c>
      <c r="Q91" s="93">
        <f>IFERROR('Resumo-Cult.Perma.'!N54*'Critérios de Implantação'!Q$61,0)+IFERROR('Resumo-Cult.Perma.'!M54*'Critérios de Implantação'!Q$62,0)+IFERROR('Resumo-Cult.Perma.'!L54*'Critérios de Implantação'!$Q$63,0)+IFERROR('Resumo-Cult.Perma.'!K54*'Critérios de Implantação'!$Q$64,0)+IFERROR('Resumo-Cult.Perma.'!J54*'Critérios de Implantação'!$Q$65,0)+IFERROR('Resumo-Cult.Perma.'!I54*'Critérios de Implantação'!$Q$66,0)+IFERROR('Resumo-Cult.Perma.'!H54*'Critérios de Implantação'!$Q$67,0)+IFERROR('Resumo-Cult.Perma.'!G54*'Critérios de Implantação'!$Q$68,0)+IFERROR('Resumo-Cult.Perma.'!F54*'Critérios de Implantação'!$Q$69,0)</f>
        <v>8085773.4161259495</v>
      </c>
      <c r="R91" s="93">
        <f>IFERROR('Resumo-Cult.Perma.'!O54*'Critérios de Implantação'!R$61,0)+IFERROR('Resumo-Cult.Perma.'!N54*'Critérios de Implantação'!R$62,0)+IFERROR('Resumo-Cult.Perma.'!M54*'Critérios de Implantação'!$Q$63,0)+IFERROR('Resumo-Cult.Perma.'!L54*'Critérios de Implantação'!$Q$64,0)+IFERROR('Resumo-Cult.Perma.'!K54*'Critérios de Implantação'!$Q$65,0)+IFERROR('Resumo-Cult.Perma.'!J54*'Critérios de Implantação'!$Q$66,0)+IFERROR('Resumo-Cult.Perma.'!I54*'Critérios de Implantação'!$Q$67,0)+IFERROR('Resumo-Cult.Perma.'!H54*'Critérios de Implantação'!$Q$68,0)+IFERROR('Resumo-Cult.Perma.'!G54*'Critérios de Implantação'!$Q$69,0)</f>
        <v>8467363.4303460326</v>
      </c>
      <c r="S91" s="93">
        <f>IFERROR('Resumo-Cult.Perma.'!P54*'Critérios de Implantação'!S$61,0)+IFERROR('Resumo-Cult.Perma.'!O54*'Critérios de Implantação'!S$62,0)+IFERROR('Resumo-Cult.Perma.'!N54*'Critérios de Implantação'!$Q$63,0)+IFERROR('Resumo-Cult.Perma.'!M54*'Critérios de Implantação'!$Q$64,0)+IFERROR('Resumo-Cult.Perma.'!L54*'Critérios de Implantação'!$Q$65,0)+IFERROR('Resumo-Cult.Perma.'!K54*'Critérios de Implantação'!$Q$66,0)+IFERROR('Resumo-Cult.Perma.'!J54*'Critérios de Implantação'!$Q$67,0)+IFERROR('Resumo-Cult.Perma.'!I54*'Critérios de Implantação'!$Q$68,0)+IFERROR('Resumo-Cult.Perma.'!H54*'Critérios de Implantação'!$Q$69,0)</f>
        <v>8512774.6703585982</v>
      </c>
      <c r="T91" s="93">
        <f>IFERROR('Resumo-Cult.Perma.'!Q54*'Critérios de Implantação'!T$61,0)+IFERROR('Resumo-Cult.Perma.'!P54*'Critérios de Implantação'!T$62,0)+IFERROR('Resumo-Cult.Perma.'!O54*'Critérios de Implantação'!$Q$63,0)+IFERROR('Resumo-Cult.Perma.'!N54*'Critérios de Implantação'!$Q$64,0)+IFERROR('Resumo-Cult.Perma.'!M54*'Critérios de Implantação'!$Q$65,0)+IFERROR('Resumo-Cult.Perma.'!L54*'Critérios de Implantação'!$Q$66,0)+IFERROR('Resumo-Cult.Perma.'!K54*'Critérios de Implantação'!$Q$67,0)+IFERROR('Resumo-Cult.Perma.'!J54*'Critérios de Implantação'!$Q$68,0)+IFERROR('Resumo-Cult.Perma.'!I54*'Critérios de Implantação'!$Q$69,0)</f>
        <v>8640316.3639168814</v>
      </c>
      <c r="U91" s="93">
        <f>IFERROR('Resumo-Cult.Perma.'!R54*'Critérios de Implantação'!U$61,0)+IFERROR('Resumo-Cult.Perma.'!Q54*'Critérios de Implantação'!U$62,0)+IFERROR('Resumo-Cult.Perma.'!P54*'Critérios de Implantação'!$Q$63,0)+IFERROR('Resumo-Cult.Perma.'!O54*'Critérios de Implantação'!$Q$64,0)+IFERROR('Resumo-Cult.Perma.'!N54*'Critérios de Implantação'!$Q$65,0)+IFERROR('Resumo-Cult.Perma.'!M54*'Critérios de Implantação'!$Q$66,0)+IFERROR('Resumo-Cult.Perma.'!L54*'Critérios de Implantação'!$Q$67,0)+IFERROR('Resumo-Cult.Perma.'!K54*'Critérios de Implantação'!$Q$68,0)+IFERROR('Resumo-Cult.Perma.'!J54*'Critérios de Implantação'!$Q$69,0)</f>
        <v>9153891.1705948748</v>
      </c>
      <c r="V91" s="93">
        <f>IFERROR('Resumo-Cult.Perma.'!S54*'Critérios de Implantação'!V$61,0)+IFERROR('Resumo-Cult.Perma.'!R54*'Critérios de Implantação'!V$62,0)+IFERROR('Resumo-Cult.Perma.'!Q54*'Critérios de Implantação'!$Q$63,0)+IFERROR('Resumo-Cult.Perma.'!P54*'Critérios de Implantação'!$Q$64,0)+IFERROR('Resumo-Cult.Perma.'!O54*'Critérios de Implantação'!$Q$65,0)+IFERROR('Resumo-Cult.Perma.'!N54*'Critérios de Implantação'!$Q$66,0)+IFERROR('Resumo-Cult.Perma.'!M54*'Critérios de Implantação'!$Q$67,0)+IFERROR('Resumo-Cult.Perma.'!L54*'Critérios de Implantação'!$Q$68,0)+IFERROR('Resumo-Cult.Perma.'!K54*'Critérios de Implantação'!$Q$69,0)</f>
        <v>9154852.4030727223</v>
      </c>
      <c r="W91" s="93">
        <f>IFERROR('Resumo-Cult.Perma.'!T54*'Critérios de Implantação'!W$61,0)+IFERROR('Resumo-Cult.Perma.'!S54*'Critérios de Implantação'!W$62,0)+IFERROR('Resumo-Cult.Perma.'!R54*'Critérios de Implantação'!$Q$63,0)+IFERROR('Resumo-Cult.Perma.'!Q54*'Critérios de Implantação'!$Q$64,0)+IFERROR('Resumo-Cult.Perma.'!P54*'Critérios de Implantação'!$Q$65,0)+IFERROR('Resumo-Cult.Perma.'!O54*'Critérios de Implantação'!$Q$66,0)+IFERROR('Resumo-Cult.Perma.'!N54*'Critérios de Implantação'!$Q$67,0)+IFERROR('Resumo-Cult.Perma.'!M54*'Critérios de Implantação'!$Q$68,0)+IFERROR('Resumo-Cult.Perma.'!L54*'Critérios de Implantação'!$Q$69,0)</f>
        <v>9233344.8580531795</v>
      </c>
      <c r="X91" s="93">
        <f>IFERROR('Resumo-Cult.Perma.'!U54*'Critérios de Implantação'!X$61,0)+IFERROR('Resumo-Cult.Perma.'!T54*'Critérios de Implantação'!X$62,0)+IFERROR('Resumo-Cult.Perma.'!S54*'Critérios de Implantação'!$Q$63,0)+IFERROR('Resumo-Cult.Perma.'!R54*'Critérios de Implantação'!$Q$64,0)+IFERROR('Resumo-Cult.Perma.'!Q54*'Critérios de Implantação'!$Q$65,0)+IFERROR('Resumo-Cult.Perma.'!P54*'Critérios de Implantação'!$Q$66,0)+IFERROR('Resumo-Cult.Perma.'!O54*'Critérios de Implantação'!$Q$67,0)+IFERROR('Resumo-Cult.Perma.'!N54*'Critérios de Implantação'!$Q$68,0)+IFERROR('Resumo-Cult.Perma.'!M54*'Critérios de Implantação'!$Q$69,0)</f>
        <v>9109296.002801396</v>
      </c>
      <c r="Y91" s="93">
        <f>IFERROR('Resumo-Cult.Perma.'!V54*'Critérios de Implantação'!Y$61,0)+IFERROR('Resumo-Cult.Perma.'!U54*'Critérios de Implantação'!Y$62,0)+IFERROR('Resumo-Cult.Perma.'!T54*'Critérios de Implantação'!$Q$63,0)+IFERROR('Resumo-Cult.Perma.'!S54*'Critérios de Implantação'!$Q$64,0)+IFERROR('Resumo-Cult.Perma.'!R54*'Critérios de Implantação'!$Q$65,0)+IFERROR('Resumo-Cult.Perma.'!Q54*'Critérios de Implantação'!$Q$66,0)+IFERROR('Resumo-Cult.Perma.'!P54*'Critérios de Implantação'!$Q$67,0)+IFERROR('Resumo-Cult.Perma.'!O54*'Critérios de Implantação'!$Q$68,0)+IFERROR('Resumo-Cult.Perma.'!N54*'Critérios de Implantação'!$Q$69,0)</f>
        <v>8868633.07300728</v>
      </c>
      <c r="Z91" s="93">
        <f>IFERROR('Resumo-Cult.Perma.'!W54*'Critérios de Implantação'!Z$61,0)+IFERROR('Resumo-Cult.Perma.'!V54*'Critérios de Implantação'!Z$62,0)+IFERROR('Resumo-Cult.Perma.'!U54*'Critérios de Implantação'!$Q$63,0)+IFERROR('Resumo-Cult.Perma.'!T54*'Critérios de Implantação'!$Q$64,0)+IFERROR('Resumo-Cult.Perma.'!S54*'Critérios de Implantação'!$Q$65,0)+IFERROR('Resumo-Cult.Perma.'!R54*'Critérios de Implantação'!$Q$66,0)+IFERROR('Resumo-Cult.Perma.'!Q54*'Critérios de Implantação'!$Q$67,0)+IFERROR('Resumo-Cult.Perma.'!P54*'Critérios de Implantação'!$Q$68,0)+IFERROR('Resumo-Cult.Perma.'!O54*'Critérios de Implantação'!$Q$69,0)</f>
        <v>8564729.3129379526</v>
      </c>
      <c r="AA91" s="93">
        <f>IFERROR('Resumo-Cult.Perma.'!X54*'Critérios de Implantação'!AA$61,0)+IFERROR('Resumo-Cult.Perma.'!W54*'Critérios de Implantação'!AA$62,0)+IFERROR('Resumo-Cult.Perma.'!V54*'Critérios de Implantação'!$Q$63,0)+IFERROR('Resumo-Cult.Perma.'!U54*'Critérios de Implantação'!$Q$64,0)+IFERROR('Resumo-Cult.Perma.'!T54*'Critérios de Implantação'!$Q$65,0)+IFERROR('Resumo-Cult.Perma.'!S54*'Critérios de Implantação'!$Q$66,0)+IFERROR('Resumo-Cult.Perma.'!R54*'Critérios de Implantação'!$Q$67,0)+IFERROR('Resumo-Cult.Perma.'!Q54*'Critérios de Implantação'!$Q$68,0)+IFERROR('Resumo-Cult.Perma.'!P54*'Critérios de Implantação'!$Q$69,0)</f>
        <v>8225856.9974601185</v>
      </c>
      <c r="AB91" s="93">
        <f>IFERROR('Resumo-Cult.Perma.'!Y54*'Critérios de Implantação'!AB$61,0)+IFERROR('Resumo-Cult.Perma.'!X54*'Critérios de Implantação'!AB$62,0)+IFERROR('Resumo-Cult.Perma.'!W54*'Critérios de Implantação'!$Q$63,0)+IFERROR('Resumo-Cult.Perma.'!V54*'Critérios de Implantação'!$Q$64,0)+IFERROR('Resumo-Cult.Perma.'!U54*'Critérios de Implantação'!$Q$65,0)+IFERROR('Resumo-Cult.Perma.'!T54*'Critérios de Implantação'!$Q$66,0)+IFERROR('Resumo-Cult.Perma.'!S54*'Critérios de Implantação'!$Q$67,0)+IFERROR('Resumo-Cult.Perma.'!R54*'Critérios de Implantação'!$Q$68,0)+IFERROR('Resumo-Cult.Perma.'!Q54*'Critérios de Implantação'!$Q$69,0)</f>
        <v>8143716.6725250157</v>
      </c>
      <c r="AC91" s="93">
        <f>IFERROR('Resumo-Cult.Perma.'!Z54*'Critérios de Implantação'!AC$61,0)+IFERROR('Resumo-Cult.Perma.'!Y54*'Critérios de Implantação'!AC$62,0)+IFERROR('Resumo-Cult.Perma.'!X54*'Critérios de Implantação'!$Q$63,0)+IFERROR('Resumo-Cult.Perma.'!W54*'Critérios de Implantação'!$Q$64,0)+IFERROR('Resumo-Cult.Perma.'!V54*'Critérios de Implantação'!$Q$65,0)+IFERROR('Resumo-Cult.Perma.'!U54*'Critérios de Implantação'!$Q$66,0)+IFERROR('Resumo-Cult.Perma.'!T54*'Critérios de Implantação'!$Q$67,0)+IFERROR('Resumo-Cult.Perma.'!S54*'Critérios de Implantação'!$Q$68,0)+IFERROR('Resumo-Cult.Perma.'!R54*'Critérios de Implantação'!$Q$69,0)</f>
        <v>8085773.4161259495</v>
      </c>
      <c r="AD91" s="93">
        <f>IFERROR('Resumo-Cult.Perma.'!AA54*'Critérios de Implantação'!AD$61,0)+IFERROR('Resumo-Cult.Perma.'!Z54*'Critérios de Implantação'!AD$62,0)+IFERROR('Resumo-Cult.Perma.'!Y54*'Critérios de Implantação'!$Q$63,0)+IFERROR('Resumo-Cult.Perma.'!X54*'Critérios de Implantação'!$Q$64,0)+IFERROR('Resumo-Cult.Perma.'!W54*'Critérios de Implantação'!$Q$65,0)+IFERROR('Resumo-Cult.Perma.'!V54*'Critérios de Implantação'!$Q$66,0)+IFERROR('Resumo-Cult.Perma.'!U54*'Critérios de Implantação'!$Q$67,0)+IFERROR('Resumo-Cult.Perma.'!T54*'Critérios de Implantação'!$Q$68,0)+IFERROR('Resumo-Cult.Perma.'!S54*'Critérios de Implantação'!$Q$69,0)</f>
        <v>8467363.4303460326</v>
      </c>
      <c r="AE91" s="93">
        <f>IFERROR('Resumo-Cult.Perma.'!AB54*'Critérios de Implantação'!AE$61,0)+IFERROR('Resumo-Cult.Perma.'!AA54*'Critérios de Implantação'!AE$62,0)+IFERROR('Resumo-Cult.Perma.'!Z54*'Critérios de Implantação'!$Q$63,0)+IFERROR('Resumo-Cult.Perma.'!Y54*'Critérios de Implantação'!$Q$64,0)+IFERROR('Resumo-Cult.Perma.'!X54*'Critérios de Implantação'!$Q$65,0)+IFERROR('Resumo-Cult.Perma.'!W54*'Critérios de Implantação'!$Q$66,0)+IFERROR('Resumo-Cult.Perma.'!V54*'Critérios de Implantação'!$Q$67,0)+IFERROR('Resumo-Cult.Perma.'!U54*'Critérios de Implantação'!$Q$68,0)+IFERROR('Resumo-Cult.Perma.'!T54*'Critérios de Implantação'!$Q$69,0)</f>
        <v>8512774.6703585982</v>
      </c>
      <c r="AF91" s="93">
        <f>IFERROR('Resumo-Cult.Perma.'!AC54*'Critérios de Implantação'!AF$61,0)+IFERROR('Resumo-Cult.Perma.'!AB54*'Critérios de Implantação'!AF$62,0)+IFERROR('Resumo-Cult.Perma.'!AA54*'Critérios de Implantação'!$Q$63,0)+IFERROR('Resumo-Cult.Perma.'!Z54*'Critérios de Implantação'!$Q$64,0)+IFERROR('Resumo-Cult.Perma.'!Y54*'Critérios de Implantação'!$Q$65,0)+IFERROR('Resumo-Cult.Perma.'!X54*'Critérios de Implantação'!$Q$66,0)+IFERROR('Resumo-Cult.Perma.'!W54*'Critérios de Implantação'!$Q$67,0)+IFERROR('Resumo-Cult.Perma.'!V54*'Critérios de Implantação'!$Q$68,0)+IFERROR('Resumo-Cult.Perma.'!U54*'Critérios de Implantação'!$Q$69,0)</f>
        <v>8640316.3639168814</v>
      </c>
      <c r="AG91" s="93">
        <f>IFERROR('Resumo-Cult.Perma.'!AD54*'Critérios de Implantação'!AG$61,0)+IFERROR('Resumo-Cult.Perma.'!AC54*'Critérios de Implantação'!AG$62,0)+IFERROR('Resumo-Cult.Perma.'!AB54*'Critérios de Implantação'!$Q$63,0)+IFERROR('Resumo-Cult.Perma.'!AA54*'Critérios de Implantação'!$Q$64,0)+IFERROR('Resumo-Cult.Perma.'!Z54*'Critérios de Implantação'!$Q$65,0)+IFERROR('Resumo-Cult.Perma.'!Y54*'Critérios de Implantação'!$Q$66,0)+IFERROR('Resumo-Cult.Perma.'!X54*'Critérios de Implantação'!$Q$67,0)+IFERROR('Resumo-Cult.Perma.'!W54*'Critérios de Implantação'!$Q$68,0)+IFERROR('Resumo-Cult.Perma.'!V54*'Critérios de Implantação'!$Q$69,0)</f>
        <v>9153891.1705948748</v>
      </c>
      <c r="AH91" s="93">
        <f>IFERROR('Resumo-Cult.Perma.'!AE54*'Critérios de Implantação'!AH$61,0)+IFERROR('Resumo-Cult.Perma.'!AD54*'Critérios de Implantação'!AH$62,0)+IFERROR('Resumo-Cult.Perma.'!AC54*'Critérios de Implantação'!$Q$63,0)+IFERROR('Resumo-Cult.Perma.'!AB54*'Critérios de Implantação'!$Q$64,0)+IFERROR('Resumo-Cult.Perma.'!AA54*'Critérios de Implantação'!$Q$65,0)+IFERROR('Resumo-Cult.Perma.'!Z54*'Critérios de Implantação'!$Q$66,0)+IFERROR('Resumo-Cult.Perma.'!Y54*'Critérios de Implantação'!$Q$67,0)+IFERROR('Resumo-Cult.Perma.'!X54*'Critérios de Implantação'!$Q$68,0)+IFERROR('Resumo-Cult.Perma.'!W54*'Critérios de Implantação'!$Q$69,0)</f>
        <v>9154852.4030727223</v>
      </c>
      <c r="AI91" s="93">
        <f>IFERROR('Resumo-Cult.Perma.'!AF54*'Critérios de Implantação'!AI$61,0)+IFERROR('Resumo-Cult.Perma.'!AE54*'Critérios de Implantação'!AI$62,0)+IFERROR('Resumo-Cult.Perma.'!AD54*'Critérios de Implantação'!$Q$63,0)+IFERROR('Resumo-Cult.Perma.'!AC54*'Critérios de Implantação'!$Q$64,0)+IFERROR('Resumo-Cult.Perma.'!AB54*'Critérios de Implantação'!$Q$65,0)+IFERROR('Resumo-Cult.Perma.'!AA54*'Critérios de Implantação'!$Q$66,0)+IFERROR('Resumo-Cult.Perma.'!Z54*'Critérios de Implantação'!$Q$67,0)+IFERROR('Resumo-Cult.Perma.'!Y54*'Critérios de Implantação'!$Q$68,0)+IFERROR('Resumo-Cult.Perma.'!X54*'Critérios de Implantação'!$Q$69,0)</f>
        <v>9233344.8580531795</v>
      </c>
      <c r="AJ91" s="93">
        <f>IFERROR('Resumo-Cult.Perma.'!AG54*'Critérios de Implantação'!AJ$61,0)+IFERROR('Resumo-Cult.Perma.'!AF54*'Critérios de Implantação'!AJ$62,0)+IFERROR('Resumo-Cult.Perma.'!AE54*'Critérios de Implantação'!$Q$63,0)+IFERROR('Resumo-Cult.Perma.'!AD54*'Critérios de Implantação'!$Q$64,0)+IFERROR('Resumo-Cult.Perma.'!AC54*'Critérios de Implantação'!$Q$65,0)+IFERROR('Resumo-Cult.Perma.'!AB54*'Critérios de Implantação'!$Q$66,0)+IFERROR('Resumo-Cult.Perma.'!AA54*'Critérios de Implantação'!$Q$67,0)+IFERROR('Resumo-Cult.Perma.'!Z54*'Critérios de Implantação'!$Q$68,0)+IFERROR('Resumo-Cult.Perma.'!Y54*'Critérios de Implantação'!$Q$69,0)</f>
        <v>9109296.002801396</v>
      </c>
      <c r="AK91" s="81">
        <f>IFERROR('Resumo-Cult.Perma.'!AH54*'Critérios de Implantação'!AK$61,0)+IFERROR('Resumo-Cult.Perma.'!AG54*'Critérios de Implantação'!AK$62,0)+IFERROR('Resumo-Cult.Perma.'!AF54*'Critérios de Implantação'!$Q$63,0)+IFERROR('Resumo-Cult.Perma.'!AE54*'Critérios de Implantação'!$Q$64,0)+IFERROR('Resumo-Cult.Perma.'!AD54*'Critérios de Implantação'!$Q$65,0)+IFERROR('Resumo-Cult.Perma.'!AC54*'Critérios de Implantação'!$Q$66,0)+IFERROR('Resumo-Cult.Perma.'!AB54*'Critérios de Implantação'!$Q$67,0)+IFERROR('Resumo-Cult.Perma.'!AA54*'Critérios de Implantação'!$Q$68,0)+IFERROR('Resumo-Cult.Perma.'!Z54*'Critérios de Implantação'!$Q$69,0)</f>
        <v>8868633.07300728</v>
      </c>
    </row>
    <row r="92" spans="1:37" ht="20.149999999999999" hidden="1" customHeight="1" outlineLevel="1" x14ac:dyDescent="0.25">
      <c r="A92" s="48" t="s">
        <v>138</v>
      </c>
      <c r="B92" s="34" t="s">
        <v>146</v>
      </c>
      <c r="C92" s="80"/>
      <c r="D92" s="93">
        <f>IFERROR('Resumo-Cult.Perma.'!A55*'Critérios de Implantação'!D$61,0)+IFERROR('Resumo-Cult.Perma.'!#REF!*'Critérios de Implantação'!D$62,0)+IFERROR('Resumo-Cult.Perma.'!#REF!*'Critérios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E92" s="93">
        <f>IFERROR('Resumo-Cult.Perma.'!B55*'Critérios de Implantação'!E$61,0)+IFERROR('Resumo-Cult.Perma.'!A55*'Critérios de Implantação'!E$62,0)+IFERROR('Resumo-Cult.Perma.'!#REF!*'Critérios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F92" s="93">
        <f>IFERROR('Resumo-Cult.Perma.'!C55*'Critérios de Implantação'!F$61,0)+IFERROR('Resumo-Cult.Perma.'!B55*'Critérios de Implantação'!F$62,0)+IFERROR('Resumo-Cult.Perma.'!A55*'Critérios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G92" s="93">
        <f>IFERROR('Resumo-Cult.Perma.'!D55*'Critérios de Implantação'!G$61,0)+IFERROR('Resumo-Cult.Perma.'!C55*'Critérios de Implantação'!G$62,0)+IFERROR('Resumo-Cult.Perma.'!B55*'Critérios de Implantação'!$Q$63,0)+IFERROR('Resumo-Cult.Perma.'!A55*'Critérios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735044.91055462463</v>
      </c>
      <c r="H92" s="93">
        <f>IFERROR('Resumo-Cult.Perma.'!E55*'Critérios de Implantação'!H$61,0)+IFERROR('Resumo-Cult.Perma.'!D55*'Critérios de Implantação'!H$62,0)+IFERROR('Resumo-Cult.Perma.'!C55*'Critérios de Implantação'!$Q$63,0)+IFERROR('Resumo-Cult.Perma.'!B55*'Critérios de Implantação'!$Q$64,0)+IFERROR('Resumo-Cult.Perma.'!A55*'Critérios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1432407.9181959697</v>
      </c>
      <c r="I92" s="93">
        <f>IFERROR('Resumo-Cult.Perma.'!F55*'Critérios de Implantação'!I$61,0)+IFERROR('Resumo-Cult.Perma.'!E55*'Critérios de Implantação'!I$62,0)+IFERROR('Resumo-Cult.Perma.'!D55*'Critérios de Implantação'!$Q$63,0)+IFERROR('Resumo-Cult.Perma.'!C55*'Critérios de Implantação'!$Q$64,0)+IFERROR('Resumo-Cult.Perma.'!B55*'Critérios de Implantação'!$Q$65,0)+IFERROR('Resumo-Cult.Perma.'!A55*'Critérios de Implantação'!$Q$66,0)+IFERROR('Resumo-Cult.Perma.'!#REF!*'Critérios de Implantação'!$Q$67,0)+IFERROR('Resumo-Cult.Perma.'!#REF!*'Critérios de Implantação'!$Q$68,0)+IFERROR('Resumo-Cult.Perma.'!#REF!*'Critérios de Implantação'!$Q$69,0)</f>
        <v>2243814.5297135678</v>
      </c>
      <c r="J92" s="93">
        <f>IFERROR('Resumo-Cult.Perma.'!G55*'Critérios de Implantação'!J$61,0)+IFERROR('Resumo-Cult.Perma.'!F55*'Critérios de Implantação'!J$62,0)+IFERROR('Resumo-Cult.Perma.'!E55*'Critérios de Implantação'!$Q$63,0)+IFERROR('Resumo-Cult.Perma.'!D55*'Critérios de Implantação'!$Q$64,0)+IFERROR('Resumo-Cult.Perma.'!C55*'Critérios de Implantação'!$Q$65,0)+IFERROR('Resumo-Cult.Perma.'!B55*'Critérios de Implantação'!$Q$66,0)+IFERROR('Resumo-Cult.Perma.'!A55*'Critérios de Implantação'!$Q$67,0)+IFERROR('Resumo-Cult.Perma.'!#REF!*'Critérios de Implantação'!$Q$68,0)+IFERROR('Resumo-Cult.Perma.'!#REF!*'Critérios de Implantação'!$Q$69,0)</f>
        <v>3847070.0925139003</v>
      </c>
      <c r="K92" s="93">
        <f>IFERROR('Resumo-Cult.Perma.'!H55*'Critérios de Implantação'!K$61,0)+IFERROR('Resumo-Cult.Perma.'!G55*'Critérios de Implantação'!K$62,0)+IFERROR('Resumo-Cult.Perma.'!F55*'Critérios de Implantação'!$Q$63,0)+IFERROR('Resumo-Cult.Perma.'!E55*'Critérios de Implantação'!$Q$64,0)+IFERROR('Resumo-Cult.Perma.'!D55*'Critérios de Implantação'!$Q$65,0)+IFERROR('Resumo-Cult.Perma.'!C55*'Critérios de Implantação'!$Q$66,0)+IFERROR('Resumo-Cult.Perma.'!B55*'Critérios de Implantação'!$Q$67,0)+IFERROR('Resumo-Cult.Perma.'!A55*'Critérios de Implantação'!$Q$68,0)+IFERROR('Resumo-Cult.Perma.'!#REF!*'Critérios de Implantação'!$Q$69,0)</f>
        <v>5272841.6493410431</v>
      </c>
      <c r="L92" s="93">
        <f>IFERROR('Resumo-Cult.Perma.'!I55*'Critérios de Implantação'!L$61,0)+IFERROR('Resumo-Cult.Perma.'!H55*'Critérios de Implantação'!L$62,0)+IFERROR('Resumo-Cult.Perma.'!G55*'Critérios de Implantação'!$Q$63,0)+IFERROR('Resumo-Cult.Perma.'!F55*'Critérios de Implantação'!$Q$64,0)+IFERROR('Resumo-Cult.Perma.'!E55*'Critérios de Implantação'!$Q$65,0)+IFERROR('Resumo-Cult.Perma.'!D55*'Critérios de Implantação'!$Q$66,0)+IFERROR('Resumo-Cult.Perma.'!C55*'Critérios de Implantação'!$Q$67,0)+IFERROR('Resumo-Cult.Perma.'!B55*'Critérios de Implantação'!$Q$68,0)+IFERROR('Resumo-Cult.Perma.'!A55*'Critérios de Implantação'!$Q$69,0)</f>
        <v>6673505.272911991</v>
      </c>
      <c r="M92" s="93">
        <f>IFERROR('Resumo-Cult.Perma.'!J55*'Critérios de Implantação'!M$61,0)+IFERROR('Resumo-Cult.Perma.'!I55*'Critérios de Implantação'!M$62,0)+IFERROR('Resumo-Cult.Perma.'!H55*'Critérios de Implantação'!$Q$63,0)+IFERROR('Resumo-Cult.Perma.'!G55*'Critérios de Implantação'!$Q$64,0)+IFERROR('Resumo-Cult.Perma.'!F55*'Critérios de Implantação'!$Q$65,0)+IFERROR('Resumo-Cult.Perma.'!E55*'Critérios de Implantação'!$Q$66,0)+IFERROR('Resumo-Cult.Perma.'!D55*'Critérios de Implantação'!$Q$67,0)+IFERROR('Resumo-Cult.Perma.'!C55*'Critérios de Implantação'!$Q$68,0)+IFERROR('Resumo-Cult.Perma.'!B55*'Critérios de Implantação'!$Q$69,0)</f>
        <v>7740857.7675828254</v>
      </c>
      <c r="N92" s="93">
        <f>IFERROR('Resumo-Cult.Perma.'!K55*'Critérios de Implantação'!N$61,0)+IFERROR('Resumo-Cult.Perma.'!J55*'Critérios de Implantação'!N$62,0)+IFERROR('Resumo-Cult.Perma.'!I55*'Critérios de Implantação'!$Q$63,0)+IFERROR('Resumo-Cult.Perma.'!H55*'Critérios de Implantação'!$Q$64,0)+IFERROR('Resumo-Cult.Perma.'!G55*'Critérios de Implantação'!$Q$65,0)+IFERROR('Resumo-Cult.Perma.'!F55*'Critérios de Implantação'!$Q$66,0)+IFERROR('Resumo-Cult.Perma.'!E55*'Critérios de Implantação'!$Q$67,0)+IFERROR('Resumo-Cult.Perma.'!D55*'Critérios de Implantação'!$Q$68,0)+IFERROR('Resumo-Cult.Perma.'!C55*'Critérios de Implantação'!$Q$69,0)</f>
        <v>8401857.3301149141</v>
      </c>
      <c r="O92" s="93">
        <f>IFERROR('Resumo-Cult.Perma.'!L55*'Critérios de Implantação'!O$61,0)+IFERROR('Resumo-Cult.Perma.'!K55*'Critérios de Implantação'!O$62,0)+IFERROR('Resumo-Cult.Perma.'!J55*'Critérios de Implantação'!$Q$63,0)+IFERROR('Resumo-Cult.Perma.'!I55*'Critérios de Implantação'!$Q$64,0)+IFERROR('Resumo-Cult.Perma.'!H55*'Critérios de Implantação'!$Q$65,0)+IFERROR('Resumo-Cult.Perma.'!G55*'Critérios de Implantação'!$Q$66,0)+IFERROR('Resumo-Cult.Perma.'!F55*'Critérios de Implantação'!$Q$67,0)+IFERROR('Resumo-Cult.Perma.'!E55*'Critérios de Implantação'!$Q$68,0)+IFERROR('Resumo-Cult.Perma.'!D55*'Critérios de Implantação'!$Q$69,0)</f>
        <v>8588358.3105271906</v>
      </c>
      <c r="P92" s="93">
        <f>IFERROR('Resumo-Cult.Perma.'!M55*'Critérios de Implantação'!P$61,0)+IFERROR('Resumo-Cult.Perma.'!L55*'Critérios de Implantação'!P$62,0)+IFERROR('Resumo-Cult.Perma.'!K55*'Critérios de Implantação'!$Q$63,0)+IFERROR('Resumo-Cult.Perma.'!J55*'Critérios de Implantação'!$Q$64,0)+IFERROR('Resumo-Cult.Perma.'!I55*'Critérios de Implantação'!$Q$65,0)+IFERROR('Resumo-Cult.Perma.'!H55*'Critérios de Implantação'!$Q$66,0)+IFERROR('Resumo-Cult.Perma.'!G55*'Critérios de Implantação'!$Q$67,0)+IFERROR('Resumo-Cult.Perma.'!F55*'Critérios de Implantação'!$Q$68,0)+IFERROR('Resumo-Cult.Perma.'!E55*'Critérios de Implantação'!$Q$69,0)</f>
        <v>8294737.0526334895</v>
      </c>
      <c r="Q92" s="93">
        <f>IFERROR('Resumo-Cult.Perma.'!N55*'Critérios de Implantação'!Q$61,0)+IFERROR('Resumo-Cult.Perma.'!M55*'Critérios de Implantação'!Q$62,0)+IFERROR('Resumo-Cult.Perma.'!L55*'Critérios de Implantação'!$Q$63,0)+IFERROR('Resumo-Cult.Perma.'!K55*'Critérios de Implantação'!$Q$64,0)+IFERROR('Resumo-Cult.Perma.'!J55*'Critérios de Implantação'!$Q$65,0)+IFERROR('Resumo-Cult.Perma.'!I55*'Critérios de Implantação'!$Q$66,0)+IFERROR('Resumo-Cult.Perma.'!H55*'Critérios de Implantação'!$Q$67,0)+IFERROR('Resumo-Cult.Perma.'!G55*'Critérios de Implantação'!$Q$68,0)+IFERROR('Resumo-Cult.Perma.'!F55*'Critérios de Implantação'!$Q$69,0)</f>
        <v>8044134.6677555637</v>
      </c>
      <c r="R92" s="93">
        <f>IFERROR('Resumo-Cult.Perma.'!O55*'Critérios de Implantação'!R$61,0)+IFERROR('Resumo-Cult.Perma.'!N55*'Critérios de Implantação'!R$62,0)+IFERROR('Resumo-Cult.Perma.'!M55*'Critérios de Implantação'!$Q$63,0)+IFERROR('Resumo-Cult.Perma.'!L55*'Critérios de Implantação'!$Q$64,0)+IFERROR('Resumo-Cult.Perma.'!K55*'Critérios de Implantação'!$Q$65,0)+IFERROR('Resumo-Cult.Perma.'!J55*'Critérios de Implantação'!$Q$66,0)+IFERROR('Resumo-Cult.Perma.'!I55*'Critérios de Implantação'!$Q$67,0)+IFERROR('Resumo-Cult.Perma.'!H55*'Critérios de Implantação'!$Q$68,0)+IFERROR('Resumo-Cult.Perma.'!G55*'Critérios de Implantação'!$Q$69,0)</f>
        <v>7831645.059564448</v>
      </c>
      <c r="S92" s="93">
        <f>IFERROR('Resumo-Cult.Perma.'!P55*'Critérios de Implantação'!S$61,0)+IFERROR('Resumo-Cult.Perma.'!O55*'Critérios de Implantação'!S$62,0)+IFERROR('Resumo-Cult.Perma.'!N55*'Critérios de Implantação'!$Q$63,0)+IFERROR('Resumo-Cult.Perma.'!M55*'Critérios de Implantação'!$Q$64,0)+IFERROR('Resumo-Cult.Perma.'!L55*'Critérios de Implantação'!$Q$65,0)+IFERROR('Resumo-Cult.Perma.'!K55*'Critérios de Implantação'!$Q$66,0)+IFERROR('Resumo-Cult.Perma.'!J55*'Critérios de Implantação'!$Q$67,0)+IFERROR('Resumo-Cult.Perma.'!I55*'Critérios de Implantação'!$Q$68,0)+IFERROR('Resumo-Cult.Perma.'!H55*'Critérios de Implantação'!$Q$69,0)</f>
        <v>7844447.2051677853</v>
      </c>
      <c r="T92" s="93">
        <f>IFERROR('Resumo-Cult.Perma.'!Q55*'Critérios de Implantação'!T$61,0)+IFERROR('Resumo-Cult.Perma.'!P55*'Critérios de Implantação'!T$62,0)+IFERROR('Resumo-Cult.Perma.'!O55*'Critérios de Implantação'!$Q$63,0)+IFERROR('Resumo-Cult.Perma.'!N55*'Critérios de Implantação'!$Q$64,0)+IFERROR('Resumo-Cult.Perma.'!M55*'Critérios de Implantação'!$Q$65,0)+IFERROR('Resumo-Cult.Perma.'!L55*'Critérios de Implantação'!$Q$66,0)+IFERROR('Resumo-Cult.Perma.'!K55*'Critérios de Implantação'!$Q$67,0)+IFERROR('Resumo-Cult.Perma.'!J55*'Critérios de Implantação'!$Q$68,0)+IFERROR('Resumo-Cult.Perma.'!I55*'Critérios de Implantação'!$Q$69,0)</f>
        <v>7836040.543225267</v>
      </c>
      <c r="U92" s="93">
        <f>IFERROR('Resumo-Cult.Perma.'!R55*'Critérios de Implantação'!U$61,0)+IFERROR('Resumo-Cult.Perma.'!Q55*'Critérios de Implantação'!U$62,0)+IFERROR('Resumo-Cult.Perma.'!P55*'Critérios de Implantação'!$Q$63,0)+IFERROR('Resumo-Cult.Perma.'!O55*'Critérios de Implantação'!$Q$64,0)+IFERROR('Resumo-Cult.Perma.'!N55*'Critérios de Implantação'!$Q$65,0)+IFERROR('Resumo-Cult.Perma.'!M55*'Critérios de Implantação'!$Q$66,0)+IFERROR('Resumo-Cult.Perma.'!L55*'Critérios de Implantação'!$Q$67,0)+IFERROR('Resumo-Cult.Perma.'!K55*'Critérios de Implantação'!$Q$68,0)+IFERROR('Resumo-Cult.Perma.'!J55*'Critérios de Implantação'!$Q$69,0)</f>
        <v>7849593.8025340559</v>
      </c>
      <c r="V92" s="93">
        <f>IFERROR('Resumo-Cult.Perma.'!S55*'Critérios de Implantação'!V$61,0)+IFERROR('Resumo-Cult.Perma.'!R55*'Critérios de Implantação'!V$62,0)+IFERROR('Resumo-Cult.Perma.'!Q55*'Critérios de Implantação'!$Q$63,0)+IFERROR('Resumo-Cult.Perma.'!P55*'Critérios de Implantação'!$Q$64,0)+IFERROR('Resumo-Cult.Perma.'!O55*'Critérios de Implantação'!$Q$65,0)+IFERROR('Resumo-Cult.Perma.'!N55*'Critérios de Implantação'!$Q$66,0)+IFERROR('Resumo-Cult.Perma.'!M55*'Critérios de Implantação'!$Q$67,0)+IFERROR('Resumo-Cult.Perma.'!L55*'Critérios de Implantação'!$Q$68,0)+IFERROR('Resumo-Cult.Perma.'!K55*'Critérios de Implantação'!$Q$69,0)</f>
        <v>8131902.4400484981</v>
      </c>
      <c r="W92" s="93">
        <f>IFERROR('Resumo-Cult.Perma.'!T55*'Critérios de Implantação'!W$61,0)+IFERROR('Resumo-Cult.Perma.'!S55*'Critérios de Implantação'!W$62,0)+IFERROR('Resumo-Cult.Perma.'!R55*'Critérios de Implantação'!$Q$63,0)+IFERROR('Resumo-Cult.Perma.'!Q55*'Critérios de Implantação'!$Q$64,0)+IFERROR('Resumo-Cult.Perma.'!P55*'Critérios de Implantação'!$Q$65,0)+IFERROR('Resumo-Cult.Perma.'!O55*'Critérios de Implantação'!$Q$66,0)+IFERROR('Resumo-Cult.Perma.'!N55*'Critérios de Implantação'!$Q$67,0)+IFERROR('Resumo-Cult.Perma.'!M55*'Critérios de Implantação'!$Q$68,0)+IFERROR('Resumo-Cult.Perma.'!L55*'Critérios de Implantação'!$Q$69,0)</f>
        <v>8345915.0267340997</v>
      </c>
      <c r="X92" s="93">
        <f>IFERROR('Resumo-Cult.Perma.'!U55*'Critérios de Implantação'!X$61,0)+IFERROR('Resumo-Cult.Perma.'!T55*'Critérios de Implantação'!X$62,0)+IFERROR('Resumo-Cult.Perma.'!S55*'Critérios de Implantação'!$Q$63,0)+IFERROR('Resumo-Cult.Perma.'!R55*'Critérios de Implantação'!$Q$64,0)+IFERROR('Resumo-Cult.Perma.'!Q55*'Critérios de Implantação'!$Q$65,0)+IFERROR('Resumo-Cult.Perma.'!P55*'Critérios de Implantação'!$Q$66,0)+IFERROR('Resumo-Cult.Perma.'!O55*'Critérios de Implantação'!$Q$67,0)+IFERROR('Resumo-Cult.Perma.'!N55*'Critérios de Implantação'!$Q$68,0)+IFERROR('Resumo-Cult.Perma.'!M55*'Critérios de Implantação'!$Q$69,0)</f>
        <v>8558741.831391586</v>
      </c>
      <c r="Y92" s="93">
        <f>IFERROR('Resumo-Cult.Perma.'!V55*'Critérios de Implantação'!Y$61,0)+IFERROR('Resumo-Cult.Perma.'!U55*'Critérios de Implantação'!Y$62,0)+IFERROR('Resumo-Cult.Perma.'!T55*'Critérios de Implantação'!$Q$63,0)+IFERROR('Resumo-Cult.Perma.'!S55*'Critérios de Implantação'!$Q$64,0)+IFERROR('Resumo-Cult.Perma.'!R55*'Critérios de Implantação'!$Q$65,0)+IFERROR('Resumo-Cult.Perma.'!Q55*'Critérios de Implantação'!$Q$66,0)+IFERROR('Resumo-Cult.Perma.'!P55*'Critérios de Implantação'!$Q$67,0)+IFERROR('Resumo-Cult.Perma.'!O55*'Critérios de Implantação'!$Q$68,0)+IFERROR('Resumo-Cult.Perma.'!N55*'Critérios de Implantação'!$Q$69,0)</f>
        <v>8700761.6466563046</v>
      </c>
      <c r="Z92" s="93">
        <f>IFERROR('Resumo-Cult.Perma.'!W55*'Critérios de Implantação'!Z$61,0)+IFERROR('Resumo-Cult.Perma.'!V55*'Critérios de Implantação'!Z$62,0)+IFERROR('Resumo-Cult.Perma.'!U55*'Critérios de Implantação'!$Q$63,0)+IFERROR('Resumo-Cult.Perma.'!T55*'Critérios de Implantação'!$Q$64,0)+IFERROR('Resumo-Cult.Perma.'!S55*'Critérios de Implantação'!$Q$65,0)+IFERROR('Resumo-Cult.Perma.'!R55*'Critérios de Implantação'!$Q$66,0)+IFERROR('Resumo-Cult.Perma.'!Q55*'Critérios de Implantação'!$Q$67,0)+IFERROR('Resumo-Cult.Perma.'!P55*'Critérios de Implantação'!$Q$68,0)+IFERROR('Resumo-Cult.Perma.'!O55*'Critérios de Implantação'!$Q$69,0)</f>
        <v>8720143.7325117122</v>
      </c>
      <c r="AA92" s="93">
        <f>IFERROR('Resumo-Cult.Perma.'!X55*'Critérios de Implantação'!AA$61,0)+IFERROR('Resumo-Cult.Perma.'!W55*'Critérios de Implantação'!AA$62,0)+IFERROR('Resumo-Cult.Perma.'!V55*'Critérios de Implantação'!$Q$63,0)+IFERROR('Resumo-Cult.Perma.'!U55*'Critérios de Implantação'!$Q$64,0)+IFERROR('Resumo-Cult.Perma.'!T55*'Critérios de Implantação'!$Q$65,0)+IFERROR('Resumo-Cult.Perma.'!S55*'Critérios de Implantação'!$Q$66,0)+IFERROR('Resumo-Cult.Perma.'!R55*'Critérios de Implantação'!$Q$67,0)+IFERROR('Resumo-Cult.Perma.'!Q55*'Critérios de Implantação'!$Q$68,0)+IFERROR('Resumo-Cult.Perma.'!P55*'Critérios de Implantação'!$Q$69,0)</f>
        <v>8588358.3105271906</v>
      </c>
      <c r="AB92" s="93">
        <f>IFERROR('Resumo-Cult.Perma.'!Y55*'Critérios de Implantação'!AB$61,0)+IFERROR('Resumo-Cult.Perma.'!X55*'Critérios de Implantação'!AB$62,0)+IFERROR('Resumo-Cult.Perma.'!W55*'Critérios de Implantação'!$Q$63,0)+IFERROR('Resumo-Cult.Perma.'!V55*'Critérios de Implantação'!$Q$64,0)+IFERROR('Resumo-Cult.Perma.'!U55*'Critérios de Implantação'!$Q$65,0)+IFERROR('Resumo-Cult.Perma.'!T55*'Critérios de Implantação'!$Q$66,0)+IFERROR('Resumo-Cult.Perma.'!S55*'Critérios de Implantação'!$Q$67,0)+IFERROR('Resumo-Cult.Perma.'!R55*'Critérios de Implantação'!$Q$68,0)+IFERROR('Resumo-Cult.Perma.'!Q55*'Critérios de Implantação'!$Q$69,0)</f>
        <v>8294737.0526334895</v>
      </c>
      <c r="AC92" s="93">
        <f>IFERROR('Resumo-Cult.Perma.'!Z55*'Critérios de Implantação'!AC$61,0)+IFERROR('Resumo-Cult.Perma.'!Y55*'Critérios de Implantação'!AC$62,0)+IFERROR('Resumo-Cult.Perma.'!X55*'Critérios de Implantação'!$Q$63,0)+IFERROR('Resumo-Cult.Perma.'!W55*'Critérios de Implantação'!$Q$64,0)+IFERROR('Resumo-Cult.Perma.'!V55*'Critérios de Implantação'!$Q$65,0)+IFERROR('Resumo-Cult.Perma.'!U55*'Critérios de Implantação'!$Q$66,0)+IFERROR('Resumo-Cult.Perma.'!T55*'Critérios de Implantação'!$Q$67,0)+IFERROR('Resumo-Cult.Perma.'!S55*'Critérios de Implantação'!$Q$68,0)+IFERROR('Resumo-Cult.Perma.'!R55*'Critérios de Implantação'!$Q$69,0)</f>
        <v>8044134.6677555637</v>
      </c>
      <c r="AD92" s="93">
        <f>IFERROR('Resumo-Cult.Perma.'!AA55*'Critérios de Implantação'!AD$61,0)+IFERROR('Resumo-Cult.Perma.'!Z55*'Critérios de Implantação'!AD$62,0)+IFERROR('Resumo-Cult.Perma.'!Y55*'Critérios de Implantação'!$Q$63,0)+IFERROR('Resumo-Cult.Perma.'!X55*'Critérios de Implantação'!$Q$64,0)+IFERROR('Resumo-Cult.Perma.'!W55*'Critérios de Implantação'!$Q$65,0)+IFERROR('Resumo-Cult.Perma.'!V55*'Critérios de Implantação'!$Q$66,0)+IFERROR('Resumo-Cult.Perma.'!U55*'Critérios de Implantação'!$Q$67,0)+IFERROR('Resumo-Cult.Perma.'!T55*'Critérios de Implantação'!$Q$68,0)+IFERROR('Resumo-Cult.Perma.'!S55*'Critérios de Implantação'!$Q$69,0)</f>
        <v>7831645.059564448</v>
      </c>
      <c r="AE92" s="93">
        <f>IFERROR('Resumo-Cult.Perma.'!AB55*'Critérios de Implantação'!AE$61,0)+IFERROR('Resumo-Cult.Perma.'!AA55*'Critérios de Implantação'!AE$62,0)+IFERROR('Resumo-Cult.Perma.'!Z55*'Critérios de Implantação'!$Q$63,0)+IFERROR('Resumo-Cult.Perma.'!Y55*'Critérios de Implantação'!$Q$64,0)+IFERROR('Resumo-Cult.Perma.'!X55*'Critérios de Implantação'!$Q$65,0)+IFERROR('Resumo-Cult.Perma.'!W55*'Critérios de Implantação'!$Q$66,0)+IFERROR('Resumo-Cult.Perma.'!V55*'Critérios de Implantação'!$Q$67,0)+IFERROR('Resumo-Cult.Perma.'!U55*'Critérios de Implantação'!$Q$68,0)+IFERROR('Resumo-Cult.Perma.'!T55*'Critérios de Implantação'!$Q$69,0)</f>
        <v>7844447.2051677853</v>
      </c>
      <c r="AF92" s="93">
        <f>IFERROR('Resumo-Cult.Perma.'!AC55*'Critérios de Implantação'!AF$61,0)+IFERROR('Resumo-Cult.Perma.'!AB55*'Critérios de Implantação'!AF$62,0)+IFERROR('Resumo-Cult.Perma.'!AA55*'Critérios de Implantação'!$Q$63,0)+IFERROR('Resumo-Cult.Perma.'!Z55*'Critérios de Implantação'!$Q$64,0)+IFERROR('Resumo-Cult.Perma.'!Y55*'Critérios de Implantação'!$Q$65,0)+IFERROR('Resumo-Cult.Perma.'!X55*'Critérios de Implantação'!$Q$66,0)+IFERROR('Resumo-Cult.Perma.'!W55*'Critérios de Implantação'!$Q$67,0)+IFERROR('Resumo-Cult.Perma.'!V55*'Critérios de Implantação'!$Q$68,0)+IFERROR('Resumo-Cult.Perma.'!U55*'Critérios de Implantação'!$Q$69,0)</f>
        <v>7836040.543225267</v>
      </c>
      <c r="AG92" s="93">
        <f>IFERROR('Resumo-Cult.Perma.'!AD55*'Critérios de Implantação'!AG$61,0)+IFERROR('Resumo-Cult.Perma.'!AC55*'Critérios de Implantação'!AG$62,0)+IFERROR('Resumo-Cult.Perma.'!AB55*'Critérios de Implantação'!$Q$63,0)+IFERROR('Resumo-Cult.Perma.'!AA55*'Critérios de Implantação'!$Q$64,0)+IFERROR('Resumo-Cult.Perma.'!Z55*'Critérios de Implantação'!$Q$65,0)+IFERROR('Resumo-Cult.Perma.'!Y55*'Critérios de Implantação'!$Q$66,0)+IFERROR('Resumo-Cult.Perma.'!X55*'Critérios de Implantação'!$Q$67,0)+IFERROR('Resumo-Cult.Perma.'!W55*'Critérios de Implantação'!$Q$68,0)+IFERROR('Resumo-Cult.Perma.'!V55*'Critérios de Implantação'!$Q$69,0)</f>
        <v>7849593.8025340559</v>
      </c>
      <c r="AH92" s="93">
        <f>IFERROR('Resumo-Cult.Perma.'!AE55*'Critérios de Implantação'!AH$61,0)+IFERROR('Resumo-Cult.Perma.'!AD55*'Critérios de Implantação'!AH$62,0)+IFERROR('Resumo-Cult.Perma.'!AC55*'Critérios de Implantação'!$Q$63,0)+IFERROR('Resumo-Cult.Perma.'!AB55*'Critérios de Implantação'!$Q$64,0)+IFERROR('Resumo-Cult.Perma.'!AA55*'Critérios de Implantação'!$Q$65,0)+IFERROR('Resumo-Cult.Perma.'!Z55*'Critérios de Implantação'!$Q$66,0)+IFERROR('Resumo-Cult.Perma.'!Y55*'Critérios de Implantação'!$Q$67,0)+IFERROR('Resumo-Cult.Perma.'!X55*'Critérios de Implantação'!$Q$68,0)+IFERROR('Resumo-Cult.Perma.'!W55*'Critérios de Implantação'!$Q$69,0)</f>
        <v>8131902.4400484981</v>
      </c>
      <c r="AI92" s="93">
        <f>IFERROR('Resumo-Cult.Perma.'!AF55*'Critérios de Implantação'!AI$61,0)+IFERROR('Resumo-Cult.Perma.'!AE55*'Critérios de Implantação'!AI$62,0)+IFERROR('Resumo-Cult.Perma.'!AD55*'Critérios de Implantação'!$Q$63,0)+IFERROR('Resumo-Cult.Perma.'!AC55*'Critérios de Implantação'!$Q$64,0)+IFERROR('Resumo-Cult.Perma.'!AB55*'Critérios de Implantação'!$Q$65,0)+IFERROR('Resumo-Cult.Perma.'!AA55*'Critérios de Implantação'!$Q$66,0)+IFERROR('Resumo-Cult.Perma.'!Z55*'Critérios de Implantação'!$Q$67,0)+IFERROR('Resumo-Cult.Perma.'!Y55*'Critérios de Implantação'!$Q$68,0)+IFERROR('Resumo-Cult.Perma.'!X55*'Critérios de Implantação'!$Q$69,0)</f>
        <v>8345915.0267340997</v>
      </c>
      <c r="AJ92" s="93">
        <f>IFERROR('Resumo-Cult.Perma.'!AG55*'Critérios de Implantação'!AJ$61,0)+IFERROR('Resumo-Cult.Perma.'!AF55*'Critérios de Implantação'!AJ$62,0)+IFERROR('Resumo-Cult.Perma.'!AE55*'Critérios de Implantação'!$Q$63,0)+IFERROR('Resumo-Cult.Perma.'!AD55*'Critérios de Implantação'!$Q$64,0)+IFERROR('Resumo-Cult.Perma.'!AC55*'Critérios de Implantação'!$Q$65,0)+IFERROR('Resumo-Cult.Perma.'!AB55*'Critérios de Implantação'!$Q$66,0)+IFERROR('Resumo-Cult.Perma.'!AA55*'Critérios de Implantação'!$Q$67,0)+IFERROR('Resumo-Cult.Perma.'!Z55*'Critérios de Implantação'!$Q$68,0)+IFERROR('Resumo-Cult.Perma.'!Y55*'Critérios de Implantação'!$Q$69,0)</f>
        <v>8558741.831391586</v>
      </c>
      <c r="AK92" s="81">
        <f>IFERROR('Resumo-Cult.Perma.'!AH55*'Critérios de Implantação'!AK$61,0)+IFERROR('Resumo-Cult.Perma.'!AG55*'Critérios de Implantação'!AK$62,0)+IFERROR('Resumo-Cult.Perma.'!AF55*'Critérios de Implantação'!$Q$63,0)+IFERROR('Resumo-Cult.Perma.'!AE55*'Critérios de Implantação'!$Q$64,0)+IFERROR('Resumo-Cult.Perma.'!AD55*'Critérios de Implantação'!$Q$65,0)+IFERROR('Resumo-Cult.Perma.'!AC55*'Critérios de Implantação'!$Q$66,0)+IFERROR('Resumo-Cult.Perma.'!AB55*'Critérios de Implantação'!$Q$67,0)+IFERROR('Resumo-Cult.Perma.'!AA55*'Critérios de Implantação'!$Q$68,0)+IFERROR('Resumo-Cult.Perma.'!Z55*'Critérios de Implantação'!$Q$69,0)</f>
        <v>8700761.6466563046</v>
      </c>
    </row>
    <row r="93" spans="1:37" ht="20.149999999999999" hidden="1" customHeight="1" outlineLevel="1" x14ac:dyDescent="0.25">
      <c r="A93" s="48" t="s">
        <v>139</v>
      </c>
      <c r="B93" s="82" t="s">
        <v>143</v>
      </c>
      <c r="C93" s="80"/>
      <c r="D93" s="93">
        <f>IFERROR('Resumo-Cult.Perma.'!A56*'Critérios de Implantação'!D$61,0)+IFERROR('Resumo-Cult.Perma.'!#REF!*'Critérios de Implantação'!D$62,0)+IFERROR('Resumo-Cult.Perma.'!#REF!*'Critérios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E93" s="93">
        <f>IFERROR('Resumo-Cult.Perma.'!B56*'Critérios de Implantação'!E$61,0)+IFERROR('Resumo-Cult.Perma.'!A56*'Critérios de Implantação'!E$62,0)+IFERROR('Resumo-Cult.Perma.'!#REF!*'Critérios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F93" s="93">
        <f>IFERROR('Resumo-Cult.Perma.'!C56*'Critérios de Implantação'!F$61,0)+IFERROR('Resumo-Cult.Perma.'!B56*'Critérios de Implantação'!F$62,0)+IFERROR('Resumo-Cult.Perma.'!A56*'Critérios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G93" s="93">
        <f>IFERROR('Resumo-Cult.Perma.'!D56*'Critérios de Implantação'!G$61,0)+IFERROR('Resumo-Cult.Perma.'!C56*'Critérios de Implantação'!G$62,0)+IFERROR('Resumo-Cult.Perma.'!B56*'Critérios de Implantação'!$Q$63,0)+IFERROR('Resumo-Cult.Perma.'!A56*'Critérios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215549.92480665175</v>
      </c>
      <c r="H93" s="93">
        <f>IFERROR('Resumo-Cult.Perma.'!E56*'Critérios de Implantação'!H$61,0)+IFERROR('Resumo-Cult.Perma.'!D56*'Critérios de Implantação'!H$62,0)+IFERROR('Resumo-Cult.Perma.'!C56*'Critérios de Implantação'!$Q$63,0)+IFERROR('Resumo-Cult.Perma.'!B56*'Critérios de Implantação'!$Q$64,0)+IFERROR('Resumo-Cult.Perma.'!A56*'Critérios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395699.31451732054</v>
      </c>
      <c r="I93" s="93">
        <f>IFERROR('Resumo-Cult.Perma.'!F56*'Critérios de Implantação'!I$61,0)+IFERROR('Resumo-Cult.Perma.'!E56*'Critérios de Implantação'!I$62,0)+IFERROR('Resumo-Cult.Perma.'!D56*'Critérios de Implantação'!$Q$63,0)+IFERROR('Resumo-Cult.Perma.'!C56*'Critérios de Implantação'!$Q$64,0)+IFERROR('Resumo-Cult.Perma.'!B56*'Critérios de Implantação'!$Q$65,0)+IFERROR('Resumo-Cult.Perma.'!A56*'Critérios de Implantação'!$Q$66,0)+IFERROR('Resumo-Cult.Perma.'!#REF!*'Critérios de Implantação'!$Q$67,0)+IFERROR('Resumo-Cult.Perma.'!#REF!*'Critérios de Implantação'!$Q$68,0)+IFERROR('Resumo-Cult.Perma.'!#REF!*'Critérios de Implantação'!$Q$69,0)</f>
        <v>615337.99658852944</v>
      </c>
      <c r="J93" s="93">
        <f>IFERROR('Resumo-Cult.Perma.'!G56*'Critérios de Implantação'!J$61,0)+IFERROR('Resumo-Cult.Perma.'!F56*'Critérios de Implantação'!J$62,0)+IFERROR('Resumo-Cult.Perma.'!E56*'Critérios de Implantação'!$Q$63,0)+IFERROR('Resumo-Cult.Perma.'!D56*'Critérios de Implantação'!$Q$64,0)+IFERROR('Resumo-Cult.Perma.'!C56*'Critérios de Implantação'!$Q$65,0)+IFERROR('Resumo-Cult.Perma.'!B56*'Critérios de Implantação'!$Q$66,0)+IFERROR('Resumo-Cult.Perma.'!A56*'Critérios de Implantação'!$Q$67,0)+IFERROR('Resumo-Cult.Perma.'!#REF!*'Critérios de Implantação'!$Q$68,0)+IFERROR('Resumo-Cult.Perma.'!#REF!*'Critérios de Implantação'!$Q$69,0)</f>
        <v>1072984.1623977788</v>
      </c>
      <c r="K93" s="93">
        <f>IFERROR('Resumo-Cult.Perma.'!H56*'Critérios de Implantação'!K$61,0)+IFERROR('Resumo-Cult.Perma.'!G56*'Critérios de Implantação'!K$62,0)+IFERROR('Resumo-Cult.Perma.'!F56*'Critérios de Implantação'!$Q$63,0)+IFERROR('Resumo-Cult.Perma.'!E56*'Critérios de Implantação'!$Q$64,0)+IFERROR('Resumo-Cult.Perma.'!D56*'Critérios de Implantação'!$Q$65,0)+IFERROR('Resumo-Cult.Perma.'!C56*'Critérios de Implantação'!$Q$66,0)+IFERROR('Resumo-Cult.Perma.'!B56*'Critérios de Implantação'!$Q$67,0)+IFERROR('Resumo-Cult.Perma.'!A56*'Critérios de Implantação'!$Q$68,0)+IFERROR('Resumo-Cult.Perma.'!#REF!*'Critérios de Implantação'!$Q$69,0)</f>
        <v>1455391.5061861132</v>
      </c>
      <c r="L93" s="93">
        <f>IFERROR('Resumo-Cult.Perma.'!I56*'Critérios de Implantação'!L$61,0)+IFERROR('Resumo-Cult.Perma.'!H56*'Critérios de Implantação'!L$62,0)+IFERROR('Resumo-Cult.Perma.'!G56*'Critérios de Implantação'!$Q$63,0)+IFERROR('Resumo-Cult.Perma.'!F56*'Critérios de Implantação'!$Q$64,0)+IFERROR('Resumo-Cult.Perma.'!E56*'Critérios de Implantação'!$Q$65,0)+IFERROR('Resumo-Cult.Perma.'!D56*'Critérios de Implantação'!$Q$66,0)+IFERROR('Resumo-Cult.Perma.'!C56*'Critérios de Implantação'!$Q$67,0)+IFERROR('Resumo-Cult.Perma.'!B56*'Critérios de Implantação'!$Q$68,0)+IFERROR('Resumo-Cult.Perma.'!A56*'Critérios de Implantação'!$Q$69,0)</f>
        <v>1856762.3099448513</v>
      </c>
      <c r="M93" s="93">
        <f>IFERROR('Resumo-Cult.Perma.'!J56*'Critérios de Implantação'!M$61,0)+IFERROR('Resumo-Cult.Perma.'!I56*'Critérios de Implantação'!M$62,0)+IFERROR('Resumo-Cult.Perma.'!H56*'Critérios de Implantação'!$Q$63,0)+IFERROR('Resumo-Cult.Perma.'!G56*'Critérios de Implantação'!$Q$64,0)+IFERROR('Resumo-Cult.Perma.'!F56*'Critérios de Implantação'!$Q$65,0)+IFERROR('Resumo-Cult.Perma.'!E56*'Critérios de Implantação'!$Q$66,0)+IFERROR('Resumo-Cult.Perma.'!D56*'Critérios de Implantação'!$Q$67,0)+IFERROR('Resumo-Cult.Perma.'!C56*'Critérios de Implantação'!$Q$68,0)+IFERROR('Resumo-Cult.Perma.'!B56*'Critérios de Implantação'!$Q$69,0)</f>
        <v>2166609.383023968</v>
      </c>
      <c r="N93" s="93">
        <f>IFERROR('Resumo-Cult.Perma.'!K56*'Critérios de Implantação'!N$61,0)+IFERROR('Resumo-Cult.Perma.'!J56*'Critérios de Implantação'!N$62,0)+IFERROR('Resumo-Cult.Perma.'!I56*'Critérios de Implantação'!$Q$63,0)+IFERROR('Resumo-Cult.Perma.'!H56*'Critérios de Implantação'!$Q$64,0)+IFERROR('Resumo-Cult.Perma.'!G56*'Critérios de Implantação'!$Q$65,0)+IFERROR('Resumo-Cult.Perma.'!F56*'Critérios de Implantação'!$Q$66,0)+IFERROR('Resumo-Cult.Perma.'!E56*'Critérios de Implantação'!$Q$67,0)+IFERROR('Resumo-Cult.Perma.'!D56*'Critérios de Implantação'!$Q$68,0)+IFERROR('Resumo-Cult.Perma.'!C56*'Critérios de Implantação'!$Q$69,0)</f>
        <v>2376167.7871056367</v>
      </c>
      <c r="O93" s="93">
        <f>IFERROR('Resumo-Cult.Perma.'!L56*'Critérios de Implantação'!O$61,0)+IFERROR('Resumo-Cult.Perma.'!K56*'Critérios de Implantação'!O$62,0)+IFERROR('Resumo-Cult.Perma.'!J56*'Critérios de Implantação'!$Q$63,0)+IFERROR('Resumo-Cult.Perma.'!I56*'Critérios de Implantação'!$Q$64,0)+IFERROR('Resumo-Cult.Perma.'!H56*'Critérios de Implantação'!$Q$65,0)+IFERROR('Resumo-Cult.Perma.'!G56*'Critérios de Implantação'!$Q$66,0)+IFERROR('Resumo-Cult.Perma.'!F56*'Critérios de Implantação'!$Q$67,0)+IFERROR('Resumo-Cult.Perma.'!E56*'Critérios de Implantação'!$Q$68,0)+IFERROR('Resumo-Cult.Perma.'!D56*'Critérios de Implantação'!$Q$69,0)</f>
        <v>2468114.9747810084</v>
      </c>
      <c r="P93" s="93">
        <f>IFERROR('Resumo-Cult.Perma.'!M56*'Critérios de Implantação'!P$61,0)+IFERROR('Resumo-Cult.Perma.'!L56*'Critérios de Implantação'!P$62,0)+IFERROR('Resumo-Cult.Perma.'!K56*'Critérios de Implantação'!$Q$63,0)+IFERROR('Resumo-Cult.Perma.'!J56*'Critérios de Implantação'!$Q$64,0)+IFERROR('Resumo-Cult.Perma.'!I56*'Critérios de Implantação'!$Q$65,0)+IFERROR('Resumo-Cult.Perma.'!H56*'Critérios de Implantação'!$Q$66,0)+IFERROR('Resumo-Cult.Perma.'!G56*'Critérios de Implantação'!$Q$67,0)+IFERROR('Resumo-Cult.Perma.'!F56*'Critérios de Implantação'!$Q$68,0)+IFERROR('Resumo-Cult.Perma.'!E56*'Critérios de Implantação'!$Q$69,0)</f>
        <v>2442519.375</v>
      </c>
      <c r="Q93" s="93">
        <f>IFERROR('Resumo-Cult.Perma.'!N56*'Critérios de Implantação'!Q$61,0)+IFERROR('Resumo-Cult.Perma.'!M56*'Critérios de Implantação'!Q$62,0)+IFERROR('Resumo-Cult.Perma.'!L56*'Critérios de Implantação'!$Q$63,0)+IFERROR('Resumo-Cult.Perma.'!K56*'Critérios de Implantação'!$Q$64,0)+IFERROR('Resumo-Cult.Perma.'!J56*'Critérios de Implantação'!$Q$65,0)+IFERROR('Resumo-Cult.Perma.'!I56*'Critérios de Implantação'!$Q$66,0)+IFERROR('Resumo-Cult.Perma.'!H56*'Critérios de Implantação'!$Q$67,0)+IFERROR('Resumo-Cult.Perma.'!G56*'Critérios de Implantação'!$Q$68,0)+IFERROR('Resumo-Cult.Perma.'!F56*'Critérios de Implantação'!$Q$69,0)</f>
        <v>2442519.375</v>
      </c>
      <c r="R93" s="93">
        <f>IFERROR('Resumo-Cult.Perma.'!O56*'Critérios de Implantação'!R$61,0)+IFERROR('Resumo-Cult.Perma.'!N56*'Critérios de Implantação'!R$62,0)+IFERROR('Resumo-Cult.Perma.'!M56*'Critérios de Implantação'!$Q$63,0)+IFERROR('Resumo-Cult.Perma.'!L56*'Critérios de Implantação'!$Q$64,0)+IFERROR('Resumo-Cult.Perma.'!K56*'Critérios de Implantação'!$Q$65,0)+IFERROR('Resumo-Cult.Perma.'!J56*'Critérios de Implantação'!$Q$66,0)+IFERROR('Resumo-Cult.Perma.'!I56*'Critérios de Implantação'!$Q$67,0)+IFERROR('Resumo-Cult.Perma.'!H56*'Critérios de Implantação'!$Q$68,0)+IFERROR('Resumo-Cult.Perma.'!G56*'Critérios de Implantação'!$Q$69,0)</f>
        <v>3059055.0942316391</v>
      </c>
      <c r="S93" s="93">
        <f>IFERROR('Resumo-Cult.Perma.'!P56*'Critérios de Implantação'!S$61,0)+IFERROR('Resumo-Cult.Perma.'!O56*'Critérios de Implantação'!S$62,0)+IFERROR('Resumo-Cult.Perma.'!N56*'Critérios de Implantação'!$Q$63,0)+IFERROR('Resumo-Cult.Perma.'!M56*'Critérios de Implantação'!$Q$64,0)+IFERROR('Resumo-Cult.Perma.'!L56*'Critérios de Implantação'!$Q$65,0)+IFERROR('Resumo-Cult.Perma.'!K56*'Critérios de Implantação'!$Q$66,0)+IFERROR('Resumo-Cult.Perma.'!J56*'Critérios de Implantação'!$Q$67,0)+IFERROR('Resumo-Cult.Perma.'!I56*'Critérios de Implantação'!$Q$68,0)+IFERROR('Resumo-Cult.Perma.'!H56*'Critérios de Implantação'!$Q$69,0)</f>
        <v>3098389.022116065</v>
      </c>
      <c r="T93" s="93">
        <f>IFERROR('Resumo-Cult.Perma.'!Q56*'Critérios de Implantação'!T$61,0)+IFERROR('Resumo-Cult.Perma.'!P56*'Critérios de Implantação'!T$62,0)+IFERROR('Resumo-Cult.Perma.'!O56*'Critérios de Implantação'!$Q$63,0)+IFERROR('Resumo-Cult.Perma.'!N56*'Critérios de Implantação'!$Q$64,0)+IFERROR('Resumo-Cult.Perma.'!M56*'Critérios de Implantação'!$Q$65,0)+IFERROR('Resumo-Cult.Perma.'!L56*'Critérios de Implantação'!$Q$66,0)+IFERROR('Resumo-Cult.Perma.'!K56*'Critérios de Implantação'!$Q$67,0)+IFERROR('Resumo-Cult.Perma.'!J56*'Critérios de Implantação'!$Q$68,0)+IFERROR('Resumo-Cult.Perma.'!I56*'Critérios de Implantação'!$Q$69,0)</f>
        <v>3222590.5797984032</v>
      </c>
      <c r="U93" s="93">
        <f>IFERROR('Resumo-Cult.Perma.'!R56*'Critérios de Implantação'!U$61,0)+IFERROR('Resumo-Cult.Perma.'!Q56*'Critérios de Implantação'!U$62,0)+IFERROR('Resumo-Cult.Perma.'!P56*'Critérios de Implantação'!$Q$63,0)+IFERROR('Resumo-Cult.Perma.'!O56*'Critérios de Implantação'!$Q$64,0)+IFERROR('Resumo-Cult.Perma.'!N56*'Critérios de Implantação'!$Q$65,0)+IFERROR('Resumo-Cult.Perma.'!M56*'Critérios de Implantação'!$Q$66,0)+IFERROR('Resumo-Cult.Perma.'!L56*'Critérios de Implantação'!$Q$67,0)+IFERROR('Resumo-Cult.Perma.'!K56*'Critérios de Implantação'!$Q$68,0)+IFERROR('Resumo-Cult.Perma.'!J56*'Critérios de Implantação'!$Q$69,0)</f>
        <v>3920432.7364121741</v>
      </c>
      <c r="V93" s="93">
        <f>IFERROR('Resumo-Cult.Perma.'!S56*'Critérios de Implantação'!V$61,0)+IFERROR('Resumo-Cult.Perma.'!R56*'Critérios de Implantação'!V$62,0)+IFERROR('Resumo-Cult.Perma.'!Q56*'Critérios de Implantação'!$Q$63,0)+IFERROR('Resumo-Cult.Perma.'!P56*'Critérios de Implantação'!$Q$64,0)+IFERROR('Resumo-Cult.Perma.'!O56*'Critérios de Implantação'!$Q$65,0)+IFERROR('Resumo-Cult.Perma.'!N56*'Critérios de Implantação'!$Q$66,0)+IFERROR('Resumo-Cult.Perma.'!M56*'Critérios de Implantação'!$Q$67,0)+IFERROR('Resumo-Cult.Perma.'!L56*'Critérios de Implantação'!$Q$68,0)+IFERROR('Resumo-Cult.Perma.'!K56*'Critérios de Implantação'!$Q$69,0)</f>
        <v>3876068.2049721675</v>
      </c>
      <c r="W93" s="93">
        <f>IFERROR('Resumo-Cult.Perma.'!T56*'Critérios de Implantação'!W$61,0)+IFERROR('Resumo-Cult.Perma.'!S56*'Critérios de Implantação'!W$62,0)+IFERROR('Resumo-Cult.Perma.'!R56*'Critérios de Implantação'!$Q$63,0)+IFERROR('Resumo-Cult.Perma.'!Q56*'Critérios de Implantação'!$Q$64,0)+IFERROR('Resumo-Cult.Perma.'!P56*'Critérios de Implantação'!$Q$65,0)+IFERROR('Resumo-Cult.Perma.'!O56*'Critérios de Implantação'!$Q$66,0)+IFERROR('Resumo-Cult.Perma.'!N56*'Critérios de Implantação'!$Q$67,0)+IFERROR('Resumo-Cult.Perma.'!M56*'Critérios de Implantação'!$Q$68,0)+IFERROR('Resumo-Cult.Perma.'!L56*'Critérios de Implantação'!$Q$69,0)</f>
        <v>3909228.3942790264</v>
      </c>
      <c r="X93" s="93">
        <f>IFERROR('Resumo-Cult.Perma.'!U56*'Critérios de Implantação'!X$61,0)+IFERROR('Resumo-Cult.Perma.'!T56*'Critérios de Implantação'!X$62,0)+IFERROR('Resumo-Cult.Perma.'!S56*'Critérios de Implantação'!$Q$63,0)+IFERROR('Resumo-Cult.Perma.'!R56*'Critérios de Implantação'!$Q$64,0)+IFERROR('Resumo-Cult.Perma.'!Q56*'Critérios de Implantação'!$Q$65,0)+IFERROR('Resumo-Cult.Perma.'!P56*'Critérios de Implantação'!$Q$66,0)+IFERROR('Resumo-Cult.Perma.'!O56*'Critérios de Implantação'!$Q$67,0)+IFERROR('Resumo-Cult.Perma.'!N56*'Critérios de Implantação'!$Q$68,0)+IFERROR('Resumo-Cult.Perma.'!M56*'Critérios de Implantação'!$Q$69,0)</f>
        <v>3655605.7176876944</v>
      </c>
      <c r="Y93" s="93">
        <f>IFERROR('Resumo-Cult.Perma.'!V56*'Critérios de Implantação'!Y$61,0)+IFERROR('Resumo-Cult.Perma.'!U56*'Critérios de Implantação'!Y$62,0)+IFERROR('Resumo-Cult.Perma.'!T56*'Critérios de Implantação'!$Q$63,0)+IFERROR('Resumo-Cult.Perma.'!S56*'Critérios de Implantação'!$Q$64,0)+IFERROR('Resumo-Cult.Perma.'!R56*'Critérios de Implantação'!$Q$65,0)+IFERROR('Resumo-Cult.Perma.'!Q56*'Critérios de Implantação'!$Q$66,0)+IFERROR('Resumo-Cult.Perma.'!P56*'Critérios de Implantação'!$Q$67,0)+IFERROR('Resumo-Cult.Perma.'!O56*'Critérios de Implantação'!$Q$68,0)+IFERROR('Resumo-Cult.Perma.'!N56*'Critérios de Implantação'!$Q$69,0)</f>
        <v>3311745.7724117264</v>
      </c>
      <c r="Z93" s="93">
        <f>IFERROR('Resumo-Cult.Perma.'!W56*'Critérios de Implantação'!Z$61,0)+IFERROR('Resumo-Cult.Perma.'!V56*'Critérios de Implantação'!Z$62,0)+IFERROR('Resumo-Cult.Perma.'!U56*'Critérios de Implantação'!$Q$63,0)+IFERROR('Resumo-Cult.Perma.'!T56*'Critérios de Implantação'!$Q$64,0)+IFERROR('Resumo-Cult.Perma.'!S56*'Critérios de Implantação'!$Q$65,0)+IFERROR('Resumo-Cult.Perma.'!R56*'Critérios de Implantação'!$Q$66,0)+IFERROR('Resumo-Cult.Perma.'!Q56*'Critérios de Implantação'!$Q$67,0)+IFERROR('Resumo-Cult.Perma.'!P56*'Critérios de Implantação'!$Q$68,0)+IFERROR('Resumo-Cult.Perma.'!O56*'Critérios de Implantação'!$Q$69,0)</f>
        <v>2894591.3033100967</v>
      </c>
      <c r="AA93" s="93">
        <f>IFERROR('Resumo-Cult.Perma.'!X56*'Critérios de Implantação'!AA$61,0)+IFERROR('Resumo-Cult.Perma.'!W56*'Critérios de Implantação'!AA$62,0)+IFERROR('Resumo-Cult.Perma.'!V56*'Critérios de Implantação'!$Q$63,0)+IFERROR('Resumo-Cult.Perma.'!U56*'Critérios de Implantação'!$Q$64,0)+IFERROR('Resumo-Cult.Perma.'!T56*'Critérios de Implantação'!$Q$65,0)+IFERROR('Resumo-Cult.Perma.'!S56*'Critérios de Implantação'!$Q$66,0)+IFERROR('Resumo-Cult.Perma.'!R56*'Critérios de Implantação'!$Q$67,0)+IFERROR('Resumo-Cult.Perma.'!Q56*'Critérios de Implantação'!$Q$68,0)+IFERROR('Resumo-Cult.Perma.'!P56*'Critérios de Implantação'!$Q$69,0)</f>
        <v>2468114.9747810084</v>
      </c>
      <c r="AB93" s="93">
        <f>IFERROR('Resumo-Cult.Perma.'!Y56*'Critérios de Implantação'!AB$61,0)+IFERROR('Resumo-Cult.Perma.'!X56*'Critérios de Implantação'!AB$62,0)+IFERROR('Resumo-Cult.Perma.'!W56*'Critérios de Implantação'!$Q$63,0)+IFERROR('Resumo-Cult.Perma.'!V56*'Critérios de Implantação'!$Q$64,0)+IFERROR('Resumo-Cult.Perma.'!U56*'Critérios de Implantação'!$Q$65,0)+IFERROR('Resumo-Cult.Perma.'!T56*'Critérios de Implantação'!$Q$66,0)+IFERROR('Resumo-Cult.Perma.'!S56*'Critérios de Implantação'!$Q$67,0)+IFERROR('Resumo-Cult.Perma.'!R56*'Critérios de Implantação'!$Q$68,0)+IFERROR('Resumo-Cult.Perma.'!Q56*'Critérios de Implantação'!$Q$69,0)</f>
        <v>2442519.375</v>
      </c>
      <c r="AC93" s="93">
        <f>IFERROR('Resumo-Cult.Perma.'!Z56*'Critérios de Implantação'!AC$61,0)+IFERROR('Resumo-Cult.Perma.'!Y56*'Critérios de Implantação'!AC$62,0)+IFERROR('Resumo-Cult.Perma.'!X56*'Critérios de Implantação'!$Q$63,0)+IFERROR('Resumo-Cult.Perma.'!W56*'Critérios de Implantação'!$Q$64,0)+IFERROR('Resumo-Cult.Perma.'!V56*'Critérios de Implantação'!$Q$65,0)+IFERROR('Resumo-Cult.Perma.'!U56*'Critérios de Implantação'!$Q$66,0)+IFERROR('Resumo-Cult.Perma.'!T56*'Critérios de Implantação'!$Q$67,0)+IFERROR('Resumo-Cult.Perma.'!S56*'Critérios de Implantação'!$Q$68,0)+IFERROR('Resumo-Cult.Perma.'!R56*'Critérios de Implantação'!$Q$69,0)</f>
        <v>2442519.375</v>
      </c>
      <c r="AD93" s="93">
        <f>IFERROR('Resumo-Cult.Perma.'!AA56*'Critérios de Implantação'!AD$61,0)+IFERROR('Resumo-Cult.Perma.'!Z56*'Critérios de Implantação'!AD$62,0)+IFERROR('Resumo-Cult.Perma.'!Y56*'Critérios de Implantação'!$Q$63,0)+IFERROR('Resumo-Cult.Perma.'!X56*'Critérios de Implantação'!$Q$64,0)+IFERROR('Resumo-Cult.Perma.'!W56*'Critérios de Implantação'!$Q$65,0)+IFERROR('Resumo-Cult.Perma.'!V56*'Critérios de Implantação'!$Q$66,0)+IFERROR('Resumo-Cult.Perma.'!U56*'Critérios de Implantação'!$Q$67,0)+IFERROR('Resumo-Cult.Perma.'!T56*'Critérios de Implantação'!$Q$68,0)+IFERROR('Resumo-Cult.Perma.'!S56*'Critérios de Implantação'!$Q$69,0)</f>
        <v>3059055.0942316391</v>
      </c>
      <c r="AE93" s="93">
        <f>IFERROR('Resumo-Cult.Perma.'!AB56*'Critérios de Implantação'!AE$61,0)+IFERROR('Resumo-Cult.Perma.'!AA56*'Critérios de Implantação'!AE$62,0)+IFERROR('Resumo-Cult.Perma.'!Z56*'Critérios de Implantação'!$Q$63,0)+IFERROR('Resumo-Cult.Perma.'!Y56*'Critérios de Implantação'!$Q$64,0)+IFERROR('Resumo-Cult.Perma.'!X56*'Critérios de Implantação'!$Q$65,0)+IFERROR('Resumo-Cult.Perma.'!W56*'Critérios de Implantação'!$Q$66,0)+IFERROR('Resumo-Cult.Perma.'!V56*'Critérios de Implantação'!$Q$67,0)+IFERROR('Resumo-Cult.Perma.'!U56*'Critérios de Implantação'!$Q$68,0)+IFERROR('Resumo-Cult.Perma.'!T56*'Critérios de Implantação'!$Q$69,0)</f>
        <v>3098389.022116065</v>
      </c>
      <c r="AF93" s="93">
        <f>IFERROR('Resumo-Cult.Perma.'!AC56*'Critérios de Implantação'!AF$61,0)+IFERROR('Resumo-Cult.Perma.'!AB56*'Critérios de Implantação'!AF$62,0)+IFERROR('Resumo-Cult.Perma.'!AA56*'Critérios de Implantação'!$Q$63,0)+IFERROR('Resumo-Cult.Perma.'!Z56*'Critérios de Implantação'!$Q$64,0)+IFERROR('Resumo-Cult.Perma.'!Y56*'Critérios de Implantação'!$Q$65,0)+IFERROR('Resumo-Cult.Perma.'!X56*'Critérios de Implantação'!$Q$66,0)+IFERROR('Resumo-Cult.Perma.'!W56*'Critérios de Implantação'!$Q$67,0)+IFERROR('Resumo-Cult.Perma.'!V56*'Critérios de Implantação'!$Q$68,0)+IFERROR('Resumo-Cult.Perma.'!U56*'Critérios de Implantação'!$Q$69,0)</f>
        <v>3222590.5797984032</v>
      </c>
      <c r="AG93" s="93">
        <f>IFERROR('Resumo-Cult.Perma.'!AD56*'Critérios de Implantação'!AG$61,0)+IFERROR('Resumo-Cult.Perma.'!AC56*'Critérios de Implantação'!AG$62,0)+IFERROR('Resumo-Cult.Perma.'!AB56*'Critérios de Implantação'!$Q$63,0)+IFERROR('Resumo-Cult.Perma.'!AA56*'Critérios de Implantação'!$Q$64,0)+IFERROR('Resumo-Cult.Perma.'!Z56*'Critérios de Implantação'!$Q$65,0)+IFERROR('Resumo-Cult.Perma.'!Y56*'Critérios de Implantação'!$Q$66,0)+IFERROR('Resumo-Cult.Perma.'!X56*'Critérios de Implantação'!$Q$67,0)+IFERROR('Resumo-Cult.Perma.'!W56*'Critérios de Implantação'!$Q$68,0)+IFERROR('Resumo-Cult.Perma.'!V56*'Critérios de Implantação'!$Q$69,0)</f>
        <v>3920432.7364121741</v>
      </c>
      <c r="AH93" s="93">
        <f>IFERROR('Resumo-Cult.Perma.'!AE56*'Critérios de Implantação'!AH$61,0)+IFERROR('Resumo-Cult.Perma.'!AD56*'Critérios de Implantação'!AH$62,0)+IFERROR('Resumo-Cult.Perma.'!AC56*'Critérios de Implantação'!$Q$63,0)+IFERROR('Resumo-Cult.Perma.'!AB56*'Critérios de Implantação'!$Q$64,0)+IFERROR('Resumo-Cult.Perma.'!AA56*'Critérios de Implantação'!$Q$65,0)+IFERROR('Resumo-Cult.Perma.'!Z56*'Critérios de Implantação'!$Q$66,0)+IFERROR('Resumo-Cult.Perma.'!Y56*'Critérios de Implantação'!$Q$67,0)+IFERROR('Resumo-Cult.Perma.'!X56*'Critérios de Implantação'!$Q$68,0)+IFERROR('Resumo-Cult.Perma.'!W56*'Critérios de Implantação'!$Q$69,0)</f>
        <v>3876068.2049721675</v>
      </c>
      <c r="AI93" s="93">
        <f>IFERROR('Resumo-Cult.Perma.'!AF56*'Critérios de Implantação'!AI$61,0)+IFERROR('Resumo-Cult.Perma.'!AE56*'Critérios de Implantação'!AI$62,0)+IFERROR('Resumo-Cult.Perma.'!AD56*'Critérios de Implantação'!$Q$63,0)+IFERROR('Resumo-Cult.Perma.'!AC56*'Critérios de Implantação'!$Q$64,0)+IFERROR('Resumo-Cult.Perma.'!AB56*'Critérios de Implantação'!$Q$65,0)+IFERROR('Resumo-Cult.Perma.'!AA56*'Critérios de Implantação'!$Q$66,0)+IFERROR('Resumo-Cult.Perma.'!Z56*'Critérios de Implantação'!$Q$67,0)+IFERROR('Resumo-Cult.Perma.'!Y56*'Critérios de Implantação'!$Q$68,0)+IFERROR('Resumo-Cult.Perma.'!X56*'Critérios de Implantação'!$Q$69,0)</f>
        <v>3909228.3942790264</v>
      </c>
      <c r="AJ93" s="93">
        <f>IFERROR('Resumo-Cult.Perma.'!AG56*'Critérios de Implantação'!AJ$61,0)+IFERROR('Resumo-Cult.Perma.'!AF56*'Critérios de Implantação'!AJ$62,0)+IFERROR('Resumo-Cult.Perma.'!AE56*'Critérios de Implantação'!$Q$63,0)+IFERROR('Resumo-Cult.Perma.'!AD56*'Critérios de Implantação'!$Q$64,0)+IFERROR('Resumo-Cult.Perma.'!AC56*'Critérios de Implantação'!$Q$65,0)+IFERROR('Resumo-Cult.Perma.'!AB56*'Critérios de Implantação'!$Q$66,0)+IFERROR('Resumo-Cult.Perma.'!AA56*'Critérios de Implantação'!$Q$67,0)+IFERROR('Resumo-Cult.Perma.'!Z56*'Critérios de Implantação'!$Q$68,0)+IFERROR('Resumo-Cult.Perma.'!Y56*'Critérios de Implantação'!$Q$69,0)</f>
        <v>3655605.7176876944</v>
      </c>
      <c r="AK93" s="81">
        <f>IFERROR('Resumo-Cult.Perma.'!AH56*'Critérios de Implantação'!AK$61,0)+IFERROR('Resumo-Cult.Perma.'!AG56*'Critérios de Implantação'!AK$62,0)+IFERROR('Resumo-Cult.Perma.'!AF56*'Critérios de Implantação'!$Q$63,0)+IFERROR('Resumo-Cult.Perma.'!AE56*'Critérios de Implantação'!$Q$64,0)+IFERROR('Resumo-Cult.Perma.'!AD56*'Critérios de Implantação'!$Q$65,0)+IFERROR('Resumo-Cult.Perma.'!AC56*'Critérios de Implantação'!$Q$66,0)+IFERROR('Resumo-Cult.Perma.'!AB56*'Critérios de Implantação'!$Q$67,0)+IFERROR('Resumo-Cult.Perma.'!AA56*'Critérios de Implantação'!$Q$68,0)+IFERROR('Resumo-Cult.Perma.'!Z56*'Critérios de Implantação'!$Q$69,0)</f>
        <v>3311745.7724117264</v>
      </c>
    </row>
    <row r="94" spans="1:37" ht="20.149999999999999" hidden="1" customHeight="1" outlineLevel="1" x14ac:dyDescent="0.25">
      <c r="A94" s="48" t="s">
        <v>140</v>
      </c>
      <c r="B94" s="34" t="s">
        <v>141</v>
      </c>
      <c r="C94" s="80"/>
      <c r="D94" s="93">
        <f>IFERROR('Resumo-Cult.Perma.'!A57*'Critérios de Implantação'!D$61,0)+IFERROR('Resumo-Cult.Perma.'!#REF!*'Critérios de Implantação'!D$62,0)+IFERROR('Resumo-Cult.Perma.'!#REF!*'Critérios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E94" s="93">
        <f>IFERROR('Resumo-Cult.Perma.'!B57*'Critérios de Implantação'!E$61,0)+IFERROR('Resumo-Cult.Perma.'!A57*'Critérios de Implantação'!E$62,0)+IFERROR('Resumo-Cult.Perma.'!#REF!*'Critérios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F94" s="93">
        <f>IFERROR('Resumo-Cult.Perma.'!C57*'Critérios de Implantação'!F$61,0)+IFERROR('Resumo-Cult.Perma.'!B57*'Critérios de Implantação'!F$62,0)+IFERROR('Resumo-Cult.Perma.'!A57*'Critérios de Implantação'!$Q$63,0)+IFERROR('Resumo-Cult.Perma.'!#REF!*'Critérios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0</v>
      </c>
      <c r="G94" s="93">
        <f>IFERROR('Resumo-Cult.Perma.'!D57*'Critérios de Implantação'!G$61,0)+IFERROR('Resumo-Cult.Perma.'!C57*'Critérios de Implantação'!G$62,0)+IFERROR('Resumo-Cult.Perma.'!B57*'Critérios de Implantação'!$Q$63,0)+IFERROR('Resumo-Cult.Perma.'!A57*'Critérios de Implantação'!$Q$64,0)+IFERROR('Resumo-Cult.Perma.'!#REF!*'Critérios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265953.54157733178</v>
      </c>
      <c r="H94" s="93">
        <f>IFERROR('Resumo-Cult.Perma.'!E57*'Critérios de Implantação'!H$61,0)+IFERROR('Resumo-Cult.Perma.'!D57*'Critérios de Implantação'!H$62,0)+IFERROR('Resumo-Cult.Perma.'!C57*'Critérios de Implantação'!$Q$63,0)+IFERROR('Resumo-Cult.Perma.'!B57*'Critérios de Implantação'!$Q$64,0)+IFERROR('Resumo-Cult.Perma.'!A57*'Critérios de Implantação'!$Q$65,0)+IFERROR('Resumo-Cult.Perma.'!#REF!*'Critérios de Implantação'!$Q$66,0)+IFERROR('Resumo-Cult.Perma.'!#REF!*'Critérios de Implantação'!$Q$67,0)+IFERROR('Resumo-Cult.Perma.'!#REF!*'Critérios de Implantação'!$Q$68,0)+IFERROR('Resumo-Cult.Perma.'!#REF!*'Critérios de Implantação'!$Q$69,0)</f>
        <v>539134.83400556713</v>
      </c>
      <c r="I94" s="93">
        <f>IFERROR('Resumo-Cult.Perma.'!F57*'Critérios de Implantação'!I$61,0)+IFERROR('Resumo-Cult.Perma.'!E57*'Critérios de Implantação'!I$62,0)+IFERROR('Resumo-Cult.Perma.'!D57*'Critérios de Implantação'!$Q$63,0)+IFERROR('Resumo-Cult.Perma.'!C57*'Critérios de Implantação'!$Q$64,0)+IFERROR('Resumo-Cult.Perma.'!B57*'Critérios de Implantação'!$Q$65,0)+IFERROR('Resumo-Cult.Perma.'!A57*'Critérios de Implantação'!$Q$66,0)+IFERROR('Resumo-Cult.Perma.'!#REF!*'Critérios de Implantação'!$Q$67,0)+IFERROR('Resumo-Cult.Perma.'!#REF!*'Critérios de Implantação'!$Q$68,0)+IFERROR('Resumo-Cult.Perma.'!#REF!*'Critérios de Implantação'!$Q$69,0)</f>
        <v>865892.65591080545</v>
      </c>
      <c r="J94" s="93">
        <f>IFERROR('Resumo-Cult.Perma.'!G57*'Critérios de Implantação'!J$61,0)+IFERROR('Resumo-Cult.Perma.'!F57*'Critérios de Implantação'!J$62,0)+IFERROR('Resumo-Cult.Perma.'!E57*'Critérios de Implantação'!$Q$63,0)+IFERROR('Resumo-Cult.Perma.'!D57*'Critérios de Implantação'!$Q$64,0)+IFERROR('Resumo-Cult.Perma.'!C57*'Critérios de Implantação'!$Q$65,0)+IFERROR('Resumo-Cult.Perma.'!B57*'Critérios de Implantação'!$Q$66,0)+IFERROR('Resumo-Cult.Perma.'!A57*'Critérios de Implantação'!$Q$67,0)+IFERROR('Resumo-Cult.Perma.'!#REF!*'Critérios de Implantação'!$Q$68,0)+IFERROR('Resumo-Cult.Perma.'!#REF!*'Critérios de Implantação'!$Q$69,0)</f>
        <v>1498942.6783482418</v>
      </c>
      <c r="K94" s="93">
        <f>IFERROR('Resumo-Cult.Perma.'!H57*'Critérios de Implantação'!K$61,0)+IFERROR('Resumo-Cult.Perma.'!G57*'Critérios de Implantação'!K$62,0)+IFERROR('Resumo-Cult.Perma.'!F57*'Critérios de Implantação'!$Q$63,0)+IFERROR('Resumo-Cult.Perma.'!E57*'Critérios de Implantação'!$Q$64,0)+IFERROR('Resumo-Cult.Perma.'!D57*'Critérios de Implantação'!$Q$65,0)+IFERROR('Resumo-Cult.Perma.'!C57*'Critérios de Implantação'!$Q$66,0)+IFERROR('Resumo-Cult.Perma.'!B57*'Critérios de Implantação'!$Q$67,0)+IFERROR('Resumo-Cult.Perma.'!A57*'Critérios de Implantação'!$Q$68,0)+IFERROR('Resumo-Cult.Perma.'!#REF!*'Critérios de Implantação'!$Q$69,0)</f>
        <v>2101956.3964248127</v>
      </c>
      <c r="L94" s="93">
        <f>IFERROR('Resumo-Cult.Perma.'!I57*'Critérios de Implantação'!L$61,0)+IFERROR('Resumo-Cult.Perma.'!H57*'Critérios de Implantação'!L$62,0)+IFERROR('Resumo-Cult.Perma.'!G57*'Critérios de Implantação'!$Q$63,0)+IFERROR('Resumo-Cult.Perma.'!F57*'Critérios de Implantação'!$Q$64,0)+IFERROR('Resumo-Cult.Perma.'!E57*'Critérios de Implantação'!$Q$65,0)+IFERROR('Resumo-Cult.Perma.'!D57*'Critérios de Implantação'!$Q$66,0)+IFERROR('Resumo-Cult.Perma.'!C57*'Critérios de Implantação'!$Q$67,0)+IFERROR('Resumo-Cult.Perma.'!B57*'Critérios de Implantação'!$Q$68,0)+IFERROR('Resumo-Cult.Perma.'!A57*'Critérios de Implantação'!$Q$69,0)</f>
        <v>2736582.055675535</v>
      </c>
      <c r="M94" s="93">
        <f>IFERROR('Resumo-Cult.Perma.'!J57*'Critérios de Implantação'!M$61,0)+IFERROR('Resumo-Cult.Perma.'!I57*'Critérios de Implantação'!M$62,0)+IFERROR('Resumo-Cult.Perma.'!H57*'Critérios de Implantação'!$Q$63,0)+IFERROR('Resumo-Cult.Perma.'!G57*'Critérios de Implantação'!$Q$64,0)+IFERROR('Resumo-Cult.Perma.'!F57*'Critérios de Implantação'!$Q$65,0)+IFERROR('Resumo-Cult.Perma.'!E57*'Critérios de Implantação'!$Q$66,0)+IFERROR('Resumo-Cult.Perma.'!D57*'Critérios de Implantação'!$Q$67,0)+IFERROR('Resumo-Cult.Perma.'!C57*'Critérios de Implantação'!$Q$68,0)+IFERROR('Resumo-Cult.Perma.'!B57*'Critérios de Implantação'!$Q$69,0)</f>
        <v>3269278.216879779</v>
      </c>
      <c r="N94" s="93">
        <f>IFERROR('Resumo-Cult.Perma.'!K57*'Critérios de Implantação'!N$61,0)+IFERROR('Resumo-Cult.Perma.'!J57*'Critérios de Implantação'!N$62,0)+IFERROR('Resumo-Cult.Perma.'!I57*'Critérios de Implantação'!$Q$63,0)+IFERROR('Resumo-Cult.Perma.'!H57*'Critérios de Implantação'!$Q$64,0)+IFERROR('Resumo-Cult.Perma.'!G57*'Critérios de Implantação'!$Q$65,0)+IFERROR('Resumo-Cult.Perma.'!F57*'Critérios de Implantação'!$Q$66,0)+IFERROR('Resumo-Cult.Perma.'!E57*'Critérios de Implantação'!$Q$67,0)+IFERROR('Resumo-Cult.Perma.'!D57*'Critérios de Implantação'!$Q$68,0)+IFERROR('Resumo-Cult.Perma.'!C57*'Critérios de Implantação'!$Q$69,0)</f>
        <v>3659565.9799061213</v>
      </c>
      <c r="O94" s="93">
        <f>IFERROR('Resumo-Cult.Perma.'!L57*'Critérios de Implantação'!O$61,0)+IFERROR('Resumo-Cult.Perma.'!K57*'Critérios de Implantação'!O$62,0)+IFERROR('Resumo-Cult.Perma.'!J57*'Critérios de Implantação'!$Q$63,0)+IFERROR('Resumo-Cult.Perma.'!I57*'Critérios de Implantação'!$Q$64,0)+IFERROR('Resumo-Cult.Perma.'!H57*'Critérios de Implantação'!$Q$65,0)+IFERROR('Resumo-Cult.Perma.'!G57*'Critérios de Implantação'!$Q$66,0)+IFERROR('Resumo-Cult.Perma.'!F57*'Critérios de Implantação'!$Q$67,0)+IFERROR('Resumo-Cult.Perma.'!E57*'Critérios de Implantação'!$Q$68,0)+IFERROR('Resumo-Cult.Perma.'!D57*'Critérios de Implantação'!$Q$69,0)</f>
        <v>3891711.6829024428</v>
      </c>
      <c r="P94" s="93">
        <f>IFERROR('Resumo-Cult.Perma.'!M57*'Critérios de Implantação'!P$61,0)+IFERROR('Resumo-Cult.Perma.'!L57*'Critérios de Implantação'!P$62,0)+IFERROR('Resumo-Cult.Perma.'!K57*'Critérios de Implantação'!$Q$63,0)+IFERROR('Resumo-Cult.Perma.'!J57*'Critérios de Implantação'!$Q$64,0)+IFERROR('Resumo-Cult.Perma.'!I57*'Critérios de Implantação'!$Q$65,0)+IFERROR('Resumo-Cult.Perma.'!H57*'Critérios de Implantação'!$Q$66,0)+IFERROR('Resumo-Cult.Perma.'!G57*'Critérios de Implantação'!$Q$67,0)+IFERROR('Resumo-Cult.Perma.'!F57*'Critérios de Implantação'!$Q$68,0)+IFERROR('Resumo-Cult.Perma.'!E57*'Critérios de Implantação'!$Q$69,0)</f>
        <v>3941074.6861839509</v>
      </c>
      <c r="Q94" s="93">
        <f>IFERROR('Resumo-Cult.Perma.'!N57*'Critérios de Implantação'!Q$61,0)+IFERROR('Resumo-Cult.Perma.'!M57*'Critérios de Implantação'!Q$62,0)+IFERROR('Resumo-Cult.Perma.'!L57*'Critérios de Implantação'!$Q$63,0)+IFERROR('Resumo-Cult.Perma.'!K57*'Critérios de Implantação'!$Q$64,0)+IFERROR('Resumo-Cult.Perma.'!J57*'Critérios de Implantação'!$Q$65,0)+IFERROR('Resumo-Cult.Perma.'!I57*'Critérios de Implantação'!$Q$66,0)+IFERROR('Resumo-Cult.Perma.'!H57*'Critérios de Implantação'!$Q$67,0)+IFERROR('Resumo-Cult.Perma.'!G57*'Critérios de Implantação'!$Q$68,0)+IFERROR('Resumo-Cult.Perma.'!F57*'Critérios de Implantação'!$Q$69,0)</f>
        <v>3982804.5058230972</v>
      </c>
      <c r="R94" s="93">
        <f>IFERROR('Resumo-Cult.Perma.'!O57*'Critérios de Implantação'!R$61,0)+IFERROR('Resumo-Cult.Perma.'!N57*'Critérios de Implantação'!R$62,0)+IFERROR('Resumo-Cult.Perma.'!M57*'Critérios de Implantação'!$Q$63,0)+IFERROR('Resumo-Cult.Perma.'!L57*'Critérios de Implantação'!$Q$64,0)+IFERROR('Resumo-Cult.Perma.'!K57*'Critérios de Implantação'!$Q$65,0)+IFERROR('Resumo-Cult.Perma.'!J57*'Critérios de Implantação'!$Q$66,0)+IFERROR('Resumo-Cult.Perma.'!I57*'Critérios de Implantação'!$Q$67,0)+IFERROR('Resumo-Cult.Perma.'!H57*'Critérios de Implantação'!$Q$68,0)+IFERROR('Resumo-Cult.Perma.'!G57*'Critérios de Implantação'!$Q$69,0)</f>
        <v>3970517.8500137362</v>
      </c>
      <c r="S94" s="93">
        <f>IFERROR('Resumo-Cult.Perma.'!P57*'Critérios de Implantação'!S$61,0)+IFERROR('Resumo-Cult.Perma.'!O57*'Critérios de Implantação'!S$62,0)+IFERROR('Resumo-Cult.Perma.'!N57*'Critérios de Implantação'!$Q$63,0)+IFERROR('Resumo-Cult.Perma.'!M57*'Critérios de Implantação'!$Q$64,0)+IFERROR('Resumo-Cult.Perma.'!L57*'Critérios de Implantação'!$Q$65,0)+IFERROR('Resumo-Cult.Perma.'!K57*'Critérios de Implantação'!$Q$66,0)+IFERROR('Resumo-Cult.Perma.'!J57*'Critérios de Implantação'!$Q$67,0)+IFERROR('Resumo-Cult.Perma.'!I57*'Critérios de Implantação'!$Q$68,0)+IFERROR('Resumo-Cult.Perma.'!H57*'Critérios de Implantação'!$Q$69,0)</f>
        <v>3960304.2381394133</v>
      </c>
      <c r="T94" s="93">
        <f>IFERROR('Resumo-Cult.Perma.'!Q57*'Critérios de Implantação'!T$61,0)+IFERROR('Resumo-Cult.Perma.'!P57*'Critérios de Implantação'!T$62,0)+IFERROR('Resumo-Cult.Perma.'!O57*'Critérios de Implantação'!$Q$63,0)+IFERROR('Resumo-Cult.Perma.'!N57*'Critérios de Implantação'!$Q$64,0)+IFERROR('Resumo-Cult.Perma.'!M57*'Critérios de Implantação'!$Q$65,0)+IFERROR('Resumo-Cult.Perma.'!L57*'Critérios de Implantação'!$Q$66,0)+IFERROR('Resumo-Cult.Perma.'!K57*'Critérios de Implantação'!$Q$67,0)+IFERROR('Resumo-Cult.Perma.'!J57*'Critérios de Implantação'!$Q$68,0)+IFERROR('Resumo-Cult.Perma.'!I57*'Critérios de Implantação'!$Q$69,0)</f>
        <v>3939291.3395998795</v>
      </c>
      <c r="U94" s="93">
        <f>IFERROR('Resumo-Cult.Perma.'!R57*'Critérios de Implantação'!U$61,0)+IFERROR('Resumo-Cult.Perma.'!Q57*'Critérios de Implantação'!U$62,0)+IFERROR('Resumo-Cult.Perma.'!P57*'Critérios de Implantação'!$Q$63,0)+IFERROR('Resumo-Cult.Perma.'!O57*'Critérios de Implantação'!$Q$64,0)+IFERROR('Resumo-Cult.Perma.'!N57*'Critérios de Implantação'!$Q$65,0)+IFERROR('Resumo-Cult.Perma.'!M57*'Critérios de Implantação'!$Q$66,0)+IFERROR('Resumo-Cult.Perma.'!L57*'Critérios de Implantação'!$Q$67,0)+IFERROR('Resumo-Cult.Perma.'!K57*'Critérios de Implantação'!$Q$68,0)+IFERROR('Resumo-Cult.Perma.'!J57*'Critérios de Implantação'!$Q$69,0)</f>
        <v>3863255.7819342744</v>
      </c>
      <c r="V94" s="93">
        <f>IFERROR('Resumo-Cult.Perma.'!S57*'Critérios de Implantação'!V$61,0)+IFERROR('Resumo-Cult.Perma.'!R57*'Critérios de Implantação'!V$62,0)+IFERROR('Resumo-Cult.Perma.'!Q57*'Critérios de Implantação'!$Q$63,0)+IFERROR('Resumo-Cult.Perma.'!P57*'Critérios de Implantação'!$Q$64,0)+IFERROR('Resumo-Cult.Perma.'!O57*'Critérios de Implantação'!$Q$65,0)+IFERROR('Resumo-Cult.Perma.'!N57*'Critérios de Implantação'!$Q$66,0)+IFERROR('Resumo-Cult.Perma.'!M57*'Critérios de Implantação'!$Q$67,0)+IFERROR('Resumo-Cult.Perma.'!L57*'Critérios de Implantação'!$Q$68,0)+IFERROR('Resumo-Cult.Perma.'!K57*'Critérios de Implantação'!$Q$69,0)</f>
        <v>3818296.6357683716</v>
      </c>
      <c r="W94" s="93">
        <f>IFERROR('Resumo-Cult.Perma.'!T57*'Critérios de Implantação'!W$61,0)+IFERROR('Resumo-Cult.Perma.'!S57*'Critérios de Implantação'!W$62,0)+IFERROR('Resumo-Cult.Perma.'!R57*'Critérios de Implantação'!$Q$63,0)+IFERROR('Resumo-Cult.Perma.'!Q57*'Critérios de Implantação'!$Q$64,0)+IFERROR('Resumo-Cult.Perma.'!P57*'Critérios de Implantação'!$Q$65,0)+IFERROR('Resumo-Cult.Perma.'!O57*'Critérios de Implantação'!$Q$66,0)+IFERROR('Resumo-Cult.Perma.'!N57*'Critérios de Implantação'!$Q$67,0)+IFERROR('Resumo-Cult.Perma.'!M57*'Critérios de Implantação'!$Q$68,0)+IFERROR('Resumo-Cult.Perma.'!L57*'Critérios de Implantação'!$Q$69,0)</f>
        <v>3776624.2653744938</v>
      </c>
      <c r="X94" s="93">
        <f>IFERROR('Resumo-Cult.Perma.'!U57*'Critérios de Implantação'!X$61,0)+IFERROR('Resumo-Cult.Perma.'!T57*'Critérios de Implantação'!X$62,0)+IFERROR('Resumo-Cult.Perma.'!S57*'Critérios de Implantação'!$Q$63,0)+IFERROR('Resumo-Cult.Perma.'!R57*'Critérios de Implantação'!$Q$64,0)+IFERROR('Resumo-Cult.Perma.'!Q57*'Critérios de Implantação'!$Q$65,0)+IFERROR('Resumo-Cult.Perma.'!P57*'Critérios de Implantação'!$Q$66,0)+IFERROR('Resumo-Cult.Perma.'!O57*'Critérios de Implantação'!$Q$67,0)+IFERROR('Resumo-Cult.Perma.'!N57*'Critérios de Implantação'!$Q$68,0)+IFERROR('Resumo-Cult.Perma.'!M57*'Critérios de Implantação'!$Q$69,0)</f>
        <v>3768750.6986734844</v>
      </c>
      <c r="Y94" s="93">
        <f>IFERROR('Resumo-Cult.Perma.'!V57*'Critérios de Implantação'!Y$61,0)+IFERROR('Resumo-Cult.Perma.'!U57*'Critérios de Implantação'!Y$62,0)+IFERROR('Resumo-Cult.Perma.'!T57*'Critérios de Implantação'!$Q$63,0)+IFERROR('Resumo-Cult.Perma.'!S57*'Critérios de Implantação'!$Q$64,0)+IFERROR('Resumo-Cult.Perma.'!R57*'Critérios de Implantação'!$Q$65,0)+IFERROR('Resumo-Cult.Perma.'!Q57*'Critérios de Implantação'!$Q$66,0)+IFERROR('Resumo-Cult.Perma.'!P57*'Critérios de Implantação'!$Q$67,0)+IFERROR('Resumo-Cult.Perma.'!O57*'Critérios de Implantação'!$Q$68,0)+IFERROR('Resumo-Cult.Perma.'!N57*'Critérios de Implantação'!$Q$69,0)</f>
        <v>3786452.9669640083</v>
      </c>
      <c r="Z94" s="93">
        <f>IFERROR('Resumo-Cult.Perma.'!W57*'Critérios de Implantação'!Z$61,0)+IFERROR('Resumo-Cult.Perma.'!V57*'Critérios de Implantação'!Z$62,0)+IFERROR('Resumo-Cult.Perma.'!U57*'Critérios de Implantação'!$Q$63,0)+IFERROR('Resumo-Cult.Perma.'!T57*'Critérios de Implantação'!$Q$64,0)+IFERROR('Resumo-Cult.Perma.'!S57*'Critérios de Implantação'!$Q$65,0)+IFERROR('Resumo-Cult.Perma.'!R57*'Critérios de Implantação'!$Q$66,0)+IFERROR('Resumo-Cult.Perma.'!Q57*'Critérios de Implantação'!$Q$67,0)+IFERROR('Resumo-Cult.Perma.'!P57*'Critérios de Implantação'!$Q$68,0)+IFERROR('Resumo-Cult.Perma.'!O57*'Critérios de Implantação'!$Q$69,0)</f>
        <v>3823222.2308983067</v>
      </c>
      <c r="AA94" s="93">
        <f>IFERROR('Resumo-Cult.Perma.'!X57*'Critérios de Implantação'!AA$61,0)+IFERROR('Resumo-Cult.Perma.'!W57*'Critérios de Implantação'!AA$62,0)+IFERROR('Resumo-Cult.Perma.'!V57*'Critérios de Implantação'!$Q$63,0)+IFERROR('Resumo-Cult.Perma.'!U57*'Critérios de Implantação'!$Q$64,0)+IFERROR('Resumo-Cult.Perma.'!T57*'Critérios de Implantação'!$Q$65,0)+IFERROR('Resumo-Cult.Perma.'!S57*'Critérios de Implantação'!$Q$66,0)+IFERROR('Resumo-Cult.Perma.'!R57*'Critérios de Implantação'!$Q$67,0)+IFERROR('Resumo-Cult.Perma.'!Q57*'Critérios de Implantação'!$Q$68,0)+IFERROR('Resumo-Cult.Perma.'!P57*'Critérios de Implantação'!$Q$69,0)</f>
        <v>3891711.6829024428</v>
      </c>
      <c r="AB94" s="93">
        <f>IFERROR('Resumo-Cult.Perma.'!Y57*'Critérios de Implantação'!AB$61,0)+IFERROR('Resumo-Cult.Perma.'!X57*'Critérios de Implantação'!AB$62,0)+IFERROR('Resumo-Cult.Perma.'!W57*'Critérios de Implantação'!$Q$63,0)+IFERROR('Resumo-Cult.Perma.'!V57*'Critérios de Implantação'!$Q$64,0)+IFERROR('Resumo-Cult.Perma.'!U57*'Critérios de Implantação'!$Q$65,0)+IFERROR('Resumo-Cult.Perma.'!T57*'Critérios de Implantação'!$Q$66,0)+IFERROR('Resumo-Cult.Perma.'!S57*'Critérios de Implantação'!$Q$67,0)+IFERROR('Resumo-Cult.Perma.'!R57*'Critérios de Implantação'!$Q$68,0)+IFERROR('Resumo-Cult.Perma.'!Q57*'Critérios de Implantação'!$Q$69,0)</f>
        <v>3941074.6861839509</v>
      </c>
      <c r="AC94" s="93">
        <f>IFERROR('Resumo-Cult.Perma.'!Z57*'Critérios de Implantação'!AC$61,0)+IFERROR('Resumo-Cult.Perma.'!Y57*'Critérios de Implantação'!AC$62,0)+IFERROR('Resumo-Cult.Perma.'!X57*'Critérios de Implantação'!$Q$63,0)+IFERROR('Resumo-Cult.Perma.'!W57*'Critérios de Implantação'!$Q$64,0)+IFERROR('Resumo-Cult.Perma.'!V57*'Critérios de Implantação'!$Q$65,0)+IFERROR('Resumo-Cult.Perma.'!U57*'Critérios de Implantação'!$Q$66,0)+IFERROR('Resumo-Cult.Perma.'!T57*'Critérios de Implantação'!$Q$67,0)+IFERROR('Resumo-Cult.Perma.'!S57*'Critérios de Implantação'!$Q$68,0)+IFERROR('Resumo-Cult.Perma.'!R57*'Critérios de Implantação'!$Q$69,0)</f>
        <v>3982804.5058230972</v>
      </c>
      <c r="AD94" s="93">
        <f>IFERROR('Resumo-Cult.Perma.'!AA57*'Critérios de Implantação'!AD$61,0)+IFERROR('Resumo-Cult.Perma.'!Z57*'Critérios de Implantação'!AD$62,0)+IFERROR('Resumo-Cult.Perma.'!Y57*'Critérios de Implantação'!$Q$63,0)+IFERROR('Resumo-Cult.Perma.'!X57*'Critérios de Implantação'!$Q$64,0)+IFERROR('Resumo-Cult.Perma.'!W57*'Critérios de Implantação'!$Q$65,0)+IFERROR('Resumo-Cult.Perma.'!V57*'Critérios de Implantação'!$Q$66,0)+IFERROR('Resumo-Cult.Perma.'!U57*'Critérios de Implantação'!$Q$67,0)+IFERROR('Resumo-Cult.Perma.'!T57*'Critérios de Implantação'!$Q$68,0)+IFERROR('Resumo-Cult.Perma.'!S57*'Critérios de Implantação'!$Q$69,0)</f>
        <v>3970517.8500137362</v>
      </c>
      <c r="AE94" s="93">
        <f>IFERROR('Resumo-Cult.Perma.'!AB57*'Critérios de Implantação'!AE$61,0)+IFERROR('Resumo-Cult.Perma.'!AA57*'Critérios de Implantação'!AE$62,0)+IFERROR('Resumo-Cult.Perma.'!Z57*'Critérios de Implantação'!$Q$63,0)+IFERROR('Resumo-Cult.Perma.'!Y57*'Critérios de Implantação'!$Q$64,0)+IFERROR('Resumo-Cult.Perma.'!X57*'Critérios de Implantação'!$Q$65,0)+IFERROR('Resumo-Cult.Perma.'!W57*'Critérios de Implantação'!$Q$66,0)+IFERROR('Resumo-Cult.Perma.'!V57*'Critérios de Implantação'!$Q$67,0)+IFERROR('Resumo-Cult.Perma.'!U57*'Critérios de Implantação'!$Q$68,0)+IFERROR('Resumo-Cult.Perma.'!T57*'Critérios de Implantação'!$Q$69,0)</f>
        <v>3960304.2381394133</v>
      </c>
      <c r="AF94" s="93">
        <f>IFERROR('Resumo-Cult.Perma.'!AC57*'Critérios de Implantação'!AF$61,0)+IFERROR('Resumo-Cult.Perma.'!AB57*'Critérios de Implantação'!AF$62,0)+IFERROR('Resumo-Cult.Perma.'!AA57*'Critérios de Implantação'!$Q$63,0)+IFERROR('Resumo-Cult.Perma.'!Z57*'Critérios de Implantação'!$Q$64,0)+IFERROR('Resumo-Cult.Perma.'!Y57*'Critérios de Implantação'!$Q$65,0)+IFERROR('Resumo-Cult.Perma.'!X57*'Critérios de Implantação'!$Q$66,0)+IFERROR('Resumo-Cult.Perma.'!W57*'Critérios de Implantação'!$Q$67,0)+IFERROR('Resumo-Cult.Perma.'!V57*'Critérios de Implantação'!$Q$68,0)+IFERROR('Resumo-Cult.Perma.'!U57*'Critérios de Implantação'!$Q$69,0)</f>
        <v>3939291.3395998795</v>
      </c>
      <c r="AG94" s="93">
        <f>IFERROR('Resumo-Cult.Perma.'!AD57*'Critérios de Implantação'!AG$61,0)+IFERROR('Resumo-Cult.Perma.'!AC57*'Critérios de Implantação'!AG$62,0)+IFERROR('Resumo-Cult.Perma.'!AB57*'Critérios de Implantação'!$Q$63,0)+IFERROR('Resumo-Cult.Perma.'!AA57*'Critérios de Implantação'!$Q$64,0)+IFERROR('Resumo-Cult.Perma.'!Z57*'Critérios de Implantação'!$Q$65,0)+IFERROR('Resumo-Cult.Perma.'!Y57*'Critérios de Implantação'!$Q$66,0)+IFERROR('Resumo-Cult.Perma.'!X57*'Critérios de Implantação'!$Q$67,0)+IFERROR('Resumo-Cult.Perma.'!W57*'Critérios de Implantação'!$Q$68,0)+IFERROR('Resumo-Cult.Perma.'!V57*'Critérios de Implantação'!$Q$69,0)</f>
        <v>3863255.7819342744</v>
      </c>
      <c r="AH94" s="93">
        <f>IFERROR('Resumo-Cult.Perma.'!AE57*'Critérios de Implantação'!AH$61,0)+IFERROR('Resumo-Cult.Perma.'!AD57*'Critérios de Implantação'!AH$62,0)+IFERROR('Resumo-Cult.Perma.'!AC57*'Critérios de Implantação'!$Q$63,0)+IFERROR('Resumo-Cult.Perma.'!AB57*'Critérios de Implantação'!$Q$64,0)+IFERROR('Resumo-Cult.Perma.'!AA57*'Critérios de Implantação'!$Q$65,0)+IFERROR('Resumo-Cult.Perma.'!Z57*'Critérios de Implantação'!$Q$66,0)+IFERROR('Resumo-Cult.Perma.'!Y57*'Critérios de Implantação'!$Q$67,0)+IFERROR('Resumo-Cult.Perma.'!X57*'Critérios de Implantação'!$Q$68,0)+IFERROR('Resumo-Cult.Perma.'!W57*'Critérios de Implantação'!$Q$69,0)</f>
        <v>3818296.6357683716</v>
      </c>
      <c r="AI94" s="93">
        <f>IFERROR('Resumo-Cult.Perma.'!AF57*'Critérios de Implantação'!AI$61,0)+IFERROR('Resumo-Cult.Perma.'!AE57*'Critérios de Implantação'!AI$62,0)+IFERROR('Resumo-Cult.Perma.'!AD57*'Critérios de Implantação'!$Q$63,0)+IFERROR('Resumo-Cult.Perma.'!AC57*'Critérios de Implantação'!$Q$64,0)+IFERROR('Resumo-Cult.Perma.'!AB57*'Critérios de Implantação'!$Q$65,0)+IFERROR('Resumo-Cult.Perma.'!AA57*'Critérios de Implantação'!$Q$66,0)+IFERROR('Resumo-Cult.Perma.'!Z57*'Critérios de Implantação'!$Q$67,0)+IFERROR('Resumo-Cult.Perma.'!Y57*'Critérios de Implantação'!$Q$68,0)+IFERROR('Resumo-Cult.Perma.'!X57*'Critérios de Implantação'!$Q$69,0)</f>
        <v>3776624.2653744938</v>
      </c>
      <c r="AJ94" s="93">
        <f>IFERROR('Resumo-Cult.Perma.'!AG57*'Critérios de Implantação'!AJ$61,0)+IFERROR('Resumo-Cult.Perma.'!AF57*'Critérios de Implantação'!AJ$62,0)+IFERROR('Resumo-Cult.Perma.'!AE57*'Critérios de Implantação'!$Q$63,0)+IFERROR('Resumo-Cult.Perma.'!AD57*'Critérios de Implantação'!$Q$64,0)+IFERROR('Resumo-Cult.Perma.'!AC57*'Critérios de Implantação'!$Q$65,0)+IFERROR('Resumo-Cult.Perma.'!AB57*'Critérios de Implantação'!$Q$66,0)+IFERROR('Resumo-Cult.Perma.'!AA57*'Critérios de Implantação'!$Q$67,0)+IFERROR('Resumo-Cult.Perma.'!Z57*'Critérios de Implantação'!$Q$68,0)+IFERROR('Resumo-Cult.Perma.'!Y57*'Critérios de Implantação'!$Q$69,0)</f>
        <v>3768750.6986734844</v>
      </c>
      <c r="AK94" s="81">
        <f>IFERROR('Resumo-Cult.Perma.'!AH57*'Critérios de Implantação'!AK$61,0)+IFERROR('Resumo-Cult.Perma.'!AG57*'Critérios de Implantação'!AK$62,0)+IFERROR('Resumo-Cult.Perma.'!AF57*'Critérios de Implantação'!$Q$63,0)+IFERROR('Resumo-Cult.Perma.'!AE57*'Critérios de Implantação'!$Q$64,0)+IFERROR('Resumo-Cult.Perma.'!AD57*'Critérios de Implantação'!$Q$65,0)+IFERROR('Resumo-Cult.Perma.'!AC57*'Critérios de Implantação'!$Q$66,0)+IFERROR('Resumo-Cult.Perma.'!AB57*'Critérios de Implantação'!$Q$67,0)+IFERROR('Resumo-Cult.Perma.'!AA57*'Critérios de Implantação'!$Q$68,0)+IFERROR('Resumo-Cult.Perma.'!Z57*'Critérios de Implantação'!$Q$69,0)</f>
        <v>3786452.9669640083</v>
      </c>
    </row>
    <row r="95" spans="1:37" ht="20.149999999999999" hidden="1" customHeight="1" outlineLevel="1" thickBot="1" x14ac:dyDescent="0.3">
      <c r="A95" s="96"/>
      <c r="B95" s="87" t="s">
        <v>149</v>
      </c>
      <c r="C95" s="88"/>
      <c r="D95" s="88">
        <f t="shared" ref="D95:AK95" si="55">SUM(D91:D94)</f>
        <v>0</v>
      </c>
      <c r="E95" s="88">
        <f t="shared" si="55"/>
        <v>0</v>
      </c>
      <c r="F95" s="88">
        <f t="shared" si="55"/>
        <v>0</v>
      </c>
      <c r="G95" s="88">
        <f t="shared" si="55"/>
        <v>1849693.2090915823</v>
      </c>
      <c r="H95" s="88">
        <f t="shared" si="55"/>
        <v>3632918.1217498085</v>
      </c>
      <c r="I95" s="88">
        <f t="shared" si="55"/>
        <v>5750799.93537586</v>
      </c>
      <c r="J95" s="88">
        <f t="shared" si="55"/>
        <v>9868413.4478694648</v>
      </c>
      <c r="K95" s="88">
        <f t="shared" si="55"/>
        <v>13611820.131454945</v>
      </c>
      <c r="L95" s="88">
        <f t="shared" si="55"/>
        <v>17411601.635041174</v>
      </c>
      <c r="M95" s="88">
        <f t="shared" si="55"/>
        <v>20371453.44251094</v>
      </c>
      <c r="N95" s="88">
        <f t="shared" si="55"/>
        <v>22352587.289781705</v>
      </c>
      <c r="O95" s="88">
        <f t="shared" si="55"/>
        <v>23174041.965670761</v>
      </c>
      <c r="P95" s="88">
        <f t="shared" si="55"/>
        <v>22822047.786342457</v>
      </c>
      <c r="Q95" s="88">
        <f t="shared" si="55"/>
        <v>22555231.96470461</v>
      </c>
      <c r="R95" s="88">
        <f t="shared" si="55"/>
        <v>23328581.434155855</v>
      </c>
      <c r="S95" s="88">
        <f t="shared" si="55"/>
        <v>23415915.135781862</v>
      </c>
      <c r="T95" s="88">
        <f t="shared" si="55"/>
        <v>23638238.826540433</v>
      </c>
      <c r="U95" s="88">
        <f t="shared" si="55"/>
        <v>24787173.491475381</v>
      </c>
      <c r="V95" s="88">
        <f t="shared" si="55"/>
        <v>24981119.683861759</v>
      </c>
      <c r="W95" s="88">
        <f t="shared" si="55"/>
        <v>25265112.544440798</v>
      </c>
      <c r="X95" s="88">
        <f t="shared" si="55"/>
        <v>25092394.250554163</v>
      </c>
      <c r="Y95" s="88">
        <f t="shared" si="55"/>
        <v>24667593.459039316</v>
      </c>
      <c r="Z95" s="88">
        <f t="shared" si="55"/>
        <v>24002686.579658069</v>
      </c>
      <c r="AA95" s="88">
        <f t="shared" si="55"/>
        <v>23174041.965670761</v>
      </c>
      <c r="AB95" s="88">
        <f t="shared" si="55"/>
        <v>22822047.786342457</v>
      </c>
      <c r="AC95" s="88">
        <f t="shared" si="55"/>
        <v>22555231.96470461</v>
      </c>
      <c r="AD95" s="88">
        <f t="shared" si="55"/>
        <v>23328581.434155855</v>
      </c>
      <c r="AE95" s="88">
        <f t="shared" si="55"/>
        <v>23415915.135781862</v>
      </c>
      <c r="AF95" s="88">
        <f t="shared" si="55"/>
        <v>23638238.826540433</v>
      </c>
      <c r="AG95" s="88">
        <f t="shared" si="55"/>
        <v>24787173.491475381</v>
      </c>
      <c r="AH95" s="88">
        <f t="shared" si="55"/>
        <v>24981119.683861759</v>
      </c>
      <c r="AI95" s="88">
        <f t="shared" si="55"/>
        <v>25265112.544440798</v>
      </c>
      <c r="AJ95" s="88">
        <f t="shared" si="55"/>
        <v>25092394.250554163</v>
      </c>
      <c r="AK95" s="89">
        <f t="shared" si="55"/>
        <v>24667593.459039316</v>
      </c>
    </row>
    <row r="96" spans="1:37" ht="20.149999999999999" hidden="1" customHeight="1" outlineLevel="1" thickBot="1" x14ac:dyDescent="0.3"/>
    <row r="97" spans="1:37" ht="20.149999999999999" hidden="1" customHeight="1" outlineLevel="1" x14ac:dyDescent="0.25">
      <c r="A97" s="42">
        <v>3</v>
      </c>
      <c r="B97" s="97" t="s">
        <v>144</v>
      </c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2"/>
    </row>
    <row r="98" spans="1:37" ht="20.149999999999999" hidden="1" customHeight="1" outlineLevel="1" x14ac:dyDescent="0.25">
      <c r="A98" s="47" t="s">
        <v>154</v>
      </c>
      <c r="B98" s="22" t="str">
        <f>"Valor da produção "&amp;A74</f>
        <v>Valor da produção Banana Prata</v>
      </c>
      <c r="C98" s="80"/>
      <c r="D98" s="80">
        <f>IFERROR(('Resumo-Cult.Perma.'!C58*('Critérios de Implantação'!D$61)),0)+IFERROR(('Resumo-Cult.Perma.'!B58*('Critérios de Implantação'!D$62)),0)+IFERROR(('Resumo-Cult.Perma.'!A58*('Critérios de Implantação'!D$69)),0)</f>
        <v>0</v>
      </c>
      <c r="E98" s="80">
        <f>IFERROR(('Resumo-Cult.Perma.'!D61*('Critérios de Implantação'!E$61)),0)+IFERROR(('Resumo-Cult.Perma.'!C61*('Critérios de Implantação'!E$62)),0)+IFERROR(('Resumo-Cult.Perma.'!B61*('Critérios de Implantação'!E$69)),0)</f>
        <v>0</v>
      </c>
      <c r="F98" s="80">
        <f>IFERROR(('Resumo-Cult.Perma.'!E61*('Critérios de Implantação'!F$61)),0)+IFERROR(('Resumo-Cult.Perma.'!D61*('Critérios de Implantação'!F$62)),0)+IFERROR(('Resumo-Cult.Perma.'!C61*('Critérios de Implantação'!F$69)),0)</f>
        <v>0</v>
      </c>
      <c r="G98" s="80">
        <f>IFERROR(('Resumo-Cult.Perma.'!D61*('Critérios de Implantação'!G$61)),0)+IFERROR(('Resumo-Cult.Perma.'!C61*('Critérios de Implantação'!G$62)),0)+IFERROR(('Resumo-Cult.Perma.'!B61*('Critérios de Implantação'!G$63)),0)+IFERROR(('Resumo-Cult.Perma.'!A6128*('Critérios de Implantação'!G$64)),0)+IFERROR(('Resumo-Cult.Perma.'!#REF!*('Critérios de Implantação'!G$65)),0)+IFERROR(('Resumo-Cult.Perma.'!#REF!*('Critérios de Implantação'!G$66)),0)+IFERROR(('Resumo-Cult.Perma.'!#REF!*('Critérios de Implantação'!G$67)),0)+IFERROR(('Resumo-Cult.Perma.'!#REF!*('Critérios de Implantação'!G$68)),0)+IFERROR(('Resumo-Cult.Perma.'!#REF!*('Critérios de Implantação'!G$69)),0)</f>
        <v>5167534.1097442843</v>
      </c>
      <c r="H98" s="80">
        <f>IFERROR(('Resumo-Cult.Perma.'!E61*('Critérios de Implantação'!H$61)),0)+IFERROR(('Resumo-Cult.Perma.'!D61*('Critérios de Implantação'!H$62)),0)+IFERROR(('Resumo-Cult.Perma.'!C61*('Critérios de Implantação'!H$63)),0)+IFERROR(('Resumo-Cult.Perma.'!B6128*('Critérios de Implantação'!H$64)),0)+IFERROR(('Resumo-Cult.Perma.'!#REF!*('Critérios de Implantação'!H$65)),0)+IFERROR(('Resumo-Cult.Perma.'!#REF!*('Critérios de Implantação'!H$66)),0)+IFERROR(('Resumo-Cult.Perma.'!#REF!*('Critérios de Implantação'!H$67)),0)+IFERROR(('Resumo-Cult.Perma.'!#REF!*('Critérios de Implantação'!H$68)),0)+IFERROR(('Resumo-Cult.Perma.'!#REF!*('Critérios de Implantação'!H$69)),0)</f>
        <v>9929771.4265674483</v>
      </c>
      <c r="I98" s="80">
        <f>IFERROR(('Resumo-Cult.Perma.'!F61*('Critérios de Implantação'!I$61)),0)+IFERROR(('Resumo-Cult.Perma.'!E61*('Critérios de Implantação'!I$62)),0)+IFERROR(('Resumo-Cult.Perma.'!D61*('Critérios de Implantação'!I$63)),0)+IFERROR(('Resumo-Cult.Perma.'!C6128*('Critérios de Implantação'!I$64)),0)+IFERROR(('Resumo-Cult.Perma.'!#REF!*('Critérios de Implantação'!I$65)),0)+IFERROR(('Resumo-Cult.Perma.'!#REF!*('Critérios de Implantação'!I$66)),0)+IFERROR(('Resumo-Cult.Perma.'!#REF!*('Critérios de Implantação'!I$67)),0)+IFERROR(('Resumo-Cult.Perma.'!#REF!*('Critérios de Implantação'!I$68)),0)+IFERROR(('Resumo-Cult.Perma.'!#REF!*('Critérios de Implantação'!I$69)),0)</f>
        <v>15327715.359982766</v>
      </c>
      <c r="J98" s="80">
        <f>IFERROR(('Resumo-Cult.Perma.'!G61*('Critérios de Implantação'!J$61)),0)+IFERROR(('Resumo-Cult.Perma.'!F61*('Critérios de Implantação'!J$62)),0)+IFERROR(('Resumo-Cult.Perma.'!E61*('Critérios de Implantação'!J$63)),0)+IFERROR(('Resumo-Cult.Perma.'!D61*('Critérios de Implantação'!J$64)),0)+IFERROR(('Resumo-Cult.Perma.'!#REF!*('Critérios de Implantação'!J$65)),0)+IFERROR(('Resumo-Cult.Perma.'!#REF!*('Critérios de Implantação'!J$66)),0)+IFERROR(('Resumo-Cult.Perma.'!#REF!*('Critérios de Implantação'!J$67)),0)+IFERROR(('Resumo-Cult.Perma.'!#REF!*('Critérios de Implantação'!J$68)),0)+IFERROR(('Resumo-Cult.Perma.'!#REF!*('Critérios de Implantação'!J$69)),0)</f>
        <v>26151584.187400475</v>
      </c>
      <c r="K98" s="80">
        <f>IFERROR(('Resumo-Cult.Perma.'!H61*('Critérios de Implantação'!K$61)),0)+IFERROR(('Resumo-Cult.Perma.'!G61*('Critérios de Implantação'!K$62)),0)+IFERROR(('Resumo-Cult.Perma.'!F61*('Critérios de Implantação'!K$63)),0)+IFERROR(('Resumo-Cult.Perma.'!E61*('Critérios de Implantação'!K$64)),0)+IFERROR(('Resumo-Cult.Perma.'!D61*('Critérios de Implantação'!K$65)),0)+IFERROR(('Resumo-Cult.Perma.'!#REF!*('Critérios de Implantação'!K$66)),0)+IFERROR(('Resumo-Cult.Perma.'!#REF!*('Critérios de Implantação'!K$67)),0)+IFERROR(('Resumo-Cult.Perma.'!#REF!*('Critérios de Implantação'!K$68)),0)+IFERROR(('Resumo-Cult.Perma.'!#REF!*('Critérios de Implantação'!K$69)),0)</f>
        <v>35424482.095280126</v>
      </c>
      <c r="L98" s="80">
        <f>IFERROR(('Resumo-Cult.Perma.'!I61*('Critérios de Implantação'!L$61)),0)+IFERROR(('Resumo-Cult.Perma.'!H61*('Critérios de Implantação'!L$62)),0)+IFERROR(('Resumo-Cult.Perma.'!G61*('Critérios de Implantação'!L$63)),0)+IFERROR(('Resumo-Cult.Perma.'!F61*('Critérios de Implantação'!L$64)),0)+IFERROR(('Resumo-Cult.Perma.'!E61*('Critérios de Implantação'!L$65)),0)+IFERROR(('Resumo-Cult.Perma.'!D61*('Critérios de Implantação'!L$66)),0)+IFERROR(('Resumo-Cult.Perma.'!#REF!*('Critérios de Implantação'!L$67)),0)+IFERROR(('Resumo-Cult.Perma.'!#REF!*('Critérios de Implantação'!L$68)),0)+IFERROR(('Resumo-Cult.Perma.'!#REF!*('Critérios de Implantação'!L$69)),0)</f>
        <v>44166435.682106338</v>
      </c>
      <c r="M98" s="80">
        <f>IFERROR(('Resumo-Cult.Perma.'!J61*('Critérios de Implantação'!M$61)),0)+IFERROR(('Resumo-Cult.Perma.'!I61*('Critérios de Implantação'!M$62)),0)+IFERROR(('Resumo-Cult.Perma.'!H61*('Critérios de Implantação'!M$63)),0)+IFERROR(('Resumo-Cult.Perma.'!G61*('Critérios de Implantação'!M$64)),0)+IFERROR(('Resumo-Cult.Perma.'!F61*('Critérios de Implantação'!M$65)),0)+IFERROR(('Resumo-Cult.Perma.'!E61*('Critérios de Implantação'!M$66)),0)+IFERROR(('Resumo-Cult.Perma.'!D61*('Critérios de Implantação'!M$67)),0)+IFERROR(('Resumo-Cult.Perma.'!#REF!*('Critérios de Implantação'!M$68)),0)+IFERROR(('Resumo-Cult.Perma.'!#REF!*('Critérios de Implantação'!M$69)),0)</f>
        <v>50431320.587467924</v>
      </c>
      <c r="N98" s="80">
        <f>IFERROR(('Resumo-Cult.Perma.'!K61*('Critérios de Implantação'!N$61)),0)+IFERROR(('Resumo-Cult.Perma.'!J61*('Critérios de Implantação'!N$62)),0)+IFERROR(('Resumo-Cult.Perma.'!I61*('Critérios de Implantação'!N$63)),0)+IFERROR(('Resumo-Cult.Perma.'!H61*('Critérios de Implantação'!N$64)),0)+IFERROR(('Resumo-Cult.Perma.'!G61*('Critérios de Implantação'!N$65)),0)+IFERROR(('Resumo-Cult.Perma.'!F61*('Critérios de Implantação'!N$66)),0)+IFERROR(('Resumo-Cult.Perma.'!E61*('Critérios de Implantação'!N$67)),0)+IFERROR(('Resumo-Cult.Perma.'!D61*('Critérios de Implantação'!N$68)),0)+IFERROR(('Resumo-Cult.Perma.'!#REF!*('Critérios de Implantação'!N$69)),0)</f>
        <v>53743931.822021984</v>
      </c>
      <c r="O98" s="80">
        <f>IFERROR(('Resumo-Cult.Perma.'!L61*('Critérios de Implantação'!O$61)),0)+IFERROR(('Resumo-Cult.Perma.'!K61*('Critérios de Implantação'!O$62)),0)+IFERROR(('Resumo-Cult.Perma.'!J61*('Critérios de Implantação'!O$63)),0)+IFERROR(('Resumo-Cult.Perma.'!I61*('Critérios de Implantação'!O$64)),0)+IFERROR(('Resumo-Cult.Perma.'!H61*('Critérios de Implantação'!O$65)),0)+IFERROR(('Resumo-Cult.Perma.'!G61*('Critérios de Implantação'!O$66)),0)+IFERROR(('Resumo-Cult.Perma.'!F61*('Critérios de Implantação'!O$67)),0)+IFERROR(('Resumo-Cult.Perma.'!E61*('Critérios de Implantação'!O$68)),0)+IFERROR(('Resumo-Cult.Perma.'!D61*('Critérios de Implantação'!O$69)),0)</f>
        <v>53687509.744441569</v>
      </c>
      <c r="P98" s="80">
        <f>IFERROR(('Resumo-Cult.Perma.'!M61*('Critérios de Implantação'!P$61)),0)+IFERROR(('Resumo-Cult.Perma.'!L61*('Critérios de Implantação'!P$62)),0)+IFERROR(('Resumo-Cult.Perma.'!K61*('Critérios de Implantação'!P$63)),0)+IFERROR(('Resumo-Cult.Perma.'!J61*('Critérios de Implantação'!P$64)),0)+IFERROR(('Resumo-Cult.Perma.'!I61*('Critérios de Implantação'!P$65)),0)+IFERROR(('Resumo-Cult.Perma.'!H61*('Critérios de Implantação'!P$66)),0)+IFERROR(('Resumo-Cult.Perma.'!G61*('Critérios de Implantação'!P$67)),0)+IFERROR(('Resumo-Cult.Perma.'!F61*('Critérios de Implantação'!P$68)),0)+IFERROR(('Resumo-Cult.Perma.'!E61*('Critérios de Implantação'!P$69)),0)</f>
        <v>50218949.131686866</v>
      </c>
      <c r="Q98" s="80">
        <f>IFERROR(('Resumo-Cult.Perma.'!N61*('Critérios de Implantação'!Q$61)),0)+IFERROR(('Resumo-Cult.Perma.'!M61*('Critérios de Implantação'!Q$62)),0)+IFERROR(('Resumo-Cult.Perma.'!L61*('Critérios de Implantação'!Q$63)),0)+IFERROR(('Resumo-Cult.Perma.'!K61*('Critérios de Implantação'!Q$64)),0)+IFERROR(('Resumo-Cult.Perma.'!J61*('Critérios de Implantação'!Q$65)),0)+IFERROR(('Resumo-Cult.Perma.'!I61*('Critérios de Implantação'!Q$66)),0)+IFERROR(('Resumo-Cult.Perma.'!H61*('Critérios de Implantação'!Q$67)),0)+IFERROR(('Resumo-Cult.Perma.'!G61*('Critérios de Implantação'!Q$68)),0)+IFERROR(('Resumo-Cult.Perma.'!F61*('Critérios de Implantação'!Q$69)),0)</f>
        <v>47234428.819872096</v>
      </c>
      <c r="R98" s="80">
        <f>IFERROR(('Resumo-Cult.Perma.'!O61*('Critérios de Implantação'!R$61)),0)+IFERROR(('Resumo-Cult.Perma.'!N61*('Critérios de Implantação'!R$62)),0)+IFERROR(('Resumo-Cult.Perma.'!M61*('Critérios de Implantação'!R$63)),0)+IFERROR(('Resumo-Cult.Perma.'!L61*('Critérios de Implantação'!R$64)),0)+IFERROR(('Resumo-Cult.Perma.'!K61*('Critérios de Implantação'!R$65)),0)+IFERROR(('Resumo-Cult.Perma.'!J61*('Critérios de Implantação'!R$66)),0)+IFERROR(('Resumo-Cult.Perma.'!I61*('Critérios de Implantação'!R$67)),0)+IFERROR(('Resumo-Cult.Perma.'!H61*('Critérios de Implantação'!R$68)),0)+IFERROR(('Resumo-Cult.Perma.'!G61*('Critérios de Implantação'!R$69)),0)</f>
        <v>42421554.457975462</v>
      </c>
      <c r="S98" s="80">
        <f>IFERROR(('Resumo-Cult.Perma.'!P61*('Critérios de Implantação'!S$61)),0)+IFERROR(('Resumo-Cult.Perma.'!O61*('Critérios de Implantação'!S$62)),0)+IFERROR(('Resumo-Cult.Perma.'!N61*('Critérios de Implantação'!S$63)),0)+IFERROR(('Resumo-Cult.Perma.'!M61*('Critérios de Implantação'!S$64)),0)+IFERROR(('Resumo-Cult.Perma.'!L61*('Critérios de Implantação'!S$65)),0)+IFERROR(('Resumo-Cult.Perma.'!K61*('Critérios de Implantação'!S$66)),0)+IFERROR(('Resumo-Cult.Perma.'!J61*('Critérios de Implantação'!S$67)),0)+IFERROR(('Resumo-Cult.Perma.'!I61*('Critérios de Implantação'!S$68)),0)+IFERROR(('Resumo-Cult.Perma.'!H61*('Critérios de Implantação'!S$69)),0)</f>
        <v>42805571.46333573</v>
      </c>
      <c r="T98" s="80">
        <f>IFERROR(('Resumo-Cult.Perma.'!Q61*('Critérios de Implantação'!T$61)),0)+IFERROR(('Resumo-Cult.Perma.'!P61*('Critérios de Implantação'!T$62)),0)+IFERROR(('Resumo-Cult.Perma.'!O61*('Critérios de Implantação'!T$63)),0)+IFERROR(('Resumo-Cult.Perma.'!N61*('Critérios de Implantação'!T$64)),0)+IFERROR(('Resumo-Cult.Perma.'!M61*('Critérios de Implantação'!T$65)),0)+IFERROR(('Resumo-Cult.Perma.'!L61*('Critérios de Implantação'!T$66)),0)+IFERROR(('Resumo-Cult.Perma.'!K61*('Critérios de Implantação'!T$67)),0)+IFERROR(('Resumo-Cult.Perma.'!J61*('Critérios de Implantação'!T$68)),0)+IFERROR(('Resumo-Cult.Perma.'!I61*('Critérios de Implantação'!T$69)),0)</f>
        <v>42245691.645861</v>
      </c>
      <c r="U98" s="80">
        <f>IFERROR(('Resumo-Cult.Perma.'!R61*('Critérios de Implantação'!U$61)),0)+IFERROR(('Resumo-Cult.Perma.'!Q61*('Critérios de Implantação'!U$62)),0)+IFERROR(('Resumo-Cult.Perma.'!P61*('Critérios de Implantação'!U$63)),0)+IFERROR(('Resumo-Cult.Perma.'!O61*('Critérios de Implantação'!U$64)),0)+IFERROR(('Resumo-Cult.Perma.'!N61*('Critérios de Implantação'!U$65)),0)+IFERROR(('Resumo-Cult.Perma.'!M61*('Critérios de Implantação'!U$66)),0)+IFERROR(('Resumo-Cult.Perma.'!L61*('Critérios de Implantação'!U$67)),0)+IFERROR(('Resumo-Cult.Perma.'!K61*('Critérios de Implantação'!U$68)),0)+IFERROR(('Resumo-Cult.Perma.'!J61*('Critérios de Implantação'!U$69)),0)</f>
        <v>39899851.892239362</v>
      </c>
      <c r="V98" s="80">
        <f>IFERROR(('Resumo-Cult.Perma.'!S61*('Critérios de Implantação'!V$61)),0)+IFERROR(('Resumo-Cult.Perma.'!R61*('Critérios de Implantação'!V$62)),0)+IFERROR(('Resumo-Cult.Perma.'!Q61*('Critérios de Implantação'!V$63)),0)+IFERROR(('Resumo-Cult.Perma.'!P61*('Critérios de Implantação'!V$64)),0)+IFERROR(('Resumo-Cult.Perma.'!O61*('Critérios de Implantação'!V$65)),0)+IFERROR(('Resumo-Cult.Perma.'!N61*('Critérios de Implantação'!V$66)),0)+IFERROR(('Resumo-Cult.Perma.'!M61*('Critérios de Implantação'!V$67)),0)+IFERROR(('Resumo-Cult.Perma.'!L61*('Critérios de Implantação'!V$68)),0)+IFERROR(('Resumo-Cult.Perma.'!K61*('Critérios de Implantação'!V$69)),0)</f>
        <v>43848245.828530528</v>
      </c>
      <c r="W98" s="80">
        <f>IFERROR(('Resumo-Cult.Perma.'!T61*('Critérios de Implantação'!W$61)),0)+IFERROR(('Resumo-Cult.Perma.'!S61*('Critérios de Implantação'!W$62)),0)+IFERROR(('Resumo-Cult.Perma.'!R61*('Critérios de Implantação'!W$63)),0)+IFERROR(('Resumo-Cult.Perma.'!Q61*('Critérios de Implantação'!W$64)),0)+IFERROR(('Resumo-Cult.Perma.'!P61*('Critérios de Implantação'!W$65)),0)+IFERROR(('Resumo-Cult.Perma.'!O61*('Critérios de Implantação'!W$66)),0)+IFERROR(('Resumo-Cult.Perma.'!N61*('Critérios de Implantação'!W$67)),0)+IFERROR(('Resumo-Cult.Perma.'!M61*('Critérios de Implantação'!W$68)),0)+IFERROR(('Resumo-Cult.Perma.'!L61*('Critérios de Implantação'!W$69)),0)</f>
        <v>46220188.757756531</v>
      </c>
      <c r="X98" s="80">
        <f>IFERROR(('Resumo-Cult.Perma.'!U61*('Critérios de Implantação'!X$61)),0)+IFERROR(('Resumo-Cult.Perma.'!T61*('Critérios de Implantação'!X$62)),0)+IFERROR(('Resumo-Cult.Perma.'!S61*('Critérios de Implantação'!X$63)),0)+IFERROR(('Resumo-Cult.Perma.'!R61*('Critérios de Implantação'!X$64)),0)+IFERROR(('Resumo-Cult.Perma.'!Q61*('Critérios de Implantação'!X$65)),0)+IFERROR(('Resumo-Cult.Perma.'!P61*('Critérios de Implantação'!X$66)),0)+IFERROR(('Resumo-Cult.Perma.'!O61*('Critérios de Implantação'!X$67)),0)+IFERROR(('Resumo-Cult.Perma.'!N61*('Critérios de Implantação'!X$68)),0)+IFERROR(('Resumo-Cult.Perma.'!M61*('Critérios de Implantação'!X$69)),0)</f>
        <v>50122701.103199504</v>
      </c>
      <c r="Y98" s="80">
        <f>IFERROR(('Resumo-Cult.Perma.'!V61*('Critérios de Implantação'!Y$61)),0)+IFERROR(('Resumo-Cult.Perma.'!U61*('Critérios de Implantação'!Y$62)),0)+IFERROR(('Resumo-Cult.Perma.'!T61*('Critérios de Implantação'!Y$63)),0)+IFERROR(('Resumo-Cult.Perma.'!S61*('Critérios de Implantação'!Y$64)),0)+IFERROR(('Resumo-Cult.Perma.'!R61*('Critérios de Implantação'!Y$65)),0)+IFERROR(('Resumo-Cult.Perma.'!Q61*('Critérios de Implantação'!Y$66)),0)+IFERROR(('Resumo-Cult.Perma.'!P61*('Critérios de Implantação'!Y$67)),0)+IFERROR(('Resumo-Cult.Perma.'!O61*('Critérios de Implantação'!Y$68)),0)+IFERROR(('Resumo-Cult.Perma.'!N61*('Critérios de Implantação'!Y$69)),0)</f>
        <v>53335582.474528149</v>
      </c>
      <c r="Z98" s="80">
        <f>IFERROR(('Resumo-Cult.Perma.'!W61*('Critérios de Implantação'!Z$61)),0)+IFERROR(('Resumo-Cult.Perma.'!V61*('Critérios de Implantação'!Z$62)),0)+IFERROR(('Resumo-Cult.Perma.'!U61*('Critérios de Implantação'!Z$63)),0)+IFERROR(('Resumo-Cult.Perma.'!T61*('Critérios de Implantação'!Z$64)),0)+IFERROR(('Resumo-Cult.Perma.'!S61*('Critérios de Implantação'!Z$65)),0)+IFERROR(('Resumo-Cult.Perma.'!R61*('Critérios de Implantação'!Z$66)),0)+IFERROR(('Resumo-Cult.Perma.'!Q61*('Critérios de Implantação'!Z$67)),0)+IFERROR(('Resumo-Cult.Perma.'!P61*('Critérios de Implantação'!Z$68)),0)+IFERROR(('Resumo-Cult.Perma.'!O61*('Critérios de Implantação'!Z$69)),0)</f>
        <v>55397196.330667458</v>
      </c>
      <c r="AA98" s="80">
        <f>IFERROR(('Resumo-Cult.Perma.'!X61*('Critérios de Implantação'!AA$61)),0)+IFERROR(('Resumo-Cult.Perma.'!W61*('Critérios de Implantação'!AA$62)),0)+IFERROR(('Resumo-Cult.Perma.'!V61*('Critérios de Implantação'!AA$63)),0)+IFERROR(('Resumo-Cult.Perma.'!U61*('Critérios de Implantação'!AA$64)),0)+IFERROR(('Resumo-Cult.Perma.'!T61*('Critérios de Implantação'!AA$65)),0)+IFERROR(('Resumo-Cult.Perma.'!S61*('Critérios de Implantação'!AA$66)),0)+IFERROR(('Resumo-Cult.Perma.'!R61*('Critérios de Implantação'!AA$67)),0)+IFERROR(('Resumo-Cult.Perma.'!Q61*('Critérios de Implantação'!AA$68)),0)+IFERROR(('Resumo-Cult.Perma.'!P61*('Critérios de Implantação'!AA$69)),0)</f>
        <v>55829470.044696227</v>
      </c>
      <c r="AB98" s="80">
        <f>IFERROR(('Resumo-Cult.Perma.'!Y61*('Critérios de Implantação'!AB$61)),0)+IFERROR(('Resumo-Cult.Perma.'!X61*('Critérios de Implantação'!AB$62)),0)+IFERROR(('Resumo-Cult.Perma.'!W61*('Critérios de Implantação'!AB$63)),0)+IFERROR(('Resumo-Cult.Perma.'!V61*('Critérios de Implantação'!AB$64)),0)+IFERROR(('Resumo-Cult.Perma.'!U61*('Critérios de Implantação'!AB$65)),0)+IFERROR(('Resumo-Cult.Perma.'!T61*('Critérios de Implantação'!AB$66)),0)+IFERROR(('Resumo-Cult.Perma.'!S61*('Critérios de Implantação'!AB$67)),0)+IFERROR(('Resumo-Cult.Perma.'!R61*('Critérios de Implantação'!AB$68)),0)+IFERROR(('Resumo-Cult.Perma.'!Q61*('Critérios de Implantação'!AB$69)),0)</f>
        <v>53469623.646874383</v>
      </c>
      <c r="AC98" s="80">
        <f>IFERROR(('Resumo-Cult.Perma.'!Z61*('Critérios de Implantação'!AC$61)),0)+IFERROR(('Resumo-Cult.Perma.'!Y61*('Critérios de Implantação'!AC$62)),0)+IFERROR(('Resumo-Cult.Perma.'!X61*('Critérios de Implantação'!AC$63)),0)+IFERROR(('Resumo-Cult.Perma.'!W61*('Critérios de Implantação'!AC$64)),0)+IFERROR(('Resumo-Cult.Perma.'!V61*('Critérios de Implantação'!AC$65)),0)+IFERROR(('Resumo-Cult.Perma.'!U61*('Critérios de Implantação'!AC$66)),0)+IFERROR(('Resumo-Cult.Perma.'!T61*('Critérios de Implantação'!AC$67)),0)+IFERROR(('Resumo-Cult.Perma.'!S61*('Critérios de Implantação'!AC$68)),0)+IFERROR(('Resumo-Cult.Perma.'!R61*('Critérios de Implantação'!AC$69)),0)</f>
        <v>51757358.718570024</v>
      </c>
      <c r="AD98" s="80">
        <f>IFERROR(('Resumo-Cult.Perma.'!AA61*('Critérios de Implantação'!AD$61)),0)+IFERROR(('Resumo-Cult.Perma.'!Z61*('Critérios de Implantação'!AD$62)),0)+IFERROR(('Resumo-Cult.Perma.'!Y61*('Critérios de Implantação'!AD$63)),0)+IFERROR(('Resumo-Cult.Perma.'!X61*('Critérios de Implantação'!AD$64)),0)+IFERROR(('Resumo-Cult.Perma.'!W61*('Critérios de Implantação'!AD$65)),0)+IFERROR(('Resumo-Cult.Perma.'!V61*('Critérios de Implantação'!AD$66)),0)+IFERROR(('Resumo-Cult.Perma.'!U61*('Critérios de Implantação'!AD$67)),0)+IFERROR(('Resumo-Cult.Perma.'!T61*('Critérios de Implantação'!AD$68)),0)+IFERROR(('Resumo-Cult.Perma.'!S61*('Critérios de Implantação'!AD$69)),0)</f>
        <v>47052611.902881138</v>
      </c>
      <c r="AE98" s="80">
        <f>IFERROR(('Resumo-Cult.Perma.'!AB61*('Critérios de Implantação'!AE$61)),0)+IFERROR(('Resumo-Cult.Perma.'!AA61*('Critérios de Implantação'!AE$62)),0)+IFERROR(('Resumo-Cult.Perma.'!Z61*('Critérios de Implantação'!AE$63)),0)+IFERROR(('Resumo-Cult.Perma.'!Y61*('Critérios de Implantação'!AE$64)),0)+IFERROR(('Resumo-Cult.Perma.'!X61*('Critérios de Implantação'!AE$65)),0)+IFERROR(('Resumo-Cult.Perma.'!W61*('Critérios de Implantação'!AE$66)),0)+IFERROR(('Resumo-Cult.Perma.'!V61*('Critérios de Implantação'!AE$67)),0)+IFERROR(('Resumo-Cult.Perma.'!U61*('Critérios de Implantação'!AE$68)),0)+IFERROR(('Resumo-Cult.Perma.'!T61*('Critérios de Implantação'!AE$69)),0)</f>
        <v>48133085.666905306</v>
      </c>
      <c r="AF98" s="80">
        <f>IFERROR(('Resumo-Cult.Perma.'!AC61*('Critérios de Implantação'!AF$61)),0)+IFERROR(('Resumo-Cult.Perma.'!AB61*('Critérios de Implantação'!AF$62)),0)+IFERROR(('Resumo-Cult.Perma.'!AA61*('Critérios de Implantação'!AF$63)),0)+IFERROR(('Resumo-Cult.Perma.'!Z61*('Critérios de Implantação'!AF$64)),0)+IFERROR(('Resumo-Cult.Perma.'!Y61*('Critérios de Implantação'!AF$65)),0)+IFERROR(('Resumo-Cult.Perma.'!X61*('Critérios de Implantação'!AF$66)),0)+IFERROR(('Resumo-Cult.Perma.'!W61*('Critérios de Implantação'!AF$67)),0)+IFERROR(('Resumo-Cult.Perma.'!V61*('Critérios de Implantação'!AF$68)),0)+IFERROR(('Resumo-Cult.Perma.'!U61*('Critérios de Implantação'!AF$69)),0)</f>
        <v>47744327.041705333</v>
      </c>
      <c r="AG98" s="80">
        <f>IFERROR(('Resumo-Cult.Perma.'!AD61*('Critérios de Implantação'!AG$61)),0)+IFERROR(('Resumo-Cult.Perma.'!AC61*('Critérios de Implantação'!AG$62)),0)+IFERROR(('Resumo-Cult.Perma.'!AB61*('Critérios de Implantação'!AG$63)),0)+IFERROR(('Resumo-Cult.Perma.'!AA61*('Critérios de Implantação'!AG$64)),0)+IFERROR(('Resumo-Cult.Perma.'!Z61*('Critérios de Implantação'!AG$65)),0)+IFERROR(('Resumo-Cult.Perma.'!Y61*('Critérios de Implantação'!AG$66)),0)+IFERROR(('Resumo-Cult.Perma.'!X61*('Critérios de Implantação'!AG$67)),0)+IFERROR(('Resumo-Cult.Perma.'!W61*('Critérios de Implantação'!AG$68)),0)+IFERROR(('Resumo-Cult.Perma.'!V61*('Critérios de Implantação'!AG$69)),0)</f>
        <v>44537577.183562599</v>
      </c>
      <c r="AH98" s="80">
        <f>IFERROR(('Resumo-Cult.Perma.'!AE61*('Critérios de Implantação'!AH$61)),0)+IFERROR(('Resumo-Cult.Perma.'!AD61*('Critérios de Implantação'!AH$62)),0)+IFERROR(('Resumo-Cult.Perma.'!AC61*('Critérios de Implantação'!AH$63)),0)+IFERROR(('Resumo-Cult.Perma.'!AB61*('Critérios de Implantação'!AH$64)),0)+IFERROR(('Resumo-Cult.Perma.'!AA61*('Critérios de Implantação'!AH$65)),0)+IFERROR(('Resumo-Cult.Perma.'!Z61*('Critérios de Implantação'!AH$66)),0)+IFERROR(('Resumo-Cult.Perma.'!Y61*('Critérios de Implantação'!AH$67)),0)+IFERROR(('Resumo-Cult.Perma.'!X61*('Critérios de Implantação'!AH$68)),0)+IFERROR(('Resumo-Cult.Perma.'!W61*('Critérios de Implantação'!AH$69)),0)</f>
        <v>47607752.443447836</v>
      </c>
      <c r="AI98" s="80">
        <f>IFERROR(('Resumo-Cult.Perma.'!AF61*('Critérios de Implantação'!AI$61)),0)+IFERROR(('Resumo-Cult.Perma.'!AE61*('Critérios de Implantação'!AI$62)),0)+IFERROR(('Resumo-Cult.Perma.'!AD61*('Critérios de Implantação'!AI$63)),0)+IFERROR(('Resumo-Cult.Perma.'!AC61*('Critérios de Implantação'!AI$64)),0)+IFERROR(('Resumo-Cult.Perma.'!AB61*('Critérios de Implantação'!AI$65)),0)+IFERROR(('Resumo-Cult.Perma.'!AA61*('Critérios de Implantação'!AI$66)),0)+IFERROR(('Resumo-Cult.Perma.'!Z61*('Critérios de Implantação'!AI$67)),0)+IFERROR(('Resumo-Cult.Perma.'!Y61*('Critérios de Implantação'!AI$68)),0)+IFERROR(('Resumo-Cult.Perma.'!X61*('Critérios de Implantação'!AI$69)),0)</f>
        <v>48858899.610731259</v>
      </c>
      <c r="AJ98" s="80">
        <f>IFERROR(('Resumo-Cult.Perma.'!AG61*('Critérios de Implantação'!AJ$61)),0)+IFERROR(('Resumo-Cult.Perma.'!AF61*('Critérios de Implantação'!AJ$62)),0)+IFERROR(('Resumo-Cult.Perma.'!AE61*('Critérios de Implantação'!AJ$63)),0)+IFERROR(('Resumo-Cult.Perma.'!AD61*('Critérios de Implantação'!AJ$64)),0)+IFERROR(('Resumo-Cult.Perma.'!AC61*('Critérios de Implantação'!AJ$65)),0)+IFERROR(('Resumo-Cult.Perma.'!AB61*('Critérios de Implantação'!AJ$66)),0)+IFERROR(('Resumo-Cult.Perma.'!AA61*('Critérios de Implantação'!AJ$67)),0)+IFERROR(('Resumo-Cult.Perma.'!Z61*('Critérios de Implantação'!AJ$68)),0)+IFERROR(('Resumo-Cult.Perma.'!Y61*('Critérios de Implantação'!AJ$69)),0)</f>
        <v>51717355.634423845</v>
      </c>
      <c r="AK98" s="95">
        <f>IFERROR(('Resumo-Cult.Perma.'!AH61*('Critérios de Implantação'!AK$61)),0)+IFERROR(('Resumo-Cult.Perma.'!AG61*('Critérios de Implantação'!AK$62)),0)+IFERROR(('Resumo-Cult.Perma.'!AF61*('Critérios de Implantação'!AK$63)),0)+IFERROR(('Resumo-Cult.Perma.'!AE61*('Critérios de Implantação'!AK$64)),0)+IFERROR(('Resumo-Cult.Perma.'!AD61*('Critérios de Implantação'!AK$65)),0)+IFERROR(('Resumo-Cult.Perma.'!AC61*('Critérios de Implantação'!AK$66)),0)+IFERROR(('Resumo-Cult.Perma.'!AB61*('Critérios de Implantação'!AK$67)),0)+IFERROR(('Resumo-Cult.Perma.'!AA61*('Critérios de Implantação'!AK$68)),0)+IFERROR(('Resumo-Cult.Perma.'!Z61*('Critérios de Implantação'!AK$69)),0)</f>
        <v>53872475.775534585</v>
      </c>
    </row>
    <row r="99" spans="1:37" ht="20.149999999999999" hidden="1" customHeight="1" outlineLevel="1" thickBot="1" x14ac:dyDescent="0.3">
      <c r="A99" s="52"/>
      <c r="B99" s="102" t="s">
        <v>153</v>
      </c>
      <c r="C99" s="88"/>
      <c r="D99" s="88">
        <f>SUM(D98:D98)</f>
        <v>0</v>
      </c>
      <c r="E99" s="88">
        <f t="shared" ref="E99:AK99" si="56">SUM(E98:E98)</f>
        <v>0</v>
      </c>
      <c r="F99" s="88">
        <f t="shared" si="56"/>
        <v>0</v>
      </c>
      <c r="G99" s="88">
        <f t="shared" si="56"/>
        <v>5167534.1097442843</v>
      </c>
      <c r="H99" s="88">
        <f>SUM(H98:H98)</f>
        <v>9929771.4265674483</v>
      </c>
      <c r="I99" s="88">
        <f t="shared" si="56"/>
        <v>15327715.359982766</v>
      </c>
      <c r="J99" s="88">
        <f t="shared" si="56"/>
        <v>26151584.187400475</v>
      </c>
      <c r="K99" s="88">
        <f t="shared" si="56"/>
        <v>35424482.095280126</v>
      </c>
      <c r="L99" s="88">
        <f t="shared" si="56"/>
        <v>44166435.682106338</v>
      </c>
      <c r="M99" s="88">
        <f t="shared" si="56"/>
        <v>50431320.587467924</v>
      </c>
      <c r="N99" s="88">
        <f t="shared" si="56"/>
        <v>53743931.822021984</v>
      </c>
      <c r="O99" s="88">
        <f t="shared" si="56"/>
        <v>53687509.744441569</v>
      </c>
      <c r="P99" s="88">
        <f t="shared" si="56"/>
        <v>50218949.131686866</v>
      </c>
      <c r="Q99" s="88">
        <f t="shared" si="56"/>
        <v>47234428.819872096</v>
      </c>
      <c r="R99" s="88">
        <f t="shared" si="56"/>
        <v>42421554.457975462</v>
      </c>
      <c r="S99" s="88">
        <f t="shared" si="56"/>
        <v>42805571.46333573</v>
      </c>
      <c r="T99" s="88">
        <f t="shared" si="56"/>
        <v>42245691.645861</v>
      </c>
      <c r="U99" s="88">
        <f t="shared" si="56"/>
        <v>39899851.892239362</v>
      </c>
      <c r="V99" s="88">
        <f t="shared" si="56"/>
        <v>43848245.828530528</v>
      </c>
      <c r="W99" s="88">
        <f t="shared" si="56"/>
        <v>46220188.757756531</v>
      </c>
      <c r="X99" s="88">
        <f t="shared" si="56"/>
        <v>50122701.103199504</v>
      </c>
      <c r="Y99" s="88">
        <f t="shared" si="56"/>
        <v>53335582.474528149</v>
      </c>
      <c r="Z99" s="88">
        <f t="shared" si="56"/>
        <v>55397196.330667458</v>
      </c>
      <c r="AA99" s="88">
        <f t="shared" si="56"/>
        <v>55829470.044696227</v>
      </c>
      <c r="AB99" s="88">
        <f t="shared" si="56"/>
        <v>53469623.646874383</v>
      </c>
      <c r="AC99" s="88">
        <f t="shared" si="56"/>
        <v>51757358.718570024</v>
      </c>
      <c r="AD99" s="88">
        <f t="shared" si="56"/>
        <v>47052611.902881138</v>
      </c>
      <c r="AE99" s="88">
        <f t="shared" si="56"/>
        <v>48133085.666905306</v>
      </c>
      <c r="AF99" s="88">
        <f t="shared" si="56"/>
        <v>47744327.041705333</v>
      </c>
      <c r="AG99" s="88">
        <f t="shared" si="56"/>
        <v>44537577.183562599</v>
      </c>
      <c r="AH99" s="88">
        <f t="shared" si="56"/>
        <v>47607752.443447836</v>
      </c>
      <c r="AI99" s="88">
        <f t="shared" si="56"/>
        <v>48858899.610731259</v>
      </c>
      <c r="AJ99" s="88">
        <f t="shared" si="56"/>
        <v>51717355.634423845</v>
      </c>
      <c r="AK99" s="89">
        <f t="shared" si="56"/>
        <v>53872475.775534585</v>
      </c>
    </row>
    <row r="100" spans="1:37" ht="20.149999999999999" hidden="1" customHeight="1" outlineLevel="1" thickBot="1" x14ac:dyDescent="0.3">
      <c r="A100" s="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</row>
    <row r="101" spans="1:37" ht="20.149999999999999" hidden="1" customHeight="1" outlineLevel="1" thickBot="1" x14ac:dyDescent="0.3">
      <c r="A101" s="70">
        <v>4</v>
      </c>
      <c r="B101" s="104" t="s">
        <v>556</v>
      </c>
      <c r="C101" s="105"/>
      <c r="D101" s="105">
        <f t="shared" ref="D101:AK101" si="57">D99-D95-D88</f>
        <v>0</v>
      </c>
      <c r="E101" s="105">
        <f t="shared" si="57"/>
        <v>0</v>
      </c>
      <c r="F101" s="105">
        <f t="shared" si="57"/>
        <v>-5192117.9072211422</v>
      </c>
      <c r="G101" s="105">
        <f t="shared" si="57"/>
        <v>-1874277.0065684402</v>
      </c>
      <c r="H101" s="105">
        <f t="shared" si="57"/>
        <v>58779.564654815011</v>
      </c>
      <c r="I101" s="105">
        <f t="shared" si="57"/>
        <v>-2471263.2206362225</v>
      </c>
      <c r="J101" s="105">
        <f t="shared" si="57"/>
        <v>4979280.074949231</v>
      </c>
      <c r="K101" s="105">
        <f t="shared" si="57"/>
        <v>10182030.485727161</v>
      </c>
      <c r="L101" s="105">
        <f t="shared" si="57"/>
        <v>17280915.957868759</v>
      </c>
      <c r="M101" s="105">
        <f t="shared" si="57"/>
        <v>23344149.947440132</v>
      </c>
      <c r="N101" s="105">
        <f t="shared" si="57"/>
        <v>28012699.70532329</v>
      </c>
      <c r="O101" s="105">
        <f t="shared" si="57"/>
        <v>30513467.778770808</v>
      </c>
      <c r="P101" s="105">
        <f t="shared" si="57"/>
        <v>27396901.345344409</v>
      </c>
      <c r="Q101" s="105">
        <f t="shared" si="57"/>
        <v>24679196.855167486</v>
      </c>
      <c r="R101" s="105">
        <f t="shared" si="57"/>
        <v>19092973.023819607</v>
      </c>
      <c r="S101" s="105">
        <f t="shared" si="57"/>
        <v>19389656.327553868</v>
      </c>
      <c r="T101" s="105">
        <f t="shared" si="57"/>
        <v>18607452.819320567</v>
      </c>
      <c r="U101" s="105">
        <f t="shared" si="57"/>
        <v>15112678.400763981</v>
      </c>
      <c r="V101" s="105">
        <f t="shared" si="57"/>
        <v>18867126.144668769</v>
      </c>
      <c r="W101" s="105">
        <f t="shared" si="57"/>
        <v>20955076.213315733</v>
      </c>
      <c r="X101" s="105">
        <f t="shared" si="57"/>
        <v>25030306.852645341</v>
      </c>
      <c r="Y101" s="105">
        <f t="shared" si="57"/>
        <v>28667989.015488833</v>
      </c>
      <c r="Z101" s="105">
        <f t="shared" si="57"/>
        <v>31394509.75100939</v>
      </c>
      <c r="AA101" s="105">
        <f t="shared" si="57"/>
        <v>32655428.079025466</v>
      </c>
      <c r="AB101" s="105">
        <f t="shared" si="57"/>
        <v>30647575.860531926</v>
      </c>
      <c r="AC101" s="105">
        <f t="shared" si="57"/>
        <v>29202126.753865413</v>
      </c>
      <c r="AD101" s="105">
        <f t="shared" si="57"/>
        <v>23724030.468725283</v>
      </c>
      <c r="AE101" s="105">
        <f t="shared" si="57"/>
        <v>24717170.531123444</v>
      </c>
      <c r="AF101" s="105">
        <f t="shared" si="57"/>
        <v>24106088.2151649</v>
      </c>
      <c r="AG101" s="105">
        <f t="shared" si="57"/>
        <v>19750403.692087218</v>
      </c>
      <c r="AH101" s="105">
        <f t="shared" si="57"/>
        <v>22626632.759586077</v>
      </c>
      <c r="AI101" s="105">
        <f t="shared" si="57"/>
        <v>23593787.066290461</v>
      </c>
      <c r="AJ101" s="105">
        <f t="shared" si="57"/>
        <v>26624961.383869682</v>
      </c>
      <c r="AK101" s="105">
        <f t="shared" si="57"/>
        <v>29204882.31649527</v>
      </c>
    </row>
    <row r="102" spans="1:37" ht="20.149999999999999" hidden="1" customHeight="1" outlineLevel="1" thickBot="1" x14ac:dyDescent="0.3">
      <c r="A102" s="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</row>
    <row r="103" spans="1:37" ht="20.149999999999999" hidden="1" customHeight="1" outlineLevel="1" thickBot="1" x14ac:dyDescent="0.3">
      <c r="A103" s="70">
        <v>5</v>
      </c>
      <c r="B103" s="104" t="s">
        <v>160</v>
      </c>
      <c r="C103" s="107"/>
      <c r="D103" s="107">
        <f>D101</f>
        <v>0</v>
      </c>
      <c r="E103" s="107">
        <f t="shared" ref="E103:AJ103" si="58">D103+E101</f>
        <v>0</v>
      </c>
      <c r="F103" s="107">
        <f t="shared" si="58"/>
        <v>-5192117.9072211422</v>
      </c>
      <c r="G103" s="107">
        <f t="shared" si="58"/>
        <v>-7066394.9137895824</v>
      </c>
      <c r="H103" s="107">
        <f>G103+H101</f>
        <v>-7007615.3491347674</v>
      </c>
      <c r="I103" s="107">
        <f>H103+I101</f>
        <v>-9478878.5697709899</v>
      </c>
      <c r="J103" s="107">
        <f t="shared" si="58"/>
        <v>-4499598.4948217589</v>
      </c>
      <c r="K103" s="107">
        <f t="shared" si="58"/>
        <v>5682431.9909054022</v>
      </c>
      <c r="L103" s="107">
        <f t="shared" si="58"/>
        <v>22963347.948774159</v>
      </c>
      <c r="M103" s="107">
        <f t="shared" si="58"/>
        <v>46307497.896214291</v>
      </c>
      <c r="N103" s="107">
        <f t="shared" si="58"/>
        <v>74320197.601537585</v>
      </c>
      <c r="O103" s="107">
        <f t="shared" si="58"/>
        <v>104833665.38030839</v>
      </c>
      <c r="P103" s="107">
        <f t="shared" si="58"/>
        <v>132230566.7256528</v>
      </c>
      <c r="Q103" s="107">
        <f t="shared" si="58"/>
        <v>156909763.58082029</v>
      </c>
      <c r="R103" s="107">
        <f t="shared" si="58"/>
        <v>176002736.60463989</v>
      </c>
      <c r="S103" s="107">
        <f t="shared" si="58"/>
        <v>195392392.93219376</v>
      </c>
      <c r="T103" s="107">
        <f t="shared" si="58"/>
        <v>213999845.75151432</v>
      </c>
      <c r="U103" s="107">
        <f t="shared" si="58"/>
        <v>229112524.1522783</v>
      </c>
      <c r="V103" s="107">
        <f t="shared" si="58"/>
        <v>247979650.29694706</v>
      </c>
      <c r="W103" s="107">
        <f t="shared" si="58"/>
        <v>268934726.51026279</v>
      </c>
      <c r="X103" s="107">
        <f t="shared" si="58"/>
        <v>293965033.36290812</v>
      </c>
      <c r="Y103" s="107">
        <f t="shared" si="58"/>
        <v>322633022.37839699</v>
      </c>
      <c r="Z103" s="107">
        <f t="shared" si="58"/>
        <v>354027532.12940639</v>
      </c>
      <c r="AA103" s="107">
        <f t="shared" si="58"/>
        <v>386682960.20843184</v>
      </c>
      <c r="AB103" s="107">
        <f t="shared" si="58"/>
        <v>417330536.06896377</v>
      </c>
      <c r="AC103" s="107">
        <f t="shared" si="58"/>
        <v>446532662.82282919</v>
      </c>
      <c r="AD103" s="107">
        <f t="shared" si="58"/>
        <v>470256693.29155445</v>
      </c>
      <c r="AE103" s="107">
        <f t="shared" si="58"/>
        <v>494973863.82267791</v>
      </c>
      <c r="AF103" s="107">
        <f t="shared" si="58"/>
        <v>519079952.03784281</v>
      </c>
      <c r="AG103" s="107">
        <f t="shared" si="58"/>
        <v>538830355.72993004</v>
      </c>
      <c r="AH103" s="107">
        <f t="shared" si="58"/>
        <v>561456988.48951614</v>
      </c>
      <c r="AI103" s="107">
        <f t="shared" si="58"/>
        <v>585050775.55580664</v>
      </c>
      <c r="AJ103" s="107">
        <f t="shared" si="58"/>
        <v>611675736.93967628</v>
      </c>
      <c r="AK103" s="107">
        <f>AJ103+AK101</f>
        <v>640880619.25617158</v>
      </c>
    </row>
    <row r="104" spans="1:37" hidden="1" outlineLevel="1" x14ac:dyDescent="0.25"/>
    <row r="105" spans="1:37" s="546" customFormat="1" ht="30" customHeight="1" collapsed="1" x14ac:dyDescent="0.25">
      <c r="A105" s="545" t="s">
        <v>163</v>
      </c>
      <c r="AK105" s="870"/>
    </row>
    <row r="106" spans="1:37" s="550" customFormat="1" ht="20.149999999999999" hidden="1" customHeight="1" outlineLevel="1" thickBot="1" x14ac:dyDescent="0.3">
      <c r="A106" s="547" t="s">
        <v>390</v>
      </c>
      <c r="B106" s="548"/>
      <c r="C106" s="548"/>
      <c r="D106" s="548"/>
      <c r="E106" s="548"/>
      <c r="F106" s="548"/>
      <c r="G106" s="548"/>
      <c r="H106" s="548"/>
      <c r="I106" s="548"/>
      <c r="J106" s="548"/>
      <c r="K106" s="548"/>
      <c r="L106" s="548"/>
      <c r="M106" s="548"/>
      <c r="N106" s="548"/>
      <c r="O106" s="548"/>
      <c r="P106" s="548"/>
      <c r="Q106" s="548"/>
      <c r="R106" s="548"/>
      <c r="S106" s="548"/>
      <c r="T106" s="548"/>
      <c r="U106" s="548"/>
      <c r="V106" s="548"/>
      <c r="W106" s="548"/>
      <c r="X106" s="548"/>
      <c r="Y106" s="548"/>
      <c r="Z106" s="548"/>
      <c r="AA106" s="548"/>
      <c r="AB106" s="548"/>
      <c r="AC106" s="548"/>
      <c r="AD106" s="548"/>
      <c r="AE106" s="548"/>
      <c r="AF106" s="548"/>
      <c r="AG106" s="548"/>
      <c r="AH106" s="548"/>
      <c r="AI106" s="548"/>
      <c r="AJ106" s="548"/>
      <c r="AK106" s="878"/>
    </row>
    <row r="107" spans="1:37" s="58" customFormat="1" ht="20.149999999999999" hidden="1" customHeight="1" outlineLevel="1" thickBot="1" x14ac:dyDescent="0.3">
      <c r="A107" s="1096" t="s">
        <v>152</v>
      </c>
      <c r="B107" s="1098" t="s">
        <v>150</v>
      </c>
      <c r="C107" s="884" t="s">
        <v>151</v>
      </c>
      <c r="D107" s="885"/>
      <c r="E107" s="885"/>
      <c r="F107" s="885"/>
      <c r="G107" s="885"/>
      <c r="H107" s="885"/>
      <c r="I107" s="885"/>
      <c r="J107" s="885"/>
      <c r="K107" s="885"/>
      <c r="L107" s="885"/>
      <c r="M107" s="885"/>
      <c r="N107" s="885"/>
      <c r="O107" s="885"/>
      <c r="P107" s="885"/>
      <c r="Q107" s="885"/>
      <c r="R107" s="885"/>
      <c r="S107" s="885"/>
      <c r="T107" s="885"/>
      <c r="U107" s="885"/>
      <c r="V107" s="885"/>
      <c r="W107" s="885"/>
      <c r="X107" s="885"/>
      <c r="Y107" s="885"/>
      <c r="Z107" s="885"/>
      <c r="AA107" s="885"/>
      <c r="AB107" s="885"/>
      <c r="AC107" s="885"/>
      <c r="AD107" s="885"/>
      <c r="AE107" s="885"/>
      <c r="AF107" s="885"/>
      <c r="AG107" s="885"/>
      <c r="AH107" s="885"/>
      <c r="AI107" s="885"/>
      <c r="AJ107" s="885"/>
      <c r="AK107" s="886"/>
    </row>
    <row r="108" spans="1:37" s="58" customFormat="1" ht="20.149999999999999" hidden="1" customHeight="1" outlineLevel="1" thickBot="1" x14ac:dyDescent="0.3">
      <c r="A108" s="1097"/>
      <c r="B108" s="1099"/>
      <c r="C108" s="122">
        <v>1</v>
      </c>
      <c r="D108" s="122">
        <f>C108+1</f>
        <v>2</v>
      </c>
      <c r="E108" s="122">
        <f t="shared" ref="E108:AI108" si="59">D108+1</f>
        <v>3</v>
      </c>
      <c r="F108" s="122">
        <f t="shared" si="59"/>
        <v>4</v>
      </c>
      <c r="G108" s="122">
        <f t="shared" si="59"/>
        <v>5</v>
      </c>
      <c r="H108" s="122">
        <f t="shared" si="59"/>
        <v>6</v>
      </c>
      <c r="I108" s="122">
        <f t="shared" si="59"/>
        <v>7</v>
      </c>
      <c r="J108" s="122">
        <f t="shared" si="59"/>
        <v>8</v>
      </c>
      <c r="K108" s="122">
        <f t="shared" si="59"/>
        <v>9</v>
      </c>
      <c r="L108" s="122">
        <f t="shared" si="59"/>
        <v>10</v>
      </c>
      <c r="M108" s="122">
        <f t="shared" si="59"/>
        <v>11</v>
      </c>
      <c r="N108" s="122">
        <f t="shared" si="59"/>
        <v>12</v>
      </c>
      <c r="O108" s="122">
        <f t="shared" si="59"/>
        <v>13</v>
      </c>
      <c r="P108" s="122">
        <f t="shared" si="59"/>
        <v>14</v>
      </c>
      <c r="Q108" s="122">
        <f t="shared" si="59"/>
        <v>15</v>
      </c>
      <c r="R108" s="122">
        <f t="shared" si="59"/>
        <v>16</v>
      </c>
      <c r="S108" s="122">
        <f t="shared" si="59"/>
        <v>17</v>
      </c>
      <c r="T108" s="122">
        <f t="shared" si="59"/>
        <v>18</v>
      </c>
      <c r="U108" s="122">
        <f t="shared" si="59"/>
        <v>19</v>
      </c>
      <c r="V108" s="122">
        <f t="shared" si="59"/>
        <v>20</v>
      </c>
      <c r="W108" s="122">
        <f t="shared" si="59"/>
        <v>21</v>
      </c>
      <c r="X108" s="122">
        <f t="shared" si="59"/>
        <v>22</v>
      </c>
      <c r="Y108" s="122">
        <f t="shared" si="59"/>
        <v>23</v>
      </c>
      <c r="Z108" s="122">
        <f t="shared" si="59"/>
        <v>24</v>
      </c>
      <c r="AA108" s="122">
        <f t="shared" si="59"/>
        <v>25</v>
      </c>
      <c r="AB108" s="122">
        <f t="shared" si="59"/>
        <v>26</v>
      </c>
      <c r="AC108" s="122">
        <f t="shared" si="59"/>
        <v>27</v>
      </c>
      <c r="AD108" s="122">
        <f t="shared" si="59"/>
        <v>28</v>
      </c>
      <c r="AE108" s="122">
        <f t="shared" si="59"/>
        <v>29</v>
      </c>
      <c r="AF108" s="122">
        <f t="shared" si="59"/>
        <v>30</v>
      </c>
      <c r="AG108" s="122">
        <f t="shared" si="59"/>
        <v>31</v>
      </c>
      <c r="AH108" s="122">
        <f t="shared" si="59"/>
        <v>32</v>
      </c>
      <c r="AI108" s="122">
        <f t="shared" si="59"/>
        <v>33</v>
      </c>
      <c r="AJ108" s="122">
        <f>AI108+1</f>
        <v>34</v>
      </c>
      <c r="AK108" s="122">
        <f>AJ108+1</f>
        <v>35</v>
      </c>
    </row>
    <row r="109" spans="1:37" ht="20.149999999999999" hidden="1" customHeight="1" outlineLevel="1" x14ac:dyDescent="0.25">
      <c r="A109" s="71">
        <v>1</v>
      </c>
      <c r="B109" s="76" t="s">
        <v>134</v>
      </c>
      <c r="AK109" s="838"/>
    </row>
    <row r="110" spans="1:37" ht="20.149999999999999" hidden="1" customHeight="1" outlineLevel="1" x14ac:dyDescent="0.25">
      <c r="A110" s="48" t="s">
        <v>74</v>
      </c>
      <c r="B110" s="78" t="s">
        <v>129</v>
      </c>
      <c r="C110" s="80"/>
      <c r="D110" s="80">
        <f>'Resumo-Cult.Perma.'!C75*'Critérios de Implantação'!$D$33</f>
        <v>0</v>
      </c>
      <c r="E110" s="80">
        <f>'Resumo-Cult.Perma.'!$D75*'Critérios de Implantação'!D$33+'Resumo-Cult.Perma.'!$C75*'Critérios de Implantação'!E$33</f>
        <v>0</v>
      </c>
      <c r="F110" s="80">
        <f>'Resumo-Cult.Perma.'!$D75*'Critérios de Implantação'!E$33+'Resumo-Cult.Perma.'!$C75*'Critérios de Implantação'!F$33</f>
        <v>81416.425633198334</v>
      </c>
      <c r="G110" s="80">
        <f>'Resumo-Cult.Perma.'!$D75*'Critérios de Implantação'!F$33+'Resumo-Cult.Perma.'!$C75*'Critérios de Implantação'!G$33</f>
        <v>81416.425633198334</v>
      </c>
      <c r="H110" s="80">
        <f>'Resumo-Cult.Perma.'!$D75*'Critérios de Implantação'!G$33+'Resumo-Cult.Perma.'!$C75*'Critérios de Implantação'!H$33</f>
        <v>97817.822290595068</v>
      </c>
      <c r="I110" s="80">
        <f>'Resumo-Cult.Perma.'!$D75*'Critérios de Implantação'!H$33+'Resumo-Cult.Perma.'!$C75*'Critérios de Implantação'!I$33</f>
        <v>188924.7621518134</v>
      </c>
      <c r="J110" s="80">
        <f>'Resumo-Cult.Perma.'!$D75*'Critérios de Implantação'!I$33+'Resumo-Cult.Perma.'!$C75*'Critérios de Implantação'!J$33</f>
        <v>177253.75080152799</v>
      </c>
      <c r="K110" s="80">
        <f>'Resumo-Cult.Perma.'!$D75*'Critérios de Implantação'!J$33+'Resumo-Cult.Perma.'!$C75*'Critérios de Implantação'!K$33</f>
        <v>182377.29953835037</v>
      </c>
      <c r="L110" s="80">
        <f>'Resumo-Cult.Perma.'!$D75*'Critérios de Implantação'!K$33+'Resumo-Cult.Perma.'!$C75*'Critérios de Implantação'!L$33</f>
        <v>148558.36507320273</v>
      </c>
      <c r="M110" s="80">
        <f>'Resumo-Cult.Perma.'!$D75*'Critérios de Implantação'!L$33+'Resumo-Cult.Perma.'!$C75*'Critérios de Implantação'!M$33</f>
        <v>105307.64122763478</v>
      </c>
      <c r="N110" s="80">
        <f>'Resumo-Cult.Perma.'!$D75*'Critérios de Implantação'!M$33+'Resumo-Cult.Perma.'!$C75*'Critérios de Implantação'!N$33</f>
        <v>52979.764752472787</v>
      </c>
      <c r="O110" s="80">
        <f>'Resumo-Cult.Perma.'!$D75*'Critérios de Implantação'!N$33+'Resumo-Cult.Perma.'!$C75*'Critérios de Implantação'!O$33</f>
        <v>0</v>
      </c>
      <c r="P110" s="80">
        <f>'Resumo-Cult.Perma.'!$D75*'Critérios de Implantação'!O$33+'Resumo-Cult.Perma.'!$C75*'Critérios de Implantação'!P$33</f>
        <v>0</v>
      </c>
      <c r="Q110" s="80">
        <f>'Resumo-Cult.Perma.'!$D75*'Critérios de Implantação'!P$33+'Resumo-Cult.Perma.'!$C75*'Critérios de Implantação'!Q$33</f>
        <v>0</v>
      </c>
      <c r="R110" s="80">
        <f>'Resumo-Cult.Perma.'!$D75*'Critérios de Implantação'!Q$33+'Resumo-Cult.Perma.'!$C75*'Critérios de Implantação'!R$33</f>
        <v>0</v>
      </c>
      <c r="S110" s="80">
        <f>'Resumo-Cult.Perma.'!$D75*'Critérios de Implantação'!R$33+'Resumo-Cult.Perma.'!$C75*'Critérios de Implantação'!S$33</f>
        <v>0</v>
      </c>
      <c r="T110" s="80">
        <f>'Resumo-Cult.Perma.'!$D75*'Critérios de Implantação'!S$33+'Resumo-Cult.Perma.'!$C75*'Critérios de Implantação'!T$33</f>
        <v>0</v>
      </c>
      <c r="U110" s="80">
        <f>'Resumo-Cult.Perma.'!$D75*'Critérios de Implantação'!T$33+'Resumo-Cult.Perma.'!$C75*'Critérios de Implantação'!U$33</f>
        <v>0</v>
      </c>
      <c r="V110" s="80">
        <f>'Resumo-Cult.Perma.'!$D75*'Critérios de Implantação'!U$33+'Resumo-Cult.Perma.'!$C75*'Critérios de Implantação'!V$33</f>
        <v>0</v>
      </c>
      <c r="W110" s="80">
        <f>'Resumo-Cult.Perma.'!$D75*'Critérios de Implantação'!V$33+'Resumo-Cult.Perma.'!$C75*'Critérios de Implantação'!W$33</f>
        <v>0</v>
      </c>
      <c r="X110" s="80">
        <f>'Resumo-Cult.Perma.'!$D75*'Critérios de Implantação'!W$33+'Resumo-Cult.Perma.'!$C75*'Critérios de Implantação'!X$33</f>
        <v>0</v>
      </c>
      <c r="Y110" s="80">
        <f>'Resumo-Cult.Perma.'!$D75*'Critérios de Implantação'!X$33+'Resumo-Cult.Perma.'!$C75*'Critérios de Implantação'!Y$33</f>
        <v>0</v>
      </c>
      <c r="Z110" s="80">
        <f>'Resumo-Cult.Perma.'!$D75*'Critérios de Implantação'!Y$33+'Resumo-Cult.Perma.'!$C75*'Critérios de Implantação'!Z$33</f>
        <v>0</v>
      </c>
      <c r="AA110" s="80">
        <f>'Resumo-Cult.Perma.'!$D75*'Critérios de Implantação'!Z$33+'Resumo-Cult.Perma.'!$C75*'Critérios de Implantação'!AA$33</f>
        <v>0</v>
      </c>
      <c r="AB110" s="80">
        <f>'Resumo-Cult.Perma.'!$D75*'Critérios de Implantação'!AA$33+'Resumo-Cult.Perma.'!$C75*'Critérios de Implantação'!AB$33</f>
        <v>0</v>
      </c>
      <c r="AC110" s="80">
        <f>'Resumo-Cult.Perma.'!$D75*'Critérios de Implantação'!AB$33+'Resumo-Cult.Perma.'!$C75*'Critérios de Implantação'!AC$33</f>
        <v>0</v>
      </c>
      <c r="AD110" s="80">
        <f>'Resumo-Cult.Perma.'!$D75*'Critérios de Implantação'!AC$33+'Resumo-Cult.Perma.'!$C75*'Critérios de Implantação'!AD$33</f>
        <v>0</v>
      </c>
      <c r="AE110" s="80">
        <f>'Resumo-Cult.Perma.'!$D75*'Critérios de Implantação'!AD$33+'Resumo-Cult.Perma.'!$C75*'Critérios de Implantação'!AE$33</f>
        <v>0</v>
      </c>
      <c r="AF110" s="80">
        <f>'Resumo-Cult.Perma.'!$D75*'Critérios de Implantação'!AE$33+'Resumo-Cult.Perma.'!$C75*'Critérios de Implantação'!AF$33</f>
        <v>0</v>
      </c>
      <c r="AG110" s="80">
        <f>'Resumo-Cult.Perma.'!$D75*'Critérios de Implantação'!AF$33+'Resumo-Cult.Perma.'!$C75*'Critérios de Implantação'!AG$33</f>
        <v>0</v>
      </c>
      <c r="AH110" s="80">
        <f>'Resumo-Cult.Perma.'!$D75*'Critérios de Implantação'!AG$33+'Resumo-Cult.Perma.'!$C75*'Critérios de Implantação'!AH$33</f>
        <v>0</v>
      </c>
      <c r="AI110" s="80">
        <f>'Resumo-Cult.Perma.'!$D75*'Critérios de Implantação'!AH$33+'Resumo-Cult.Perma.'!$C75*'Critérios de Implantação'!AI$33</f>
        <v>0</v>
      </c>
      <c r="AJ110" s="80">
        <f>'Resumo-Cult.Perma.'!$D75*'Critérios de Implantação'!AI$33+'Resumo-Cult.Perma.'!$C75*'Critérios de Implantação'!AJ$33</f>
        <v>0</v>
      </c>
      <c r="AK110" s="81">
        <f>'Resumo-Cult.Perma.'!$D75*'Critérios de Implantação'!AJ$33+'Resumo-Cult.Perma.'!$C75*'Critérios de Implantação'!AK$33</f>
        <v>0</v>
      </c>
    </row>
    <row r="111" spans="1:37" ht="20.149999999999999" hidden="1" customHeight="1" outlineLevel="1" x14ac:dyDescent="0.25">
      <c r="A111" s="48" t="s">
        <v>75</v>
      </c>
      <c r="B111" s="82" t="s">
        <v>335</v>
      </c>
      <c r="C111" s="80"/>
      <c r="D111" s="80">
        <f>'Resumo-Cult.Perma.'!C76*'Critérios de Implantação'!$D$33</f>
        <v>0</v>
      </c>
      <c r="E111" s="80">
        <f>'Resumo-Cult.Perma.'!$D76*'Critérios de Implantação'!D$33+'Resumo-Cult.Perma.'!$C76*'Critérios de Implantação'!E$33</f>
        <v>0</v>
      </c>
      <c r="F111" s="80">
        <f>'Resumo-Cult.Perma.'!$D76*'Critérios de Implantação'!E$33+'Resumo-Cult.Perma.'!$C76*'Critérios de Implantação'!F$33</f>
        <v>1384554.2615317777</v>
      </c>
      <c r="G111" s="80">
        <f>'Resumo-Cult.Perma.'!$D76*'Critérios de Implantação'!F$33+'Resumo-Cult.Perma.'!$C76*'Critérios de Implantação'!G$33</f>
        <v>1384554.2615317777</v>
      </c>
      <c r="H111" s="80">
        <f>'Resumo-Cult.Perma.'!$D76*'Critérios de Implantação'!G$33+'Resumo-Cult.Perma.'!$C76*'Critérios de Implantação'!H$33</f>
        <v>1663473.6989850968</v>
      </c>
      <c r="I111" s="80">
        <f>'Resumo-Cult.Perma.'!$D76*'Critérios de Implantação'!H$33+'Resumo-Cult.Perma.'!$C76*'Critérios de Implantação'!I$33</f>
        <v>3212823.2418927308</v>
      </c>
      <c r="J111" s="80">
        <f>'Resumo-Cult.Perma.'!$D76*'Critérios de Implantação'!I$33+'Resumo-Cult.Perma.'!$C76*'Critérios de Implantação'!J$33</f>
        <v>3014347.954188202</v>
      </c>
      <c r="K111" s="80">
        <f>'Resumo-Cult.Perma.'!$D76*'Critérios de Implantação'!J$33+'Resumo-Cult.Perma.'!$C76*'Critérios de Implantação'!K$33</f>
        <v>3101478.1761619924</v>
      </c>
      <c r="L111" s="80">
        <f>'Resumo-Cult.Perma.'!$D76*'Critérios de Implantação'!K$33+'Resumo-Cult.Perma.'!$C76*'Critérios de Implantação'!L$33</f>
        <v>2526358.9730034219</v>
      </c>
      <c r="M111" s="80">
        <f>'Resumo-Cult.Perma.'!$D76*'Critérios de Implantação'!L$33+'Resumo-Cult.Perma.'!$C76*'Critérios de Implantação'!M$33</f>
        <v>1790844.3204134989</v>
      </c>
      <c r="N111" s="80">
        <f>'Resumo-Cult.Perma.'!$D76*'Critérios de Implantação'!M$33+'Resumo-Cult.Perma.'!$C76*'Critérios de Implantação'!N$33</f>
        <v>900965.11229150195</v>
      </c>
      <c r="O111" s="80">
        <f>'Resumo-Cult.Perma.'!$D76*'Critérios de Implantação'!N$33+'Resumo-Cult.Perma.'!$C76*'Critérios de Implantação'!O$33</f>
        <v>0</v>
      </c>
      <c r="P111" s="80">
        <f>'Resumo-Cult.Perma.'!$D76*'Critérios de Implantação'!O$33+'Resumo-Cult.Perma.'!$C76*'Critérios de Implantação'!P$33</f>
        <v>0</v>
      </c>
      <c r="Q111" s="80">
        <f>'Resumo-Cult.Perma.'!$D76*'Critérios de Implantação'!P$33+'Resumo-Cult.Perma.'!$C76*'Critérios de Implantação'!Q$33</f>
        <v>0</v>
      </c>
      <c r="R111" s="80">
        <f>'Resumo-Cult.Perma.'!$D76*'Critérios de Implantação'!Q$33+'Resumo-Cult.Perma.'!$C76*'Critérios de Implantação'!R$33</f>
        <v>0</v>
      </c>
      <c r="S111" s="80">
        <f>'Resumo-Cult.Perma.'!$D76*'Critérios de Implantação'!R$33+'Resumo-Cult.Perma.'!$C76*'Critérios de Implantação'!S$33</f>
        <v>0</v>
      </c>
      <c r="T111" s="80">
        <f>'Resumo-Cult.Perma.'!$D76*'Critérios de Implantação'!S$33+'Resumo-Cult.Perma.'!$C76*'Critérios de Implantação'!T$33</f>
        <v>0</v>
      </c>
      <c r="U111" s="80">
        <f>'Resumo-Cult.Perma.'!$D76*'Critérios de Implantação'!T$33+'Resumo-Cult.Perma.'!$C76*'Critérios de Implantação'!U$33</f>
        <v>0</v>
      </c>
      <c r="V111" s="80">
        <f>'Resumo-Cult.Perma.'!$D76*'Critérios de Implantação'!U$33+'Resumo-Cult.Perma.'!$C76*'Critérios de Implantação'!V$33</f>
        <v>0</v>
      </c>
      <c r="W111" s="80">
        <f>'Resumo-Cult.Perma.'!$D76*'Critérios de Implantação'!V$33+'Resumo-Cult.Perma.'!$C76*'Critérios de Implantação'!W$33</f>
        <v>0</v>
      </c>
      <c r="X111" s="80">
        <f>'Resumo-Cult.Perma.'!$D76*'Critérios de Implantação'!W$33+'Resumo-Cult.Perma.'!$C76*'Critérios de Implantação'!X$33</f>
        <v>0</v>
      </c>
      <c r="Y111" s="80">
        <f>'Resumo-Cult.Perma.'!$D76*'Critérios de Implantação'!X$33+'Resumo-Cult.Perma.'!$C76*'Critérios de Implantação'!Y$33</f>
        <v>0</v>
      </c>
      <c r="Z111" s="80">
        <f>'Resumo-Cult.Perma.'!$D76*'Critérios de Implantação'!Y$33+'Resumo-Cult.Perma.'!$C76*'Critérios de Implantação'!Z$33</f>
        <v>0</v>
      </c>
      <c r="AA111" s="80">
        <f>'Resumo-Cult.Perma.'!$D76*'Critérios de Implantação'!Z$33+'Resumo-Cult.Perma.'!$C76*'Critérios de Implantação'!AA$33</f>
        <v>0</v>
      </c>
      <c r="AB111" s="80">
        <f>'Resumo-Cult.Perma.'!$D76*'Critérios de Implantação'!AA$33+'Resumo-Cult.Perma.'!$C76*'Critérios de Implantação'!AB$33</f>
        <v>0</v>
      </c>
      <c r="AC111" s="80">
        <f>'Resumo-Cult.Perma.'!$D76*'Critérios de Implantação'!AB$33+'Resumo-Cult.Perma.'!$C76*'Critérios de Implantação'!AC$33</f>
        <v>0</v>
      </c>
      <c r="AD111" s="80">
        <f>'Resumo-Cult.Perma.'!$D76*'Critérios de Implantação'!AC$33+'Resumo-Cult.Perma.'!$C76*'Critérios de Implantação'!AD$33</f>
        <v>0</v>
      </c>
      <c r="AE111" s="80">
        <f>'Resumo-Cult.Perma.'!$D76*'Critérios de Implantação'!AD$33+'Resumo-Cult.Perma.'!$C76*'Critérios de Implantação'!AE$33</f>
        <v>0</v>
      </c>
      <c r="AF111" s="80">
        <f>'Resumo-Cult.Perma.'!$D76*'Critérios de Implantação'!AE$33+'Resumo-Cult.Perma.'!$C76*'Critérios de Implantação'!AF$33</f>
        <v>0</v>
      </c>
      <c r="AG111" s="80">
        <f>'Resumo-Cult.Perma.'!$D76*'Critérios de Implantação'!AF$33+'Resumo-Cult.Perma.'!$C76*'Critérios de Implantação'!AG$33</f>
        <v>0</v>
      </c>
      <c r="AH111" s="80">
        <f>'Resumo-Cult.Perma.'!$D76*'Critérios de Implantação'!AG$33+'Resumo-Cult.Perma.'!$C76*'Critérios de Implantação'!AH$33</f>
        <v>0</v>
      </c>
      <c r="AI111" s="80">
        <f>'Resumo-Cult.Perma.'!$D76*'Critérios de Implantação'!AH$33+'Resumo-Cult.Perma.'!$C76*'Critérios de Implantação'!AI$33</f>
        <v>0</v>
      </c>
      <c r="AJ111" s="80">
        <f>'Resumo-Cult.Perma.'!$D76*'Critérios de Implantação'!AI$33+'Resumo-Cult.Perma.'!$C76*'Critérios de Implantação'!AJ$33</f>
        <v>0</v>
      </c>
      <c r="AK111" s="81">
        <f>'Resumo-Cult.Perma.'!$D76*'Critérios de Implantação'!AJ$33+'Resumo-Cult.Perma.'!$C76*'Critérios de Implantação'!AK$33</f>
        <v>0</v>
      </c>
    </row>
    <row r="112" spans="1:37" ht="20.149999999999999" hidden="1" customHeight="1" outlineLevel="1" x14ac:dyDescent="0.25">
      <c r="A112" s="48" t="s">
        <v>76</v>
      </c>
      <c r="B112" s="82" t="s">
        <v>336</v>
      </c>
      <c r="C112" s="80"/>
      <c r="D112" s="80">
        <f>'Resumo-Cult.Perma.'!C77*'Critérios de Implantação'!$D$33</f>
        <v>0</v>
      </c>
      <c r="E112" s="80">
        <f>'Resumo-Cult.Perma.'!$D77*'Critérios de Implantação'!D$33+'Resumo-Cult.Perma.'!$C77*'Critérios de Implantação'!E$33</f>
        <v>0</v>
      </c>
      <c r="F112" s="80">
        <f>'Resumo-Cult.Perma.'!$D77*'Critérios de Implantação'!E$33+'Resumo-Cult.Perma.'!$C77*'Critérios de Implantação'!F$33</f>
        <v>0</v>
      </c>
      <c r="G112" s="80">
        <f>'Resumo-Cult.Perma.'!$D77*'Critérios de Implantação'!F$33+'Resumo-Cult.Perma.'!$C77*'Critérios de Implantação'!G$33</f>
        <v>0</v>
      </c>
      <c r="H112" s="80">
        <f>'Resumo-Cult.Perma.'!$D77*'Critérios de Implantação'!G$33+'Resumo-Cult.Perma.'!$C77*'Critérios de Implantação'!H$33</f>
        <v>0</v>
      </c>
      <c r="I112" s="80">
        <f>'Resumo-Cult.Perma.'!$D77*'Critérios de Implantação'!H$33+'Resumo-Cult.Perma.'!$C77*'Critérios de Implantação'!I$33</f>
        <v>0</v>
      </c>
      <c r="J112" s="80">
        <f>'Resumo-Cult.Perma.'!$D77*'Critérios de Implantação'!I$33+'Resumo-Cult.Perma.'!$C77*'Critérios de Implantação'!J$33</f>
        <v>0</v>
      </c>
      <c r="K112" s="80">
        <f>'Resumo-Cult.Perma.'!$D77*'Critérios de Implantação'!J$33+'Resumo-Cult.Perma.'!$C77*'Critérios de Implantação'!K$33</f>
        <v>0</v>
      </c>
      <c r="L112" s="80">
        <f>'Resumo-Cult.Perma.'!$D77*'Critérios de Implantação'!K$33+'Resumo-Cult.Perma.'!$C77*'Critérios de Implantação'!L$33</f>
        <v>0</v>
      </c>
      <c r="M112" s="80">
        <f>'Resumo-Cult.Perma.'!$D77*'Critérios de Implantação'!L$33+'Resumo-Cult.Perma.'!$C77*'Critérios de Implantação'!M$33</f>
        <v>0</v>
      </c>
      <c r="N112" s="80">
        <f>'Resumo-Cult.Perma.'!$D77*'Critérios de Implantação'!M$33+'Resumo-Cult.Perma.'!$C77*'Critérios de Implantação'!N$33</f>
        <v>0</v>
      </c>
      <c r="O112" s="80">
        <f>'Resumo-Cult.Perma.'!$D77*'Critérios de Implantação'!N$33+'Resumo-Cult.Perma.'!$C77*'Critérios de Implantação'!O$33</f>
        <v>0</v>
      </c>
      <c r="P112" s="80">
        <f>'Resumo-Cult.Perma.'!$D77*'Critérios de Implantação'!O$33+'Resumo-Cult.Perma.'!$C77*'Critérios de Implantação'!P$33</f>
        <v>0</v>
      </c>
      <c r="Q112" s="80">
        <f>'Resumo-Cult.Perma.'!$D77*'Critérios de Implantação'!P$33+'Resumo-Cult.Perma.'!$C77*'Critérios de Implantação'!Q$33</f>
        <v>0</v>
      </c>
      <c r="R112" s="80">
        <f>'Resumo-Cult.Perma.'!$D77*'Critérios de Implantação'!Q$33+'Resumo-Cult.Perma.'!$C77*'Critérios de Implantação'!R$33</f>
        <v>0</v>
      </c>
      <c r="S112" s="80">
        <f>'Resumo-Cult.Perma.'!$D77*'Critérios de Implantação'!R$33+'Resumo-Cult.Perma.'!$C77*'Critérios de Implantação'!S$33</f>
        <v>0</v>
      </c>
      <c r="T112" s="80">
        <f>'Resumo-Cult.Perma.'!$D77*'Critérios de Implantação'!S$33+'Resumo-Cult.Perma.'!$C77*'Critérios de Implantação'!T$33</f>
        <v>0</v>
      </c>
      <c r="U112" s="80">
        <f>'Resumo-Cult.Perma.'!$D77*'Critérios de Implantação'!T$33+'Resumo-Cult.Perma.'!$C77*'Critérios de Implantação'!U$33</f>
        <v>0</v>
      </c>
      <c r="V112" s="80">
        <f>'Resumo-Cult.Perma.'!$D77*'Critérios de Implantação'!U$33+'Resumo-Cult.Perma.'!$C77*'Critérios de Implantação'!V$33</f>
        <v>0</v>
      </c>
      <c r="W112" s="80">
        <f>'Resumo-Cult.Perma.'!$D77*'Critérios de Implantação'!V$33+'Resumo-Cult.Perma.'!$C77*'Critérios de Implantação'!W$33</f>
        <v>0</v>
      </c>
      <c r="X112" s="80">
        <f>'Resumo-Cult.Perma.'!$D77*'Critérios de Implantação'!W$33+'Resumo-Cult.Perma.'!$C77*'Critérios de Implantação'!X$33</f>
        <v>0</v>
      </c>
      <c r="Y112" s="80">
        <f>'Resumo-Cult.Perma.'!$D77*'Critérios de Implantação'!X$33+'Resumo-Cult.Perma.'!$C77*'Critérios de Implantação'!Y$33</f>
        <v>0</v>
      </c>
      <c r="Z112" s="80">
        <f>'Resumo-Cult.Perma.'!$D77*'Critérios de Implantação'!Y$33+'Resumo-Cult.Perma.'!$C77*'Critérios de Implantação'!Z$33</f>
        <v>0</v>
      </c>
      <c r="AA112" s="80">
        <f>'Resumo-Cult.Perma.'!$D77*'Critérios de Implantação'!Z$33+'Resumo-Cult.Perma.'!$C77*'Critérios de Implantação'!AA$33</f>
        <v>0</v>
      </c>
      <c r="AB112" s="80">
        <f>'Resumo-Cult.Perma.'!$D77*'Critérios de Implantação'!AA$33+'Resumo-Cult.Perma.'!$C77*'Critérios de Implantação'!AB$33</f>
        <v>0</v>
      </c>
      <c r="AC112" s="80">
        <f>'Resumo-Cult.Perma.'!$D77*'Critérios de Implantação'!AB$33+'Resumo-Cult.Perma.'!$C77*'Critérios de Implantação'!AC$33</f>
        <v>0</v>
      </c>
      <c r="AD112" s="80">
        <f>'Resumo-Cult.Perma.'!$D77*'Critérios de Implantação'!AC$33+'Resumo-Cult.Perma.'!$C77*'Critérios de Implantação'!AD$33</f>
        <v>0</v>
      </c>
      <c r="AE112" s="80">
        <f>'Resumo-Cult.Perma.'!$D77*'Critérios de Implantação'!AD$33+'Resumo-Cult.Perma.'!$C77*'Critérios de Implantação'!AE$33</f>
        <v>0</v>
      </c>
      <c r="AF112" s="80">
        <f>'Resumo-Cult.Perma.'!$D77*'Critérios de Implantação'!AE$33+'Resumo-Cult.Perma.'!$C77*'Critérios de Implantação'!AF$33</f>
        <v>0</v>
      </c>
      <c r="AG112" s="80">
        <f>'Resumo-Cult.Perma.'!$D77*'Critérios de Implantação'!AF$33+'Resumo-Cult.Perma.'!$C77*'Critérios de Implantação'!AG$33</f>
        <v>0</v>
      </c>
      <c r="AH112" s="80">
        <f>'Resumo-Cult.Perma.'!$D77*'Critérios de Implantação'!AG$33+'Resumo-Cult.Perma.'!$C77*'Critérios de Implantação'!AH$33</f>
        <v>0</v>
      </c>
      <c r="AI112" s="80">
        <f>'Resumo-Cult.Perma.'!$D77*'Critérios de Implantação'!AH$33+'Resumo-Cult.Perma.'!$C77*'Critérios de Implantação'!AI$33</f>
        <v>0</v>
      </c>
      <c r="AJ112" s="80">
        <f>'Resumo-Cult.Perma.'!$D77*'Critérios de Implantação'!AI$33+'Resumo-Cult.Perma.'!$C77*'Critérios de Implantação'!AJ$33</f>
        <v>0</v>
      </c>
      <c r="AK112" s="81">
        <f>'Resumo-Cult.Perma.'!$D77*'Critérios de Implantação'!AJ$33+'Resumo-Cult.Perma.'!$C77*'Critérios de Implantação'!AK$33</f>
        <v>0</v>
      </c>
    </row>
    <row r="113" spans="1:37" ht="20.149999999999999" hidden="1" customHeight="1" outlineLevel="1" x14ac:dyDescent="0.25">
      <c r="A113" s="48" t="s">
        <v>126</v>
      </c>
      <c r="B113" s="82" t="s">
        <v>130</v>
      </c>
      <c r="C113" s="80"/>
      <c r="D113" s="80">
        <f>'Resumo-Cult.Perma.'!C78*'Critérios de Implantação'!$D$33</f>
        <v>0</v>
      </c>
      <c r="E113" s="80">
        <f>'Resumo-Cult.Perma.'!$D78*'Critérios de Implantação'!D$33+'Resumo-Cult.Perma.'!$C78*'Critérios de Implantação'!E$33</f>
        <v>0</v>
      </c>
      <c r="F113" s="80">
        <f>'Resumo-Cult.Perma.'!$D78*'Critérios de Implantação'!E$33+'Resumo-Cult.Perma.'!$C78*'Critérios de Implantação'!F$33</f>
        <v>803255.44825612241</v>
      </c>
      <c r="G113" s="80">
        <f>'Resumo-Cult.Perma.'!$D78*'Critérios de Implantação'!F$33+'Resumo-Cult.Perma.'!$C78*'Critérios de Implantação'!G$33</f>
        <v>803255.44825612241</v>
      </c>
      <c r="H113" s="80">
        <f>'Resumo-Cult.Perma.'!$D78*'Critérios de Implantação'!G$33+'Resumo-Cult.Perma.'!$C78*'Critérios de Implantação'!H$33</f>
        <v>965071.82771029032</v>
      </c>
      <c r="I113" s="80">
        <f>'Resumo-Cult.Perma.'!$D78*'Critérios de Implantação'!H$33+'Resumo-Cult.Perma.'!$C78*'Critérios de Implantação'!I$33</f>
        <v>1863934.0075260766</v>
      </c>
      <c r="J113" s="80">
        <f>'Resumo-Cult.Perma.'!$D78*'Critérios de Implantação'!I$33+'Resumo-Cult.Perma.'!$C78*'Critérios de Implantação'!J$33</f>
        <v>1748787.6672038955</v>
      </c>
      <c r="K113" s="80">
        <f>'Resumo-Cult.Perma.'!$D78*'Critérios de Implantação'!J$33+'Resumo-Cult.Perma.'!$C78*'Critérios de Implantação'!K$33</f>
        <v>1799336.6615284537</v>
      </c>
      <c r="L113" s="80">
        <f>'Resumo-Cult.Perma.'!$D78*'Critérios de Implantação'!K$33+'Resumo-Cult.Perma.'!$C78*'Critérios de Implantação'!L$33</f>
        <v>1465678.6416378126</v>
      </c>
      <c r="M113" s="80">
        <f>'Resumo-Cult.Perma.'!$D78*'Critérios de Implantação'!L$33+'Resumo-Cult.Perma.'!$C78*'Critérios de Implantação'!M$33</f>
        <v>1038966.4726893479</v>
      </c>
      <c r="N113" s="80">
        <f>'Resumo-Cult.Perma.'!$D78*'Critérios de Implantação'!M$33+'Resumo-Cult.Perma.'!$C78*'Critérios de Implantação'!N$33</f>
        <v>522699.00519187987</v>
      </c>
      <c r="O113" s="80">
        <f>'Resumo-Cult.Perma.'!$D78*'Critérios de Implantação'!N$33+'Resumo-Cult.Perma.'!$C78*'Critérios de Implantação'!O$33</f>
        <v>0</v>
      </c>
      <c r="P113" s="80">
        <f>'Resumo-Cult.Perma.'!$D78*'Critérios de Implantação'!O$33+'Resumo-Cult.Perma.'!$C78*'Critérios de Implantação'!P$33</f>
        <v>0</v>
      </c>
      <c r="Q113" s="80">
        <f>'Resumo-Cult.Perma.'!$D78*'Critérios de Implantação'!P$33+'Resumo-Cult.Perma.'!$C78*'Critérios de Implantação'!Q$33</f>
        <v>0</v>
      </c>
      <c r="R113" s="80">
        <f>'Resumo-Cult.Perma.'!$D78*'Critérios de Implantação'!Q$33+'Resumo-Cult.Perma.'!$C78*'Critérios de Implantação'!R$33</f>
        <v>0</v>
      </c>
      <c r="S113" s="80">
        <f>'Resumo-Cult.Perma.'!$D78*'Critérios de Implantação'!R$33+'Resumo-Cult.Perma.'!$C78*'Critérios de Implantação'!S$33</f>
        <v>0</v>
      </c>
      <c r="T113" s="80">
        <f>'Resumo-Cult.Perma.'!$D78*'Critérios de Implantação'!S$33+'Resumo-Cult.Perma.'!$C78*'Critérios de Implantação'!T$33</f>
        <v>0</v>
      </c>
      <c r="U113" s="80">
        <f>'Resumo-Cult.Perma.'!$D78*'Critérios de Implantação'!T$33+'Resumo-Cult.Perma.'!$C78*'Critérios de Implantação'!U$33</f>
        <v>0</v>
      </c>
      <c r="V113" s="80">
        <f>'Resumo-Cult.Perma.'!$D78*'Critérios de Implantação'!U$33+'Resumo-Cult.Perma.'!$C78*'Critérios de Implantação'!V$33</f>
        <v>0</v>
      </c>
      <c r="W113" s="80">
        <f>'Resumo-Cult.Perma.'!$D78*'Critérios de Implantação'!V$33+'Resumo-Cult.Perma.'!$C78*'Critérios de Implantação'!W$33</f>
        <v>0</v>
      </c>
      <c r="X113" s="80">
        <f>'Resumo-Cult.Perma.'!$D78*'Critérios de Implantação'!W$33+'Resumo-Cult.Perma.'!$C78*'Critérios de Implantação'!X$33</f>
        <v>0</v>
      </c>
      <c r="Y113" s="80">
        <f>'Resumo-Cult.Perma.'!$D78*'Critérios de Implantação'!X$33+'Resumo-Cult.Perma.'!$C78*'Critérios de Implantação'!Y$33</f>
        <v>0</v>
      </c>
      <c r="Z113" s="80">
        <f>'Resumo-Cult.Perma.'!$D78*'Critérios de Implantação'!Y$33+'Resumo-Cult.Perma.'!$C78*'Critérios de Implantação'!Z$33</f>
        <v>0</v>
      </c>
      <c r="AA113" s="80">
        <f>'Resumo-Cult.Perma.'!$D78*'Critérios de Implantação'!Z$33+'Resumo-Cult.Perma.'!$C78*'Critérios de Implantação'!AA$33</f>
        <v>0</v>
      </c>
      <c r="AB113" s="80">
        <f>'Resumo-Cult.Perma.'!$D78*'Critérios de Implantação'!AA$33+'Resumo-Cult.Perma.'!$C78*'Critérios de Implantação'!AB$33</f>
        <v>0</v>
      </c>
      <c r="AC113" s="80">
        <f>'Resumo-Cult.Perma.'!$D78*'Critérios de Implantação'!AB$33+'Resumo-Cult.Perma.'!$C78*'Critérios de Implantação'!AC$33</f>
        <v>0</v>
      </c>
      <c r="AD113" s="80">
        <f>'Resumo-Cult.Perma.'!$D78*'Critérios de Implantação'!AC$33+'Resumo-Cult.Perma.'!$C78*'Critérios de Implantação'!AD$33</f>
        <v>0</v>
      </c>
      <c r="AE113" s="80">
        <f>'Resumo-Cult.Perma.'!$D78*'Critérios de Implantação'!AD$33+'Resumo-Cult.Perma.'!$C78*'Critérios de Implantação'!AE$33</f>
        <v>0</v>
      </c>
      <c r="AF113" s="80">
        <f>'Resumo-Cult.Perma.'!$D78*'Critérios de Implantação'!AE$33+'Resumo-Cult.Perma.'!$C78*'Critérios de Implantação'!AF$33</f>
        <v>0</v>
      </c>
      <c r="AG113" s="80">
        <f>'Resumo-Cult.Perma.'!$D78*'Critérios de Implantação'!AF$33+'Resumo-Cult.Perma.'!$C78*'Critérios de Implantação'!AG$33</f>
        <v>0</v>
      </c>
      <c r="AH113" s="80">
        <f>'Resumo-Cult.Perma.'!$D78*'Critérios de Implantação'!AG$33+'Resumo-Cult.Perma.'!$C78*'Critérios de Implantação'!AH$33</f>
        <v>0</v>
      </c>
      <c r="AI113" s="80">
        <f>'Resumo-Cult.Perma.'!$D78*'Critérios de Implantação'!AH$33+'Resumo-Cult.Perma.'!$C78*'Critérios de Implantação'!AI$33</f>
        <v>0</v>
      </c>
      <c r="AJ113" s="80">
        <f>'Resumo-Cult.Perma.'!$D78*'Critérios de Implantação'!AI$33+'Resumo-Cult.Perma.'!$C78*'Critérios de Implantação'!AJ$33</f>
        <v>0</v>
      </c>
      <c r="AK113" s="81">
        <f>'Resumo-Cult.Perma.'!$D78*'Critérios de Implantação'!AJ$33+'Resumo-Cult.Perma.'!$C78*'Critérios de Implantação'!AK$33</f>
        <v>0</v>
      </c>
    </row>
    <row r="114" spans="1:37" ht="20.149999999999999" hidden="1" customHeight="1" outlineLevel="1" x14ac:dyDescent="0.25">
      <c r="A114" s="48"/>
      <c r="B114" s="83" t="s">
        <v>228</v>
      </c>
      <c r="C114" s="80"/>
      <c r="D114" s="80">
        <f>'Resumo-Cult.Perma.'!C79*'Critérios de Implantação'!$D$33</f>
        <v>0</v>
      </c>
      <c r="E114" s="80">
        <f>'Resumo-Cult.Perma.'!$D79*'Critérios de Implantação'!D$33+'Resumo-Cult.Perma.'!$C79*'Critérios de Implantação'!E$33</f>
        <v>0</v>
      </c>
      <c r="F114" s="80">
        <f>'Resumo-Cult.Perma.'!$D79*'Critérios de Implantação'!E$33+'Resumo-Cult.Perma.'!$C79*'Critérios de Implantação'!F$33</f>
        <v>0</v>
      </c>
      <c r="G114" s="80">
        <f>'Resumo-Cult.Perma.'!$D79*'Critérios de Implantação'!F$33+'Resumo-Cult.Perma.'!$C79*'Critérios de Implantação'!G$33</f>
        <v>0</v>
      </c>
      <c r="H114" s="80">
        <f>'Resumo-Cult.Perma.'!$D79*'Critérios de Implantação'!G$33+'Resumo-Cult.Perma.'!$C79*'Critérios de Implantação'!H$33</f>
        <v>0</v>
      </c>
      <c r="I114" s="80">
        <f>'Resumo-Cult.Perma.'!$D79*'Critérios de Implantação'!H$33+'Resumo-Cult.Perma.'!$C79*'Critérios de Implantação'!I$33</f>
        <v>0</v>
      </c>
      <c r="J114" s="80">
        <f>'Resumo-Cult.Perma.'!$D79*'Critérios de Implantação'!I$33+'Resumo-Cult.Perma.'!$C79*'Critérios de Implantação'!J$33</f>
        <v>0</v>
      </c>
      <c r="K114" s="80">
        <f>'Resumo-Cult.Perma.'!$D79*'Critérios de Implantação'!J$33+'Resumo-Cult.Perma.'!$C79*'Critérios de Implantação'!K$33</f>
        <v>0</v>
      </c>
      <c r="L114" s="80">
        <f>'Resumo-Cult.Perma.'!$D79*'Critérios de Implantação'!K$33+'Resumo-Cult.Perma.'!$C79*'Critérios de Implantação'!L$33</f>
        <v>0</v>
      </c>
      <c r="M114" s="80">
        <f>'Resumo-Cult.Perma.'!$D79*'Critérios de Implantação'!L$33+'Resumo-Cult.Perma.'!$C79*'Critérios de Implantação'!M$33</f>
        <v>0</v>
      </c>
      <c r="N114" s="80">
        <f>'Resumo-Cult.Perma.'!$D79*'Critérios de Implantação'!M$33+'Resumo-Cult.Perma.'!$C79*'Critérios de Implantação'!N$33</f>
        <v>0</v>
      </c>
      <c r="O114" s="80">
        <f>'Resumo-Cult.Perma.'!$D79*'Critérios de Implantação'!N$33+'Resumo-Cult.Perma.'!$C79*'Critérios de Implantação'!O$33</f>
        <v>0</v>
      </c>
      <c r="P114" s="80">
        <f>'Resumo-Cult.Perma.'!$D79*'Critérios de Implantação'!O$33+'Resumo-Cult.Perma.'!$C79*'Critérios de Implantação'!P$33</f>
        <v>0</v>
      </c>
      <c r="Q114" s="80">
        <f>'Resumo-Cult.Perma.'!$D79*'Critérios de Implantação'!P$33+'Resumo-Cult.Perma.'!$C79*'Critérios de Implantação'!Q$33</f>
        <v>0</v>
      </c>
      <c r="R114" s="80">
        <f>'Resumo-Cult.Perma.'!$D79*'Critérios de Implantação'!Q$33+'Resumo-Cult.Perma.'!$C79*'Critérios de Implantação'!R$33</f>
        <v>0</v>
      </c>
      <c r="S114" s="80">
        <f>'Resumo-Cult.Perma.'!$D79*'Critérios de Implantação'!R$33+'Resumo-Cult.Perma.'!$C79*'Critérios de Implantação'!S$33</f>
        <v>0</v>
      </c>
      <c r="T114" s="80">
        <f>'Resumo-Cult.Perma.'!$D79*'Critérios de Implantação'!S$33+'Resumo-Cult.Perma.'!$C79*'Critérios de Implantação'!T$33</f>
        <v>0</v>
      </c>
      <c r="U114" s="80">
        <f>'Resumo-Cult.Perma.'!$D79*'Critérios de Implantação'!T$33+'Resumo-Cult.Perma.'!$C79*'Critérios de Implantação'!U$33</f>
        <v>0</v>
      </c>
      <c r="V114" s="80">
        <f>'Resumo-Cult.Perma.'!$D79*'Critérios de Implantação'!U$33+'Resumo-Cult.Perma.'!$C79*'Critérios de Implantação'!V$33</f>
        <v>0</v>
      </c>
      <c r="W114" s="80">
        <f>'Resumo-Cult.Perma.'!$D79*'Critérios de Implantação'!V$33+'Resumo-Cult.Perma.'!$C79*'Critérios de Implantação'!W$33</f>
        <v>0</v>
      </c>
      <c r="X114" s="80">
        <f>'Resumo-Cult.Perma.'!$D79*'Critérios de Implantação'!W$33+'Resumo-Cult.Perma.'!$C79*'Critérios de Implantação'!X$33</f>
        <v>0</v>
      </c>
      <c r="Y114" s="80">
        <f>'Resumo-Cult.Perma.'!$D79*'Critérios de Implantação'!X$33+'Resumo-Cult.Perma.'!$C79*'Critérios de Implantação'!Y$33</f>
        <v>0</v>
      </c>
      <c r="Z114" s="80">
        <f>'Resumo-Cult.Perma.'!$D79*'Critérios de Implantação'!Y$33+'Resumo-Cult.Perma.'!$C79*'Critérios de Implantação'!Z$33</f>
        <v>0</v>
      </c>
      <c r="AA114" s="80">
        <f>'Resumo-Cult.Perma.'!$D79*'Critérios de Implantação'!Z$33+'Resumo-Cult.Perma.'!$C79*'Critérios de Implantação'!AA$33</f>
        <v>0</v>
      </c>
      <c r="AB114" s="80">
        <f>'Resumo-Cult.Perma.'!$D79*'Critérios de Implantação'!AA$33+'Resumo-Cult.Perma.'!$C79*'Critérios de Implantação'!AB$33</f>
        <v>0</v>
      </c>
      <c r="AC114" s="80">
        <f>'Resumo-Cult.Perma.'!$D79*'Critérios de Implantação'!AB$33+'Resumo-Cult.Perma.'!$C79*'Critérios de Implantação'!AC$33</f>
        <v>0</v>
      </c>
      <c r="AD114" s="80">
        <f>'Resumo-Cult.Perma.'!$D79*'Critérios de Implantação'!AC$33+'Resumo-Cult.Perma.'!$C79*'Critérios de Implantação'!AD$33</f>
        <v>0</v>
      </c>
      <c r="AE114" s="80">
        <f>'Resumo-Cult.Perma.'!$D79*'Critérios de Implantação'!AD$33+'Resumo-Cult.Perma.'!$C79*'Critérios de Implantação'!AE$33</f>
        <v>0</v>
      </c>
      <c r="AF114" s="80">
        <f>'Resumo-Cult.Perma.'!$D79*'Critérios de Implantação'!AE$33+'Resumo-Cult.Perma.'!$C79*'Critérios de Implantação'!AF$33</f>
        <v>0</v>
      </c>
      <c r="AG114" s="80">
        <f>'Resumo-Cult.Perma.'!$D79*'Critérios de Implantação'!AF$33+'Resumo-Cult.Perma.'!$C79*'Critérios de Implantação'!AG$33</f>
        <v>0</v>
      </c>
      <c r="AH114" s="80">
        <f>'Resumo-Cult.Perma.'!$D79*'Critérios de Implantação'!AG$33+'Resumo-Cult.Perma.'!$C79*'Critérios de Implantação'!AH$33</f>
        <v>0</v>
      </c>
      <c r="AI114" s="80">
        <f>'Resumo-Cult.Perma.'!$D79*'Critérios de Implantação'!AH$33+'Resumo-Cult.Perma.'!$C79*'Critérios de Implantação'!AI$33</f>
        <v>0</v>
      </c>
      <c r="AJ114" s="80">
        <f>'Resumo-Cult.Perma.'!$D79*'Critérios de Implantação'!AI$33+'Resumo-Cult.Perma.'!$C79*'Critérios de Implantação'!AJ$33</f>
        <v>0</v>
      </c>
      <c r="AK114" s="81">
        <f>'Resumo-Cult.Perma.'!$D79*'Critérios de Implantação'!AJ$33+'Resumo-Cult.Perma.'!$C79*'Critérios de Implantação'!AK$33</f>
        <v>0</v>
      </c>
    </row>
    <row r="115" spans="1:37" ht="20.149999999999999" hidden="1" customHeight="1" outlineLevel="1" x14ac:dyDescent="0.25">
      <c r="A115" s="85" t="s">
        <v>135</v>
      </c>
      <c r="B115" s="82" t="s">
        <v>142</v>
      </c>
      <c r="C115" s="80"/>
      <c r="D115" s="80">
        <f>'Resumo-Cult.Perma.'!C80*'Critérios de Implantação'!$D$33</f>
        <v>0</v>
      </c>
      <c r="E115" s="80">
        <f>'Resumo-Cult.Perma.'!$D80*'Critérios de Implantação'!D$33+'Resumo-Cult.Perma.'!$C80*'Critérios de Implantação'!E$33</f>
        <v>0</v>
      </c>
      <c r="F115" s="80">
        <f>'Resumo-Cult.Perma.'!$D80*'Critérios de Implantação'!E$33+'Resumo-Cult.Perma.'!$C80*'Critérios de Implantação'!F$33</f>
        <v>1404026.1291916836</v>
      </c>
      <c r="G115" s="80">
        <f>'Resumo-Cult.Perma.'!$D80*'Critérios de Implantação'!F$33+'Resumo-Cult.Perma.'!$C80*'Critérios de Implantação'!G$33</f>
        <v>1873840.1298545233</v>
      </c>
      <c r="H115" s="80">
        <f>'Resumo-Cult.Perma.'!$D80*'Critérios de Implantação'!G$33+'Resumo-Cult.Perma.'!$C80*'Critérios de Implantação'!H$33</f>
        <v>2156682.188850936</v>
      </c>
      <c r="I115" s="80">
        <f>'Resumo-Cult.Perma.'!$D80*'Critérios de Implantação'!H$33+'Resumo-Cult.Perma.'!$C80*'Critérios de Implantação'!I$33</f>
        <v>3822465.5838003494</v>
      </c>
      <c r="J115" s="80">
        <f>'Resumo-Cult.Perma.'!$D80*'Critérios de Implantação'!I$33+'Resumo-Cult.Perma.'!$C80*'Critérios de Implantação'!J$33</f>
        <v>4146932.1863194676</v>
      </c>
      <c r="K115" s="80">
        <f>'Resumo-Cult.Perma.'!$D80*'Critérios de Implantação'!J$33+'Resumo-Cult.Perma.'!$C80*'Critérios de Implantação'!K$33</f>
        <v>4167940.1310078329</v>
      </c>
      <c r="L115" s="80">
        <f>'Resumo-Cult.Perma.'!$D80*'Critérios de Implantação'!K$33+'Resumo-Cult.Perma.'!$C80*'Critérios de Implantação'!L$33</f>
        <v>3614298.131002482</v>
      </c>
      <c r="M115" s="80">
        <f>'Resumo-Cult.Perma.'!$D80*'Critérios de Implantação'!L$33+'Resumo-Cult.Perma.'!$C80*'Critérios de Implantação'!M$33</f>
        <v>2673287.0919030616</v>
      </c>
      <c r="N115" s="80">
        <f>'Resumo-Cult.Perma.'!$D80*'Critérios de Implantação'!M$33+'Resumo-Cult.Perma.'!$C80*'Critérios de Implantação'!N$33</f>
        <v>1521314.3698354322</v>
      </c>
      <c r="O115" s="80">
        <f>'Resumo-Cult.Perma.'!$D80*'Critérios de Implantação'!N$33+'Resumo-Cult.Perma.'!$C80*'Critérios de Implantação'!O$33</f>
        <v>305720.0686342332</v>
      </c>
      <c r="P115" s="80">
        <f>'Resumo-Cult.Perma.'!$D80*'Critérios de Implantação'!O$33+'Resumo-Cult.Perma.'!$C80*'Critérios de Implantação'!P$33</f>
        <v>0</v>
      </c>
      <c r="Q115" s="80">
        <f>'Resumo-Cult.Perma.'!$D80*'Critérios de Implantação'!P$33+'Resumo-Cult.Perma.'!$C80*'Critérios de Implantação'!Q$33</f>
        <v>0</v>
      </c>
      <c r="R115" s="80">
        <f>'Resumo-Cult.Perma.'!$D80*'Critérios de Implantação'!Q$33+'Resumo-Cult.Perma.'!$C80*'Critérios de Implantação'!R$33</f>
        <v>0</v>
      </c>
      <c r="S115" s="80">
        <f>'Resumo-Cult.Perma.'!$D80*'Critérios de Implantação'!R$33+'Resumo-Cult.Perma.'!$C80*'Critérios de Implantação'!S$33</f>
        <v>0</v>
      </c>
      <c r="T115" s="80">
        <f>'Resumo-Cult.Perma.'!$D80*'Critérios de Implantação'!S$33+'Resumo-Cult.Perma.'!$C80*'Critérios de Implantação'!T$33</f>
        <v>0</v>
      </c>
      <c r="U115" s="80">
        <f>'Resumo-Cult.Perma.'!$D80*'Critérios de Implantação'!T$33+'Resumo-Cult.Perma.'!$C80*'Critérios de Implantação'!U$33</f>
        <v>0</v>
      </c>
      <c r="V115" s="80">
        <f>'Resumo-Cult.Perma.'!$D80*'Critérios de Implantação'!U$33+'Resumo-Cult.Perma.'!$C80*'Critérios de Implantação'!V$33</f>
        <v>0</v>
      </c>
      <c r="W115" s="80">
        <f>'Resumo-Cult.Perma.'!$D80*'Critérios de Implantação'!V$33+'Resumo-Cult.Perma.'!$C80*'Critérios de Implantação'!W$33</f>
        <v>0</v>
      </c>
      <c r="X115" s="80">
        <f>'Resumo-Cult.Perma.'!$D80*'Critérios de Implantação'!W$33+'Resumo-Cult.Perma.'!$C80*'Critérios de Implantação'!X$33</f>
        <v>0</v>
      </c>
      <c r="Y115" s="80">
        <f>'Resumo-Cult.Perma.'!$D80*'Critérios de Implantação'!X$33+'Resumo-Cult.Perma.'!$C80*'Critérios de Implantação'!Y$33</f>
        <v>0</v>
      </c>
      <c r="Z115" s="80">
        <f>'Resumo-Cult.Perma.'!$D80*'Critérios de Implantação'!Y$33+'Resumo-Cult.Perma.'!$C80*'Critérios de Implantação'!Z$33</f>
        <v>0</v>
      </c>
      <c r="AA115" s="80">
        <f>'Resumo-Cult.Perma.'!$D80*'Critérios de Implantação'!Z$33+'Resumo-Cult.Perma.'!$C80*'Critérios de Implantação'!AA$33</f>
        <v>0</v>
      </c>
      <c r="AB115" s="80">
        <f>'Resumo-Cult.Perma.'!$D80*'Critérios de Implantação'!AA$33+'Resumo-Cult.Perma.'!$C80*'Critérios de Implantação'!AB$33</f>
        <v>0</v>
      </c>
      <c r="AC115" s="80">
        <f>'Resumo-Cult.Perma.'!$D80*'Critérios de Implantação'!AB$33+'Resumo-Cult.Perma.'!$C80*'Critérios de Implantação'!AC$33</f>
        <v>0</v>
      </c>
      <c r="AD115" s="80">
        <f>'Resumo-Cult.Perma.'!$D80*'Critérios de Implantação'!AC$33+'Resumo-Cult.Perma.'!$C80*'Critérios de Implantação'!AD$33</f>
        <v>0</v>
      </c>
      <c r="AE115" s="80">
        <f>'Resumo-Cult.Perma.'!$D80*'Critérios de Implantação'!AD$33+'Resumo-Cult.Perma.'!$C80*'Critérios de Implantação'!AE$33</f>
        <v>0</v>
      </c>
      <c r="AF115" s="80">
        <f>'Resumo-Cult.Perma.'!$D80*'Critérios de Implantação'!AE$33+'Resumo-Cult.Perma.'!$C80*'Critérios de Implantação'!AF$33</f>
        <v>0</v>
      </c>
      <c r="AG115" s="80">
        <f>'Resumo-Cult.Perma.'!$D80*'Critérios de Implantação'!AF$33+'Resumo-Cult.Perma.'!$C80*'Critérios de Implantação'!AG$33</f>
        <v>0</v>
      </c>
      <c r="AH115" s="80">
        <f>'Resumo-Cult.Perma.'!$D80*'Critérios de Implantação'!AG$33+'Resumo-Cult.Perma.'!$C80*'Critérios de Implantação'!AH$33</f>
        <v>0</v>
      </c>
      <c r="AI115" s="80">
        <f>'Resumo-Cult.Perma.'!$D80*'Critérios de Implantação'!AH$33+'Resumo-Cult.Perma.'!$C80*'Critérios de Implantação'!AI$33</f>
        <v>0</v>
      </c>
      <c r="AJ115" s="80">
        <f>'Resumo-Cult.Perma.'!$D80*'Critérios de Implantação'!AI$33+'Resumo-Cult.Perma.'!$C80*'Critérios de Implantação'!AJ$33</f>
        <v>0</v>
      </c>
      <c r="AK115" s="81">
        <f>'Resumo-Cult.Perma.'!$D80*'Critérios de Implantação'!AJ$33+'Resumo-Cult.Perma.'!$C80*'Critérios de Implantação'!AK$33</f>
        <v>0</v>
      </c>
    </row>
    <row r="116" spans="1:37" ht="20.149999999999999" hidden="1" customHeight="1" outlineLevel="1" x14ac:dyDescent="0.25">
      <c r="A116" s="85" t="s">
        <v>157</v>
      </c>
      <c r="B116" s="34" t="s">
        <v>146</v>
      </c>
      <c r="C116" s="80"/>
      <c r="D116" s="80">
        <f>'Resumo-Cult.Perma.'!C81*'Critérios de Implantação'!$D$33</f>
        <v>0</v>
      </c>
      <c r="E116" s="80">
        <f>'Resumo-Cult.Perma.'!$D81*'Critérios de Implantação'!D$33+'Resumo-Cult.Perma.'!$C81*'Critérios de Implantação'!E$33</f>
        <v>0</v>
      </c>
      <c r="F116" s="80">
        <f>'Resumo-Cult.Perma.'!$D81*'Critérios de Implantação'!E$33+'Resumo-Cult.Perma.'!$C81*'Critérios de Implantação'!F$33</f>
        <v>278169.53799865715</v>
      </c>
      <c r="G116" s="80">
        <f>'Resumo-Cult.Perma.'!$D81*'Critérios de Implantação'!F$33+'Resumo-Cult.Perma.'!$C81*'Critérios de Implantação'!G$33</f>
        <v>393716.88455194549</v>
      </c>
      <c r="H116" s="80">
        <f>'Resumo-Cult.Perma.'!$D81*'Critérios de Implantação'!G$33+'Resumo-Cult.Perma.'!$C81*'Critérios de Implantação'!H$33</f>
        <v>449754.3351675669</v>
      </c>
      <c r="I116" s="80">
        <f>'Resumo-Cult.Perma.'!$D81*'Critérios de Implantação'!H$33+'Resumo-Cult.Perma.'!$C81*'Critérios de Implantação'!I$33</f>
        <v>784309.83820465952</v>
      </c>
      <c r="J116" s="80">
        <f>'Resumo-Cult.Perma.'!$D81*'Critérios de Implantação'!I$33+'Resumo-Cult.Perma.'!$C81*'Critérios de Implantação'!J$33</f>
        <v>873734.61043758667</v>
      </c>
      <c r="K116" s="80">
        <f>'Resumo-Cult.Perma.'!$D81*'Critérios de Implantação'!J$33+'Resumo-Cult.Perma.'!$C81*'Critérios de Implantação'!K$33</f>
        <v>874676.19920570659</v>
      </c>
      <c r="L116" s="80">
        <f>'Resumo-Cult.Perma.'!$D81*'Critérios de Implantação'!K$33+'Resumo-Cult.Perma.'!$C81*'Critérios de Implantação'!L$33</f>
        <v>766400.93600493378</v>
      </c>
      <c r="M116" s="80">
        <f>'Resumo-Cult.Perma.'!$D81*'Critérios de Implantação'!L$33+'Resumo-Cult.Perma.'!$C81*'Critérios de Implantação'!M$33</f>
        <v>570633.04412099766</v>
      </c>
      <c r="N116" s="80">
        <f>'Resumo-Cult.Perma.'!$D81*'Critérios de Implantação'!M$33+'Resumo-Cult.Perma.'!$C81*'Critérios de Implantação'!N$33</f>
        <v>330466.18039125553</v>
      </c>
      <c r="O116" s="80">
        <f>'Resumo-Cult.Perma.'!$D81*'Critérios de Implantação'!N$33+'Resumo-Cult.Perma.'!$C81*'Critérios de Implantação'!O$33</f>
        <v>75189.6339166908</v>
      </c>
      <c r="P116" s="80">
        <f>'Resumo-Cult.Perma.'!$D81*'Critérios de Implantação'!O$33+'Resumo-Cult.Perma.'!$C81*'Critérios de Implantação'!P$33</f>
        <v>0</v>
      </c>
      <c r="Q116" s="80">
        <f>'Resumo-Cult.Perma.'!$D81*'Critérios de Implantação'!P$33+'Resumo-Cult.Perma.'!$C81*'Critérios de Implantação'!Q$33</f>
        <v>0</v>
      </c>
      <c r="R116" s="80">
        <f>'Resumo-Cult.Perma.'!$D81*'Critérios de Implantação'!Q$33+'Resumo-Cult.Perma.'!$C81*'Critérios de Implantação'!R$33</f>
        <v>0</v>
      </c>
      <c r="S116" s="80">
        <f>'Resumo-Cult.Perma.'!$D81*'Critérios de Implantação'!R$33+'Resumo-Cult.Perma.'!$C81*'Critérios de Implantação'!S$33</f>
        <v>0</v>
      </c>
      <c r="T116" s="80">
        <f>'Resumo-Cult.Perma.'!$D81*'Critérios de Implantação'!S$33+'Resumo-Cult.Perma.'!$C81*'Critérios de Implantação'!T$33</f>
        <v>0</v>
      </c>
      <c r="U116" s="80">
        <f>'Resumo-Cult.Perma.'!$D81*'Critérios de Implantação'!T$33+'Resumo-Cult.Perma.'!$C81*'Critérios de Implantação'!U$33</f>
        <v>0</v>
      </c>
      <c r="V116" s="80">
        <f>'Resumo-Cult.Perma.'!$D81*'Critérios de Implantação'!U$33+'Resumo-Cult.Perma.'!$C81*'Critérios de Implantação'!V$33</f>
        <v>0</v>
      </c>
      <c r="W116" s="80">
        <f>'Resumo-Cult.Perma.'!$D81*'Critérios de Implantação'!V$33+'Resumo-Cult.Perma.'!$C81*'Critérios de Implantação'!W$33</f>
        <v>0</v>
      </c>
      <c r="X116" s="80">
        <f>'Resumo-Cult.Perma.'!$D81*'Critérios de Implantação'!W$33+'Resumo-Cult.Perma.'!$C81*'Critérios de Implantação'!X$33</f>
        <v>0</v>
      </c>
      <c r="Y116" s="80">
        <f>'Resumo-Cult.Perma.'!$D81*'Critérios de Implantação'!X$33+'Resumo-Cult.Perma.'!$C81*'Critérios de Implantação'!Y$33</f>
        <v>0</v>
      </c>
      <c r="Z116" s="80">
        <f>'Resumo-Cult.Perma.'!$D81*'Critérios de Implantação'!Y$33+'Resumo-Cult.Perma.'!$C81*'Critérios de Implantação'!Z$33</f>
        <v>0</v>
      </c>
      <c r="AA116" s="80">
        <f>'Resumo-Cult.Perma.'!$D81*'Critérios de Implantação'!Z$33+'Resumo-Cult.Perma.'!$C81*'Critérios de Implantação'!AA$33</f>
        <v>0</v>
      </c>
      <c r="AB116" s="80">
        <f>'Resumo-Cult.Perma.'!$D81*'Critérios de Implantação'!AA$33+'Resumo-Cult.Perma.'!$C81*'Critérios de Implantação'!AB$33</f>
        <v>0</v>
      </c>
      <c r="AC116" s="80">
        <f>'Resumo-Cult.Perma.'!$D81*'Critérios de Implantação'!AB$33+'Resumo-Cult.Perma.'!$C81*'Critérios de Implantação'!AC$33</f>
        <v>0</v>
      </c>
      <c r="AD116" s="80">
        <f>'Resumo-Cult.Perma.'!$D81*'Critérios de Implantação'!AC$33+'Resumo-Cult.Perma.'!$C81*'Critérios de Implantação'!AD$33</f>
        <v>0</v>
      </c>
      <c r="AE116" s="80">
        <f>'Resumo-Cult.Perma.'!$D81*'Critérios de Implantação'!AD$33+'Resumo-Cult.Perma.'!$C81*'Critérios de Implantação'!AE$33</f>
        <v>0</v>
      </c>
      <c r="AF116" s="80">
        <f>'Resumo-Cult.Perma.'!$D81*'Critérios de Implantação'!AE$33+'Resumo-Cult.Perma.'!$C81*'Critérios de Implantação'!AF$33</f>
        <v>0</v>
      </c>
      <c r="AG116" s="80">
        <f>'Resumo-Cult.Perma.'!$D81*'Critérios de Implantação'!AF$33+'Resumo-Cult.Perma.'!$C81*'Critérios de Implantação'!AG$33</f>
        <v>0</v>
      </c>
      <c r="AH116" s="80">
        <f>'Resumo-Cult.Perma.'!$D81*'Critérios de Implantação'!AG$33+'Resumo-Cult.Perma.'!$C81*'Critérios de Implantação'!AH$33</f>
        <v>0</v>
      </c>
      <c r="AI116" s="80">
        <f>'Resumo-Cult.Perma.'!$D81*'Critérios de Implantação'!AH$33+'Resumo-Cult.Perma.'!$C81*'Critérios de Implantação'!AI$33</f>
        <v>0</v>
      </c>
      <c r="AJ116" s="80">
        <f>'Resumo-Cult.Perma.'!$D81*'Critérios de Implantação'!AI$33+'Resumo-Cult.Perma.'!$C81*'Critérios de Implantação'!AJ$33</f>
        <v>0</v>
      </c>
      <c r="AK116" s="81">
        <f>'Resumo-Cult.Perma.'!$D81*'Critérios de Implantação'!AJ$33+'Resumo-Cult.Perma.'!$C81*'Critérios de Implantação'!AK$33</f>
        <v>0</v>
      </c>
    </row>
    <row r="117" spans="1:37" ht="20.149999999999999" hidden="1" customHeight="1" outlineLevel="1" x14ac:dyDescent="0.25">
      <c r="A117" s="85" t="s">
        <v>158</v>
      </c>
      <c r="B117" s="82" t="s">
        <v>143</v>
      </c>
      <c r="C117" s="80"/>
      <c r="D117" s="80">
        <f>'Resumo-Cult.Perma.'!C82*'Critérios de Implantação'!$D$33</f>
        <v>0</v>
      </c>
      <c r="E117" s="80">
        <f>'Resumo-Cult.Perma.'!$D82*'Critérios de Implantação'!D$33+'Resumo-Cult.Perma.'!$C82*'Critérios de Implantação'!E$33</f>
        <v>0</v>
      </c>
      <c r="F117" s="80">
        <f>'Resumo-Cult.Perma.'!$D82*'Critérios de Implantação'!E$33+'Resumo-Cult.Perma.'!$C82*'Critérios de Implantação'!F$33</f>
        <v>475153.84884386003</v>
      </c>
      <c r="G117" s="80">
        <f>'Resumo-Cult.Perma.'!$D82*'Critérios de Implantação'!F$33+'Resumo-Cult.Perma.'!$C82*'Critérios de Implantação'!G$33</f>
        <v>742624.55845795339</v>
      </c>
      <c r="H117" s="80">
        <f>'Resumo-Cult.Perma.'!$D82*'Critérios de Implantação'!G$33+'Resumo-Cult.Perma.'!$C82*'Critérios de Implantação'!H$33</f>
        <v>838344.6381294335</v>
      </c>
      <c r="I117" s="80">
        <f>'Resumo-Cult.Perma.'!$D82*'Critérios de Implantação'!H$33+'Resumo-Cult.Perma.'!$C82*'Critérios de Implantação'!I$33</f>
        <v>1423935.3953171265</v>
      </c>
      <c r="J117" s="80">
        <f>'Resumo-Cult.Perma.'!$D82*'Critérios de Implantação'!I$33+'Resumo-Cult.Perma.'!$C82*'Critérios de Implantação'!J$33</f>
        <v>1655128.4469165923</v>
      </c>
      <c r="K117" s="80">
        <f>'Resumo-Cult.Perma.'!$D82*'Critérios de Implantação'!J$33+'Resumo-Cult.Perma.'!$C82*'Critérios de Implantação'!K$33</f>
        <v>1646688.1379692229</v>
      </c>
      <c r="L117" s="80">
        <f>'Resumo-Cult.Perma.'!$D82*'Critérios de Implantação'!K$33+'Resumo-Cult.Perma.'!$C82*'Critérios de Implantação'!L$33</f>
        <v>1466149.6588574683</v>
      </c>
      <c r="M117" s="80">
        <f>'Resumo-Cult.Perma.'!$D82*'Critérios de Implantação'!L$33+'Resumo-Cult.Perma.'!$C82*'Critérios de Implantação'!M$33</f>
        <v>1102631.8297448391</v>
      </c>
      <c r="N117" s="80">
        <f>'Resumo-Cult.Perma.'!$D82*'Critérios de Implantação'!M$33+'Resumo-Cult.Perma.'!$C82*'Critérios de Implantação'!N$33</f>
        <v>655153.40725264593</v>
      </c>
      <c r="O117" s="80">
        <f>'Resumo-Cult.Perma.'!$D82*'Critérios de Implantação'!N$33+'Resumo-Cult.Perma.'!$C82*'Critérios de Implantação'!O$33</f>
        <v>174050.07851085832</v>
      </c>
      <c r="P117" s="80">
        <f>'Resumo-Cult.Perma.'!$D82*'Critérios de Implantação'!O$33+'Resumo-Cult.Perma.'!$C82*'Critérios de Implantação'!P$33</f>
        <v>0</v>
      </c>
      <c r="Q117" s="80">
        <f>'Resumo-Cult.Perma.'!$D82*'Critérios de Implantação'!P$33+'Resumo-Cult.Perma.'!$C82*'Critérios de Implantação'!Q$33</f>
        <v>0</v>
      </c>
      <c r="R117" s="80">
        <f>'Resumo-Cult.Perma.'!$D82*'Critérios de Implantação'!Q$33+'Resumo-Cult.Perma.'!$C82*'Critérios de Implantação'!R$33</f>
        <v>0</v>
      </c>
      <c r="S117" s="80">
        <f>'Resumo-Cult.Perma.'!$D82*'Critérios de Implantação'!R$33+'Resumo-Cult.Perma.'!$C82*'Critérios de Implantação'!S$33</f>
        <v>0</v>
      </c>
      <c r="T117" s="80">
        <f>'Resumo-Cult.Perma.'!$D82*'Critérios de Implantação'!S$33+'Resumo-Cult.Perma.'!$C82*'Critérios de Implantação'!T$33</f>
        <v>0</v>
      </c>
      <c r="U117" s="80">
        <f>'Resumo-Cult.Perma.'!$D82*'Critérios de Implantação'!T$33+'Resumo-Cult.Perma.'!$C82*'Critérios de Implantação'!U$33</f>
        <v>0</v>
      </c>
      <c r="V117" s="80">
        <f>'Resumo-Cult.Perma.'!$D82*'Critérios de Implantação'!U$33+'Resumo-Cult.Perma.'!$C82*'Critérios de Implantação'!V$33</f>
        <v>0</v>
      </c>
      <c r="W117" s="80">
        <f>'Resumo-Cult.Perma.'!$D82*'Critérios de Implantação'!V$33+'Resumo-Cult.Perma.'!$C82*'Critérios de Implantação'!W$33</f>
        <v>0</v>
      </c>
      <c r="X117" s="80">
        <f>'Resumo-Cult.Perma.'!$D82*'Critérios de Implantação'!W$33+'Resumo-Cult.Perma.'!$C82*'Critérios de Implantação'!X$33</f>
        <v>0</v>
      </c>
      <c r="Y117" s="80">
        <f>'Resumo-Cult.Perma.'!$D82*'Critérios de Implantação'!X$33+'Resumo-Cult.Perma.'!$C82*'Critérios de Implantação'!Y$33</f>
        <v>0</v>
      </c>
      <c r="Z117" s="80">
        <f>'Resumo-Cult.Perma.'!$D82*'Critérios de Implantação'!Y$33+'Resumo-Cult.Perma.'!$C82*'Critérios de Implantação'!Z$33</f>
        <v>0</v>
      </c>
      <c r="AA117" s="80">
        <f>'Resumo-Cult.Perma.'!$D82*'Critérios de Implantação'!Z$33+'Resumo-Cult.Perma.'!$C82*'Critérios de Implantação'!AA$33</f>
        <v>0</v>
      </c>
      <c r="AB117" s="80">
        <f>'Resumo-Cult.Perma.'!$D82*'Critérios de Implantação'!AA$33+'Resumo-Cult.Perma.'!$C82*'Critérios de Implantação'!AB$33</f>
        <v>0</v>
      </c>
      <c r="AC117" s="80">
        <f>'Resumo-Cult.Perma.'!$D82*'Critérios de Implantação'!AB$33+'Resumo-Cult.Perma.'!$C82*'Critérios de Implantação'!AC$33</f>
        <v>0</v>
      </c>
      <c r="AD117" s="80">
        <f>'Resumo-Cult.Perma.'!$D82*'Critérios de Implantação'!AC$33+'Resumo-Cult.Perma.'!$C82*'Critérios de Implantação'!AD$33</f>
        <v>0</v>
      </c>
      <c r="AE117" s="80">
        <f>'Resumo-Cult.Perma.'!$D82*'Critérios de Implantação'!AD$33+'Resumo-Cult.Perma.'!$C82*'Critérios de Implantação'!AE$33</f>
        <v>0</v>
      </c>
      <c r="AF117" s="80">
        <f>'Resumo-Cult.Perma.'!$D82*'Critérios de Implantação'!AE$33+'Resumo-Cult.Perma.'!$C82*'Critérios de Implantação'!AF$33</f>
        <v>0</v>
      </c>
      <c r="AG117" s="80">
        <f>'Resumo-Cult.Perma.'!$D82*'Critérios de Implantação'!AF$33+'Resumo-Cult.Perma.'!$C82*'Critérios de Implantação'!AG$33</f>
        <v>0</v>
      </c>
      <c r="AH117" s="80">
        <f>'Resumo-Cult.Perma.'!$D82*'Critérios de Implantação'!AG$33+'Resumo-Cult.Perma.'!$C82*'Critérios de Implantação'!AH$33</f>
        <v>0</v>
      </c>
      <c r="AI117" s="80">
        <f>'Resumo-Cult.Perma.'!$D82*'Critérios de Implantação'!AH$33+'Resumo-Cult.Perma.'!$C82*'Critérios de Implantação'!AI$33</f>
        <v>0</v>
      </c>
      <c r="AJ117" s="80">
        <f>'Resumo-Cult.Perma.'!$D82*'Critérios de Implantação'!AI$33+'Resumo-Cult.Perma.'!$C82*'Critérios de Implantação'!AJ$33</f>
        <v>0</v>
      </c>
      <c r="AK117" s="81">
        <f>'Resumo-Cult.Perma.'!$D82*'Critérios de Implantação'!AJ$33+'Resumo-Cult.Perma.'!$C82*'Critérios de Implantação'!AK$33</f>
        <v>0</v>
      </c>
    </row>
    <row r="118" spans="1:37" ht="20.149999999999999" hidden="1" customHeight="1" outlineLevel="1" x14ac:dyDescent="0.25">
      <c r="A118" s="85" t="s">
        <v>159</v>
      </c>
      <c r="B118" s="34" t="s">
        <v>141</v>
      </c>
      <c r="C118" s="80"/>
      <c r="D118" s="80">
        <f>'Resumo-Cult.Perma.'!C83*'Critérios de Implantação'!$D$33</f>
        <v>0</v>
      </c>
      <c r="E118" s="80">
        <f>'Resumo-Cult.Perma.'!$D83*'Critérios de Implantação'!D$33+'Resumo-Cult.Perma.'!$C83*'Critérios de Implantação'!E$33</f>
        <v>0</v>
      </c>
      <c r="F118" s="80">
        <f>'Resumo-Cult.Perma.'!$D83*'Critérios de Implantação'!E$33+'Resumo-Cult.Perma.'!$C83*'Critérios de Implantação'!F$33</f>
        <v>278001.24048405048</v>
      </c>
      <c r="G118" s="80">
        <f>'Resumo-Cult.Perma.'!$D83*'Critérios de Implantação'!F$33+'Resumo-Cult.Perma.'!$C83*'Critérios de Implantação'!G$33</f>
        <v>566941.52951704059</v>
      </c>
      <c r="H118" s="80">
        <f>'Resumo-Cult.Perma.'!$D83*'Critérios de Implantação'!G$33+'Resumo-Cult.Perma.'!$C83*'Critérios de Implantação'!H$33</f>
        <v>622945.07647904358</v>
      </c>
      <c r="I118" s="80">
        <f>'Resumo-Cult.Perma.'!$D83*'Critérios de Implantação'!H$33+'Resumo-Cult.Perma.'!$C83*'Critérios de Implantação'!I$33</f>
        <v>992242.38172204548</v>
      </c>
      <c r="J118" s="80">
        <f>'Resumo-Cult.Perma.'!$D83*'Critérios de Implantação'!I$33+'Resumo-Cult.Perma.'!$C83*'Critérios de Implantação'!J$33</f>
        <v>1275722.1552914446</v>
      </c>
      <c r="K118" s="80">
        <f>'Resumo-Cult.Perma.'!$D83*'Critérios de Implantação'!J$33+'Resumo-Cult.Perma.'!$C83*'Critérios de Implantação'!K$33</f>
        <v>1251797.3456084782</v>
      </c>
      <c r="L118" s="80">
        <f>'Resumo-Cult.Perma.'!$D83*'Critérios de Implantação'!K$33+'Resumo-Cult.Perma.'!$C83*'Critérios de Implantação'!L$33</f>
        <v>1154503.6359097096</v>
      </c>
      <c r="M118" s="80">
        <f>'Resumo-Cult.Perma.'!$D83*'Critérios de Implantação'!L$33+'Resumo-Cult.Perma.'!$C83*'Critérios de Implantação'!M$33</f>
        <v>886800.80554667767</v>
      </c>
      <c r="N118" s="80">
        <f>'Resumo-Cult.Perma.'!$D83*'Critérios de Implantação'!M$33+'Resumo-Cult.Perma.'!$C83*'Critérios de Implantação'!N$33</f>
        <v>554630.84094203962</v>
      </c>
      <c r="O118" s="80">
        <f>'Resumo-Cult.Perma.'!$D83*'Critérios de Implantação'!N$33+'Resumo-Cult.Perma.'!$C83*'Critérios de Implantação'!O$33</f>
        <v>188020.88671204605</v>
      </c>
      <c r="P118" s="80">
        <f>'Resumo-Cult.Perma.'!$D83*'Critérios de Implantação'!O$33+'Resumo-Cult.Perma.'!$C83*'Critérios de Implantação'!P$33</f>
        <v>0</v>
      </c>
      <c r="Q118" s="80">
        <f>'Resumo-Cult.Perma.'!$D83*'Critérios de Implantação'!P$33+'Resumo-Cult.Perma.'!$C83*'Critérios de Implantação'!Q$33</f>
        <v>0</v>
      </c>
      <c r="R118" s="80">
        <f>'Resumo-Cult.Perma.'!$D83*'Critérios de Implantação'!Q$33+'Resumo-Cult.Perma.'!$C83*'Critérios de Implantação'!R$33</f>
        <v>0</v>
      </c>
      <c r="S118" s="80">
        <f>'Resumo-Cult.Perma.'!$D83*'Critérios de Implantação'!R$33+'Resumo-Cult.Perma.'!$C83*'Critérios de Implantação'!S$33</f>
        <v>0</v>
      </c>
      <c r="T118" s="80">
        <f>'Resumo-Cult.Perma.'!$D83*'Critérios de Implantação'!S$33+'Resumo-Cult.Perma.'!$C83*'Critérios de Implantação'!T$33</f>
        <v>0</v>
      </c>
      <c r="U118" s="80">
        <f>'Resumo-Cult.Perma.'!$D83*'Critérios de Implantação'!T$33+'Resumo-Cult.Perma.'!$C83*'Critérios de Implantação'!U$33</f>
        <v>0</v>
      </c>
      <c r="V118" s="80">
        <f>'Resumo-Cult.Perma.'!$D83*'Critérios de Implantação'!U$33+'Resumo-Cult.Perma.'!$C83*'Critérios de Implantação'!V$33</f>
        <v>0</v>
      </c>
      <c r="W118" s="80">
        <f>'Resumo-Cult.Perma.'!$D83*'Critérios de Implantação'!V$33+'Resumo-Cult.Perma.'!$C83*'Critérios de Implantação'!W$33</f>
        <v>0</v>
      </c>
      <c r="X118" s="80">
        <f>'Resumo-Cult.Perma.'!$D83*'Critérios de Implantação'!W$33+'Resumo-Cult.Perma.'!$C83*'Critérios de Implantação'!X$33</f>
        <v>0</v>
      </c>
      <c r="Y118" s="80">
        <f>'Resumo-Cult.Perma.'!$D83*'Critérios de Implantação'!X$33+'Resumo-Cult.Perma.'!$C83*'Critérios de Implantação'!Y$33</f>
        <v>0</v>
      </c>
      <c r="Z118" s="80">
        <f>'Resumo-Cult.Perma.'!$D83*'Critérios de Implantação'!Y$33+'Resumo-Cult.Perma.'!$C83*'Critérios de Implantação'!Z$33</f>
        <v>0</v>
      </c>
      <c r="AA118" s="80">
        <f>'Resumo-Cult.Perma.'!$D83*'Critérios de Implantação'!Z$33+'Resumo-Cult.Perma.'!$C83*'Critérios de Implantação'!AA$33</f>
        <v>0</v>
      </c>
      <c r="AB118" s="80">
        <f>'Resumo-Cult.Perma.'!$D83*'Critérios de Implantação'!AA$33+'Resumo-Cult.Perma.'!$C83*'Critérios de Implantação'!AB$33</f>
        <v>0</v>
      </c>
      <c r="AC118" s="80">
        <f>'Resumo-Cult.Perma.'!$D83*'Critérios de Implantação'!AB$33+'Resumo-Cult.Perma.'!$C83*'Critérios de Implantação'!AC$33</f>
        <v>0</v>
      </c>
      <c r="AD118" s="80">
        <f>'Resumo-Cult.Perma.'!$D83*'Critérios de Implantação'!AC$33+'Resumo-Cult.Perma.'!$C83*'Critérios de Implantação'!AD$33</f>
        <v>0</v>
      </c>
      <c r="AE118" s="80">
        <f>'Resumo-Cult.Perma.'!$D83*'Critérios de Implantação'!AD$33+'Resumo-Cult.Perma.'!$C83*'Critérios de Implantação'!AE$33</f>
        <v>0</v>
      </c>
      <c r="AF118" s="80">
        <f>'Resumo-Cult.Perma.'!$D83*'Critérios de Implantação'!AE$33+'Resumo-Cult.Perma.'!$C83*'Critérios de Implantação'!AF$33</f>
        <v>0</v>
      </c>
      <c r="AG118" s="80">
        <f>'Resumo-Cult.Perma.'!$D83*'Critérios de Implantação'!AF$33+'Resumo-Cult.Perma.'!$C83*'Critérios de Implantação'!AG$33</f>
        <v>0</v>
      </c>
      <c r="AH118" s="80">
        <f>'Resumo-Cult.Perma.'!$D83*'Critérios de Implantação'!AG$33+'Resumo-Cult.Perma.'!$C83*'Critérios de Implantação'!AH$33</f>
        <v>0</v>
      </c>
      <c r="AI118" s="80">
        <f>'Resumo-Cult.Perma.'!$D83*'Critérios de Implantação'!AH$33+'Resumo-Cult.Perma.'!$C83*'Critérios de Implantação'!AI$33</f>
        <v>0</v>
      </c>
      <c r="AJ118" s="80">
        <f>'Resumo-Cult.Perma.'!$D83*'Critérios de Implantação'!AI$33+'Resumo-Cult.Perma.'!$C83*'Critérios de Implantação'!AJ$33</f>
        <v>0</v>
      </c>
      <c r="AK118" s="81">
        <f>'Resumo-Cult.Perma.'!$D83*'Critérios de Implantação'!AJ$33+'Resumo-Cult.Perma.'!$C83*'Critérios de Implantação'!AK$33</f>
        <v>0</v>
      </c>
    </row>
    <row r="119" spans="1:37" s="15" customFormat="1" ht="20.149999999999999" hidden="1" customHeight="1" outlineLevel="1" thickBot="1" x14ac:dyDescent="0.3">
      <c r="A119" s="86"/>
      <c r="B119" s="87" t="s">
        <v>148</v>
      </c>
      <c r="C119" s="88"/>
      <c r="D119" s="88">
        <f t="shared" ref="D119:AK119" si="60">SUM(D110:D118)</f>
        <v>0</v>
      </c>
      <c r="E119" s="88">
        <f t="shared" si="60"/>
        <v>0</v>
      </c>
      <c r="F119" s="88">
        <f t="shared" si="60"/>
        <v>4704576.8919393495</v>
      </c>
      <c r="G119" s="88">
        <f t="shared" si="60"/>
        <v>5846349.2378025604</v>
      </c>
      <c r="H119" s="88">
        <f t="shared" si="60"/>
        <v>6794089.5876129633</v>
      </c>
      <c r="I119" s="88">
        <f t="shared" si="60"/>
        <v>12288635.210614802</v>
      </c>
      <c r="J119" s="88">
        <f t="shared" si="60"/>
        <v>12891906.771158718</v>
      </c>
      <c r="K119" s="88">
        <f t="shared" si="60"/>
        <v>13024293.951020038</v>
      </c>
      <c r="L119" s="88">
        <f t="shared" si="60"/>
        <v>11141948.341489032</v>
      </c>
      <c r="M119" s="88">
        <f t="shared" si="60"/>
        <v>8168471.2056460567</v>
      </c>
      <c r="N119" s="88">
        <f t="shared" si="60"/>
        <v>4538208.6806572285</v>
      </c>
      <c r="O119" s="88">
        <f t="shared" si="60"/>
        <v>742980.66777382838</v>
      </c>
      <c r="P119" s="88">
        <f t="shared" si="60"/>
        <v>0</v>
      </c>
      <c r="Q119" s="88">
        <f t="shared" si="60"/>
        <v>0</v>
      </c>
      <c r="R119" s="88">
        <f t="shared" si="60"/>
        <v>0</v>
      </c>
      <c r="S119" s="88">
        <f t="shared" si="60"/>
        <v>0</v>
      </c>
      <c r="T119" s="88">
        <f t="shared" si="60"/>
        <v>0</v>
      </c>
      <c r="U119" s="88">
        <f t="shared" si="60"/>
        <v>0</v>
      </c>
      <c r="V119" s="88">
        <f t="shared" si="60"/>
        <v>0</v>
      </c>
      <c r="W119" s="88">
        <f t="shared" si="60"/>
        <v>0</v>
      </c>
      <c r="X119" s="88">
        <f t="shared" si="60"/>
        <v>0</v>
      </c>
      <c r="Y119" s="88">
        <f t="shared" si="60"/>
        <v>0</v>
      </c>
      <c r="Z119" s="88">
        <f t="shared" si="60"/>
        <v>0</v>
      </c>
      <c r="AA119" s="88">
        <f t="shared" si="60"/>
        <v>0</v>
      </c>
      <c r="AB119" s="88">
        <f t="shared" si="60"/>
        <v>0</v>
      </c>
      <c r="AC119" s="88">
        <f t="shared" si="60"/>
        <v>0</v>
      </c>
      <c r="AD119" s="88">
        <f t="shared" si="60"/>
        <v>0</v>
      </c>
      <c r="AE119" s="88">
        <f t="shared" si="60"/>
        <v>0</v>
      </c>
      <c r="AF119" s="88">
        <f t="shared" si="60"/>
        <v>0</v>
      </c>
      <c r="AG119" s="88">
        <f t="shared" si="60"/>
        <v>0</v>
      </c>
      <c r="AH119" s="88">
        <f t="shared" si="60"/>
        <v>0</v>
      </c>
      <c r="AI119" s="88">
        <f t="shared" si="60"/>
        <v>0</v>
      </c>
      <c r="AJ119" s="88">
        <f t="shared" si="60"/>
        <v>0</v>
      </c>
      <c r="AK119" s="89">
        <f t="shared" si="60"/>
        <v>0</v>
      </c>
    </row>
    <row r="120" spans="1:37" ht="20.149999999999999" hidden="1" customHeight="1" outlineLevel="1" thickBot="1" x14ac:dyDescent="0.3">
      <c r="A120" s="14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</row>
    <row r="121" spans="1:37" ht="20.149999999999999" hidden="1" customHeight="1" outlineLevel="1" x14ac:dyDescent="0.25">
      <c r="A121" s="71">
        <v>2</v>
      </c>
      <c r="B121" s="76" t="s">
        <v>136</v>
      </c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2"/>
    </row>
    <row r="122" spans="1:37" ht="20.149999999999999" hidden="1" customHeight="1" outlineLevel="1" x14ac:dyDescent="0.25">
      <c r="A122" s="48" t="s">
        <v>137</v>
      </c>
      <c r="B122" s="82" t="s">
        <v>142</v>
      </c>
      <c r="C122" s="93"/>
      <c r="D122" s="93">
        <f>IFERROR(('Resumo-Cult.Perma.'!C87*('Critérios de Implantação'!D$70)),0)+IFERROR(('Resumo-Cult.Perma.'!B87*('Critérios de Implantação'!D$71)),0)+IFERROR(('Resumo-Cult.Perma.'!A87*('Critérios de Implantação'!D$78)),0)</f>
        <v>0</v>
      </c>
      <c r="E122" s="93">
        <f>IFERROR(('Resumo-Cult.Perma.'!D87*('Critérios de Implantação'!E$70)),0)+IFERROR(('Resumo-Cult.Perma.'!C87*('Critérios de Implantação'!E$71)),0)+IFERROR(('Resumo-Cult.Perma.'!B87*('Critérios de Implantação'!E$78)),0)</f>
        <v>0</v>
      </c>
      <c r="F122" s="93">
        <f>IFERROR(('Resumo-Cult.Perma.'!E87*('Critérios de Implantação'!F$70)),0)+IFERROR(('Resumo-Cult.Perma.'!D87*('Critérios de Implantação'!F$71)),0)+IFERROR(('Resumo-Cult.Perma.'!C87*('Critérios de Implantação'!F$78)),0)</f>
        <v>0</v>
      </c>
      <c r="G122" s="93">
        <f>IFERROR('Resumo-Cult.Perma.'!D87*'Critérios de Implantação'!G$70,0)+IFERROR('Resumo-Cult.Perma.'!C87*'Critérios de Implantação'!G$71,0)+IFERROR('Resumo-Cult.Perma.'!B87*'Critérios de Implantação'!$Q$72,0)+IFERROR('Resumo-Cult.Perma.'!A87*'Critérios de Implantação'!$Q$73,0)+IFERROR('Resumo-Cult.Perma.'!#REF!*'Critérios de Implantação'!$Q$74,0)+IFERROR('Resumo-Cult.Perma.'!#REF!*'Critérios de Implantação'!$Q$75,0)+IFERROR('Resumo-Cult.Perma.'!#REF!*'Critérios de Implantação'!$Q$76,0)+IFERROR('Resumo-Cult.Perma.'!#REF!*'Critérios de Implantação'!$Q$77,0)+IFERROR('Resumo-Cult.Perma.'!#REF!*'Critérios de Implantação'!$Q$78,0)</f>
        <v>0</v>
      </c>
      <c r="H122" s="93">
        <f>IFERROR('Resumo-Cult.Perma.'!E87*'Critérios de Implantação'!H$70,0)+IFERROR('Resumo-Cult.Perma.'!D87*'Critérios de Implantação'!H$71,0)+IFERROR('Resumo-Cult.Perma.'!C87*'Critérios de Implantação'!$Q$72,0)+IFERROR('Resumo-Cult.Perma.'!B87*'Critérios de Implantação'!$Q$73,0)+IFERROR('Resumo-Cult.Perma.'!A87*'Critérios de Implantação'!$Q$74,0)+IFERROR('Resumo-Cult.Perma.'!#REF!*'Critérios de Implantação'!$Q$75,0)+IFERROR('Resumo-Cult.Perma.'!#REF!*'Critérios de Implantação'!$Q$76,0)+IFERROR('Resumo-Cult.Perma.'!#REF!*'Critérios de Implantação'!$Q$77,0)+IFERROR('Resumo-Cult.Perma.'!#REF!*'Critérios de Implantação'!$Q$78,0)</f>
        <v>769197.93079382507</v>
      </c>
      <c r="I122" s="93">
        <f>IFERROR('Resumo-Cult.Perma.'!F87*'Critérios de Implantação'!I$70,0)+IFERROR('Resumo-Cult.Perma.'!E87*'Critérios de Implantação'!I$71,0)+IFERROR('Resumo-Cult.Perma.'!D87*'Critérios de Implantação'!$Q$72,0)+IFERROR('Resumo-Cult.Perma.'!C87*'Critérios de Implantação'!$Q$73,0)+IFERROR('Resumo-Cult.Perma.'!B87*'Critérios de Implantação'!$Q$74,0)+IFERROR('Resumo-Cult.Perma.'!A87*'Critérios de Implantação'!$Q$75,0)+IFERROR('Resumo-Cult.Perma.'!#REF!*'Critérios de Implantação'!$Q$76,0)+IFERROR('Resumo-Cult.Perma.'!#REF!*'Critérios de Implantação'!$Q$77,0)+IFERROR('Resumo-Cult.Perma.'!#REF!*'Critérios de Implantação'!$Q$78,0)</f>
        <v>1729439.9311766049</v>
      </c>
      <c r="J122" s="93">
        <f>IFERROR('Resumo-Cult.Perma.'!G87*'Critérios de Implantação'!J$70,0)+IFERROR('Resumo-Cult.Perma.'!F87*'Critérios de Implantação'!J$71,0)+IFERROR('Resumo-Cult.Perma.'!E87*'Critérios de Implantação'!$Q$72,0)+IFERROR('Resumo-Cult.Perma.'!D87*'Critérios de Implantação'!$Q$73,0)+IFERROR('Resumo-Cult.Perma.'!C87*'Critérios de Implantação'!$Q$74,0)+IFERROR('Resumo-Cult.Perma.'!B87*'Critérios de Implantação'!$Q$75,0)+IFERROR('Resumo-Cult.Perma.'!A87*'Critérios de Implantação'!$Q$76,0)+IFERROR('Resumo-Cult.Perma.'!#REF!*'Critérios de Implantação'!$Q$77,0)+IFERROR('Resumo-Cult.Perma.'!#REF!*'Critérios de Implantação'!$Q$78,0)</f>
        <v>2974102.7894429336</v>
      </c>
      <c r="K122" s="93">
        <f>IFERROR('Resumo-Cult.Perma.'!H87*'Critérios de Implantação'!K$70,0)+IFERROR('Resumo-Cult.Perma.'!G87*'Critérios de Implantação'!K$71,0)+IFERROR('Resumo-Cult.Perma.'!F87*'Critérios de Implantação'!$Q$72,0)+IFERROR('Resumo-Cult.Perma.'!E87*'Critérios de Implantação'!$Q$73,0)+IFERROR('Resumo-Cult.Perma.'!D87*'Critérios de Implantação'!$Q$74,0)+IFERROR('Resumo-Cult.Perma.'!C87*'Critérios de Implantação'!$Q$75,0)+IFERROR('Resumo-Cult.Perma.'!B87*'Critérios de Implantação'!$Q$76,0)+IFERROR('Resumo-Cult.Perma.'!A87*'Critérios de Implantação'!$Q$77,0)+IFERROR('Resumo-Cult.Perma.'!#REF!*'Critérios de Implantação'!$Q$78,0)</f>
        <v>5265486.8393738195</v>
      </c>
      <c r="L122" s="93">
        <f>IFERROR('Resumo-Cult.Perma.'!I87*'Critérios de Implantação'!L$70,0)+IFERROR('Resumo-Cult.Perma.'!H87*'Critérios de Implantação'!L$71,0)+IFERROR('Resumo-Cult.Perma.'!G87*'Critérios de Implantação'!$Q$72,0)+IFERROR('Resumo-Cult.Perma.'!F87*'Critérios de Implantação'!$Q$73,0)+IFERROR('Resumo-Cult.Perma.'!E87*'Critérios de Implantação'!$Q$74,0)+IFERROR('Resumo-Cult.Perma.'!D87*'Critérios de Implantação'!$Q$75,0)+IFERROR('Resumo-Cult.Perma.'!C87*'Critérios de Implantação'!$Q$76,0)+IFERROR('Resumo-Cult.Perma.'!B87*'Critérios de Implantação'!$Q$77,0)+IFERROR('Resumo-Cult.Perma.'!A87*'Critérios de Implantação'!$Q$78,0)</f>
        <v>7725735.4386153333</v>
      </c>
      <c r="M122" s="93">
        <f>IFERROR('Resumo-Cult.Perma.'!J87*'Critérios de Implantação'!M$70,0)+IFERROR('Resumo-Cult.Perma.'!I87*'Critérios de Implantação'!M$71,0)+IFERROR('Resumo-Cult.Perma.'!H87*'Critérios de Implantação'!$Q$72,0)+IFERROR('Resumo-Cult.Perma.'!G87*'Critérios de Implantação'!$Q$73,0)+IFERROR('Resumo-Cult.Perma.'!F87*'Critérios de Implantação'!$Q$74,0)+IFERROR('Resumo-Cult.Perma.'!E87*'Critérios de Implantação'!$Q$75,0)+IFERROR('Resumo-Cult.Perma.'!D87*'Critérios de Implantação'!$Q$76,0)+IFERROR('Resumo-Cult.Perma.'!C87*'Critérios de Implantação'!$Q$77,0)+IFERROR('Resumo-Cult.Perma.'!B87*'Critérios de Implantação'!$Q$78,0)</f>
        <v>10381589.387430541</v>
      </c>
      <c r="N122" s="93">
        <f>IFERROR('Resumo-Cult.Perma.'!K87*'Critérios de Implantação'!N$70,0)+IFERROR('Resumo-Cult.Perma.'!J87*'Critérios de Implantação'!N$71,0)+IFERROR('Resumo-Cult.Perma.'!I87*'Critérios de Implantação'!$Q$72,0)+IFERROR('Resumo-Cult.Perma.'!H87*'Critérios de Implantação'!$Q$73,0)+IFERROR('Resumo-Cult.Perma.'!G87*'Critérios de Implantação'!$Q$74,0)+IFERROR('Resumo-Cult.Perma.'!F87*'Critérios de Implantação'!$Q$75,0)+IFERROR('Resumo-Cult.Perma.'!E87*'Critérios de Implantação'!$Q$76,0)+IFERROR('Resumo-Cult.Perma.'!D87*'Critérios de Implantação'!$Q$77,0)+IFERROR('Resumo-Cult.Perma.'!C87*'Critérios de Implantação'!$Q$78,0)</f>
        <v>12884344.182275154</v>
      </c>
      <c r="O122" s="93">
        <f>IFERROR('Resumo-Cult.Perma.'!L87*'Critérios de Implantação'!O$70,0)+IFERROR('Resumo-Cult.Perma.'!K87*'Critérios de Implantação'!O$71,0)+IFERROR('Resumo-Cult.Perma.'!J87*'Critérios de Implantação'!$Q$72,0)+IFERROR('Resumo-Cult.Perma.'!I87*'Critérios de Implantação'!$Q$73,0)+IFERROR('Resumo-Cult.Perma.'!H87*'Critérios de Implantação'!$Q$74,0)+IFERROR('Resumo-Cult.Perma.'!G87*'Critérios de Implantação'!$Q$75,0)+IFERROR('Resumo-Cult.Perma.'!F87*'Critérios de Implantação'!$Q$76,0)+IFERROR('Resumo-Cult.Perma.'!E87*'Critérios de Implantação'!$Q$77,0)+IFERROR('Resumo-Cult.Perma.'!D87*'Critérios de Implantação'!$Q$78,0)</f>
        <v>14930066.724118749</v>
      </c>
      <c r="P122" s="93">
        <f>IFERROR('Resumo-Cult.Perma.'!M87*'Critérios de Implantação'!P$70,0)+IFERROR('Resumo-Cult.Perma.'!L87*'Critérios de Implantação'!P$71,0)+IFERROR('Resumo-Cult.Perma.'!K87*'Critérios de Implantação'!$Q$72,0)+IFERROR('Resumo-Cult.Perma.'!J87*'Critérios de Implantação'!$Q$73,0)+IFERROR('Resumo-Cult.Perma.'!I87*'Critérios de Implantação'!$Q$74,0)+IFERROR('Resumo-Cult.Perma.'!H87*'Critérios de Implantação'!$Q$75,0)+IFERROR('Resumo-Cult.Perma.'!G87*'Critérios de Implantação'!$Q$76,0)+IFERROR('Resumo-Cult.Perma.'!F87*'Critérios de Implantação'!$Q$77,0)+IFERROR('Resumo-Cult.Perma.'!E87*'Critérios de Implantação'!$Q$78,0)</f>
        <v>16329798.131204922</v>
      </c>
      <c r="Q122" s="93">
        <f>IFERROR('Resumo-Cult.Perma.'!N87*'Critérios de Implantação'!Q$70,0)+IFERROR('Resumo-Cult.Perma.'!M87*'Critérios de Implantação'!Q$71,0)+IFERROR('Resumo-Cult.Perma.'!L87*'Critérios de Implantação'!$Q$72,0)+IFERROR('Resumo-Cult.Perma.'!K87*'Critérios de Implantação'!$Q$73,0)+IFERROR('Resumo-Cult.Perma.'!J87*'Critérios de Implantação'!$Q$74,0)+IFERROR('Resumo-Cult.Perma.'!I87*'Critérios de Implantação'!$Q$75,0)+IFERROR('Resumo-Cult.Perma.'!H87*'Critérios de Implantação'!$Q$76,0)+IFERROR('Resumo-Cult.Perma.'!G87*'Critérios de Implantação'!$Q$77,0)+IFERROR('Resumo-Cult.Perma.'!F87*'Critérios de Implantação'!$Q$78,0)</f>
        <v>16978637.923305437</v>
      </c>
      <c r="R122" s="93">
        <f>IFERROR('Resumo-Cult.Perma.'!O87*'Critérios de Implantação'!R$70,0)+IFERROR('Resumo-Cult.Perma.'!N87*'Critérios de Implantação'!R$71,0)+IFERROR('Resumo-Cult.Perma.'!M87*'Critérios de Implantação'!$Q$72,0)+IFERROR('Resumo-Cult.Perma.'!L87*'Critérios de Implantação'!$Q$73,0)+IFERROR('Resumo-Cult.Perma.'!K87*'Critérios de Implantação'!$Q$74,0)+IFERROR('Resumo-Cult.Perma.'!J87*'Critérios de Implantação'!$Q$75,0)+IFERROR('Resumo-Cult.Perma.'!I87*'Critérios de Implantação'!$Q$76,0)+IFERROR('Resumo-Cult.Perma.'!H87*'Critérios de Implantação'!$Q$77,0)+IFERROR('Resumo-Cult.Perma.'!G87*'Critérios de Implantação'!$Q$78,0)</f>
        <v>17325292.779935751</v>
      </c>
      <c r="S122" s="93">
        <f>IFERROR('Resumo-Cult.Perma.'!P87*'Critérios de Implantação'!S$70,0)+IFERROR('Resumo-Cult.Perma.'!O87*'Critérios de Implantação'!S$71,0)+IFERROR('Resumo-Cult.Perma.'!N87*'Critérios de Implantação'!$Q$72,0)+IFERROR('Resumo-Cult.Perma.'!M87*'Critérios de Implantação'!$Q$73,0)+IFERROR('Resumo-Cult.Perma.'!L87*'Critérios de Implantação'!$Q$74,0)+IFERROR('Resumo-Cult.Perma.'!K87*'Critérios de Implantação'!$Q$75,0)+IFERROR('Resumo-Cult.Perma.'!J87*'Critérios de Implantação'!$Q$76,0)+IFERROR('Resumo-Cult.Perma.'!I87*'Critérios de Implantação'!$Q$77,0)+IFERROR('Resumo-Cult.Perma.'!H87*'Critérios de Implantação'!$Q$78,0)</f>
        <v>17472051.609062769</v>
      </c>
      <c r="T122" s="93">
        <f>IFERROR('Resumo-Cult.Perma.'!Q87*'Critérios de Implantação'!T$70,0)+IFERROR('Resumo-Cult.Perma.'!P87*'Critérios de Implantação'!T$71,0)+IFERROR('Resumo-Cult.Perma.'!O87*'Critérios de Implantação'!$Q$72,0)+IFERROR('Resumo-Cult.Perma.'!N87*'Critérios de Implantação'!$Q$73,0)+IFERROR('Resumo-Cult.Perma.'!M87*'Critérios de Implantação'!$Q$74,0)+IFERROR('Resumo-Cult.Perma.'!L87*'Critérios de Implantação'!$Q$75,0)+IFERROR('Resumo-Cult.Perma.'!K87*'Critérios de Implantação'!$Q$76,0)+IFERROR('Resumo-Cult.Perma.'!J87*'Critérios de Implantação'!$Q$77,0)+IFERROR('Resumo-Cult.Perma.'!I87*'Critérios de Implantação'!$Q$78,0)</f>
        <v>17497602.3244</v>
      </c>
      <c r="U122" s="93">
        <f>IFERROR('Resumo-Cult.Perma.'!R87*'Critérios de Implantação'!U$70,0)+IFERROR('Resumo-Cult.Perma.'!Q87*'Critérios de Implantação'!U$71,0)+IFERROR('Resumo-Cult.Perma.'!P87*'Critérios de Implantação'!$Q$72,0)+IFERROR('Resumo-Cult.Perma.'!O87*'Critérios de Implantação'!$Q$73,0)+IFERROR('Resumo-Cult.Perma.'!N87*'Critérios de Implantação'!$Q$74,0)+IFERROR('Resumo-Cult.Perma.'!M87*'Critérios de Implantação'!$Q$75,0)+IFERROR('Resumo-Cult.Perma.'!L87*'Critérios de Implantação'!$Q$76,0)+IFERROR('Resumo-Cult.Perma.'!K87*'Critérios de Implantação'!$Q$77,0)+IFERROR('Resumo-Cult.Perma.'!J87*'Critérios de Implantação'!$Q$78,0)</f>
        <v>17497602.3244</v>
      </c>
      <c r="V122" s="93">
        <f>IFERROR('Resumo-Cult.Perma.'!S87*'Critérios de Implantação'!V$70,0)+IFERROR('Resumo-Cult.Perma.'!R87*'Critérios de Implantação'!V$71,0)+IFERROR('Resumo-Cult.Perma.'!Q87*'Critérios de Implantação'!$Q$72,0)+IFERROR('Resumo-Cult.Perma.'!P87*'Critérios de Implantação'!$Q$73,0)+IFERROR('Resumo-Cult.Perma.'!O87*'Critérios de Implantação'!$Q$74,0)+IFERROR('Resumo-Cult.Perma.'!N87*'Critérios de Implantação'!$Q$75,0)+IFERROR('Resumo-Cult.Perma.'!M87*'Critérios de Implantação'!$Q$76,0)+IFERROR('Resumo-Cult.Perma.'!L87*'Critérios de Implantação'!$Q$77,0)+IFERROR('Resumo-Cult.Perma.'!K87*'Critérios de Implantação'!$Q$78,0)</f>
        <v>17497602.3244</v>
      </c>
      <c r="W122" s="93">
        <f>IFERROR('Resumo-Cult.Perma.'!T87*'Critérios de Implantação'!W$70,0)+IFERROR('Resumo-Cult.Perma.'!S87*'Critérios de Implantação'!W$71,0)+IFERROR('Resumo-Cult.Perma.'!R87*'Critérios de Implantação'!$Q$72,0)+IFERROR('Resumo-Cult.Perma.'!Q87*'Critérios de Implantação'!$Q$73,0)+IFERROR('Resumo-Cult.Perma.'!P87*'Critérios de Implantação'!$Q$74,0)+IFERROR('Resumo-Cult.Perma.'!O87*'Critérios de Implantação'!$Q$75,0)+IFERROR('Resumo-Cult.Perma.'!N87*'Critérios de Implantação'!$Q$76,0)+IFERROR('Resumo-Cult.Perma.'!M87*'Critérios de Implantação'!$Q$77,0)+IFERROR('Resumo-Cult.Perma.'!L87*'Critérios de Implantação'!$Q$78,0)</f>
        <v>17497602.3244</v>
      </c>
      <c r="X122" s="93">
        <f>IFERROR('Resumo-Cult.Perma.'!U87*'Critérios de Implantação'!X$70,0)+IFERROR('Resumo-Cult.Perma.'!T87*'Critérios de Implantação'!X$71,0)+IFERROR('Resumo-Cult.Perma.'!S87*'Critérios de Implantação'!$Q$72,0)+IFERROR('Resumo-Cult.Perma.'!R87*'Critérios de Implantação'!$Q$73,0)+IFERROR('Resumo-Cult.Perma.'!Q87*'Critérios de Implantação'!$Q$74,0)+IFERROR('Resumo-Cult.Perma.'!P87*'Critérios de Implantação'!$Q$75,0)+IFERROR('Resumo-Cult.Perma.'!O87*'Critérios de Implantação'!$Q$76,0)+IFERROR('Resumo-Cult.Perma.'!N87*'Critérios de Implantação'!$Q$77,0)+IFERROR('Resumo-Cult.Perma.'!M87*'Critérios de Implantação'!$Q$78,0)</f>
        <v>17625171.881474741</v>
      </c>
      <c r="Y122" s="93">
        <f>IFERROR('Resumo-Cult.Perma.'!V87*'Critérios de Implantação'!Y$70,0)+IFERROR('Resumo-Cult.Perma.'!U87*'Critérios de Implantação'!Y$71,0)+IFERROR('Resumo-Cult.Perma.'!T87*'Critérios de Implantação'!$Q$72,0)+IFERROR('Resumo-Cult.Perma.'!S87*'Critérios de Implantação'!$Q$73,0)+IFERROR('Resumo-Cult.Perma.'!R87*'Critérios de Implantação'!$Q$74,0)+IFERROR('Resumo-Cult.Perma.'!Q87*'Critérios de Implantação'!$Q$75,0)+IFERROR('Resumo-Cult.Perma.'!P87*'Critérios de Implantação'!$Q$76,0)+IFERROR('Resumo-Cult.Perma.'!O87*'Critérios de Implantação'!$Q$77,0)+IFERROR('Resumo-Cult.Perma.'!N87*'Critérios de Implantação'!$Q$78,0)</f>
        <v>16818529.310020633</v>
      </c>
      <c r="Z122" s="93">
        <f>IFERROR('Resumo-Cult.Perma.'!W87*'Critérios de Implantação'!Z$70,0)+IFERROR('Resumo-Cult.Perma.'!V87*'Critérios de Implantação'!Z$71,0)+IFERROR('Resumo-Cult.Perma.'!U87*'Critérios de Implantação'!$Q$72,0)+IFERROR('Resumo-Cult.Perma.'!T87*'Critérios de Implantação'!$Q$73,0)+IFERROR('Resumo-Cult.Perma.'!S87*'Critérios de Implantação'!$Q$74,0)+IFERROR('Resumo-Cult.Perma.'!R87*'Critérios de Implantação'!$Q$75,0)+IFERROR('Resumo-Cult.Perma.'!Q87*'Critérios de Implantação'!$Q$76,0)+IFERROR('Resumo-Cult.Perma.'!P87*'Critérios de Implantação'!$Q$77,0)+IFERROR('Resumo-Cult.Perma.'!O87*'Critérios de Implantação'!$Q$78,0)</f>
        <v>16336969.646400336</v>
      </c>
      <c r="AA122" s="93">
        <f>IFERROR('Resumo-Cult.Perma.'!X87*'Critérios de Implantação'!AA$70,0)+IFERROR('Resumo-Cult.Perma.'!W87*'Critérios de Implantação'!AA$71,0)+IFERROR('Resumo-Cult.Perma.'!V87*'Critérios de Implantação'!$Q$72,0)+IFERROR('Resumo-Cult.Perma.'!U87*'Critérios de Implantação'!$Q$73,0)+IFERROR('Resumo-Cult.Perma.'!T87*'Critérios de Implantação'!$Q$74,0)+IFERROR('Resumo-Cult.Perma.'!S87*'Critérios de Implantação'!$Q$75,0)+IFERROR('Resumo-Cult.Perma.'!R87*'Critérios de Implantação'!$Q$76,0)+IFERROR('Resumo-Cult.Perma.'!Q87*'Critérios de Implantação'!$Q$77,0)+IFERROR('Resumo-Cult.Perma.'!P87*'Critérios de Implantação'!$Q$78,0)</f>
        <v>16001009.761627331</v>
      </c>
      <c r="AB122" s="93">
        <f>IFERROR('Resumo-Cult.Perma.'!Y87*'Critérios de Implantação'!AB$70,0)+IFERROR('Resumo-Cult.Perma.'!X87*'Critérios de Implantação'!AB$71,0)+IFERROR('Resumo-Cult.Perma.'!W87*'Critérios de Implantação'!$Q$72,0)+IFERROR('Resumo-Cult.Perma.'!V87*'Critérios de Implantação'!$Q$73,0)+IFERROR('Resumo-Cult.Perma.'!U87*'Critérios de Implantação'!$Q$74,0)+IFERROR('Resumo-Cult.Perma.'!T87*'Critérios de Implantação'!$Q$75,0)+IFERROR('Resumo-Cult.Perma.'!S87*'Critérios de Implantação'!$Q$76,0)+IFERROR('Resumo-Cult.Perma.'!R87*'Critérios de Implantação'!$Q$77,0)+IFERROR('Resumo-Cult.Perma.'!Q87*'Critérios de Implantação'!$Q$78,0)</f>
        <v>14791133.470399864</v>
      </c>
      <c r="AC122" s="93">
        <f>IFERROR('Resumo-Cult.Perma.'!Z87*'Critérios de Implantação'!AC$70,0)+IFERROR('Resumo-Cult.Perma.'!Y87*'Critérios de Implantação'!AC$71,0)+IFERROR('Resumo-Cult.Perma.'!X87*'Critérios de Implantação'!$Q$72,0)+IFERROR('Resumo-Cult.Perma.'!W87*'Critérios de Implantação'!$Q$73,0)+IFERROR('Resumo-Cult.Perma.'!V87*'Critérios de Implantação'!$Q$74,0)+IFERROR('Resumo-Cult.Perma.'!U87*'Critérios de Implantação'!$Q$75,0)+IFERROR('Resumo-Cult.Perma.'!T87*'Critérios de Implantação'!$Q$76,0)+IFERROR('Resumo-Cult.Perma.'!S87*'Critérios de Implantação'!$Q$77,0)+IFERROR('Resumo-Cult.Perma.'!R87*'Critérios de Implantação'!$Q$78,0)</f>
        <v>14244192.095982797</v>
      </c>
      <c r="AD122" s="93">
        <f>IFERROR('Resumo-Cult.Perma.'!AA87*'Critérios de Implantação'!AD$70,0)+IFERROR('Resumo-Cult.Perma.'!Z87*'Critérios de Implantação'!AD$71,0)+IFERROR('Resumo-Cult.Perma.'!Y87*'Critérios de Implantação'!$Q$72,0)+IFERROR('Resumo-Cult.Perma.'!X87*'Critérios de Implantação'!$Q$73,0)+IFERROR('Resumo-Cult.Perma.'!W87*'Critérios de Implantação'!$Q$74,0)+IFERROR('Resumo-Cult.Perma.'!V87*'Critérios de Implantação'!$Q$75,0)+IFERROR('Resumo-Cult.Perma.'!U87*'Critérios de Implantação'!$Q$76,0)+IFERROR('Resumo-Cult.Perma.'!T87*'Critérios de Implantação'!$Q$77,0)+IFERROR('Resumo-Cult.Perma.'!S87*'Critérios de Implantação'!$Q$78,0)</f>
        <v>13821682.672673807</v>
      </c>
      <c r="AE122" s="93">
        <f>IFERROR('Resumo-Cult.Perma.'!AB87*'Critérios de Implantação'!AE$70,0)+IFERROR('Resumo-Cult.Perma.'!AA87*'Critérios de Implantação'!AE$71,0)+IFERROR('Resumo-Cult.Perma.'!Z87*'Critérios de Implantação'!$Q$72,0)+IFERROR('Resumo-Cult.Perma.'!Y87*'Critérios de Implantação'!$Q$73,0)+IFERROR('Resumo-Cult.Perma.'!X87*'Critérios de Implantação'!$Q$74,0)+IFERROR('Resumo-Cult.Perma.'!W87*'Critérios de Implantação'!$Q$75,0)+IFERROR('Resumo-Cult.Perma.'!V87*'Critérios de Implantação'!$Q$76,0)+IFERROR('Resumo-Cult.Perma.'!U87*'Critérios de Implantação'!$Q$77,0)+IFERROR('Resumo-Cult.Perma.'!T87*'Critérios de Implantação'!$Q$78,0)</f>
        <v>13885499.641448058</v>
      </c>
      <c r="AF122" s="93">
        <f>IFERROR('Resumo-Cult.Perma.'!AC87*'Critérios de Implantação'!AF$70,0)+IFERROR('Resumo-Cult.Perma.'!AB87*'Critérios de Implantação'!AF$71,0)+IFERROR('Resumo-Cult.Perma.'!AA87*'Critérios de Implantação'!$Q$72,0)+IFERROR('Resumo-Cult.Perma.'!Z87*'Critérios de Implantação'!$Q$73,0)+IFERROR('Resumo-Cult.Perma.'!Y87*'Critérios de Implantação'!$Q$74,0)+IFERROR('Resumo-Cult.Perma.'!X87*'Critérios de Implantação'!$Q$75,0)+IFERROR('Resumo-Cult.Perma.'!W87*'Critérios de Implantação'!$Q$76,0)+IFERROR('Resumo-Cult.Perma.'!V87*'Critérios de Implantação'!$Q$77,0)+IFERROR('Resumo-Cult.Perma.'!U87*'Critérios de Implantação'!$Q$78,0)</f>
        <v>14405658.552110584</v>
      </c>
      <c r="AG122" s="93">
        <f>IFERROR('Resumo-Cult.Perma.'!AD87*'Critérios de Implantação'!AG$70,0)+IFERROR('Resumo-Cult.Perma.'!AC87*'Critérios de Implantação'!AG$71,0)+IFERROR('Resumo-Cult.Perma.'!AB87*'Critérios de Implantação'!$Q$72,0)+IFERROR('Resumo-Cult.Perma.'!AA87*'Critérios de Implantação'!$Q$73,0)+IFERROR('Resumo-Cult.Perma.'!Z87*'Critérios de Implantação'!$Q$74,0)+IFERROR('Resumo-Cult.Perma.'!Y87*'Critérios de Implantação'!$Q$75,0)+IFERROR('Resumo-Cult.Perma.'!X87*'Critérios de Implantação'!$Q$76,0)+IFERROR('Resumo-Cult.Perma.'!W87*'Critérios de Implantação'!$Q$77,0)+IFERROR('Resumo-Cult.Perma.'!V87*'Critérios de Implantação'!$Q$78,0)</f>
        <v>15235786.792752981</v>
      </c>
      <c r="AH122" s="93">
        <f>IFERROR('Resumo-Cult.Perma.'!AE87*'Critérios de Implantação'!AH$70,0)+IFERROR('Resumo-Cult.Perma.'!AD87*'Critérios de Implantação'!AH$71,0)+IFERROR('Resumo-Cult.Perma.'!AC87*'Critérios de Implantação'!$Q$72,0)+IFERROR('Resumo-Cult.Perma.'!AB87*'Critérios de Implantação'!$Q$73,0)+IFERROR('Resumo-Cult.Perma.'!AA87*'Critérios de Implantação'!$Q$74,0)+IFERROR('Resumo-Cult.Perma.'!Z87*'Critérios de Implantação'!$Q$75,0)+IFERROR('Resumo-Cult.Perma.'!Y87*'Critérios de Implantação'!$Q$76,0)+IFERROR('Resumo-Cult.Perma.'!X87*'Critérios de Implantação'!$Q$77,0)+IFERROR('Resumo-Cult.Perma.'!W87*'Critérios de Implantação'!$Q$78,0)</f>
        <v>16329798.131204922</v>
      </c>
      <c r="AI122" s="93">
        <f>IFERROR('Resumo-Cult.Perma.'!AF87*'Critérios de Implantação'!AI$70,0)+IFERROR('Resumo-Cult.Perma.'!AE87*'Critérios de Implantação'!AI$71,0)+IFERROR('Resumo-Cult.Perma.'!AD87*'Critérios de Implantação'!$Q$72,0)+IFERROR('Resumo-Cult.Perma.'!AC87*'Critérios de Implantação'!$Q$73,0)+IFERROR('Resumo-Cult.Perma.'!AB87*'Critérios de Implantação'!$Q$74,0)+IFERROR('Resumo-Cult.Perma.'!AA87*'Critérios de Implantação'!$Q$75,0)+IFERROR('Resumo-Cult.Perma.'!Z87*'Critérios de Implantação'!$Q$76,0)+IFERROR('Resumo-Cult.Perma.'!Y87*'Critérios de Implantação'!$Q$77,0)+IFERROR('Resumo-Cult.Perma.'!X87*'Critérios de Implantação'!$Q$78,0)</f>
        <v>16978637.923305437</v>
      </c>
      <c r="AJ122" s="93">
        <f>IFERROR('Resumo-Cult.Perma.'!AG87*'Critérios de Implantação'!AJ$70,0)+IFERROR('Resumo-Cult.Perma.'!AF87*'Critérios de Implantação'!AJ$71,0)+IFERROR('Resumo-Cult.Perma.'!AE87*'Critérios de Implantação'!$Q$72,0)+IFERROR('Resumo-Cult.Perma.'!AD87*'Critérios de Implantação'!$Q$73,0)+IFERROR('Resumo-Cult.Perma.'!AC87*'Critérios de Implantação'!$Q$74,0)+IFERROR('Resumo-Cult.Perma.'!AB87*'Critérios de Implantação'!$Q$75,0)+IFERROR('Resumo-Cult.Perma.'!AA87*'Critérios de Implantação'!$Q$76,0)+IFERROR('Resumo-Cult.Perma.'!Z87*'Critérios de Implantação'!$Q$77,0)+IFERROR('Resumo-Cult.Perma.'!Y87*'Critérios de Implantação'!$Q$78,0)</f>
        <v>17325292.779935751</v>
      </c>
      <c r="AK122" s="81">
        <f>IFERROR('Resumo-Cult.Perma.'!AH87*'Critérios de Implantação'!AK$70,0)+IFERROR('Resumo-Cult.Perma.'!AG87*'Critérios de Implantação'!AK$71,0)+IFERROR('Resumo-Cult.Perma.'!AF87*'Critérios de Implantação'!$Q$72,0)+IFERROR('Resumo-Cult.Perma.'!AE87*'Critérios de Implantação'!$Q$73,0)+IFERROR('Resumo-Cult.Perma.'!AD87*'Critérios de Implantação'!$Q$74,0)+IFERROR('Resumo-Cult.Perma.'!AC87*'Critérios de Implantação'!$Q$75,0)+IFERROR('Resumo-Cult.Perma.'!AB87*'Critérios de Implantação'!$Q$76,0)+IFERROR('Resumo-Cult.Perma.'!AA87*'Critérios de Implantação'!$Q$77,0)+IFERROR('Resumo-Cult.Perma.'!Z87*'Critérios de Implantação'!$Q$78,0)</f>
        <v>17472051.609062769</v>
      </c>
    </row>
    <row r="123" spans="1:37" ht="20.149999999999999" hidden="1" customHeight="1" outlineLevel="1" x14ac:dyDescent="0.25">
      <c r="A123" s="48" t="s">
        <v>138</v>
      </c>
      <c r="B123" s="34" t="s">
        <v>146</v>
      </c>
      <c r="C123" s="93"/>
      <c r="D123" s="93">
        <f>IFERROR(('Resumo-Cult.Perma.'!C88*('Critérios de Implantação'!D$70)),0)+IFERROR(('Resumo-Cult.Perma.'!B88*('Critérios de Implantação'!D$71)),0)+IFERROR(('Resumo-Cult.Perma.'!A88*('Critérios de Implantação'!D$78)),0)</f>
        <v>0</v>
      </c>
      <c r="E123" s="93">
        <f>IFERROR(('Resumo-Cult.Perma.'!D88*('Critérios de Implantação'!E$70)),0)+IFERROR(('Resumo-Cult.Perma.'!C88*('Critérios de Implantação'!E$71)),0)+IFERROR(('Resumo-Cult.Perma.'!B88*('Critérios de Implantação'!E$78)),0)</f>
        <v>0</v>
      </c>
      <c r="F123" s="93">
        <f>IFERROR(('Resumo-Cult.Perma.'!E88*('Critérios de Implantação'!F$70)),0)+IFERROR(('Resumo-Cult.Perma.'!D88*('Critérios de Implantação'!F$71)),0)+IFERROR(('Resumo-Cult.Perma.'!C88*('Critérios de Implantação'!F$78)),0)</f>
        <v>0</v>
      </c>
      <c r="G123" s="93">
        <f>IFERROR('Resumo-Cult.Perma.'!D88*'Critérios de Implantação'!G$70,0)+IFERROR('Resumo-Cult.Perma.'!C88*'Critérios de Implantação'!G$71,0)+IFERROR('Resumo-Cult.Perma.'!B88*'Critérios de Implantação'!$Q$72,0)+IFERROR('Resumo-Cult.Perma.'!A88*'Critérios de Implantação'!$Q$73,0)+IFERROR('Resumo-Cult.Perma.'!#REF!*'Critérios de Implantação'!$Q$74,0)+IFERROR('Resumo-Cult.Perma.'!#REF!*'Critérios de Implantação'!$Q$75,0)+IFERROR('Resumo-Cult.Perma.'!#REF!*'Critérios de Implantação'!$Q$76,0)+IFERROR('Resumo-Cult.Perma.'!#REF!*'Critérios de Implantação'!$Q$77,0)+IFERROR('Resumo-Cult.Perma.'!#REF!*'Critérios de Implantação'!$Q$78,0)</f>
        <v>0</v>
      </c>
      <c r="H123" s="93">
        <f>IFERROR('Resumo-Cult.Perma.'!E88*'Critérios de Implantação'!H$70,0)+IFERROR('Resumo-Cult.Perma.'!D88*'Critérios de Implantação'!H$71,0)+IFERROR('Resumo-Cult.Perma.'!C88*'Critérios de Implantação'!$Q$72,0)+IFERROR('Resumo-Cult.Perma.'!B88*'Critérios de Implantação'!$Q$73,0)+IFERROR('Resumo-Cult.Perma.'!A88*'Critérios de Implantação'!$Q$74,0)+IFERROR('Resumo-Cult.Perma.'!#REF!*'Critérios de Implantação'!$Q$75,0)+IFERROR('Resumo-Cult.Perma.'!#REF!*'Critérios de Implantação'!$Q$76,0)+IFERROR('Resumo-Cult.Perma.'!#REF!*'Critérios de Implantação'!$Q$77,0)+IFERROR('Resumo-Cult.Perma.'!#REF!*'Critérios de Implantação'!$Q$78,0)</f>
        <v>275077.89126694127</v>
      </c>
      <c r="I123" s="93">
        <f>IFERROR('Resumo-Cult.Perma.'!F88*'Critérios de Implantação'!I$70,0)+IFERROR('Resumo-Cult.Perma.'!E88*'Critérios de Implantação'!I$71,0)+IFERROR('Resumo-Cult.Perma.'!D88*'Critérios de Implantação'!$Q$72,0)+IFERROR('Resumo-Cult.Perma.'!C88*'Critérios de Implantação'!$Q$73,0)+IFERROR('Resumo-Cult.Perma.'!B88*'Critérios de Implantação'!$Q$74,0)+IFERROR('Resumo-Cult.Perma.'!A88*'Critérios de Implantação'!$Q$75,0)+IFERROR('Resumo-Cult.Perma.'!#REF!*'Critérios de Implantação'!$Q$76,0)+IFERROR('Resumo-Cult.Perma.'!#REF!*'Critérios de Implantação'!$Q$77,0)+IFERROR('Resumo-Cult.Perma.'!#REF!*'Critérios de Implantação'!$Q$78,0)</f>
        <v>586728.46868082136</v>
      </c>
      <c r="J123" s="93">
        <f>IFERROR('Resumo-Cult.Perma.'!G88*'Critérios de Implantação'!J$70,0)+IFERROR('Resumo-Cult.Perma.'!F88*'Critérios de Implantação'!J$71,0)+IFERROR('Resumo-Cult.Perma.'!E88*'Critérios de Implantação'!$Q$72,0)+IFERROR('Resumo-Cult.Perma.'!D88*'Critérios de Implantação'!$Q$73,0)+IFERROR('Resumo-Cult.Perma.'!C88*'Critérios de Implantação'!$Q$74,0)+IFERROR('Resumo-Cult.Perma.'!B88*'Critérios de Implantação'!$Q$75,0)+IFERROR('Resumo-Cult.Perma.'!A88*'Critérios de Implantação'!$Q$76,0)+IFERROR('Resumo-Cult.Perma.'!#REF!*'Critérios de Implantação'!$Q$77,0)+IFERROR('Resumo-Cult.Perma.'!#REF!*'Critérios de Implantação'!$Q$78,0)</f>
        <v>1081235.6086301845</v>
      </c>
      <c r="K123" s="93">
        <f>IFERROR('Resumo-Cult.Perma.'!H88*'Critérios de Implantação'!K$70,0)+IFERROR('Resumo-Cult.Perma.'!G88*'Critérios de Implantação'!K$71,0)+IFERROR('Resumo-Cult.Perma.'!F88*'Critérios de Implantação'!$Q$72,0)+IFERROR('Resumo-Cult.Perma.'!E88*'Critérios de Implantação'!$Q$73,0)+IFERROR('Resumo-Cult.Perma.'!D88*'Critérios de Implantação'!$Q$74,0)+IFERROR('Resumo-Cult.Perma.'!C88*'Critérios de Implantação'!$Q$75,0)+IFERROR('Resumo-Cult.Perma.'!B88*'Critérios de Implantação'!$Q$76,0)+IFERROR('Resumo-Cult.Perma.'!A88*'Critérios de Implantação'!$Q$77,0)+IFERROR('Resumo-Cult.Perma.'!#REF!*'Critérios de Implantação'!$Q$78,0)</f>
        <v>1923214.4111982873</v>
      </c>
      <c r="L123" s="93">
        <f>IFERROR('Resumo-Cult.Perma.'!I88*'Critérios de Implantação'!L$70,0)+IFERROR('Resumo-Cult.Perma.'!H88*'Critérios de Implantação'!L$71,0)+IFERROR('Resumo-Cult.Perma.'!G88*'Critérios de Implantação'!$Q$72,0)+IFERROR('Resumo-Cult.Perma.'!F88*'Critérios de Implantação'!$Q$73,0)+IFERROR('Resumo-Cult.Perma.'!E88*'Critérios de Implantação'!$Q$74,0)+IFERROR('Resumo-Cult.Perma.'!D88*'Critérios de Implantação'!$Q$75,0)+IFERROR('Resumo-Cult.Perma.'!C88*'Critérios de Implantação'!$Q$76,0)+IFERROR('Resumo-Cult.Perma.'!B88*'Critérios de Implantação'!$Q$77,0)+IFERROR('Resumo-Cult.Perma.'!A88*'Critérios de Implantação'!$Q$78,0)</f>
        <v>2872223.500071092</v>
      </c>
      <c r="M123" s="93">
        <f>IFERROR('Resumo-Cult.Perma.'!J88*'Critérios de Implantação'!M$70,0)+IFERROR('Resumo-Cult.Perma.'!I88*'Critérios de Implantação'!M$71,0)+IFERROR('Resumo-Cult.Perma.'!H88*'Critérios de Implantação'!$Q$72,0)+IFERROR('Resumo-Cult.Perma.'!G88*'Critérios de Implantação'!$Q$73,0)+IFERROR('Resumo-Cult.Perma.'!F88*'Critérios de Implantação'!$Q$74,0)+IFERROR('Resumo-Cult.Perma.'!E88*'Critérios de Implantação'!$Q$75,0)+IFERROR('Resumo-Cult.Perma.'!D88*'Critérios de Implantação'!$Q$76,0)+IFERROR('Resumo-Cult.Perma.'!C88*'Critérios de Implantação'!$Q$77,0)+IFERROR('Resumo-Cult.Perma.'!B88*'Critérios de Implantação'!$Q$78,0)</f>
        <v>4062278.6894478858</v>
      </c>
      <c r="N123" s="93">
        <f>IFERROR('Resumo-Cult.Perma.'!K88*'Critérios de Implantação'!N$70,0)+IFERROR('Resumo-Cult.Perma.'!J88*'Critérios de Implantação'!N$71,0)+IFERROR('Resumo-Cult.Perma.'!I88*'Critérios de Implantação'!$Q$72,0)+IFERROR('Resumo-Cult.Perma.'!H88*'Critérios de Implantação'!$Q$73,0)+IFERROR('Resumo-Cult.Perma.'!G88*'Critérios de Implantação'!$Q$74,0)+IFERROR('Resumo-Cult.Perma.'!F88*'Critérios de Implantação'!$Q$75,0)+IFERROR('Resumo-Cult.Perma.'!E88*'Critérios de Implantação'!$Q$76,0)+IFERROR('Resumo-Cult.Perma.'!D88*'Critérios de Implantação'!$Q$77,0)+IFERROR('Resumo-Cult.Perma.'!C88*'Critérios de Implantação'!$Q$78,0)</f>
        <v>5174320.7891509067</v>
      </c>
      <c r="O123" s="93">
        <f>IFERROR('Resumo-Cult.Perma.'!L88*'Critérios de Implantação'!O$70,0)+IFERROR('Resumo-Cult.Perma.'!K88*'Critérios de Implantação'!O$71,0)+IFERROR('Resumo-Cult.Perma.'!J88*'Critérios de Implantação'!$Q$72,0)+IFERROR('Resumo-Cult.Perma.'!I88*'Critérios de Implantação'!$Q$73,0)+IFERROR('Resumo-Cult.Perma.'!H88*'Critérios de Implantação'!$Q$74,0)+IFERROR('Resumo-Cult.Perma.'!G88*'Critérios de Implantação'!$Q$75,0)+IFERROR('Resumo-Cult.Perma.'!F88*'Critérios de Implantação'!$Q$76,0)+IFERROR('Resumo-Cult.Perma.'!E88*'Critérios de Implantação'!$Q$77,0)+IFERROR('Resumo-Cult.Perma.'!D88*'Critérios de Implantação'!$Q$78,0)</f>
        <v>6233891.7733497489</v>
      </c>
      <c r="P123" s="93">
        <f>IFERROR('Resumo-Cult.Perma.'!M88*'Critérios de Implantação'!P$70,0)+IFERROR('Resumo-Cult.Perma.'!L88*'Critérios de Implantação'!P$71,0)+IFERROR('Resumo-Cult.Perma.'!K88*'Critérios de Implantação'!$Q$72,0)+IFERROR('Resumo-Cult.Perma.'!J88*'Critérios de Implantação'!$Q$73,0)+IFERROR('Resumo-Cult.Perma.'!I88*'Critérios de Implantação'!$Q$74,0)+IFERROR('Resumo-Cult.Perma.'!H88*'Critérios de Implantação'!$Q$75,0)+IFERROR('Resumo-Cult.Perma.'!G88*'Critérios de Implantação'!$Q$76,0)+IFERROR('Resumo-Cult.Perma.'!F88*'Critérios de Implantação'!$Q$77,0)+IFERROR('Resumo-Cult.Perma.'!E88*'Critérios de Implantação'!$Q$78,0)</f>
        <v>7044388.4281467181</v>
      </c>
      <c r="Q123" s="93">
        <f>IFERROR('Resumo-Cult.Perma.'!N88*'Critérios de Implantação'!Q$70,0)+IFERROR('Resumo-Cult.Perma.'!M88*'Critérios de Implantação'!Q$71,0)+IFERROR('Resumo-Cult.Perma.'!L88*'Critérios de Implantação'!$Q$72,0)+IFERROR('Resumo-Cult.Perma.'!K88*'Critérios de Implantação'!$Q$73,0)+IFERROR('Resumo-Cult.Perma.'!J88*'Critérios de Implantação'!$Q$74,0)+IFERROR('Resumo-Cult.Perma.'!I88*'Critérios de Implantação'!$Q$75,0)+IFERROR('Resumo-Cult.Perma.'!H88*'Critérios de Implantação'!$Q$76,0)+IFERROR('Resumo-Cult.Perma.'!G88*'Critérios de Implantação'!$Q$77,0)+IFERROR('Resumo-Cult.Perma.'!F88*'Critérios de Implantação'!$Q$78,0)</f>
        <v>7612423.0770611307</v>
      </c>
      <c r="R123" s="93">
        <f>IFERROR('Resumo-Cult.Perma.'!O88*'Critérios de Implantação'!R$70,0)+IFERROR('Resumo-Cult.Perma.'!N88*'Critérios de Implantação'!R$71,0)+IFERROR('Resumo-Cult.Perma.'!M88*'Critérios de Implantação'!$Q$72,0)+IFERROR('Resumo-Cult.Perma.'!L88*'Critérios de Implantação'!$Q$73,0)+IFERROR('Resumo-Cult.Perma.'!K88*'Critérios de Implantação'!$Q$74,0)+IFERROR('Resumo-Cult.Perma.'!J88*'Critérios de Implantação'!$Q$75,0)+IFERROR('Resumo-Cult.Perma.'!I88*'Critérios de Implantação'!$Q$76,0)+IFERROR('Resumo-Cult.Perma.'!H88*'Critérios de Implantação'!$Q$77,0)+IFERROR('Resumo-Cult.Perma.'!G88*'Critérios de Implantação'!$Q$78,0)</f>
        <v>7965783.7455630042</v>
      </c>
      <c r="S123" s="93">
        <f>IFERROR('Resumo-Cult.Perma.'!P88*'Critérios de Implantação'!S$70,0)+IFERROR('Resumo-Cult.Perma.'!O88*'Critérios de Implantação'!S$71,0)+IFERROR('Resumo-Cult.Perma.'!N88*'Critérios de Implantação'!$Q$72,0)+IFERROR('Resumo-Cult.Perma.'!M88*'Critérios de Implantação'!$Q$73,0)+IFERROR('Resumo-Cult.Perma.'!L88*'Critérios de Implantação'!$Q$74,0)+IFERROR('Resumo-Cult.Perma.'!K88*'Critérios de Implantação'!$Q$75,0)+IFERROR('Resumo-Cult.Perma.'!J88*'Critérios de Implantação'!$Q$76,0)+IFERROR('Resumo-Cult.Perma.'!I88*'Critérios de Implantação'!$Q$77,0)+IFERROR('Resumo-Cult.Perma.'!H88*'Critérios de Implantação'!$Q$78,0)</f>
        <v>8060079.9493222972</v>
      </c>
      <c r="T123" s="93">
        <f>IFERROR('Resumo-Cult.Perma.'!Q88*'Critérios de Implantação'!T$70,0)+IFERROR('Resumo-Cult.Perma.'!P88*'Critérios de Implantação'!T$71,0)+IFERROR('Resumo-Cult.Perma.'!O88*'Critérios de Implantação'!$Q$72,0)+IFERROR('Resumo-Cult.Perma.'!N88*'Critérios de Implantação'!$Q$73,0)+IFERROR('Resumo-Cult.Perma.'!M88*'Critérios de Implantação'!$Q$74,0)+IFERROR('Resumo-Cult.Perma.'!L88*'Critérios de Implantação'!$Q$75,0)+IFERROR('Resumo-Cult.Perma.'!K88*'Critérios de Implantação'!$Q$76,0)+IFERROR('Resumo-Cult.Perma.'!J88*'Critérios de Implantação'!$Q$77,0)+IFERROR('Resumo-Cult.Perma.'!I88*'Critérios de Implantação'!$Q$78,0)</f>
        <v>8094716.6252621152</v>
      </c>
      <c r="U123" s="93">
        <f>IFERROR('Resumo-Cult.Perma.'!R88*'Critérios de Implantação'!U$70,0)+IFERROR('Resumo-Cult.Perma.'!Q88*'Critérios de Implantação'!U$71,0)+IFERROR('Resumo-Cult.Perma.'!P88*'Critérios de Implantação'!$Q$72,0)+IFERROR('Resumo-Cult.Perma.'!O88*'Critérios de Implantação'!$Q$73,0)+IFERROR('Resumo-Cult.Perma.'!N88*'Critérios de Implantação'!$Q$74,0)+IFERROR('Resumo-Cult.Perma.'!M88*'Critérios de Implantação'!$Q$75,0)+IFERROR('Resumo-Cult.Perma.'!L88*'Critérios de Implantação'!$Q$76,0)+IFERROR('Resumo-Cult.Perma.'!K88*'Critérios de Implantação'!$Q$77,0)+IFERROR('Resumo-Cult.Perma.'!J88*'Critérios de Implantação'!$Q$78,0)</f>
        <v>7881103.0910148388</v>
      </c>
      <c r="V123" s="93">
        <f>IFERROR('Resumo-Cult.Perma.'!S88*'Critérios de Implantação'!V$70,0)+IFERROR('Resumo-Cult.Perma.'!R88*'Critérios de Implantação'!V$71,0)+IFERROR('Resumo-Cult.Perma.'!Q88*'Critérios de Implantação'!$Q$72,0)+IFERROR('Resumo-Cult.Perma.'!P88*'Critérios de Implantação'!$Q$73,0)+IFERROR('Resumo-Cult.Perma.'!O88*'Critérios de Implantação'!$Q$74,0)+IFERROR('Resumo-Cult.Perma.'!N88*'Critérios de Implantação'!$Q$75,0)+IFERROR('Resumo-Cult.Perma.'!M88*'Critérios de Implantação'!$Q$76,0)+IFERROR('Resumo-Cult.Perma.'!L88*'Critérios de Implantação'!$Q$77,0)+IFERROR('Resumo-Cult.Perma.'!K88*'Critérios de Implantação'!$Q$78,0)</f>
        <v>7658508.6161597027</v>
      </c>
      <c r="W123" s="93">
        <f>IFERROR('Resumo-Cult.Perma.'!T88*'Critérios de Implantação'!W$70,0)+IFERROR('Resumo-Cult.Perma.'!S88*'Critérios de Implantação'!W$71,0)+IFERROR('Resumo-Cult.Perma.'!R88*'Critérios de Implantação'!$Q$72,0)+IFERROR('Resumo-Cult.Perma.'!Q88*'Critérios de Implantação'!$Q$73,0)+IFERROR('Resumo-Cult.Perma.'!P88*'Critérios de Implantação'!$Q$74,0)+IFERROR('Resumo-Cult.Perma.'!O88*'Critérios de Implantação'!$Q$75,0)+IFERROR('Resumo-Cult.Perma.'!N88*'Critérios de Implantação'!$Q$76,0)+IFERROR('Resumo-Cult.Perma.'!M88*'Critérios de Implantação'!$Q$77,0)+IFERROR('Resumo-Cult.Perma.'!L88*'Critérios de Implantação'!$Q$78,0)</f>
        <v>7407208.7970519532</v>
      </c>
      <c r="X123" s="93">
        <f>IFERROR('Resumo-Cult.Perma.'!U88*'Critérios de Implantação'!X$70,0)+IFERROR('Resumo-Cult.Perma.'!T88*'Critérios de Implantação'!X$71,0)+IFERROR('Resumo-Cult.Perma.'!S88*'Critérios de Implantação'!$Q$72,0)+IFERROR('Resumo-Cult.Perma.'!R88*'Critérios de Implantação'!$Q$73,0)+IFERROR('Resumo-Cult.Perma.'!Q88*'Critérios de Implantação'!$Q$74,0)+IFERROR('Resumo-Cult.Perma.'!P88*'Critérios de Implantação'!$Q$75,0)+IFERROR('Resumo-Cult.Perma.'!O88*'Critérios de Implantação'!$Q$76,0)+IFERROR('Resumo-Cult.Perma.'!N88*'Critérios de Implantação'!$Q$77,0)+IFERROR('Resumo-Cult.Perma.'!M88*'Critérios de Implantação'!$Q$78,0)</f>
        <v>6951434.7933373917</v>
      </c>
      <c r="Y123" s="93">
        <f>IFERROR('Resumo-Cult.Perma.'!V88*'Critérios de Implantação'!Y$70,0)+IFERROR('Resumo-Cult.Perma.'!U88*'Critérios de Implantação'!Y$71,0)+IFERROR('Resumo-Cult.Perma.'!T88*'Critérios de Implantação'!$Q$72,0)+IFERROR('Resumo-Cult.Perma.'!S88*'Critérios de Implantação'!$Q$73,0)+IFERROR('Resumo-Cult.Perma.'!R88*'Critérios de Implantação'!$Q$74,0)+IFERROR('Resumo-Cult.Perma.'!Q88*'Critérios de Implantação'!$Q$75,0)+IFERROR('Resumo-Cult.Perma.'!P88*'Critérios de Implantação'!$Q$76,0)+IFERROR('Resumo-Cult.Perma.'!O88*'Critérios de Implantação'!$Q$77,0)+IFERROR('Resumo-Cult.Perma.'!N88*'Critérios de Implantação'!$Q$78,0)</f>
        <v>6384647.8978228802</v>
      </c>
      <c r="Z123" s="93">
        <f>IFERROR('Resumo-Cult.Perma.'!W88*'Critérios de Implantação'!Z$70,0)+IFERROR('Resumo-Cult.Perma.'!V88*'Critérios de Implantação'!Z$71,0)+IFERROR('Resumo-Cult.Perma.'!U88*'Critérios de Implantação'!$Q$72,0)+IFERROR('Resumo-Cult.Perma.'!T88*'Critérios de Implantação'!$Q$73,0)+IFERROR('Resumo-Cult.Perma.'!S88*'Critérios de Implantação'!$Q$74,0)+IFERROR('Resumo-Cult.Perma.'!R88*'Critérios de Implantação'!$Q$75,0)+IFERROR('Resumo-Cult.Perma.'!Q88*'Critérios de Implantação'!$Q$76,0)+IFERROR('Resumo-Cult.Perma.'!P88*'Critérios de Implantação'!$Q$77,0)+IFERROR('Resumo-Cult.Perma.'!O88*'Critérios de Implantação'!$Q$78,0)</f>
        <v>5903438.7055530809</v>
      </c>
      <c r="AA123" s="93">
        <f>IFERROR('Resumo-Cult.Perma.'!X88*'Critérios de Implantação'!AA$70,0)+IFERROR('Resumo-Cult.Perma.'!W88*'Critérios de Implantação'!AA$71,0)+IFERROR('Resumo-Cult.Perma.'!V88*'Critérios de Implantação'!$Q$72,0)+IFERROR('Resumo-Cult.Perma.'!U88*'Critérios de Implantação'!$Q$73,0)+IFERROR('Resumo-Cult.Perma.'!T88*'Critérios de Implantação'!$Q$74,0)+IFERROR('Resumo-Cult.Perma.'!S88*'Critérios de Implantação'!$Q$75,0)+IFERROR('Resumo-Cult.Perma.'!R88*'Critérios de Implantação'!$Q$76,0)+IFERROR('Resumo-Cult.Perma.'!Q88*'Critérios de Implantação'!$Q$77,0)+IFERROR('Resumo-Cult.Perma.'!P88*'Critérios de Implantação'!$Q$78,0)</f>
        <v>5314727.6134619862</v>
      </c>
      <c r="AB123" s="93">
        <f>IFERROR('Resumo-Cult.Perma.'!Y88*'Critérios de Implantação'!AB$70,0)+IFERROR('Resumo-Cult.Perma.'!X88*'Critérios de Implantação'!AB$71,0)+IFERROR('Resumo-Cult.Perma.'!W88*'Critérios de Implantação'!$Q$72,0)+IFERROR('Resumo-Cult.Perma.'!V88*'Critérios de Implantação'!$Q$73,0)+IFERROR('Resumo-Cult.Perma.'!U88*'Critérios de Implantação'!$Q$74,0)+IFERROR('Resumo-Cult.Perma.'!T88*'Critérios de Implantação'!$Q$75,0)+IFERROR('Resumo-Cult.Perma.'!S88*'Critérios de Implantação'!$Q$76,0)+IFERROR('Resumo-Cult.Perma.'!R88*'Critérios de Implantação'!$Q$77,0)+IFERROR('Resumo-Cult.Perma.'!Q88*'Critérios de Implantação'!$Q$78,0)</f>
        <v>4767080.1882194169</v>
      </c>
      <c r="AC123" s="93">
        <f>IFERROR('Resumo-Cult.Perma.'!Z88*'Critérios de Implantação'!AC$70,0)+IFERROR('Resumo-Cult.Perma.'!Y88*'Critérios de Implantação'!AC$71,0)+IFERROR('Resumo-Cult.Perma.'!X88*'Critérios de Implantação'!$Q$72,0)+IFERROR('Resumo-Cult.Perma.'!W88*'Critérios de Implantação'!$Q$73,0)+IFERROR('Resumo-Cult.Perma.'!V88*'Critérios de Implantação'!$Q$74,0)+IFERROR('Resumo-Cult.Perma.'!U88*'Critérios de Implantação'!$Q$75,0)+IFERROR('Resumo-Cult.Perma.'!T88*'Critérios de Implantação'!$Q$76,0)+IFERROR('Resumo-Cult.Perma.'!S88*'Critérios de Implantação'!$Q$77,0)+IFERROR('Resumo-Cult.Perma.'!R88*'Critérios de Implantação'!$Q$78,0)</f>
        <v>4515529.6652042354</v>
      </c>
      <c r="AD123" s="93">
        <f>IFERROR('Resumo-Cult.Perma.'!AA88*'Critérios de Implantação'!AD$70,0)+IFERROR('Resumo-Cult.Perma.'!Z88*'Critérios de Implantação'!AD$71,0)+IFERROR('Resumo-Cult.Perma.'!Y88*'Critérios de Implantação'!$Q$72,0)+IFERROR('Resumo-Cult.Perma.'!X88*'Critérios de Implantação'!$Q$73,0)+IFERROR('Resumo-Cult.Perma.'!W88*'Critérios de Implantação'!$Q$74,0)+IFERROR('Resumo-Cult.Perma.'!V88*'Critérios de Implantação'!$Q$75,0)+IFERROR('Resumo-Cult.Perma.'!U88*'Critérios de Implantação'!$Q$76,0)+IFERROR('Resumo-Cult.Perma.'!T88*'Critérios de Implantação'!$Q$77,0)+IFERROR('Resumo-Cult.Perma.'!S88*'Critérios de Implantação'!$Q$78,0)</f>
        <v>4513303.9594664043</v>
      </c>
      <c r="AE123" s="93">
        <f>IFERROR('Resumo-Cult.Perma.'!AB88*'Critérios de Implantação'!AE$70,0)+IFERROR('Resumo-Cult.Perma.'!AA88*'Critérios de Implantação'!AE$71,0)+IFERROR('Resumo-Cult.Perma.'!Z88*'Critérios de Implantação'!$Q$72,0)+IFERROR('Resumo-Cult.Perma.'!Y88*'Critérios de Implantação'!$Q$73,0)+IFERROR('Resumo-Cult.Perma.'!X88*'Critérios de Implantação'!$Q$74,0)+IFERROR('Resumo-Cult.Perma.'!W88*'Critérios de Implantação'!$Q$75,0)+IFERROR('Resumo-Cult.Perma.'!V88*'Critérios de Implantação'!$Q$76,0)+IFERROR('Resumo-Cult.Perma.'!U88*'Critérios de Implantação'!$Q$77,0)+IFERROR('Resumo-Cult.Perma.'!T88*'Critérios de Implantação'!$Q$78,0)</f>
        <v>4918640.5330442386</v>
      </c>
      <c r="AF123" s="93">
        <f>IFERROR('Resumo-Cult.Perma.'!AC88*'Critérios de Implantação'!AF$70,0)+IFERROR('Resumo-Cult.Perma.'!AB88*'Critérios de Implantação'!AF$71,0)+IFERROR('Resumo-Cult.Perma.'!AA88*'Critérios de Implantação'!$Q$72,0)+IFERROR('Resumo-Cult.Perma.'!Z88*'Critérios de Implantação'!$Q$73,0)+IFERROR('Resumo-Cult.Perma.'!Y88*'Critérios de Implantação'!$Q$74,0)+IFERROR('Resumo-Cult.Perma.'!X88*'Critérios de Implantação'!$Q$75,0)+IFERROR('Resumo-Cult.Perma.'!W88*'Critérios de Implantação'!$Q$76,0)+IFERROR('Resumo-Cult.Perma.'!V88*'Critérios de Implantação'!$Q$77,0)+IFERROR('Resumo-Cult.Perma.'!U88*'Critérios de Implantação'!$Q$78,0)</f>
        <v>5504786.9695421625</v>
      </c>
      <c r="AG123" s="93">
        <f>IFERROR('Resumo-Cult.Perma.'!AD88*'Critérios de Implantação'!AG$70,0)+IFERROR('Resumo-Cult.Perma.'!AC88*'Critérios de Implantação'!AG$71,0)+IFERROR('Resumo-Cult.Perma.'!AB88*'Critérios de Implantação'!$Q$72,0)+IFERROR('Resumo-Cult.Perma.'!AA88*'Critérios de Implantação'!$Q$73,0)+IFERROR('Resumo-Cult.Perma.'!Z88*'Critérios de Implantação'!$Q$74,0)+IFERROR('Resumo-Cult.Perma.'!Y88*'Critérios de Implantação'!$Q$75,0)+IFERROR('Resumo-Cult.Perma.'!X88*'Critérios de Implantação'!$Q$76,0)+IFERROR('Resumo-Cult.Perma.'!W88*'Critérios de Implantação'!$Q$77,0)+IFERROR('Resumo-Cult.Perma.'!V88*'Critérios de Implantação'!$Q$78,0)</f>
        <v>6309081.4072664399</v>
      </c>
      <c r="AH123" s="93">
        <f>IFERROR('Resumo-Cult.Perma.'!AE88*'Critérios de Implantação'!AH$70,0)+IFERROR('Resumo-Cult.Perma.'!AD88*'Critérios de Implantação'!AH$71,0)+IFERROR('Resumo-Cult.Perma.'!AC88*'Critérios de Implantação'!$Q$72,0)+IFERROR('Resumo-Cult.Perma.'!AB88*'Critérios de Implantação'!$Q$73,0)+IFERROR('Resumo-Cult.Perma.'!AA88*'Critérios de Implantação'!$Q$74,0)+IFERROR('Resumo-Cult.Perma.'!Z88*'Critérios de Implantação'!$Q$75,0)+IFERROR('Resumo-Cult.Perma.'!Y88*'Critérios de Implantação'!$Q$76,0)+IFERROR('Resumo-Cult.Perma.'!X88*'Critérios de Implantação'!$Q$77,0)+IFERROR('Resumo-Cult.Perma.'!W88*'Critérios de Implantação'!$Q$78,0)</f>
        <v>7044388.4281467181</v>
      </c>
      <c r="AI123" s="93">
        <f>IFERROR('Resumo-Cult.Perma.'!AF88*'Critérios de Implantação'!AI$70,0)+IFERROR('Resumo-Cult.Perma.'!AE88*'Critérios de Implantação'!AI$71,0)+IFERROR('Resumo-Cult.Perma.'!AD88*'Critérios de Implantação'!$Q$72,0)+IFERROR('Resumo-Cult.Perma.'!AC88*'Critérios de Implantação'!$Q$73,0)+IFERROR('Resumo-Cult.Perma.'!AB88*'Critérios de Implantação'!$Q$74,0)+IFERROR('Resumo-Cult.Perma.'!AA88*'Critérios de Implantação'!$Q$75,0)+IFERROR('Resumo-Cult.Perma.'!Z88*'Critérios de Implantação'!$Q$76,0)+IFERROR('Resumo-Cult.Perma.'!Y88*'Critérios de Implantação'!$Q$77,0)+IFERROR('Resumo-Cult.Perma.'!X88*'Critérios de Implantação'!$Q$78,0)</f>
        <v>7612423.0770611307</v>
      </c>
      <c r="AJ123" s="93">
        <f>IFERROR('Resumo-Cult.Perma.'!AG88*'Critérios de Implantação'!AJ$70,0)+IFERROR('Resumo-Cult.Perma.'!AF88*'Critérios de Implantação'!AJ$71,0)+IFERROR('Resumo-Cult.Perma.'!AE88*'Critérios de Implantação'!$Q$72,0)+IFERROR('Resumo-Cult.Perma.'!AD88*'Critérios de Implantação'!$Q$73,0)+IFERROR('Resumo-Cult.Perma.'!AC88*'Critérios de Implantação'!$Q$74,0)+IFERROR('Resumo-Cult.Perma.'!AB88*'Critérios de Implantação'!$Q$75,0)+IFERROR('Resumo-Cult.Perma.'!AA88*'Critérios de Implantação'!$Q$76,0)+IFERROR('Resumo-Cult.Perma.'!Z88*'Critérios de Implantação'!$Q$77,0)+IFERROR('Resumo-Cult.Perma.'!Y88*'Critérios de Implantação'!$Q$78,0)</f>
        <v>7965783.7455630042</v>
      </c>
      <c r="AK123" s="81">
        <f>IFERROR('Resumo-Cult.Perma.'!AH88*'Critérios de Implantação'!AK$70,0)+IFERROR('Resumo-Cult.Perma.'!AG88*'Critérios de Implantação'!AK$71,0)+IFERROR('Resumo-Cult.Perma.'!AF88*'Critérios de Implantação'!$Q$72,0)+IFERROR('Resumo-Cult.Perma.'!AE88*'Critérios de Implantação'!$Q$73,0)+IFERROR('Resumo-Cult.Perma.'!AD88*'Critérios de Implantação'!$Q$74,0)+IFERROR('Resumo-Cult.Perma.'!AC88*'Critérios de Implantação'!$Q$75,0)+IFERROR('Resumo-Cult.Perma.'!AB88*'Critérios de Implantação'!$Q$76,0)+IFERROR('Resumo-Cult.Perma.'!AA88*'Critérios de Implantação'!$Q$77,0)+IFERROR('Resumo-Cult.Perma.'!Z88*'Critérios de Implantação'!$Q$78,0)</f>
        <v>8060079.9493222972</v>
      </c>
    </row>
    <row r="124" spans="1:37" ht="20.149999999999999" hidden="1" customHeight="1" outlineLevel="1" x14ac:dyDescent="0.25">
      <c r="A124" s="48" t="s">
        <v>139</v>
      </c>
      <c r="B124" s="82" t="s">
        <v>143</v>
      </c>
      <c r="C124" s="93"/>
      <c r="D124" s="93">
        <f>IFERROR(('Resumo-Cult.Perma.'!C89*('Critérios de Implantação'!D$70)),0)+IFERROR(('Resumo-Cult.Perma.'!B89*('Critérios de Implantação'!D$71)),0)+IFERROR(('Resumo-Cult.Perma.'!A89*('Critérios de Implantação'!D$78)),0)</f>
        <v>0</v>
      </c>
      <c r="E124" s="93">
        <f>IFERROR(('Resumo-Cult.Perma.'!D89*('Critérios de Implantação'!E$70)),0)+IFERROR(('Resumo-Cult.Perma.'!C89*('Critérios de Implantação'!E$71)),0)+IFERROR(('Resumo-Cult.Perma.'!B89*('Critérios de Implantação'!E$78)),0)</f>
        <v>0</v>
      </c>
      <c r="F124" s="93">
        <f>IFERROR(('Resumo-Cult.Perma.'!E89*('Critérios de Implantação'!F$70)),0)+IFERROR(('Resumo-Cult.Perma.'!D89*('Critérios de Implantação'!F$71)),0)+IFERROR(('Resumo-Cult.Perma.'!C89*('Critérios de Implantação'!F$78)),0)</f>
        <v>0</v>
      </c>
      <c r="G124" s="93">
        <f>IFERROR('Resumo-Cult.Perma.'!D89*'Critérios de Implantação'!G$70,0)+IFERROR('Resumo-Cult.Perma.'!C89*'Critérios de Implantação'!G$71,0)+IFERROR('Resumo-Cult.Perma.'!B89*'Critérios de Implantação'!$Q$72,0)+IFERROR('Resumo-Cult.Perma.'!A89*'Critérios de Implantação'!$Q$73,0)+IFERROR('Resumo-Cult.Perma.'!#REF!*'Critérios de Implantação'!$Q$74,0)+IFERROR('Resumo-Cult.Perma.'!#REF!*'Critérios de Implantação'!$Q$75,0)+IFERROR('Resumo-Cult.Perma.'!#REF!*'Critérios de Implantação'!$Q$76,0)+IFERROR('Resumo-Cult.Perma.'!#REF!*'Critérios de Implantação'!$Q$77,0)+IFERROR('Resumo-Cult.Perma.'!#REF!*'Critérios de Implantação'!$Q$78,0)</f>
        <v>0</v>
      </c>
      <c r="H124" s="93">
        <f>IFERROR('Resumo-Cult.Perma.'!E89*'Critérios de Implantação'!H$70,0)+IFERROR('Resumo-Cult.Perma.'!D89*'Critérios de Implantação'!H$71,0)+IFERROR('Resumo-Cult.Perma.'!C89*'Critérios de Implantação'!$Q$72,0)+IFERROR('Resumo-Cult.Perma.'!B89*'Critérios de Implantação'!$Q$73,0)+IFERROR('Resumo-Cult.Perma.'!A89*'Critérios de Implantação'!$Q$74,0)+IFERROR('Resumo-Cult.Perma.'!#REF!*'Critérios de Implantação'!$Q$75,0)+IFERROR('Resumo-Cult.Perma.'!#REF!*'Critérios de Implantação'!$Q$76,0)+IFERROR('Resumo-Cult.Perma.'!#REF!*'Critérios de Implantação'!$Q$77,0)+IFERROR('Resumo-Cult.Perma.'!#REF!*'Critérios de Implantação'!$Q$78,0)</f>
        <v>359512.10086364904</v>
      </c>
      <c r="I124" s="93">
        <f>IFERROR('Resumo-Cult.Perma.'!F89*'Critérios de Implantação'!I$70,0)+IFERROR('Resumo-Cult.Perma.'!E89*'Critérios de Implantação'!I$71,0)+IFERROR('Resumo-Cult.Perma.'!D89*'Critérios de Implantação'!$Q$72,0)+IFERROR('Resumo-Cult.Perma.'!C89*'Critérios de Implantação'!$Q$73,0)+IFERROR('Resumo-Cult.Perma.'!B89*'Critérios de Implantação'!$Q$74,0)+IFERROR('Resumo-Cult.Perma.'!A89*'Critérios de Implantação'!$Q$75,0)+IFERROR('Resumo-Cult.Perma.'!#REF!*'Critérios de Implantação'!$Q$76,0)+IFERROR('Resumo-Cult.Perma.'!#REF!*'Critérios de Implantação'!$Q$77,0)+IFERROR('Resumo-Cult.Perma.'!#REF!*'Critérios de Implantação'!$Q$78,0)</f>
        <v>743411.23701564199</v>
      </c>
      <c r="J124" s="93">
        <f>IFERROR('Resumo-Cult.Perma.'!G89*'Critérios de Implantação'!J$70,0)+IFERROR('Resumo-Cult.Perma.'!F89*'Critérios de Implantação'!J$71,0)+IFERROR('Resumo-Cult.Perma.'!E89*'Critérios de Implantação'!$Q$72,0)+IFERROR('Resumo-Cult.Perma.'!D89*'Critérios de Implantação'!$Q$73,0)+IFERROR('Resumo-Cult.Perma.'!C89*'Critérios de Implantação'!$Q$74,0)+IFERROR('Resumo-Cult.Perma.'!B89*'Critérios de Implantação'!$Q$75,0)+IFERROR('Resumo-Cult.Perma.'!A89*'Critérios de Implantação'!$Q$76,0)+IFERROR('Resumo-Cult.Perma.'!#REF!*'Critérios de Implantação'!$Q$77,0)+IFERROR('Resumo-Cult.Perma.'!#REF!*'Critérios de Implantação'!$Q$78,0)</f>
        <v>1231988.1615988677</v>
      </c>
      <c r="K124" s="93">
        <f>IFERROR('Resumo-Cult.Perma.'!H89*'Critérios de Implantação'!K$70,0)+IFERROR('Resumo-Cult.Perma.'!G89*'Critérios de Implantação'!K$71,0)+IFERROR('Resumo-Cult.Perma.'!F89*'Critérios de Implantação'!$Q$72,0)+IFERROR('Resumo-Cult.Perma.'!E89*'Critérios de Implantação'!$Q$73,0)+IFERROR('Resumo-Cult.Perma.'!D89*'Critérios de Implantação'!$Q$74,0)+IFERROR('Resumo-Cult.Perma.'!C89*'Critérios de Implantação'!$Q$75,0)+IFERROR('Resumo-Cult.Perma.'!B89*'Critérios de Implantação'!$Q$76,0)+IFERROR('Resumo-Cult.Perma.'!A89*'Critérios de Implantação'!$Q$77,0)+IFERROR('Resumo-Cult.Perma.'!#REF!*'Critérios de Implantação'!$Q$78,0)</f>
        <v>2123847.1727515152</v>
      </c>
      <c r="L124" s="93">
        <f>IFERROR('Resumo-Cult.Perma.'!I89*'Critérios de Implantação'!L$70,0)+IFERROR('Resumo-Cult.Perma.'!H89*'Critérios de Implantação'!L$71,0)+IFERROR('Resumo-Cult.Perma.'!G89*'Critérios de Implantação'!$Q$72,0)+IFERROR('Resumo-Cult.Perma.'!F89*'Critérios de Implantação'!$Q$73,0)+IFERROR('Resumo-Cult.Perma.'!E89*'Critérios de Implantação'!$Q$74,0)+IFERROR('Resumo-Cult.Perma.'!D89*'Critérios de Implantação'!$Q$75,0)+IFERROR('Resumo-Cult.Perma.'!C89*'Critérios de Implantação'!$Q$76,0)+IFERROR('Resumo-Cult.Perma.'!B89*'Critérios de Implantação'!$Q$77,0)+IFERROR('Resumo-Cult.Perma.'!A89*'Critérios de Implantação'!$Q$78,0)</f>
        <v>3001890.8984453063</v>
      </c>
      <c r="M124" s="93">
        <f>IFERROR('Resumo-Cult.Perma.'!J89*'Critérios de Implantação'!M$70,0)+IFERROR('Resumo-Cult.Perma.'!I89*'Critérios de Implantação'!M$71,0)+IFERROR('Resumo-Cult.Perma.'!H89*'Critérios de Implantação'!$Q$72,0)+IFERROR('Resumo-Cult.Perma.'!G89*'Critérios de Implantação'!$Q$73,0)+IFERROR('Resumo-Cult.Perma.'!F89*'Critérios de Implantação'!$Q$74,0)+IFERROR('Resumo-Cult.Perma.'!E89*'Critérios de Implantação'!$Q$75,0)+IFERROR('Resumo-Cult.Perma.'!D89*'Critérios de Implantação'!$Q$76,0)+IFERROR('Resumo-Cult.Perma.'!C89*'Critérios de Implantação'!$Q$77,0)+IFERROR('Resumo-Cult.Perma.'!B89*'Critérios de Implantação'!$Q$78,0)</f>
        <v>3930429.9311206136</v>
      </c>
      <c r="N124" s="93">
        <f>IFERROR('Resumo-Cult.Perma.'!K89*'Critérios de Implantação'!N$70,0)+IFERROR('Resumo-Cult.Perma.'!J89*'Critérios de Implantação'!N$71,0)+IFERROR('Resumo-Cult.Perma.'!I89*'Critérios de Implantação'!$Q$72,0)+IFERROR('Resumo-Cult.Perma.'!H89*'Critérios de Implantação'!$Q$73,0)+IFERROR('Resumo-Cult.Perma.'!G89*'Critérios de Implantação'!$Q$74,0)+IFERROR('Resumo-Cult.Perma.'!F89*'Critérios de Implantação'!$Q$75,0)+IFERROR('Resumo-Cult.Perma.'!E89*'Critérios de Implantação'!$Q$76,0)+IFERROR('Resumo-Cult.Perma.'!D89*'Critérios de Implantação'!$Q$77,0)+IFERROR('Resumo-Cult.Perma.'!C89*'Critérios de Implantação'!$Q$78,0)</f>
        <v>4706869.358694911</v>
      </c>
      <c r="O124" s="93">
        <f>IFERROR('Resumo-Cult.Perma.'!L89*'Critérios de Implantação'!O$70,0)+IFERROR('Resumo-Cult.Perma.'!K89*'Critérios de Implantação'!O$71,0)+IFERROR('Resumo-Cult.Perma.'!J89*'Critérios de Implantação'!$Q$72,0)+IFERROR('Resumo-Cult.Perma.'!I89*'Critérios de Implantação'!$Q$73,0)+IFERROR('Resumo-Cult.Perma.'!H89*'Critérios de Implantação'!$Q$74,0)+IFERROR('Resumo-Cult.Perma.'!G89*'Critérios de Implantação'!$Q$75,0)+IFERROR('Resumo-Cult.Perma.'!F89*'Critérios de Implantação'!$Q$76,0)+IFERROR('Resumo-Cult.Perma.'!E89*'Critérios de Implantação'!$Q$77,0)+IFERROR('Resumo-Cult.Perma.'!D89*'Critérios de Implantação'!$Q$78,0)</f>
        <v>5284465.1517394073</v>
      </c>
      <c r="P124" s="93">
        <f>IFERROR('Resumo-Cult.Perma.'!M89*'Critérios de Implantação'!P$70,0)+IFERROR('Resumo-Cult.Perma.'!L89*'Critérios de Implantação'!P$71,0)+IFERROR('Resumo-Cult.Perma.'!K89*'Critérios de Implantação'!$Q$72,0)+IFERROR('Resumo-Cult.Perma.'!J89*'Critérios de Implantação'!$Q$73,0)+IFERROR('Resumo-Cult.Perma.'!I89*'Critérios de Implantação'!$Q$74,0)+IFERROR('Resumo-Cult.Perma.'!H89*'Critérios de Implantação'!$Q$75,0)+IFERROR('Resumo-Cult.Perma.'!G89*'Critérios de Implantação'!$Q$76,0)+IFERROR('Resumo-Cult.Perma.'!F89*'Critérios de Implantação'!$Q$77,0)+IFERROR('Resumo-Cult.Perma.'!E89*'Critérios de Implantação'!$Q$78,0)</f>
        <v>5604155.8047614349</v>
      </c>
      <c r="Q124" s="93">
        <f>IFERROR('Resumo-Cult.Perma.'!N89*'Critérios de Implantação'!Q$70,0)+IFERROR('Resumo-Cult.Perma.'!M89*'Critérios de Implantação'!Q$71,0)+IFERROR('Resumo-Cult.Perma.'!L89*'Critérios de Implantação'!$Q$72,0)+IFERROR('Resumo-Cult.Perma.'!K89*'Critérios de Implantação'!$Q$73,0)+IFERROR('Resumo-Cult.Perma.'!J89*'Critérios de Implantação'!$Q$74,0)+IFERROR('Resumo-Cult.Perma.'!I89*'Critérios de Implantação'!$Q$75,0)+IFERROR('Resumo-Cult.Perma.'!H89*'Critérios de Implantação'!$Q$76,0)+IFERROR('Resumo-Cult.Perma.'!G89*'Critérios de Implantação'!$Q$77,0)+IFERROR('Resumo-Cult.Perma.'!F89*'Critérios de Implantação'!$Q$78,0)</f>
        <v>5659215.5431576734</v>
      </c>
      <c r="R124" s="93">
        <f>IFERROR('Resumo-Cult.Perma.'!O89*'Critérios de Implantação'!R$70,0)+IFERROR('Resumo-Cult.Perma.'!N89*'Critérios de Implantação'!R$71,0)+IFERROR('Resumo-Cult.Perma.'!M89*'Critérios de Implantação'!$Q$72,0)+IFERROR('Resumo-Cult.Perma.'!L89*'Critérios de Implantação'!$Q$73,0)+IFERROR('Resumo-Cult.Perma.'!K89*'Critérios de Implantação'!$Q$74,0)+IFERROR('Resumo-Cult.Perma.'!J89*'Critérios de Implantação'!$Q$75,0)+IFERROR('Resumo-Cult.Perma.'!I89*'Critérios de Implantação'!$Q$76,0)+IFERROR('Resumo-Cult.Perma.'!H89*'Critérios de Implantação'!$Q$77,0)+IFERROR('Resumo-Cult.Perma.'!G89*'Critérios de Implantação'!$Q$78,0)</f>
        <v>5677644.375</v>
      </c>
      <c r="S124" s="93">
        <f>IFERROR('Resumo-Cult.Perma.'!P89*'Critérios de Implantação'!S$70,0)+IFERROR('Resumo-Cult.Perma.'!O89*'Critérios de Implantação'!S$71,0)+IFERROR('Resumo-Cult.Perma.'!N89*'Critérios de Implantação'!$Q$72,0)+IFERROR('Resumo-Cult.Perma.'!M89*'Critérios de Implantação'!$Q$73,0)+IFERROR('Resumo-Cult.Perma.'!L89*'Critérios de Implantação'!$Q$74,0)+IFERROR('Resumo-Cult.Perma.'!K89*'Critérios de Implantação'!$Q$75,0)+IFERROR('Resumo-Cult.Perma.'!J89*'Critérios de Implantação'!$Q$76,0)+IFERROR('Resumo-Cult.Perma.'!I89*'Critérios de Implantação'!$Q$77,0)+IFERROR('Resumo-Cult.Perma.'!H89*'Critérios de Implantação'!$Q$78,0)</f>
        <v>5677644.375</v>
      </c>
      <c r="T124" s="93">
        <f>IFERROR('Resumo-Cult.Perma.'!Q89*'Critérios de Implantação'!T$70,0)+IFERROR('Resumo-Cult.Perma.'!P89*'Critérios de Implantação'!T$71,0)+IFERROR('Resumo-Cult.Perma.'!O89*'Critérios de Implantação'!$Q$72,0)+IFERROR('Resumo-Cult.Perma.'!N89*'Critérios de Implantação'!$Q$73,0)+IFERROR('Resumo-Cult.Perma.'!M89*'Critérios de Implantação'!$Q$74,0)+IFERROR('Resumo-Cult.Perma.'!L89*'Critérios de Implantação'!$Q$75,0)+IFERROR('Resumo-Cult.Perma.'!K89*'Critérios de Implantação'!$Q$76,0)+IFERROR('Resumo-Cult.Perma.'!J89*'Critérios de Implantação'!$Q$77,0)+IFERROR('Resumo-Cult.Perma.'!I89*'Critérios de Implantação'!$Q$78,0)</f>
        <v>5677644.375</v>
      </c>
      <c r="U124" s="93">
        <f>IFERROR('Resumo-Cult.Perma.'!R89*'Critérios de Implantação'!U$70,0)+IFERROR('Resumo-Cult.Perma.'!Q89*'Critérios de Implantação'!U$71,0)+IFERROR('Resumo-Cult.Perma.'!P89*'Critérios de Implantação'!$Q$72,0)+IFERROR('Resumo-Cult.Perma.'!O89*'Critérios de Implantação'!$Q$73,0)+IFERROR('Resumo-Cult.Perma.'!N89*'Critérios de Implantação'!$Q$74,0)+IFERROR('Resumo-Cult.Perma.'!M89*'Critérios de Implantação'!$Q$75,0)+IFERROR('Resumo-Cult.Perma.'!L89*'Critérios de Implantação'!$Q$76,0)+IFERROR('Resumo-Cult.Perma.'!K89*'Critérios de Implantação'!$Q$77,0)+IFERROR('Resumo-Cult.Perma.'!J89*'Critérios de Implantação'!$Q$78,0)</f>
        <v>5677644.375</v>
      </c>
      <c r="V124" s="93">
        <f>IFERROR('Resumo-Cult.Perma.'!S89*'Critérios de Implantação'!V$70,0)+IFERROR('Resumo-Cult.Perma.'!R89*'Critérios de Implantação'!V$71,0)+IFERROR('Resumo-Cult.Perma.'!Q89*'Critérios de Implantação'!$Q$72,0)+IFERROR('Resumo-Cult.Perma.'!P89*'Critérios de Implantação'!$Q$73,0)+IFERROR('Resumo-Cult.Perma.'!O89*'Critérios de Implantação'!$Q$74,0)+IFERROR('Resumo-Cult.Perma.'!N89*'Critérios de Implantação'!$Q$75,0)+IFERROR('Resumo-Cult.Perma.'!M89*'Critérios de Implantação'!$Q$76,0)+IFERROR('Resumo-Cult.Perma.'!L89*'Critérios de Implantação'!$Q$77,0)+IFERROR('Resumo-Cult.Perma.'!K89*'Critérios de Implantação'!$Q$78,0)</f>
        <v>5677644.375</v>
      </c>
      <c r="W124" s="93">
        <f>IFERROR('Resumo-Cult.Perma.'!T89*'Critérios de Implantação'!W$70,0)+IFERROR('Resumo-Cult.Perma.'!S89*'Critérios de Implantação'!W$71,0)+IFERROR('Resumo-Cult.Perma.'!R89*'Critérios de Implantação'!$Q$72,0)+IFERROR('Resumo-Cult.Perma.'!Q89*'Critérios de Implantação'!$Q$73,0)+IFERROR('Resumo-Cult.Perma.'!P89*'Critérios de Implantação'!$Q$74,0)+IFERROR('Resumo-Cult.Perma.'!O89*'Critérios de Implantação'!$Q$75,0)+IFERROR('Resumo-Cult.Perma.'!N89*'Critérios de Implantação'!$Q$76,0)+IFERROR('Resumo-Cult.Perma.'!M89*'Critérios de Implantação'!$Q$77,0)+IFERROR('Resumo-Cult.Perma.'!L89*'Critérios de Implantação'!$Q$78,0)</f>
        <v>5677644.375</v>
      </c>
      <c r="X124" s="93">
        <f>IFERROR('Resumo-Cult.Perma.'!U89*'Critérios de Implantação'!X$70,0)+IFERROR('Resumo-Cult.Perma.'!T89*'Critérios de Implantação'!X$71,0)+IFERROR('Resumo-Cult.Perma.'!S89*'Critérios de Implantação'!$Q$72,0)+IFERROR('Resumo-Cult.Perma.'!R89*'Critérios de Implantação'!$Q$73,0)+IFERROR('Resumo-Cult.Perma.'!Q89*'Critérios de Implantação'!$Q$74,0)+IFERROR('Resumo-Cult.Perma.'!P89*'Critérios de Implantação'!$Q$75,0)+IFERROR('Resumo-Cult.Perma.'!O89*'Critérios de Implantação'!$Q$76,0)+IFERROR('Resumo-Cult.Perma.'!N89*'Critérios de Implantação'!$Q$77,0)+IFERROR('Resumo-Cult.Perma.'!M89*'Critérios de Implantação'!$Q$78,0)</f>
        <v>5973655.7826870326</v>
      </c>
      <c r="Y124" s="93">
        <f>IFERROR('Resumo-Cult.Perma.'!V89*'Critérios de Implantação'!Y$70,0)+IFERROR('Resumo-Cult.Perma.'!U89*'Critérios de Implantação'!Y$71,0)+IFERROR('Resumo-Cult.Perma.'!T89*'Critérios de Implantação'!$Q$72,0)+IFERROR('Resumo-Cult.Perma.'!S89*'Critérios de Implantação'!$Q$73,0)+IFERROR('Resumo-Cult.Perma.'!R89*'Critérios de Implantação'!$Q$74,0)+IFERROR('Resumo-Cult.Perma.'!Q89*'Critérios de Implantação'!$Q$75,0)+IFERROR('Resumo-Cult.Perma.'!P89*'Critérios de Implantação'!$Q$76,0)+IFERROR('Resumo-Cult.Perma.'!O89*'Critérios de Implantação'!$Q$77,0)+IFERROR('Resumo-Cult.Perma.'!N89*'Critérios de Implantação'!$Q$78,0)</f>
        <v>5828906.9280723473</v>
      </c>
      <c r="Z124" s="93">
        <f>IFERROR('Resumo-Cult.Perma.'!W89*'Critérios de Implantação'!Z$70,0)+IFERROR('Resumo-Cult.Perma.'!V89*'Critérios de Implantação'!Z$71,0)+IFERROR('Resumo-Cult.Perma.'!U89*'Critérios de Implantação'!$Q$72,0)+IFERROR('Resumo-Cult.Perma.'!T89*'Critérios de Implantação'!$Q$73,0)+IFERROR('Resumo-Cult.Perma.'!S89*'Critérios de Implantação'!$Q$74,0)+IFERROR('Resumo-Cult.Perma.'!R89*'Critérios de Implantação'!$Q$75,0)+IFERROR('Resumo-Cult.Perma.'!Q89*'Critérios de Implantação'!$Q$76,0)+IFERROR('Resumo-Cult.Perma.'!P89*'Critérios de Implantação'!$Q$77,0)+IFERROR('Resumo-Cult.Perma.'!O89*'Critérios de Implantação'!$Q$78,0)</f>
        <v>5831897.7798306691</v>
      </c>
      <c r="AA124" s="93">
        <f>IFERROR('Resumo-Cult.Perma.'!X89*'Critérios de Implantação'!AA$70,0)+IFERROR('Resumo-Cult.Perma.'!W89*'Critérios de Implantação'!AA$71,0)+IFERROR('Resumo-Cult.Perma.'!V89*'Critérios de Implantação'!$Q$72,0)+IFERROR('Resumo-Cult.Perma.'!U89*'Critérios de Implantação'!$Q$73,0)+IFERROR('Resumo-Cult.Perma.'!T89*'Critérios de Implantação'!$Q$74,0)+IFERROR('Resumo-Cult.Perma.'!S89*'Critérios de Implantação'!$Q$75,0)+IFERROR('Resumo-Cult.Perma.'!R89*'Critérios de Implantação'!$Q$76,0)+IFERROR('Resumo-Cult.Perma.'!Q89*'Critérios de Implantação'!$Q$77,0)+IFERROR('Resumo-Cult.Perma.'!P89*'Critérios de Implantação'!$Q$78,0)</f>
        <v>6105661.4821594935</v>
      </c>
      <c r="AB124" s="93">
        <f>IFERROR('Resumo-Cult.Perma.'!Y89*'Critérios de Implantação'!AB$70,0)+IFERROR('Resumo-Cult.Perma.'!X89*'Critérios de Implantação'!AB$71,0)+IFERROR('Resumo-Cult.Perma.'!W89*'Critérios de Implantação'!$Q$72,0)+IFERROR('Resumo-Cult.Perma.'!V89*'Critérios de Implantação'!$Q$73,0)+IFERROR('Resumo-Cult.Perma.'!U89*'Critérios de Implantação'!$Q$74,0)+IFERROR('Resumo-Cult.Perma.'!T89*'Critérios de Implantação'!$Q$75,0)+IFERROR('Resumo-Cult.Perma.'!S89*'Critérios de Implantação'!$Q$76,0)+IFERROR('Resumo-Cult.Perma.'!R89*'Critérios de Implantação'!$Q$77,0)+IFERROR('Resumo-Cult.Perma.'!Q89*'Critérios de Implantação'!$Q$78,0)</f>
        <v>5889840.574972502</v>
      </c>
      <c r="AC124" s="93">
        <f>IFERROR('Resumo-Cult.Perma.'!Z89*'Critérios de Implantação'!AC$70,0)+IFERROR('Resumo-Cult.Perma.'!Y89*'Critérios de Implantação'!AC$71,0)+IFERROR('Resumo-Cult.Perma.'!X89*'Critérios de Implantação'!$Q$72,0)+IFERROR('Resumo-Cult.Perma.'!W89*'Critérios de Implantação'!$Q$73,0)+IFERROR('Resumo-Cult.Perma.'!V89*'Critérios de Implantação'!$Q$74,0)+IFERROR('Resumo-Cult.Perma.'!U89*'Critérios de Implantação'!$Q$75,0)+IFERROR('Resumo-Cult.Perma.'!T89*'Critérios de Implantação'!$Q$76,0)+IFERROR('Resumo-Cult.Perma.'!S89*'Critérios de Implantação'!$Q$77,0)+IFERROR('Resumo-Cult.Perma.'!R89*'Critérios de Implantação'!$Q$78,0)</f>
        <v>5860130.6579408329</v>
      </c>
      <c r="AD124" s="93">
        <f>IFERROR('Resumo-Cult.Perma.'!AA89*'Critérios de Implantação'!AD$70,0)+IFERROR('Resumo-Cult.Perma.'!Z89*'Critérios de Implantação'!AD$71,0)+IFERROR('Resumo-Cult.Perma.'!Y89*'Critérios de Implantação'!$Q$72,0)+IFERROR('Resumo-Cult.Perma.'!X89*'Critérios de Implantação'!$Q$73,0)+IFERROR('Resumo-Cult.Perma.'!W89*'Critérios de Implantação'!$Q$74,0)+IFERROR('Resumo-Cult.Perma.'!V89*'Critérios de Implantação'!$Q$75,0)+IFERROR('Resumo-Cult.Perma.'!U89*'Critérios de Implantação'!$Q$76,0)+IFERROR('Resumo-Cult.Perma.'!T89*'Critérios de Implantação'!$Q$77,0)+IFERROR('Resumo-Cult.Perma.'!S89*'Critérios de Implantação'!$Q$78,0)</f>
        <v>5704491.9207603596</v>
      </c>
      <c r="AE124" s="93">
        <f>IFERROR('Resumo-Cult.Perma.'!AB89*'Critérios de Implantação'!AE$70,0)+IFERROR('Resumo-Cult.Perma.'!AA89*'Critérios de Implantação'!AE$71,0)+IFERROR('Resumo-Cult.Perma.'!Z89*'Critérios de Implantação'!$Q$72,0)+IFERROR('Resumo-Cult.Perma.'!Y89*'Critérios de Implantação'!$Q$73,0)+IFERROR('Resumo-Cult.Perma.'!X89*'Critérios de Implantação'!$Q$74,0)+IFERROR('Resumo-Cult.Perma.'!W89*'Critérios de Implantação'!$Q$75,0)+IFERROR('Resumo-Cult.Perma.'!V89*'Critérios de Implantação'!$Q$76,0)+IFERROR('Resumo-Cult.Perma.'!U89*'Critérios de Implantação'!$Q$77,0)+IFERROR('Resumo-Cult.Perma.'!T89*'Critérios de Implantação'!$Q$78,0)</f>
        <v>5607863.633419388</v>
      </c>
      <c r="AF124" s="93">
        <f>IFERROR('Resumo-Cult.Perma.'!AC89*'Critérios de Implantação'!AF$70,0)+IFERROR('Resumo-Cult.Perma.'!AB89*'Critérios de Implantação'!AF$71,0)+IFERROR('Resumo-Cult.Perma.'!AA89*'Critérios de Implantação'!$Q$72,0)+IFERROR('Resumo-Cult.Perma.'!Z89*'Critérios de Implantação'!$Q$73,0)+IFERROR('Resumo-Cult.Perma.'!Y89*'Critérios de Implantação'!$Q$74,0)+IFERROR('Resumo-Cult.Perma.'!X89*'Critérios de Implantação'!$Q$75,0)+IFERROR('Resumo-Cult.Perma.'!W89*'Critérios de Implantação'!$Q$76,0)+IFERROR('Resumo-Cult.Perma.'!V89*'Critérios de Implantação'!$Q$77,0)+IFERROR('Resumo-Cult.Perma.'!U89*'Critérios de Implantação'!$Q$78,0)</f>
        <v>5516251.6119880015</v>
      </c>
      <c r="AG124" s="93">
        <f>IFERROR('Resumo-Cult.Perma.'!AD89*'Critérios de Implantação'!AG$70,0)+IFERROR('Resumo-Cult.Perma.'!AC89*'Critérios de Implantação'!AG$71,0)+IFERROR('Resumo-Cult.Perma.'!AB89*'Critérios de Implantação'!$Q$72,0)+IFERROR('Resumo-Cult.Perma.'!AA89*'Critérios de Implantação'!$Q$73,0)+IFERROR('Resumo-Cult.Perma.'!Z89*'Critérios de Implantação'!$Q$74,0)+IFERROR('Resumo-Cult.Perma.'!Y89*'Critérios de Implantação'!$Q$75,0)+IFERROR('Resumo-Cult.Perma.'!X89*'Critérios de Implantação'!$Q$76,0)+IFERROR('Resumo-Cult.Perma.'!W89*'Critérios de Implantação'!$Q$77,0)+IFERROR('Resumo-Cult.Perma.'!V89*'Critérios de Implantação'!$Q$78,0)</f>
        <v>5458515.2302502654</v>
      </c>
      <c r="AH124" s="93">
        <f>IFERROR('Resumo-Cult.Perma.'!AE89*'Critérios de Implantação'!AH$70,0)+IFERROR('Resumo-Cult.Perma.'!AD89*'Critérios de Implantação'!AH$71,0)+IFERROR('Resumo-Cult.Perma.'!AC89*'Critérios de Implantação'!$Q$72,0)+IFERROR('Resumo-Cult.Perma.'!AB89*'Critérios de Implantação'!$Q$73,0)+IFERROR('Resumo-Cult.Perma.'!AA89*'Critérios de Implantação'!$Q$74,0)+IFERROR('Resumo-Cult.Perma.'!Z89*'Critérios de Implantação'!$Q$75,0)+IFERROR('Resumo-Cult.Perma.'!Y89*'Critérios de Implantação'!$Q$76,0)+IFERROR('Resumo-Cult.Perma.'!X89*'Critérios de Implantação'!$Q$77,0)+IFERROR('Resumo-Cult.Perma.'!W89*'Critérios de Implantação'!$Q$78,0)</f>
        <v>5604155.8047614349</v>
      </c>
      <c r="AI124" s="93">
        <f>IFERROR('Resumo-Cult.Perma.'!AF89*'Critérios de Implantação'!AI$70,0)+IFERROR('Resumo-Cult.Perma.'!AE89*'Critérios de Implantação'!AI$71,0)+IFERROR('Resumo-Cult.Perma.'!AD89*'Critérios de Implantação'!$Q$72,0)+IFERROR('Resumo-Cult.Perma.'!AC89*'Critérios de Implantação'!$Q$73,0)+IFERROR('Resumo-Cult.Perma.'!AB89*'Critérios de Implantação'!$Q$74,0)+IFERROR('Resumo-Cult.Perma.'!AA89*'Critérios de Implantação'!$Q$75,0)+IFERROR('Resumo-Cult.Perma.'!Z89*'Critérios de Implantação'!$Q$76,0)+IFERROR('Resumo-Cult.Perma.'!Y89*'Critérios de Implantação'!$Q$77,0)+IFERROR('Resumo-Cult.Perma.'!X89*'Critérios de Implantação'!$Q$78,0)</f>
        <v>5659215.5431576734</v>
      </c>
      <c r="AJ124" s="93">
        <f>IFERROR('Resumo-Cult.Perma.'!AG89*'Critérios de Implantação'!AJ$70,0)+IFERROR('Resumo-Cult.Perma.'!AF89*'Critérios de Implantação'!AJ$71,0)+IFERROR('Resumo-Cult.Perma.'!AE89*'Critérios de Implantação'!$Q$72,0)+IFERROR('Resumo-Cult.Perma.'!AD89*'Critérios de Implantação'!$Q$73,0)+IFERROR('Resumo-Cult.Perma.'!AC89*'Critérios de Implantação'!$Q$74,0)+IFERROR('Resumo-Cult.Perma.'!AB89*'Critérios de Implantação'!$Q$75,0)+IFERROR('Resumo-Cult.Perma.'!AA89*'Critérios de Implantação'!$Q$76,0)+IFERROR('Resumo-Cult.Perma.'!Z89*'Critérios de Implantação'!$Q$77,0)+IFERROR('Resumo-Cult.Perma.'!Y89*'Critérios de Implantação'!$Q$78,0)</f>
        <v>5677644.375</v>
      </c>
      <c r="AK124" s="81">
        <f>IFERROR('Resumo-Cult.Perma.'!AH89*'Critérios de Implantação'!AK$70,0)+IFERROR('Resumo-Cult.Perma.'!AG89*'Critérios de Implantação'!AK$71,0)+IFERROR('Resumo-Cult.Perma.'!AF89*'Critérios de Implantação'!$Q$72,0)+IFERROR('Resumo-Cult.Perma.'!AE89*'Critérios de Implantação'!$Q$73,0)+IFERROR('Resumo-Cult.Perma.'!AD89*'Critérios de Implantação'!$Q$74,0)+IFERROR('Resumo-Cult.Perma.'!AC89*'Critérios de Implantação'!$Q$75,0)+IFERROR('Resumo-Cult.Perma.'!AB89*'Critérios de Implantação'!$Q$76,0)+IFERROR('Resumo-Cult.Perma.'!AA89*'Critérios de Implantação'!$Q$77,0)+IFERROR('Resumo-Cult.Perma.'!Z89*'Critérios de Implantação'!$Q$78,0)</f>
        <v>5677644.375</v>
      </c>
    </row>
    <row r="125" spans="1:37" ht="20.149999999999999" hidden="1" customHeight="1" outlineLevel="1" x14ac:dyDescent="0.25">
      <c r="A125" s="48" t="s">
        <v>140</v>
      </c>
      <c r="B125" s="34" t="s">
        <v>141</v>
      </c>
      <c r="C125" s="93"/>
      <c r="D125" s="93">
        <f>IFERROR(('Resumo-Cult.Perma.'!C90*('Critérios de Implantação'!D$70)),0)+IFERROR(('Resumo-Cult.Perma.'!B90*('Critérios de Implantação'!D$71)),0)+IFERROR(('Resumo-Cult.Perma.'!A90*('Critérios de Implantação'!D$78)),0)</f>
        <v>0</v>
      </c>
      <c r="E125" s="93">
        <f>IFERROR(('Resumo-Cult.Perma.'!D90*('Critérios de Implantação'!E$70)),0)+IFERROR(('Resumo-Cult.Perma.'!C90*('Critérios de Implantação'!E$71)),0)+IFERROR(('Resumo-Cult.Perma.'!B90*('Critérios de Implantação'!E$78)),0)</f>
        <v>0</v>
      </c>
      <c r="F125" s="93">
        <f>IFERROR(('Resumo-Cult.Perma.'!E90*('Critérios de Implantação'!F$70)),0)+IFERROR(('Resumo-Cult.Perma.'!D90*('Critérios de Implantação'!F$71)),0)+IFERROR(('Resumo-Cult.Perma.'!C90*('Critérios de Implantação'!F$78)),0)</f>
        <v>0</v>
      </c>
      <c r="G125" s="93">
        <f>IFERROR('Resumo-Cult.Perma.'!D90*'Critérios de Implantação'!G$70,0)+IFERROR('Resumo-Cult.Perma.'!C90*'Critérios de Implantação'!G$71,0)+IFERROR('Resumo-Cult.Perma.'!B90*'Critérios de Implantação'!$Q$72,0)+IFERROR('Resumo-Cult.Perma.'!A90*'Critérios de Implantação'!$Q$73,0)+IFERROR('Resumo-Cult.Perma.'!#REF!*'Critérios de Implantação'!$Q$74,0)+IFERROR('Resumo-Cult.Perma.'!#REF!*'Critérios de Implantação'!$Q$75,0)+IFERROR('Resumo-Cult.Perma.'!#REF!*'Critérios de Implantação'!$Q$76,0)+IFERROR('Resumo-Cult.Perma.'!#REF!*'Critérios de Implantação'!$Q$77,0)+IFERROR('Resumo-Cult.Perma.'!#REF!*'Critérios de Implantação'!$Q$78,0)</f>
        <v>0</v>
      </c>
      <c r="H125" s="93">
        <f>IFERROR('Resumo-Cult.Perma.'!E90*'Critérios de Implantação'!H$70,0)+IFERROR('Resumo-Cult.Perma.'!D90*'Critérios de Implantação'!H$71,0)+IFERROR('Resumo-Cult.Perma.'!C90*'Critérios de Implantação'!$Q$72,0)+IFERROR('Resumo-Cult.Perma.'!B90*'Critérios de Implantação'!$Q$73,0)+IFERROR('Resumo-Cult.Perma.'!A90*'Critérios de Implantação'!$Q$74,0)+IFERROR('Resumo-Cult.Perma.'!#REF!*'Critérios de Implantação'!$Q$75,0)+IFERROR('Resumo-Cult.Perma.'!#REF!*'Critérios de Implantação'!$Q$76,0)+IFERROR('Resumo-Cult.Perma.'!#REF!*'Critérios de Implantação'!$Q$77,0)+IFERROR('Resumo-Cult.Perma.'!#REF!*'Critérios de Implantação'!$Q$78,0)</f>
        <v>766416.94792056573</v>
      </c>
      <c r="I125" s="93">
        <f>IFERROR('Resumo-Cult.Perma.'!F90*'Critérios de Implantação'!I$70,0)+IFERROR('Resumo-Cult.Perma.'!E90*'Critérios de Implantação'!I$71,0)+IFERROR('Resumo-Cult.Perma.'!D90*'Critérios de Implantação'!$Q$72,0)+IFERROR('Resumo-Cult.Perma.'!C90*'Critérios de Implantação'!$Q$73,0)+IFERROR('Resumo-Cult.Perma.'!B90*'Critérios de Implantação'!$Q$74,0)+IFERROR('Resumo-Cult.Perma.'!A90*'Critérios de Implantação'!$Q$75,0)+IFERROR('Resumo-Cult.Perma.'!#REF!*'Critérios de Implantação'!$Q$76,0)+IFERROR('Resumo-Cult.Perma.'!#REF!*'Critérios de Implantação'!$Q$77,0)+IFERROR('Resumo-Cult.Perma.'!#REF!*'Critérios de Implantação'!$Q$78,0)</f>
        <v>1652409.0366097852</v>
      </c>
      <c r="J125" s="93">
        <f>IFERROR('Resumo-Cult.Perma.'!G90*'Critérios de Implantação'!J$70,0)+IFERROR('Resumo-Cult.Perma.'!F90*'Critérios de Implantação'!J$71,0)+IFERROR('Resumo-Cult.Perma.'!E90*'Critérios de Implantação'!$Q$72,0)+IFERROR('Resumo-Cult.Perma.'!D90*'Critérios de Implantação'!$Q$73,0)+IFERROR('Resumo-Cult.Perma.'!C90*'Critérios de Implantação'!$Q$74,0)+IFERROR('Resumo-Cult.Perma.'!B90*'Critérios de Implantação'!$Q$75,0)+IFERROR('Resumo-Cult.Perma.'!A90*'Critérios de Implantação'!$Q$76,0)+IFERROR('Resumo-Cult.Perma.'!#REF!*'Critérios de Implantação'!$Q$77,0)+IFERROR('Resumo-Cult.Perma.'!#REF!*'Critérios de Implantação'!$Q$78,0)</f>
        <v>3170273.0216344753</v>
      </c>
      <c r="K125" s="93">
        <f>IFERROR('Resumo-Cult.Perma.'!H90*'Critérios de Implantação'!K$70,0)+IFERROR('Resumo-Cult.Perma.'!G90*'Critérios de Implantação'!K$71,0)+IFERROR('Resumo-Cult.Perma.'!F90*'Critérios de Implantação'!$Q$72,0)+IFERROR('Resumo-Cult.Perma.'!E90*'Critérios de Implantação'!$Q$73,0)+IFERROR('Resumo-Cult.Perma.'!D90*'Critérios de Implantação'!$Q$74,0)+IFERROR('Resumo-Cult.Perma.'!C90*'Critérios de Implantação'!$Q$75,0)+IFERROR('Resumo-Cult.Perma.'!B90*'Critérios de Implantação'!$Q$76,0)+IFERROR('Resumo-Cult.Perma.'!A90*'Critérios de Implantação'!$Q$77,0)+IFERROR('Resumo-Cult.Perma.'!#REF!*'Critérios de Implantação'!$Q$78,0)</f>
        <v>5689439.6555887321</v>
      </c>
      <c r="L125" s="93">
        <f>IFERROR('Resumo-Cult.Perma.'!I90*'Critérios de Implantação'!L$70,0)+IFERROR('Resumo-Cult.Perma.'!H90*'Critérios de Implantação'!L$71,0)+IFERROR('Resumo-Cult.Perma.'!G90*'Critérios de Implantação'!$Q$72,0)+IFERROR('Resumo-Cult.Perma.'!F90*'Critérios de Implantação'!$Q$73,0)+IFERROR('Resumo-Cult.Perma.'!E90*'Critérios de Implantação'!$Q$74,0)+IFERROR('Resumo-Cult.Perma.'!D90*'Critérios de Implantação'!$Q$75,0)+IFERROR('Resumo-Cult.Perma.'!C90*'Critérios de Implantação'!$Q$76,0)+IFERROR('Resumo-Cult.Perma.'!B90*'Critérios de Implantação'!$Q$77,0)+IFERROR('Resumo-Cult.Perma.'!A90*'Critérios de Implantação'!$Q$78,0)</f>
        <v>8635466.391357854</v>
      </c>
      <c r="M125" s="93">
        <f>IFERROR('Resumo-Cult.Perma.'!J90*'Critérios de Implantação'!M$70,0)+IFERROR('Resumo-Cult.Perma.'!I90*'Critérios de Implantação'!M$71,0)+IFERROR('Resumo-Cult.Perma.'!H90*'Critérios de Implantação'!$Q$72,0)+IFERROR('Resumo-Cult.Perma.'!G90*'Critérios de Implantação'!$Q$73,0)+IFERROR('Resumo-Cult.Perma.'!F90*'Critérios de Implantação'!$Q$74,0)+IFERROR('Resumo-Cult.Perma.'!E90*'Critérios de Implantação'!$Q$75,0)+IFERROR('Resumo-Cult.Perma.'!D90*'Critérios de Implantação'!$Q$76,0)+IFERROR('Resumo-Cult.Perma.'!C90*'Critérios de Implantação'!$Q$77,0)+IFERROR('Resumo-Cult.Perma.'!B90*'Critérios de Implantação'!$Q$78,0)</f>
        <v>12466770.32917808</v>
      </c>
      <c r="N125" s="93">
        <f>IFERROR('Resumo-Cult.Perma.'!K90*'Critérios de Implantação'!N$70,0)+IFERROR('Resumo-Cult.Perma.'!J90*'Critérios de Implantação'!N$71,0)+IFERROR('Resumo-Cult.Perma.'!I90*'Critérios de Implantação'!$Q$72,0)+IFERROR('Resumo-Cult.Perma.'!H90*'Critérios de Implantação'!$Q$73,0)+IFERROR('Resumo-Cult.Perma.'!G90*'Critérios de Implantação'!$Q$74,0)+IFERROR('Resumo-Cult.Perma.'!F90*'Critérios de Implantação'!$Q$75,0)+IFERROR('Resumo-Cult.Perma.'!E90*'Critérios de Implantação'!$Q$76,0)+IFERROR('Resumo-Cult.Perma.'!D90*'Critérios de Implantação'!$Q$77,0)+IFERROR('Resumo-Cult.Perma.'!C90*'Critérios de Implantação'!$Q$78,0)</f>
        <v>16114395.577445079</v>
      </c>
      <c r="O125" s="93">
        <f>IFERROR('Resumo-Cult.Perma.'!L90*'Critérios de Implantação'!O$70,0)+IFERROR('Resumo-Cult.Perma.'!K90*'Critérios de Implantação'!O$71,0)+IFERROR('Resumo-Cult.Perma.'!J90*'Critérios de Implantação'!$Q$72,0)+IFERROR('Resumo-Cult.Perma.'!I90*'Critérios de Implantação'!$Q$73,0)+IFERROR('Resumo-Cult.Perma.'!H90*'Critérios de Implantação'!$Q$74,0)+IFERROR('Resumo-Cult.Perma.'!G90*'Critérios de Implantação'!$Q$75,0)+IFERROR('Resumo-Cult.Perma.'!F90*'Critérios de Implantação'!$Q$76,0)+IFERROR('Resumo-Cult.Perma.'!E90*'Critérios de Implantação'!$Q$77,0)+IFERROR('Resumo-Cult.Perma.'!D90*'Critérios de Implantação'!$Q$78,0)</f>
        <v>19720941.362045936</v>
      </c>
      <c r="P125" s="93">
        <f>IFERROR('Resumo-Cult.Perma.'!M90*'Critérios de Implantação'!P$70,0)+IFERROR('Resumo-Cult.Perma.'!L90*'Critérios de Implantação'!P$71,0)+IFERROR('Resumo-Cult.Perma.'!K90*'Critérios de Implantação'!$Q$72,0)+IFERROR('Resumo-Cult.Perma.'!J90*'Critérios de Implantação'!$Q$73,0)+IFERROR('Resumo-Cult.Perma.'!I90*'Critérios de Implantação'!$Q$74,0)+IFERROR('Resumo-Cult.Perma.'!H90*'Critérios de Implantação'!$Q$75,0)+IFERROR('Resumo-Cult.Perma.'!G90*'Critérios de Implantação'!$Q$76,0)+IFERROR('Resumo-Cult.Perma.'!F90*'Critérios de Implantação'!$Q$77,0)+IFERROR('Resumo-Cult.Perma.'!E90*'Critérios de Implantação'!$Q$78,0)</f>
        <v>22571800.952812817</v>
      </c>
      <c r="Q125" s="93">
        <f>IFERROR('Resumo-Cult.Perma.'!N90*'Critérios de Implantação'!Q$70,0)+IFERROR('Resumo-Cult.Perma.'!M90*'Critérios de Implantação'!Q$71,0)+IFERROR('Resumo-Cult.Perma.'!L90*'Critérios de Implantação'!$Q$72,0)+IFERROR('Resumo-Cult.Perma.'!K90*'Critérios de Implantação'!$Q$73,0)+IFERROR('Resumo-Cult.Perma.'!J90*'Critérios de Implantação'!$Q$74,0)+IFERROR('Resumo-Cult.Perma.'!I90*'Critérios de Implantação'!$Q$75,0)+IFERROR('Resumo-Cult.Perma.'!H90*'Critérios de Implantação'!$Q$76,0)+IFERROR('Resumo-Cult.Perma.'!G90*'Critérios de Implantação'!$Q$77,0)+IFERROR('Resumo-Cult.Perma.'!F90*'Critérios de Implantação'!$Q$78,0)</f>
        <v>24696878.54857026</v>
      </c>
      <c r="R125" s="93">
        <f>IFERROR('Resumo-Cult.Perma.'!O90*'Critérios de Implantação'!R$70,0)+IFERROR('Resumo-Cult.Perma.'!N90*'Critérios de Implantação'!R$71,0)+IFERROR('Resumo-Cult.Perma.'!M90*'Critérios de Implantação'!$Q$72,0)+IFERROR('Resumo-Cult.Perma.'!L90*'Critérios de Implantação'!$Q$73,0)+IFERROR('Resumo-Cult.Perma.'!K90*'Critérios de Implantação'!$Q$74,0)+IFERROR('Resumo-Cult.Perma.'!J90*'Critérios de Implantação'!$Q$75,0)+IFERROR('Resumo-Cult.Perma.'!I90*'Critérios de Implantação'!$Q$76,0)+IFERROR('Resumo-Cult.Perma.'!H90*'Critérios de Implantação'!$Q$77,0)+IFERROR('Resumo-Cult.Perma.'!G90*'Critérios de Implantação'!$Q$78,0)</f>
        <v>26029141.113610778</v>
      </c>
      <c r="S125" s="93">
        <f>IFERROR('Resumo-Cult.Perma.'!P90*'Critérios de Implantação'!S$70,0)+IFERROR('Resumo-Cult.Perma.'!O90*'Critérios de Implantação'!S$71,0)+IFERROR('Resumo-Cult.Perma.'!N90*'Critérios de Implantação'!$Q$72,0)+IFERROR('Resumo-Cult.Perma.'!M90*'Critérios de Implantação'!$Q$73,0)+IFERROR('Resumo-Cult.Perma.'!L90*'Critérios de Implantação'!$Q$74,0)+IFERROR('Resumo-Cult.Perma.'!K90*'Critérios de Implantação'!$Q$75,0)+IFERROR('Resumo-Cult.Perma.'!J90*'Critérios de Implantação'!$Q$76,0)+IFERROR('Resumo-Cult.Perma.'!I90*'Critérios de Implantação'!$Q$77,0)+IFERROR('Resumo-Cult.Perma.'!H90*'Critérios de Implantação'!$Q$78,0)</f>
        <v>26392535.366684791</v>
      </c>
      <c r="T125" s="93">
        <f>IFERROR('Resumo-Cult.Perma.'!Q90*'Critérios de Implantação'!T$70,0)+IFERROR('Resumo-Cult.Perma.'!P90*'Critérios de Implantação'!T$71,0)+IFERROR('Resumo-Cult.Perma.'!O90*'Critérios de Implantação'!$Q$72,0)+IFERROR('Resumo-Cult.Perma.'!N90*'Critérios de Implantação'!$Q$73,0)+IFERROR('Resumo-Cult.Perma.'!M90*'Critérios de Implantação'!$Q$74,0)+IFERROR('Resumo-Cult.Perma.'!L90*'Critérios de Implantação'!$Q$75,0)+IFERROR('Resumo-Cult.Perma.'!K90*'Critérios de Implantação'!$Q$76,0)+IFERROR('Resumo-Cult.Perma.'!J90*'Critérios de Implantação'!$Q$77,0)+IFERROR('Resumo-Cult.Perma.'!I90*'Critérios de Implantação'!$Q$78,0)</f>
        <v>26527937.672234498</v>
      </c>
      <c r="U125" s="93">
        <f>IFERROR('Resumo-Cult.Perma.'!R90*'Critérios de Implantação'!U$70,0)+IFERROR('Resumo-Cult.Perma.'!Q90*'Critérios de Implantação'!U$71,0)+IFERROR('Resumo-Cult.Perma.'!P90*'Critérios de Implantação'!$Q$72,0)+IFERROR('Resumo-Cult.Perma.'!O90*'Critérios de Implantação'!$Q$73,0)+IFERROR('Resumo-Cult.Perma.'!N90*'Critérios de Implantação'!$Q$74,0)+IFERROR('Resumo-Cult.Perma.'!M90*'Critérios de Implantação'!$Q$75,0)+IFERROR('Resumo-Cult.Perma.'!L90*'Critérios de Implantação'!$Q$76,0)+IFERROR('Resumo-Cult.Perma.'!K90*'Critérios de Implantação'!$Q$77,0)+IFERROR('Resumo-Cult.Perma.'!J90*'Critérios de Implantação'!$Q$78,0)</f>
        <v>25736776.43428161</v>
      </c>
      <c r="V125" s="93">
        <f>IFERROR('Resumo-Cult.Perma.'!S90*'Critérios de Implantação'!V$70,0)+IFERROR('Resumo-Cult.Perma.'!R90*'Critérios de Implantação'!V$71,0)+IFERROR('Resumo-Cult.Perma.'!Q90*'Critérios de Implantação'!$Q$72,0)+IFERROR('Resumo-Cult.Perma.'!P90*'Critérios de Implantação'!$Q$73,0)+IFERROR('Resumo-Cult.Perma.'!O90*'Critérios de Implantação'!$Q$74,0)+IFERROR('Resumo-Cult.Perma.'!N90*'Critérios de Implantação'!$Q$75,0)+IFERROR('Resumo-Cult.Perma.'!M90*'Critérios de Implantação'!$Q$76,0)+IFERROR('Resumo-Cult.Perma.'!L90*'Critérios de Implantação'!$Q$77,0)+IFERROR('Resumo-Cult.Perma.'!K90*'Critérios de Implantação'!$Q$78,0)</f>
        <v>24912352.453336664</v>
      </c>
      <c r="W125" s="93">
        <f>IFERROR('Resumo-Cult.Perma.'!T90*'Critérios de Implantação'!W$70,0)+IFERROR('Resumo-Cult.Perma.'!S90*'Critérios de Implantação'!W$71,0)+IFERROR('Resumo-Cult.Perma.'!R90*'Critérios de Implantação'!$Q$72,0)+IFERROR('Resumo-Cult.Perma.'!Q90*'Critérios de Implantação'!$Q$73,0)+IFERROR('Resumo-Cult.Perma.'!P90*'Critérios de Implantação'!$Q$74,0)+IFERROR('Resumo-Cult.Perma.'!O90*'Critérios de Implantação'!$Q$75,0)+IFERROR('Resumo-Cult.Perma.'!N90*'Critérios de Implantação'!$Q$76,0)+IFERROR('Resumo-Cult.Perma.'!M90*'Critérios de Implantação'!$Q$77,0)+IFERROR('Resumo-Cult.Perma.'!L90*'Critérios de Implantação'!$Q$78,0)</f>
        <v>23981612.382567219</v>
      </c>
      <c r="X125" s="93">
        <f>IFERROR('Resumo-Cult.Perma.'!U90*'Critérios de Implantação'!X$70,0)+IFERROR('Resumo-Cult.Perma.'!T90*'Critérios de Implantação'!X$71,0)+IFERROR('Resumo-Cult.Perma.'!S90*'Critérios de Implantação'!$Q$72,0)+IFERROR('Resumo-Cult.Perma.'!R90*'Critérios de Implantação'!$Q$73,0)+IFERROR('Resumo-Cult.Perma.'!Q90*'Critérios de Implantação'!$Q$74,0)+IFERROR('Resumo-Cult.Perma.'!P90*'Critérios de Implantação'!$Q$75,0)+IFERROR('Resumo-Cult.Perma.'!O90*'Critérios de Implantação'!$Q$76,0)+IFERROR('Resumo-Cult.Perma.'!N90*'Critérios de Implantação'!$Q$77,0)+IFERROR('Resumo-Cult.Perma.'!M90*'Critérios de Implantação'!$Q$78,0)</f>
        <v>21793164.945615172</v>
      </c>
      <c r="Y125" s="93">
        <f>IFERROR('Resumo-Cult.Perma.'!V90*'Critérios de Implantação'!Y$70,0)+IFERROR('Resumo-Cult.Perma.'!U90*'Critérios de Implantação'!Y$71,0)+IFERROR('Resumo-Cult.Perma.'!T90*'Critérios de Implantação'!$Q$72,0)+IFERROR('Resumo-Cult.Perma.'!S90*'Critérios de Implantação'!$Q$73,0)+IFERROR('Resumo-Cult.Perma.'!R90*'Critérios de Implantação'!$Q$74,0)+IFERROR('Resumo-Cult.Perma.'!Q90*'Critérios de Implantação'!$Q$75,0)+IFERROR('Resumo-Cult.Perma.'!P90*'Critérios de Implantação'!$Q$76,0)+IFERROR('Resumo-Cult.Perma.'!O90*'Critérios de Implantação'!$Q$77,0)+IFERROR('Resumo-Cult.Perma.'!N90*'Critérios de Implantação'!$Q$78,0)</f>
        <v>19806802.111454349</v>
      </c>
      <c r="Z125" s="93">
        <f>IFERROR('Resumo-Cult.Perma.'!W90*'Critérios de Implantação'!Z$70,0)+IFERROR('Resumo-Cult.Perma.'!V90*'Critérios de Implantação'!Z$71,0)+IFERROR('Resumo-Cult.Perma.'!U90*'Critérios de Implantação'!$Q$72,0)+IFERROR('Resumo-Cult.Perma.'!T90*'Critérios de Implantação'!$Q$73,0)+IFERROR('Resumo-Cult.Perma.'!S90*'Critérios de Implantação'!$Q$74,0)+IFERROR('Resumo-Cult.Perma.'!R90*'Critérios de Implantação'!$Q$75,0)+IFERROR('Resumo-Cult.Perma.'!Q90*'Critérios de Implantação'!$Q$76,0)+IFERROR('Resumo-Cult.Perma.'!P90*'Critérios de Implantação'!$Q$77,0)+IFERROR('Resumo-Cult.Perma.'!O90*'Critérios de Implantação'!$Q$78,0)</f>
        <v>17923211.480771255</v>
      </c>
      <c r="AA125" s="93">
        <f>IFERROR('Resumo-Cult.Perma.'!X90*'Critérios de Implantação'!AA$70,0)+IFERROR('Resumo-Cult.Perma.'!W90*'Critérios de Implantação'!AA$71,0)+IFERROR('Resumo-Cult.Perma.'!V90*'Critérios de Implantação'!$Q$72,0)+IFERROR('Resumo-Cult.Perma.'!U90*'Critérios de Implantação'!$Q$73,0)+IFERROR('Resumo-Cult.Perma.'!T90*'Critérios de Implantação'!$Q$74,0)+IFERROR('Resumo-Cult.Perma.'!S90*'Critérios de Implantação'!$Q$75,0)+IFERROR('Resumo-Cult.Perma.'!R90*'Critérios de Implantação'!$Q$76,0)+IFERROR('Resumo-Cult.Perma.'!Q90*'Critérios de Implantação'!$Q$77,0)+IFERROR('Resumo-Cult.Perma.'!P90*'Critérios de Implantação'!$Q$78,0)</f>
        <v>15189170.055044187</v>
      </c>
      <c r="AB125" s="93">
        <f>IFERROR('Resumo-Cult.Perma.'!Y90*'Critérios de Implantação'!AB$70,0)+IFERROR('Resumo-Cult.Perma.'!X90*'Critérios de Implantação'!AB$71,0)+IFERROR('Resumo-Cult.Perma.'!W90*'Critérios de Implantação'!$Q$72,0)+IFERROR('Resumo-Cult.Perma.'!V90*'Critérios de Implantação'!$Q$73,0)+IFERROR('Resumo-Cult.Perma.'!U90*'Critérios de Implantação'!$Q$74,0)+IFERROR('Resumo-Cult.Perma.'!T90*'Critérios de Implantação'!$Q$75,0)+IFERROR('Resumo-Cult.Perma.'!S90*'Critérios de Implantação'!$Q$76,0)+IFERROR('Resumo-Cult.Perma.'!R90*'Critérios de Implantação'!$Q$77,0)+IFERROR('Resumo-Cult.Perma.'!Q90*'Critérios de Implantação'!$Q$78,0)</f>
        <v>13347811.582986839</v>
      </c>
      <c r="AC125" s="93">
        <f>IFERROR('Resumo-Cult.Perma.'!Z90*'Critérios de Implantação'!AC$70,0)+IFERROR('Resumo-Cult.Perma.'!Y90*'Critérios de Implantação'!AC$71,0)+IFERROR('Resumo-Cult.Perma.'!X90*'Critérios de Implantação'!$Q$72,0)+IFERROR('Resumo-Cult.Perma.'!W90*'Critérios de Implantação'!$Q$73,0)+IFERROR('Resumo-Cult.Perma.'!V90*'Critérios de Implantação'!$Q$74,0)+IFERROR('Resumo-Cult.Perma.'!U90*'Critérios de Implantação'!$Q$75,0)+IFERROR('Resumo-Cult.Perma.'!T90*'Critérios de Implantação'!$Q$76,0)+IFERROR('Resumo-Cult.Perma.'!S90*'Critérios de Implantação'!$Q$77,0)+IFERROR('Resumo-Cult.Perma.'!R90*'Critérios de Implantação'!$Q$78,0)</f>
        <v>12353639.41715608</v>
      </c>
      <c r="AD125" s="93">
        <f>IFERROR('Resumo-Cult.Perma.'!AA90*'Critérios de Implantação'!AD$70,0)+IFERROR('Resumo-Cult.Perma.'!Z90*'Critérios de Implantação'!AD$71,0)+IFERROR('Resumo-Cult.Perma.'!Y90*'Critérios de Implantação'!$Q$72,0)+IFERROR('Resumo-Cult.Perma.'!X90*'Critérios de Implantação'!$Q$73,0)+IFERROR('Resumo-Cult.Perma.'!W90*'Critérios de Implantação'!$Q$74,0)+IFERROR('Resumo-Cult.Perma.'!V90*'Critérios de Implantação'!$Q$75,0)+IFERROR('Resumo-Cult.Perma.'!U90*'Critérios de Implantação'!$Q$76,0)+IFERROR('Resumo-Cult.Perma.'!T90*'Critérios de Implantação'!$Q$77,0)+IFERROR('Resumo-Cult.Perma.'!S90*'Critérios de Implantação'!$Q$78,0)</f>
        <v>12539863.625451446</v>
      </c>
      <c r="AE125" s="93">
        <f>IFERROR('Resumo-Cult.Perma.'!AB90*'Critérios de Implantação'!AE$70,0)+IFERROR('Resumo-Cult.Perma.'!AA90*'Critérios de Implantação'!AE$71,0)+IFERROR('Resumo-Cult.Perma.'!Z90*'Critérios de Implantação'!$Q$72,0)+IFERROR('Resumo-Cult.Perma.'!Y90*'Critérios de Implantação'!$Q$73,0)+IFERROR('Resumo-Cult.Perma.'!X90*'Critérios de Implantação'!$Q$74,0)+IFERROR('Resumo-Cult.Perma.'!W90*'Critérios de Implantação'!$Q$75,0)+IFERROR('Resumo-Cult.Perma.'!V90*'Critérios de Implantação'!$Q$76,0)+IFERROR('Resumo-Cult.Perma.'!U90*'Critérios de Implantação'!$Q$77,0)+IFERROR('Resumo-Cult.Perma.'!T90*'Critérios de Implantação'!$Q$78,0)</f>
        <v>14247933.68069011</v>
      </c>
      <c r="AF125" s="93">
        <f>IFERROR('Resumo-Cult.Perma.'!AC90*'Critérios de Implantação'!AF$70,0)+IFERROR('Resumo-Cult.Perma.'!AB90*'Critérios de Implantação'!AF$71,0)+IFERROR('Resumo-Cult.Perma.'!AA90*'Critérios de Implantação'!$Q$72,0)+IFERROR('Resumo-Cult.Perma.'!Z90*'Critérios de Implantação'!$Q$73,0)+IFERROR('Resumo-Cult.Perma.'!Y90*'Critérios de Implantação'!$Q$74,0)+IFERROR('Resumo-Cult.Perma.'!X90*'Critérios de Implantação'!$Q$75,0)+IFERROR('Resumo-Cult.Perma.'!W90*'Critérios de Implantação'!$Q$76,0)+IFERROR('Resumo-Cult.Perma.'!V90*'Critérios de Implantação'!$Q$77,0)+IFERROR('Resumo-Cult.Perma.'!U90*'Critérios de Implantação'!$Q$78,0)</f>
        <v>16669026.418387119</v>
      </c>
      <c r="AG125" s="93">
        <f>IFERROR('Resumo-Cult.Perma.'!AD90*'Critérios de Implantação'!AG$70,0)+IFERROR('Resumo-Cult.Perma.'!AC90*'Critérios de Implantação'!AG$71,0)+IFERROR('Resumo-Cult.Perma.'!AB90*'Critérios de Implantação'!$Q$72,0)+IFERROR('Resumo-Cult.Perma.'!AA90*'Critérios de Implantação'!$Q$73,0)+IFERROR('Resumo-Cult.Perma.'!Z90*'Critérios de Implantação'!$Q$74,0)+IFERROR('Resumo-Cult.Perma.'!Y90*'Critérios de Implantação'!$Q$75,0)+IFERROR('Resumo-Cult.Perma.'!X90*'Critérios de Implantação'!$Q$76,0)+IFERROR('Resumo-Cult.Perma.'!W90*'Critérios de Implantação'!$Q$77,0)+IFERROR('Resumo-Cult.Perma.'!V90*'Critérios de Implantação'!$Q$78,0)</f>
        <v>19908962.248757981</v>
      </c>
      <c r="AH125" s="93">
        <f>IFERROR('Resumo-Cult.Perma.'!AE90*'Critérios de Implantação'!AH$70,0)+IFERROR('Resumo-Cult.Perma.'!AD90*'Critérios de Implantação'!AH$71,0)+IFERROR('Resumo-Cult.Perma.'!AC90*'Critérios de Implantação'!$Q$72,0)+IFERROR('Resumo-Cult.Perma.'!AB90*'Critérios de Implantação'!$Q$73,0)+IFERROR('Resumo-Cult.Perma.'!AA90*'Critérios de Implantação'!$Q$74,0)+IFERROR('Resumo-Cult.Perma.'!Z90*'Critérios de Implantação'!$Q$75,0)+IFERROR('Resumo-Cult.Perma.'!Y90*'Critérios de Implantação'!$Q$76,0)+IFERROR('Resumo-Cult.Perma.'!X90*'Critérios de Implantação'!$Q$77,0)+IFERROR('Resumo-Cult.Perma.'!W90*'Critérios de Implantação'!$Q$78,0)</f>
        <v>22571800.952812817</v>
      </c>
      <c r="AI125" s="93">
        <f>IFERROR('Resumo-Cult.Perma.'!AF90*'Critérios de Implantação'!AI$70,0)+IFERROR('Resumo-Cult.Perma.'!AE90*'Critérios de Implantação'!AI$71,0)+IFERROR('Resumo-Cult.Perma.'!AD90*'Critérios de Implantação'!$Q$72,0)+IFERROR('Resumo-Cult.Perma.'!AC90*'Critérios de Implantação'!$Q$73,0)+IFERROR('Resumo-Cult.Perma.'!AB90*'Critérios de Implantação'!$Q$74,0)+IFERROR('Resumo-Cult.Perma.'!AA90*'Critérios de Implantação'!$Q$75,0)+IFERROR('Resumo-Cult.Perma.'!Z90*'Critérios de Implantação'!$Q$76,0)+IFERROR('Resumo-Cult.Perma.'!Y90*'Critérios de Implantação'!$Q$77,0)+IFERROR('Resumo-Cult.Perma.'!X90*'Critérios de Implantação'!$Q$78,0)</f>
        <v>24696878.54857026</v>
      </c>
      <c r="AJ125" s="93">
        <f>IFERROR('Resumo-Cult.Perma.'!AG90*'Critérios de Implantação'!AJ$70,0)+IFERROR('Resumo-Cult.Perma.'!AF90*'Critérios de Implantação'!AJ$71,0)+IFERROR('Resumo-Cult.Perma.'!AE90*'Critérios de Implantação'!$Q$72,0)+IFERROR('Resumo-Cult.Perma.'!AD90*'Critérios de Implantação'!$Q$73,0)+IFERROR('Resumo-Cult.Perma.'!AC90*'Critérios de Implantação'!$Q$74,0)+IFERROR('Resumo-Cult.Perma.'!AB90*'Critérios de Implantação'!$Q$75,0)+IFERROR('Resumo-Cult.Perma.'!AA90*'Critérios de Implantação'!$Q$76,0)+IFERROR('Resumo-Cult.Perma.'!Z90*'Critérios de Implantação'!$Q$77,0)+IFERROR('Resumo-Cult.Perma.'!Y90*'Critérios de Implantação'!$Q$78,0)</f>
        <v>26029141.113610778</v>
      </c>
      <c r="AK125" s="81">
        <f>IFERROR('Resumo-Cult.Perma.'!AH90*'Critérios de Implantação'!AK$70,0)+IFERROR('Resumo-Cult.Perma.'!AG90*'Critérios de Implantação'!AK$71,0)+IFERROR('Resumo-Cult.Perma.'!AF90*'Critérios de Implantação'!$Q$72,0)+IFERROR('Resumo-Cult.Perma.'!AE90*'Critérios de Implantação'!$Q$73,0)+IFERROR('Resumo-Cult.Perma.'!AD90*'Critérios de Implantação'!$Q$74,0)+IFERROR('Resumo-Cult.Perma.'!AC90*'Critérios de Implantação'!$Q$75,0)+IFERROR('Resumo-Cult.Perma.'!AB90*'Critérios de Implantação'!$Q$76,0)+IFERROR('Resumo-Cult.Perma.'!AA90*'Critérios de Implantação'!$Q$77,0)+IFERROR('Resumo-Cult.Perma.'!Z90*'Critérios de Implantação'!$Q$78,0)</f>
        <v>26392535.366684791</v>
      </c>
    </row>
    <row r="126" spans="1:37" ht="20.149999999999999" hidden="1" customHeight="1" outlineLevel="1" thickBot="1" x14ac:dyDescent="0.3">
      <c r="A126" s="96"/>
      <c r="B126" s="87" t="s">
        <v>149</v>
      </c>
      <c r="C126" s="88"/>
      <c r="D126" s="88">
        <f t="shared" ref="D126:AK126" si="61">SUM(D122:D125)</f>
        <v>0</v>
      </c>
      <c r="E126" s="88">
        <f t="shared" si="61"/>
        <v>0</v>
      </c>
      <c r="F126" s="88">
        <f t="shared" si="61"/>
        <v>0</v>
      </c>
      <c r="G126" s="88">
        <f t="shared" si="61"/>
        <v>0</v>
      </c>
      <c r="H126" s="88">
        <f t="shared" si="61"/>
        <v>2170204.8708449812</v>
      </c>
      <c r="I126" s="88">
        <f t="shared" si="61"/>
        <v>4711988.6734828539</v>
      </c>
      <c r="J126" s="88">
        <f t="shared" si="61"/>
        <v>8457599.5813064612</v>
      </c>
      <c r="K126" s="88">
        <f t="shared" si="61"/>
        <v>15001988.078912355</v>
      </c>
      <c r="L126" s="88">
        <f t="shared" si="61"/>
        <v>22235316.228489585</v>
      </c>
      <c r="M126" s="88">
        <f t="shared" si="61"/>
        <v>30841068.33717712</v>
      </c>
      <c r="N126" s="88">
        <f t="shared" si="61"/>
        <v>38879929.907566056</v>
      </c>
      <c r="O126" s="88">
        <f t="shared" si="61"/>
        <v>46169365.011253841</v>
      </c>
      <c r="P126" s="88">
        <f t="shared" si="61"/>
        <v>51550143.316925891</v>
      </c>
      <c r="Q126" s="88">
        <f t="shared" si="61"/>
        <v>54947155.092094503</v>
      </c>
      <c r="R126" s="88">
        <f t="shared" si="61"/>
        <v>56997862.014109537</v>
      </c>
      <c r="S126" s="88">
        <f t="shared" si="61"/>
        <v>57602311.300069854</v>
      </c>
      <c r="T126" s="88">
        <f t="shared" si="61"/>
        <v>57797900.99689661</v>
      </c>
      <c r="U126" s="88">
        <f t="shared" si="61"/>
        <v>56793126.22469645</v>
      </c>
      <c r="V126" s="88">
        <f t="shared" si="61"/>
        <v>55746107.768896371</v>
      </c>
      <c r="W126" s="88">
        <f t="shared" si="61"/>
        <v>54564067.879019171</v>
      </c>
      <c r="X126" s="88">
        <f t="shared" si="61"/>
        <v>52343427.403114334</v>
      </c>
      <c r="Y126" s="88">
        <f t="shared" si="61"/>
        <v>48838886.247370213</v>
      </c>
      <c r="Z126" s="88">
        <f t="shared" si="61"/>
        <v>45995517.61255534</v>
      </c>
      <c r="AA126" s="88">
        <f t="shared" si="61"/>
        <v>42610568.912293002</v>
      </c>
      <c r="AB126" s="88">
        <f t="shared" si="61"/>
        <v>38795865.816578627</v>
      </c>
      <c r="AC126" s="88">
        <f t="shared" si="61"/>
        <v>36973491.836283945</v>
      </c>
      <c r="AD126" s="88">
        <f t="shared" si="61"/>
        <v>36579342.178352013</v>
      </c>
      <c r="AE126" s="88">
        <f t="shared" si="61"/>
        <v>38659937.488601789</v>
      </c>
      <c r="AF126" s="88">
        <f t="shared" si="61"/>
        <v>42095723.552027866</v>
      </c>
      <c r="AG126" s="88">
        <f t="shared" si="61"/>
        <v>46912345.679027662</v>
      </c>
      <c r="AH126" s="88">
        <f t="shared" si="61"/>
        <v>51550143.316925891</v>
      </c>
      <c r="AI126" s="88">
        <f t="shared" si="61"/>
        <v>54947155.092094503</v>
      </c>
      <c r="AJ126" s="88">
        <f t="shared" si="61"/>
        <v>56997862.014109537</v>
      </c>
      <c r="AK126" s="89">
        <f t="shared" si="61"/>
        <v>57602311.300069854</v>
      </c>
    </row>
    <row r="127" spans="1:37" ht="20.149999999999999" hidden="1" customHeight="1" outlineLevel="1" thickBot="1" x14ac:dyDescent="0.3">
      <c r="A127" s="14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</row>
    <row r="128" spans="1:37" ht="20.149999999999999" hidden="1" customHeight="1" outlineLevel="1" x14ac:dyDescent="0.25">
      <c r="A128" s="42">
        <v>3</v>
      </c>
      <c r="B128" s="97" t="s">
        <v>144</v>
      </c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2"/>
    </row>
    <row r="129" spans="1:37" ht="20.149999999999999" hidden="1" customHeight="1" outlineLevel="1" x14ac:dyDescent="0.25">
      <c r="A129" s="47" t="s">
        <v>337</v>
      </c>
      <c r="B129" s="22" t="str">
        <f>"Valor da produção "&amp;A105</f>
        <v>Valor da produção Manga</v>
      </c>
      <c r="C129" s="80"/>
      <c r="D129" s="80">
        <f>IFERROR(('Resumo-Cult.Perma.'!C90*('Critérios de Implantação'!D$70)),0)+IFERROR(('Resumo-Cult.Perma.'!B90*('Critérios de Implantação'!D$71)),0)+IFERROR(('Resumo-Cult.Perma.'!A90*('Critérios de Implantação'!D$78)),0)</f>
        <v>0</v>
      </c>
      <c r="E129" s="80">
        <f>IFERROR(('Resumo-Cult.Perma.'!D90*('Critérios de Implantação'!E$70)),0)+IFERROR(('Resumo-Cult.Perma.'!C90*('Critérios de Implantação'!E$71)),0)+IFERROR(('Resumo-Cult.Perma.'!B90*('Critérios de Implantação'!E$78)),0)</f>
        <v>0</v>
      </c>
      <c r="F129" s="80">
        <f>IFERROR(('Resumo-Cult.Perma.'!E94*('Critérios de Implantação'!F$70)),0)+IFERROR(('Resumo-Cult.Perma.'!D94*('Critérios de Implantação'!F$71)),0)+IFERROR(('Resumo-Cult.Perma.'!C94*('Critérios de Implantação'!F$78)),0)</f>
        <v>0</v>
      </c>
      <c r="G129" s="80">
        <f>IFERROR(('Resumo-Cult.Perma.'!D94*('Critérios de Implantação'!G$70)),0)+IFERROR(('Resumo-Cult.Perma.'!C94*('Critérios de Implantação'!G$71)),0)+IFERROR(('Resumo-Cult.Perma.'!B94*('Critérios de Implantação'!G$72)),0)+IFERROR(('Resumo-Cult.Perma.'!A94*('Critérios de Implantação'!G$73)),0)+IFERROR(('Resumo-Cult.Perma.'!#REF!*('Critérios de Implantação'!G$74)),0)+IFERROR(('Resumo-Cult.Perma.'!#REF!*('Critérios de Implantação'!G$75)),0)+IFERROR(('Resumo-Cult.Perma.'!#REF!*('Critérios de Implantação'!G$76)),0)+IFERROR(('Resumo-Cult.Perma.'!#REF!*('Critérios de Implantação'!G$77)),0)+IFERROR(('Resumo-Cult.Perma.'!#REF!*('Critérios de Implantação'!G$78)),0)</f>
        <v>0</v>
      </c>
      <c r="H129" s="80">
        <f>IFERROR(('Resumo-Cult.Perma.'!E94*('Critérios de Implantação'!H$70)),0)+IFERROR(('Resumo-Cult.Perma.'!D94*('Critérios de Implantação'!H$71)),0)+IFERROR(('Resumo-Cult.Perma.'!C94*('Critérios de Implantação'!H$72)),0)+IFERROR(('Resumo-Cult.Perma.'!B94*('Critérios de Implantação'!H$73)),0)+IFERROR(('Resumo-Cult.Perma.'!A94*('Critérios de Implantação'!H$74)),0)+IFERROR(('Resumo-Cult.Perma.'!#REF!*('Critérios de Implantação'!H$75)),0)+IFERROR(('Resumo-Cult.Perma.'!#REF!*('Critérios de Implantação'!H$76)),0)+IFERROR(('Resumo-Cult.Perma.'!#REF!*('Critérios de Implantação'!H$77)),0)+IFERROR(('Resumo-Cult.Perma.'!#REF!*('Critérios de Implantação'!H$78)),0)</f>
        <v>2171232.8192202877</v>
      </c>
      <c r="I129" s="80">
        <f>IFERROR(('Resumo-Cult.Perma.'!F94*('Critérios de Implantação'!I$70)),0)+IFERROR(('Resumo-Cult.Perma.'!E94*('Critérios de Implantação'!I$71)),0)+IFERROR(('Resumo-Cult.Perma.'!D94*('Critérios de Implantação'!I$72)),0)+IFERROR(('Resumo-Cult.Perma.'!C94*('Critérios de Implantação'!I$73)),0)+IFERROR(('Resumo-Cult.Perma.'!B94*('Critérios de Implantação'!I$74)),0)+IFERROR(('Resumo-Cult.Perma.'!A94*('Critérios de Implantação'!I$75)),0)+IFERROR(('Resumo-Cult.Perma.'!#REF!*('Critérios de Implantação'!I$76)),0)+IFERROR(('Resumo-Cult.Perma.'!#REF!*('Critérios de Implantação'!I$77)),0)+IFERROR(('Resumo-Cult.Perma.'!#REF!*('Critérios de Implantação'!I$78)),0)</f>
        <v>4892511.285976382</v>
      </c>
      <c r="J129" s="80">
        <f>IFERROR(('Resumo-Cult.Perma.'!G94*('Critérios de Implantação'!J$70)),0)+IFERROR(('Resumo-Cult.Perma.'!F94*('Critérios de Implantação'!J$71)),0)+IFERROR(('Resumo-Cult.Perma.'!E94*('Critérios de Implantação'!J$72)),0)+IFERROR(('Resumo-Cult.Perma.'!D94*('Critérios de Implantação'!J$73)),0)+IFERROR(('Resumo-Cult.Perma.'!C94*('Critérios de Implantação'!J$74)),0)+IFERROR(('Resumo-Cult.Perma.'!B94*('Critérios de Implantação'!J$75)),0)+IFERROR(('Resumo-Cult.Perma.'!A94*('Critérios de Implantação'!J$76)),0)+IFERROR(('Resumo-Cult.Perma.'!#REF!*('Critérios de Implantação'!J$77)),0)+IFERROR(('Resumo-Cult.Perma.'!#REF!*('Critérios de Implantação'!J$78)),0)</f>
        <v>10222418.962504558</v>
      </c>
      <c r="K129" s="80">
        <f>IFERROR(('Resumo-Cult.Perma.'!H94*('Critérios de Implantação'!K$70)),0)+IFERROR(('Resumo-Cult.Perma.'!G94*('Critérios de Implantação'!K$71)),0)+IFERROR(('Resumo-Cult.Perma.'!F94*('Critérios de Implantação'!K$72)),0)+IFERROR(('Resumo-Cult.Perma.'!E94*('Critérios de Implantação'!K$73)),0)+IFERROR(('Resumo-Cult.Perma.'!D94*('Critérios de Implantação'!K$74)),0)+IFERROR(('Resumo-Cult.Perma.'!C94*('Critérios de Implantação'!K$75)),0)+IFERROR(('Resumo-Cult.Perma.'!B94*('Critérios de Implantação'!K$76)),0)+IFERROR(('Resumo-Cult.Perma.'!A94*('Critérios de Implantação'!K$77)),0)+IFERROR(('Resumo-Cult.Perma.'!#REF!*('Critérios de Implantação'!K$78)),0)</f>
        <v>18642841.155371059</v>
      </c>
      <c r="L129" s="80">
        <f>IFERROR(('Resumo-Cult.Perma.'!I94*('Critérios de Implantação'!L$70)),0)+IFERROR(('Resumo-Cult.Perma.'!H94*('Critérios de Implantação'!L$71)),0)+IFERROR(('Resumo-Cult.Perma.'!G94*('Critérios de Implantação'!L$72)),0)+IFERROR(('Resumo-Cult.Perma.'!F94*('Critérios de Implantação'!L$73)),0)+IFERROR(('Resumo-Cult.Perma.'!E94*('Critérios de Implantação'!L$74)),0)+IFERROR(('Resumo-Cult.Perma.'!D94*('Critérios de Implantação'!L$75)),0)+IFERROR(('Resumo-Cult.Perma.'!C94*('Critérios de Implantação'!L$76)),0)+IFERROR(('Resumo-Cult.Perma.'!B94*('Critérios de Implantação'!L$77)),0)+IFERROR(('Resumo-Cult.Perma.'!A94*('Critérios de Implantação'!L$78)),0)</f>
        <v>29165567.953040425</v>
      </c>
      <c r="M129" s="80">
        <f>IFERROR(('Resumo-Cult.Perma.'!J94*('Critérios de Implantação'!M$70)),0)+IFERROR(('Resumo-Cult.Perma.'!I94*('Critérios de Implantação'!M$71)),0)+IFERROR(('Resumo-Cult.Perma.'!H94*('Critérios de Implantação'!M$72)),0)+IFERROR(('Resumo-Cult.Perma.'!G94*('Critérios de Implantação'!M$73)),0)+IFERROR(('Resumo-Cult.Perma.'!F94*('Critérios de Implantação'!M$74)),0)+IFERROR(('Resumo-Cult.Perma.'!E94*('Critérios de Implantação'!M$75)),0)+IFERROR(('Resumo-Cult.Perma.'!D94*('Critérios de Implantação'!M$76)),0)+IFERROR(('Resumo-Cult.Perma.'!C94*('Critérios de Implantação'!M$77)),0)+IFERROR(('Resumo-Cult.Perma.'!B94*('Critérios de Implantação'!M$78)),0)</f>
        <v>43647190.063961178</v>
      </c>
      <c r="N129" s="80">
        <f>IFERROR(('Resumo-Cult.Perma.'!K94*('Critérios de Implantação'!N$70)),0)+IFERROR(('Resumo-Cult.Perma.'!J94*('Critérios de Implantação'!N$71)),0)+IFERROR(('Resumo-Cult.Perma.'!I94*('Critérios de Implantação'!N$72)),0)+IFERROR(('Resumo-Cult.Perma.'!H94*('Critérios de Implantação'!N$73)),0)+IFERROR(('Resumo-Cult.Perma.'!G94*('Critérios de Implantação'!N$74)),0)+IFERROR(('Resumo-Cult.Perma.'!F94*('Critérios de Implantação'!N$75)),0)+IFERROR(('Resumo-Cult.Perma.'!E94*('Critérios de Implantação'!N$76)),0)+IFERROR(('Resumo-Cult.Perma.'!D94*('Critérios de Implantação'!N$77)),0)+IFERROR(('Resumo-Cult.Perma.'!C94*('Critérios de Implantação'!N$78)),0)</f>
        <v>57839905.877065003</v>
      </c>
      <c r="O129" s="80">
        <f>IFERROR(('Resumo-Cult.Perma.'!L94*('Critérios de Implantação'!O$70)),0)+IFERROR(('Resumo-Cult.Perma.'!K94*('Critérios de Implantação'!O$71)),0)+IFERROR(('Resumo-Cult.Perma.'!J94*('Critérios de Implantação'!O$72)),0)+IFERROR(('Resumo-Cult.Perma.'!I94*('Critérios de Implantação'!O$73)),0)+IFERROR(('Resumo-Cult.Perma.'!H94*('Critérios de Implantação'!O$74)),0)+IFERROR(('Resumo-Cult.Perma.'!G94*('Critérios de Implantação'!O$75)),0)+IFERROR(('Resumo-Cult.Perma.'!F94*('Critérios de Implantação'!O$76)),0)+IFERROR(('Resumo-Cult.Perma.'!E94*('Critérios de Implantação'!O$77)),0)+IFERROR(('Resumo-Cult.Perma.'!D94*('Critérios de Implantação'!O$78)),0)</f>
        <v>72505198.810578093</v>
      </c>
      <c r="P129" s="80">
        <f>IFERROR(('Resumo-Cult.Perma.'!M94*('Critérios de Implantação'!P$70)),0)+IFERROR(('Resumo-Cult.Perma.'!L94*('Critérios de Implantação'!P$71)),0)+IFERROR(('Resumo-Cult.Perma.'!K94*('Critérios de Implantação'!P$72)),0)+IFERROR(('Resumo-Cult.Perma.'!J94*('Critérios de Implantação'!P$73)),0)+IFERROR(('Resumo-Cult.Perma.'!I94*('Critérios de Implantação'!P$74)),0)+IFERROR(('Resumo-Cult.Perma.'!H94*('Critérios de Implantação'!P$75)),0)+IFERROR(('Resumo-Cult.Perma.'!G94*('Critérios de Implantação'!P$76)),0)+IFERROR(('Resumo-Cult.Perma.'!F94*('Critérios de Implantação'!P$77)),0)+IFERROR(('Resumo-Cult.Perma.'!E94*('Critérios de Implantação'!P$78)),0)</f>
        <v>84582424.160018906</v>
      </c>
      <c r="Q129" s="80">
        <f>IFERROR(('Resumo-Cult.Perma.'!N94*('Critérios de Implantação'!Q$70)),0)+IFERROR(('Resumo-Cult.Perma.'!M94*('Critérios de Implantação'!Q$71)),0)+IFERROR(('Resumo-Cult.Perma.'!L94*('Critérios de Implantação'!Q$72)),0)+IFERROR(('Resumo-Cult.Perma.'!K94*('Critérios de Implantação'!Q$73)),0)+IFERROR(('Resumo-Cult.Perma.'!J94*('Critérios de Implantação'!Q$74)),0)+IFERROR(('Resumo-Cult.Perma.'!I94*('Critérios de Implantação'!Q$75)),0)+IFERROR(('Resumo-Cult.Perma.'!H94*('Critérios de Implantação'!Q$76)),0)+IFERROR(('Resumo-Cult.Perma.'!G94*('Critérios de Implantação'!Q$77)),0)+IFERROR(('Resumo-Cult.Perma.'!F94*('Critérios de Implantação'!Q$78)),0)</f>
        <v>94212519.535115555</v>
      </c>
      <c r="R129" s="80">
        <f>IFERROR(('Resumo-Cult.Perma.'!O94*('Critérios de Implantação'!R$70)),0)+IFERROR(('Resumo-Cult.Perma.'!N94*('Critérios de Implantação'!R$71)),0)+IFERROR(('Resumo-Cult.Perma.'!M94*('Critérios de Implantação'!R$72)),0)+IFERROR(('Resumo-Cult.Perma.'!L94*('Critérios de Implantação'!R$73)),0)+IFERROR(('Resumo-Cult.Perma.'!K94*('Critérios de Implantação'!R$74)),0)+IFERROR(('Resumo-Cult.Perma.'!J94*('Critérios de Implantação'!R$75)),0)+IFERROR(('Resumo-Cult.Perma.'!I94*('Critérios de Implantação'!R$76)),0)+IFERROR(('Resumo-Cult.Perma.'!H94*('Critérios de Implantação'!R$77)),0)+IFERROR(('Resumo-Cult.Perma.'!G94*('Critérios de Implantação'!R$78)),0)</f>
        <v>100232738.33181415</v>
      </c>
      <c r="S129" s="80">
        <f>IFERROR(('Resumo-Cult.Perma.'!P94*('Critérios de Implantação'!S$70)),0)+IFERROR(('Resumo-Cult.Perma.'!O94*('Critérios de Implantação'!S$71)),0)+IFERROR(('Resumo-Cult.Perma.'!N94*('Critérios de Implantação'!S$72)),0)+IFERROR(('Resumo-Cult.Perma.'!M94*('Critérios de Implantação'!S$73)),0)+IFERROR(('Resumo-Cult.Perma.'!L94*('Critérios de Implantação'!S$74)),0)+IFERROR(('Resumo-Cult.Perma.'!K94*('Critérios de Implantação'!S$75)),0)+IFERROR(('Resumo-Cult.Perma.'!J94*('Critérios de Implantação'!S$76)),0)+IFERROR(('Resumo-Cult.Perma.'!I94*('Critérios de Implantação'!S$77)),0)+IFERROR(('Resumo-Cult.Perma.'!H94*('Critérios de Implantação'!S$78)),0)</f>
        <v>101839266.24771324</v>
      </c>
      <c r="T129" s="80">
        <f>IFERROR(('Resumo-Cult.Perma.'!Q94*('Critérios de Implantação'!T$70)),0)+IFERROR(('Resumo-Cult.Perma.'!P94*('Critérios de Implantação'!T$71)),0)+IFERROR(('Resumo-Cult.Perma.'!O94*('Critérios de Implantação'!T$72)),0)+IFERROR(('Resumo-Cult.Perma.'!N94*('Critérios de Implantação'!T$73)),0)+IFERROR(('Resumo-Cult.Perma.'!M94*('Critérios de Implantação'!T$74)),0)+IFERROR(('Resumo-Cult.Perma.'!L94*('Critérios de Implantação'!T$75)),0)+IFERROR(('Resumo-Cult.Perma.'!K94*('Critérios de Implantação'!T$76)),0)+IFERROR(('Resumo-Cult.Perma.'!J94*('Critérios de Implantação'!T$77)),0)+IFERROR(('Resumo-Cult.Perma.'!I94*('Critérios de Implantação'!T$78)),0)</f>
        <v>102429372.57853976</v>
      </c>
      <c r="U129" s="80">
        <f>IFERROR(('Resumo-Cult.Perma.'!R94*('Critérios de Implantação'!U$70)),0)+IFERROR(('Resumo-Cult.Perma.'!Q94*('Critérios de Implantação'!U$71)),0)+IFERROR(('Resumo-Cult.Perma.'!P94*('Critérios de Implantação'!U$72)),0)+IFERROR(('Resumo-Cult.Perma.'!O94*('Critérios de Implantação'!U$73)),0)+IFERROR(('Resumo-Cult.Perma.'!N94*('Critérios de Implantação'!U$74)),0)+IFERROR(('Resumo-Cult.Perma.'!M94*('Critérios de Implantação'!U$75)),0)+IFERROR(('Resumo-Cult.Perma.'!L94*('Critérios de Implantação'!U$76)),0)+IFERROR(('Resumo-Cult.Perma.'!K94*('Critérios de Implantação'!U$77)),0)+IFERROR(('Resumo-Cult.Perma.'!J94*('Critérios de Implantação'!U$78)),0)</f>
        <v>98790030.883956507</v>
      </c>
      <c r="V129" s="80">
        <f>IFERROR(('Resumo-Cult.Perma.'!S94*('Critérios de Implantação'!V$70)),0)+IFERROR(('Resumo-Cult.Perma.'!R94*('Critérios de Implantação'!V$71)),0)+IFERROR(('Resumo-Cult.Perma.'!Q94*('Critérios de Implantação'!V$72)),0)+IFERROR(('Resumo-Cult.Perma.'!P94*('Critérios de Implantação'!V$73)),0)+IFERROR(('Resumo-Cult.Perma.'!O94*('Critérios de Implantação'!V$74)),0)+IFERROR(('Resumo-Cult.Perma.'!N94*('Critérios de Implantação'!V$75)),0)+IFERROR(('Resumo-Cult.Perma.'!M94*('Critérios de Implantação'!V$76)),0)+IFERROR(('Resumo-Cult.Perma.'!L94*('Critérios de Implantação'!V$77)),0)+IFERROR(('Resumo-Cult.Perma.'!K94*('Critérios de Implantação'!V$78)),0)</f>
        <v>94997680.57160975</v>
      </c>
      <c r="W129" s="80">
        <f>IFERROR(('Resumo-Cult.Perma.'!T94*('Critérios de Implantação'!W$70)),0)+IFERROR(('Resumo-Cult.Perma.'!S94*('Critérios de Implantação'!W$71)),0)+IFERROR(('Resumo-Cult.Perma.'!R94*('Critérios de Implantação'!W$72)),0)+IFERROR(('Resumo-Cult.Perma.'!Q94*('Critérios de Implantação'!W$73)),0)+IFERROR(('Resumo-Cult.Perma.'!P94*('Critérios de Implantação'!W$74)),0)+IFERROR(('Resumo-Cult.Perma.'!O94*('Critérios de Implantação'!W$75)),0)+IFERROR(('Resumo-Cult.Perma.'!N94*('Critérios de Implantação'!W$76)),0)+IFERROR(('Resumo-Cult.Perma.'!M94*('Critérios de Implantação'!W$77)),0)+IFERROR(('Resumo-Cult.Perma.'!L94*('Critérios de Implantação'!W$78)),0)</f>
        <v>90716276.246070296</v>
      </c>
      <c r="X129" s="80">
        <f>IFERROR(('Resumo-Cult.Perma.'!U94*('Critérios de Implantação'!X$70)),0)+IFERROR(('Resumo-Cult.Perma.'!T94*('Critérios de Implantação'!X$71)),0)+IFERROR(('Resumo-Cult.Perma.'!S94*('Critérios de Implantação'!X$72)),0)+IFERROR(('Resumo-Cult.Perma.'!R94*('Critérios de Implantação'!X$73)),0)+IFERROR(('Resumo-Cult.Perma.'!Q94*('Critérios de Implantação'!X$74)),0)+IFERROR(('Resumo-Cult.Perma.'!P94*('Critérios de Implantação'!X$75)),0)+IFERROR(('Resumo-Cult.Perma.'!O94*('Critérios de Implantação'!X$76)),0)+IFERROR(('Resumo-Cult.Perma.'!N94*('Critérios de Implantação'!X$77)),0)+IFERROR(('Resumo-Cult.Perma.'!M94*('Critérios de Implantação'!X$78)),0)</f>
        <v>80800376.906066239</v>
      </c>
      <c r="Y129" s="80">
        <f>IFERROR(('Resumo-Cult.Perma.'!V94*('Critérios de Implantação'!Y$70)),0)+IFERROR(('Resumo-Cult.Perma.'!U94*('Critérios de Implantação'!Y$71)),0)+IFERROR(('Resumo-Cult.Perma.'!T94*('Critérios de Implantação'!Y$72)),0)+IFERROR(('Resumo-Cult.Perma.'!S94*('Critérios de Implantação'!Y$73)),0)+IFERROR(('Resumo-Cult.Perma.'!R94*('Critérios de Implantação'!Y$74)),0)+IFERROR(('Resumo-Cult.Perma.'!Q94*('Critérios de Implantação'!Y$75)),0)+IFERROR(('Resumo-Cult.Perma.'!P94*('Critérios de Implantação'!Y$76)),0)+IFERROR(('Resumo-Cult.Perma.'!O94*('Critérios de Implantação'!Y$77)),0)+IFERROR(('Resumo-Cult.Perma.'!N94*('Critérios de Implantação'!Y$78)),0)</f>
        <v>71763747.11557667</v>
      </c>
      <c r="Z129" s="80">
        <f>IFERROR(('Resumo-Cult.Perma.'!W94*('Critérios de Implantação'!Z$70)),0)+IFERROR(('Resumo-Cult.Perma.'!V94*('Critérios de Implantação'!Z$71)),0)+IFERROR(('Resumo-Cult.Perma.'!U94*('Critérios de Implantação'!Z$72)),0)+IFERROR(('Resumo-Cult.Perma.'!T94*('Critérios de Implantação'!Z$73)),0)+IFERROR(('Resumo-Cult.Perma.'!S94*('Critérios de Implantação'!Z$74)),0)+IFERROR(('Resumo-Cult.Perma.'!R94*('Critérios de Implantação'!Z$75)),0)+IFERROR(('Resumo-Cult.Perma.'!Q94*('Critérios de Implantação'!Z$76)),0)+IFERROR(('Resumo-Cult.Perma.'!P94*('Critérios de Implantação'!Z$77)),0)+IFERROR(('Resumo-Cult.Perma.'!O94*('Critérios de Implantação'!Z$78)),0)</f>
        <v>63205120.42078875</v>
      </c>
      <c r="AA129" s="80">
        <f>IFERROR(('Resumo-Cult.Perma.'!X94*('Critérios de Implantação'!AA$70)),0)+IFERROR(('Resumo-Cult.Perma.'!W94*('Critérios de Implantação'!AA$71)),0)+IFERROR(('Resumo-Cult.Perma.'!V94*('Critérios de Implantação'!AA$72)),0)+IFERROR(('Resumo-Cult.Perma.'!U94*('Critérios de Implantação'!AA$73)),0)+IFERROR(('Resumo-Cult.Perma.'!T94*('Critérios de Implantação'!AA$74)),0)+IFERROR(('Resumo-Cult.Perma.'!S94*('Critérios de Implantação'!AA$75)),0)+IFERROR(('Resumo-Cult.Perma.'!R94*('Critérios de Implantação'!AA$76)),0)+IFERROR(('Resumo-Cult.Perma.'!Q94*('Critérios de Implantação'!AA$77)),0)+IFERROR(('Resumo-Cult.Perma.'!P94*('Critérios de Implantação'!AA$78)),0)</f>
        <v>50893209.75387758</v>
      </c>
      <c r="AB129" s="80">
        <f>IFERROR(('Resumo-Cult.Perma.'!Y94*('Critérios de Implantação'!AB$70)),0)+IFERROR(('Resumo-Cult.Perma.'!X94*('Critérios de Implantação'!AB$71)),0)+IFERROR(('Resumo-Cult.Perma.'!W94*('Critérios de Implantação'!AB$72)),0)+IFERROR(('Resumo-Cult.Perma.'!V94*('Critérios de Implantação'!AB$73)),0)+IFERROR(('Resumo-Cult.Perma.'!U94*('Critérios de Implantação'!AB$74)),0)+IFERROR(('Resumo-Cult.Perma.'!T94*('Critérios de Implantação'!AB$75)),0)+IFERROR(('Resumo-Cult.Perma.'!S94*('Critérios de Implantação'!AB$76)),0)+IFERROR(('Resumo-Cult.Perma.'!R94*('Critérios de Implantação'!AB$77)),0)+IFERROR(('Resumo-Cult.Perma.'!Q94*('Critérios de Implantação'!AB$78)),0)</f>
        <v>42579463.638333641</v>
      </c>
      <c r="AC129" s="80">
        <f>IFERROR(('Resumo-Cult.Perma.'!Z94*('Critérios de Implantação'!AC$70)),0)+IFERROR(('Resumo-Cult.Perma.'!Y94*('Critérios de Implantação'!AC$71)),0)+IFERROR(('Resumo-Cult.Perma.'!X94*('Critérios de Implantação'!AC$72)),0)+IFERROR(('Resumo-Cult.Perma.'!W94*('Critérios de Implantação'!AC$73)),0)+IFERROR(('Resumo-Cult.Perma.'!V94*('Critérios de Implantação'!AC$74)),0)+IFERROR(('Resumo-Cult.Perma.'!U94*('Critérios de Implantação'!AC$75)),0)+IFERROR(('Resumo-Cult.Perma.'!T94*('Critérios de Implantação'!AC$76)),0)+IFERROR(('Resumo-Cult.Perma.'!S94*('Critérios de Implantação'!AC$77)),0)+IFERROR(('Resumo-Cult.Perma.'!R94*('Critérios de Implantação'!AC$78)),0)</f>
        <v>38151333.259989902</v>
      </c>
      <c r="AD129" s="80">
        <f>IFERROR(('Resumo-Cult.Perma.'!AA94*('Critérios de Implantação'!AD$70)),0)+IFERROR(('Resumo-Cult.Perma.'!Z94*('Critérios de Implantação'!AD$71)),0)+IFERROR(('Resumo-Cult.Perma.'!Y94*('Critérios de Implantação'!AD$72)),0)+IFERROR(('Resumo-Cult.Perma.'!X94*('Critérios de Implantação'!AD$73)),0)+IFERROR(('Resumo-Cult.Perma.'!W94*('Critérios de Implantação'!AD$74)),0)+IFERROR(('Resumo-Cult.Perma.'!V94*('Critérios de Implantação'!AD$75)),0)+IFERROR(('Resumo-Cult.Perma.'!U94*('Critérios de Implantação'!AD$76)),0)+IFERROR(('Resumo-Cult.Perma.'!T94*('Critérios de Implantação'!AD$77)),0)+IFERROR(('Resumo-Cult.Perma.'!S94*('Critérios de Implantação'!AD$78)),0)</f>
        <v>39035372.515763812</v>
      </c>
      <c r="AE129" s="80">
        <f>IFERROR(('Resumo-Cult.Perma.'!AB94*('Critérios de Implantação'!AE$70)),0)+IFERROR(('Resumo-Cult.Perma.'!AA94*('Critérios de Implantação'!AE$71)),0)+IFERROR(('Resumo-Cult.Perma.'!Z94*('Critérios de Implantação'!AE$72)),0)+IFERROR(('Resumo-Cult.Perma.'!Y94*('Critérios de Implantação'!AE$73)),0)+IFERROR(('Resumo-Cult.Perma.'!X94*('Critérios de Implantação'!AE$74)),0)+IFERROR(('Resumo-Cult.Perma.'!W94*('Critérios de Implantação'!AE$75)),0)+IFERROR(('Resumo-Cult.Perma.'!V94*('Critérios de Implantação'!AE$76)),0)+IFERROR(('Resumo-Cult.Perma.'!U94*('Critérios de Implantação'!AE$77)),0)+IFERROR(('Resumo-Cult.Perma.'!T94*('Critérios de Implantação'!AE$78)),0)</f>
        <v>46830873.147122152</v>
      </c>
      <c r="AF129" s="80">
        <f>IFERROR(('Resumo-Cult.Perma.'!AC94*('Critérios de Implantação'!AF$70)),0)+IFERROR(('Resumo-Cult.Perma.'!AB94*('Critérios de Implantação'!AF$71)),0)+IFERROR(('Resumo-Cult.Perma.'!AA94*('Critérios de Implantação'!AF$72)),0)+IFERROR(('Resumo-Cult.Perma.'!Z94*('Critérios de Implantação'!AF$73)),0)+IFERROR(('Resumo-Cult.Perma.'!Y94*('Critérios de Implantação'!AF$74)),0)+IFERROR(('Resumo-Cult.Perma.'!X94*('Critérios de Implantação'!AF$75)),0)+IFERROR(('Resumo-Cult.Perma.'!W94*('Critérios de Implantação'!AF$76)),0)+IFERROR(('Resumo-Cult.Perma.'!V94*('Critérios de Implantação'!AF$77)),0)+IFERROR(('Resumo-Cult.Perma.'!U94*('Critérios de Implantação'!AF$78)),0)</f>
        <v>57839905.877065003</v>
      </c>
      <c r="AG129" s="80">
        <f>IFERROR(('Resumo-Cult.Perma.'!AD94*('Critérios de Implantação'!AG$70)),0)+IFERROR(('Resumo-Cult.Perma.'!AC94*('Critérios de Implantação'!AG$71)),0)+IFERROR(('Resumo-Cult.Perma.'!AB94*('Critérios de Implantação'!AG$72)),0)+IFERROR(('Resumo-Cult.Perma.'!AA94*('Critérios de Implantação'!AG$73)),0)+IFERROR(('Resumo-Cult.Perma.'!Z94*('Critérios de Implantação'!AG$74)),0)+IFERROR(('Resumo-Cult.Perma.'!Y94*('Critérios de Implantação'!AG$75)),0)+IFERROR(('Resumo-Cult.Perma.'!X94*('Critérios de Implantação'!AG$76)),0)+IFERROR(('Resumo-Cult.Perma.'!W94*('Critérios de Implantação'!AG$77)),0)+IFERROR(('Resumo-Cult.Perma.'!V94*('Critérios de Implantação'!AG$78)),0)</f>
        <v>72505198.810578093</v>
      </c>
      <c r="AH129" s="80">
        <f>IFERROR(('Resumo-Cult.Perma.'!AE94*('Critérios de Implantação'!AH$70)),0)+IFERROR(('Resumo-Cult.Perma.'!AD94*('Critérios de Implantação'!AH$71)),0)+IFERROR(('Resumo-Cult.Perma.'!AC94*('Critérios de Implantação'!AH$72)),0)+IFERROR(('Resumo-Cult.Perma.'!AB94*('Critérios de Implantação'!AH$73)),0)+IFERROR(('Resumo-Cult.Perma.'!AA94*('Critérios de Implantação'!AH$74)),0)+IFERROR(('Resumo-Cult.Perma.'!Z94*('Critérios de Implantação'!AH$75)),0)+IFERROR(('Resumo-Cult.Perma.'!Y94*('Critérios de Implantação'!AH$76)),0)+IFERROR(('Resumo-Cult.Perma.'!X94*('Critérios de Implantação'!AH$77)),0)+IFERROR(('Resumo-Cult.Perma.'!W94*('Critérios de Implantação'!AH$78)),0)</f>
        <v>84582424.160018906</v>
      </c>
      <c r="AI129" s="80">
        <f>IFERROR(('Resumo-Cult.Perma.'!AF94*('Critérios de Implantação'!AI$70)),0)+IFERROR(('Resumo-Cult.Perma.'!AE94*('Critérios de Implantação'!AI$71)),0)+IFERROR(('Resumo-Cult.Perma.'!AD94*('Critérios de Implantação'!AI$72)),0)+IFERROR(('Resumo-Cult.Perma.'!AC94*('Critérios de Implantação'!AI$73)),0)+IFERROR(('Resumo-Cult.Perma.'!AB94*('Critérios de Implantação'!AI$74)),0)+IFERROR(('Resumo-Cult.Perma.'!AA94*('Critérios de Implantação'!AI$75)),0)+IFERROR(('Resumo-Cult.Perma.'!Z94*('Critérios de Implantação'!AI$76)),0)+IFERROR(('Resumo-Cult.Perma.'!Y94*('Critérios de Implantação'!AI$77)),0)+IFERROR(('Resumo-Cult.Perma.'!X94*('Critérios de Implantação'!AI$78)),0)</f>
        <v>94212519.535115555</v>
      </c>
      <c r="AJ129" s="80">
        <f>IFERROR(('Resumo-Cult.Perma.'!AG94*('Critérios de Implantação'!AJ$70)),0)+IFERROR(('Resumo-Cult.Perma.'!AF94*('Critérios de Implantação'!AJ$71)),0)+IFERROR(('Resumo-Cult.Perma.'!AE94*('Critérios de Implantação'!AJ$72)),0)+IFERROR(('Resumo-Cult.Perma.'!AD94*('Critérios de Implantação'!AJ$73)),0)+IFERROR(('Resumo-Cult.Perma.'!AC94*('Critérios de Implantação'!AJ$74)),0)+IFERROR(('Resumo-Cult.Perma.'!AB94*('Critérios de Implantação'!AJ$75)),0)+IFERROR(('Resumo-Cult.Perma.'!AA94*('Critérios de Implantação'!AJ$76)),0)+IFERROR(('Resumo-Cult.Perma.'!Z94*('Critérios de Implantação'!AJ$77)),0)+IFERROR(('Resumo-Cult.Perma.'!Y94*('Critérios de Implantação'!AJ$78)),0)</f>
        <v>100232738.33181415</v>
      </c>
      <c r="AK129" s="95">
        <f>IFERROR(('Resumo-Cult.Perma.'!AH94*('Critérios de Implantação'!AK$70)),0)+IFERROR(('Resumo-Cult.Perma.'!AG94*('Critérios de Implantação'!AK$71)),0)+IFERROR(('Resumo-Cult.Perma.'!AF94*('Critérios de Implantação'!AK$72)),0)+IFERROR(('Resumo-Cult.Perma.'!AE94*('Critérios de Implantação'!AK$73)),0)+IFERROR(('Resumo-Cult.Perma.'!AD94*('Critérios de Implantação'!AK$74)),0)+IFERROR(('Resumo-Cult.Perma.'!AC94*('Critérios de Implantação'!AK$75)),0)+IFERROR(('Resumo-Cult.Perma.'!AB94*('Critérios de Implantação'!AK$76)),0)+IFERROR(('Resumo-Cult.Perma.'!AA94*('Critérios de Implantação'!AK$77)),0)+IFERROR(('Resumo-Cult.Perma.'!Z94*('Critérios de Implantação'!AK$78)),0)</f>
        <v>101839266.24771324</v>
      </c>
    </row>
    <row r="130" spans="1:37" ht="20.149999999999999" hidden="1" customHeight="1" outlineLevel="1" thickBot="1" x14ac:dyDescent="0.3">
      <c r="A130" s="52"/>
      <c r="B130" s="102" t="s">
        <v>153</v>
      </c>
      <c r="C130" s="88"/>
      <c r="D130" s="88">
        <f>SUM(D129:D129)</f>
        <v>0</v>
      </c>
      <c r="E130" s="88">
        <f t="shared" ref="E130:AK130" si="62">SUM(E129:E129)</f>
        <v>0</v>
      </c>
      <c r="F130" s="88">
        <f t="shared" si="62"/>
        <v>0</v>
      </c>
      <c r="G130" s="88">
        <f t="shared" si="62"/>
        <v>0</v>
      </c>
      <c r="H130" s="88">
        <f>SUM(H129:H129)</f>
        <v>2171232.8192202877</v>
      </c>
      <c r="I130" s="88">
        <f t="shared" si="62"/>
        <v>4892511.285976382</v>
      </c>
      <c r="J130" s="88">
        <f t="shared" si="62"/>
        <v>10222418.962504558</v>
      </c>
      <c r="K130" s="88">
        <f t="shared" si="62"/>
        <v>18642841.155371059</v>
      </c>
      <c r="L130" s="88">
        <f t="shared" si="62"/>
        <v>29165567.953040425</v>
      </c>
      <c r="M130" s="88">
        <f t="shared" si="62"/>
        <v>43647190.063961178</v>
      </c>
      <c r="N130" s="88">
        <f t="shared" si="62"/>
        <v>57839905.877065003</v>
      </c>
      <c r="O130" s="88">
        <f t="shared" si="62"/>
        <v>72505198.810578093</v>
      </c>
      <c r="P130" s="88">
        <f t="shared" si="62"/>
        <v>84582424.160018906</v>
      </c>
      <c r="Q130" s="88">
        <f t="shared" si="62"/>
        <v>94212519.535115555</v>
      </c>
      <c r="R130" s="88">
        <f t="shared" si="62"/>
        <v>100232738.33181415</v>
      </c>
      <c r="S130" s="88">
        <f t="shared" si="62"/>
        <v>101839266.24771324</v>
      </c>
      <c r="T130" s="88">
        <f t="shared" si="62"/>
        <v>102429372.57853976</v>
      </c>
      <c r="U130" s="88">
        <f t="shared" si="62"/>
        <v>98790030.883956507</v>
      </c>
      <c r="V130" s="88">
        <f t="shared" si="62"/>
        <v>94997680.57160975</v>
      </c>
      <c r="W130" s="88">
        <f t="shared" si="62"/>
        <v>90716276.246070296</v>
      </c>
      <c r="X130" s="88">
        <f t="shared" si="62"/>
        <v>80800376.906066239</v>
      </c>
      <c r="Y130" s="88">
        <f t="shared" si="62"/>
        <v>71763747.11557667</v>
      </c>
      <c r="Z130" s="88">
        <f t="shared" si="62"/>
        <v>63205120.42078875</v>
      </c>
      <c r="AA130" s="88">
        <f t="shared" si="62"/>
        <v>50893209.75387758</v>
      </c>
      <c r="AB130" s="88">
        <f t="shared" si="62"/>
        <v>42579463.638333641</v>
      </c>
      <c r="AC130" s="88">
        <f t="shared" si="62"/>
        <v>38151333.259989902</v>
      </c>
      <c r="AD130" s="88">
        <f t="shared" si="62"/>
        <v>39035372.515763812</v>
      </c>
      <c r="AE130" s="88">
        <f t="shared" si="62"/>
        <v>46830873.147122152</v>
      </c>
      <c r="AF130" s="88">
        <f t="shared" si="62"/>
        <v>57839905.877065003</v>
      </c>
      <c r="AG130" s="88">
        <f t="shared" si="62"/>
        <v>72505198.810578093</v>
      </c>
      <c r="AH130" s="88">
        <f t="shared" si="62"/>
        <v>84582424.160018906</v>
      </c>
      <c r="AI130" s="88">
        <f t="shared" si="62"/>
        <v>94212519.535115555</v>
      </c>
      <c r="AJ130" s="88">
        <f t="shared" si="62"/>
        <v>100232738.33181415</v>
      </c>
      <c r="AK130" s="89">
        <f t="shared" si="62"/>
        <v>101839266.24771324</v>
      </c>
    </row>
    <row r="131" spans="1:37" ht="20.149999999999999" hidden="1" customHeight="1" outlineLevel="1" thickBot="1" x14ac:dyDescent="0.3">
      <c r="A131" s="14"/>
      <c r="C131" s="103"/>
      <c r="D131" s="103"/>
      <c r="E131" s="103"/>
      <c r="F131" s="103"/>
      <c r="G131" s="103"/>
      <c r="H131" s="103"/>
      <c r="I131" s="103"/>
      <c r="J131" s="103"/>
      <c r="K131" s="103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</row>
    <row r="132" spans="1:37" ht="20.149999999999999" hidden="1" customHeight="1" outlineLevel="1" thickBot="1" x14ac:dyDescent="0.3">
      <c r="A132" s="70">
        <v>4</v>
      </c>
      <c r="B132" s="104" t="s">
        <v>556</v>
      </c>
      <c r="C132" s="105"/>
      <c r="D132" s="105">
        <f t="shared" ref="D132:AK132" si="63">D130-D126-D119</f>
        <v>0</v>
      </c>
      <c r="E132" s="105">
        <f t="shared" si="63"/>
        <v>0</v>
      </c>
      <c r="F132" s="105">
        <f t="shared" si="63"/>
        <v>-4704576.8919393495</v>
      </c>
      <c r="G132" s="105">
        <f t="shared" si="63"/>
        <v>-5846349.2378025604</v>
      </c>
      <c r="H132" s="105">
        <f t="shared" si="63"/>
        <v>-6793061.6392376572</v>
      </c>
      <c r="I132" s="105">
        <f t="shared" si="63"/>
        <v>-12108112.598121274</v>
      </c>
      <c r="J132" s="105">
        <f t="shared" si="63"/>
        <v>-11127087.389960621</v>
      </c>
      <c r="K132" s="105">
        <f t="shared" si="63"/>
        <v>-9383440.874561334</v>
      </c>
      <c r="L132" s="105">
        <f t="shared" si="63"/>
        <v>-4211696.6169381924</v>
      </c>
      <c r="M132" s="105">
        <f t="shared" si="63"/>
        <v>4637650.5211380012</v>
      </c>
      <c r="N132" s="105">
        <f t="shared" si="63"/>
        <v>14421767.288841719</v>
      </c>
      <c r="O132" s="105">
        <f t="shared" si="63"/>
        <v>25592853.131550424</v>
      </c>
      <c r="P132" s="105">
        <f t="shared" si="63"/>
        <v>33032280.843093015</v>
      </c>
      <c r="Q132" s="105">
        <f t="shared" si="63"/>
        <v>39265364.443021052</v>
      </c>
      <c r="R132" s="105">
        <f t="shared" si="63"/>
        <v>43234876.317704618</v>
      </c>
      <c r="S132" s="105">
        <f t="shared" si="63"/>
        <v>44236954.947643384</v>
      </c>
      <c r="T132" s="105">
        <f t="shared" si="63"/>
        <v>44631471.581643149</v>
      </c>
      <c r="U132" s="105">
        <f t="shared" si="63"/>
        <v>41996904.659260057</v>
      </c>
      <c r="V132" s="105">
        <f t="shared" si="63"/>
        <v>39251572.802713379</v>
      </c>
      <c r="W132" s="105">
        <f t="shared" si="63"/>
        <v>36152208.367051125</v>
      </c>
      <c r="X132" s="105">
        <f t="shared" si="63"/>
        <v>28456949.502951905</v>
      </c>
      <c r="Y132" s="105">
        <f t="shared" si="63"/>
        <v>22924860.868206456</v>
      </c>
      <c r="Z132" s="105">
        <f t="shared" si="63"/>
        <v>17209602.80823341</v>
      </c>
      <c r="AA132" s="105">
        <f t="shared" si="63"/>
        <v>8282640.8415845782</v>
      </c>
      <c r="AB132" s="105">
        <f t="shared" si="63"/>
        <v>3783597.8217550144</v>
      </c>
      <c r="AC132" s="105">
        <f t="shared" si="63"/>
        <v>1177841.4237059578</v>
      </c>
      <c r="AD132" s="105">
        <f t="shared" si="63"/>
        <v>2456030.3374117985</v>
      </c>
      <c r="AE132" s="105">
        <f t="shared" si="63"/>
        <v>8170935.6585203633</v>
      </c>
      <c r="AF132" s="105">
        <f t="shared" si="63"/>
        <v>15744182.325037137</v>
      </c>
      <c r="AG132" s="105">
        <f t="shared" si="63"/>
        <v>25592853.131550431</v>
      </c>
      <c r="AH132" s="105">
        <f t="shared" si="63"/>
        <v>33032280.843093015</v>
      </c>
      <c r="AI132" s="105">
        <f t="shared" si="63"/>
        <v>39265364.443021052</v>
      </c>
      <c r="AJ132" s="105">
        <f t="shared" si="63"/>
        <v>43234876.317704618</v>
      </c>
      <c r="AK132" s="105">
        <f t="shared" si="63"/>
        <v>44236954.947643384</v>
      </c>
    </row>
    <row r="133" spans="1:37" ht="20.149999999999999" hidden="1" customHeight="1" outlineLevel="1" thickBot="1" x14ac:dyDescent="0.3">
      <c r="A133" s="14"/>
      <c r="C133" s="103"/>
      <c r="D133" s="103"/>
      <c r="E133" s="103"/>
      <c r="F133" s="103"/>
      <c r="G133" s="103"/>
      <c r="H133" s="103"/>
      <c r="I133" s="103"/>
      <c r="J133" s="103"/>
      <c r="K133" s="103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</row>
    <row r="134" spans="1:37" ht="20.149999999999999" hidden="1" customHeight="1" outlineLevel="1" thickBot="1" x14ac:dyDescent="0.3">
      <c r="A134" s="70">
        <v>5</v>
      </c>
      <c r="B134" s="104" t="s">
        <v>160</v>
      </c>
      <c r="C134" s="107"/>
      <c r="D134" s="107">
        <f>D132</f>
        <v>0</v>
      </c>
      <c r="E134" s="107">
        <f t="shared" ref="E134:AJ134" si="64">D134+E132</f>
        <v>0</v>
      </c>
      <c r="F134" s="107">
        <f t="shared" si="64"/>
        <v>-4704576.8919393495</v>
      </c>
      <c r="G134" s="107">
        <f t="shared" si="64"/>
        <v>-10550926.129741911</v>
      </c>
      <c r="H134" s="107">
        <f>G134+H132</f>
        <v>-17343987.768979568</v>
      </c>
      <c r="I134" s="107">
        <f>H134+I132</f>
        <v>-29452100.367100842</v>
      </c>
      <c r="J134" s="107">
        <f t="shared" si="64"/>
        <v>-40579187.757061467</v>
      </c>
      <c r="K134" s="107">
        <f t="shared" si="64"/>
        <v>-49962628.631622799</v>
      </c>
      <c r="L134" s="107">
        <f t="shared" si="64"/>
        <v>-54174325.248560995</v>
      </c>
      <c r="M134" s="107">
        <f t="shared" si="64"/>
        <v>-49536674.727422997</v>
      </c>
      <c r="N134" s="107">
        <f t="shared" si="64"/>
        <v>-35114907.43858128</v>
      </c>
      <c r="O134" s="107">
        <f t="shared" si="64"/>
        <v>-9522054.3070308566</v>
      </c>
      <c r="P134" s="107">
        <f t="shared" si="64"/>
        <v>23510226.536062159</v>
      </c>
      <c r="Q134" s="107">
        <f t="shared" si="64"/>
        <v>62775590.97908321</v>
      </c>
      <c r="R134" s="107">
        <f t="shared" si="64"/>
        <v>106010467.29678783</v>
      </c>
      <c r="S134" s="107">
        <f t="shared" si="64"/>
        <v>150247422.2444312</v>
      </c>
      <c r="T134" s="107">
        <f t="shared" si="64"/>
        <v>194878893.82607436</v>
      </c>
      <c r="U134" s="107">
        <f t="shared" si="64"/>
        <v>236875798.48533443</v>
      </c>
      <c r="V134" s="107">
        <f t="shared" si="64"/>
        <v>276127371.28804779</v>
      </c>
      <c r="W134" s="107">
        <f t="shared" si="64"/>
        <v>312279579.65509892</v>
      </c>
      <c r="X134" s="107">
        <f t="shared" si="64"/>
        <v>340736529.15805084</v>
      </c>
      <c r="Y134" s="107">
        <f t="shared" si="64"/>
        <v>363661390.02625728</v>
      </c>
      <c r="Z134" s="107">
        <f t="shared" si="64"/>
        <v>380870992.83449066</v>
      </c>
      <c r="AA134" s="107">
        <f t="shared" si="64"/>
        <v>389153633.67607522</v>
      </c>
      <c r="AB134" s="107">
        <f t="shared" si="64"/>
        <v>392937231.49783021</v>
      </c>
      <c r="AC134" s="107">
        <f t="shared" si="64"/>
        <v>394115072.92153615</v>
      </c>
      <c r="AD134" s="107">
        <f t="shared" si="64"/>
        <v>396571103.25894797</v>
      </c>
      <c r="AE134" s="107">
        <f t="shared" si="64"/>
        <v>404742038.91746831</v>
      </c>
      <c r="AF134" s="107">
        <f t="shared" si="64"/>
        <v>420486221.24250543</v>
      </c>
      <c r="AG134" s="107">
        <f t="shared" si="64"/>
        <v>446079074.37405586</v>
      </c>
      <c r="AH134" s="107">
        <f t="shared" si="64"/>
        <v>479111355.2171489</v>
      </c>
      <c r="AI134" s="107">
        <f t="shared" si="64"/>
        <v>518376719.66016996</v>
      </c>
      <c r="AJ134" s="107">
        <f t="shared" si="64"/>
        <v>561611595.97787452</v>
      </c>
      <c r="AK134" s="107">
        <f>AJ134+AK132</f>
        <v>605848550.92551792</v>
      </c>
    </row>
    <row r="135" spans="1:37" hidden="1" outlineLevel="1" x14ac:dyDescent="0.25"/>
    <row r="136" spans="1:37" s="546" customFormat="1" ht="30" customHeight="1" x14ac:dyDescent="0.25">
      <c r="A136" s="545" t="s">
        <v>162</v>
      </c>
      <c r="AK136" s="870"/>
    </row>
    <row r="137" spans="1:37" s="550" customFormat="1" ht="20.149999999999999" customHeight="1" outlineLevel="1" thickBot="1" x14ac:dyDescent="0.3">
      <c r="A137" s="547" t="s">
        <v>391</v>
      </c>
      <c r="B137" s="548"/>
      <c r="C137" s="548"/>
      <c r="D137" s="548"/>
      <c r="E137" s="548"/>
      <c r="F137" s="548"/>
      <c r="G137" s="548"/>
      <c r="H137" s="548"/>
      <c r="I137" s="548"/>
      <c r="J137" s="548"/>
      <c r="K137" s="548"/>
      <c r="L137" s="548"/>
      <c r="M137" s="548"/>
      <c r="N137" s="548"/>
      <c r="O137" s="548"/>
      <c r="P137" s="548"/>
      <c r="Q137" s="548"/>
      <c r="R137" s="548"/>
      <c r="S137" s="548"/>
      <c r="T137" s="548"/>
      <c r="U137" s="548"/>
      <c r="V137" s="548"/>
      <c r="W137" s="548"/>
      <c r="X137" s="548"/>
      <c r="Y137" s="548"/>
      <c r="Z137" s="548"/>
      <c r="AA137" s="548"/>
      <c r="AB137" s="548"/>
      <c r="AC137" s="548"/>
      <c r="AD137" s="548"/>
      <c r="AE137" s="548"/>
      <c r="AF137" s="548"/>
      <c r="AG137" s="548"/>
      <c r="AH137" s="548"/>
      <c r="AI137" s="548"/>
      <c r="AJ137" s="548"/>
      <c r="AK137" s="878"/>
    </row>
    <row r="138" spans="1:37" s="58" customFormat="1" ht="20.149999999999999" customHeight="1" outlineLevel="1" thickBot="1" x14ac:dyDescent="0.3">
      <c r="A138" s="1096" t="s">
        <v>152</v>
      </c>
      <c r="B138" s="1098" t="s">
        <v>150</v>
      </c>
      <c r="C138" s="884" t="s">
        <v>151</v>
      </c>
      <c r="D138" s="885"/>
      <c r="E138" s="885"/>
      <c r="F138" s="885"/>
      <c r="G138" s="885"/>
      <c r="H138" s="885"/>
      <c r="I138" s="885"/>
      <c r="J138" s="885"/>
      <c r="K138" s="885"/>
      <c r="L138" s="885"/>
      <c r="M138" s="885"/>
      <c r="N138" s="885"/>
      <c r="O138" s="885"/>
      <c r="P138" s="885"/>
      <c r="Q138" s="885"/>
      <c r="R138" s="885"/>
      <c r="S138" s="885"/>
      <c r="T138" s="885"/>
      <c r="U138" s="885"/>
      <c r="V138" s="885"/>
      <c r="W138" s="885"/>
      <c r="X138" s="885"/>
      <c r="Y138" s="885"/>
      <c r="Z138" s="885"/>
      <c r="AA138" s="885"/>
      <c r="AB138" s="885"/>
      <c r="AC138" s="885"/>
      <c r="AD138" s="885"/>
      <c r="AE138" s="885"/>
      <c r="AF138" s="885"/>
      <c r="AG138" s="885"/>
      <c r="AH138" s="885"/>
      <c r="AI138" s="885"/>
      <c r="AJ138" s="885"/>
      <c r="AK138" s="886"/>
    </row>
    <row r="139" spans="1:37" s="58" customFormat="1" ht="20.149999999999999" customHeight="1" outlineLevel="1" thickBot="1" x14ac:dyDescent="0.3">
      <c r="A139" s="1097"/>
      <c r="B139" s="1099"/>
      <c r="C139" s="122">
        <v>1</v>
      </c>
      <c r="D139" s="122">
        <f>C139+1</f>
        <v>2</v>
      </c>
      <c r="E139" s="122">
        <f t="shared" ref="E139:AK139" si="65">D139+1</f>
        <v>3</v>
      </c>
      <c r="F139" s="122">
        <f t="shared" si="65"/>
        <v>4</v>
      </c>
      <c r="G139" s="122">
        <f t="shared" si="65"/>
        <v>5</v>
      </c>
      <c r="H139" s="122">
        <f t="shared" si="65"/>
        <v>6</v>
      </c>
      <c r="I139" s="122">
        <f t="shared" si="65"/>
        <v>7</v>
      </c>
      <c r="J139" s="122">
        <f t="shared" si="65"/>
        <v>8</v>
      </c>
      <c r="K139" s="122">
        <f t="shared" si="65"/>
        <v>9</v>
      </c>
      <c r="L139" s="122">
        <f t="shared" si="65"/>
        <v>10</v>
      </c>
      <c r="M139" s="122">
        <f t="shared" si="65"/>
        <v>11</v>
      </c>
      <c r="N139" s="122">
        <f t="shared" si="65"/>
        <v>12</v>
      </c>
      <c r="O139" s="122">
        <f t="shared" si="65"/>
        <v>13</v>
      </c>
      <c r="P139" s="122">
        <f t="shared" si="65"/>
        <v>14</v>
      </c>
      <c r="Q139" s="122">
        <f t="shared" si="65"/>
        <v>15</v>
      </c>
      <c r="R139" s="122">
        <f t="shared" si="65"/>
        <v>16</v>
      </c>
      <c r="S139" s="122">
        <f t="shared" si="65"/>
        <v>17</v>
      </c>
      <c r="T139" s="122">
        <f t="shared" si="65"/>
        <v>18</v>
      </c>
      <c r="U139" s="122">
        <f t="shared" si="65"/>
        <v>19</v>
      </c>
      <c r="V139" s="122">
        <f t="shared" si="65"/>
        <v>20</v>
      </c>
      <c r="W139" s="122">
        <f t="shared" si="65"/>
        <v>21</v>
      </c>
      <c r="X139" s="122">
        <f t="shared" si="65"/>
        <v>22</v>
      </c>
      <c r="Y139" s="122">
        <f t="shared" si="65"/>
        <v>23</v>
      </c>
      <c r="Z139" s="122">
        <f t="shared" si="65"/>
        <v>24</v>
      </c>
      <c r="AA139" s="122">
        <f t="shared" si="65"/>
        <v>25</v>
      </c>
      <c r="AB139" s="122">
        <f t="shared" si="65"/>
        <v>26</v>
      </c>
      <c r="AC139" s="122">
        <f t="shared" si="65"/>
        <v>27</v>
      </c>
      <c r="AD139" s="122">
        <f t="shared" si="65"/>
        <v>28</v>
      </c>
      <c r="AE139" s="122">
        <f t="shared" si="65"/>
        <v>29</v>
      </c>
      <c r="AF139" s="122">
        <f t="shared" si="65"/>
        <v>30</v>
      </c>
      <c r="AG139" s="122">
        <f t="shared" si="65"/>
        <v>31</v>
      </c>
      <c r="AH139" s="122">
        <f t="shared" si="65"/>
        <v>32</v>
      </c>
      <c r="AI139" s="122">
        <f t="shared" si="65"/>
        <v>33</v>
      </c>
      <c r="AJ139" s="122">
        <f t="shared" si="65"/>
        <v>34</v>
      </c>
      <c r="AK139" s="122">
        <f t="shared" si="65"/>
        <v>35</v>
      </c>
    </row>
    <row r="140" spans="1:37" ht="20.149999999999999" customHeight="1" outlineLevel="1" x14ac:dyDescent="0.25">
      <c r="A140" s="71">
        <v>1</v>
      </c>
      <c r="B140" s="76" t="s">
        <v>134</v>
      </c>
      <c r="AK140" s="838"/>
    </row>
    <row r="141" spans="1:37" ht="20.149999999999999" customHeight="1" outlineLevel="1" x14ac:dyDescent="0.25">
      <c r="A141" s="48" t="s">
        <v>74</v>
      </c>
      <c r="B141" s="78" t="s">
        <v>129</v>
      </c>
      <c r="C141" s="80"/>
      <c r="D141" s="80">
        <f>'Critérios de Implantação'!D$34*'Resumo-Cult.Perma.'!$C108</f>
        <v>0</v>
      </c>
      <c r="E141" s="80">
        <f>'Critérios de Implantação'!E$34*'Resumo-Cult.Perma.'!$C108</f>
        <v>0</v>
      </c>
      <c r="F141" s="80">
        <f>'Critérios de Implantação'!F$34*'Resumo-Cult.Perma.'!$C108</f>
        <v>130266.28101311736</v>
      </c>
      <c r="G141" s="80">
        <f>'Critérios de Implantação'!G$34*'Resumo-Cult.Perma.'!$C108</f>
        <v>130266.28101311736</v>
      </c>
      <c r="H141" s="80">
        <f>'Critérios de Implantação'!H$34*'Resumo-Cult.Perma.'!$C108</f>
        <v>156508.51566495208</v>
      </c>
      <c r="I141" s="80">
        <f>'Critérios de Implantação'!I$34*'Resumo-Cult.Perma.'!$C108</f>
        <v>302279.6194429014</v>
      </c>
      <c r="J141" s="80">
        <f>'Critérios de Implantação'!J$34*'Resumo-Cult.Perma.'!$C108</f>
        <v>283606.00128244481</v>
      </c>
      <c r="K141" s="80">
        <f>'Critérios de Implantação'!K$34*'Resumo-Cult.Perma.'!$C108</f>
        <v>291803.67926136055</v>
      </c>
      <c r="L141" s="80">
        <f>'Critérios de Implantação'!L$34*'Resumo-Cult.Perma.'!$C108</f>
        <v>237693.38411712437</v>
      </c>
      <c r="M141" s="80">
        <f>'Critérios de Implantação'!M$34*'Resumo-Cult.Perma.'!$C108</f>
        <v>168492.22596421564</v>
      </c>
      <c r="N141" s="80">
        <f>'Critérios de Implantação'!N$34*'Resumo-Cult.Perma.'!$C108</f>
        <v>84767.623603956454</v>
      </c>
      <c r="O141" s="80">
        <f>'Critérios de Implantação'!O$34*'Resumo-Cult.Perma.'!$C108</f>
        <v>0</v>
      </c>
      <c r="P141" s="80">
        <f>'Critérios de Implantação'!P$34*'Resumo-Cult.Perma.'!$C108</f>
        <v>0</v>
      </c>
      <c r="Q141" s="80">
        <f>'Critérios de Implantação'!Q$34*'Resumo-Cult.Perma.'!$C108</f>
        <v>0</v>
      </c>
      <c r="R141" s="80">
        <f>'Critérios de Implantação'!R$34*'Resumo-Cult.Perma.'!$C108</f>
        <v>0</v>
      </c>
      <c r="S141" s="80">
        <f>'Critérios de Implantação'!S$34*'Resumo-Cult.Perma.'!$C108</f>
        <v>0</v>
      </c>
      <c r="T141" s="80">
        <f>'Critérios de Implantação'!T$34*'Resumo-Cult.Perma.'!$C108</f>
        <v>0</v>
      </c>
      <c r="U141" s="80">
        <f>'Critérios de Implantação'!U$34*'Resumo-Cult.Perma.'!$C108</f>
        <v>0</v>
      </c>
      <c r="V141" s="80">
        <f>'Critérios de Implantação'!V$34*'Resumo-Cult.Perma.'!$C108</f>
        <v>0</v>
      </c>
      <c r="W141" s="80">
        <f>'Critérios de Implantação'!W$34*'Resumo-Cult.Perma.'!$C108</f>
        <v>0</v>
      </c>
      <c r="X141" s="80">
        <f>'Critérios de Implantação'!X$34*'Resumo-Cult.Perma.'!$C108</f>
        <v>0</v>
      </c>
      <c r="Y141" s="80">
        <f>'Critérios de Implantação'!Y$34*'Resumo-Cult.Perma.'!$C108</f>
        <v>0</v>
      </c>
      <c r="Z141" s="80">
        <f>'Critérios de Implantação'!Z$34*'Resumo-Cult.Perma.'!$C108</f>
        <v>0</v>
      </c>
      <c r="AA141" s="80">
        <f>'Critérios de Implantação'!AA$34*'Resumo-Cult.Perma.'!$C108</f>
        <v>0</v>
      </c>
      <c r="AB141" s="80">
        <f>'Critérios de Implantação'!AB$34*'Resumo-Cult.Perma.'!$C108</f>
        <v>0</v>
      </c>
      <c r="AC141" s="80">
        <f>'Critérios de Implantação'!AC$34*'Resumo-Cult.Perma.'!$C108</f>
        <v>0</v>
      </c>
      <c r="AD141" s="80">
        <f>'Critérios de Implantação'!AD$34*'Resumo-Cult.Perma.'!$C108</f>
        <v>0</v>
      </c>
      <c r="AE141" s="80">
        <f>'Critérios de Implantação'!AE$34*'Resumo-Cult.Perma.'!$C108</f>
        <v>0</v>
      </c>
      <c r="AF141" s="80">
        <f>'Critérios de Implantação'!AF$34*'Resumo-Cult.Perma.'!$C108</f>
        <v>0</v>
      </c>
      <c r="AG141" s="80">
        <f>'Critérios de Implantação'!AG$34*'Resumo-Cult.Perma.'!$C108</f>
        <v>0</v>
      </c>
      <c r="AH141" s="80">
        <f>'Critérios de Implantação'!AH$34*'Resumo-Cult.Perma.'!$C108</f>
        <v>0</v>
      </c>
      <c r="AI141" s="80">
        <f>'Critérios de Implantação'!AI$34*'Resumo-Cult.Perma.'!$C108</f>
        <v>0</v>
      </c>
      <c r="AJ141" s="80">
        <f>'Critérios de Implantação'!AJ$34*'Resumo-Cult.Perma.'!$C108</f>
        <v>0</v>
      </c>
      <c r="AK141" s="81">
        <f>'Critérios de Implantação'!AK$34*'Resumo-Cult.Perma.'!$C108</f>
        <v>0</v>
      </c>
    </row>
    <row r="142" spans="1:37" ht="20.149999999999999" customHeight="1" outlineLevel="1" x14ac:dyDescent="0.25">
      <c r="A142" s="48" t="s">
        <v>75</v>
      </c>
      <c r="B142" s="962" t="s">
        <v>335</v>
      </c>
      <c r="C142" s="80"/>
      <c r="D142" s="80">
        <f>'Critérios de Implantação'!D$34*'Resumo-Cult.Perma.'!$C109</f>
        <v>0</v>
      </c>
      <c r="E142" s="80">
        <f>'Critérios de Implantação'!E$34*'Resumo-Cult.Perma.'!$C109</f>
        <v>0</v>
      </c>
      <c r="F142" s="80">
        <f>'Critérios de Implantação'!F$34*'Resumo-Cult.Perma.'!$C109</f>
        <v>2013897.1076825857</v>
      </c>
      <c r="G142" s="80">
        <f>'Critérios de Implantação'!G$34*'Resumo-Cult.Perma.'!$C109</f>
        <v>2013897.1076825857</v>
      </c>
      <c r="H142" s="80">
        <f>'Critérios de Implantação'!H$34*'Resumo-Cult.Perma.'!$C109</f>
        <v>2419598.1076146862</v>
      </c>
      <c r="I142" s="80">
        <f>'Critérios de Implantação'!I$34*'Resumo-Cult.Perma.'!$C109</f>
        <v>4673197.4427530626</v>
      </c>
      <c r="J142" s="80">
        <f>'Critérios de Implantação'!J$34*'Resumo-Cult.Perma.'!$C109</f>
        <v>4384506.1151828393</v>
      </c>
      <c r="K142" s="80">
        <f>'Critérios de Implantação'!K$34*'Resumo-Cult.Perma.'!$C109</f>
        <v>4511240.9835083522</v>
      </c>
      <c r="L142" s="80">
        <f>'Critérios de Implantação'!L$34*'Resumo-Cult.Perma.'!$C109</f>
        <v>3674703.96073225</v>
      </c>
      <c r="M142" s="80">
        <f>'Critérios de Implantação'!M$34*'Resumo-Cult.Perma.'!$C109</f>
        <v>2604864.4660559986</v>
      </c>
      <c r="N142" s="80">
        <f>'Critérios de Implantação'!N$34*'Resumo-Cult.Perma.'!$C109</f>
        <v>1310494.7087876392</v>
      </c>
      <c r="O142" s="80">
        <f>'Critérios de Implantação'!O$34*'Resumo-Cult.Perma.'!$C109</f>
        <v>0</v>
      </c>
      <c r="P142" s="80">
        <f>'Critérios de Implantação'!P$34*'Resumo-Cult.Perma.'!$C109</f>
        <v>0</v>
      </c>
      <c r="Q142" s="80">
        <f>'Critérios de Implantação'!Q$34*'Resumo-Cult.Perma.'!$C109</f>
        <v>0</v>
      </c>
      <c r="R142" s="80">
        <f>'Critérios de Implantação'!R$34*'Resumo-Cult.Perma.'!$C109</f>
        <v>0</v>
      </c>
      <c r="S142" s="80">
        <f>'Critérios de Implantação'!S$34*'Resumo-Cult.Perma.'!$C109</f>
        <v>0</v>
      </c>
      <c r="T142" s="80">
        <f>'Critérios de Implantação'!T$34*'Resumo-Cult.Perma.'!$C109</f>
        <v>0</v>
      </c>
      <c r="U142" s="80">
        <f>'Critérios de Implantação'!U$34*'Resumo-Cult.Perma.'!$C109</f>
        <v>0</v>
      </c>
      <c r="V142" s="80">
        <f>'Critérios de Implantação'!V$34*'Resumo-Cult.Perma.'!$C109</f>
        <v>0</v>
      </c>
      <c r="W142" s="80">
        <f>'Critérios de Implantação'!W$34*'Resumo-Cult.Perma.'!$C109</f>
        <v>0</v>
      </c>
      <c r="X142" s="80">
        <f>'Critérios de Implantação'!X$34*'Resumo-Cult.Perma.'!$C109</f>
        <v>0</v>
      </c>
      <c r="Y142" s="80">
        <f>'Critérios de Implantação'!Y$34*'Resumo-Cult.Perma.'!$C109</f>
        <v>0</v>
      </c>
      <c r="Z142" s="80">
        <f>'Critérios de Implantação'!Z$34*'Resumo-Cult.Perma.'!$C109</f>
        <v>0</v>
      </c>
      <c r="AA142" s="80">
        <f>'Critérios de Implantação'!AA$34*'Resumo-Cult.Perma.'!$C109</f>
        <v>0</v>
      </c>
      <c r="AB142" s="80">
        <f>'Critérios de Implantação'!AB$34*'Resumo-Cult.Perma.'!$C109</f>
        <v>0</v>
      </c>
      <c r="AC142" s="80">
        <f>'Critérios de Implantação'!AC$34*'Resumo-Cult.Perma.'!$C109</f>
        <v>0</v>
      </c>
      <c r="AD142" s="80">
        <f>'Critérios de Implantação'!AD$34*'Resumo-Cult.Perma.'!$C109</f>
        <v>0</v>
      </c>
      <c r="AE142" s="80">
        <f>'Critérios de Implantação'!AE$34*'Resumo-Cult.Perma.'!$C109</f>
        <v>0</v>
      </c>
      <c r="AF142" s="80">
        <f>'Critérios de Implantação'!AF$34*'Resumo-Cult.Perma.'!$C109</f>
        <v>0</v>
      </c>
      <c r="AG142" s="80">
        <f>'Critérios de Implantação'!AG$34*'Resumo-Cult.Perma.'!$C109</f>
        <v>0</v>
      </c>
      <c r="AH142" s="80">
        <f>'Critérios de Implantação'!AH$34*'Resumo-Cult.Perma.'!$C109</f>
        <v>0</v>
      </c>
      <c r="AI142" s="80">
        <f>'Critérios de Implantação'!AI$34*'Resumo-Cult.Perma.'!$C109</f>
        <v>0</v>
      </c>
      <c r="AJ142" s="80">
        <f>'Critérios de Implantação'!AJ$34*'Resumo-Cult.Perma.'!$C109</f>
        <v>0</v>
      </c>
      <c r="AK142" s="81">
        <f>'Critérios de Implantação'!AK$34*'Resumo-Cult.Perma.'!$C109</f>
        <v>0</v>
      </c>
    </row>
    <row r="143" spans="1:37" ht="20.149999999999999" customHeight="1" outlineLevel="1" x14ac:dyDescent="0.25">
      <c r="A143" s="48" t="s">
        <v>76</v>
      </c>
      <c r="B143" s="82" t="s">
        <v>336</v>
      </c>
      <c r="C143" s="80"/>
      <c r="D143" s="80">
        <f>'Critérios de Implantação'!D$34*'Resumo-Cult.Perma.'!$C110</f>
        <v>0</v>
      </c>
      <c r="E143" s="80">
        <f>'Critérios de Implantação'!E$34*'Resumo-Cult.Perma.'!$C110</f>
        <v>0</v>
      </c>
      <c r="F143" s="80">
        <f>'Critérios de Implantação'!F$34*'Resumo-Cult.Perma.'!$C110</f>
        <v>0</v>
      </c>
      <c r="G143" s="80">
        <f>'Critérios de Implantação'!G$34*'Resumo-Cult.Perma.'!$C110</f>
        <v>0</v>
      </c>
      <c r="H143" s="80">
        <f>'Critérios de Implantação'!H$34*'Resumo-Cult.Perma.'!$C110</f>
        <v>0</v>
      </c>
      <c r="I143" s="80">
        <f>'Critérios de Implantação'!I$34*'Resumo-Cult.Perma.'!$C110</f>
        <v>0</v>
      </c>
      <c r="J143" s="80">
        <f>'Critérios de Implantação'!J$34*'Resumo-Cult.Perma.'!$C110</f>
        <v>0</v>
      </c>
      <c r="K143" s="80">
        <f>'Critérios de Implantação'!K$34*'Resumo-Cult.Perma.'!$C110</f>
        <v>0</v>
      </c>
      <c r="L143" s="80">
        <f>'Critérios de Implantação'!L$34*'Resumo-Cult.Perma.'!$C110</f>
        <v>0</v>
      </c>
      <c r="M143" s="80">
        <f>'Critérios de Implantação'!M$34*'Resumo-Cult.Perma.'!$C110</f>
        <v>0</v>
      </c>
      <c r="N143" s="80">
        <f>'Critérios de Implantação'!N$34*'Resumo-Cult.Perma.'!$C110</f>
        <v>0</v>
      </c>
      <c r="O143" s="80">
        <f>'Critérios de Implantação'!O$34*'Resumo-Cult.Perma.'!$C110</f>
        <v>0</v>
      </c>
      <c r="P143" s="80">
        <f>'Critérios de Implantação'!P$34*'Resumo-Cult.Perma.'!$C110</f>
        <v>0</v>
      </c>
      <c r="Q143" s="80">
        <f>'Critérios de Implantação'!Q$34*'Resumo-Cult.Perma.'!$C110</f>
        <v>0</v>
      </c>
      <c r="R143" s="80">
        <f>'Critérios de Implantação'!R$34*'Resumo-Cult.Perma.'!$C110</f>
        <v>0</v>
      </c>
      <c r="S143" s="80">
        <f>'Critérios de Implantação'!S$34*'Resumo-Cult.Perma.'!$C110</f>
        <v>0</v>
      </c>
      <c r="T143" s="80">
        <f>'Critérios de Implantação'!T$34*'Resumo-Cult.Perma.'!$C110</f>
        <v>0</v>
      </c>
      <c r="U143" s="80">
        <f>'Critérios de Implantação'!U$34*'Resumo-Cult.Perma.'!$C110</f>
        <v>0</v>
      </c>
      <c r="V143" s="80">
        <f>'Critérios de Implantação'!V$34*'Resumo-Cult.Perma.'!$C110</f>
        <v>0</v>
      </c>
      <c r="W143" s="80">
        <f>'Critérios de Implantação'!W$34*'Resumo-Cult.Perma.'!$C110</f>
        <v>0</v>
      </c>
      <c r="X143" s="80">
        <f>'Critérios de Implantação'!X$34*'Resumo-Cult.Perma.'!$C110</f>
        <v>0</v>
      </c>
      <c r="Y143" s="80">
        <f>'Critérios de Implantação'!Y$34*'Resumo-Cult.Perma.'!$C110</f>
        <v>0</v>
      </c>
      <c r="Z143" s="80">
        <f>'Critérios de Implantação'!Z$34*'Resumo-Cult.Perma.'!$C110</f>
        <v>0</v>
      </c>
      <c r="AA143" s="80">
        <f>'Critérios de Implantação'!AA$34*'Resumo-Cult.Perma.'!$C110</f>
        <v>0</v>
      </c>
      <c r="AB143" s="80">
        <f>'Critérios de Implantação'!AB$34*'Resumo-Cult.Perma.'!$C110</f>
        <v>0</v>
      </c>
      <c r="AC143" s="80">
        <f>'Critérios de Implantação'!AC$34*'Resumo-Cult.Perma.'!$C110</f>
        <v>0</v>
      </c>
      <c r="AD143" s="80">
        <f>'Critérios de Implantação'!AD$34*'Resumo-Cult.Perma.'!$C110</f>
        <v>0</v>
      </c>
      <c r="AE143" s="80">
        <f>'Critérios de Implantação'!AE$34*'Resumo-Cult.Perma.'!$C110</f>
        <v>0</v>
      </c>
      <c r="AF143" s="80">
        <f>'Critérios de Implantação'!AF$34*'Resumo-Cult.Perma.'!$C110</f>
        <v>0</v>
      </c>
      <c r="AG143" s="80">
        <f>'Critérios de Implantação'!AG$34*'Resumo-Cult.Perma.'!$C110</f>
        <v>0</v>
      </c>
      <c r="AH143" s="80">
        <f>'Critérios de Implantação'!AH$34*'Resumo-Cult.Perma.'!$C110</f>
        <v>0</v>
      </c>
      <c r="AI143" s="80">
        <f>'Critérios de Implantação'!AI$34*'Resumo-Cult.Perma.'!$C110</f>
        <v>0</v>
      </c>
      <c r="AJ143" s="80">
        <f>'Critérios de Implantação'!AJ$34*'Resumo-Cult.Perma.'!$C110</f>
        <v>0</v>
      </c>
      <c r="AK143" s="81">
        <f>'Critérios de Implantação'!AK$34*'Resumo-Cult.Perma.'!$C110</f>
        <v>0</v>
      </c>
    </row>
    <row r="144" spans="1:37" ht="20.149999999999999" customHeight="1" outlineLevel="1" x14ac:dyDescent="0.25">
      <c r="A144" s="48" t="s">
        <v>126</v>
      </c>
      <c r="B144" s="82" t="s">
        <v>130</v>
      </c>
      <c r="C144" s="80"/>
      <c r="D144" s="80">
        <f>'Critérios de Implantação'!D$34*'Resumo-Cult.Perma.'!$C111</f>
        <v>0</v>
      </c>
      <c r="E144" s="80">
        <f>'Critérios de Implantação'!E$34*'Resumo-Cult.Perma.'!$C111</f>
        <v>0</v>
      </c>
      <c r="F144" s="80">
        <f>'Critérios de Implantação'!F$34*'Resumo-Cult.Perma.'!$C111</f>
        <v>429302.44644469692</v>
      </c>
      <c r="G144" s="80">
        <f>'Critérios de Implantação'!G$34*'Resumo-Cult.Perma.'!$C111</f>
        <v>429302.44644469692</v>
      </c>
      <c r="H144" s="80">
        <f>'Critérios de Implantação'!H$34*'Resumo-Cult.Perma.'!$C111</f>
        <v>515785.72860022285</v>
      </c>
      <c r="I144" s="80">
        <f>'Critérios de Implantação'!I$34*'Resumo-Cult.Perma.'!$C111</f>
        <v>996185.49887167069</v>
      </c>
      <c r="J144" s="80">
        <f>'Critérios de Implantação'!J$34*'Resumo-Cult.Perma.'!$C111</f>
        <v>934645.1685735262</v>
      </c>
      <c r="K144" s="80">
        <f>'Critérios de Implantação'!K$34*'Resumo-Cult.Perma.'!$C111</f>
        <v>961661.24045447586</v>
      </c>
      <c r="L144" s="80">
        <f>'Critérios de Implantação'!L$34*'Resumo-Cult.Perma.'!$C111</f>
        <v>783336.64330929401</v>
      </c>
      <c r="M144" s="80">
        <f>'Critérios de Implantação'!M$34*'Resumo-Cult.Perma.'!$C111</f>
        <v>555278.95822915738</v>
      </c>
      <c r="N144" s="80">
        <f>'Critérios de Implantação'!N$34*'Resumo-Cult.Perma.'!$C111</f>
        <v>279358.15707226115</v>
      </c>
      <c r="O144" s="80">
        <f>'Critérios de Implantação'!O$34*'Resumo-Cult.Perma.'!$C111</f>
        <v>0</v>
      </c>
      <c r="P144" s="80">
        <f>'Critérios de Implantação'!P$34*'Resumo-Cult.Perma.'!$C111</f>
        <v>0</v>
      </c>
      <c r="Q144" s="80">
        <f>'Critérios de Implantação'!Q$34*'Resumo-Cult.Perma.'!$C111</f>
        <v>0</v>
      </c>
      <c r="R144" s="80">
        <f>'Critérios de Implantação'!R$34*'Resumo-Cult.Perma.'!$C111</f>
        <v>0</v>
      </c>
      <c r="S144" s="80">
        <f>'Critérios de Implantação'!S$34*'Resumo-Cult.Perma.'!$C111</f>
        <v>0</v>
      </c>
      <c r="T144" s="80">
        <f>'Critérios de Implantação'!T$34*'Resumo-Cult.Perma.'!$C111</f>
        <v>0</v>
      </c>
      <c r="U144" s="80">
        <f>'Critérios de Implantação'!U$34*'Resumo-Cult.Perma.'!$C111</f>
        <v>0</v>
      </c>
      <c r="V144" s="80">
        <f>'Critérios de Implantação'!V$34*'Resumo-Cult.Perma.'!$C111</f>
        <v>0</v>
      </c>
      <c r="W144" s="80">
        <f>'Critérios de Implantação'!W$34*'Resumo-Cult.Perma.'!$C111</f>
        <v>0</v>
      </c>
      <c r="X144" s="80">
        <f>'Critérios de Implantação'!X$34*'Resumo-Cult.Perma.'!$C111</f>
        <v>0</v>
      </c>
      <c r="Y144" s="80">
        <f>'Critérios de Implantação'!Y$34*'Resumo-Cult.Perma.'!$C111</f>
        <v>0</v>
      </c>
      <c r="Z144" s="80">
        <f>'Critérios de Implantação'!Z$34*'Resumo-Cult.Perma.'!$C111</f>
        <v>0</v>
      </c>
      <c r="AA144" s="80">
        <f>'Critérios de Implantação'!AA$34*'Resumo-Cult.Perma.'!$C111</f>
        <v>0</v>
      </c>
      <c r="AB144" s="80">
        <f>'Critérios de Implantação'!AB$34*'Resumo-Cult.Perma.'!$C111</f>
        <v>0</v>
      </c>
      <c r="AC144" s="80">
        <f>'Critérios de Implantação'!AC$34*'Resumo-Cult.Perma.'!$C111</f>
        <v>0</v>
      </c>
      <c r="AD144" s="80">
        <f>'Critérios de Implantação'!AD$34*'Resumo-Cult.Perma.'!$C111</f>
        <v>0</v>
      </c>
      <c r="AE144" s="80">
        <f>'Critérios de Implantação'!AE$34*'Resumo-Cult.Perma.'!$C111</f>
        <v>0</v>
      </c>
      <c r="AF144" s="80">
        <f>'Critérios de Implantação'!AF$34*'Resumo-Cult.Perma.'!$C111</f>
        <v>0</v>
      </c>
      <c r="AG144" s="80">
        <f>'Critérios de Implantação'!AG$34*'Resumo-Cult.Perma.'!$C111</f>
        <v>0</v>
      </c>
      <c r="AH144" s="80">
        <f>'Critérios de Implantação'!AH$34*'Resumo-Cult.Perma.'!$C111</f>
        <v>0</v>
      </c>
      <c r="AI144" s="80">
        <f>'Critérios de Implantação'!AI$34*'Resumo-Cult.Perma.'!$C111</f>
        <v>0</v>
      </c>
      <c r="AJ144" s="80">
        <f>'Critérios de Implantação'!AJ$34*'Resumo-Cult.Perma.'!$C111</f>
        <v>0</v>
      </c>
      <c r="AK144" s="81">
        <f>'Critérios de Implantação'!AK$34*'Resumo-Cult.Perma.'!$C111</f>
        <v>0</v>
      </c>
    </row>
    <row r="145" spans="1:37" ht="20.149999999999999" customHeight="1" outlineLevel="1" x14ac:dyDescent="0.25">
      <c r="A145" s="48"/>
      <c r="B145" s="83" t="s">
        <v>228</v>
      </c>
      <c r="C145" s="93"/>
      <c r="D145" s="80">
        <f>'Critérios de Implantação'!D$34*'Resumo-Cult.Perma.'!$C112</f>
        <v>0</v>
      </c>
      <c r="E145" s="80">
        <f>'Critérios de Implantação'!E$34*'Resumo-Cult.Perma.'!$C112</f>
        <v>0</v>
      </c>
      <c r="F145" s="80">
        <f>'Critérios de Implantação'!F$34*'Resumo-Cult.Perma.'!$C112</f>
        <v>0</v>
      </c>
      <c r="G145" s="80">
        <f>'Critérios de Implantação'!G$34*'Resumo-Cult.Perma.'!$C112</f>
        <v>0</v>
      </c>
      <c r="H145" s="80">
        <f>'Critérios de Implantação'!H$34*'Resumo-Cult.Perma.'!$C112</f>
        <v>0</v>
      </c>
      <c r="I145" s="80">
        <f>'Critérios de Implantação'!I$34*'Resumo-Cult.Perma.'!$C112</f>
        <v>0</v>
      </c>
      <c r="J145" s="80">
        <f>'Critérios de Implantação'!J$34*'Resumo-Cult.Perma.'!$C112</f>
        <v>0</v>
      </c>
      <c r="K145" s="80">
        <f>'Critérios de Implantação'!K$34*'Resumo-Cult.Perma.'!$C112</f>
        <v>0</v>
      </c>
      <c r="L145" s="80">
        <f>'Critérios de Implantação'!L$34*'Resumo-Cult.Perma.'!$C112</f>
        <v>0</v>
      </c>
      <c r="M145" s="80">
        <f>'Critérios de Implantação'!M$34*'Resumo-Cult.Perma.'!$C112</f>
        <v>0</v>
      </c>
      <c r="N145" s="80">
        <f>'Critérios de Implantação'!N$34*'Resumo-Cult.Perma.'!$C112</f>
        <v>0</v>
      </c>
      <c r="O145" s="80">
        <f>'Critérios de Implantação'!O$34*'Resumo-Cult.Perma.'!$C112</f>
        <v>0</v>
      </c>
      <c r="P145" s="80">
        <f>'Critérios de Implantação'!P$34*'Resumo-Cult.Perma.'!$C112</f>
        <v>0</v>
      </c>
      <c r="Q145" s="80">
        <f>'Critérios de Implantação'!Q$34*'Resumo-Cult.Perma.'!$C112</f>
        <v>0</v>
      </c>
      <c r="R145" s="80">
        <f>'Critérios de Implantação'!R$34*'Resumo-Cult.Perma.'!$C112</f>
        <v>0</v>
      </c>
      <c r="S145" s="80">
        <f>'Critérios de Implantação'!S$34*'Resumo-Cult.Perma.'!$C112</f>
        <v>0</v>
      </c>
      <c r="T145" s="80">
        <f>'Critérios de Implantação'!T$34*'Resumo-Cult.Perma.'!$C112</f>
        <v>0</v>
      </c>
      <c r="U145" s="80">
        <f>'Critérios de Implantação'!U$34*'Resumo-Cult.Perma.'!$C112</f>
        <v>0</v>
      </c>
      <c r="V145" s="80">
        <f>'Critérios de Implantação'!V$34*'Resumo-Cult.Perma.'!$C112</f>
        <v>0</v>
      </c>
      <c r="W145" s="80">
        <f>'Critérios de Implantação'!W$34*'Resumo-Cult.Perma.'!$C112</f>
        <v>0</v>
      </c>
      <c r="X145" s="80">
        <f>'Critérios de Implantação'!X$34*'Resumo-Cult.Perma.'!$C112</f>
        <v>0</v>
      </c>
      <c r="Y145" s="80">
        <f>'Critérios de Implantação'!Y$34*'Resumo-Cult.Perma.'!$C112</f>
        <v>0</v>
      </c>
      <c r="Z145" s="80">
        <f>'Critérios de Implantação'!Z$34*'Resumo-Cult.Perma.'!$C112</f>
        <v>0</v>
      </c>
      <c r="AA145" s="80">
        <f>'Critérios de Implantação'!AA$34*'Resumo-Cult.Perma.'!$C112</f>
        <v>0</v>
      </c>
      <c r="AB145" s="80">
        <f>'Critérios de Implantação'!AB$34*'Resumo-Cult.Perma.'!$C112</f>
        <v>0</v>
      </c>
      <c r="AC145" s="80">
        <f>'Critérios de Implantação'!AC$34*'Resumo-Cult.Perma.'!$C112</f>
        <v>0</v>
      </c>
      <c r="AD145" s="80">
        <f>'Critérios de Implantação'!AD$34*'Resumo-Cult.Perma.'!$C112</f>
        <v>0</v>
      </c>
      <c r="AE145" s="80">
        <f>'Critérios de Implantação'!AE$34*'Resumo-Cult.Perma.'!$C112</f>
        <v>0</v>
      </c>
      <c r="AF145" s="80">
        <f>'Critérios de Implantação'!AF$34*'Resumo-Cult.Perma.'!$C112</f>
        <v>0</v>
      </c>
      <c r="AG145" s="80">
        <f>'Critérios de Implantação'!AG$34*'Resumo-Cult.Perma.'!$C112</f>
        <v>0</v>
      </c>
      <c r="AH145" s="80">
        <f>'Critérios de Implantação'!AH$34*'Resumo-Cult.Perma.'!$C112</f>
        <v>0</v>
      </c>
      <c r="AI145" s="80">
        <f>'Critérios de Implantação'!AI$34*'Resumo-Cult.Perma.'!$C112</f>
        <v>0</v>
      </c>
      <c r="AJ145" s="80">
        <f>'Critérios de Implantação'!AJ$34*'Resumo-Cult.Perma.'!$C112</f>
        <v>0</v>
      </c>
      <c r="AK145" s="81">
        <f>'Critérios de Implantação'!AK$34*'Resumo-Cult.Perma.'!$C112</f>
        <v>0</v>
      </c>
    </row>
    <row r="146" spans="1:37" ht="20.149999999999999" customHeight="1" outlineLevel="1" x14ac:dyDescent="0.25">
      <c r="A146" s="85" t="s">
        <v>135</v>
      </c>
      <c r="B146" s="82" t="s">
        <v>142</v>
      </c>
      <c r="C146" s="80"/>
      <c r="D146" s="80">
        <f>'Critérios de Implantação'!D$34*'Resumo-Cult.Perma.'!$C113</f>
        <v>0</v>
      </c>
      <c r="E146" s="80">
        <f>'Critérios de Implantação'!E$34*'Resumo-Cult.Perma.'!$C113</f>
        <v>0</v>
      </c>
      <c r="F146" s="80">
        <f>'Critérios de Implantação'!F$34*'Resumo-Cult.Perma.'!$C113</f>
        <v>1178958.023179847</v>
      </c>
      <c r="G146" s="80">
        <f>'Critérios de Implantação'!G$34*'Resumo-Cult.Perma.'!$C113</f>
        <v>1178958.023179847</v>
      </c>
      <c r="H146" s="80">
        <f>'Critérios de Implantação'!H$34*'Resumo-Cult.Perma.'!$C113</f>
        <v>1416459.9526763477</v>
      </c>
      <c r="I146" s="80">
        <f>'Critérios de Implantação'!I$34*'Resumo-Cult.Perma.'!$C113</f>
        <v>2735742.3564588735</v>
      </c>
      <c r="J146" s="80">
        <f>'Critérios de Implantação'!J$34*'Resumo-Cult.Perma.'!$C113</f>
        <v>2566739.2055218299</v>
      </c>
      <c r="K146" s="80">
        <f>'Critérios de Implantação'!K$34*'Resumo-Cult.Perma.'!$C113</f>
        <v>2640931.2232068535</v>
      </c>
      <c r="L146" s="80">
        <f>'Critérios de Implantação'!L$34*'Resumo-Cult.Perma.'!$C113</f>
        <v>2151213.0390322171</v>
      </c>
      <c r="M146" s="80">
        <f>'Critérios de Implantação'!M$34*'Resumo-Cult.Perma.'!$C113</f>
        <v>1524916.9631544244</v>
      </c>
      <c r="N146" s="80">
        <f>'Critérios de Implantação'!N$34*'Resumo-Cult.Perma.'!$C113</f>
        <v>767178.34558975766</v>
      </c>
      <c r="O146" s="80">
        <f>'Critérios de Implantação'!O$34*'Resumo-Cult.Perma.'!$C113</f>
        <v>0</v>
      </c>
      <c r="P146" s="80">
        <f>'Critérios de Implantação'!P$34*'Resumo-Cult.Perma.'!$C113</f>
        <v>0</v>
      </c>
      <c r="Q146" s="80">
        <f>'Critérios de Implantação'!Q$34*'Resumo-Cult.Perma.'!$C113</f>
        <v>0</v>
      </c>
      <c r="R146" s="80">
        <f>'Critérios de Implantação'!R$34*'Resumo-Cult.Perma.'!$C113</f>
        <v>0</v>
      </c>
      <c r="S146" s="80">
        <f>'Critérios de Implantação'!S$34*'Resumo-Cult.Perma.'!$C113</f>
        <v>0</v>
      </c>
      <c r="T146" s="80">
        <f>'Critérios de Implantação'!T$34*'Resumo-Cult.Perma.'!$C113</f>
        <v>0</v>
      </c>
      <c r="U146" s="80">
        <f>'Critérios de Implantação'!U$34*'Resumo-Cult.Perma.'!$C113</f>
        <v>0</v>
      </c>
      <c r="V146" s="80">
        <f>'Critérios de Implantação'!V$34*'Resumo-Cult.Perma.'!$C113</f>
        <v>0</v>
      </c>
      <c r="W146" s="80">
        <f>'Critérios de Implantação'!W$34*'Resumo-Cult.Perma.'!$C113</f>
        <v>0</v>
      </c>
      <c r="X146" s="80">
        <f>'Critérios de Implantação'!X$34*'Resumo-Cult.Perma.'!$C113</f>
        <v>0</v>
      </c>
      <c r="Y146" s="80">
        <f>'Critérios de Implantação'!Y$34*'Resumo-Cult.Perma.'!$C113</f>
        <v>0</v>
      </c>
      <c r="Z146" s="80">
        <f>'Critérios de Implantação'!Z$34*'Resumo-Cult.Perma.'!$C113</f>
        <v>0</v>
      </c>
      <c r="AA146" s="80">
        <f>'Critérios de Implantação'!AA$34*'Resumo-Cult.Perma.'!$C113</f>
        <v>0</v>
      </c>
      <c r="AB146" s="80">
        <f>'Critérios de Implantação'!AB$34*'Resumo-Cult.Perma.'!$C113</f>
        <v>0</v>
      </c>
      <c r="AC146" s="80">
        <f>'Critérios de Implantação'!AC$34*'Resumo-Cult.Perma.'!$C113</f>
        <v>0</v>
      </c>
      <c r="AD146" s="80">
        <f>'Critérios de Implantação'!AD$34*'Resumo-Cult.Perma.'!$C113</f>
        <v>0</v>
      </c>
      <c r="AE146" s="80">
        <f>'Critérios de Implantação'!AE$34*'Resumo-Cult.Perma.'!$C113</f>
        <v>0</v>
      </c>
      <c r="AF146" s="80">
        <f>'Critérios de Implantação'!AF$34*'Resumo-Cult.Perma.'!$C113</f>
        <v>0</v>
      </c>
      <c r="AG146" s="80">
        <f>'Critérios de Implantação'!AG$34*'Resumo-Cult.Perma.'!$C113</f>
        <v>0</v>
      </c>
      <c r="AH146" s="80">
        <f>'Critérios de Implantação'!AH$34*'Resumo-Cult.Perma.'!$C113</f>
        <v>0</v>
      </c>
      <c r="AI146" s="80">
        <f>'Critérios de Implantação'!AI$34*'Resumo-Cult.Perma.'!$C113</f>
        <v>0</v>
      </c>
      <c r="AJ146" s="80">
        <f>'Critérios de Implantação'!AJ$34*'Resumo-Cult.Perma.'!$C113</f>
        <v>0</v>
      </c>
      <c r="AK146" s="81">
        <f>'Critérios de Implantação'!AK$34*'Resumo-Cult.Perma.'!$C113</f>
        <v>0</v>
      </c>
    </row>
    <row r="147" spans="1:37" ht="20.149999999999999" customHeight="1" outlineLevel="1" x14ac:dyDescent="0.25">
      <c r="A147" s="85" t="s">
        <v>157</v>
      </c>
      <c r="B147" s="34" t="s">
        <v>146</v>
      </c>
      <c r="C147" s="80"/>
      <c r="D147" s="80">
        <f>'Critérios de Implantação'!D$34*'Resumo-Cult.Perma.'!$C114</f>
        <v>0</v>
      </c>
      <c r="E147" s="80">
        <f>'Critérios de Implantação'!E$34*'Resumo-Cult.Perma.'!$C114</f>
        <v>0</v>
      </c>
      <c r="F147" s="80">
        <f>'Critérios de Implantação'!F$34*'Resumo-Cult.Perma.'!$C114</f>
        <v>486154.76179457619</v>
      </c>
      <c r="G147" s="80">
        <f>'Critérios de Implantação'!G$34*'Resumo-Cult.Perma.'!$C114</f>
        <v>486154.76179457619</v>
      </c>
      <c r="H147" s="80">
        <f>'Critérios de Implantação'!H$34*'Resumo-Cult.Perma.'!$C114</f>
        <v>584090.9831781853</v>
      </c>
      <c r="I147" s="80">
        <f>'Critérios de Implantação'!I$34*'Resumo-Cult.Perma.'!$C114</f>
        <v>1128109.8626805893</v>
      </c>
      <c r="J147" s="80">
        <f>'Critérios de Implantação'!J$34*'Resumo-Cult.Perma.'!$C114</f>
        <v>1058419.7762051374</v>
      </c>
      <c r="K147" s="80">
        <f>'Critérios de Implantação'!K$34*'Resumo-Cult.Perma.'!$C114</f>
        <v>1089013.5734189162</v>
      </c>
      <c r="L147" s="80">
        <f>'Critérios de Implantação'!L$34*'Resumo-Cult.Perma.'!$C114</f>
        <v>887073.53612076514</v>
      </c>
      <c r="M147" s="80">
        <f>'Critérios de Implantação'!M$34*'Resumo-Cult.Perma.'!$C114</f>
        <v>628814.28210591804</v>
      </c>
      <c r="N147" s="80">
        <f>'Critérios de Implantação'!N$34*'Resumo-Cult.Perma.'!$C114</f>
        <v>316353.42270133609</v>
      </c>
      <c r="O147" s="80">
        <f>'Critérios de Implantação'!O$34*'Resumo-Cult.Perma.'!$C114</f>
        <v>0</v>
      </c>
      <c r="P147" s="80">
        <f>'Critérios de Implantação'!P$34*'Resumo-Cult.Perma.'!$C114</f>
        <v>0</v>
      </c>
      <c r="Q147" s="80">
        <f>'Critérios de Implantação'!Q$34*'Resumo-Cult.Perma.'!$C114</f>
        <v>0</v>
      </c>
      <c r="R147" s="80">
        <f>'Critérios de Implantação'!R$34*'Resumo-Cult.Perma.'!$C114</f>
        <v>0</v>
      </c>
      <c r="S147" s="80">
        <f>'Critérios de Implantação'!S$34*'Resumo-Cult.Perma.'!$C114</f>
        <v>0</v>
      </c>
      <c r="T147" s="80">
        <f>'Critérios de Implantação'!T$34*'Resumo-Cult.Perma.'!$C114</f>
        <v>0</v>
      </c>
      <c r="U147" s="80">
        <f>'Critérios de Implantação'!U$34*'Resumo-Cult.Perma.'!$C114</f>
        <v>0</v>
      </c>
      <c r="V147" s="80">
        <f>'Critérios de Implantação'!V$34*'Resumo-Cult.Perma.'!$C114</f>
        <v>0</v>
      </c>
      <c r="W147" s="80">
        <f>'Critérios de Implantação'!W$34*'Resumo-Cult.Perma.'!$C114</f>
        <v>0</v>
      </c>
      <c r="X147" s="80">
        <f>'Critérios de Implantação'!X$34*'Resumo-Cult.Perma.'!$C114</f>
        <v>0</v>
      </c>
      <c r="Y147" s="80">
        <f>'Critérios de Implantação'!Y$34*'Resumo-Cult.Perma.'!$C114</f>
        <v>0</v>
      </c>
      <c r="Z147" s="80">
        <f>'Critérios de Implantação'!Z$34*'Resumo-Cult.Perma.'!$C114</f>
        <v>0</v>
      </c>
      <c r="AA147" s="80">
        <f>'Critérios de Implantação'!AA$34*'Resumo-Cult.Perma.'!$C114</f>
        <v>0</v>
      </c>
      <c r="AB147" s="80">
        <f>'Critérios de Implantação'!AB$34*'Resumo-Cult.Perma.'!$C114</f>
        <v>0</v>
      </c>
      <c r="AC147" s="80">
        <f>'Critérios de Implantação'!AC$34*'Resumo-Cult.Perma.'!$C114</f>
        <v>0</v>
      </c>
      <c r="AD147" s="80">
        <f>'Critérios de Implantação'!AD$34*'Resumo-Cult.Perma.'!$C114</f>
        <v>0</v>
      </c>
      <c r="AE147" s="80">
        <f>'Critérios de Implantação'!AE$34*'Resumo-Cult.Perma.'!$C114</f>
        <v>0</v>
      </c>
      <c r="AF147" s="80">
        <f>'Critérios de Implantação'!AF$34*'Resumo-Cult.Perma.'!$C114</f>
        <v>0</v>
      </c>
      <c r="AG147" s="80">
        <f>'Critérios de Implantação'!AG$34*'Resumo-Cult.Perma.'!$C114</f>
        <v>0</v>
      </c>
      <c r="AH147" s="80">
        <f>'Critérios de Implantação'!AH$34*'Resumo-Cult.Perma.'!$C114</f>
        <v>0</v>
      </c>
      <c r="AI147" s="80">
        <f>'Critérios de Implantação'!AI$34*'Resumo-Cult.Perma.'!$C114</f>
        <v>0</v>
      </c>
      <c r="AJ147" s="80">
        <f>'Critérios de Implantação'!AJ$34*'Resumo-Cult.Perma.'!$C114</f>
        <v>0</v>
      </c>
      <c r="AK147" s="81">
        <f>'Critérios de Implantação'!AK$34*'Resumo-Cult.Perma.'!$C114</f>
        <v>0</v>
      </c>
    </row>
    <row r="148" spans="1:37" ht="20.149999999999999" customHeight="1" outlineLevel="1" x14ac:dyDescent="0.25">
      <c r="A148" s="85" t="s">
        <v>158</v>
      </c>
      <c r="B148" s="82" t="s">
        <v>143</v>
      </c>
      <c r="C148" s="80"/>
      <c r="D148" s="80">
        <f>'Critérios de Implantação'!D$34*'Resumo-Cult.Perma.'!$C115</f>
        <v>0</v>
      </c>
      <c r="E148" s="80">
        <f>'Critérios de Implantação'!E$34*'Resumo-Cult.Perma.'!$C115</f>
        <v>0</v>
      </c>
      <c r="F148" s="80">
        <f>'Critérios de Implantação'!F$34*'Resumo-Cult.Perma.'!$C115</f>
        <v>760246.15815017605</v>
      </c>
      <c r="G148" s="80">
        <f>'Critérios de Implantação'!G$34*'Resumo-Cult.Perma.'!$C115</f>
        <v>760246.15815017605</v>
      </c>
      <c r="H148" s="80">
        <f>'Critérios de Implantação'!H$34*'Resumo-Cult.Perma.'!$C115</f>
        <v>913398.28562454402</v>
      </c>
      <c r="I148" s="80">
        <f>'Critérios de Implantação'!I$34*'Resumo-Cult.Perma.'!$C115</f>
        <v>1764132.0346392812</v>
      </c>
      <c r="J148" s="80">
        <f>'Critérios de Implantação'!J$34*'Resumo-Cult.Perma.'!$C115</f>
        <v>1655151.0584815219</v>
      </c>
      <c r="K148" s="80">
        <f>'Critérios de Implantação'!K$34*'Resumo-Cult.Perma.'!$C115</f>
        <v>1702993.4712744032</v>
      </c>
      <c r="L148" s="80">
        <f>'Critérios de Implantação'!L$34*'Resumo-Cult.Perma.'!$C115</f>
        <v>1387200.7451764245</v>
      </c>
      <c r="M148" s="80">
        <f>'Critérios de Implantação'!M$34*'Resumo-Cult.Perma.'!$C115</f>
        <v>983336.33593613934</v>
      </c>
      <c r="N148" s="80">
        <f>'Critérios de Implantação'!N$34*'Resumo-Cult.Perma.'!$C115</f>
        <v>494711.75256733375</v>
      </c>
      <c r="O148" s="80">
        <f>'Critérios de Implantação'!O$34*'Resumo-Cult.Perma.'!$C115</f>
        <v>0</v>
      </c>
      <c r="P148" s="80">
        <f>'Critérios de Implantação'!P$34*'Resumo-Cult.Perma.'!$C115</f>
        <v>0</v>
      </c>
      <c r="Q148" s="80">
        <f>'Critérios de Implantação'!Q$34*'Resumo-Cult.Perma.'!$C115</f>
        <v>0</v>
      </c>
      <c r="R148" s="80">
        <f>'Critérios de Implantação'!R$34*'Resumo-Cult.Perma.'!$C115</f>
        <v>0</v>
      </c>
      <c r="S148" s="80">
        <f>'Critérios de Implantação'!S$34*'Resumo-Cult.Perma.'!$C115</f>
        <v>0</v>
      </c>
      <c r="T148" s="80">
        <f>'Critérios de Implantação'!T$34*'Resumo-Cult.Perma.'!$C115</f>
        <v>0</v>
      </c>
      <c r="U148" s="80">
        <f>'Critérios de Implantação'!U$34*'Resumo-Cult.Perma.'!$C115</f>
        <v>0</v>
      </c>
      <c r="V148" s="80">
        <f>'Critérios de Implantação'!V$34*'Resumo-Cult.Perma.'!$C115</f>
        <v>0</v>
      </c>
      <c r="W148" s="80">
        <f>'Critérios de Implantação'!W$34*'Resumo-Cult.Perma.'!$C115</f>
        <v>0</v>
      </c>
      <c r="X148" s="80">
        <f>'Critérios de Implantação'!X$34*'Resumo-Cult.Perma.'!$C115</f>
        <v>0</v>
      </c>
      <c r="Y148" s="80">
        <f>'Critérios de Implantação'!Y$34*'Resumo-Cult.Perma.'!$C115</f>
        <v>0</v>
      </c>
      <c r="Z148" s="80">
        <f>'Critérios de Implantação'!Z$34*'Resumo-Cult.Perma.'!$C115</f>
        <v>0</v>
      </c>
      <c r="AA148" s="80">
        <f>'Critérios de Implantação'!AA$34*'Resumo-Cult.Perma.'!$C115</f>
        <v>0</v>
      </c>
      <c r="AB148" s="80">
        <f>'Critérios de Implantação'!AB$34*'Resumo-Cult.Perma.'!$C115</f>
        <v>0</v>
      </c>
      <c r="AC148" s="80">
        <f>'Critérios de Implantação'!AC$34*'Resumo-Cult.Perma.'!$C115</f>
        <v>0</v>
      </c>
      <c r="AD148" s="80">
        <f>'Critérios de Implantação'!AD$34*'Resumo-Cult.Perma.'!$C115</f>
        <v>0</v>
      </c>
      <c r="AE148" s="80">
        <f>'Critérios de Implantação'!AE$34*'Resumo-Cult.Perma.'!$C115</f>
        <v>0</v>
      </c>
      <c r="AF148" s="80">
        <f>'Critérios de Implantação'!AF$34*'Resumo-Cult.Perma.'!$C115</f>
        <v>0</v>
      </c>
      <c r="AG148" s="80">
        <f>'Critérios de Implantação'!AG$34*'Resumo-Cult.Perma.'!$C115</f>
        <v>0</v>
      </c>
      <c r="AH148" s="80">
        <f>'Critérios de Implantação'!AH$34*'Resumo-Cult.Perma.'!$C115</f>
        <v>0</v>
      </c>
      <c r="AI148" s="80">
        <f>'Critérios de Implantação'!AI$34*'Resumo-Cult.Perma.'!$C115</f>
        <v>0</v>
      </c>
      <c r="AJ148" s="80">
        <f>'Critérios de Implantação'!AJ$34*'Resumo-Cult.Perma.'!$C115</f>
        <v>0</v>
      </c>
      <c r="AK148" s="81">
        <f>'Critérios de Implantação'!AK$34*'Resumo-Cult.Perma.'!$C115</f>
        <v>0</v>
      </c>
    </row>
    <row r="149" spans="1:37" ht="20.149999999999999" customHeight="1" outlineLevel="1" x14ac:dyDescent="0.25">
      <c r="A149" s="85" t="s">
        <v>159</v>
      </c>
      <c r="B149" s="34" t="s">
        <v>141</v>
      </c>
      <c r="C149" s="80"/>
      <c r="D149" s="80">
        <f>'Critérios de Implantação'!D$34*'Resumo-Cult.Perma.'!$C116</f>
        <v>0</v>
      </c>
      <c r="E149" s="80">
        <f>'Critérios de Implantação'!E$34*'Resumo-Cult.Perma.'!$C116</f>
        <v>0</v>
      </c>
      <c r="F149" s="80">
        <f>'Critérios de Implantação'!F$34*'Resumo-Cult.Perma.'!$C116</f>
        <v>444147.46821448399</v>
      </c>
      <c r="G149" s="80">
        <f>'Critérios de Implantação'!G$34*'Resumo-Cult.Perma.'!$C116</f>
        <v>444147.46821448399</v>
      </c>
      <c r="H149" s="80">
        <f>'Critérios de Implantação'!H$34*'Resumo-Cult.Perma.'!$C116</f>
        <v>533621.29052871082</v>
      </c>
      <c r="I149" s="80">
        <f>'Critérios de Implantação'!I$34*'Resumo-Cult.Perma.'!$C116</f>
        <v>1030632.9974591291</v>
      </c>
      <c r="J149" s="80">
        <f>'Critérios de Implantação'!J$34*'Resumo-Cult.Perma.'!$C116</f>
        <v>966964.63935550244</v>
      </c>
      <c r="K149" s="80">
        <f>'Critérios de Implantação'!K$34*'Resumo-Cult.Perma.'!$C116</f>
        <v>994914.91083985101</v>
      </c>
      <c r="L149" s="80">
        <f>'Critérios de Implantação'!L$34*'Resumo-Cult.Perma.'!$C116</f>
        <v>810423.95580728224</v>
      </c>
      <c r="M149" s="80">
        <f>'Critérios de Implantação'!M$34*'Resumo-Cult.Perma.'!$C116</f>
        <v>574480.17241156567</v>
      </c>
      <c r="N149" s="80">
        <f>'Critérios de Implantação'!N$34*'Resumo-Cult.Perma.'!$C116</f>
        <v>289018.19501905056</v>
      </c>
      <c r="O149" s="80">
        <f>'Critérios de Implantação'!O$34*'Resumo-Cult.Perma.'!$C116</f>
        <v>0</v>
      </c>
      <c r="P149" s="80">
        <f>'Critérios de Implantação'!P$34*'Resumo-Cult.Perma.'!$C116</f>
        <v>0</v>
      </c>
      <c r="Q149" s="80">
        <f>'Critérios de Implantação'!Q$34*'Resumo-Cult.Perma.'!$C116</f>
        <v>0</v>
      </c>
      <c r="R149" s="80">
        <f>'Critérios de Implantação'!R$34*'Resumo-Cult.Perma.'!$C116</f>
        <v>0</v>
      </c>
      <c r="S149" s="80">
        <f>'Critérios de Implantação'!S$34*'Resumo-Cult.Perma.'!$C116</f>
        <v>0</v>
      </c>
      <c r="T149" s="80">
        <f>'Critérios de Implantação'!T$34*'Resumo-Cult.Perma.'!$C116</f>
        <v>0</v>
      </c>
      <c r="U149" s="80">
        <f>'Critérios de Implantação'!U$34*'Resumo-Cult.Perma.'!$C116</f>
        <v>0</v>
      </c>
      <c r="V149" s="80">
        <f>'Critérios de Implantação'!V$34*'Resumo-Cult.Perma.'!$C116</f>
        <v>0</v>
      </c>
      <c r="W149" s="80">
        <f>'Critérios de Implantação'!W$34*'Resumo-Cult.Perma.'!$C116</f>
        <v>0</v>
      </c>
      <c r="X149" s="80">
        <f>'Critérios de Implantação'!X$34*'Resumo-Cult.Perma.'!$C116</f>
        <v>0</v>
      </c>
      <c r="Y149" s="80">
        <f>'Critérios de Implantação'!Y$34*'Resumo-Cult.Perma.'!$C116</f>
        <v>0</v>
      </c>
      <c r="Z149" s="80">
        <f>'Critérios de Implantação'!Z$34*'Resumo-Cult.Perma.'!$C116</f>
        <v>0</v>
      </c>
      <c r="AA149" s="80">
        <f>'Critérios de Implantação'!AA$34*'Resumo-Cult.Perma.'!$C116</f>
        <v>0</v>
      </c>
      <c r="AB149" s="80">
        <f>'Critérios de Implantação'!AB$34*'Resumo-Cult.Perma.'!$C116</f>
        <v>0</v>
      </c>
      <c r="AC149" s="80">
        <f>'Critérios de Implantação'!AC$34*'Resumo-Cult.Perma.'!$C116</f>
        <v>0</v>
      </c>
      <c r="AD149" s="80">
        <f>'Critérios de Implantação'!AD$34*'Resumo-Cult.Perma.'!$C116</f>
        <v>0</v>
      </c>
      <c r="AE149" s="80">
        <f>'Critérios de Implantação'!AE$34*'Resumo-Cult.Perma.'!$C116</f>
        <v>0</v>
      </c>
      <c r="AF149" s="80">
        <f>'Critérios de Implantação'!AF$34*'Resumo-Cult.Perma.'!$C116</f>
        <v>0</v>
      </c>
      <c r="AG149" s="80">
        <f>'Critérios de Implantação'!AG$34*'Resumo-Cult.Perma.'!$C116</f>
        <v>0</v>
      </c>
      <c r="AH149" s="80">
        <f>'Critérios de Implantação'!AH$34*'Resumo-Cult.Perma.'!$C116</f>
        <v>0</v>
      </c>
      <c r="AI149" s="80">
        <f>'Critérios de Implantação'!AI$34*'Resumo-Cult.Perma.'!$C116</f>
        <v>0</v>
      </c>
      <c r="AJ149" s="80">
        <f>'Critérios de Implantação'!AJ$34*'Resumo-Cult.Perma.'!$C116</f>
        <v>0</v>
      </c>
      <c r="AK149" s="81">
        <f>'Critérios de Implantação'!AK$34*'Resumo-Cult.Perma.'!$C116</f>
        <v>0</v>
      </c>
    </row>
    <row r="150" spans="1:37" s="15" customFormat="1" ht="20.149999999999999" customHeight="1" outlineLevel="1" thickBot="1" x14ac:dyDescent="0.3">
      <c r="A150" s="86"/>
      <c r="B150" s="87" t="s">
        <v>148</v>
      </c>
      <c r="C150" s="88"/>
      <c r="D150" s="88">
        <f t="shared" ref="D150:AK150" si="66">SUM(D141:D149)</f>
        <v>0</v>
      </c>
      <c r="E150" s="88">
        <f t="shared" si="66"/>
        <v>0</v>
      </c>
      <c r="F150" s="88">
        <f t="shared" si="66"/>
        <v>5442972.2464794833</v>
      </c>
      <c r="G150" s="88">
        <f t="shared" si="66"/>
        <v>5442972.2464794833</v>
      </c>
      <c r="H150" s="88">
        <f t="shared" si="66"/>
        <v>6539462.863887649</v>
      </c>
      <c r="I150" s="88">
        <f t="shared" si="66"/>
        <v>12630279.81230551</v>
      </c>
      <c r="J150" s="88">
        <f t="shared" si="66"/>
        <v>11850031.964602802</v>
      </c>
      <c r="K150" s="88">
        <f t="shared" si="66"/>
        <v>12192559.081964213</v>
      </c>
      <c r="L150" s="88">
        <f t="shared" si="66"/>
        <v>9931645.2642953563</v>
      </c>
      <c r="M150" s="88">
        <f t="shared" si="66"/>
        <v>7040183.4038574183</v>
      </c>
      <c r="N150" s="88">
        <f t="shared" si="66"/>
        <v>3541882.2053413345</v>
      </c>
      <c r="O150" s="88">
        <f t="shared" si="66"/>
        <v>0</v>
      </c>
      <c r="P150" s="88">
        <f t="shared" si="66"/>
        <v>0</v>
      </c>
      <c r="Q150" s="88">
        <f t="shared" si="66"/>
        <v>0</v>
      </c>
      <c r="R150" s="88">
        <f t="shared" si="66"/>
        <v>0</v>
      </c>
      <c r="S150" s="88">
        <f t="shared" si="66"/>
        <v>0</v>
      </c>
      <c r="T150" s="88">
        <f t="shared" si="66"/>
        <v>0</v>
      </c>
      <c r="U150" s="88">
        <f t="shared" si="66"/>
        <v>0</v>
      </c>
      <c r="V150" s="88">
        <f t="shared" si="66"/>
        <v>0</v>
      </c>
      <c r="W150" s="88">
        <f t="shared" si="66"/>
        <v>0</v>
      </c>
      <c r="X150" s="88">
        <f t="shared" si="66"/>
        <v>0</v>
      </c>
      <c r="Y150" s="88">
        <f t="shared" si="66"/>
        <v>0</v>
      </c>
      <c r="Z150" s="88">
        <f t="shared" si="66"/>
        <v>0</v>
      </c>
      <c r="AA150" s="88">
        <f t="shared" si="66"/>
        <v>0</v>
      </c>
      <c r="AB150" s="88">
        <f t="shared" si="66"/>
        <v>0</v>
      </c>
      <c r="AC150" s="88">
        <f t="shared" si="66"/>
        <v>0</v>
      </c>
      <c r="AD150" s="88">
        <f t="shared" si="66"/>
        <v>0</v>
      </c>
      <c r="AE150" s="88">
        <f t="shared" si="66"/>
        <v>0</v>
      </c>
      <c r="AF150" s="88">
        <f t="shared" si="66"/>
        <v>0</v>
      </c>
      <c r="AG150" s="88">
        <f t="shared" si="66"/>
        <v>0</v>
      </c>
      <c r="AH150" s="88">
        <f t="shared" si="66"/>
        <v>0</v>
      </c>
      <c r="AI150" s="88">
        <f t="shared" si="66"/>
        <v>0</v>
      </c>
      <c r="AJ150" s="88">
        <f t="shared" si="66"/>
        <v>0</v>
      </c>
      <c r="AK150" s="89">
        <f t="shared" si="66"/>
        <v>0</v>
      </c>
    </row>
    <row r="151" spans="1:37" ht="20.149999999999999" customHeight="1" outlineLevel="1" thickBot="1" x14ac:dyDescent="0.3">
      <c r="A151" s="14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</row>
    <row r="152" spans="1:37" ht="20.149999999999999" customHeight="1" outlineLevel="1" x14ac:dyDescent="0.25">
      <c r="A152" s="71">
        <v>2</v>
      </c>
      <c r="B152" s="76" t="s">
        <v>136</v>
      </c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2"/>
    </row>
    <row r="153" spans="1:37" ht="20.149999999999999" customHeight="1" outlineLevel="1" x14ac:dyDescent="0.25">
      <c r="A153" s="48" t="s">
        <v>137</v>
      </c>
      <c r="B153" s="82" t="s">
        <v>142</v>
      </c>
      <c r="C153" s="93"/>
      <c r="D153" s="93">
        <f>IFERROR('Resumo-Cult.Perma.'!A120*'Critérios de Implantação'!D$79,0)+IFERROR('Resumo-Cult.Perma.'!#REF!*'Critérios de Implantação'!D$80,0)+IFERROR('Resumo-Cult.Perma.'!#REF!*'Critérios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E153" s="93">
        <f>IFERROR('Resumo-Cult.Perma.'!B120*'Critérios de Implantação'!E$79,0)+IFERROR('Resumo-Cult.Perma.'!A120*'Critérios de Implantação'!E$80,0)+IFERROR('Resumo-Cult.Perma.'!#REF!*'Critérios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F153" s="93">
        <f>IFERROR('Resumo-Cult.Perma.'!C120*'Critérios de Implantação'!F$79,0)+IFERROR('Resumo-Cult.Perma.'!B120*'Critérios de Implantação'!F$80,0)+IFERROR('Resumo-Cult.Perma.'!A120*'Critérios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G153" s="93">
        <f>IFERROR('Resumo-Cult.Perma.'!D120*'Critérios de Implantação'!G$79,0)+IFERROR('Resumo-Cult.Perma.'!C120*'Critérios de Implantação'!G$80,0)+IFERROR('Resumo-Cult.Perma.'!B120*'Critérios de Implantação'!$Q$81,0)+IFERROR('Resumo-Cult.Perma.'!A120*'Critérios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653660.65372607519</v>
      </c>
      <c r="H153" s="93">
        <f>IFERROR('Resumo-Cult.Perma.'!E120*'Critérios de Implantação'!H$79,0)+IFERROR('Resumo-Cult.Perma.'!D120*'Critérios de Implantação'!H$80,0)+IFERROR('Resumo-Cult.Perma.'!C120*'Critérios de Implantação'!$Q$81,0)+IFERROR('Resumo-Cult.Perma.'!B120*'Critérios de Implantação'!$Q$82,0)+IFERROR('Resumo-Cult.Perma.'!A120*'Critérios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1556238.989961718</v>
      </c>
      <c r="I153" s="93">
        <f>IFERROR('Resumo-Cult.Perma.'!F120*'Critérios de Implantação'!I$79,0)+IFERROR('Resumo-Cult.Perma.'!E120*'Critérios de Implantação'!I$80,0)+IFERROR('Resumo-Cult.Perma.'!D120*'Critérios de Implantação'!$Q$81,0)+IFERROR('Resumo-Cult.Perma.'!C120*'Critérios de Implantação'!$Q$82,0)+IFERROR('Resumo-Cult.Perma.'!B120*'Critérios de Implantação'!$Q$83,0)+IFERROR('Resumo-Cult.Perma.'!A120*'Critérios de Implantação'!$Q$84,0)+IFERROR('Resumo-Cult.Perma.'!#REF!*'Critérios de Implantação'!$Q$85,0)+IFERROR('Resumo-Cult.Perma.'!#REF!*'Critérios de Implantação'!$Q$86,0)+IFERROR('Resumo-Cult.Perma.'!#REF!*'Critérios de Implantação'!$Q$87,0)</f>
        <v>2908310.830813711</v>
      </c>
      <c r="J153" s="93">
        <f>IFERROR('Resumo-Cult.Perma.'!G120*'Critérios de Implantação'!J$79,0)+IFERROR('Resumo-Cult.Perma.'!F120*'Critérios de Implantação'!J$80,0)+IFERROR('Resumo-Cult.Perma.'!E120*'Critérios de Implantação'!$Q$81,0)+IFERROR('Resumo-Cult.Perma.'!D120*'Critérios de Implantação'!$Q$82,0)+IFERROR('Resumo-Cult.Perma.'!C120*'Critérios de Implantação'!$Q$83,0)+IFERROR('Resumo-Cult.Perma.'!B120*'Critérios de Implantação'!$Q$84,0)+IFERROR('Resumo-Cult.Perma.'!A120*'Critérios de Implantação'!$Q$85,0)+IFERROR('Resumo-Cult.Perma.'!#REF!*'Critérios de Implantação'!$Q$86,0)+IFERROR('Resumo-Cult.Perma.'!#REF!*'Critérios de Implantação'!$Q$87,0)</f>
        <v>5344748.5411433121</v>
      </c>
      <c r="K153" s="93">
        <f>IFERROR('Resumo-Cult.Perma.'!H120*'Critérios de Implantação'!K$79,0)+IFERROR('Resumo-Cult.Perma.'!G120*'Critérios de Implantação'!K$80,0)+IFERROR('Resumo-Cult.Perma.'!F120*'Critérios de Implantação'!$Q$81,0)+IFERROR('Resumo-Cult.Perma.'!E120*'Critérios de Implantação'!$Q$82,0)+IFERROR('Resumo-Cult.Perma.'!D120*'Critérios de Implantação'!$Q$83,0)+IFERROR('Resumo-Cult.Perma.'!C120*'Critérios de Implantação'!$Q$84,0)+IFERROR('Resumo-Cult.Perma.'!B120*'Critérios de Implantação'!$Q$85,0)+IFERROR('Resumo-Cult.Perma.'!A120*'Critérios de Implantação'!$Q$86,0)+IFERROR('Resumo-Cult.Perma.'!#REF!*'Critérios de Implantação'!$Q$87,0)</f>
        <v>8222420.2681750366</v>
      </c>
      <c r="L153" s="93">
        <f>IFERROR('Resumo-Cult.Perma.'!I120*'Critérios de Implantação'!L$79,0)+IFERROR('Resumo-Cult.Perma.'!H120*'Critérios de Implantação'!L$80,0)+IFERROR('Resumo-Cult.Perma.'!G120*'Critérios de Implantação'!$Q$81,0)+IFERROR('Resumo-Cult.Perma.'!F120*'Critérios de Implantação'!$Q$82,0)+IFERROR('Resumo-Cult.Perma.'!E120*'Critérios de Implantação'!$Q$83,0)+IFERROR('Resumo-Cult.Perma.'!D120*'Critérios de Implantação'!$Q$84,0)+IFERROR('Resumo-Cult.Perma.'!C120*'Critérios de Implantação'!$Q$85,0)+IFERROR('Resumo-Cult.Perma.'!B120*'Critérios de Implantação'!$Q$86,0)+IFERROR('Resumo-Cult.Perma.'!A120*'Critérios de Implantação'!$Q$87,0)</f>
        <v>11555949.342404652</v>
      </c>
      <c r="M153" s="93">
        <f>IFERROR('Resumo-Cult.Perma.'!J120*'Critérios de Implantação'!M$79,0)+IFERROR('Resumo-Cult.Perma.'!I120*'Critérios de Implantação'!M$80,0)+IFERROR('Resumo-Cult.Perma.'!H120*'Critérios de Implantação'!$Q$81,0)+IFERROR('Resumo-Cult.Perma.'!G120*'Critérios de Implantação'!$Q$82,0)+IFERROR('Resumo-Cult.Perma.'!F120*'Critérios de Implantação'!$Q$83,0)+IFERROR('Resumo-Cult.Perma.'!E120*'Critérios de Implantação'!$Q$84,0)+IFERROR('Resumo-Cult.Perma.'!D120*'Critérios de Implantação'!$Q$85,0)+IFERROR('Resumo-Cult.Perma.'!C120*'Critérios de Implantação'!$Q$86,0)+IFERROR('Resumo-Cult.Perma.'!B120*'Critérios de Implantação'!$Q$87,0)</f>
        <v>14965612.879349431</v>
      </c>
      <c r="N153" s="93">
        <f>IFERROR('Resumo-Cult.Perma.'!K120*'Critérios de Implantação'!N$79,0)+IFERROR('Resumo-Cult.Perma.'!J120*'Critérios de Implantação'!N$80,0)+IFERROR('Resumo-Cult.Perma.'!I120*'Critérios de Implantação'!$Q$81,0)+IFERROR('Resumo-Cult.Perma.'!H120*'Critérios de Implantação'!$Q$82,0)+IFERROR('Resumo-Cult.Perma.'!G120*'Critérios de Implantação'!$Q$83,0)+IFERROR('Resumo-Cult.Perma.'!F120*'Critérios de Implantação'!$Q$84,0)+IFERROR('Resumo-Cult.Perma.'!E120*'Critérios de Implantação'!$Q$85,0)+IFERROR('Resumo-Cult.Perma.'!D120*'Critérios de Implantação'!$Q$86,0)+IFERROR('Resumo-Cult.Perma.'!C120*'Critérios de Implantação'!$Q$87,0)</f>
        <v>18123304.319395997</v>
      </c>
      <c r="O153" s="93">
        <f>IFERROR('Resumo-Cult.Perma.'!L120*'Critérios de Implantação'!O$79,0)+IFERROR('Resumo-Cult.Perma.'!K120*'Critérios de Implantação'!O$80,0)+IFERROR('Resumo-Cult.Perma.'!J120*'Critérios de Implantação'!$Q$81,0)+IFERROR('Resumo-Cult.Perma.'!I120*'Critérios de Implantação'!$Q$82,0)+IFERROR('Resumo-Cult.Perma.'!H120*'Critérios de Implantação'!$Q$83,0)+IFERROR('Resumo-Cult.Perma.'!G120*'Critérios de Implantação'!$Q$84,0)+IFERROR('Resumo-Cult.Perma.'!F120*'Critérios de Implantação'!$Q$85,0)+IFERROR('Resumo-Cult.Perma.'!E120*'Critérios de Implantação'!$Q$86,0)+IFERROR('Resumo-Cult.Perma.'!D120*'Critérios de Implantação'!$Q$87,0)</f>
        <v>20625899.378041387</v>
      </c>
      <c r="P153" s="93">
        <f>IFERROR('Resumo-Cult.Perma.'!M120*'Critérios de Implantação'!P$79,0)+IFERROR('Resumo-Cult.Perma.'!L120*'Critérios de Implantação'!P$80,0)+IFERROR('Resumo-Cult.Perma.'!K120*'Critérios de Implantação'!$Q$81,0)+IFERROR('Resumo-Cult.Perma.'!J120*'Critérios de Implantação'!$Q$82,0)+IFERROR('Resumo-Cult.Perma.'!I120*'Critérios de Implantação'!$Q$83,0)+IFERROR('Resumo-Cult.Perma.'!H120*'Critérios de Implantação'!$Q$84,0)+IFERROR('Resumo-Cult.Perma.'!G120*'Critérios de Implantação'!$Q$85,0)+IFERROR('Resumo-Cult.Perma.'!F120*'Critérios de Implantação'!$Q$86,0)+IFERROR('Resumo-Cult.Perma.'!E120*'Critérios de Implantação'!$Q$87,0)</f>
        <v>22255828.711668849</v>
      </c>
      <c r="Q153" s="93">
        <f>IFERROR('Resumo-Cult.Perma.'!N120*'Critérios de Implantação'!Q$79,0)+IFERROR('Resumo-Cult.Perma.'!M120*'Critérios de Implantação'!Q$80,0)+IFERROR('Resumo-Cult.Perma.'!L120*'Critérios de Implantação'!$Q$81,0)+IFERROR('Resumo-Cult.Perma.'!K120*'Critérios de Implantação'!$Q$82,0)+IFERROR('Resumo-Cult.Perma.'!J120*'Critérios de Implantação'!$Q$83,0)+IFERROR('Resumo-Cult.Perma.'!I120*'Critérios de Implantação'!$Q$84,0)+IFERROR('Resumo-Cult.Perma.'!H120*'Critérios de Implantação'!$Q$85,0)+IFERROR('Resumo-Cult.Perma.'!G120*'Critérios de Implantação'!$Q$86,0)+IFERROR('Resumo-Cult.Perma.'!F120*'Critérios de Implantação'!$Q$87,0)</f>
        <v>23280901.41478974</v>
      </c>
      <c r="R153" s="93">
        <f>IFERROR('Resumo-Cult.Perma.'!O120*'Critérios de Implantação'!R$79,0)+IFERROR('Resumo-Cult.Perma.'!N120*'Critérios de Implantação'!R$80,0)+IFERROR('Resumo-Cult.Perma.'!M120*'Critérios de Implantação'!$Q$81,0)+IFERROR('Resumo-Cult.Perma.'!L120*'Critérios de Implantação'!$Q$82,0)+IFERROR('Resumo-Cult.Perma.'!K120*'Critérios de Implantação'!$Q$83,0)+IFERROR('Resumo-Cult.Perma.'!J120*'Critérios de Implantação'!$Q$84,0)+IFERROR('Resumo-Cult.Perma.'!I120*'Critérios de Implantação'!$Q$85,0)+IFERROR('Resumo-Cult.Perma.'!H120*'Critérios de Implantação'!$Q$86,0)+IFERROR('Resumo-Cult.Perma.'!G120*'Critérios de Implantação'!$Q$87,0)</f>
        <v>23788356.076054476</v>
      </c>
      <c r="S153" s="93">
        <f>IFERROR('Resumo-Cult.Perma.'!P120*'Critérios de Implantação'!S$79,0)+IFERROR('Resumo-Cult.Perma.'!O120*'Critérios de Implantação'!S$80,0)+IFERROR('Resumo-Cult.Perma.'!N120*'Critérios de Implantação'!$Q$81,0)+IFERROR('Resumo-Cult.Perma.'!M120*'Critérios de Implantação'!$Q$82,0)+IFERROR('Resumo-Cult.Perma.'!L120*'Critérios de Implantação'!$Q$83,0)+IFERROR('Resumo-Cult.Perma.'!K120*'Critérios de Implantação'!$Q$84,0)+IFERROR('Resumo-Cult.Perma.'!J120*'Critérios de Implantação'!$Q$85,0)+IFERROR('Resumo-Cult.Perma.'!I120*'Critérios de Implantação'!$Q$86,0)+IFERROR('Resumo-Cult.Perma.'!H120*'Critérios de Implantação'!$Q$87,0)</f>
        <v>23957218.107733633</v>
      </c>
      <c r="T153" s="93">
        <f>IFERROR('Resumo-Cult.Perma.'!Q120*'Critérios de Implantação'!T$79,0)+IFERROR('Resumo-Cult.Perma.'!P120*'Critérios de Implantação'!T$80,0)+IFERROR('Resumo-Cult.Perma.'!O120*'Critérios de Implantação'!$Q$81,0)+IFERROR('Resumo-Cult.Perma.'!N120*'Critérios de Implantação'!$Q$82,0)+IFERROR('Resumo-Cult.Perma.'!M120*'Critérios de Implantação'!$Q$83,0)+IFERROR('Resumo-Cult.Perma.'!L120*'Critérios de Implantação'!$Q$84,0)+IFERROR('Resumo-Cult.Perma.'!K120*'Critérios de Implantação'!$Q$85,0)+IFERROR('Resumo-Cult.Perma.'!J120*'Critérios de Implantação'!$Q$86,0)+IFERROR('Resumo-Cult.Perma.'!I120*'Critérios de Implantação'!$Q$87,0)</f>
        <v>23979195.104000002</v>
      </c>
      <c r="U153" s="93">
        <f>IFERROR('Resumo-Cult.Perma.'!R120*'Critérios de Implantação'!U$79,0)+IFERROR('Resumo-Cult.Perma.'!Q120*'Critérios de Implantação'!U$80,0)+IFERROR('Resumo-Cult.Perma.'!P120*'Critérios de Implantação'!$Q$81,0)+IFERROR('Resumo-Cult.Perma.'!O120*'Critérios de Implantação'!$Q$82,0)+IFERROR('Resumo-Cult.Perma.'!N120*'Critérios de Implantação'!$Q$83,0)+IFERROR('Resumo-Cult.Perma.'!M120*'Critérios de Implantação'!$Q$84,0)+IFERROR('Resumo-Cult.Perma.'!L120*'Critérios de Implantação'!$Q$85,0)+IFERROR('Resumo-Cult.Perma.'!K120*'Critérios de Implantação'!$Q$86,0)+IFERROR('Resumo-Cult.Perma.'!J120*'Critérios de Implantação'!$Q$87,0)</f>
        <v>23979195.104000002</v>
      </c>
      <c r="V153" s="93">
        <f>IFERROR('Resumo-Cult.Perma.'!S120*'Critérios de Implantação'!V$79,0)+IFERROR('Resumo-Cult.Perma.'!R120*'Critérios de Implantação'!V$80,0)+IFERROR('Resumo-Cult.Perma.'!Q120*'Critérios de Implantação'!$Q$81,0)+IFERROR('Resumo-Cult.Perma.'!P120*'Critérios de Implantação'!$Q$82,0)+IFERROR('Resumo-Cult.Perma.'!O120*'Critérios de Implantação'!$Q$83,0)+IFERROR('Resumo-Cult.Perma.'!N120*'Critérios de Implantação'!$Q$84,0)+IFERROR('Resumo-Cult.Perma.'!M120*'Critérios de Implantação'!$Q$85,0)+IFERROR('Resumo-Cult.Perma.'!L120*'Critérios de Implantação'!$Q$86,0)+IFERROR('Resumo-Cult.Perma.'!K120*'Critérios de Implantação'!$Q$87,0)</f>
        <v>23979195.104000002</v>
      </c>
      <c r="W153" s="93">
        <f>IFERROR('Resumo-Cult.Perma.'!T120*'Critérios de Implantação'!W$79,0)+IFERROR('Resumo-Cult.Perma.'!S120*'Critérios de Implantação'!W$80,0)+IFERROR('Resumo-Cult.Perma.'!R120*'Critérios de Implantação'!$Q$81,0)+IFERROR('Resumo-Cult.Perma.'!Q120*'Critérios de Implantação'!$Q$82,0)+IFERROR('Resumo-Cult.Perma.'!P120*'Critérios de Implantação'!$Q$83,0)+IFERROR('Resumo-Cult.Perma.'!O120*'Critérios de Implantação'!$Q$84,0)+IFERROR('Resumo-Cult.Perma.'!N120*'Critérios de Implantação'!$Q$85,0)+IFERROR('Resumo-Cult.Perma.'!M120*'Critérios de Implantação'!$Q$86,0)+IFERROR('Resumo-Cult.Perma.'!L120*'Critérios de Implantação'!$Q$87,0)</f>
        <v>23979195.104000002</v>
      </c>
      <c r="X153" s="93">
        <f>IFERROR('Resumo-Cult.Perma.'!U120*'Critérios de Implantação'!X$79,0)+IFERROR('Resumo-Cult.Perma.'!T120*'Critérios de Implantação'!X$80,0)+IFERROR('Resumo-Cult.Perma.'!S120*'Critérios de Implantação'!$Q$81,0)+IFERROR('Resumo-Cult.Perma.'!R120*'Critérios de Implantação'!$Q$82,0)+IFERROR('Resumo-Cult.Perma.'!Q120*'Critérios de Implantação'!$Q$83,0)+IFERROR('Resumo-Cult.Perma.'!P120*'Critérios de Implantação'!$Q$84,0)+IFERROR('Resumo-Cult.Perma.'!O120*'Critérios de Implantação'!$Q$85,0)+IFERROR('Resumo-Cult.Perma.'!N120*'Critérios de Implantação'!$Q$86,0)+IFERROR('Resumo-Cult.Perma.'!M120*'Critérios de Implantação'!$Q$87,0)</f>
        <v>23408861.960475679</v>
      </c>
      <c r="Y153" s="93">
        <f>IFERROR('Resumo-Cult.Perma.'!V120*'Critérios de Implantação'!Y$79,0)+IFERROR('Resumo-Cult.Perma.'!U120*'Critérios de Implantação'!Y$80,0)+IFERROR('Resumo-Cult.Perma.'!T120*'Critérios de Implantação'!$Q$81,0)+IFERROR('Resumo-Cult.Perma.'!S120*'Critérios de Implantação'!$Q$82,0)+IFERROR('Resumo-Cult.Perma.'!R120*'Critérios de Implantação'!$Q$83,0)+IFERROR('Resumo-Cult.Perma.'!Q120*'Critérios de Implantação'!$Q$84,0)+IFERROR('Resumo-Cult.Perma.'!P120*'Critérios de Implantação'!$Q$85,0)+IFERROR('Resumo-Cult.Perma.'!O120*'Critérios de Implantação'!$Q$86,0)+IFERROR('Resumo-Cult.Perma.'!N120*'Critérios de Implantação'!$Q$87,0)</f>
        <v>22313231.447497584</v>
      </c>
      <c r="Z153" s="93">
        <f>IFERROR('Resumo-Cult.Perma.'!W120*'Critérios de Implantação'!Z$79,0)+IFERROR('Resumo-Cult.Perma.'!V120*'Critérios de Implantação'!Z$80,0)+IFERROR('Resumo-Cult.Perma.'!U120*'Critérios de Implantação'!$Q$81,0)+IFERROR('Resumo-Cult.Perma.'!T120*'Critérios de Implantação'!$Q$82,0)+IFERROR('Resumo-Cult.Perma.'!S120*'Critérios de Implantação'!$Q$83,0)+IFERROR('Resumo-Cult.Perma.'!R120*'Critérios de Implantação'!$Q$84,0)+IFERROR('Resumo-Cult.Perma.'!Q120*'Critérios de Implantação'!$Q$85,0)+IFERROR('Resumo-Cult.Perma.'!P120*'Critérios de Implantação'!$Q$86,0)+IFERROR('Resumo-Cult.Perma.'!O120*'Critérios de Implantação'!$Q$87,0)</f>
        <v>21351624.600974534</v>
      </c>
      <c r="AA153" s="93">
        <f>IFERROR('Resumo-Cult.Perma.'!X120*'Critérios de Implantação'!AA$79,0)+IFERROR('Resumo-Cult.Perma.'!W120*'Critérios de Implantação'!AA$80,0)+IFERROR('Resumo-Cult.Perma.'!V120*'Critérios de Implantação'!$Q$81,0)+IFERROR('Resumo-Cult.Perma.'!U120*'Critérios de Implantação'!$Q$82,0)+IFERROR('Resumo-Cult.Perma.'!T120*'Critérios de Implantação'!$Q$83,0)+IFERROR('Resumo-Cult.Perma.'!S120*'Critérios de Implantação'!$Q$84,0)+IFERROR('Resumo-Cult.Perma.'!R120*'Critérios de Implantação'!$Q$85,0)+IFERROR('Resumo-Cult.Perma.'!Q120*'Critérios de Implantação'!$Q$86,0)+IFERROR('Resumo-Cult.Perma.'!P120*'Critérios de Implantação'!$Q$87,0)</f>
        <v>19963792.814859312</v>
      </c>
      <c r="AB153" s="93">
        <f>IFERROR('Resumo-Cult.Perma.'!Y120*'Critérios de Implantação'!AB$79,0)+IFERROR('Resumo-Cult.Perma.'!X120*'Critérios de Implantação'!AB$80,0)+IFERROR('Resumo-Cult.Perma.'!W120*'Critérios de Implantação'!$Q$81,0)+IFERROR('Resumo-Cult.Perma.'!V120*'Critérios de Implantação'!$Q$82,0)+IFERROR('Resumo-Cult.Perma.'!U120*'Critérios de Implantação'!$Q$83,0)+IFERROR('Resumo-Cult.Perma.'!T120*'Critérios de Implantação'!$Q$84,0)+IFERROR('Resumo-Cult.Perma.'!S120*'Critérios de Implantação'!$Q$85,0)+IFERROR('Resumo-Cult.Perma.'!R120*'Critérios de Implantação'!$Q$86,0)+IFERROR('Resumo-Cult.Perma.'!Q120*'Critérios de Implantação'!$Q$87,0)</f>
        <v>18422801.517542902</v>
      </c>
      <c r="AC153" s="93">
        <f>IFERROR('Resumo-Cult.Perma.'!Z120*'Critérios de Implantação'!AC$79,0)+IFERROR('Resumo-Cult.Perma.'!Y120*'Critérios de Implantação'!AC$80,0)+IFERROR('Resumo-Cult.Perma.'!X120*'Critérios de Implantação'!$Q$81,0)+IFERROR('Resumo-Cult.Perma.'!W120*'Critérios de Implantação'!$Q$82,0)+IFERROR('Resumo-Cult.Perma.'!V120*'Critérios de Implantação'!$Q$83,0)+IFERROR('Resumo-Cult.Perma.'!U120*'Critérios de Implantação'!$Q$84,0)+IFERROR('Resumo-Cult.Perma.'!T120*'Critérios de Implantação'!$Q$85,0)+IFERROR('Resumo-Cult.Perma.'!S120*'Critérios de Implantação'!$Q$86,0)+IFERROR('Resumo-Cult.Perma.'!R120*'Critérios de Implantação'!$Q$87,0)</f>
        <v>17456156.231574461</v>
      </c>
      <c r="AD153" s="93">
        <f>IFERROR('Resumo-Cult.Perma.'!AA120*'Critérios de Implantação'!AD$79,0)+IFERROR('Resumo-Cult.Perma.'!Z120*'Critérios de Implantação'!AD$80,0)+IFERROR('Resumo-Cult.Perma.'!Y120*'Critérios de Implantação'!$Q$81,0)+IFERROR('Resumo-Cult.Perma.'!X120*'Critérios de Implantação'!$Q$82,0)+IFERROR('Resumo-Cult.Perma.'!W120*'Critérios de Implantação'!$Q$83,0)+IFERROR('Resumo-Cult.Perma.'!V120*'Critérios de Implantação'!$Q$84,0)+IFERROR('Resumo-Cult.Perma.'!U120*'Critérios de Implantação'!$Q$85,0)+IFERROR('Resumo-Cult.Perma.'!T120*'Critérios de Implantação'!$Q$86,0)+IFERROR('Resumo-Cult.Perma.'!S120*'Critérios de Implantação'!$Q$87,0)</f>
        <v>17108082.514297802</v>
      </c>
      <c r="AE153" s="93">
        <f>IFERROR('Resumo-Cult.Perma.'!AB120*'Critérios de Implantação'!AE$79,0)+IFERROR('Resumo-Cult.Perma.'!AA120*'Critérios de Implantação'!AE$80,0)+IFERROR('Resumo-Cult.Perma.'!Z120*'Critérios de Implantação'!$Q$81,0)+IFERROR('Resumo-Cult.Perma.'!Y120*'Critérios de Implantação'!$Q$82,0)+IFERROR('Resumo-Cult.Perma.'!X120*'Critérios de Implantação'!$Q$83,0)+IFERROR('Resumo-Cult.Perma.'!W120*'Critérios de Implantação'!$Q$84,0)+IFERROR('Resumo-Cult.Perma.'!V120*'Critérios de Implantação'!$Q$85,0)+IFERROR('Resumo-Cult.Perma.'!U120*'Critérios de Implantação'!$Q$86,0)+IFERROR('Resumo-Cult.Perma.'!T120*'Critérios de Implantação'!$Q$87,0)</f>
        <v>17628838.651503887</v>
      </c>
      <c r="AF153" s="93">
        <f>IFERROR('Resumo-Cult.Perma.'!AC120*'Critérios de Implantação'!AF$79,0)+IFERROR('Resumo-Cult.Perma.'!AB120*'Critérios de Implantação'!AF$80,0)+IFERROR('Resumo-Cult.Perma.'!AA120*'Critérios de Implantação'!$Q$81,0)+IFERROR('Resumo-Cult.Perma.'!Z120*'Critérios de Implantação'!$Q$82,0)+IFERROR('Resumo-Cult.Perma.'!Y120*'Critérios de Implantação'!$Q$83,0)+IFERROR('Resumo-Cult.Perma.'!X120*'Critérios de Implantação'!$Q$84,0)+IFERROR('Resumo-Cult.Perma.'!W120*'Critérios de Implantação'!$Q$85,0)+IFERROR('Resumo-Cult.Perma.'!V120*'Critérios de Implantação'!$Q$86,0)+IFERROR('Resumo-Cult.Perma.'!U120*'Critérios de Implantação'!$Q$87,0)</f>
        <v>18890482.664985754</v>
      </c>
      <c r="AG153" s="93">
        <f>IFERROR('Resumo-Cult.Perma.'!AD120*'Critérios de Implantação'!AG$79,0)+IFERROR('Resumo-Cult.Perma.'!AC120*'Critérios de Implantação'!AG$80,0)+IFERROR('Resumo-Cult.Perma.'!AB120*'Critérios de Implantação'!$Q$81,0)+IFERROR('Resumo-Cult.Perma.'!AA120*'Critérios de Implantação'!$Q$82,0)+IFERROR('Resumo-Cult.Perma.'!Z120*'Critérios de Implantação'!$Q$83,0)+IFERROR('Resumo-Cult.Perma.'!Y120*'Critérios de Implantação'!$Q$84,0)+IFERROR('Resumo-Cult.Perma.'!X120*'Critérios de Implantação'!$Q$85,0)+IFERROR('Resumo-Cult.Perma.'!W120*'Critérios de Implantação'!$Q$86,0)+IFERROR('Resumo-Cult.Perma.'!V120*'Critérios de Implantação'!$Q$87,0)</f>
        <v>20625899.378041387</v>
      </c>
      <c r="AH153" s="93">
        <f>IFERROR('Resumo-Cult.Perma.'!AE120*'Critérios de Implantação'!AH$79,0)+IFERROR('Resumo-Cult.Perma.'!AD120*'Critérios de Implantação'!AH$80,0)+IFERROR('Resumo-Cult.Perma.'!AC120*'Critérios de Implantação'!$Q$81,0)+IFERROR('Resumo-Cult.Perma.'!AB120*'Critérios de Implantação'!$Q$82,0)+IFERROR('Resumo-Cult.Perma.'!AA120*'Critérios de Implantação'!$Q$83,0)+IFERROR('Resumo-Cult.Perma.'!Z120*'Critérios de Implantação'!$Q$84,0)+IFERROR('Resumo-Cult.Perma.'!Y120*'Critérios de Implantação'!$Q$85,0)+IFERROR('Resumo-Cult.Perma.'!X120*'Critérios de Implantação'!$Q$86,0)+IFERROR('Resumo-Cult.Perma.'!W120*'Critérios de Implantação'!$Q$87,0)</f>
        <v>22255828.711668849</v>
      </c>
      <c r="AI153" s="93">
        <f>IFERROR('Resumo-Cult.Perma.'!AF120*'Critérios de Implantação'!AI$79,0)+IFERROR('Resumo-Cult.Perma.'!AE120*'Critérios de Implantação'!AI$80,0)+IFERROR('Resumo-Cult.Perma.'!AD120*'Critérios de Implantação'!$Q$81,0)+IFERROR('Resumo-Cult.Perma.'!AC120*'Critérios de Implantação'!$Q$82,0)+IFERROR('Resumo-Cult.Perma.'!AB120*'Critérios de Implantação'!$Q$83,0)+IFERROR('Resumo-Cult.Perma.'!AA120*'Critérios de Implantação'!$Q$84,0)+IFERROR('Resumo-Cult.Perma.'!Z120*'Critérios de Implantação'!$Q$85,0)+IFERROR('Resumo-Cult.Perma.'!Y120*'Critérios de Implantação'!$Q$86,0)+IFERROR('Resumo-Cult.Perma.'!X120*'Critérios de Implantação'!$Q$87,0)</f>
        <v>23280901.41478974</v>
      </c>
      <c r="AJ153" s="93">
        <f>IFERROR('Resumo-Cult.Perma.'!AG120*'Critérios de Implantação'!AJ$79,0)+IFERROR('Resumo-Cult.Perma.'!AF120*'Critérios de Implantação'!AJ$80,0)+IFERROR('Resumo-Cult.Perma.'!AE120*'Critérios de Implantação'!$Q$81,0)+IFERROR('Resumo-Cult.Perma.'!AD120*'Critérios de Implantação'!$Q$82,0)+IFERROR('Resumo-Cult.Perma.'!AC120*'Critérios de Implantação'!$Q$83,0)+IFERROR('Resumo-Cult.Perma.'!AB120*'Critérios de Implantação'!$Q$84,0)+IFERROR('Resumo-Cult.Perma.'!AA120*'Critérios de Implantação'!$Q$85,0)+IFERROR('Resumo-Cult.Perma.'!Z120*'Critérios de Implantação'!$Q$86,0)+IFERROR('Resumo-Cult.Perma.'!Y120*'Critérios de Implantação'!$Q$87,0)</f>
        <v>23788356.076054476</v>
      </c>
      <c r="AK153" s="81">
        <f>IFERROR('Resumo-Cult.Perma.'!AH120*'Critérios de Implantação'!AK$79,0)+IFERROR('Resumo-Cult.Perma.'!AG120*'Critérios de Implantação'!AK$80,0)+IFERROR('Resumo-Cult.Perma.'!AF120*'Critérios de Implantação'!$Q$81,0)+IFERROR('Resumo-Cult.Perma.'!AE120*'Critérios de Implantação'!$Q$82,0)+IFERROR('Resumo-Cult.Perma.'!AD120*'Critérios de Implantação'!$Q$83,0)+IFERROR('Resumo-Cult.Perma.'!AC120*'Critérios de Implantação'!$Q$84,0)+IFERROR('Resumo-Cult.Perma.'!AB120*'Critérios de Implantação'!$Q$85,0)+IFERROR('Resumo-Cult.Perma.'!AA120*'Critérios de Implantação'!$Q$86,0)+IFERROR('Resumo-Cult.Perma.'!Z120*'Critérios de Implantação'!$Q$87,0)</f>
        <v>23957218.107733633</v>
      </c>
    </row>
    <row r="154" spans="1:37" ht="20.149999999999999" customHeight="1" outlineLevel="1" x14ac:dyDescent="0.25">
      <c r="A154" s="48" t="s">
        <v>138</v>
      </c>
      <c r="B154" s="34" t="s">
        <v>146</v>
      </c>
      <c r="C154" s="80"/>
      <c r="D154" s="93">
        <f>IFERROR('Resumo-Cult.Perma.'!A121*'Critérios de Implantação'!D$79,0)+IFERROR('Resumo-Cult.Perma.'!#REF!*'Critérios de Implantação'!D$80,0)+IFERROR('Resumo-Cult.Perma.'!#REF!*'Critérios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E154" s="93">
        <f>IFERROR('Resumo-Cult.Perma.'!B121*'Critérios de Implantação'!E$79,0)+IFERROR('Resumo-Cult.Perma.'!A121*'Critérios de Implantação'!E$80,0)+IFERROR('Resumo-Cult.Perma.'!#REF!*'Critérios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F154" s="93">
        <f>IFERROR('Resumo-Cult.Perma.'!C121*'Critérios de Implantação'!F$79,0)+IFERROR('Resumo-Cult.Perma.'!B121*'Critérios de Implantação'!F$80,0)+IFERROR('Resumo-Cult.Perma.'!A121*'Critérios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G154" s="93">
        <f>IFERROR('Resumo-Cult.Perma.'!D121*'Critérios de Implantação'!G$79,0)+IFERROR('Resumo-Cult.Perma.'!C121*'Critérios de Implantação'!G$80,0)+IFERROR('Resumo-Cult.Perma.'!B121*'Critérios de Implantação'!$Q$81,0)+IFERROR('Resumo-Cult.Perma.'!A121*'Critérios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430369.81191176857</v>
      </c>
      <c r="H154" s="93">
        <f>IFERROR('Resumo-Cult.Perma.'!E121*'Critérios de Implantação'!H$79,0)+IFERROR('Resumo-Cult.Perma.'!D121*'Critérios de Implantação'!H$80,0)+IFERROR('Resumo-Cult.Perma.'!C121*'Critérios de Implantação'!$Q$81,0)+IFERROR('Resumo-Cult.Perma.'!B121*'Critérios de Implantação'!$Q$82,0)+IFERROR('Resumo-Cult.Perma.'!A121*'Critérios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1194971.0225573082</v>
      </c>
      <c r="I154" s="93">
        <f>IFERROR('Resumo-Cult.Perma.'!F121*'Critérios de Implantação'!I$79,0)+IFERROR('Resumo-Cult.Perma.'!E121*'Critérios de Implantação'!I$80,0)+IFERROR('Resumo-Cult.Perma.'!D121*'Critérios de Implantação'!$Q$81,0)+IFERROR('Resumo-Cult.Perma.'!C121*'Critérios de Implantação'!$Q$82,0)+IFERROR('Resumo-Cult.Perma.'!B121*'Critérios de Implantação'!$Q$83,0)+IFERROR('Resumo-Cult.Perma.'!A121*'Critérios de Implantação'!$Q$84,0)+IFERROR('Resumo-Cult.Perma.'!#REF!*'Critérios de Implantação'!$Q$85,0)+IFERROR('Resumo-Cult.Perma.'!#REF!*'Critérios de Implantação'!$Q$86,0)+IFERROR('Resumo-Cult.Perma.'!#REF!*'Critérios de Implantação'!$Q$87,0)</f>
        <v>2069556.2221959177</v>
      </c>
      <c r="J154" s="93">
        <f>IFERROR('Resumo-Cult.Perma.'!G121*'Critérios de Implantação'!J$79,0)+IFERROR('Resumo-Cult.Perma.'!F121*'Critérios de Implantação'!J$80,0)+IFERROR('Resumo-Cult.Perma.'!E121*'Critérios de Implantação'!$Q$81,0)+IFERROR('Resumo-Cult.Perma.'!D121*'Critérios de Implantação'!$Q$82,0)+IFERROR('Resumo-Cult.Perma.'!C121*'Critérios de Implantação'!$Q$83,0)+IFERROR('Resumo-Cult.Perma.'!B121*'Critérios de Implantação'!$Q$84,0)+IFERROR('Resumo-Cult.Perma.'!A121*'Critérios de Implantação'!$Q$85,0)+IFERROR('Resumo-Cult.Perma.'!#REF!*'Critérios de Implantação'!$Q$86,0)+IFERROR('Resumo-Cult.Perma.'!#REF!*'Critérios de Implantação'!$Q$87,0)</f>
        <v>3761355.6072689188</v>
      </c>
      <c r="K154" s="93">
        <f>IFERROR('Resumo-Cult.Perma.'!H121*'Critérios de Implantação'!K$79,0)+IFERROR('Resumo-Cult.Perma.'!G121*'Critérios de Implantação'!K$80,0)+IFERROR('Resumo-Cult.Perma.'!F121*'Critérios de Implantação'!$Q$81,0)+IFERROR('Resumo-Cult.Perma.'!E121*'Critérios de Implantação'!$Q$82,0)+IFERROR('Resumo-Cult.Perma.'!D121*'Critérios de Implantação'!$Q$83,0)+IFERROR('Resumo-Cult.Perma.'!C121*'Critérios de Implantação'!$Q$84,0)+IFERROR('Resumo-Cult.Perma.'!B121*'Critérios de Implantação'!$Q$85,0)+IFERROR('Resumo-Cult.Perma.'!A121*'Critérios de Implantação'!$Q$86,0)+IFERROR('Resumo-Cult.Perma.'!#REF!*'Critérios de Implantação'!$Q$87,0)</f>
        <v>5684386.1231794264</v>
      </c>
      <c r="L154" s="93">
        <f>IFERROR('Resumo-Cult.Perma.'!I121*'Critérios de Implantação'!L$79,0)+IFERROR('Resumo-Cult.Perma.'!H121*'Critérios de Implantação'!L$80,0)+IFERROR('Resumo-Cult.Perma.'!G121*'Critérios de Implantação'!$Q$81,0)+IFERROR('Resumo-Cult.Perma.'!F121*'Critérios de Implantação'!$Q$82,0)+IFERROR('Resumo-Cult.Perma.'!E121*'Critérios de Implantação'!$Q$83,0)+IFERROR('Resumo-Cult.Perma.'!D121*'Critérios de Implantação'!$Q$84,0)+IFERROR('Resumo-Cult.Perma.'!C121*'Critérios de Implantação'!$Q$85,0)+IFERROR('Resumo-Cult.Perma.'!B121*'Critérios de Implantação'!$Q$86,0)+IFERROR('Resumo-Cult.Perma.'!A121*'Critérios de Implantação'!$Q$87,0)</f>
        <v>7580912.7384661091</v>
      </c>
      <c r="M154" s="93">
        <f>IFERROR('Resumo-Cult.Perma.'!J121*'Critérios de Implantação'!M$79,0)+IFERROR('Resumo-Cult.Perma.'!I121*'Critérios de Implantação'!M$80,0)+IFERROR('Resumo-Cult.Perma.'!H121*'Critérios de Implantação'!$Q$81,0)+IFERROR('Resumo-Cult.Perma.'!G121*'Critérios de Implantação'!$Q$82,0)+IFERROR('Resumo-Cult.Perma.'!F121*'Critérios de Implantação'!$Q$83,0)+IFERROR('Resumo-Cult.Perma.'!E121*'Critérios de Implantação'!$Q$84,0)+IFERROR('Resumo-Cult.Perma.'!D121*'Critérios de Implantação'!$Q$85,0)+IFERROR('Resumo-Cult.Perma.'!C121*'Critérios de Implantação'!$Q$86,0)+IFERROR('Resumo-Cult.Perma.'!B121*'Critérios de Implantação'!$Q$87,0)</f>
        <v>9599307.9935570881</v>
      </c>
      <c r="N154" s="93">
        <f>IFERROR('Resumo-Cult.Perma.'!K121*'Critérios de Implantação'!N$79,0)+IFERROR('Resumo-Cult.Perma.'!J121*'Critérios de Implantação'!N$80,0)+IFERROR('Resumo-Cult.Perma.'!I121*'Critérios de Implantação'!$Q$81,0)+IFERROR('Resumo-Cult.Perma.'!H121*'Critérios de Implantação'!$Q$82,0)+IFERROR('Resumo-Cult.Perma.'!G121*'Critérios de Implantação'!$Q$83,0)+IFERROR('Resumo-Cult.Perma.'!F121*'Critérios de Implantação'!$Q$84,0)+IFERROR('Resumo-Cult.Perma.'!E121*'Critérios de Implantação'!$Q$85,0)+IFERROR('Resumo-Cult.Perma.'!D121*'Critérios de Implantação'!$Q$86,0)+IFERROR('Resumo-Cult.Perma.'!C121*'Critérios de Implantação'!$Q$87,0)</f>
        <v>11099981.473466635</v>
      </c>
      <c r="O154" s="93">
        <f>IFERROR('Resumo-Cult.Perma.'!L121*'Critérios de Implantação'!O$79,0)+IFERROR('Resumo-Cult.Perma.'!K121*'Critérios de Implantação'!O$80,0)+IFERROR('Resumo-Cult.Perma.'!J121*'Critérios de Implantação'!$Q$81,0)+IFERROR('Resumo-Cult.Perma.'!I121*'Critérios de Implantação'!$Q$82,0)+IFERROR('Resumo-Cult.Perma.'!H121*'Critérios de Implantação'!$Q$83,0)+IFERROR('Resumo-Cult.Perma.'!G121*'Critérios de Implantação'!$Q$84,0)+IFERROR('Resumo-Cult.Perma.'!F121*'Critérios de Implantação'!$Q$85,0)+IFERROR('Resumo-Cult.Perma.'!E121*'Critérios de Implantação'!$Q$86,0)+IFERROR('Resumo-Cult.Perma.'!D121*'Critérios de Implantação'!$Q$87,0)</f>
        <v>11984233.670148905</v>
      </c>
      <c r="P154" s="93">
        <f>IFERROR('Resumo-Cult.Perma.'!M121*'Critérios de Implantação'!P$79,0)+IFERROR('Resumo-Cult.Perma.'!L121*'Critérios de Implantação'!P$80,0)+IFERROR('Resumo-Cult.Perma.'!K121*'Critérios de Implantação'!$Q$81,0)+IFERROR('Resumo-Cult.Perma.'!J121*'Critérios de Implantação'!$Q$82,0)+IFERROR('Resumo-Cult.Perma.'!I121*'Critérios de Implantação'!$Q$83,0)+IFERROR('Resumo-Cult.Perma.'!H121*'Critérios de Implantação'!$Q$84,0)+IFERROR('Resumo-Cult.Perma.'!G121*'Critérios de Implantação'!$Q$85,0)+IFERROR('Resumo-Cult.Perma.'!F121*'Critérios de Implantação'!$Q$86,0)+IFERROR('Resumo-Cult.Perma.'!E121*'Critérios de Implantação'!$Q$87,0)</f>
        <v>12256702.203998411</v>
      </c>
      <c r="Q154" s="93">
        <f>IFERROR('Resumo-Cult.Perma.'!N121*'Critérios de Implantação'!Q$79,0)+IFERROR('Resumo-Cult.Perma.'!M121*'Critérios de Implantação'!Q$80,0)+IFERROR('Resumo-Cult.Perma.'!L121*'Critérios de Implantação'!$Q$81,0)+IFERROR('Resumo-Cult.Perma.'!K121*'Critérios de Implantação'!$Q$82,0)+IFERROR('Resumo-Cult.Perma.'!J121*'Critérios de Implantação'!$Q$83,0)+IFERROR('Resumo-Cult.Perma.'!I121*'Critérios de Implantação'!$Q$84,0)+IFERROR('Resumo-Cult.Perma.'!H121*'Critérios de Implantação'!$Q$85,0)+IFERROR('Resumo-Cult.Perma.'!G121*'Critérios de Implantação'!$Q$86,0)+IFERROR('Resumo-Cult.Perma.'!F121*'Critérios de Implantação'!$Q$87,0)</f>
        <v>12167141.737791203</v>
      </c>
      <c r="R154" s="93">
        <f>IFERROR('Resumo-Cult.Perma.'!O121*'Critérios de Implantação'!R$79,0)+IFERROR('Resumo-Cult.Perma.'!N121*'Critérios de Implantação'!R$80,0)+IFERROR('Resumo-Cult.Perma.'!M121*'Critérios de Implantação'!$Q$81,0)+IFERROR('Resumo-Cult.Perma.'!L121*'Critérios de Implantação'!$Q$82,0)+IFERROR('Resumo-Cult.Perma.'!K121*'Critérios de Implantação'!$Q$83,0)+IFERROR('Resumo-Cult.Perma.'!J121*'Critérios de Implantação'!$Q$84,0)+IFERROR('Resumo-Cult.Perma.'!I121*'Critérios de Implantação'!$Q$85,0)+IFERROR('Resumo-Cult.Perma.'!H121*'Critérios de Implantação'!$Q$86,0)+IFERROR('Resumo-Cult.Perma.'!G121*'Critérios de Implantação'!$Q$87,0)</f>
        <v>11840528.042698825</v>
      </c>
      <c r="S154" s="93">
        <f>IFERROR('Resumo-Cult.Perma.'!P121*'Critérios de Implantação'!S$79,0)+IFERROR('Resumo-Cult.Perma.'!O121*'Critérios de Implantação'!S$80,0)+IFERROR('Resumo-Cult.Perma.'!N121*'Critérios de Implantação'!$Q$81,0)+IFERROR('Resumo-Cult.Perma.'!M121*'Critérios de Implantação'!$Q$82,0)+IFERROR('Resumo-Cult.Perma.'!L121*'Critérios de Implantação'!$Q$83,0)+IFERROR('Resumo-Cult.Perma.'!K121*'Critérios de Implantação'!$Q$84,0)+IFERROR('Resumo-Cult.Perma.'!J121*'Critérios de Implantação'!$Q$85,0)+IFERROR('Resumo-Cult.Perma.'!I121*'Critérios de Implantação'!$Q$86,0)+IFERROR('Resumo-Cult.Perma.'!H121*'Critérios de Implantação'!$Q$87,0)</f>
        <v>11452328.864678849</v>
      </c>
      <c r="T154" s="93">
        <f>IFERROR('Resumo-Cult.Perma.'!Q121*'Critérios de Implantação'!T$79,0)+IFERROR('Resumo-Cult.Perma.'!P121*'Critérios de Implantação'!T$80,0)+IFERROR('Resumo-Cult.Perma.'!O121*'Critérios de Implantação'!$Q$81,0)+IFERROR('Resumo-Cult.Perma.'!N121*'Critérios de Implantação'!$Q$82,0)+IFERROR('Resumo-Cult.Perma.'!M121*'Critérios de Implantação'!$Q$83,0)+IFERROR('Resumo-Cult.Perma.'!L121*'Critérios de Implantação'!$Q$84,0)+IFERROR('Resumo-Cult.Perma.'!K121*'Critérios de Implantação'!$Q$85,0)+IFERROR('Resumo-Cult.Perma.'!J121*'Critérios de Implantação'!$Q$86,0)+IFERROR('Resumo-Cult.Perma.'!I121*'Critérios de Implantação'!$Q$87,0)</f>
        <v>11162696.855119627</v>
      </c>
      <c r="U154" s="93">
        <f>IFERROR('Resumo-Cult.Perma.'!R121*'Critérios de Implantação'!U$79,0)+IFERROR('Resumo-Cult.Perma.'!Q121*'Critérios de Implantação'!U$80,0)+IFERROR('Resumo-Cult.Perma.'!P121*'Critérios de Implantação'!$Q$81,0)+IFERROR('Resumo-Cult.Perma.'!O121*'Critérios de Implantação'!$Q$82,0)+IFERROR('Resumo-Cult.Perma.'!N121*'Critérios de Implantação'!$Q$83,0)+IFERROR('Resumo-Cult.Perma.'!M121*'Critérios de Implantação'!$Q$84,0)+IFERROR('Resumo-Cult.Perma.'!L121*'Critérios de Implantação'!$Q$85,0)+IFERROR('Resumo-Cult.Perma.'!K121*'Critérios de Implantação'!$Q$86,0)+IFERROR('Resumo-Cult.Perma.'!J121*'Critérios de Implantação'!$Q$87,0)</f>
        <v>10874608.175717339</v>
      </c>
      <c r="V154" s="93">
        <f>IFERROR('Resumo-Cult.Perma.'!S121*'Critérios de Implantação'!V$79,0)+IFERROR('Resumo-Cult.Perma.'!R121*'Critérios de Implantação'!V$80,0)+IFERROR('Resumo-Cult.Perma.'!Q121*'Critérios de Implantação'!$Q$81,0)+IFERROR('Resumo-Cult.Perma.'!P121*'Critérios de Implantação'!$Q$82,0)+IFERROR('Resumo-Cult.Perma.'!O121*'Critérios de Implantação'!$Q$83,0)+IFERROR('Resumo-Cult.Perma.'!N121*'Critérios de Implantação'!$Q$84,0)+IFERROR('Resumo-Cult.Perma.'!M121*'Critérios de Implantação'!$Q$85,0)+IFERROR('Resumo-Cult.Perma.'!L121*'Critérios de Implantação'!$Q$86,0)+IFERROR('Resumo-Cult.Perma.'!K121*'Critérios de Implantação'!$Q$87,0)</f>
        <v>10637058.876088012</v>
      </c>
      <c r="W154" s="93">
        <f>IFERROR('Resumo-Cult.Perma.'!T121*'Critérios de Implantação'!W$79,0)+IFERROR('Resumo-Cult.Perma.'!S121*'Critérios de Implantação'!W$80,0)+IFERROR('Resumo-Cult.Perma.'!R121*'Critérios de Implantação'!$Q$81,0)+IFERROR('Resumo-Cult.Perma.'!Q121*'Critérios de Implantação'!$Q$82,0)+IFERROR('Resumo-Cult.Perma.'!P121*'Critérios de Implantação'!$Q$83,0)+IFERROR('Resumo-Cult.Perma.'!O121*'Critérios de Implantação'!$Q$84,0)+IFERROR('Resumo-Cult.Perma.'!N121*'Critérios de Implantação'!$Q$85,0)+IFERROR('Resumo-Cult.Perma.'!M121*'Critérios de Implantação'!$Q$86,0)+IFERROR('Resumo-Cult.Perma.'!L121*'Critérios de Implantação'!$Q$87,0)</f>
        <v>10356385.329489728</v>
      </c>
      <c r="X154" s="93">
        <f>IFERROR('Resumo-Cult.Perma.'!U121*'Critérios de Implantação'!X$79,0)+IFERROR('Resumo-Cult.Perma.'!T121*'Critérios de Implantação'!X$80,0)+IFERROR('Resumo-Cult.Perma.'!S121*'Critérios de Implantação'!$Q$81,0)+IFERROR('Resumo-Cult.Perma.'!R121*'Critérios de Implantação'!$Q$82,0)+IFERROR('Resumo-Cult.Perma.'!Q121*'Critérios de Implantação'!$Q$83,0)+IFERROR('Resumo-Cult.Perma.'!P121*'Critérios de Implantação'!$Q$84,0)+IFERROR('Resumo-Cult.Perma.'!O121*'Critérios de Implantação'!$Q$85,0)+IFERROR('Resumo-Cult.Perma.'!N121*'Critérios de Implantação'!$Q$86,0)+IFERROR('Resumo-Cult.Perma.'!M121*'Critérios de Implantação'!$Q$87,0)</f>
        <v>9947625.8658047989</v>
      </c>
      <c r="Y154" s="93">
        <f>IFERROR('Resumo-Cult.Perma.'!V121*'Critérios de Implantação'!Y$79,0)+IFERROR('Resumo-Cult.Perma.'!U121*'Critérios de Implantação'!Y$80,0)+IFERROR('Resumo-Cult.Perma.'!T121*'Critérios de Implantação'!$Q$81,0)+IFERROR('Resumo-Cult.Perma.'!S121*'Critérios de Implantação'!$Q$82,0)+IFERROR('Resumo-Cult.Perma.'!R121*'Critérios de Implantação'!$Q$83,0)+IFERROR('Resumo-Cult.Perma.'!Q121*'Critérios de Implantação'!$Q$84,0)+IFERROR('Resumo-Cult.Perma.'!P121*'Critérios de Implantação'!$Q$85,0)+IFERROR('Resumo-Cult.Perma.'!O121*'Critérios de Implantação'!$Q$86,0)+IFERROR('Resumo-Cult.Perma.'!N121*'Critérios de Implantação'!$Q$87,0)</f>
        <v>9491547.9665072542</v>
      </c>
      <c r="Z154" s="93">
        <f>IFERROR('Resumo-Cult.Perma.'!W121*'Critérios de Implantação'!Z$79,0)+IFERROR('Resumo-Cult.Perma.'!V121*'Critérios de Implantação'!Z$80,0)+IFERROR('Resumo-Cult.Perma.'!U121*'Critérios de Implantação'!$Q$81,0)+IFERROR('Resumo-Cult.Perma.'!T121*'Critérios de Implantação'!$Q$82,0)+IFERROR('Resumo-Cult.Perma.'!S121*'Critérios de Implantação'!$Q$83,0)+IFERROR('Resumo-Cult.Perma.'!R121*'Critérios de Implantação'!$Q$84,0)+IFERROR('Resumo-Cult.Perma.'!Q121*'Critérios de Implantação'!$Q$85,0)+IFERROR('Resumo-Cult.Perma.'!P121*'Critérios de Implantação'!$Q$86,0)+IFERROR('Resumo-Cult.Perma.'!O121*'Critérios de Implantação'!$Q$87,0)</f>
        <v>9264354.2536663935</v>
      </c>
      <c r="AA154" s="93">
        <f>IFERROR('Resumo-Cult.Perma.'!X121*'Critérios de Implantação'!AA$79,0)+IFERROR('Resumo-Cult.Perma.'!W121*'Critérios de Implantação'!AA$80,0)+IFERROR('Resumo-Cult.Perma.'!V121*'Critérios de Implantação'!$Q$81,0)+IFERROR('Resumo-Cult.Perma.'!U121*'Critérios de Implantação'!$Q$82,0)+IFERROR('Resumo-Cult.Perma.'!T121*'Critérios de Implantação'!$Q$83,0)+IFERROR('Resumo-Cult.Perma.'!S121*'Critérios de Implantação'!$Q$84,0)+IFERROR('Resumo-Cult.Perma.'!R121*'Critérios de Implantação'!$Q$85,0)+IFERROR('Resumo-Cult.Perma.'!Q121*'Critérios de Implantação'!$Q$86,0)+IFERROR('Resumo-Cult.Perma.'!P121*'Critérios de Implantação'!$Q$87,0)</f>
        <v>8947375.9889787473</v>
      </c>
      <c r="AB154" s="93">
        <f>IFERROR('Resumo-Cult.Perma.'!Y121*'Critérios de Implantação'!AB$79,0)+IFERROR('Resumo-Cult.Perma.'!X121*'Critérios de Implantação'!AB$80,0)+IFERROR('Resumo-Cult.Perma.'!W121*'Critérios de Implantação'!$Q$81,0)+IFERROR('Resumo-Cult.Perma.'!V121*'Critérios de Implantação'!$Q$82,0)+IFERROR('Resumo-Cult.Perma.'!U121*'Critérios de Implantação'!$Q$83,0)+IFERROR('Resumo-Cult.Perma.'!T121*'Critérios de Implantação'!$Q$84,0)+IFERROR('Resumo-Cult.Perma.'!S121*'Critérios de Implantação'!$Q$85,0)+IFERROR('Resumo-Cult.Perma.'!R121*'Critérios de Implantação'!$Q$86,0)+IFERROR('Resumo-Cult.Perma.'!Q121*'Critérios de Implantação'!$Q$87,0)</f>
        <v>8945572.1388822403</v>
      </c>
      <c r="AC154" s="93">
        <f>IFERROR('Resumo-Cult.Perma.'!Z121*'Critérios de Implantação'!AC$79,0)+IFERROR('Resumo-Cult.Perma.'!Y121*'Critérios de Implantação'!AC$80,0)+IFERROR('Resumo-Cult.Perma.'!X121*'Critérios de Implantação'!$Q$81,0)+IFERROR('Resumo-Cult.Perma.'!W121*'Critérios de Implantação'!$Q$82,0)+IFERROR('Resumo-Cult.Perma.'!V121*'Critérios de Implantação'!$Q$83,0)+IFERROR('Resumo-Cult.Perma.'!U121*'Critérios de Implantação'!$Q$84,0)+IFERROR('Resumo-Cult.Perma.'!T121*'Critérios de Implantação'!$Q$85,0)+IFERROR('Resumo-Cult.Perma.'!S121*'Critérios de Implantação'!$Q$86,0)+IFERROR('Resumo-Cult.Perma.'!R121*'Critérios de Implantação'!$Q$87,0)</f>
        <v>9304284.4416053388</v>
      </c>
      <c r="AD154" s="93">
        <f>IFERROR('Resumo-Cult.Perma.'!AA121*'Critérios de Implantação'!AD$79,0)+IFERROR('Resumo-Cult.Perma.'!Z121*'Critérios de Implantação'!AD$80,0)+IFERROR('Resumo-Cult.Perma.'!Y121*'Critérios de Implantação'!$Q$81,0)+IFERROR('Resumo-Cult.Perma.'!X121*'Critérios de Implantação'!$Q$82,0)+IFERROR('Resumo-Cult.Perma.'!W121*'Critérios de Implantação'!$Q$83,0)+IFERROR('Resumo-Cult.Perma.'!V121*'Critérios de Implantação'!$Q$84,0)+IFERROR('Resumo-Cult.Perma.'!U121*'Critérios de Implantação'!$Q$85,0)+IFERROR('Resumo-Cult.Perma.'!T121*'Critérios de Implantação'!$Q$86,0)+IFERROR('Resumo-Cult.Perma.'!S121*'Critérios de Implantação'!$Q$87,0)</f>
        <v>9743341.6575737204</v>
      </c>
      <c r="AE154" s="93">
        <f>IFERROR('Resumo-Cult.Perma.'!AB121*'Critérios de Implantação'!AE$79,0)+IFERROR('Resumo-Cult.Perma.'!AA121*'Critérios de Implantação'!AE$80,0)+IFERROR('Resumo-Cult.Perma.'!Z121*'Critérios de Implantação'!$Q$81,0)+IFERROR('Resumo-Cult.Perma.'!Y121*'Critérios de Implantação'!$Q$82,0)+IFERROR('Resumo-Cult.Perma.'!X121*'Critérios de Implantação'!$Q$83,0)+IFERROR('Resumo-Cult.Perma.'!W121*'Critérios de Implantação'!$Q$84,0)+IFERROR('Resumo-Cult.Perma.'!V121*'Critérios de Implantação'!$Q$85,0)+IFERROR('Resumo-Cult.Perma.'!U121*'Critérios de Implantação'!$Q$86,0)+IFERROR('Resumo-Cult.Perma.'!T121*'Critérios de Implantação'!$Q$87,0)</f>
        <v>10636308.615082636</v>
      </c>
      <c r="AF154" s="93">
        <f>IFERROR('Resumo-Cult.Perma.'!AC121*'Critérios de Implantação'!AF$79,0)+IFERROR('Resumo-Cult.Perma.'!AB121*'Critérios de Implantação'!AF$80,0)+IFERROR('Resumo-Cult.Perma.'!AA121*'Critérios de Implantação'!$Q$81,0)+IFERROR('Resumo-Cult.Perma.'!Z121*'Critérios de Implantação'!$Q$82,0)+IFERROR('Resumo-Cult.Perma.'!Y121*'Critérios de Implantação'!$Q$83,0)+IFERROR('Resumo-Cult.Perma.'!X121*'Critérios de Implantação'!$Q$84,0)+IFERROR('Resumo-Cult.Perma.'!W121*'Critérios de Implantação'!$Q$85,0)+IFERROR('Resumo-Cult.Perma.'!V121*'Critérios de Implantação'!$Q$86,0)+IFERROR('Resumo-Cult.Perma.'!U121*'Critérios de Implantação'!$Q$87,0)</f>
        <v>11416334.896167971</v>
      </c>
      <c r="AG154" s="93">
        <f>IFERROR('Resumo-Cult.Perma.'!AD121*'Critérios de Implantação'!AG$79,0)+IFERROR('Resumo-Cult.Perma.'!AC121*'Critérios de Implantação'!AG$80,0)+IFERROR('Resumo-Cult.Perma.'!AB121*'Critérios de Implantação'!$Q$81,0)+IFERROR('Resumo-Cult.Perma.'!AA121*'Critérios de Implantação'!$Q$82,0)+IFERROR('Resumo-Cult.Perma.'!Z121*'Critérios de Implantação'!$Q$83,0)+IFERROR('Resumo-Cult.Perma.'!Y121*'Critérios de Implantação'!$Q$84,0)+IFERROR('Resumo-Cult.Perma.'!X121*'Critérios de Implantação'!$Q$85,0)+IFERROR('Resumo-Cult.Perma.'!W121*'Critérios de Implantação'!$Q$86,0)+IFERROR('Resumo-Cult.Perma.'!V121*'Critérios de Implantação'!$Q$87,0)</f>
        <v>11984233.670148905</v>
      </c>
      <c r="AH154" s="93">
        <f>IFERROR('Resumo-Cult.Perma.'!AE121*'Critérios de Implantação'!AH$79,0)+IFERROR('Resumo-Cult.Perma.'!AD121*'Critérios de Implantação'!AH$80,0)+IFERROR('Resumo-Cult.Perma.'!AC121*'Critérios de Implantação'!$Q$81,0)+IFERROR('Resumo-Cult.Perma.'!AB121*'Critérios de Implantação'!$Q$82,0)+IFERROR('Resumo-Cult.Perma.'!AA121*'Critérios de Implantação'!$Q$83,0)+IFERROR('Resumo-Cult.Perma.'!Z121*'Critérios de Implantação'!$Q$84,0)+IFERROR('Resumo-Cult.Perma.'!Y121*'Critérios de Implantação'!$Q$85,0)+IFERROR('Resumo-Cult.Perma.'!X121*'Critérios de Implantação'!$Q$86,0)+IFERROR('Resumo-Cult.Perma.'!W121*'Critérios de Implantação'!$Q$87,0)</f>
        <v>12256702.203998411</v>
      </c>
      <c r="AI154" s="93">
        <f>IFERROR('Resumo-Cult.Perma.'!AF121*'Critérios de Implantação'!AI$79,0)+IFERROR('Resumo-Cult.Perma.'!AE121*'Critérios de Implantação'!AI$80,0)+IFERROR('Resumo-Cult.Perma.'!AD121*'Critérios de Implantação'!$Q$81,0)+IFERROR('Resumo-Cult.Perma.'!AC121*'Critérios de Implantação'!$Q$82,0)+IFERROR('Resumo-Cult.Perma.'!AB121*'Critérios de Implantação'!$Q$83,0)+IFERROR('Resumo-Cult.Perma.'!AA121*'Critérios de Implantação'!$Q$84,0)+IFERROR('Resumo-Cult.Perma.'!Z121*'Critérios de Implantação'!$Q$85,0)+IFERROR('Resumo-Cult.Perma.'!Y121*'Critérios de Implantação'!$Q$86,0)+IFERROR('Resumo-Cult.Perma.'!X121*'Critérios de Implantação'!$Q$87,0)</f>
        <v>12167141.737791203</v>
      </c>
      <c r="AJ154" s="93">
        <f>IFERROR('Resumo-Cult.Perma.'!AG121*'Critérios de Implantação'!AJ$79,0)+IFERROR('Resumo-Cult.Perma.'!AF121*'Critérios de Implantação'!AJ$80,0)+IFERROR('Resumo-Cult.Perma.'!AE121*'Critérios de Implantação'!$Q$81,0)+IFERROR('Resumo-Cult.Perma.'!AD121*'Critérios de Implantação'!$Q$82,0)+IFERROR('Resumo-Cult.Perma.'!AC121*'Critérios de Implantação'!$Q$83,0)+IFERROR('Resumo-Cult.Perma.'!AB121*'Critérios de Implantação'!$Q$84,0)+IFERROR('Resumo-Cult.Perma.'!AA121*'Critérios de Implantação'!$Q$85,0)+IFERROR('Resumo-Cult.Perma.'!Z121*'Critérios de Implantação'!$Q$86,0)+IFERROR('Resumo-Cult.Perma.'!Y121*'Critérios de Implantação'!$Q$87,0)</f>
        <v>11840528.042698825</v>
      </c>
      <c r="AK154" s="81">
        <f>IFERROR('Resumo-Cult.Perma.'!AH121*'Critérios de Implantação'!AK$79,0)+IFERROR('Resumo-Cult.Perma.'!AG121*'Critérios de Implantação'!AK$80,0)+IFERROR('Resumo-Cult.Perma.'!AF121*'Critérios de Implantação'!$Q$81,0)+IFERROR('Resumo-Cult.Perma.'!AE121*'Critérios de Implantação'!$Q$82,0)+IFERROR('Resumo-Cult.Perma.'!AD121*'Critérios de Implantação'!$Q$83,0)+IFERROR('Resumo-Cult.Perma.'!AC121*'Critérios de Implantação'!$Q$84,0)+IFERROR('Resumo-Cult.Perma.'!AB121*'Critérios de Implantação'!$Q$85,0)+IFERROR('Resumo-Cult.Perma.'!AA121*'Critérios de Implantação'!$Q$86,0)+IFERROR('Resumo-Cult.Perma.'!Z121*'Critérios de Implantação'!$Q$87,0)</f>
        <v>11452328.864678849</v>
      </c>
    </row>
    <row r="155" spans="1:37" ht="20.149999999999999" customHeight="1" outlineLevel="1" x14ac:dyDescent="0.25">
      <c r="A155" s="48" t="s">
        <v>139</v>
      </c>
      <c r="B155" s="82" t="s">
        <v>143</v>
      </c>
      <c r="C155" s="80"/>
      <c r="D155" s="93">
        <f>IFERROR('Resumo-Cult.Perma.'!A122*'Critérios de Implantação'!D$79,0)+IFERROR('Resumo-Cult.Perma.'!#REF!*'Critérios de Implantação'!D$80,0)+IFERROR('Resumo-Cult.Perma.'!#REF!*'Critérios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E155" s="93">
        <f>IFERROR('Resumo-Cult.Perma.'!B122*'Critérios de Implantação'!E$79,0)+IFERROR('Resumo-Cult.Perma.'!A122*'Critérios de Implantação'!E$80,0)+IFERROR('Resumo-Cult.Perma.'!#REF!*'Critérios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F155" s="93">
        <f>IFERROR('Resumo-Cult.Perma.'!C122*'Critérios de Implantação'!F$79,0)+IFERROR('Resumo-Cult.Perma.'!B122*'Critérios de Implantação'!F$80,0)+IFERROR('Resumo-Cult.Perma.'!A122*'Critérios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G155" s="93">
        <f>IFERROR('Resumo-Cult.Perma.'!D122*'Critérios de Implantação'!G$79,0)+IFERROR('Resumo-Cult.Perma.'!C122*'Critérios de Implantação'!G$80,0)+IFERROR('Resumo-Cult.Perma.'!B122*'Critérios de Implantação'!$Q$81,0)+IFERROR('Resumo-Cult.Perma.'!A122*'Critérios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427953.13538254943</v>
      </c>
      <c r="H155" s="93">
        <f>IFERROR('Resumo-Cult.Perma.'!E122*'Critérios de Implantação'!H$79,0)+IFERROR('Resumo-Cult.Perma.'!D122*'Critérios de Implantação'!H$80,0)+IFERROR('Resumo-Cult.Perma.'!C122*'Critérios de Implantação'!$Q$81,0)+IFERROR('Resumo-Cult.Perma.'!B122*'Critérios de Implantação'!$Q$82,0)+IFERROR('Resumo-Cult.Perma.'!A122*'Critérios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1003172.4967643879</v>
      </c>
      <c r="I155" s="93">
        <f>IFERROR('Resumo-Cult.Perma.'!F122*'Critérios de Implantação'!I$79,0)+IFERROR('Resumo-Cult.Perma.'!E122*'Critérios de Implantação'!I$80,0)+IFERROR('Resumo-Cult.Perma.'!D122*'Critérios de Implantação'!$Q$81,0)+IFERROR('Resumo-Cult.Perma.'!C122*'Critérios de Implantação'!$Q$82,0)+IFERROR('Resumo-Cult.Perma.'!B122*'Critérios de Implantação'!$Q$83,0)+IFERROR('Resumo-Cult.Perma.'!A122*'Critérios de Implantação'!$Q$84,0)+IFERROR('Resumo-Cult.Perma.'!#REF!*'Critérios de Implantação'!$Q$85,0)+IFERROR('Resumo-Cult.Perma.'!#REF!*'Critérios de Implantação'!$Q$86,0)+IFERROR('Resumo-Cult.Perma.'!#REF!*'Critérios de Implantação'!$Q$87,0)</f>
        <v>1703622.5770931479</v>
      </c>
      <c r="J155" s="93">
        <f>IFERROR('Resumo-Cult.Perma.'!G122*'Critérios de Implantação'!J$79,0)+IFERROR('Resumo-Cult.Perma.'!F122*'Critérios de Implantação'!J$80,0)+IFERROR('Resumo-Cult.Perma.'!E122*'Critérios de Implantação'!$Q$81,0)+IFERROR('Resumo-Cult.Perma.'!D122*'Critérios de Implantação'!$Q$82,0)+IFERROR('Resumo-Cult.Perma.'!C122*'Critérios de Implantação'!$Q$83,0)+IFERROR('Resumo-Cult.Perma.'!B122*'Critérios de Implantação'!$Q$84,0)+IFERROR('Resumo-Cult.Perma.'!A122*'Critérios de Implantação'!$Q$85,0)+IFERROR('Resumo-Cult.Perma.'!#REF!*'Critérios de Implantação'!$Q$86,0)+IFERROR('Resumo-Cult.Perma.'!#REF!*'Critérios de Implantação'!$Q$87,0)</f>
        <v>2964235.5151432138</v>
      </c>
      <c r="K155" s="93">
        <f>IFERROR('Resumo-Cult.Perma.'!H122*'Critérios de Implantação'!K$79,0)+IFERROR('Resumo-Cult.Perma.'!G122*'Critérios de Implantação'!K$80,0)+IFERROR('Resumo-Cult.Perma.'!F122*'Critérios de Implantação'!$Q$81,0)+IFERROR('Resumo-Cult.Perma.'!E122*'Critérios de Implantação'!$Q$82,0)+IFERROR('Resumo-Cult.Perma.'!D122*'Critérios de Implantação'!$Q$83,0)+IFERROR('Resumo-Cult.Perma.'!C122*'Critérios de Implantação'!$Q$84,0)+IFERROR('Resumo-Cult.Perma.'!B122*'Critérios de Implantação'!$Q$85,0)+IFERROR('Resumo-Cult.Perma.'!A122*'Critérios de Implantação'!$Q$86,0)+IFERROR('Resumo-Cult.Perma.'!#REF!*'Critérios de Implantação'!$Q$87,0)</f>
        <v>4329863.0258787777</v>
      </c>
      <c r="L155" s="93">
        <f>IFERROR('Resumo-Cult.Perma.'!I122*'Critérios de Implantação'!L$79,0)+IFERROR('Resumo-Cult.Perma.'!H122*'Critérios de Implantação'!L$80,0)+IFERROR('Resumo-Cult.Perma.'!G122*'Critérios de Implantação'!$Q$81,0)+IFERROR('Resumo-Cult.Perma.'!F122*'Critérios de Implantação'!$Q$82,0)+IFERROR('Resumo-Cult.Perma.'!E122*'Critérios de Implantação'!$Q$83,0)+IFERROR('Resumo-Cult.Perma.'!D122*'Critérios de Implantação'!$Q$84,0)+IFERROR('Resumo-Cult.Perma.'!C122*'Critérios de Implantação'!$Q$85,0)+IFERROR('Resumo-Cult.Perma.'!B122*'Critérios de Implantação'!$Q$86,0)+IFERROR('Resumo-Cult.Perma.'!A122*'Critérios de Implantação'!$Q$87,0)</f>
        <v>5761664.1465080148</v>
      </c>
      <c r="M155" s="93">
        <f>IFERROR('Resumo-Cult.Perma.'!J122*'Critérios de Implantação'!M$79,0)+IFERROR('Resumo-Cult.Perma.'!I122*'Critérios de Implantação'!M$80,0)+IFERROR('Resumo-Cult.Perma.'!H122*'Critérios de Implantação'!$Q$81,0)+IFERROR('Resumo-Cult.Perma.'!G122*'Critérios de Implantação'!$Q$82,0)+IFERROR('Resumo-Cult.Perma.'!F122*'Critérios de Implantação'!$Q$83,0)+IFERROR('Resumo-Cult.Perma.'!E122*'Critérios de Implantação'!$Q$84,0)+IFERROR('Resumo-Cult.Perma.'!D122*'Critérios de Implantação'!$Q$85,0)+IFERROR('Resumo-Cult.Perma.'!C122*'Critérios de Implantação'!$Q$86,0)+IFERROR('Resumo-Cult.Perma.'!B122*'Critérios de Implantação'!$Q$87,0)</f>
        <v>7069562.4814485852</v>
      </c>
      <c r="N155" s="93">
        <f>IFERROR('Resumo-Cult.Perma.'!K122*'Critérios de Implantação'!N$79,0)+IFERROR('Resumo-Cult.Perma.'!J122*'Critérios de Implantação'!N$80,0)+IFERROR('Resumo-Cult.Perma.'!I122*'Critérios de Implantação'!$Q$81,0)+IFERROR('Resumo-Cult.Perma.'!H122*'Critérios de Implantação'!$Q$82,0)+IFERROR('Resumo-Cult.Perma.'!G122*'Critérios de Implantação'!$Q$83,0)+IFERROR('Resumo-Cult.Perma.'!F122*'Critérios de Implantação'!$Q$84,0)+IFERROR('Resumo-Cult.Perma.'!E122*'Critérios de Implantação'!$Q$85,0)+IFERROR('Resumo-Cult.Perma.'!D122*'Critérios de Implantação'!$Q$86,0)+IFERROR('Resumo-Cult.Perma.'!C122*'Critérios de Implantação'!$Q$87,0)</f>
        <v>8084524.672948759</v>
      </c>
      <c r="O155" s="93">
        <f>IFERROR('Resumo-Cult.Perma.'!L122*'Critérios de Implantação'!O$79,0)+IFERROR('Resumo-Cult.Perma.'!K122*'Critérios de Implantação'!O$80,0)+IFERROR('Resumo-Cult.Perma.'!J122*'Critérios de Implantação'!$Q$81,0)+IFERROR('Resumo-Cult.Perma.'!I122*'Critérios de Implantação'!$Q$82,0)+IFERROR('Resumo-Cult.Perma.'!H122*'Critérios de Implantação'!$Q$83,0)+IFERROR('Resumo-Cult.Perma.'!G122*'Critérios de Implantação'!$Q$84,0)+IFERROR('Resumo-Cult.Perma.'!F122*'Critérios de Implantação'!$Q$85,0)+IFERROR('Resumo-Cult.Perma.'!E122*'Critérios de Implantação'!$Q$86,0)+IFERROR('Resumo-Cult.Perma.'!D122*'Critérios de Implantação'!$Q$87,0)</f>
        <v>8733624.3684004266</v>
      </c>
      <c r="P155" s="93">
        <f>IFERROR('Resumo-Cult.Perma.'!M122*'Critérios de Implantação'!P$79,0)+IFERROR('Resumo-Cult.Perma.'!L122*'Critérios de Implantação'!P$80,0)+IFERROR('Resumo-Cult.Perma.'!K122*'Critérios de Implantação'!$Q$81,0)+IFERROR('Resumo-Cult.Perma.'!J122*'Critérios de Implantação'!$Q$82,0)+IFERROR('Resumo-Cult.Perma.'!I122*'Critérios de Implantação'!$Q$83,0)+IFERROR('Resumo-Cult.Perma.'!H122*'Critérios de Implantação'!$Q$84,0)+IFERROR('Resumo-Cult.Perma.'!G122*'Critérios de Implantação'!$Q$85,0)+IFERROR('Resumo-Cult.Perma.'!F122*'Critérios de Implantação'!$Q$86,0)+IFERROR('Resumo-Cult.Perma.'!E122*'Critérios de Implantação'!$Q$87,0)</f>
        <v>8966649.2876182962</v>
      </c>
      <c r="Q155" s="93">
        <f>IFERROR('Resumo-Cult.Perma.'!N122*'Critérios de Implantação'!Q$79,0)+IFERROR('Resumo-Cult.Perma.'!M122*'Critérios de Implantação'!Q$80,0)+IFERROR('Resumo-Cult.Perma.'!L122*'Critérios de Implantação'!$Q$81,0)+IFERROR('Resumo-Cult.Perma.'!K122*'Critérios de Implantação'!$Q$82,0)+IFERROR('Resumo-Cult.Perma.'!J122*'Critérios de Implantação'!$Q$83,0)+IFERROR('Resumo-Cult.Perma.'!I122*'Critérios de Implantação'!$Q$84,0)+IFERROR('Resumo-Cult.Perma.'!H122*'Critérios de Implantação'!$Q$85,0)+IFERROR('Resumo-Cult.Perma.'!G122*'Critérios de Implantação'!$Q$86,0)+IFERROR('Resumo-Cult.Perma.'!F122*'Critérios de Implantação'!$Q$87,0)</f>
        <v>9054744.8690522779</v>
      </c>
      <c r="R155" s="93">
        <f>IFERROR('Resumo-Cult.Perma.'!O122*'Critérios de Implantação'!R$79,0)+IFERROR('Resumo-Cult.Perma.'!N122*'Critérios de Implantação'!R$80,0)+IFERROR('Resumo-Cult.Perma.'!M122*'Critérios de Implantação'!$Q$81,0)+IFERROR('Resumo-Cult.Perma.'!L122*'Critérios de Implantação'!$Q$82,0)+IFERROR('Resumo-Cult.Perma.'!K122*'Critérios de Implantação'!$Q$83,0)+IFERROR('Resumo-Cult.Perma.'!J122*'Critérios de Implantação'!$Q$84,0)+IFERROR('Resumo-Cult.Perma.'!I122*'Critérios de Implantação'!$Q$85,0)+IFERROR('Resumo-Cult.Perma.'!H122*'Critérios de Implantação'!$Q$86,0)+IFERROR('Resumo-Cult.Perma.'!G122*'Critérios de Implantação'!$Q$87,0)</f>
        <v>9084231.0000000019</v>
      </c>
      <c r="S155" s="93">
        <f>IFERROR('Resumo-Cult.Perma.'!P122*'Critérios de Implantação'!S$79,0)+IFERROR('Resumo-Cult.Perma.'!O122*'Critérios de Implantação'!S$80,0)+IFERROR('Resumo-Cult.Perma.'!N122*'Critérios de Implantação'!$Q$81,0)+IFERROR('Resumo-Cult.Perma.'!M122*'Critérios de Implantação'!$Q$82,0)+IFERROR('Resumo-Cult.Perma.'!L122*'Critérios de Implantação'!$Q$83,0)+IFERROR('Resumo-Cult.Perma.'!K122*'Critérios de Implantação'!$Q$84,0)+IFERROR('Resumo-Cult.Perma.'!J122*'Critérios de Implantação'!$Q$85,0)+IFERROR('Resumo-Cult.Perma.'!I122*'Critérios de Implantação'!$Q$86,0)+IFERROR('Resumo-Cult.Perma.'!H122*'Critérios de Implantação'!$Q$87,0)</f>
        <v>9084231</v>
      </c>
      <c r="T155" s="93">
        <f>IFERROR('Resumo-Cult.Perma.'!Q122*'Critérios de Implantação'!T$79,0)+IFERROR('Resumo-Cult.Perma.'!P122*'Critérios de Implantação'!T$80,0)+IFERROR('Resumo-Cult.Perma.'!O122*'Critérios de Implantação'!$Q$81,0)+IFERROR('Resumo-Cult.Perma.'!N122*'Critérios de Implantação'!$Q$82,0)+IFERROR('Resumo-Cult.Perma.'!M122*'Critérios de Implantação'!$Q$83,0)+IFERROR('Resumo-Cult.Perma.'!L122*'Critérios de Implantação'!$Q$84,0)+IFERROR('Resumo-Cult.Perma.'!K122*'Critérios de Implantação'!$Q$85,0)+IFERROR('Resumo-Cult.Perma.'!J122*'Critérios de Implantação'!$Q$86,0)+IFERROR('Resumo-Cult.Perma.'!I122*'Critérios de Implantação'!$Q$87,0)</f>
        <v>9084231.0000000019</v>
      </c>
      <c r="U155" s="93">
        <f>IFERROR('Resumo-Cult.Perma.'!R122*'Critérios de Implantação'!U$79,0)+IFERROR('Resumo-Cult.Perma.'!Q122*'Critérios de Implantação'!U$80,0)+IFERROR('Resumo-Cult.Perma.'!P122*'Critérios de Implantação'!$Q$81,0)+IFERROR('Resumo-Cult.Perma.'!O122*'Critérios de Implantação'!$Q$82,0)+IFERROR('Resumo-Cult.Perma.'!N122*'Critérios de Implantação'!$Q$83,0)+IFERROR('Resumo-Cult.Perma.'!M122*'Critérios de Implantação'!$Q$84,0)+IFERROR('Resumo-Cult.Perma.'!L122*'Critérios de Implantação'!$Q$85,0)+IFERROR('Resumo-Cult.Perma.'!K122*'Critérios de Implantação'!$Q$86,0)+IFERROR('Resumo-Cult.Perma.'!J122*'Critérios de Implantação'!$Q$87,0)</f>
        <v>9084231</v>
      </c>
      <c r="V155" s="93">
        <f>IFERROR('Resumo-Cult.Perma.'!S122*'Critérios de Implantação'!V$79,0)+IFERROR('Resumo-Cult.Perma.'!R122*'Critérios de Implantação'!V$80,0)+IFERROR('Resumo-Cult.Perma.'!Q122*'Critérios de Implantação'!$Q$81,0)+IFERROR('Resumo-Cult.Perma.'!P122*'Critérios de Implantação'!$Q$82,0)+IFERROR('Resumo-Cult.Perma.'!O122*'Critérios de Implantação'!$Q$83,0)+IFERROR('Resumo-Cult.Perma.'!N122*'Critérios de Implantação'!$Q$84,0)+IFERROR('Resumo-Cult.Perma.'!M122*'Critérios de Implantação'!$Q$85,0)+IFERROR('Resumo-Cult.Perma.'!L122*'Critérios de Implantação'!$Q$86,0)+IFERROR('Resumo-Cult.Perma.'!K122*'Critérios de Implantação'!$Q$87,0)</f>
        <v>9084231.0000000019</v>
      </c>
      <c r="W155" s="93">
        <f>IFERROR('Resumo-Cult.Perma.'!T122*'Critérios de Implantação'!W$79,0)+IFERROR('Resumo-Cult.Perma.'!S122*'Critérios de Implantação'!W$80,0)+IFERROR('Resumo-Cult.Perma.'!R122*'Critérios de Implantação'!$Q$81,0)+IFERROR('Resumo-Cult.Perma.'!Q122*'Critérios de Implantação'!$Q$82,0)+IFERROR('Resumo-Cult.Perma.'!P122*'Critérios de Implantação'!$Q$83,0)+IFERROR('Resumo-Cult.Perma.'!O122*'Critérios de Implantação'!$Q$84,0)+IFERROR('Resumo-Cult.Perma.'!N122*'Critérios de Implantação'!$Q$85,0)+IFERROR('Resumo-Cult.Perma.'!M122*'Critérios de Implantação'!$Q$86,0)+IFERROR('Resumo-Cult.Perma.'!L122*'Critérios de Implantação'!$Q$87,0)</f>
        <v>9084231</v>
      </c>
      <c r="X155" s="93">
        <f>IFERROR('Resumo-Cult.Perma.'!U122*'Critérios de Implantação'!X$79,0)+IFERROR('Resumo-Cult.Perma.'!T122*'Critérios de Implantação'!X$80,0)+IFERROR('Resumo-Cult.Perma.'!S122*'Critérios de Implantação'!$Q$81,0)+IFERROR('Resumo-Cult.Perma.'!R122*'Critérios de Implantação'!$Q$82,0)+IFERROR('Resumo-Cult.Perma.'!Q122*'Critérios de Implantação'!$Q$83,0)+IFERROR('Resumo-Cult.Perma.'!P122*'Critérios de Implantação'!$Q$84,0)+IFERROR('Resumo-Cult.Perma.'!O122*'Critérios de Implantação'!$Q$85,0)+IFERROR('Resumo-Cult.Perma.'!N122*'Critérios de Implantação'!$Q$86,0)+IFERROR('Resumo-Cult.Perma.'!M122*'Critérios de Implantação'!$Q$87,0)</f>
        <v>9583022.9661452863</v>
      </c>
      <c r="Y155" s="93">
        <f>IFERROR('Resumo-Cult.Perma.'!V122*'Critérios de Implantação'!Y$79,0)+IFERROR('Resumo-Cult.Perma.'!U122*'Critérios de Implantação'!Y$80,0)+IFERROR('Resumo-Cult.Perma.'!T122*'Critérios de Implantação'!$Q$81,0)+IFERROR('Resumo-Cult.Perma.'!S122*'Critérios de Implantação'!$Q$82,0)+IFERROR('Resumo-Cult.Perma.'!R122*'Critérios de Implantação'!$Q$83,0)+IFERROR('Resumo-Cult.Perma.'!Q122*'Critérios de Implantação'!$Q$84,0)+IFERROR('Resumo-Cult.Perma.'!P122*'Critérios de Implantação'!$Q$85,0)+IFERROR('Resumo-Cult.Perma.'!O122*'Critérios de Implantação'!$Q$86,0)+IFERROR('Resumo-Cult.Perma.'!N122*'Critérios de Implantação'!$Q$87,0)</f>
        <v>9351424.7987617869</v>
      </c>
      <c r="Z155" s="93">
        <f>IFERROR('Resumo-Cult.Perma.'!W122*'Critérios de Implantação'!Z$79,0)+IFERROR('Resumo-Cult.Perma.'!V122*'Critérios de Implantação'!Z$80,0)+IFERROR('Resumo-Cult.Perma.'!U122*'Critérios de Implantação'!$Q$81,0)+IFERROR('Resumo-Cult.Perma.'!T122*'Critérios de Implantação'!$Q$82,0)+IFERROR('Resumo-Cult.Perma.'!S122*'Critérios de Implantação'!$Q$83,0)+IFERROR('Resumo-Cult.Perma.'!R122*'Critérios de Implantação'!$Q$84,0)+IFERROR('Resumo-Cult.Perma.'!Q122*'Critérios de Implantação'!$Q$85,0)+IFERROR('Resumo-Cult.Perma.'!P122*'Critérios de Implantação'!$Q$86,0)+IFERROR('Resumo-Cult.Perma.'!O122*'Critérios de Implantação'!$Q$87,0)</f>
        <v>9361281.4240742549</v>
      </c>
      <c r="AA155" s="93">
        <f>IFERROR('Resumo-Cult.Perma.'!X122*'Critérios de Implantação'!AA$79,0)+IFERROR('Resumo-Cult.Perma.'!W122*'Critérios de Implantação'!AA$80,0)+IFERROR('Resumo-Cult.Perma.'!V122*'Critérios de Implantação'!$Q$81,0)+IFERROR('Resumo-Cult.Perma.'!U122*'Critérios de Implantação'!$Q$82,0)+IFERROR('Resumo-Cult.Perma.'!T122*'Critérios de Implantação'!$Q$83,0)+IFERROR('Resumo-Cult.Perma.'!S122*'Critérios de Implantação'!$Q$84,0)+IFERROR('Resumo-Cult.Perma.'!R122*'Critérios de Implantação'!$Q$85,0)+IFERROR('Resumo-Cult.Perma.'!Q122*'Critérios de Implantação'!$Q$86,0)+IFERROR('Resumo-Cult.Perma.'!P122*'Critérios de Implantação'!$Q$87,0)</f>
        <v>9827473.3394895997</v>
      </c>
      <c r="AB155" s="93">
        <f>IFERROR('Resumo-Cult.Perma.'!Y122*'Critérios de Implantação'!AB$79,0)+IFERROR('Resumo-Cult.Perma.'!X122*'Critérios de Implantação'!AB$80,0)+IFERROR('Resumo-Cult.Perma.'!W122*'Critérios de Implantação'!$Q$81,0)+IFERROR('Resumo-Cult.Perma.'!V122*'Critérios de Implantação'!$Q$82,0)+IFERROR('Resumo-Cult.Perma.'!U122*'Critérios de Implantação'!$Q$83,0)+IFERROR('Resumo-Cult.Perma.'!T122*'Critérios de Implantação'!$Q$84,0)+IFERROR('Resumo-Cult.Perma.'!S122*'Critérios de Implantação'!$Q$85,0)+IFERROR('Resumo-Cult.Perma.'!R122*'Critérios de Implantação'!$Q$86,0)+IFERROR('Resumo-Cult.Perma.'!Q122*'Critérios de Implantação'!$Q$87,0)</f>
        <v>9478551.2463957891</v>
      </c>
      <c r="AC155" s="93">
        <f>IFERROR('Resumo-Cult.Perma.'!Z122*'Critérios de Implantação'!AC$79,0)+IFERROR('Resumo-Cult.Perma.'!Y122*'Critérios de Implantação'!AC$80,0)+IFERROR('Resumo-Cult.Perma.'!X122*'Critérios de Implantação'!$Q$81,0)+IFERROR('Resumo-Cult.Perma.'!W122*'Critérios de Implantação'!$Q$82,0)+IFERROR('Resumo-Cult.Perma.'!V122*'Critérios de Implantação'!$Q$83,0)+IFERROR('Resumo-Cult.Perma.'!U122*'Critérios de Implantação'!$Q$84,0)+IFERROR('Resumo-Cult.Perma.'!T122*'Critérios de Implantação'!$Q$85,0)+IFERROR('Resumo-Cult.Perma.'!S122*'Critérios de Implantação'!$Q$86,0)+IFERROR('Resumo-Cult.Perma.'!R122*'Critérios de Implantação'!$Q$87,0)</f>
        <v>9432599.5649991855</v>
      </c>
      <c r="AD155" s="93">
        <f>IFERROR('Resumo-Cult.Perma.'!AA122*'Critérios de Implantação'!AD$79,0)+IFERROR('Resumo-Cult.Perma.'!Z122*'Critérios de Implantação'!AD$80,0)+IFERROR('Resumo-Cult.Perma.'!Y122*'Critérios de Implantação'!$Q$81,0)+IFERROR('Resumo-Cult.Perma.'!X122*'Critérios de Implantação'!$Q$82,0)+IFERROR('Resumo-Cult.Perma.'!W122*'Critérios de Implantação'!$Q$83,0)+IFERROR('Resumo-Cult.Perma.'!V122*'Critérios de Implantação'!$Q$84,0)+IFERROR('Resumo-Cult.Perma.'!U122*'Critérios de Implantação'!$Q$85,0)+IFERROR('Resumo-Cult.Perma.'!T122*'Critérios de Implantação'!$Q$86,0)+IFERROR('Resumo-Cult.Perma.'!S122*'Critérios de Implantação'!$Q$87,0)</f>
        <v>9173120.8727257289</v>
      </c>
      <c r="AE155" s="93">
        <f>IFERROR('Resumo-Cult.Perma.'!AB122*'Critérios de Implantação'!AE$79,0)+IFERROR('Resumo-Cult.Perma.'!AA122*'Critérios de Implantação'!AE$80,0)+IFERROR('Resumo-Cult.Perma.'!Z122*'Critérios de Implantação'!$Q$81,0)+IFERROR('Resumo-Cult.Perma.'!Y122*'Critérios de Implantação'!$Q$82,0)+IFERROR('Resumo-Cult.Perma.'!X122*'Critérios de Implantação'!$Q$83,0)+IFERROR('Resumo-Cult.Perma.'!W122*'Critérios de Implantação'!$Q$84,0)+IFERROR('Resumo-Cult.Perma.'!V122*'Critérios de Implantação'!$Q$85,0)+IFERROR('Resumo-Cult.Perma.'!U122*'Critérios de Implantação'!$Q$86,0)+IFERROR('Resumo-Cult.Perma.'!T122*'Critérios de Implantação'!$Q$87,0)</f>
        <v>9005142.6192967203</v>
      </c>
      <c r="AF155" s="93">
        <f>IFERROR('Resumo-Cult.Perma.'!AC122*'Critérios de Implantação'!AF$79,0)+IFERROR('Resumo-Cult.Perma.'!AB122*'Critérios de Implantação'!AF$80,0)+IFERROR('Resumo-Cult.Perma.'!AA122*'Critérios de Implantação'!$Q$81,0)+IFERROR('Resumo-Cult.Perma.'!Z122*'Critérios de Implantação'!$Q$82,0)+IFERROR('Resumo-Cult.Perma.'!Y122*'Critérios de Implantação'!$Q$83,0)+IFERROR('Resumo-Cult.Perma.'!X122*'Critérios de Implantação'!$Q$84,0)+IFERROR('Resumo-Cult.Perma.'!W122*'Critérios de Implantação'!$Q$85,0)+IFERROR('Resumo-Cult.Perma.'!V122*'Critérios de Implantação'!$Q$86,0)+IFERROR('Resumo-Cult.Perma.'!U122*'Critérios de Implantação'!$Q$87,0)</f>
        <v>8842383.7630406506</v>
      </c>
      <c r="AG155" s="93">
        <f>IFERROR('Resumo-Cult.Perma.'!AD122*'Critérios de Implantação'!AG$79,0)+IFERROR('Resumo-Cult.Perma.'!AC122*'Critérios de Implantação'!AG$80,0)+IFERROR('Resumo-Cult.Perma.'!AB122*'Critérios de Implantação'!$Q$81,0)+IFERROR('Resumo-Cult.Perma.'!AA122*'Critérios de Implantação'!$Q$82,0)+IFERROR('Resumo-Cult.Perma.'!Z122*'Critérios de Implantação'!$Q$83,0)+IFERROR('Resumo-Cult.Perma.'!Y122*'Critérios de Implantação'!$Q$84,0)+IFERROR('Resumo-Cult.Perma.'!X122*'Critérios de Implantação'!$Q$85,0)+IFERROR('Resumo-Cult.Perma.'!W122*'Critérios de Implantação'!$Q$86,0)+IFERROR('Resumo-Cult.Perma.'!V122*'Critérios de Implantação'!$Q$87,0)</f>
        <v>8733624.3684004266</v>
      </c>
      <c r="AH155" s="93">
        <f>IFERROR('Resumo-Cult.Perma.'!AE122*'Critérios de Implantação'!AH$79,0)+IFERROR('Resumo-Cult.Perma.'!AD122*'Critérios de Implantação'!AH$80,0)+IFERROR('Resumo-Cult.Perma.'!AC122*'Critérios de Implantação'!$Q$81,0)+IFERROR('Resumo-Cult.Perma.'!AB122*'Critérios de Implantação'!$Q$82,0)+IFERROR('Resumo-Cult.Perma.'!AA122*'Critérios de Implantação'!$Q$83,0)+IFERROR('Resumo-Cult.Perma.'!Z122*'Critérios de Implantação'!$Q$84,0)+IFERROR('Resumo-Cult.Perma.'!Y122*'Critérios de Implantação'!$Q$85,0)+IFERROR('Resumo-Cult.Perma.'!X122*'Critérios de Implantação'!$Q$86,0)+IFERROR('Resumo-Cult.Perma.'!W122*'Critérios de Implantação'!$Q$87,0)</f>
        <v>8966649.2876182962</v>
      </c>
      <c r="AI155" s="93">
        <f>IFERROR('Resumo-Cult.Perma.'!AF122*'Critérios de Implantação'!AI$79,0)+IFERROR('Resumo-Cult.Perma.'!AE122*'Critérios de Implantação'!AI$80,0)+IFERROR('Resumo-Cult.Perma.'!AD122*'Critérios de Implantação'!$Q$81,0)+IFERROR('Resumo-Cult.Perma.'!AC122*'Critérios de Implantação'!$Q$82,0)+IFERROR('Resumo-Cult.Perma.'!AB122*'Critérios de Implantação'!$Q$83,0)+IFERROR('Resumo-Cult.Perma.'!AA122*'Critérios de Implantação'!$Q$84,0)+IFERROR('Resumo-Cult.Perma.'!Z122*'Critérios de Implantação'!$Q$85,0)+IFERROR('Resumo-Cult.Perma.'!Y122*'Critérios de Implantação'!$Q$86,0)+IFERROR('Resumo-Cult.Perma.'!X122*'Critérios de Implantação'!$Q$87,0)</f>
        <v>9054744.8690522779</v>
      </c>
      <c r="AJ155" s="93">
        <f>IFERROR('Resumo-Cult.Perma.'!AG122*'Critérios de Implantação'!AJ$79,0)+IFERROR('Resumo-Cult.Perma.'!AF122*'Critérios de Implantação'!AJ$80,0)+IFERROR('Resumo-Cult.Perma.'!AE122*'Critérios de Implantação'!$Q$81,0)+IFERROR('Resumo-Cult.Perma.'!AD122*'Critérios de Implantação'!$Q$82,0)+IFERROR('Resumo-Cult.Perma.'!AC122*'Critérios de Implantação'!$Q$83,0)+IFERROR('Resumo-Cult.Perma.'!AB122*'Critérios de Implantação'!$Q$84,0)+IFERROR('Resumo-Cult.Perma.'!AA122*'Critérios de Implantação'!$Q$85,0)+IFERROR('Resumo-Cult.Perma.'!Z122*'Critérios de Implantação'!$Q$86,0)+IFERROR('Resumo-Cult.Perma.'!Y122*'Critérios de Implantação'!$Q$87,0)</f>
        <v>9084231.0000000019</v>
      </c>
      <c r="AK155" s="81">
        <f>IFERROR('Resumo-Cult.Perma.'!AH122*'Critérios de Implantação'!AK$79,0)+IFERROR('Resumo-Cult.Perma.'!AG122*'Critérios de Implantação'!AK$80,0)+IFERROR('Resumo-Cult.Perma.'!AF122*'Critérios de Implantação'!$Q$81,0)+IFERROR('Resumo-Cult.Perma.'!AE122*'Critérios de Implantação'!$Q$82,0)+IFERROR('Resumo-Cult.Perma.'!AD122*'Critérios de Implantação'!$Q$83,0)+IFERROR('Resumo-Cult.Perma.'!AC122*'Critérios de Implantação'!$Q$84,0)+IFERROR('Resumo-Cult.Perma.'!AB122*'Critérios de Implantação'!$Q$85,0)+IFERROR('Resumo-Cult.Perma.'!AA122*'Critérios de Implantação'!$Q$86,0)+IFERROR('Resumo-Cult.Perma.'!Z122*'Critérios de Implantação'!$Q$87,0)</f>
        <v>9084231</v>
      </c>
    </row>
    <row r="156" spans="1:37" ht="20.149999999999999" customHeight="1" outlineLevel="1" x14ac:dyDescent="0.25">
      <c r="A156" s="48" t="s">
        <v>140</v>
      </c>
      <c r="B156" s="34" t="s">
        <v>141</v>
      </c>
      <c r="C156" s="80"/>
      <c r="D156" s="93">
        <f>IFERROR('Resumo-Cult.Perma.'!A123*'Critérios de Implantação'!D$79,0)+IFERROR('Resumo-Cult.Perma.'!#REF!*'Critérios de Implantação'!D$80,0)+IFERROR('Resumo-Cult.Perma.'!#REF!*'Critérios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E156" s="93">
        <f>IFERROR('Resumo-Cult.Perma.'!B123*'Critérios de Implantação'!E$79,0)+IFERROR('Resumo-Cult.Perma.'!A123*'Critérios de Implantação'!E$80,0)+IFERROR('Resumo-Cult.Perma.'!#REF!*'Critérios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F156" s="93">
        <f>IFERROR('Resumo-Cult.Perma.'!C123*'Critérios de Implantação'!F$79,0)+IFERROR('Resumo-Cult.Perma.'!B123*'Critérios de Implantação'!F$80,0)+IFERROR('Resumo-Cult.Perma.'!A123*'Critérios de Implantação'!$Q$81,0)+IFERROR('Resumo-Cult.Perma.'!#REF!*'Critérios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0</v>
      </c>
      <c r="G156" s="93">
        <f>IFERROR('Resumo-Cult.Perma.'!D123*'Critérios de Implantação'!G$79,0)+IFERROR('Resumo-Cult.Perma.'!C123*'Critérios de Implantação'!G$80,0)+IFERROR('Resumo-Cult.Perma.'!B123*'Critérios de Implantação'!$Q$81,0)+IFERROR('Resumo-Cult.Perma.'!A123*'Critérios de Implantação'!$Q$82,0)+IFERROR('Resumo-Cult.Perma.'!#REF!*'Critérios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456363.46598512051</v>
      </c>
      <c r="H156" s="93">
        <f>IFERROR('Resumo-Cult.Perma.'!E123*'Critérios de Implantação'!H$79,0)+IFERROR('Resumo-Cult.Perma.'!D123*'Critérios de Implantação'!H$80,0)+IFERROR('Resumo-Cult.Perma.'!C123*'Critérios de Implantação'!$Q$81,0)+IFERROR('Resumo-Cult.Perma.'!B123*'Critérios de Implantação'!$Q$82,0)+IFERROR('Resumo-Cult.Perma.'!A123*'Critérios de Implantação'!$Q$83,0)+IFERROR('Resumo-Cult.Perma.'!#REF!*'Critérios de Implantação'!$Q$84,0)+IFERROR('Resumo-Cult.Perma.'!#REF!*'Critérios de Implantação'!$Q$85,0)+IFERROR('Resumo-Cult.Perma.'!#REF!*'Critérios de Implantação'!$Q$86,0)+IFERROR('Resumo-Cult.Perma.'!#REF!*'Critérios de Implantação'!$Q$87,0)</f>
        <v>918834.93085555919</v>
      </c>
      <c r="I156" s="93">
        <f>IFERROR('Resumo-Cult.Perma.'!F123*'Critérios de Implantação'!I$79,0)+IFERROR('Resumo-Cult.Perma.'!E123*'Critérios de Implantação'!I$80,0)+IFERROR('Resumo-Cult.Perma.'!D123*'Critérios de Implantação'!$Q$81,0)+IFERROR('Resumo-Cult.Perma.'!C123*'Critérios de Implantação'!$Q$82,0)+IFERROR('Resumo-Cult.Perma.'!B123*'Critérios de Implantação'!$Q$83,0)+IFERROR('Resumo-Cult.Perma.'!A123*'Critérios de Implantação'!$Q$84,0)+IFERROR('Resumo-Cult.Perma.'!#REF!*'Critérios de Implantação'!$Q$85,0)+IFERROR('Resumo-Cult.Perma.'!#REF!*'Critérios de Implantação'!$Q$86,0)+IFERROR('Resumo-Cult.Perma.'!#REF!*'Critérios de Implantação'!$Q$87,0)</f>
        <v>1473241.1394506628</v>
      </c>
      <c r="J156" s="93">
        <f>IFERROR('Resumo-Cult.Perma.'!G123*'Critérios de Implantação'!J$79,0)+IFERROR('Resumo-Cult.Perma.'!F123*'Critérios de Implantação'!J$80,0)+IFERROR('Resumo-Cult.Perma.'!E123*'Critérios de Implantação'!$Q$81,0)+IFERROR('Resumo-Cult.Perma.'!D123*'Critérios de Implantação'!$Q$82,0)+IFERROR('Resumo-Cult.Perma.'!C123*'Critérios de Implantação'!$Q$83,0)+IFERROR('Resumo-Cult.Perma.'!B123*'Critérios de Implantação'!$Q$84,0)+IFERROR('Resumo-Cult.Perma.'!A123*'Critérios de Implantação'!$Q$85,0)+IFERROR('Resumo-Cult.Perma.'!#REF!*'Critérios de Implantação'!$Q$86,0)+IFERROR('Resumo-Cult.Perma.'!#REF!*'Critérios de Implantação'!$Q$87,0)</f>
        <v>2545667.5100937709</v>
      </c>
      <c r="K156" s="93">
        <f>IFERROR('Resumo-Cult.Perma.'!H123*'Critérios de Implantação'!K$79,0)+IFERROR('Resumo-Cult.Perma.'!G123*'Critérios de Implantação'!K$80,0)+IFERROR('Resumo-Cult.Perma.'!F123*'Critérios de Implantação'!$Q$81,0)+IFERROR('Resumo-Cult.Perma.'!E123*'Critérios de Implantação'!$Q$82,0)+IFERROR('Resumo-Cult.Perma.'!D123*'Critérios de Implantação'!$Q$83,0)+IFERROR('Resumo-Cult.Perma.'!C123*'Critérios de Implantação'!$Q$84,0)+IFERROR('Resumo-Cult.Perma.'!B123*'Critérios de Implantação'!$Q$85,0)+IFERROR('Resumo-Cult.Perma.'!A123*'Critérios de Implantação'!$Q$86,0)+IFERROR('Resumo-Cult.Perma.'!#REF!*'Critérios de Implantação'!$Q$87,0)</f>
        <v>3559509.3621074352</v>
      </c>
      <c r="L156" s="93">
        <f>IFERROR('Resumo-Cult.Perma.'!I123*'Critérios de Implantação'!L$79,0)+IFERROR('Resumo-Cult.Perma.'!H123*'Critérios de Implantação'!L$80,0)+IFERROR('Resumo-Cult.Perma.'!G123*'Critérios de Implantação'!$Q$81,0)+IFERROR('Resumo-Cult.Perma.'!F123*'Critérios de Implantação'!$Q$82,0)+IFERROR('Resumo-Cult.Perma.'!E123*'Critérios de Implantação'!$Q$83,0)+IFERROR('Resumo-Cult.Perma.'!D123*'Critérios de Implantação'!$Q$84,0)+IFERROR('Resumo-Cult.Perma.'!C123*'Critérios de Implantação'!$Q$85,0)+IFERROR('Resumo-Cult.Perma.'!B123*'Critérios de Implantação'!$Q$86,0)+IFERROR('Resumo-Cult.Perma.'!A123*'Critérios de Implantação'!$Q$87,0)</f>
        <v>4614641.1196376653</v>
      </c>
      <c r="M156" s="93">
        <f>IFERROR('Resumo-Cult.Perma.'!J123*'Critérios de Implantação'!M$79,0)+IFERROR('Resumo-Cult.Perma.'!I123*'Critérios de Implantação'!M$80,0)+IFERROR('Resumo-Cult.Perma.'!H123*'Critérios de Implantação'!$Q$81,0)+IFERROR('Resumo-Cult.Perma.'!G123*'Critérios de Implantação'!$Q$82,0)+IFERROR('Resumo-Cult.Perma.'!F123*'Critérios de Implantação'!$Q$83,0)+IFERROR('Resumo-Cult.Perma.'!E123*'Critérios de Implantação'!$Q$84,0)+IFERROR('Resumo-Cult.Perma.'!D123*'Critérios de Implantação'!$Q$85,0)+IFERROR('Resumo-Cult.Perma.'!C123*'Critérios de Implantação'!$Q$86,0)+IFERROR('Resumo-Cult.Perma.'!B123*'Critérios de Implantação'!$Q$87,0)</f>
        <v>5487426.9891497605</v>
      </c>
      <c r="N156" s="93">
        <f>IFERROR('Resumo-Cult.Perma.'!K123*'Critérios de Implantação'!N$79,0)+IFERROR('Resumo-Cult.Perma.'!J123*'Critérios de Implantação'!N$80,0)+IFERROR('Resumo-Cult.Perma.'!I123*'Critérios de Implantação'!$Q$81,0)+IFERROR('Resumo-Cult.Perma.'!H123*'Critérios de Implantação'!$Q$82,0)+IFERROR('Resumo-Cult.Perma.'!G123*'Critérios de Implantação'!$Q$83,0)+IFERROR('Resumo-Cult.Perma.'!F123*'Critérios de Implantação'!$Q$84,0)+IFERROR('Resumo-Cult.Perma.'!E123*'Critérios de Implantação'!$Q$85,0)+IFERROR('Resumo-Cult.Perma.'!D123*'Critérios de Implantação'!$Q$86,0)+IFERROR('Resumo-Cult.Perma.'!C123*'Critérios de Implantação'!$Q$87,0)</f>
        <v>6116827.7775833216</v>
      </c>
      <c r="O156" s="93">
        <f>IFERROR('Resumo-Cult.Perma.'!L123*'Critérios de Implantação'!O$79,0)+IFERROR('Resumo-Cult.Perma.'!K123*'Critérios de Implantação'!O$80,0)+IFERROR('Resumo-Cult.Perma.'!J123*'Critérios de Implantação'!$Q$81,0)+IFERROR('Resumo-Cult.Perma.'!I123*'Critérios de Implantação'!$Q$82,0)+IFERROR('Resumo-Cult.Perma.'!H123*'Critérios de Implantação'!$Q$83,0)+IFERROR('Resumo-Cult.Perma.'!G123*'Critérios de Implantação'!$Q$84,0)+IFERROR('Resumo-Cult.Perma.'!F123*'Critérios de Implantação'!$Q$85,0)+IFERROR('Resumo-Cult.Perma.'!E123*'Critérios de Implantação'!$Q$86,0)+IFERROR('Resumo-Cult.Perma.'!D123*'Critérios de Implantação'!$Q$87,0)</f>
        <v>6463724.7657604152</v>
      </c>
      <c r="P156" s="93">
        <f>IFERROR('Resumo-Cult.Perma.'!M123*'Critérios de Implantação'!P$79,0)+IFERROR('Resumo-Cult.Perma.'!L123*'Critérios de Implantação'!P$80,0)+IFERROR('Resumo-Cult.Perma.'!K123*'Critérios de Implantação'!$Q$81,0)+IFERROR('Resumo-Cult.Perma.'!J123*'Critérios de Implantação'!$Q$82,0)+IFERROR('Resumo-Cult.Perma.'!I123*'Critérios de Implantação'!$Q$83,0)+IFERROR('Resumo-Cult.Perma.'!H123*'Critérios de Implantação'!$Q$84,0)+IFERROR('Resumo-Cult.Perma.'!G123*'Critérios de Implantação'!$Q$85,0)+IFERROR('Resumo-Cult.Perma.'!F123*'Critérios de Implantação'!$Q$86,0)+IFERROR('Resumo-Cult.Perma.'!E123*'Critérios de Implantação'!$Q$87,0)</f>
        <v>6505440.255853951</v>
      </c>
      <c r="Q156" s="93">
        <f>IFERROR('Resumo-Cult.Perma.'!N123*'Critérios de Implantação'!Q$79,0)+IFERROR('Resumo-Cult.Perma.'!M123*'Critérios de Implantação'!Q$80,0)+IFERROR('Resumo-Cult.Perma.'!L123*'Critérios de Implantação'!$Q$81,0)+IFERROR('Resumo-Cult.Perma.'!K123*'Critérios de Implantação'!$Q$82,0)+IFERROR('Resumo-Cult.Perma.'!J123*'Critérios de Implantação'!$Q$83,0)+IFERROR('Resumo-Cult.Perma.'!I123*'Critérios de Implantação'!$Q$84,0)+IFERROR('Resumo-Cult.Perma.'!H123*'Critérios de Implantação'!$Q$85,0)+IFERROR('Resumo-Cult.Perma.'!G123*'Critérios de Implantação'!$Q$86,0)+IFERROR('Resumo-Cult.Perma.'!F123*'Critérios de Implantação'!$Q$87,0)</f>
        <v>6540705.1255344776</v>
      </c>
      <c r="R156" s="93">
        <f>IFERROR('Resumo-Cult.Perma.'!O123*'Critérios de Implantação'!R$79,0)+IFERROR('Resumo-Cult.Perma.'!N123*'Critérios de Implantação'!R$80,0)+IFERROR('Resumo-Cult.Perma.'!M123*'Critérios de Implantação'!$Q$81,0)+IFERROR('Resumo-Cult.Perma.'!L123*'Critérios de Implantação'!$Q$82,0)+IFERROR('Resumo-Cult.Perma.'!K123*'Critérios de Implantação'!$Q$83,0)+IFERROR('Resumo-Cult.Perma.'!J123*'Critérios de Implantação'!$Q$84,0)+IFERROR('Resumo-Cult.Perma.'!I123*'Critérios de Implantação'!$Q$85,0)+IFERROR('Resumo-Cult.Perma.'!H123*'Critérios de Implantação'!$Q$86,0)+IFERROR('Resumo-Cult.Perma.'!G123*'Critérios de Implantação'!$Q$87,0)</f>
        <v>6566969.9607193349</v>
      </c>
      <c r="S156" s="93">
        <f>IFERROR('Resumo-Cult.Perma.'!P123*'Critérios de Implantação'!S$79,0)+IFERROR('Resumo-Cult.Perma.'!O123*'Critérios de Implantação'!S$80,0)+IFERROR('Resumo-Cult.Perma.'!N123*'Critérios de Implantação'!$Q$81,0)+IFERROR('Resumo-Cult.Perma.'!M123*'Critérios de Implantação'!$Q$82,0)+IFERROR('Resumo-Cult.Perma.'!L123*'Critérios de Implantação'!$Q$83,0)+IFERROR('Resumo-Cult.Perma.'!K123*'Critérios de Implantação'!$Q$84,0)+IFERROR('Resumo-Cult.Perma.'!J123*'Critérios de Implantação'!$Q$85,0)+IFERROR('Resumo-Cult.Perma.'!I123*'Critérios de Implantação'!$Q$86,0)+IFERROR('Resumo-Cult.Perma.'!H123*'Critérios de Implantação'!$Q$87,0)</f>
        <v>6582770.6778407609</v>
      </c>
      <c r="T156" s="93">
        <f>IFERROR('Resumo-Cult.Perma.'!Q123*'Critérios de Implantação'!T$79,0)+IFERROR('Resumo-Cult.Perma.'!P123*'Critérios de Implantação'!T$80,0)+IFERROR('Resumo-Cult.Perma.'!O123*'Critérios de Implantação'!$Q$81,0)+IFERROR('Resumo-Cult.Perma.'!N123*'Critérios de Implantação'!$Q$82,0)+IFERROR('Resumo-Cult.Perma.'!M123*'Critérios de Implantação'!$Q$83,0)+IFERROR('Resumo-Cult.Perma.'!L123*'Critérios de Implantação'!$Q$84,0)+IFERROR('Resumo-Cult.Perma.'!K123*'Critérios de Implantação'!$Q$85,0)+IFERROR('Resumo-Cult.Perma.'!J123*'Critérios de Implantação'!$Q$86,0)+IFERROR('Resumo-Cult.Perma.'!I123*'Critérios de Implantação'!$Q$87,0)</f>
        <v>6590719.9421700612</v>
      </c>
      <c r="U156" s="93">
        <f>IFERROR('Resumo-Cult.Perma.'!R123*'Critérios de Implantação'!U$79,0)+IFERROR('Resumo-Cult.Perma.'!Q123*'Critérios de Implantação'!U$80,0)+IFERROR('Resumo-Cult.Perma.'!P123*'Critérios de Implantação'!$Q$81,0)+IFERROR('Resumo-Cult.Perma.'!O123*'Critérios de Implantação'!$Q$82,0)+IFERROR('Resumo-Cult.Perma.'!N123*'Critérios de Implantação'!$Q$83,0)+IFERROR('Resumo-Cult.Perma.'!M123*'Critérios de Implantação'!$Q$84,0)+IFERROR('Resumo-Cult.Perma.'!L123*'Critérios de Implantação'!$Q$85,0)+IFERROR('Resumo-Cult.Perma.'!K123*'Critérios de Implantação'!$Q$86,0)+IFERROR('Resumo-Cult.Perma.'!J123*'Critérios de Implantação'!$Q$87,0)</f>
        <v>6590719.9421700612</v>
      </c>
      <c r="V156" s="93">
        <f>IFERROR('Resumo-Cult.Perma.'!S123*'Critérios de Implantação'!V$79,0)+IFERROR('Resumo-Cult.Perma.'!R123*'Critérios de Implantação'!V$80,0)+IFERROR('Resumo-Cult.Perma.'!Q123*'Critérios de Implantação'!$Q$81,0)+IFERROR('Resumo-Cult.Perma.'!P123*'Critérios de Implantação'!$Q$82,0)+IFERROR('Resumo-Cult.Perma.'!O123*'Critérios de Implantação'!$Q$83,0)+IFERROR('Resumo-Cult.Perma.'!N123*'Critérios de Implantação'!$Q$84,0)+IFERROR('Resumo-Cult.Perma.'!M123*'Critérios de Implantação'!$Q$85,0)+IFERROR('Resumo-Cult.Perma.'!L123*'Critérios de Implantação'!$Q$86,0)+IFERROR('Resumo-Cult.Perma.'!K123*'Critérios de Implantação'!$Q$87,0)</f>
        <v>6590719.9421700612</v>
      </c>
      <c r="W156" s="93">
        <f>IFERROR('Resumo-Cult.Perma.'!T123*'Critérios de Implantação'!W$79,0)+IFERROR('Resumo-Cult.Perma.'!S123*'Critérios de Implantação'!W$80,0)+IFERROR('Resumo-Cult.Perma.'!R123*'Critérios de Implantação'!$Q$81,0)+IFERROR('Resumo-Cult.Perma.'!Q123*'Critérios de Implantação'!$Q$82,0)+IFERROR('Resumo-Cult.Perma.'!P123*'Critérios de Implantação'!$Q$83,0)+IFERROR('Resumo-Cult.Perma.'!O123*'Critérios de Implantação'!$Q$84,0)+IFERROR('Resumo-Cult.Perma.'!N123*'Critérios de Implantação'!$Q$85,0)+IFERROR('Resumo-Cult.Perma.'!M123*'Critérios de Implantação'!$Q$86,0)+IFERROR('Resumo-Cult.Perma.'!L123*'Critérios de Implantação'!$Q$87,0)</f>
        <v>6590719.9421700612</v>
      </c>
      <c r="X156" s="93">
        <f>IFERROR('Resumo-Cult.Perma.'!U123*'Critérios de Implantação'!X$79,0)+IFERROR('Resumo-Cult.Perma.'!T123*'Critérios de Implantação'!X$80,0)+IFERROR('Resumo-Cult.Perma.'!S123*'Critérios de Implantação'!$Q$81,0)+IFERROR('Resumo-Cult.Perma.'!R123*'Critérios de Implantação'!$Q$82,0)+IFERROR('Resumo-Cult.Perma.'!Q123*'Critérios de Implantação'!$Q$83,0)+IFERROR('Resumo-Cult.Perma.'!P123*'Critérios de Implantação'!$Q$84,0)+IFERROR('Resumo-Cult.Perma.'!O123*'Critérios de Implantação'!$Q$85,0)+IFERROR('Resumo-Cult.Perma.'!N123*'Critérios de Implantação'!$Q$86,0)+IFERROR('Resumo-Cult.Perma.'!M123*'Critérios de Implantação'!$Q$87,0)</f>
        <v>6554071.9488581512</v>
      </c>
      <c r="Y156" s="93">
        <f>IFERROR('Resumo-Cult.Perma.'!V123*'Critérios de Implantação'!Y$79,0)+IFERROR('Resumo-Cult.Perma.'!U123*'Critérios de Implantação'!Y$80,0)+IFERROR('Resumo-Cult.Perma.'!T123*'Critérios de Implantação'!$Q$81,0)+IFERROR('Resumo-Cult.Perma.'!S123*'Critérios de Implantação'!$Q$82,0)+IFERROR('Resumo-Cult.Perma.'!R123*'Critérios de Implantação'!$Q$83,0)+IFERROR('Resumo-Cult.Perma.'!Q123*'Critérios de Implantação'!$Q$84,0)+IFERROR('Resumo-Cult.Perma.'!P123*'Critérios de Implantação'!$Q$85,0)+IFERROR('Resumo-Cult.Perma.'!O123*'Critérios de Implantação'!$Q$86,0)+IFERROR('Resumo-Cult.Perma.'!N123*'Critérios de Implantação'!$Q$87,0)</f>
        <v>6529639.9533168785</v>
      </c>
      <c r="Z156" s="93">
        <f>IFERROR('Resumo-Cult.Perma.'!W123*'Critérios de Implantação'!Z$79,0)+IFERROR('Resumo-Cult.Perma.'!V123*'Critérios de Implantação'!Z$80,0)+IFERROR('Resumo-Cult.Perma.'!U123*'Critérios de Implantação'!$Q$81,0)+IFERROR('Resumo-Cult.Perma.'!T123*'Critérios de Implantação'!$Q$82,0)+IFERROR('Resumo-Cult.Perma.'!S123*'Critérios de Implantação'!$Q$83,0)+IFERROR('Resumo-Cult.Perma.'!R123*'Critérios de Implantação'!$Q$84,0)+IFERROR('Resumo-Cult.Perma.'!Q123*'Critérios de Implantação'!$Q$85,0)+IFERROR('Resumo-Cult.Perma.'!P123*'Critérios de Implantação'!$Q$86,0)+IFERROR('Resumo-Cult.Perma.'!O123*'Critérios de Implantação'!$Q$87,0)</f>
        <v>6503933.1924296096</v>
      </c>
      <c r="AA156" s="93">
        <f>IFERROR('Resumo-Cult.Perma.'!X123*'Critérios de Implantação'!AA$79,0)+IFERROR('Resumo-Cult.Perma.'!W123*'Critérios de Implantação'!AA$80,0)+IFERROR('Resumo-Cult.Perma.'!V123*'Critérios de Implantação'!$Q$81,0)+IFERROR('Resumo-Cult.Perma.'!U123*'Critérios de Implantação'!$Q$82,0)+IFERROR('Resumo-Cult.Perma.'!T123*'Critérios de Implantação'!$Q$83,0)+IFERROR('Resumo-Cult.Perma.'!S123*'Critérios de Implantação'!$Q$84,0)+IFERROR('Resumo-Cult.Perma.'!R123*'Critérios de Implantação'!$Q$85,0)+IFERROR('Resumo-Cult.Perma.'!Q123*'Critérios de Implantação'!$Q$86,0)+IFERROR('Resumo-Cult.Perma.'!P123*'Critérios de Implantação'!$Q$87,0)</f>
        <v>6439677.3663716307</v>
      </c>
      <c r="AB156" s="93">
        <f>IFERROR('Resumo-Cult.Perma.'!Y123*'Critérios de Implantação'!AB$79,0)+IFERROR('Resumo-Cult.Perma.'!X123*'Critérios de Implantação'!AB$80,0)+IFERROR('Resumo-Cult.Perma.'!W123*'Critérios de Implantação'!$Q$81,0)+IFERROR('Resumo-Cult.Perma.'!V123*'Critérios de Implantação'!$Q$82,0)+IFERROR('Resumo-Cult.Perma.'!U123*'Critérios de Implantação'!$Q$83,0)+IFERROR('Resumo-Cult.Perma.'!T123*'Critérios de Implantação'!$Q$84,0)+IFERROR('Resumo-Cult.Perma.'!S123*'Critérios de Implantação'!$Q$85,0)+IFERROR('Resumo-Cult.Perma.'!R123*'Critérios de Implantação'!$Q$86,0)+IFERROR('Resumo-Cult.Perma.'!Q123*'Critérios de Implantação'!$Q$87,0)</f>
        <v>6401683.4702992644</v>
      </c>
      <c r="AC156" s="93">
        <f>IFERROR('Resumo-Cult.Perma.'!Z123*'Critérios de Implantação'!AC$79,0)+IFERROR('Resumo-Cult.Perma.'!Y123*'Critérios de Implantação'!AC$80,0)+IFERROR('Resumo-Cult.Perma.'!X123*'Critérios de Implantação'!$Q$81,0)+IFERROR('Resumo-Cult.Perma.'!W123*'Critérios de Implantação'!$Q$82,0)+IFERROR('Resumo-Cult.Perma.'!V123*'Critérios de Implantação'!$Q$83,0)+IFERROR('Resumo-Cult.Perma.'!U123*'Critérios de Implantação'!$Q$84,0)+IFERROR('Resumo-Cult.Perma.'!T123*'Critérios de Implantação'!$Q$85,0)+IFERROR('Resumo-Cult.Perma.'!S123*'Critérios de Implantação'!$Q$86,0)+IFERROR('Resumo-Cult.Perma.'!R123*'Critérios de Implantação'!$Q$87,0)</f>
        <v>6366467.1495979838</v>
      </c>
      <c r="AD156" s="93">
        <f>IFERROR('Resumo-Cult.Perma.'!AA123*'Critérios de Implantação'!AD$79,0)+IFERROR('Resumo-Cult.Perma.'!Z123*'Critérios de Implantação'!AD$80,0)+IFERROR('Resumo-Cult.Perma.'!Y123*'Critérios de Implantação'!$Q$81,0)+IFERROR('Resumo-Cult.Perma.'!X123*'Critérios de Implantação'!$Q$82,0)+IFERROR('Resumo-Cult.Perma.'!W123*'Critérios de Implantação'!$Q$83,0)+IFERROR('Resumo-Cult.Perma.'!V123*'Critérios de Implantação'!$Q$84,0)+IFERROR('Resumo-Cult.Perma.'!U123*'Critérios de Implantação'!$Q$85,0)+IFERROR('Resumo-Cult.Perma.'!T123*'Critérios de Implantação'!$Q$86,0)+IFERROR('Resumo-Cult.Perma.'!S123*'Critérios de Implantação'!$Q$87,0)</f>
        <v>6359813.3872277401</v>
      </c>
      <c r="AE156" s="93">
        <f>IFERROR('Resumo-Cult.Perma.'!AB123*'Critérios de Implantação'!AE$79,0)+IFERROR('Resumo-Cult.Perma.'!AA123*'Critérios de Implantação'!AE$80,0)+IFERROR('Resumo-Cult.Perma.'!Z123*'Critérios de Implantação'!$Q$81,0)+IFERROR('Resumo-Cult.Perma.'!Y123*'Critérios de Implantação'!$Q$82,0)+IFERROR('Resumo-Cult.Perma.'!X123*'Critérios de Implantação'!$Q$83,0)+IFERROR('Resumo-Cult.Perma.'!W123*'Critérios de Implantação'!$Q$84,0)+IFERROR('Resumo-Cult.Perma.'!V123*'Critérios de Implantação'!$Q$85,0)+IFERROR('Resumo-Cult.Perma.'!U123*'Critérios de Implantação'!$Q$86,0)+IFERROR('Resumo-Cult.Perma.'!T123*'Critérios de Implantação'!$Q$87,0)</f>
        <v>6374773.1495682755</v>
      </c>
      <c r="AF156" s="93">
        <f>IFERROR('Resumo-Cult.Perma.'!AC123*'Critérios de Implantação'!AF$79,0)+IFERROR('Resumo-Cult.Perma.'!AB123*'Critérios de Implantação'!AF$80,0)+IFERROR('Resumo-Cult.Perma.'!AA123*'Critérios de Implantação'!$Q$81,0)+IFERROR('Resumo-Cult.Perma.'!Z123*'Critérios de Implantação'!$Q$82,0)+IFERROR('Resumo-Cult.Perma.'!Y123*'Critérios de Implantação'!$Q$83,0)+IFERROR('Resumo-Cult.Perma.'!X123*'Critérios de Implantação'!$Q$84,0)+IFERROR('Resumo-Cult.Perma.'!W123*'Critérios de Implantação'!$Q$85,0)+IFERROR('Resumo-Cult.Perma.'!V123*'Critérios de Implantação'!$Q$86,0)+IFERROR('Resumo-Cult.Perma.'!U123*'Critérios de Implantação'!$Q$87,0)</f>
        <v>6405845.9726023721</v>
      </c>
      <c r="AG156" s="93">
        <f>IFERROR('Resumo-Cult.Perma.'!AD123*'Critérios de Implantação'!AG$79,0)+IFERROR('Resumo-Cult.Perma.'!AC123*'Critérios de Implantação'!AG$80,0)+IFERROR('Resumo-Cult.Perma.'!AB123*'Critérios de Implantação'!$Q$81,0)+IFERROR('Resumo-Cult.Perma.'!AA123*'Critérios de Implantação'!$Q$82,0)+IFERROR('Resumo-Cult.Perma.'!Z123*'Critérios de Implantação'!$Q$83,0)+IFERROR('Resumo-Cult.Perma.'!Y123*'Critérios de Implantação'!$Q$84,0)+IFERROR('Resumo-Cult.Perma.'!X123*'Critérios de Implantação'!$Q$85,0)+IFERROR('Resumo-Cult.Perma.'!W123*'Critérios de Implantação'!$Q$86,0)+IFERROR('Resumo-Cult.Perma.'!V123*'Critérios de Implantação'!$Q$87,0)</f>
        <v>6463724.7657604152</v>
      </c>
      <c r="AH156" s="93">
        <f>IFERROR('Resumo-Cult.Perma.'!AE123*'Critérios de Implantação'!AH$79,0)+IFERROR('Resumo-Cult.Perma.'!AD123*'Critérios de Implantação'!AH$80,0)+IFERROR('Resumo-Cult.Perma.'!AC123*'Critérios de Implantação'!$Q$81,0)+IFERROR('Resumo-Cult.Perma.'!AB123*'Critérios de Implantação'!$Q$82,0)+IFERROR('Resumo-Cult.Perma.'!AA123*'Critérios de Implantação'!$Q$83,0)+IFERROR('Resumo-Cult.Perma.'!Z123*'Critérios de Implantação'!$Q$84,0)+IFERROR('Resumo-Cult.Perma.'!Y123*'Critérios de Implantação'!$Q$85,0)+IFERROR('Resumo-Cult.Perma.'!X123*'Critérios de Implantação'!$Q$86,0)+IFERROR('Resumo-Cult.Perma.'!W123*'Critérios de Implantação'!$Q$87,0)</f>
        <v>6505440.255853951</v>
      </c>
      <c r="AI156" s="93">
        <f>IFERROR('Resumo-Cult.Perma.'!AF123*'Critérios de Implantação'!AI$79,0)+IFERROR('Resumo-Cult.Perma.'!AE123*'Critérios de Implantação'!AI$80,0)+IFERROR('Resumo-Cult.Perma.'!AD123*'Critérios de Implantação'!$Q$81,0)+IFERROR('Resumo-Cult.Perma.'!AC123*'Critérios de Implantação'!$Q$82,0)+IFERROR('Resumo-Cult.Perma.'!AB123*'Critérios de Implantação'!$Q$83,0)+IFERROR('Resumo-Cult.Perma.'!AA123*'Critérios de Implantação'!$Q$84,0)+IFERROR('Resumo-Cult.Perma.'!Z123*'Critérios de Implantação'!$Q$85,0)+IFERROR('Resumo-Cult.Perma.'!Y123*'Critérios de Implantação'!$Q$86,0)+IFERROR('Resumo-Cult.Perma.'!X123*'Critérios de Implantação'!$Q$87,0)</f>
        <v>6540705.1255344776</v>
      </c>
      <c r="AJ156" s="93">
        <f>IFERROR('Resumo-Cult.Perma.'!AG123*'Critérios de Implantação'!AJ$79,0)+IFERROR('Resumo-Cult.Perma.'!AF123*'Critérios de Implantação'!AJ$80,0)+IFERROR('Resumo-Cult.Perma.'!AE123*'Critérios de Implantação'!$Q$81,0)+IFERROR('Resumo-Cult.Perma.'!AD123*'Critérios de Implantação'!$Q$82,0)+IFERROR('Resumo-Cult.Perma.'!AC123*'Critérios de Implantação'!$Q$83,0)+IFERROR('Resumo-Cult.Perma.'!AB123*'Critérios de Implantação'!$Q$84,0)+IFERROR('Resumo-Cult.Perma.'!AA123*'Critérios de Implantação'!$Q$85,0)+IFERROR('Resumo-Cult.Perma.'!Z123*'Critérios de Implantação'!$Q$86,0)+IFERROR('Resumo-Cult.Perma.'!Y123*'Critérios de Implantação'!$Q$87,0)</f>
        <v>6566969.9607193349</v>
      </c>
      <c r="AK156" s="81">
        <f>IFERROR('Resumo-Cult.Perma.'!AH123*'Critérios de Implantação'!AK$79,0)+IFERROR('Resumo-Cult.Perma.'!AG123*'Critérios de Implantação'!AK$80,0)+IFERROR('Resumo-Cult.Perma.'!AF123*'Critérios de Implantação'!$Q$81,0)+IFERROR('Resumo-Cult.Perma.'!AE123*'Critérios de Implantação'!$Q$82,0)+IFERROR('Resumo-Cult.Perma.'!AD123*'Critérios de Implantação'!$Q$83,0)+IFERROR('Resumo-Cult.Perma.'!AC123*'Critérios de Implantação'!$Q$84,0)+IFERROR('Resumo-Cult.Perma.'!AB123*'Critérios de Implantação'!$Q$85,0)+IFERROR('Resumo-Cult.Perma.'!AA123*'Critérios de Implantação'!$Q$86,0)+IFERROR('Resumo-Cult.Perma.'!Z123*'Critérios de Implantação'!$Q$87,0)</f>
        <v>6582770.6778407609</v>
      </c>
    </row>
    <row r="157" spans="1:37" ht="20.149999999999999" customHeight="1" outlineLevel="1" thickBot="1" x14ac:dyDescent="0.3">
      <c r="A157" s="96"/>
      <c r="B157" s="87" t="s">
        <v>149</v>
      </c>
      <c r="C157" s="88"/>
      <c r="D157" s="88">
        <f t="shared" ref="D157:AK157" si="67">SUM(D153:D156)</f>
        <v>0</v>
      </c>
      <c r="E157" s="88">
        <f t="shared" si="67"/>
        <v>0</v>
      </c>
      <c r="F157" s="88">
        <f t="shared" si="67"/>
        <v>0</v>
      </c>
      <c r="G157" s="88">
        <f t="shared" si="67"/>
        <v>1968347.0670055137</v>
      </c>
      <c r="H157" s="88">
        <f t="shared" si="67"/>
        <v>4673217.4401389733</v>
      </c>
      <c r="I157" s="88">
        <f t="shared" si="67"/>
        <v>8154730.7695534397</v>
      </c>
      <c r="J157" s="88">
        <f t="shared" si="67"/>
        <v>14616007.173649216</v>
      </c>
      <c r="K157" s="88">
        <f t="shared" si="67"/>
        <v>21796178.779340677</v>
      </c>
      <c r="L157" s="88">
        <f t="shared" si="67"/>
        <v>29513167.347016443</v>
      </c>
      <c r="M157" s="88">
        <f t="shared" si="67"/>
        <v>37121910.343504861</v>
      </c>
      <c r="N157" s="88">
        <f t="shared" si="67"/>
        <v>43424638.24339471</v>
      </c>
      <c r="O157" s="88">
        <f t="shared" si="67"/>
        <v>47807482.182351135</v>
      </c>
      <c r="P157" s="88">
        <f t="shared" si="67"/>
        <v>49984620.459139504</v>
      </c>
      <c r="Q157" s="88">
        <f t="shared" si="67"/>
        <v>51043493.147167698</v>
      </c>
      <c r="R157" s="88">
        <f t="shared" si="67"/>
        <v>51280085.079472631</v>
      </c>
      <c r="S157" s="88">
        <f t="shared" si="67"/>
        <v>51076548.650253244</v>
      </c>
      <c r="T157" s="88">
        <f t="shared" si="67"/>
        <v>50816842.901289694</v>
      </c>
      <c r="U157" s="88">
        <f t="shared" si="67"/>
        <v>50528754.221887402</v>
      </c>
      <c r="V157" s="88">
        <f t="shared" si="67"/>
        <v>50291204.922258072</v>
      </c>
      <c r="W157" s="88">
        <f t="shared" si="67"/>
        <v>50010531.375659794</v>
      </c>
      <c r="X157" s="88">
        <f t="shared" si="67"/>
        <v>49493582.741283916</v>
      </c>
      <c r="Y157" s="88">
        <f t="shared" si="67"/>
        <v>47685844.1660835</v>
      </c>
      <c r="Z157" s="88">
        <f t="shared" si="67"/>
        <v>46481193.471144788</v>
      </c>
      <c r="AA157" s="88">
        <f t="shared" si="67"/>
        <v>45178319.509699292</v>
      </c>
      <c r="AB157" s="88">
        <f t="shared" si="67"/>
        <v>43248608.373120196</v>
      </c>
      <c r="AC157" s="88">
        <f t="shared" si="67"/>
        <v>42559507.387776971</v>
      </c>
      <c r="AD157" s="88">
        <f t="shared" si="67"/>
        <v>42384358.431824997</v>
      </c>
      <c r="AE157" s="88">
        <f t="shared" si="67"/>
        <v>43645063.035451517</v>
      </c>
      <c r="AF157" s="88">
        <f t="shared" si="67"/>
        <v>45555047.296796747</v>
      </c>
      <c r="AG157" s="88">
        <f t="shared" si="67"/>
        <v>47807482.182351135</v>
      </c>
      <c r="AH157" s="88">
        <f t="shared" si="67"/>
        <v>49984620.459139504</v>
      </c>
      <c r="AI157" s="88">
        <f t="shared" si="67"/>
        <v>51043493.147167698</v>
      </c>
      <c r="AJ157" s="88">
        <f t="shared" si="67"/>
        <v>51280085.079472631</v>
      </c>
      <c r="AK157" s="89">
        <f t="shared" si="67"/>
        <v>51076548.650253244</v>
      </c>
    </row>
    <row r="158" spans="1:37" ht="20.149999999999999" customHeight="1" outlineLevel="1" thickBot="1" x14ac:dyDescent="0.3">
      <c r="A158" s="14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</row>
    <row r="159" spans="1:37" ht="20.149999999999999" customHeight="1" outlineLevel="1" x14ac:dyDescent="0.25">
      <c r="A159" s="42">
        <v>3</v>
      </c>
      <c r="B159" s="97" t="s">
        <v>144</v>
      </c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77" t="s">
        <v>768</v>
      </c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2"/>
    </row>
    <row r="160" spans="1:37" ht="20.149999999999999" customHeight="1" outlineLevel="1" x14ac:dyDescent="0.25">
      <c r="A160" s="47" t="s">
        <v>338</v>
      </c>
      <c r="B160" s="22" t="str">
        <f>"Valor da produção "&amp;A136</f>
        <v>Valor da produção Limão</v>
      </c>
      <c r="C160" s="80"/>
      <c r="D160" s="80">
        <f>IFERROR(('Resumo-Cult.Perma.'!#REF!*('Critérios de Implantação'!D$79)),0)+IFERROR(('Resumo-Cult.Perma.'!#REF!*('Critérios de Implantação'!D$80)),0)+IFERROR(('Resumo-Cult.Perma.'!#REF!*('Critérios de Implantação'!D$87)),0)</f>
        <v>0</v>
      </c>
      <c r="E160" s="80">
        <f>IFERROR(('Resumo-Cult.Perma.'!D127*('Critérios de Implantação'!E$79)),0)+IFERROR(('Resumo-Cult.Perma.'!C127*('Critérios de Implantação'!E$80)),0)+IFERROR(('Resumo-Cult.Perma.'!B127*('Critérios de Implantação'!E$87)),0)</f>
        <v>0</v>
      </c>
      <c r="F160" s="80">
        <f>IFERROR(('Resumo-Cult.Perma.'!E127*('Critérios de Implantação'!F$79)),0)+IFERROR(('Resumo-Cult.Perma.'!D127*('Critérios de Implantação'!F$80)),0)+IFERROR(('Resumo-Cult.Perma.'!C127*('Critérios de Implantação'!F$87)),0)</f>
        <v>0</v>
      </c>
      <c r="G160" s="80">
        <f>IFERROR(('Resumo-Cult.Perma.'!D127*('Critérios de Implantação'!G$79)),0)+IFERROR(('Resumo-Cult.Perma.'!C127*('Critérios de Implantação'!G$80)),0)+IFERROR(('Resumo-Cult.Perma.'!B127*('Critérios de Implantação'!G$81)),0)+IFERROR(('Resumo-Cult.Perma.'!A127*('Critérios de Implantação'!G$82)),0)+IFERROR(('Resumo-Cult.Perma.'!#REF!*('Critérios de Implantação'!G$83)),0)+IFERROR(('Resumo-Cult.Perma.'!#REF!*('Critérios de Implantação'!G$84)),0)+IFERROR(('Resumo-Cult.Perma.'!#REF!*('Critérios de Implantação'!G$85)),0)+IFERROR(('Resumo-Cult.Perma.'!#REF!*('Critérios de Implantação'!G$86)),0)+IFERROR(('Resumo-Cult.Perma.'!#REF!*('Critérios de Implantação'!G$87)),0)</f>
        <v>676669.42818134883</v>
      </c>
      <c r="H160" s="80">
        <f>IFERROR(('Resumo-Cult.Perma.'!E127*('Critérios de Implantação'!H$79)),0)+IFERROR(('Resumo-Cult.Perma.'!D127*('Critérios de Implantação'!H$80)),0)+IFERROR(('Resumo-Cult.Perma.'!C127*('Critérios de Implantação'!H$81)),0)+IFERROR(('Resumo-Cult.Perma.'!B127*('Critérios de Implantação'!H$82)),0)+IFERROR(('Resumo-Cult.Perma.'!A127*('Critérios de Implantação'!H$83)),0)+IFERROR(('Resumo-Cult.Perma.'!#REF!*('Critérios de Implantação'!H$84)),0)+IFERROR(('Resumo-Cult.Perma.'!#REF!*('Critérios de Implantação'!H$85)),0)+IFERROR(('Resumo-Cult.Perma.'!#REF!*('Critérios de Implantação'!H$86)),0)+IFERROR(('Resumo-Cult.Perma.'!#REF!*('Critérios de Implantação'!H$87)),0)</f>
        <v>4084183.334380284</v>
      </c>
      <c r="I160" s="80">
        <f>IFERROR(('Resumo-Cult.Perma.'!F127*('Critérios de Implantação'!I$79)),0)+IFERROR(('Resumo-Cult.Perma.'!E127*('Critérios de Implantação'!I$80)),0)+IFERROR(('Resumo-Cult.Perma.'!D127*('Critérios de Implantação'!I$81)),0)+IFERROR(('Resumo-Cult.Perma.'!C127*('Critérios de Implantação'!I$82)),0)+IFERROR(('Resumo-Cult.Perma.'!B127*('Critérios de Implantação'!I$83)),0)+IFERROR(('Resumo-Cult.Perma.'!A127*('Critérios de Implantação'!I$84)),0)+IFERROR(('Resumo-Cult.Perma.'!#REF!*('Critérios de Implantação'!I$85)),0)+IFERROR(('Resumo-Cult.Perma.'!#REF!*('Critérios de Implantação'!I$86)),0)+IFERROR(('Resumo-Cult.Perma.'!#REF!*('Critérios de Implantação'!I$87)),0)</f>
        <v>9223019.2858410124</v>
      </c>
      <c r="J160" s="80">
        <f>IFERROR(('Resumo-Cult.Perma.'!G127*('Critérios de Implantação'!J$79)),0)+IFERROR(('Resumo-Cult.Perma.'!F127*('Critérios de Implantação'!J$80)),0)+IFERROR(('Resumo-Cult.Perma.'!E127*('Critérios de Implantação'!J$81)),0)+IFERROR(('Resumo-Cult.Perma.'!D127*('Critérios de Implantação'!J$82)),0)+IFERROR(('Resumo-Cult.Perma.'!C127*('Critérios de Implantação'!J$83)),0)+IFERROR(('Resumo-Cult.Perma.'!B127*('Critérios de Implantação'!J$84)),0)+IFERROR(('Resumo-Cult.Perma.'!A127*('Critérios de Implantação'!J$85)),0)+IFERROR(('Resumo-Cult.Perma.'!#REF!*('Critérios de Implantação'!J$86)),0)+IFERROR(('Resumo-Cult.Perma.'!#REF!*('Critérios de Implantação'!J$87)),0)</f>
        <v>20889216.472929426</v>
      </c>
      <c r="K160" s="80">
        <f>IFERROR(('Resumo-Cult.Perma.'!H127*('Critérios de Implantação'!K$79)),0)+IFERROR(('Resumo-Cult.Perma.'!G127*('Critérios de Implantação'!K$80)),0)+IFERROR(('Resumo-Cult.Perma.'!F127*('Critérios de Implantação'!K$81)),0)+IFERROR(('Resumo-Cult.Perma.'!E127*('Critérios de Implantação'!K$82)),0)+IFERROR(('Resumo-Cult.Perma.'!D127*('Critérios de Implantação'!K$83)),0)+IFERROR(('Resumo-Cult.Perma.'!C127*('Critérios de Implantação'!K$84)),0)+IFERROR(('Resumo-Cult.Perma.'!B127*('Critérios de Implantação'!K$85)),0)+IFERROR(('Resumo-Cult.Perma.'!A127*('Critérios de Implantação'!K$86)),0)+IFERROR(('Resumo-Cult.Perma.'!#REF!*('Critérios de Implantação'!K$87)),0)</f>
        <v>34699771.295615129</v>
      </c>
      <c r="L160" s="80">
        <f>IFERROR(('Resumo-Cult.Perma.'!I127*('Critérios de Implantação'!L$79)),0)+IFERROR(('Resumo-Cult.Perma.'!H127*('Critérios de Implantação'!L$80)),0)+IFERROR(('Resumo-Cult.Perma.'!G127*('Critérios de Implantação'!L$81)),0)+IFERROR(('Resumo-Cult.Perma.'!F127*('Critérios de Implantação'!L$82)),0)+IFERROR(('Resumo-Cult.Perma.'!E127*('Critérios de Implantação'!L$83)),0)+IFERROR(('Resumo-Cult.Perma.'!D127*('Critérios de Implantação'!L$84)),0)+IFERROR(('Resumo-Cult.Perma.'!C127*('Critérios de Implantação'!L$85)),0)+IFERROR(('Resumo-Cult.Perma.'!B127*('Critérios de Implantação'!L$86)),0)+IFERROR(('Resumo-Cult.Perma.'!A127*('Critérios de Implantação'!L$87)),0)</f>
        <v>49862033.290393598</v>
      </c>
      <c r="M160" s="80">
        <f>IFERROR(('Resumo-Cult.Perma.'!J127*('Critérios de Implantação'!M$79)),0)+IFERROR(('Resumo-Cult.Perma.'!I127*('Critérios de Implantação'!M$80)),0)+IFERROR(('Resumo-Cult.Perma.'!H127*('Critérios de Implantação'!M$81)),0)+IFERROR(('Resumo-Cult.Perma.'!G127*('Critérios de Implantação'!M$82)),0)+IFERROR(('Resumo-Cult.Perma.'!F127*('Critérios de Implantação'!M$83)),0)+IFERROR(('Resumo-Cult.Perma.'!E127*('Critérios de Implantação'!M$84)),0)+IFERROR(('Resumo-Cult.Perma.'!D127*('Critérios de Implantação'!M$85)),0)+IFERROR(('Resumo-Cult.Perma.'!C127*('Critérios de Implantação'!M$86)),0)+IFERROR(('Resumo-Cult.Perma.'!B127*('Critérios de Implantação'!M$87)),0)</f>
        <v>70298941.908250049</v>
      </c>
      <c r="N160" s="80">
        <f>IFERROR(('Resumo-Cult.Perma.'!K127*('Critérios de Implantação'!N$79)),0)+IFERROR(('Resumo-Cult.Perma.'!J127*('Critérios de Implantação'!N$80)),0)+IFERROR(('Resumo-Cult.Perma.'!I127*('Critérios de Implantação'!N$81)),0)+IFERROR(('Resumo-Cult.Perma.'!H127*('Critérios de Implantação'!N$82)),0)+IFERROR(('Resumo-Cult.Perma.'!G127*('Critérios de Implantação'!N$83)),0)+IFERROR(('Resumo-Cult.Perma.'!F127*('Critérios de Implantação'!N$84)),0)+IFERROR(('Resumo-Cult.Perma.'!E127*('Critérios de Implantação'!N$85)),0)+IFERROR(('Resumo-Cult.Perma.'!D127*('Critérios de Implantação'!N$86)),0)+IFERROR(('Resumo-Cult.Perma.'!C127*('Critérios de Implantação'!N$87)),0)</f>
        <v>87094280.958682939</v>
      </c>
      <c r="O160" s="80">
        <f>IFERROR(('Resumo-Cult.Perma.'!L127*('Critérios de Implantação'!O$79)),0)+IFERROR(('Resumo-Cult.Perma.'!K127*('Critérios de Implantação'!O$80)),0)+IFERROR(('Resumo-Cult.Perma.'!J127*('Critérios de Implantação'!O$81)),0)+IFERROR(('Resumo-Cult.Perma.'!I127*('Critérios de Implantação'!O$82)),0)+IFERROR(('Resumo-Cult.Perma.'!H127*('Critérios de Implantação'!O$83)),0)+IFERROR(('Resumo-Cult.Perma.'!G127*('Critérios de Implantação'!O$84)),0)+IFERROR(('Resumo-Cult.Perma.'!F127*('Critérios de Implantação'!O$85)),0)+IFERROR(('Resumo-Cult.Perma.'!E127*('Critérios de Implantação'!O$86)),0)+IFERROR(('Resumo-Cult.Perma.'!D127*('Critérios de Implantação'!O$87)),0)</f>
        <v>99425922.787552267</v>
      </c>
      <c r="P160" s="80">
        <f>IFERROR(('Resumo-Cult.Perma.'!M127*('Critérios de Implantação'!P$79)),0)+IFERROR(('Resumo-Cult.Perma.'!L127*('Critérios de Implantação'!P$80)),0)+IFERROR(('Resumo-Cult.Perma.'!K127*('Critérios de Implantação'!P$81)),0)+IFERROR(('Resumo-Cult.Perma.'!J127*('Critérios de Implantação'!P$82)),0)+IFERROR(('Resumo-Cult.Perma.'!I127*('Critérios de Implantação'!P$83)),0)+IFERROR(('Resumo-Cult.Perma.'!H127*('Critérios de Implantação'!P$84)),0)+IFERROR(('Resumo-Cult.Perma.'!G127*('Critérios de Implantação'!P$85)),0)+IFERROR(('Resumo-Cult.Perma.'!F127*('Critérios de Implantação'!P$86)),0)+IFERROR(('Resumo-Cult.Perma.'!E127*('Critérios de Implantação'!P$87)),0)</f>
        <v>106637799.60360785</v>
      </c>
      <c r="Q160" s="80">
        <f>IFERROR(('Resumo-Cult.Perma.'!N127*('Critérios de Implantação'!Q$79)),0)+IFERROR(('Resumo-Cult.Perma.'!M127*('Critérios de Implantação'!Q$80)),0)+IFERROR(('Resumo-Cult.Perma.'!L127*('Critérios de Implantação'!Q$81)),0)+IFERROR(('Resumo-Cult.Perma.'!K127*('Critérios de Implantação'!Q$82)),0)+IFERROR(('Resumo-Cult.Perma.'!J127*('Critérios de Implantação'!Q$83)),0)+IFERROR(('Resumo-Cult.Perma.'!I127*('Critérios de Implantação'!Q$84)),0)+IFERROR(('Resumo-Cult.Perma.'!H127*('Critérios de Implantação'!Q$85)),0)+IFERROR(('Resumo-Cult.Perma.'!G127*('Critérios de Implantação'!Q$86)),0)+IFERROR(('Resumo-Cult.Perma.'!F127*('Critérios de Implantação'!Q$87)),0)</f>
        <v>108445993.8277384</v>
      </c>
      <c r="R160" s="80">
        <f>IFERROR(('Resumo-Cult.Perma.'!O127*('Critérios de Implantação'!R$79)),0)+IFERROR(('Resumo-Cult.Perma.'!N127*('Critérios de Implantação'!R$80)),0)+IFERROR(('Resumo-Cult.Perma.'!M127*('Critérios de Implantação'!R$81)),0)+IFERROR(('Resumo-Cult.Perma.'!L127*('Critérios de Implantação'!R$82)),0)+IFERROR(('Resumo-Cult.Perma.'!K127*('Critérios de Implantação'!R$83)),0)+IFERROR(('Resumo-Cult.Perma.'!J127*('Critérios de Implantação'!R$84)),0)+IFERROR(('Resumo-Cult.Perma.'!I127*('Critérios de Implantação'!R$85)),0)+IFERROR(('Resumo-Cult.Perma.'!H127*('Critérios de Implantação'!R$86)),0)+IFERROR(('Resumo-Cult.Perma.'!G127*('Critérios de Implantação'!R$87)),0)</f>
        <v>105206267.62194306</v>
      </c>
      <c r="S160" s="80">
        <f>IFERROR(('Resumo-Cult.Perma.'!P127*('Critérios de Implantação'!S$79)),0)+IFERROR(('Resumo-Cult.Perma.'!O127*('Critérios de Implantação'!S$80)),0)+IFERROR(('Resumo-Cult.Perma.'!N127*('Critérios de Implantação'!S$81)),0)+IFERROR(('Resumo-Cult.Perma.'!M127*('Critérios de Implantação'!S$82)),0)+IFERROR(('Resumo-Cult.Perma.'!L127*('Critérios de Implantação'!S$83)),0)+IFERROR(('Resumo-Cult.Perma.'!K127*('Critérios de Implantação'!S$84)),0)+IFERROR(('Resumo-Cult.Perma.'!J127*('Critérios de Implantação'!S$85)),0)+IFERROR(('Resumo-Cult.Perma.'!I127*('Critérios de Implantação'!S$86)),0)+IFERROR(('Resumo-Cult.Perma.'!H127*('Critérios de Implantação'!S$87)),0)</f>
        <v>100065975.05781648</v>
      </c>
      <c r="T160" s="80">
        <f>IFERROR(('Resumo-Cult.Perma.'!Q127*('Critérios de Implantação'!T$79)),0)+IFERROR(('Resumo-Cult.Perma.'!P127*('Critérios de Implantação'!T$80)),0)+IFERROR(('Resumo-Cult.Perma.'!O127*('Critérios de Implantação'!T$81)),0)+IFERROR(('Resumo-Cult.Perma.'!N127*('Critérios de Implantação'!T$82)),0)+IFERROR(('Resumo-Cult.Perma.'!M127*('Critérios de Implantação'!T$83)),0)+IFERROR(('Resumo-Cult.Perma.'!L127*('Critérios de Implantação'!T$84)),0)+IFERROR(('Resumo-Cult.Perma.'!K127*('Critérios de Implantação'!T$85)),0)+IFERROR(('Resumo-Cult.Perma.'!J127*('Critérios de Implantação'!T$86)),0)+IFERROR(('Resumo-Cult.Perma.'!I127*('Critérios de Implantação'!T$87)),0)</f>
        <v>96230847.758825392</v>
      </c>
      <c r="U160" s="80">
        <f>IFERROR(('Resumo-Cult.Perma.'!R127*('Critérios de Implantação'!U$79)),0)+IFERROR(('Resumo-Cult.Perma.'!Q127*('Critérios de Implantação'!U$80)),0)+IFERROR(('Resumo-Cult.Perma.'!P127*('Critérios de Implantação'!U$81)),0)+IFERROR(('Resumo-Cult.Perma.'!O127*('Critérios de Implantação'!U$82)),0)+IFERROR(('Resumo-Cult.Perma.'!N127*('Critérios de Implantação'!U$83)),0)+IFERROR(('Resumo-Cult.Perma.'!M127*('Critérios de Implantação'!U$84)),0)+IFERROR(('Resumo-Cult.Perma.'!L127*('Critérios de Implantação'!U$85)),0)+IFERROR(('Resumo-Cult.Perma.'!K127*('Critérios de Implantação'!U$86)),0)+IFERROR(('Resumo-Cult.Perma.'!J127*('Critérios de Implantação'!U$87)),0)</f>
        <v>92416156.27984336</v>
      </c>
      <c r="V160" s="80">
        <f>IFERROR(('Resumo-Cult.Perma.'!S127*('Critérios de Implantação'!V$79)),0)+IFERROR(('Resumo-Cult.Perma.'!R127*('Critérios de Implantação'!V$80)),0)+IFERROR(('Resumo-Cult.Perma.'!Q127*('Critérios de Implantação'!V$81)),0)+IFERROR(('Resumo-Cult.Perma.'!P127*('Critérios de Implantação'!V$82)),0)+IFERROR(('Resumo-Cult.Perma.'!O127*('Critérios de Implantação'!V$83)),0)+IFERROR(('Resumo-Cult.Perma.'!N127*('Critérios de Implantação'!V$84)),0)+IFERROR(('Resumo-Cult.Perma.'!M127*('Critérios de Implantação'!V$85)),0)+IFERROR(('Resumo-Cult.Perma.'!L127*('Critérios de Implantação'!V$86)),0)+IFERROR(('Resumo-Cult.Perma.'!K127*('Critérios de Implantação'!V$87)),0)</f>
        <v>89270675.898544744</v>
      </c>
      <c r="W160" s="80">
        <f>IFERROR(('Resumo-Cult.Perma.'!T127*('Critérios de Implantação'!W$79)),0)+IFERROR(('Resumo-Cult.Perma.'!S127*('Critérios de Implantação'!W$80)),0)+IFERROR(('Resumo-Cult.Perma.'!R127*('Critérios de Implantação'!W$81)),0)+IFERROR(('Resumo-Cult.Perma.'!Q127*('Critérios de Implantação'!W$82)),0)+IFERROR(('Resumo-Cult.Perma.'!P127*('Critérios de Implantação'!W$83)),0)+IFERROR(('Resumo-Cult.Perma.'!O127*('Critérios de Implantação'!W$84)),0)+IFERROR(('Resumo-Cult.Perma.'!N127*('Critérios de Implantação'!W$85)),0)+IFERROR(('Resumo-Cult.Perma.'!M127*('Critérios de Implantação'!W$86)),0)+IFERROR(('Resumo-Cult.Perma.'!L127*('Critérios de Implantação'!W$87)),0)</f>
        <v>85554171.005657107</v>
      </c>
      <c r="X160" s="80">
        <f>IFERROR(('Resumo-Cult.Perma.'!U127*('Critérios de Implantação'!X$79)),0)+IFERROR(('Resumo-Cult.Perma.'!T127*('Critérios de Implantação'!X$80)),0)+IFERROR(('Resumo-Cult.Perma.'!S127*('Critérios de Implantação'!X$81)),0)+IFERROR(('Resumo-Cult.Perma.'!R127*('Critérios de Implantação'!X$82)),0)+IFERROR(('Resumo-Cult.Perma.'!Q127*('Critérios de Implantação'!X$83)),0)+IFERROR(('Resumo-Cult.Perma.'!P127*('Critérios de Implantação'!X$84)),0)+IFERROR(('Resumo-Cult.Perma.'!O127*('Critérios de Implantação'!X$85)),0)+IFERROR(('Resumo-Cult.Perma.'!N127*('Critérios de Implantação'!X$86)),0)+IFERROR(('Resumo-Cult.Perma.'!M127*('Critérios de Implantação'!X$87)),0)</f>
        <v>77466954.318180233</v>
      </c>
      <c r="Y160" s="80">
        <f>IFERROR(('Resumo-Cult.Perma.'!V127*('Critérios de Implantação'!Y$79)),0)+IFERROR(('Resumo-Cult.Perma.'!U127*('Critérios de Implantação'!Y$80)),0)+IFERROR(('Resumo-Cult.Perma.'!T127*('Critérios de Implantação'!Y$81)),0)+IFERROR(('Resumo-Cult.Perma.'!S127*('Critérios de Implantação'!Y$82)),0)+IFERROR(('Resumo-Cult.Perma.'!R127*('Critérios de Implantação'!Y$83)),0)+IFERROR(('Resumo-Cult.Perma.'!Q127*('Critérios de Implantação'!Y$84)),0)+IFERROR(('Resumo-Cult.Perma.'!P127*('Critérios de Implantação'!Y$85)),0)+IFERROR(('Resumo-Cult.Perma.'!O127*('Critérios de Implantação'!Y$86)),0)+IFERROR(('Resumo-Cult.Perma.'!N127*('Critérios de Implantação'!Y$87)),0)</f>
        <v>70168515.385772765</v>
      </c>
      <c r="Z160" s="80">
        <f>IFERROR(('Resumo-Cult.Perma.'!W127*('Critérios de Implantação'!Z$79)),0)+IFERROR(('Resumo-Cult.Perma.'!V127*('Critérios de Implantação'!Z$80)),0)+IFERROR(('Resumo-Cult.Perma.'!U127*('Critérios de Implantação'!Z$81)),0)+IFERROR(('Resumo-Cult.Perma.'!T127*('Critérios de Implantação'!Z$82)),0)+IFERROR(('Resumo-Cult.Perma.'!S127*('Critérios de Implantação'!Z$83)),0)+IFERROR(('Resumo-Cult.Perma.'!R127*('Critérios de Implantação'!Z$84)),0)+IFERROR(('Resumo-Cult.Perma.'!Q127*('Critérios de Implantação'!Z$85)),0)+IFERROR(('Resumo-Cult.Perma.'!P127*('Critérios de Implantação'!Z$86)),0)+IFERROR(('Resumo-Cult.Perma.'!O127*('Critérios de Implantação'!Z$87)),0)</f>
        <v>63667162.83941786</v>
      </c>
      <c r="AA160" s="80">
        <f>IFERROR(('Resumo-Cult.Perma.'!X127*('Critérios de Implantação'!AA$79)),0)+IFERROR(('Resumo-Cult.Perma.'!W127*('Critérios de Implantação'!AA$80)),0)+IFERROR(('Resumo-Cult.Perma.'!V127*('Critérios de Implantação'!AA$81)),0)+IFERROR(('Resumo-Cult.Perma.'!U127*('Critérios de Implantação'!AA$82)),0)+IFERROR(('Resumo-Cult.Perma.'!T127*('Critérios de Implantação'!AA$83)),0)+IFERROR(('Resumo-Cult.Perma.'!S127*('Critérios de Implantação'!AA$84)),0)+IFERROR(('Resumo-Cult.Perma.'!R127*('Critérios de Implantação'!AA$85)),0)+IFERROR(('Resumo-Cult.Perma.'!Q127*('Critérios de Implantação'!AA$86)),0)+IFERROR(('Resumo-Cult.Perma.'!P127*('Critérios de Implantação'!AA$87)),0)</f>
        <v>54555703.380258515</v>
      </c>
      <c r="AB160" s="80">
        <f>IFERROR(('Resumo-Cult.Perma.'!Y127*('Critérios de Implantação'!AB$79)),0)+IFERROR(('Resumo-Cult.Perma.'!X127*('Critérios de Implantação'!AB$80)),0)+IFERROR(('Resumo-Cult.Perma.'!W127*('Critérios de Implantação'!AB$81)),0)+IFERROR(('Resumo-Cult.Perma.'!V127*('Critérios de Implantação'!AB$82)),0)+IFERROR(('Resumo-Cult.Perma.'!U127*('Critérios de Implantação'!AB$83)),0)+IFERROR(('Resumo-Cult.Perma.'!T127*('Critérios de Implantação'!AB$84)),0)+IFERROR(('Resumo-Cult.Perma.'!S127*('Critérios de Implantação'!AB$85)),0)+IFERROR(('Resumo-Cult.Perma.'!R127*('Critérios de Implantação'!AB$86)),0)+IFERROR(('Resumo-Cult.Perma.'!Q127*('Critérios de Implantação'!AB$87)),0)</f>
        <v>52910880.39620091</v>
      </c>
      <c r="AC160" s="80">
        <f>IFERROR(('Resumo-Cult.Perma.'!Z127*('Critérios de Implantação'!AC$79)),0)+IFERROR(('Resumo-Cult.Perma.'!Y127*('Critérios de Implantação'!AC$80)),0)+IFERROR(('Resumo-Cult.Perma.'!X127*('Critérios de Implantação'!AC$81)),0)+IFERROR(('Resumo-Cult.Perma.'!W127*('Critérios de Implantação'!AC$82)),0)+IFERROR(('Resumo-Cult.Perma.'!V127*('Critérios de Implantação'!AC$83)),0)+IFERROR(('Resumo-Cult.Perma.'!U127*('Critérios de Implantação'!AC$84)),0)+IFERROR(('Resumo-Cult.Perma.'!T127*('Critérios de Implantação'!AC$85)),0)+IFERROR(('Resumo-Cult.Perma.'!S127*('Critérios de Implantação'!AC$86)),0)+IFERROR(('Resumo-Cult.Perma.'!R127*('Critérios de Implantação'!AC$87)),0)</f>
        <v>54031216.304086141</v>
      </c>
      <c r="AD160" s="80">
        <f>IFERROR(('Resumo-Cult.Perma.'!AA127*('Critérios de Implantação'!AD$79)),0)+IFERROR(('Resumo-Cult.Perma.'!Z127*('Critérios de Implantação'!AD$80)),0)+IFERROR(('Resumo-Cult.Perma.'!Y127*('Critérios de Implantação'!AD$81)),0)+IFERROR(('Resumo-Cult.Perma.'!X127*('Critérios de Implantação'!AD$82)),0)+IFERROR(('Resumo-Cult.Perma.'!W127*('Critérios de Implantação'!AD$83)),0)+IFERROR(('Resumo-Cult.Perma.'!V127*('Critérios de Implantação'!AD$84)),0)+IFERROR(('Resumo-Cult.Perma.'!U127*('Critérios de Implantação'!AD$85)),0)+IFERROR(('Resumo-Cult.Perma.'!T127*('Critérios de Implantação'!AD$86)),0)+IFERROR(('Resumo-Cult.Perma.'!S127*('Critérios de Implantação'!AD$87)),0)</f>
        <v>59434202.604597077</v>
      </c>
      <c r="AE160" s="80">
        <f>IFERROR(('Resumo-Cult.Perma.'!AB127*('Critérios de Implantação'!AE$79)),0)+IFERROR(('Resumo-Cult.Perma.'!AA127*('Critérios de Implantação'!AE$80)),0)+IFERROR(('Resumo-Cult.Perma.'!Z127*('Critérios de Implantação'!AE$81)),0)+IFERROR(('Resumo-Cult.Perma.'!Y127*('Critérios de Implantação'!AE$82)),0)+IFERROR(('Resumo-Cult.Perma.'!X127*('Critérios de Implantação'!AE$83)),0)+IFERROR(('Resumo-Cult.Perma.'!W127*('Critérios de Implantação'!AE$84)),0)+IFERROR(('Resumo-Cult.Perma.'!V127*('Critérios de Implantação'!AE$85)),0)+IFERROR(('Resumo-Cult.Perma.'!U127*('Critérios de Implantação'!AE$86)),0)+IFERROR(('Resumo-Cult.Perma.'!T127*('Critérios de Implantação'!AE$87)),0)</f>
        <v>73255417.971274957</v>
      </c>
      <c r="AF160" s="80">
        <f>IFERROR(('Resumo-Cult.Perma.'!AC127*('Critérios de Implantação'!AF$79)),0)+IFERROR(('Resumo-Cult.Perma.'!AB127*('Critérios de Implantação'!AF$80)),0)+IFERROR(('Resumo-Cult.Perma.'!AA127*('Critérios de Implantação'!AF$81)),0)+IFERROR(('Resumo-Cult.Perma.'!Z127*('Critérios de Implantação'!AF$82)),0)+IFERROR(('Resumo-Cult.Perma.'!Y127*('Critérios de Implantação'!AF$83)),0)+IFERROR(('Resumo-Cult.Perma.'!X127*('Critérios de Implantação'!AF$84)),0)+IFERROR(('Resumo-Cult.Perma.'!W127*('Critérios de Implantação'!AF$85)),0)+IFERROR(('Resumo-Cult.Perma.'!V127*('Critérios de Implantação'!AF$86)),0)+IFERROR(('Resumo-Cult.Perma.'!U127*('Critérios de Implantação'!AF$87)),0)</f>
        <v>87094280.958682939</v>
      </c>
      <c r="AG160" s="80">
        <f>IFERROR(('Resumo-Cult.Perma.'!AD127*('Critérios de Implantação'!AG$79)),0)+IFERROR(('Resumo-Cult.Perma.'!AC127*('Critérios de Implantação'!AG$80)),0)+IFERROR(('Resumo-Cult.Perma.'!AB127*('Critérios de Implantação'!AG$81)),0)+IFERROR(('Resumo-Cult.Perma.'!AA127*('Critérios de Implantação'!AG$82)),0)+IFERROR(('Resumo-Cult.Perma.'!Z127*('Critérios de Implantação'!AG$83)),0)+IFERROR(('Resumo-Cult.Perma.'!Y127*('Critérios de Implantação'!AG$84)),0)+IFERROR(('Resumo-Cult.Perma.'!X127*('Critérios de Implantação'!AG$85)),0)+IFERROR(('Resumo-Cult.Perma.'!W127*('Critérios de Implantação'!AG$86)),0)+IFERROR(('Resumo-Cult.Perma.'!V127*('Critérios de Implantação'!AG$87)),0)</f>
        <v>99425922.787552267</v>
      </c>
      <c r="AH160" s="80">
        <f>IFERROR(('Resumo-Cult.Perma.'!AE127*('Critérios de Implantação'!AH$79)),0)+IFERROR(('Resumo-Cult.Perma.'!AD127*('Critérios de Implantação'!AH$80)),0)+IFERROR(('Resumo-Cult.Perma.'!AC127*('Critérios de Implantação'!AH$81)),0)+IFERROR(('Resumo-Cult.Perma.'!AB127*('Critérios de Implantação'!AH$82)),0)+IFERROR(('Resumo-Cult.Perma.'!AA127*('Critérios de Implantação'!AH$83)),0)+IFERROR(('Resumo-Cult.Perma.'!Z127*('Critérios de Implantação'!AH$84)),0)+IFERROR(('Resumo-Cult.Perma.'!Y127*('Critérios de Implantação'!AH$85)),0)+IFERROR(('Resumo-Cult.Perma.'!X127*('Critérios de Implantação'!AH$86)),0)+IFERROR(('Resumo-Cult.Perma.'!W127*('Critérios de Implantação'!AH$87)),0)</f>
        <v>106637799.60360785</v>
      </c>
      <c r="AI160" s="80">
        <f>IFERROR(('Resumo-Cult.Perma.'!AF127*('Critérios de Implantação'!AI$79)),0)+IFERROR(('Resumo-Cult.Perma.'!AE127*('Critérios de Implantação'!AI$80)),0)+IFERROR(('Resumo-Cult.Perma.'!AD127*('Critérios de Implantação'!AI$81)),0)+IFERROR(('Resumo-Cult.Perma.'!AC127*('Critérios de Implantação'!AI$82)),0)+IFERROR(('Resumo-Cult.Perma.'!AB127*('Critérios de Implantação'!AI$83)),0)+IFERROR(('Resumo-Cult.Perma.'!AA127*('Critérios de Implantação'!AI$84)),0)+IFERROR(('Resumo-Cult.Perma.'!Z127*('Critérios de Implantação'!AI$85)),0)+IFERROR(('Resumo-Cult.Perma.'!Y127*('Critérios de Implantação'!AI$86)),0)+IFERROR(('Resumo-Cult.Perma.'!X127*('Critérios de Implantação'!AI$87)),0)</f>
        <v>108445993.8277384</v>
      </c>
      <c r="AJ160" s="80">
        <f>IFERROR(('Resumo-Cult.Perma.'!AG127*('Critérios de Implantação'!AJ$79)),0)+IFERROR(('Resumo-Cult.Perma.'!AF127*('Critérios de Implantação'!AJ$80)),0)+IFERROR(('Resumo-Cult.Perma.'!AE127*('Critérios de Implantação'!AJ$81)),0)+IFERROR(('Resumo-Cult.Perma.'!AD127*('Critérios de Implantação'!AJ$82)),0)+IFERROR(('Resumo-Cult.Perma.'!AC127*('Critérios de Implantação'!AJ$83)),0)+IFERROR(('Resumo-Cult.Perma.'!AB127*('Critérios de Implantação'!AJ$84)),0)+IFERROR(('Resumo-Cult.Perma.'!AA127*('Critérios de Implantação'!AJ$85)),0)+IFERROR(('Resumo-Cult.Perma.'!Z127*('Critérios de Implantação'!AJ$86)),0)+IFERROR(('Resumo-Cult.Perma.'!Y127*('Critérios de Implantação'!AJ$87)),0)</f>
        <v>105206267.62194306</v>
      </c>
      <c r="AK160" s="81">
        <f>IFERROR(('Resumo-Cult.Perma.'!AH127*('Critérios de Implantação'!AK$79)),0)+IFERROR(('Resumo-Cult.Perma.'!AG127*('Critérios de Implantação'!AK$80)),0)+IFERROR(('Resumo-Cult.Perma.'!AF127*('Critérios de Implantação'!AK$81)),0)+IFERROR(('Resumo-Cult.Perma.'!AE127*('Critérios de Implantação'!AK$82)),0)+IFERROR(('Resumo-Cult.Perma.'!AD127*('Critérios de Implantação'!AK$83)),0)+IFERROR(('Resumo-Cult.Perma.'!AC127*('Critérios de Implantação'!AK$84)),0)+IFERROR(('Resumo-Cult.Perma.'!AB127*('Critérios de Implantação'!AK$85)),0)+IFERROR(('Resumo-Cult.Perma.'!AA127*('Critérios de Implantação'!AK$86)),0)+IFERROR(('Resumo-Cult.Perma.'!Z127*('Critérios de Implantação'!AK$87)),0)</f>
        <v>100065975.05781648</v>
      </c>
    </row>
    <row r="161" spans="1:37" ht="20.149999999999999" customHeight="1" outlineLevel="1" thickBot="1" x14ac:dyDescent="0.3">
      <c r="A161" s="52"/>
      <c r="B161" s="102" t="s">
        <v>153</v>
      </c>
      <c r="C161" s="88"/>
      <c r="D161" s="88">
        <f>SUM(D160:D160)</f>
        <v>0</v>
      </c>
      <c r="E161" s="88">
        <f t="shared" ref="E161:AK161" si="68">SUM(E160:E160)</f>
        <v>0</v>
      </c>
      <c r="F161" s="88">
        <f t="shared" si="68"/>
        <v>0</v>
      </c>
      <c r="G161" s="88">
        <f t="shared" si="68"/>
        <v>676669.42818134883</v>
      </c>
      <c r="H161" s="88">
        <f>SUM(H160:H160)</f>
        <v>4084183.334380284</v>
      </c>
      <c r="I161" s="88">
        <f t="shared" si="68"/>
        <v>9223019.2858410124</v>
      </c>
      <c r="J161" s="88">
        <f t="shared" si="68"/>
        <v>20889216.472929426</v>
      </c>
      <c r="K161" s="88">
        <f t="shared" si="68"/>
        <v>34699771.295615129</v>
      </c>
      <c r="L161" s="88">
        <f t="shared" si="68"/>
        <v>49862033.290393598</v>
      </c>
      <c r="M161" s="88">
        <f t="shared" si="68"/>
        <v>70298941.908250049</v>
      </c>
      <c r="N161" s="88">
        <f t="shared" si="68"/>
        <v>87094280.958682939</v>
      </c>
      <c r="O161" s="88">
        <f t="shared" si="68"/>
        <v>99425922.787552267</v>
      </c>
      <c r="P161" s="88">
        <f t="shared" si="68"/>
        <v>106637799.60360785</v>
      </c>
      <c r="Q161" s="88">
        <f t="shared" si="68"/>
        <v>108445993.8277384</v>
      </c>
      <c r="R161" s="88">
        <f t="shared" si="68"/>
        <v>105206267.62194306</v>
      </c>
      <c r="S161" s="88">
        <f t="shared" si="68"/>
        <v>100065975.05781648</v>
      </c>
      <c r="T161" s="88">
        <f t="shared" si="68"/>
        <v>96230847.758825392</v>
      </c>
      <c r="U161" s="88">
        <f t="shared" si="68"/>
        <v>92416156.27984336</v>
      </c>
      <c r="V161" s="88">
        <f t="shared" si="68"/>
        <v>89270675.898544744</v>
      </c>
      <c r="W161" s="88">
        <f t="shared" si="68"/>
        <v>85554171.005657107</v>
      </c>
      <c r="X161" s="88">
        <f t="shared" si="68"/>
        <v>77466954.318180233</v>
      </c>
      <c r="Y161" s="88">
        <f t="shared" si="68"/>
        <v>70168515.385772765</v>
      </c>
      <c r="Z161" s="88">
        <f t="shared" si="68"/>
        <v>63667162.83941786</v>
      </c>
      <c r="AA161" s="88">
        <f t="shared" si="68"/>
        <v>54555703.380258515</v>
      </c>
      <c r="AB161" s="88">
        <f t="shared" si="68"/>
        <v>52910880.39620091</v>
      </c>
      <c r="AC161" s="88">
        <f t="shared" si="68"/>
        <v>54031216.304086141</v>
      </c>
      <c r="AD161" s="88">
        <f t="shared" si="68"/>
        <v>59434202.604597077</v>
      </c>
      <c r="AE161" s="88">
        <f t="shared" si="68"/>
        <v>73255417.971274957</v>
      </c>
      <c r="AF161" s="88">
        <f t="shared" si="68"/>
        <v>87094280.958682939</v>
      </c>
      <c r="AG161" s="88">
        <f t="shared" si="68"/>
        <v>99425922.787552267</v>
      </c>
      <c r="AH161" s="88">
        <f t="shared" si="68"/>
        <v>106637799.60360785</v>
      </c>
      <c r="AI161" s="88">
        <f t="shared" si="68"/>
        <v>108445993.8277384</v>
      </c>
      <c r="AJ161" s="88">
        <f t="shared" si="68"/>
        <v>105206267.62194306</v>
      </c>
      <c r="AK161" s="89">
        <f t="shared" si="68"/>
        <v>100065975.05781648</v>
      </c>
    </row>
    <row r="162" spans="1:37" ht="20.149999999999999" customHeight="1" outlineLevel="1" thickBot="1" x14ac:dyDescent="0.3">
      <c r="A162" s="14"/>
      <c r="C162" s="103"/>
      <c r="D162" s="103"/>
      <c r="E162" s="103"/>
      <c r="F162" s="103"/>
      <c r="G162" s="103"/>
      <c r="H162" s="103"/>
      <c r="I162" s="103"/>
      <c r="J162" s="103"/>
      <c r="K162" s="103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</row>
    <row r="163" spans="1:37" ht="20.149999999999999" customHeight="1" outlineLevel="1" thickBot="1" x14ac:dyDescent="0.3">
      <c r="A163" s="70">
        <v>4</v>
      </c>
      <c r="B163" s="104" t="s">
        <v>556</v>
      </c>
      <c r="C163" s="105"/>
      <c r="D163" s="105">
        <f t="shared" ref="D163:AK163" si="69">D161-D157-D150</f>
        <v>0</v>
      </c>
      <c r="E163" s="105">
        <f t="shared" si="69"/>
        <v>0</v>
      </c>
      <c r="F163" s="105">
        <f t="shared" si="69"/>
        <v>-5442972.2464794833</v>
      </c>
      <c r="G163" s="105">
        <f t="shared" si="69"/>
        <v>-6734649.8853036482</v>
      </c>
      <c r="H163" s="105">
        <f t="shared" si="69"/>
        <v>-7128496.9696463384</v>
      </c>
      <c r="I163" s="105">
        <f t="shared" si="69"/>
        <v>-11561991.296017937</v>
      </c>
      <c r="J163" s="105">
        <f t="shared" si="69"/>
        <v>-5576822.6653225925</v>
      </c>
      <c r="K163" s="105">
        <f t="shared" si="69"/>
        <v>711033.43431023881</v>
      </c>
      <c r="L163" s="105">
        <f t="shared" si="69"/>
        <v>10417220.679081799</v>
      </c>
      <c r="M163" s="105">
        <f t="shared" si="69"/>
        <v>26136848.16088777</v>
      </c>
      <c r="N163" s="105">
        <f t="shared" si="69"/>
        <v>40127760.509946898</v>
      </c>
      <c r="O163" s="105">
        <f t="shared" si="69"/>
        <v>51618440.605201133</v>
      </c>
      <c r="P163" s="105">
        <f t="shared" si="69"/>
        <v>56653179.144468345</v>
      </c>
      <c r="Q163" s="105">
        <f t="shared" si="69"/>
        <v>57402500.680570707</v>
      </c>
      <c r="R163" s="105">
        <f t="shared" si="69"/>
        <v>53926182.542470425</v>
      </c>
      <c r="S163" s="105">
        <f t="shared" si="69"/>
        <v>48989426.407563232</v>
      </c>
      <c r="T163" s="105">
        <f t="shared" si="69"/>
        <v>45414004.857535698</v>
      </c>
      <c r="U163" s="105">
        <f t="shared" si="69"/>
        <v>41887402.057955958</v>
      </c>
      <c r="V163" s="105">
        <f t="shared" si="69"/>
        <v>38979470.976286672</v>
      </c>
      <c r="W163" s="105">
        <f t="shared" si="69"/>
        <v>35543639.629997313</v>
      </c>
      <c r="X163" s="105">
        <f t="shared" si="69"/>
        <v>27973371.576896317</v>
      </c>
      <c r="Y163" s="105">
        <f t="shared" si="69"/>
        <v>22482671.219689265</v>
      </c>
      <c r="Z163" s="105">
        <f t="shared" si="69"/>
        <v>17185969.368273072</v>
      </c>
      <c r="AA163" s="105">
        <f t="shared" si="69"/>
        <v>9377383.870559223</v>
      </c>
      <c r="AB163" s="105">
        <f t="shared" si="69"/>
        <v>9662272.023080714</v>
      </c>
      <c r="AC163" s="105">
        <f t="shared" si="69"/>
        <v>11471708.91630917</v>
      </c>
      <c r="AD163" s="105">
        <f t="shared" si="69"/>
        <v>17049844.17277208</v>
      </c>
      <c r="AE163" s="105">
        <f t="shared" si="69"/>
        <v>29610354.935823441</v>
      </c>
      <c r="AF163" s="105">
        <f t="shared" si="69"/>
        <v>41539233.661886193</v>
      </c>
      <c r="AG163" s="105">
        <f t="shared" si="69"/>
        <v>51618440.605201133</v>
      </c>
      <c r="AH163" s="105">
        <f t="shared" si="69"/>
        <v>56653179.144468345</v>
      </c>
      <c r="AI163" s="105">
        <f t="shared" si="69"/>
        <v>57402500.680570707</v>
      </c>
      <c r="AJ163" s="105">
        <f t="shared" si="69"/>
        <v>53926182.542470425</v>
      </c>
      <c r="AK163" s="105">
        <f t="shared" si="69"/>
        <v>48989426.407563232</v>
      </c>
    </row>
    <row r="164" spans="1:37" ht="20.149999999999999" customHeight="1" outlineLevel="1" thickBot="1" x14ac:dyDescent="0.3">
      <c r="A164" s="14"/>
      <c r="C164" s="103"/>
      <c r="D164" s="103"/>
      <c r="E164" s="103"/>
      <c r="F164" s="103"/>
      <c r="G164" s="103"/>
      <c r="H164" s="103"/>
      <c r="I164" s="103"/>
      <c r="J164" s="103"/>
      <c r="K164" s="103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</row>
    <row r="165" spans="1:37" ht="20.149999999999999" customHeight="1" outlineLevel="1" thickBot="1" x14ac:dyDescent="0.3">
      <c r="A165" s="70">
        <v>5</v>
      </c>
      <c r="B165" s="104" t="s">
        <v>160</v>
      </c>
      <c r="C165" s="107"/>
      <c r="D165" s="107">
        <f>D163</f>
        <v>0</v>
      </c>
      <c r="E165" s="107">
        <f t="shared" ref="E165:AI165" si="70">D165+E163</f>
        <v>0</v>
      </c>
      <c r="F165" s="107">
        <f t="shared" si="70"/>
        <v>-5442972.2464794833</v>
      </c>
      <c r="G165" s="107">
        <f t="shared" si="70"/>
        <v>-12177622.131783132</v>
      </c>
      <c r="H165" s="107">
        <f>G165+H163</f>
        <v>-19306119.10142947</v>
      </c>
      <c r="I165" s="107">
        <f>H165+I163</f>
        <v>-30868110.397447407</v>
      </c>
      <c r="J165" s="107">
        <f t="shared" si="70"/>
        <v>-36444933.062770002</v>
      </c>
      <c r="K165" s="107">
        <f t="shared" si="70"/>
        <v>-35733899.628459767</v>
      </c>
      <c r="L165" s="107">
        <f t="shared" si="70"/>
        <v>-25316678.949377969</v>
      </c>
      <c r="M165" s="107">
        <f t="shared" si="70"/>
        <v>820169.21150980145</v>
      </c>
      <c r="N165" s="107">
        <f t="shared" si="70"/>
        <v>40947929.721456699</v>
      </c>
      <c r="O165" s="107">
        <f t="shared" si="70"/>
        <v>92566370.326657832</v>
      </c>
      <c r="P165" s="107">
        <f t="shared" si="70"/>
        <v>149219549.47112617</v>
      </c>
      <c r="Q165" s="107">
        <f t="shared" si="70"/>
        <v>206622050.15169686</v>
      </c>
      <c r="R165" s="107">
        <f t="shared" si="70"/>
        <v>260548232.69416729</v>
      </c>
      <c r="S165" s="107">
        <f t="shared" si="70"/>
        <v>309537659.10173053</v>
      </c>
      <c r="T165" s="107">
        <f t="shared" si="70"/>
        <v>354951663.95926625</v>
      </c>
      <c r="U165" s="107">
        <f t="shared" si="70"/>
        <v>396839066.01722223</v>
      </c>
      <c r="V165" s="107">
        <f t="shared" si="70"/>
        <v>435818536.99350888</v>
      </c>
      <c r="W165" s="107">
        <f t="shared" si="70"/>
        <v>471362176.62350619</v>
      </c>
      <c r="X165" s="107">
        <f t="shared" si="70"/>
        <v>499335548.2004025</v>
      </c>
      <c r="Y165" s="107">
        <f t="shared" si="70"/>
        <v>521818219.42009175</v>
      </c>
      <c r="Z165" s="107">
        <f t="shared" si="70"/>
        <v>539004188.78836477</v>
      </c>
      <c r="AA165" s="107">
        <f t="shared" si="70"/>
        <v>548381572.65892398</v>
      </c>
      <c r="AB165" s="107">
        <f t="shared" si="70"/>
        <v>558043844.68200469</v>
      </c>
      <c r="AC165" s="107">
        <f t="shared" si="70"/>
        <v>569515553.59831381</v>
      </c>
      <c r="AD165" s="107">
        <f t="shared" si="70"/>
        <v>586565397.77108586</v>
      </c>
      <c r="AE165" s="107">
        <f t="shared" si="70"/>
        <v>616175752.7069093</v>
      </c>
      <c r="AF165" s="107">
        <f t="shared" si="70"/>
        <v>657714986.36879551</v>
      </c>
      <c r="AG165" s="107">
        <f t="shared" si="70"/>
        <v>709333426.97399664</v>
      </c>
      <c r="AH165" s="107">
        <f t="shared" si="70"/>
        <v>765986606.11846495</v>
      </c>
      <c r="AI165" s="107">
        <f t="shared" si="70"/>
        <v>823389106.79903567</v>
      </c>
      <c r="AJ165" s="107">
        <f>AI165+AJ163</f>
        <v>877315289.34150612</v>
      </c>
      <c r="AK165" s="107">
        <f>AJ165+AK163</f>
        <v>926304715.74906933</v>
      </c>
    </row>
    <row r="166" spans="1:37" outlineLevel="1" x14ac:dyDescent="0.25"/>
    <row r="167" spans="1:37" s="546" customFormat="1" ht="30" customHeight="1" collapsed="1" x14ac:dyDescent="0.25">
      <c r="A167" s="545" t="s">
        <v>245</v>
      </c>
      <c r="AK167" s="870"/>
    </row>
    <row r="168" spans="1:37" s="550" customFormat="1" ht="20.149999999999999" hidden="1" customHeight="1" outlineLevel="1" thickBot="1" x14ac:dyDescent="0.3">
      <c r="A168" s="547" t="s">
        <v>392</v>
      </c>
      <c r="B168" s="548"/>
      <c r="C168" s="548"/>
      <c r="D168" s="548"/>
      <c r="E168" s="548"/>
      <c r="F168" s="548"/>
      <c r="G168" s="548"/>
      <c r="H168" s="548"/>
      <c r="I168" s="548"/>
      <c r="J168" s="548"/>
      <c r="K168" s="548"/>
      <c r="L168" s="548"/>
      <c r="M168" s="548"/>
      <c r="N168" s="548"/>
      <c r="O168" s="548"/>
      <c r="P168" s="548"/>
      <c r="Q168" s="548"/>
      <c r="R168" s="548"/>
      <c r="S168" s="548"/>
      <c r="T168" s="548"/>
      <c r="U168" s="548"/>
      <c r="V168" s="548"/>
      <c r="W168" s="548"/>
      <c r="X168" s="548"/>
      <c r="Y168" s="548"/>
      <c r="Z168" s="548"/>
      <c r="AA168" s="548"/>
      <c r="AB168" s="548"/>
      <c r="AC168" s="548"/>
      <c r="AD168" s="548"/>
      <c r="AE168" s="548"/>
      <c r="AF168" s="548"/>
      <c r="AG168" s="548"/>
      <c r="AH168" s="548"/>
      <c r="AI168" s="548"/>
      <c r="AJ168" s="548"/>
      <c r="AK168" s="878"/>
    </row>
    <row r="169" spans="1:37" s="58" customFormat="1" ht="20.149999999999999" hidden="1" customHeight="1" outlineLevel="1" thickBot="1" x14ac:dyDescent="0.3">
      <c r="A169" s="1096" t="s">
        <v>152</v>
      </c>
      <c r="B169" s="1098" t="s">
        <v>150</v>
      </c>
      <c r="C169" s="884" t="s">
        <v>151</v>
      </c>
      <c r="D169" s="885"/>
      <c r="E169" s="885"/>
      <c r="F169" s="885"/>
      <c r="G169" s="885"/>
      <c r="H169" s="885"/>
      <c r="I169" s="885"/>
      <c r="J169" s="885"/>
      <c r="K169" s="885"/>
      <c r="L169" s="885"/>
      <c r="M169" s="885"/>
      <c r="N169" s="885"/>
      <c r="O169" s="885"/>
      <c r="P169" s="885"/>
      <c r="Q169" s="885"/>
      <c r="R169" s="885"/>
      <c r="S169" s="885"/>
      <c r="T169" s="885"/>
      <c r="U169" s="885"/>
      <c r="V169" s="885"/>
      <c r="W169" s="885"/>
      <c r="X169" s="885"/>
      <c r="Y169" s="885"/>
      <c r="Z169" s="885"/>
      <c r="AA169" s="885"/>
      <c r="AB169" s="885"/>
      <c r="AC169" s="885"/>
      <c r="AD169" s="885"/>
      <c r="AE169" s="885"/>
      <c r="AF169" s="885"/>
      <c r="AG169" s="885"/>
      <c r="AH169" s="885"/>
      <c r="AI169" s="885"/>
      <c r="AJ169" s="885"/>
      <c r="AK169" s="886"/>
    </row>
    <row r="170" spans="1:37" s="58" customFormat="1" ht="20.149999999999999" hidden="1" customHeight="1" outlineLevel="1" thickBot="1" x14ac:dyDescent="0.3">
      <c r="A170" s="1097"/>
      <c r="B170" s="1099"/>
      <c r="C170" s="122">
        <v>1</v>
      </c>
      <c r="D170" s="122">
        <f>C170+1</f>
        <v>2</v>
      </c>
      <c r="E170" s="122">
        <f t="shared" ref="E170:AK170" si="71">D170+1</f>
        <v>3</v>
      </c>
      <c r="F170" s="122">
        <f t="shared" si="71"/>
        <v>4</v>
      </c>
      <c r="G170" s="122">
        <f t="shared" si="71"/>
        <v>5</v>
      </c>
      <c r="H170" s="122">
        <f t="shared" si="71"/>
        <v>6</v>
      </c>
      <c r="I170" s="122">
        <f t="shared" si="71"/>
        <v>7</v>
      </c>
      <c r="J170" s="122">
        <f t="shared" si="71"/>
        <v>8</v>
      </c>
      <c r="K170" s="122">
        <f t="shared" si="71"/>
        <v>9</v>
      </c>
      <c r="L170" s="122">
        <f t="shared" si="71"/>
        <v>10</v>
      </c>
      <c r="M170" s="122">
        <f t="shared" si="71"/>
        <v>11</v>
      </c>
      <c r="N170" s="122">
        <f t="shared" si="71"/>
        <v>12</v>
      </c>
      <c r="O170" s="122">
        <f t="shared" si="71"/>
        <v>13</v>
      </c>
      <c r="P170" s="122">
        <f t="shared" si="71"/>
        <v>14</v>
      </c>
      <c r="Q170" s="122">
        <f t="shared" si="71"/>
        <v>15</v>
      </c>
      <c r="R170" s="122">
        <f t="shared" si="71"/>
        <v>16</v>
      </c>
      <c r="S170" s="122">
        <f t="shared" si="71"/>
        <v>17</v>
      </c>
      <c r="T170" s="122">
        <f t="shared" si="71"/>
        <v>18</v>
      </c>
      <c r="U170" s="122">
        <f t="shared" si="71"/>
        <v>19</v>
      </c>
      <c r="V170" s="122">
        <f t="shared" si="71"/>
        <v>20</v>
      </c>
      <c r="W170" s="122">
        <f t="shared" si="71"/>
        <v>21</v>
      </c>
      <c r="X170" s="122">
        <f t="shared" si="71"/>
        <v>22</v>
      </c>
      <c r="Y170" s="122">
        <f t="shared" si="71"/>
        <v>23</v>
      </c>
      <c r="Z170" s="122">
        <f t="shared" si="71"/>
        <v>24</v>
      </c>
      <c r="AA170" s="122">
        <f t="shared" si="71"/>
        <v>25</v>
      </c>
      <c r="AB170" s="122">
        <f t="shared" si="71"/>
        <v>26</v>
      </c>
      <c r="AC170" s="122">
        <f t="shared" si="71"/>
        <v>27</v>
      </c>
      <c r="AD170" s="122">
        <f t="shared" si="71"/>
        <v>28</v>
      </c>
      <c r="AE170" s="122">
        <f t="shared" si="71"/>
        <v>29</v>
      </c>
      <c r="AF170" s="122">
        <f t="shared" si="71"/>
        <v>30</v>
      </c>
      <c r="AG170" s="122">
        <f t="shared" si="71"/>
        <v>31</v>
      </c>
      <c r="AH170" s="122">
        <f t="shared" si="71"/>
        <v>32</v>
      </c>
      <c r="AI170" s="122">
        <f t="shared" si="71"/>
        <v>33</v>
      </c>
      <c r="AJ170" s="122">
        <f t="shared" si="71"/>
        <v>34</v>
      </c>
      <c r="AK170" s="122">
        <f t="shared" si="71"/>
        <v>35</v>
      </c>
    </row>
    <row r="171" spans="1:37" ht="20.149999999999999" hidden="1" customHeight="1" outlineLevel="1" x14ac:dyDescent="0.25">
      <c r="A171" s="71">
        <v>1</v>
      </c>
      <c r="B171" s="76" t="s">
        <v>134</v>
      </c>
      <c r="AK171" s="838"/>
    </row>
    <row r="172" spans="1:37" ht="20.149999999999999" hidden="1" customHeight="1" outlineLevel="1" x14ac:dyDescent="0.25">
      <c r="A172" s="48" t="s">
        <v>74</v>
      </c>
      <c r="B172" s="78" t="s">
        <v>129</v>
      </c>
      <c r="C172" s="80"/>
      <c r="D172" s="80">
        <f>('Critérios de Implantação'!D$30*'Critérios de Implantação'!$C$19)*'Resumo-Cult.Perma.'!$C141</f>
        <v>0</v>
      </c>
      <c r="E172" s="80">
        <f>('Critérios de Implantação'!E$30*'Critérios de Implantação'!$C$19)*'Resumo-Cult.Perma.'!$C141</f>
        <v>0</v>
      </c>
      <c r="F172" s="80">
        <f>('Critérios de Implantação'!F$30*'Critérios de Implantação'!$C$19)*'Resumo-Cult.Perma.'!$C141</f>
        <v>0</v>
      </c>
      <c r="G172" s="80">
        <f>('Critérios de Implantação'!G$30*'Critérios de Implantação'!$C$19)*'Resumo-Cult.Perma.'!$C141</f>
        <v>0</v>
      </c>
      <c r="H172" s="80">
        <f>('Critérios de Implantação'!H$30*'Critérios de Implantação'!$C$19)*'Resumo-Cult.Perma.'!$C141</f>
        <v>0</v>
      </c>
      <c r="I172" s="80">
        <f>('Critérios de Implantação'!I$30*'Critérios de Implantação'!$C$19)*'Resumo-Cult.Perma.'!$C141</f>
        <v>0</v>
      </c>
      <c r="J172" s="80">
        <f>('Critérios de Implantação'!J$30*'Critérios de Implantação'!$C$19)*'Resumo-Cult.Perma.'!$C141</f>
        <v>0</v>
      </c>
      <c r="K172" s="80">
        <f>('Critérios de Implantação'!K$30*'Critérios de Implantação'!$C$19)*'Resumo-Cult.Perma.'!$C141</f>
        <v>0</v>
      </c>
      <c r="L172" s="80">
        <f>('Critérios de Implantação'!L$30*'Critérios de Implantação'!$C$19)*'Resumo-Cult.Perma.'!$C141</f>
        <v>0</v>
      </c>
      <c r="M172" s="80">
        <f>('Critérios de Implantação'!M$30*'Critérios de Implantação'!$C$19)*'Resumo-Cult.Perma.'!$C141</f>
        <v>0</v>
      </c>
      <c r="N172" s="80">
        <f>('Critérios de Implantação'!N$30*'Critérios de Implantação'!$C$19)*'Resumo-Cult.Perma.'!$C141</f>
        <v>0</v>
      </c>
      <c r="O172" s="80">
        <f>('Critérios de Implantação'!O$30*'Critérios de Implantação'!$C$19)*'Resumo-Cult.Perma.'!$C141</f>
        <v>0</v>
      </c>
      <c r="P172" s="80">
        <f>('Critérios de Implantação'!P$30*'Critérios de Implantação'!$C$19)*'Resumo-Cult.Perma.'!$C141</f>
        <v>0</v>
      </c>
      <c r="Q172" s="80">
        <f>('Critérios de Implantação'!Q$30*'Critérios de Implantação'!$C$19)*'Resumo-Cult.Perma.'!$C141</f>
        <v>0</v>
      </c>
      <c r="R172" s="80">
        <f>('Critérios de Implantação'!R$30*'Critérios de Implantação'!$C$19)*'Resumo-Cult.Perma.'!$C141</f>
        <v>0</v>
      </c>
      <c r="S172" s="80">
        <f>('Critérios de Implantação'!S$30*'Critérios de Implantação'!$C$19)*'Resumo-Cult.Perma.'!$C141</f>
        <v>0</v>
      </c>
      <c r="T172" s="80">
        <f>('Critérios de Implantação'!T$30*'Critérios de Implantação'!$C$19)*'Resumo-Cult.Perma.'!$C141</f>
        <v>0</v>
      </c>
      <c r="U172" s="80">
        <f>('Critérios de Implantação'!U$30*'Critérios de Implantação'!$C$19)*'Resumo-Cult.Perma.'!$C141</f>
        <v>0</v>
      </c>
      <c r="V172" s="80">
        <f>('Critérios de Implantação'!V$30*'Critérios de Implantação'!$C$19)*'Resumo-Cult.Perma.'!$C141</f>
        <v>0</v>
      </c>
      <c r="W172" s="80">
        <f>('Critérios de Implantação'!W$30*'Critérios de Implantação'!$C$19)*'Resumo-Cult.Perma.'!$C141</f>
        <v>0</v>
      </c>
      <c r="X172" s="80">
        <f>('Critérios de Implantação'!X$30*'Critérios de Implantação'!$C$19)*'Resumo-Cult.Perma.'!$C141</f>
        <v>0</v>
      </c>
      <c r="Y172" s="80">
        <f>('Critérios de Implantação'!Y$30*'Critérios de Implantação'!$C$19)*'Resumo-Cult.Perma.'!$C141</f>
        <v>0</v>
      </c>
      <c r="Z172" s="80">
        <f>('Critérios de Implantação'!Z$30*'Critérios de Implantação'!$C$19)*'Resumo-Cult.Perma.'!$C141</f>
        <v>0</v>
      </c>
      <c r="AA172" s="80">
        <f>('Critérios de Implantação'!AA$30*'Critérios de Implantação'!$C$19)*'Resumo-Cult.Perma.'!$C141</f>
        <v>0</v>
      </c>
      <c r="AB172" s="80">
        <f>('Critérios de Implantação'!AB$30*'Critérios de Implantação'!$C$19)*'Resumo-Cult.Perma.'!$C141</f>
        <v>0</v>
      </c>
      <c r="AC172" s="80">
        <f>('Critérios de Implantação'!AC$30*'Critérios de Implantação'!$C$19)*'Resumo-Cult.Perma.'!$C141</f>
        <v>0</v>
      </c>
      <c r="AD172" s="80">
        <f>('Critérios de Implantação'!AD$30*'Critérios de Implantação'!$C$19)*'Resumo-Cult.Perma.'!$C141</f>
        <v>0</v>
      </c>
      <c r="AE172" s="80">
        <f>('Critérios de Implantação'!AE$30*'Critérios de Implantação'!$C$19)*'Resumo-Cult.Perma.'!$C141</f>
        <v>0</v>
      </c>
      <c r="AF172" s="80">
        <f>('Critérios de Implantação'!AF$30*'Critérios de Implantação'!$C$19)*'Resumo-Cult.Perma.'!$C141</f>
        <v>0</v>
      </c>
      <c r="AG172" s="80">
        <f>('Critérios de Implantação'!AG$30*'Critérios de Implantação'!$C$19)*'Resumo-Cult.Perma.'!$C141</f>
        <v>0</v>
      </c>
      <c r="AH172" s="80">
        <f>('Critérios de Implantação'!AH$30*'Critérios de Implantação'!$C$19)*'Resumo-Cult.Perma.'!$C141</f>
        <v>0</v>
      </c>
      <c r="AI172" s="80">
        <f>('Critérios de Implantação'!AI$30*'Critérios de Implantação'!$C$19)*'Resumo-Cult.Perma.'!$C141</f>
        <v>0</v>
      </c>
      <c r="AJ172" s="80">
        <f>('Critérios de Implantação'!AJ$30*'Critérios de Implantação'!$C$19)*'Resumo-Cult.Perma.'!$C141</f>
        <v>0</v>
      </c>
      <c r="AK172" s="81">
        <f>('Critérios de Implantação'!AK$30*'Critérios de Implantação'!$C$19)*'Resumo-Cult.Perma.'!$C141</f>
        <v>0</v>
      </c>
    </row>
    <row r="173" spans="1:37" ht="20.149999999999999" hidden="1" customHeight="1" outlineLevel="1" x14ac:dyDescent="0.25">
      <c r="A173" s="48" t="s">
        <v>75</v>
      </c>
      <c r="B173" s="82" t="s">
        <v>335</v>
      </c>
      <c r="C173" s="80"/>
      <c r="D173" s="80">
        <f>('Critérios de Implantação'!D$30*'Critérios de Implantação'!$C$19)*'Resumo-Cult.Perma.'!$C142</f>
        <v>0</v>
      </c>
      <c r="E173" s="80">
        <f>('Critérios de Implantação'!E$30*'Critérios de Implantação'!$C$19)*'Resumo-Cult.Perma.'!$C142</f>
        <v>0</v>
      </c>
      <c r="F173" s="80">
        <f>('Critérios de Implantação'!F$30*'Critérios de Implantação'!$C$19)*'Resumo-Cult.Perma.'!$C142</f>
        <v>0</v>
      </c>
      <c r="G173" s="80">
        <f>('Critérios de Implantação'!G$30*'Critérios de Implantação'!$C$19)*'Resumo-Cult.Perma.'!$C142</f>
        <v>0</v>
      </c>
      <c r="H173" s="80">
        <f>('Critérios de Implantação'!H$30*'Critérios de Implantação'!$C$19)*'Resumo-Cult.Perma.'!$C142</f>
        <v>0</v>
      </c>
      <c r="I173" s="80">
        <f>('Critérios de Implantação'!I$30*'Critérios de Implantação'!$C$19)*'Resumo-Cult.Perma.'!$C142</f>
        <v>0</v>
      </c>
      <c r="J173" s="80">
        <f>('Critérios de Implantação'!J$30*'Critérios de Implantação'!$C$19)*'Resumo-Cult.Perma.'!$C142</f>
        <v>0</v>
      </c>
      <c r="K173" s="80">
        <f>('Critérios de Implantação'!K$30*'Critérios de Implantação'!$C$19)*'Resumo-Cult.Perma.'!$C142</f>
        <v>0</v>
      </c>
      <c r="L173" s="80">
        <f>('Critérios de Implantação'!L$30*'Critérios de Implantação'!$C$19)*'Resumo-Cult.Perma.'!$C142</f>
        <v>0</v>
      </c>
      <c r="M173" s="80">
        <f>('Critérios de Implantação'!M$30*'Critérios de Implantação'!$C$19)*'Resumo-Cult.Perma.'!$C142</f>
        <v>0</v>
      </c>
      <c r="N173" s="80">
        <f>('Critérios de Implantação'!N$30*'Critérios de Implantação'!$C$19)*'Resumo-Cult.Perma.'!$C142</f>
        <v>0</v>
      </c>
      <c r="O173" s="80">
        <f>('Critérios de Implantação'!O$30*'Critérios de Implantação'!$C$19)*'Resumo-Cult.Perma.'!$C142</f>
        <v>0</v>
      </c>
      <c r="P173" s="80">
        <f>('Critérios de Implantação'!P$30*'Critérios de Implantação'!$C$19)*'Resumo-Cult.Perma.'!$C142</f>
        <v>0</v>
      </c>
      <c r="Q173" s="80">
        <f>('Critérios de Implantação'!Q$30*'Critérios de Implantação'!$C$19)*'Resumo-Cult.Perma.'!$C142</f>
        <v>0</v>
      </c>
      <c r="R173" s="80">
        <f>('Critérios de Implantação'!R$30*'Critérios de Implantação'!$C$19)*'Resumo-Cult.Perma.'!$C142</f>
        <v>0</v>
      </c>
      <c r="S173" s="80">
        <f>('Critérios de Implantação'!S$30*'Critérios de Implantação'!$C$19)*'Resumo-Cult.Perma.'!$C142</f>
        <v>0</v>
      </c>
      <c r="T173" s="80">
        <f>('Critérios de Implantação'!T$30*'Critérios de Implantação'!$C$19)*'Resumo-Cult.Perma.'!$C142</f>
        <v>0</v>
      </c>
      <c r="U173" s="80">
        <f>('Critérios de Implantação'!U$30*'Critérios de Implantação'!$C$19)*'Resumo-Cult.Perma.'!$C142</f>
        <v>0</v>
      </c>
      <c r="V173" s="80">
        <f>('Critérios de Implantação'!V$30*'Critérios de Implantação'!$C$19)*'Resumo-Cult.Perma.'!$C142</f>
        <v>0</v>
      </c>
      <c r="W173" s="80">
        <f>('Critérios de Implantação'!W$30*'Critérios de Implantação'!$C$19)*'Resumo-Cult.Perma.'!$C142</f>
        <v>0</v>
      </c>
      <c r="X173" s="80">
        <f>('Critérios de Implantação'!X$30*'Critérios de Implantação'!$C$19)*'Resumo-Cult.Perma.'!$C142</f>
        <v>0</v>
      </c>
      <c r="Y173" s="80">
        <f>('Critérios de Implantação'!Y$30*'Critérios de Implantação'!$C$19)*'Resumo-Cult.Perma.'!$C142</f>
        <v>0</v>
      </c>
      <c r="Z173" s="80">
        <f>('Critérios de Implantação'!Z$30*'Critérios de Implantação'!$C$19)*'Resumo-Cult.Perma.'!$C142</f>
        <v>0</v>
      </c>
      <c r="AA173" s="80">
        <f>('Critérios de Implantação'!AA$30*'Critérios de Implantação'!$C$19)*'Resumo-Cult.Perma.'!$C142</f>
        <v>0</v>
      </c>
      <c r="AB173" s="80">
        <f>('Critérios de Implantação'!AB$30*'Critérios de Implantação'!$C$19)*'Resumo-Cult.Perma.'!$C142</f>
        <v>0</v>
      </c>
      <c r="AC173" s="80">
        <f>('Critérios de Implantação'!AC$30*'Critérios de Implantação'!$C$19)*'Resumo-Cult.Perma.'!$C142</f>
        <v>0</v>
      </c>
      <c r="AD173" s="80">
        <f>('Critérios de Implantação'!AD$30*'Critérios de Implantação'!$C$19)*'Resumo-Cult.Perma.'!$C142</f>
        <v>0</v>
      </c>
      <c r="AE173" s="80">
        <f>('Critérios de Implantação'!AE$30*'Critérios de Implantação'!$C$19)*'Resumo-Cult.Perma.'!$C142</f>
        <v>0</v>
      </c>
      <c r="AF173" s="80">
        <f>('Critérios de Implantação'!AF$30*'Critérios de Implantação'!$C$19)*'Resumo-Cult.Perma.'!$C142</f>
        <v>0</v>
      </c>
      <c r="AG173" s="80">
        <f>('Critérios de Implantação'!AG$30*'Critérios de Implantação'!$C$19)*'Resumo-Cult.Perma.'!$C142</f>
        <v>0</v>
      </c>
      <c r="AH173" s="80">
        <f>('Critérios de Implantação'!AH$30*'Critérios de Implantação'!$C$19)*'Resumo-Cult.Perma.'!$C142</f>
        <v>0</v>
      </c>
      <c r="AI173" s="80">
        <f>('Critérios de Implantação'!AI$30*'Critérios de Implantação'!$C$19)*'Resumo-Cult.Perma.'!$C142</f>
        <v>0</v>
      </c>
      <c r="AJ173" s="80">
        <f>('Critérios de Implantação'!AJ$30*'Critérios de Implantação'!$C$19)*'Resumo-Cult.Perma.'!$C142</f>
        <v>0</v>
      </c>
      <c r="AK173" s="81">
        <f>('Critérios de Implantação'!AK$30*'Critérios de Implantação'!$C$19)*'Resumo-Cult.Perma.'!$C142</f>
        <v>0</v>
      </c>
    </row>
    <row r="174" spans="1:37" ht="20.149999999999999" hidden="1" customHeight="1" outlineLevel="1" x14ac:dyDescent="0.25">
      <c r="A174" s="48" t="s">
        <v>76</v>
      </c>
      <c r="B174" s="82" t="s">
        <v>336</v>
      </c>
      <c r="C174" s="80"/>
      <c r="D174" s="80">
        <f>('Critérios de Implantação'!D$30*'Critérios de Implantação'!$C$19)*'Resumo-Cult.Perma.'!$C143</f>
        <v>0</v>
      </c>
      <c r="E174" s="80">
        <f>('Critérios de Implantação'!E$30*'Critérios de Implantação'!$C$19)*'Resumo-Cult.Perma.'!$C143</f>
        <v>0</v>
      </c>
      <c r="F174" s="80">
        <f>('Critérios de Implantação'!F$30*'Critérios de Implantação'!$C$19)*'Resumo-Cult.Perma.'!$C143</f>
        <v>0</v>
      </c>
      <c r="G174" s="80">
        <f>('Critérios de Implantação'!G$30*'Critérios de Implantação'!$C$19)*'Resumo-Cult.Perma.'!$C143</f>
        <v>0</v>
      </c>
      <c r="H174" s="80">
        <f>('Critérios de Implantação'!H$30*'Critérios de Implantação'!$C$19)*'Resumo-Cult.Perma.'!$C143</f>
        <v>0</v>
      </c>
      <c r="I174" s="80">
        <f>('Critérios de Implantação'!I$30*'Critérios de Implantação'!$C$19)*'Resumo-Cult.Perma.'!$C143</f>
        <v>0</v>
      </c>
      <c r="J174" s="80">
        <f>('Critérios de Implantação'!J$30*'Critérios de Implantação'!$C$19)*'Resumo-Cult.Perma.'!$C143</f>
        <v>0</v>
      </c>
      <c r="K174" s="80">
        <f>('Critérios de Implantação'!K$30*'Critérios de Implantação'!$C$19)*'Resumo-Cult.Perma.'!$C143</f>
        <v>0</v>
      </c>
      <c r="L174" s="80">
        <f>('Critérios de Implantação'!L$30*'Critérios de Implantação'!$C$19)*'Resumo-Cult.Perma.'!$C143</f>
        <v>0</v>
      </c>
      <c r="M174" s="80">
        <f>('Critérios de Implantação'!M$30*'Critérios de Implantação'!$C$19)*'Resumo-Cult.Perma.'!$C143</f>
        <v>0</v>
      </c>
      <c r="N174" s="80">
        <f>('Critérios de Implantação'!N$30*'Critérios de Implantação'!$C$19)*'Resumo-Cult.Perma.'!$C143</f>
        <v>0</v>
      </c>
      <c r="O174" s="80">
        <f>('Critérios de Implantação'!O$30*'Critérios de Implantação'!$C$19)*'Resumo-Cult.Perma.'!$C143</f>
        <v>0</v>
      </c>
      <c r="P174" s="80">
        <f>('Critérios de Implantação'!P$30*'Critérios de Implantação'!$C$19)*'Resumo-Cult.Perma.'!$C143</f>
        <v>0</v>
      </c>
      <c r="Q174" s="80">
        <f>('Critérios de Implantação'!Q$30*'Critérios de Implantação'!$C$19)*'Resumo-Cult.Perma.'!$C143</f>
        <v>0</v>
      </c>
      <c r="R174" s="80">
        <f>('Critérios de Implantação'!R$30*'Critérios de Implantação'!$C$19)*'Resumo-Cult.Perma.'!$C143</f>
        <v>0</v>
      </c>
      <c r="S174" s="80">
        <f>('Critérios de Implantação'!S$30*'Critérios de Implantação'!$C$19)*'Resumo-Cult.Perma.'!$C143</f>
        <v>0</v>
      </c>
      <c r="T174" s="80">
        <f>('Critérios de Implantação'!T$30*'Critérios de Implantação'!$C$19)*'Resumo-Cult.Perma.'!$C143</f>
        <v>0</v>
      </c>
      <c r="U174" s="80">
        <f>('Critérios de Implantação'!U$30*'Critérios de Implantação'!$C$19)*'Resumo-Cult.Perma.'!$C143</f>
        <v>0</v>
      </c>
      <c r="V174" s="80">
        <f>('Critérios de Implantação'!V$30*'Critérios de Implantação'!$C$19)*'Resumo-Cult.Perma.'!$C143</f>
        <v>0</v>
      </c>
      <c r="W174" s="80">
        <f>('Critérios de Implantação'!W$30*'Critérios de Implantação'!$C$19)*'Resumo-Cult.Perma.'!$C143</f>
        <v>0</v>
      </c>
      <c r="X174" s="80">
        <f>('Critérios de Implantação'!X$30*'Critérios de Implantação'!$C$19)*'Resumo-Cult.Perma.'!$C143</f>
        <v>0</v>
      </c>
      <c r="Y174" s="80">
        <f>('Critérios de Implantação'!Y$30*'Critérios de Implantação'!$C$19)*'Resumo-Cult.Perma.'!$C143</f>
        <v>0</v>
      </c>
      <c r="Z174" s="80">
        <f>('Critérios de Implantação'!Z$30*'Critérios de Implantação'!$C$19)*'Resumo-Cult.Perma.'!$C143</f>
        <v>0</v>
      </c>
      <c r="AA174" s="80">
        <f>('Critérios de Implantação'!AA$30*'Critérios de Implantação'!$C$19)*'Resumo-Cult.Perma.'!$C143</f>
        <v>0</v>
      </c>
      <c r="AB174" s="80">
        <f>('Critérios de Implantação'!AB$30*'Critérios de Implantação'!$C$19)*'Resumo-Cult.Perma.'!$C143</f>
        <v>0</v>
      </c>
      <c r="AC174" s="80">
        <f>('Critérios de Implantação'!AC$30*'Critérios de Implantação'!$C$19)*'Resumo-Cult.Perma.'!$C143</f>
        <v>0</v>
      </c>
      <c r="AD174" s="80">
        <f>('Critérios de Implantação'!AD$30*'Critérios de Implantação'!$C$19)*'Resumo-Cult.Perma.'!$C143</f>
        <v>0</v>
      </c>
      <c r="AE174" s="80">
        <f>('Critérios de Implantação'!AE$30*'Critérios de Implantação'!$C$19)*'Resumo-Cult.Perma.'!$C143</f>
        <v>0</v>
      </c>
      <c r="AF174" s="80">
        <f>('Critérios de Implantação'!AF$30*'Critérios de Implantação'!$C$19)*'Resumo-Cult.Perma.'!$C143</f>
        <v>0</v>
      </c>
      <c r="AG174" s="80">
        <f>('Critérios de Implantação'!AG$30*'Critérios de Implantação'!$C$19)*'Resumo-Cult.Perma.'!$C143</f>
        <v>0</v>
      </c>
      <c r="AH174" s="80">
        <f>('Critérios de Implantação'!AH$30*'Critérios de Implantação'!$C$19)*'Resumo-Cult.Perma.'!$C143</f>
        <v>0</v>
      </c>
      <c r="AI174" s="80">
        <f>('Critérios de Implantação'!AI$30*'Critérios de Implantação'!$C$19)*'Resumo-Cult.Perma.'!$C143</f>
        <v>0</v>
      </c>
      <c r="AJ174" s="80">
        <f>('Critérios de Implantação'!AJ$30*'Critérios de Implantação'!$C$19)*'Resumo-Cult.Perma.'!$C143</f>
        <v>0</v>
      </c>
      <c r="AK174" s="81">
        <f>('Critérios de Implantação'!AK$30*'Critérios de Implantação'!$C$19)*'Resumo-Cult.Perma.'!$C143</f>
        <v>0</v>
      </c>
    </row>
    <row r="175" spans="1:37" ht="20.149999999999999" hidden="1" customHeight="1" outlineLevel="1" x14ac:dyDescent="0.25">
      <c r="A175" s="48" t="s">
        <v>126</v>
      </c>
      <c r="B175" s="82" t="s">
        <v>130</v>
      </c>
      <c r="C175" s="80"/>
      <c r="D175" s="80">
        <f>('Critérios de Implantação'!D$30*'Critérios de Implantação'!$C$19)*'Resumo-Cult.Perma.'!$C144</f>
        <v>0</v>
      </c>
      <c r="E175" s="80">
        <f>('Critérios de Implantação'!E$30*'Critérios de Implantação'!$C$19)*'Resumo-Cult.Perma.'!$C144</f>
        <v>0</v>
      </c>
      <c r="F175" s="80">
        <f>('Critérios de Implantação'!F$30*'Critérios de Implantação'!$C$19)*'Resumo-Cult.Perma.'!$C144</f>
        <v>0</v>
      </c>
      <c r="G175" s="80">
        <f>('Critérios de Implantação'!G$30*'Critérios de Implantação'!$C$19)*'Resumo-Cult.Perma.'!$C144</f>
        <v>0</v>
      </c>
      <c r="H175" s="80">
        <f>('Critérios de Implantação'!H$30*'Critérios de Implantação'!$C$19)*'Resumo-Cult.Perma.'!$C144</f>
        <v>0</v>
      </c>
      <c r="I175" s="80">
        <f>('Critérios de Implantação'!I$30*'Critérios de Implantação'!$C$19)*'Resumo-Cult.Perma.'!$C144</f>
        <v>0</v>
      </c>
      <c r="J175" s="80">
        <f>('Critérios de Implantação'!J$30*'Critérios de Implantação'!$C$19)*'Resumo-Cult.Perma.'!$C144</f>
        <v>0</v>
      </c>
      <c r="K175" s="80">
        <f>('Critérios de Implantação'!K$30*'Critérios de Implantação'!$C$19)*'Resumo-Cult.Perma.'!$C144</f>
        <v>0</v>
      </c>
      <c r="L175" s="80">
        <f>('Critérios de Implantação'!L$30*'Critérios de Implantação'!$C$19)*'Resumo-Cult.Perma.'!$C144</f>
        <v>0</v>
      </c>
      <c r="M175" s="80">
        <f>('Critérios de Implantação'!M$30*'Critérios de Implantação'!$C$19)*'Resumo-Cult.Perma.'!$C144</f>
        <v>0</v>
      </c>
      <c r="N175" s="80">
        <f>('Critérios de Implantação'!N$30*'Critérios de Implantação'!$C$19)*'Resumo-Cult.Perma.'!$C144</f>
        <v>0</v>
      </c>
      <c r="O175" s="80">
        <f>('Critérios de Implantação'!O$30*'Critérios de Implantação'!$C$19)*'Resumo-Cult.Perma.'!$C144</f>
        <v>0</v>
      </c>
      <c r="P175" s="80">
        <f>('Critérios de Implantação'!P$30*'Critérios de Implantação'!$C$19)*'Resumo-Cult.Perma.'!$C144</f>
        <v>0</v>
      </c>
      <c r="Q175" s="80">
        <f>('Critérios de Implantação'!Q$30*'Critérios de Implantação'!$C$19)*'Resumo-Cult.Perma.'!$C144</f>
        <v>0</v>
      </c>
      <c r="R175" s="80">
        <f>('Critérios de Implantação'!R$30*'Critérios de Implantação'!$C$19)*'Resumo-Cult.Perma.'!$C144</f>
        <v>0</v>
      </c>
      <c r="S175" s="80">
        <f>('Critérios de Implantação'!S$30*'Critérios de Implantação'!$C$19)*'Resumo-Cult.Perma.'!$C144</f>
        <v>0</v>
      </c>
      <c r="T175" s="80">
        <f>('Critérios de Implantação'!T$30*'Critérios de Implantação'!$C$19)*'Resumo-Cult.Perma.'!$C144</f>
        <v>0</v>
      </c>
      <c r="U175" s="80">
        <f>('Critérios de Implantação'!U$30*'Critérios de Implantação'!$C$19)*'Resumo-Cult.Perma.'!$C144</f>
        <v>0</v>
      </c>
      <c r="V175" s="80">
        <f>('Critérios de Implantação'!V$30*'Critérios de Implantação'!$C$19)*'Resumo-Cult.Perma.'!$C144</f>
        <v>0</v>
      </c>
      <c r="W175" s="80">
        <f>('Critérios de Implantação'!W$30*'Critérios de Implantação'!$C$19)*'Resumo-Cult.Perma.'!$C144</f>
        <v>0</v>
      </c>
      <c r="X175" s="80">
        <f>('Critérios de Implantação'!X$30*'Critérios de Implantação'!$C$19)*'Resumo-Cult.Perma.'!$C144</f>
        <v>0</v>
      </c>
      <c r="Y175" s="80">
        <f>('Critérios de Implantação'!Y$30*'Critérios de Implantação'!$C$19)*'Resumo-Cult.Perma.'!$C144</f>
        <v>0</v>
      </c>
      <c r="Z175" s="80">
        <f>('Critérios de Implantação'!Z$30*'Critérios de Implantação'!$C$19)*'Resumo-Cult.Perma.'!$C144</f>
        <v>0</v>
      </c>
      <c r="AA175" s="80">
        <f>('Critérios de Implantação'!AA$30*'Critérios de Implantação'!$C$19)*'Resumo-Cult.Perma.'!$C144</f>
        <v>0</v>
      </c>
      <c r="AB175" s="80">
        <f>('Critérios de Implantação'!AB$30*'Critérios de Implantação'!$C$19)*'Resumo-Cult.Perma.'!$C144</f>
        <v>0</v>
      </c>
      <c r="AC175" s="80">
        <f>('Critérios de Implantação'!AC$30*'Critérios de Implantação'!$C$19)*'Resumo-Cult.Perma.'!$C144</f>
        <v>0</v>
      </c>
      <c r="AD175" s="80">
        <f>('Critérios de Implantação'!AD$30*'Critérios de Implantação'!$C$19)*'Resumo-Cult.Perma.'!$C144</f>
        <v>0</v>
      </c>
      <c r="AE175" s="80">
        <f>('Critérios de Implantação'!AE$30*'Critérios de Implantação'!$C$19)*'Resumo-Cult.Perma.'!$C144</f>
        <v>0</v>
      </c>
      <c r="AF175" s="80">
        <f>('Critérios de Implantação'!AF$30*'Critérios de Implantação'!$C$19)*'Resumo-Cult.Perma.'!$C144</f>
        <v>0</v>
      </c>
      <c r="AG175" s="80">
        <f>('Critérios de Implantação'!AG$30*'Critérios de Implantação'!$C$19)*'Resumo-Cult.Perma.'!$C144</f>
        <v>0</v>
      </c>
      <c r="AH175" s="80">
        <f>('Critérios de Implantação'!AH$30*'Critérios de Implantação'!$C$19)*'Resumo-Cult.Perma.'!$C144</f>
        <v>0</v>
      </c>
      <c r="AI175" s="80">
        <f>('Critérios de Implantação'!AI$30*'Critérios de Implantação'!$C$19)*'Resumo-Cult.Perma.'!$C144</f>
        <v>0</v>
      </c>
      <c r="AJ175" s="80">
        <f>('Critérios de Implantação'!AJ$30*'Critérios de Implantação'!$C$19)*'Resumo-Cult.Perma.'!$C144</f>
        <v>0</v>
      </c>
      <c r="AK175" s="81">
        <f>('Critérios de Implantação'!AK$30*'Critérios de Implantação'!$C$19)*'Resumo-Cult.Perma.'!$C144</f>
        <v>0</v>
      </c>
    </row>
    <row r="176" spans="1:37" ht="20.149999999999999" hidden="1" customHeight="1" outlineLevel="1" x14ac:dyDescent="0.25">
      <c r="A176" s="48"/>
      <c r="B176" s="83" t="s">
        <v>228</v>
      </c>
      <c r="C176" s="93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1"/>
    </row>
    <row r="177" spans="1:37" ht="20.149999999999999" hidden="1" customHeight="1" outlineLevel="1" x14ac:dyDescent="0.25">
      <c r="A177" s="85" t="s">
        <v>135</v>
      </c>
      <c r="B177" s="82" t="s">
        <v>142</v>
      </c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1"/>
    </row>
    <row r="178" spans="1:37" ht="20.149999999999999" hidden="1" customHeight="1" outlineLevel="1" x14ac:dyDescent="0.25">
      <c r="A178" s="85" t="s">
        <v>157</v>
      </c>
      <c r="B178" s="34" t="s">
        <v>146</v>
      </c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1"/>
    </row>
    <row r="179" spans="1:37" ht="20.149999999999999" hidden="1" customHeight="1" outlineLevel="1" x14ac:dyDescent="0.25">
      <c r="A179" s="85" t="s">
        <v>158</v>
      </c>
      <c r="B179" s="82" t="s">
        <v>143</v>
      </c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1"/>
    </row>
    <row r="180" spans="1:37" ht="20.149999999999999" hidden="1" customHeight="1" outlineLevel="1" x14ac:dyDescent="0.25">
      <c r="A180" s="85" t="s">
        <v>159</v>
      </c>
      <c r="B180" s="34" t="s">
        <v>141</v>
      </c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1"/>
    </row>
    <row r="181" spans="1:37" s="15" customFormat="1" ht="20.149999999999999" hidden="1" customHeight="1" outlineLevel="1" thickBot="1" x14ac:dyDescent="0.3">
      <c r="A181" s="86"/>
      <c r="B181" s="87" t="s">
        <v>148</v>
      </c>
      <c r="C181" s="88"/>
      <c r="D181" s="88">
        <f t="shared" ref="D181:AK181" si="72">SUM(D172:D180)</f>
        <v>0</v>
      </c>
      <c r="E181" s="88">
        <f t="shared" si="72"/>
        <v>0</v>
      </c>
      <c r="F181" s="88">
        <f t="shared" si="72"/>
        <v>0</v>
      </c>
      <c r="G181" s="88">
        <f t="shared" si="72"/>
        <v>0</v>
      </c>
      <c r="H181" s="88">
        <f t="shared" si="72"/>
        <v>0</v>
      </c>
      <c r="I181" s="88">
        <f t="shared" si="72"/>
        <v>0</v>
      </c>
      <c r="J181" s="88">
        <f t="shared" si="72"/>
        <v>0</v>
      </c>
      <c r="K181" s="88">
        <f t="shared" si="72"/>
        <v>0</v>
      </c>
      <c r="L181" s="88">
        <f t="shared" si="72"/>
        <v>0</v>
      </c>
      <c r="M181" s="88">
        <f t="shared" si="72"/>
        <v>0</v>
      </c>
      <c r="N181" s="88">
        <f t="shared" si="72"/>
        <v>0</v>
      </c>
      <c r="O181" s="88">
        <f t="shared" si="72"/>
        <v>0</v>
      </c>
      <c r="P181" s="88">
        <f t="shared" si="72"/>
        <v>0</v>
      </c>
      <c r="Q181" s="88">
        <f t="shared" si="72"/>
        <v>0</v>
      </c>
      <c r="R181" s="88">
        <f t="shared" si="72"/>
        <v>0</v>
      </c>
      <c r="S181" s="88">
        <f t="shared" si="72"/>
        <v>0</v>
      </c>
      <c r="T181" s="88">
        <f t="shared" si="72"/>
        <v>0</v>
      </c>
      <c r="U181" s="88">
        <f t="shared" si="72"/>
        <v>0</v>
      </c>
      <c r="V181" s="88">
        <f t="shared" si="72"/>
        <v>0</v>
      </c>
      <c r="W181" s="88">
        <f t="shared" si="72"/>
        <v>0</v>
      </c>
      <c r="X181" s="88">
        <f t="shared" si="72"/>
        <v>0</v>
      </c>
      <c r="Y181" s="88">
        <f t="shared" si="72"/>
        <v>0</v>
      </c>
      <c r="Z181" s="88">
        <f t="shared" si="72"/>
        <v>0</v>
      </c>
      <c r="AA181" s="88">
        <f t="shared" si="72"/>
        <v>0</v>
      </c>
      <c r="AB181" s="88">
        <f t="shared" si="72"/>
        <v>0</v>
      </c>
      <c r="AC181" s="88">
        <f t="shared" si="72"/>
        <v>0</v>
      </c>
      <c r="AD181" s="88">
        <f t="shared" si="72"/>
        <v>0</v>
      </c>
      <c r="AE181" s="88">
        <f t="shared" si="72"/>
        <v>0</v>
      </c>
      <c r="AF181" s="88">
        <f t="shared" si="72"/>
        <v>0</v>
      </c>
      <c r="AG181" s="88">
        <f t="shared" si="72"/>
        <v>0</v>
      </c>
      <c r="AH181" s="88">
        <f t="shared" si="72"/>
        <v>0</v>
      </c>
      <c r="AI181" s="88">
        <f t="shared" si="72"/>
        <v>0</v>
      </c>
      <c r="AJ181" s="88">
        <f t="shared" si="72"/>
        <v>0</v>
      </c>
      <c r="AK181" s="89">
        <f t="shared" si="72"/>
        <v>0</v>
      </c>
    </row>
    <row r="182" spans="1:37" ht="20.149999999999999" hidden="1" customHeight="1" outlineLevel="1" thickBot="1" x14ac:dyDescent="0.3">
      <c r="A182" s="14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</row>
    <row r="183" spans="1:37" ht="20.149999999999999" hidden="1" customHeight="1" outlineLevel="1" x14ac:dyDescent="0.25">
      <c r="A183" s="71">
        <v>2</v>
      </c>
      <c r="B183" s="76" t="s">
        <v>136</v>
      </c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2"/>
    </row>
    <row r="184" spans="1:37" ht="20.149999999999999" hidden="1" customHeight="1" outlineLevel="1" x14ac:dyDescent="0.25">
      <c r="A184" s="48" t="s">
        <v>137</v>
      </c>
      <c r="B184" s="82" t="s">
        <v>142</v>
      </c>
      <c r="C184" s="93"/>
      <c r="D184" s="93">
        <f>IFERROR(('Resumo-Cult.Perma.'!C148*('Critérios de Implantação'!D$100)),0)+IFERROR(('Resumo-Cult.Perma.'!B148*('Critérios de Implantação'!D$101)),0)+IFERROR(('Resumo-Cult.Perma.'!A148*('Critérios de Implantação'!D$102)),0)</f>
        <v>0</v>
      </c>
      <c r="E184" s="93">
        <f>IFERROR(('Resumo-Cult.Perma.'!D148*('Critérios de Implantação'!E$100)),0)+IFERROR(('Resumo-Cult.Perma.'!C148*('Critérios de Implantação'!E$101)),0)+IFERROR(('Resumo-Cult.Perma.'!B148*('Critérios de Implantação'!E$102)),0)</f>
        <v>0</v>
      </c>
      <c r="F184" s="93">
        <f>IFERROR(('Resumo-Cult.Perma.'!E148*('Critérios de Implantação'!F$100)),0)+IFERROR(('Resumo-Cult.Perma.'!D148*('Critérios de Implantação'!F$101)),0)+IFERROR(('Resumo-Cult.Perma.'!C148*('Critérios de Implantação'!F$102)),0)</f>
        <v>0</v>
      </c>
      <c r="G184" s="93">
        <f>IFERROR(('Resumo-Cult.Perma.'!F148*('Critérios de Implantação'!G$100)),0)+IFERROR(('Resumo-Cult.Perma.'!E148*('Critérios de Implantação'!G$101)),0)+IFERROR(('Resumo-Cult.Perma.'!D148*('Critérios de Implantação'!G$102)),0)</f>
        <v>0</v>
      </c>
      <c r="H184" s="93">
        <f>IFERROR(('Resumo-Cult.Perma.'!G148*('Critérios de Implantação'!H$100)),0)+IFERROR(('Resumo-Cult.Perma.'!F148*('Critérios de Implantação'!H$101)),0)+IFERROR(('Resumo-Cult.Perma.'!E148*('Critérios de Implantação'!H$102)),0)</f>
        <v>0</v>
      </c>
      <c r="I184" s="93">
        <f>IFERROR(('Resumo-Cult.Perma.'!H148*('Critérios de Implantação'!I$100)),0)+IFERROR(('Resumo-Cult.Perma.'!G148*('Critérios de Implantação'!I$101)),0)+IFERROR(('Resumo-Cult.Perma.'!F148*('Critérios de Implantação'!I$102)),0)</f>
        <v>0</v>
      </c>
      <c r="J184" s="93">
        <f>IFERROR(('Resumo-Cult.Perma.'!I148*('Critérios de Implantação'!J$100)),0)+IFERROR(('Resumo-Cult.Perma.'!H148*('Critérios de Implantação'!J$101)),0)+IFERROR(('Resumo-Cult.Perma.'!G148*('Critérios de Implantação'!J$102)),0)</f>
        <v>0</v>
      </c>
      <c r="K184" s="93">
        <f>IFERROR(('Resumo-Cult.Perma.'!J148*('Critérios de Implantação'!K$100)),0)+IFERROR(('Resumo-Cult.Perma.'!I148*('Critérios de Implantação'!K$101)),0)+IFERROR(('Resumo-Cult.Perma.'!H148*('Critérios de Implantação'!K$102)),0)</f>
        <v>0</v>
      </c>
      <c r="L184" s="93">
        <f>IFERROR(('Resumo-Cult.Perma.'!K148*('Critérios de Implantação'!L$100)),0)+IFERROR(('Resumo-Cult.Perma.'!J148*('Critérios de Implantação'!L$101)),0)+IFERROR(('Resumo-Cult.Perma.'!I148*('Critérios de Implantação'!L$102)),0)</f>
        <v>0</v>
      </c>
      <c r="M184" s="93">
        <f>IFERROR(('Resumo-Cult.Perma.'!L148*('Critérios de Implantação'!M$100)),0)+IFERROR(('Resumo-Cult.Perma.'!K148*('Critérios de Implantação'!M$101)),0)+IFERROR(('Resumo-Cult.Perma.'!J148*('Critérios de Implantação'!M$102)),0)</f>
        <v>0</v>
      </c>
      <c r="N184" s="93">
        <f>IFERROR(('Resumo-Cult.Perma.'!M148*('Critérios de Implantação'!N$100)),0)+IFERROR(('Resumo-Cult.Perma.'!L148*('Critérios de Implantação'!N$101)),0)+IFERROR(('Resumo-Cult.Perma.'!K148*('Critérios de Implantação'!N$102)),0)</f>
        <v>0</v>
      </c>
      <c r="O184" s="93">
        <f>IFERROR(('Resumo-Cult.Perma.'!N148*('Critérios de Implantação'!O$100)),0)+IFERROR(('Resumo-Cult.Perma.'!M148*('Critérios de Implantação'!O$101)),0)+IFERROR(('Resumo-Cult.Perma.'!L148*('Critérios de Implantação'!O$102)),0)</f>
        <v>0</v>
      </c>
      <c r="P184" s="93">
        <f>IFERROR(('Resumo-Cult.Perma.'!O148*('Critérios de Implantação'!P$100)),0)+IFERROR(('Resumo-Cult.Perma.'!N148*('Critérios de Implantação'!P$101)),0)+IFERROR(('Resumo-Cult.Perma.'!M148*('Critérios de Implantação'!P$102)),0)</f>
        <v>0</v>
      </c>
      <c r="Q184" s="93">
        <f>IFERROR(('Resumo-Cult.Perma.'!P148*('Critérios de Implantação'!Q$100)),0)+IFERROR(('Resumo-Cult.Perma.'!O148*('Critérios de Implantação'!Q$101)),0)+IFERROR(('Resumo-Cult.Perma.'!N148*('Critérios de Implantação'!Q$102)),0)</f>
        <v>0</v>
      </c>
      <c r="R184" s="93">
        <f>IFERROR(('Resumo-Cult.Perma.'!Q148*('Critérios de Implantação'!R$100)),0)+IFERROR(('Resumo-Cult.Perma.'!P148*('Critérios de Implantação'!R$101)),0)+IFERROR(('Resumo-Cult.Perma.'!O148*('Critérios de Implantação'!R$102)),0)</f>
        <v>0</v>
      </c>
      <c r="S184" s="93">
        <f>IFERROR(('Resumo-Cult.Perma.'!R148*('Critérios de Implantação'!S$100)),0)+IFERROR(('Resumo-Cult.Perma.'!Q148*('Critérios de Implantação'!S$101)),0)+IFERROR(('Resumo-Cult.Perma.'!P148*('Critérios de Implantação'!S$102)),0)</f>
        <v>0</v>
      </c>
      <c r="T184" s="93">
        <f>IFERROR(('Resumo-Cult.Perma.'!S148*('Critérios de Implantação'!T$100)),0)+IFERROR(('Resumo-Cult.Perma.'!R148*('Critérios de Implantação'!T$101)),0)+IFERROR(('Resumo-Cult.Perma.'!Q148*('Critérios de Implantação'!T$102)),0)</f>
        <v>0</v>
      </c>
      <c r="U184" s="93">
        <f>IFERROR(('Resumo-Cult.Perma.'!T148*('Critérios de Implantação'!U$100)),0)+IFERROR(('Resumo-Cult.Perma.'!S148*('Critérios de Implantação'!U$101)),0)+IFERROR(('Resumo-Cult.Perma.'!R148*('Critérios de Implantação'!U$102)),0)</f>
        <v>0</v>
      </c>
      <c r="V184" s="93">
        <f>IFERROR(('Resumo-Cult.Perma.'!U148*('Critérios de Implantação'!V$100)),0)+IFERROR(('Resumo-Cult.Perma.'!T148*('Critérios de Implantação'!V$101)),0)+IFERROR(('Resumo-Cult.Perma.'!S148*('Critérios de Implantação'!V$102)),0)</f>
        <v>0</v>
      </c>
      <c r="W184" s="93">
        <f>IFERROR(('Resumo-Cult.Perma.'!V148*('Critérios de Implantação'!W$100)),0)+IFERROR(('Resumo-Cult.Perma.'!U148*('Critérios de Implantação'!W$101)),0)+IFERROR(('Resumo-Cult.Perma.'!T148*('Critérios de Implantação'!W$102)),0)</f>
        <v>0</v>
      </c>
      <c r="X184" s="93">
        <f>IFERROR(('Resumo-Cult.Perma.'!W148*('Critérios de Implantação'!X$100)),0)+IFERROR(('Resumo-Cult.Perma.'!V148*('Critérios de Implantação'!X$101)),0)+IFERROR(('Resumo-Cult.Perma.'!U148*('Critérios de Implantação'!X$102)),0)</f>
        <v>0</v>
      </c>
      <c r="Y184" s="93">
        <f>IFERROR(('Resumo-Cult.Perma.'!X148*('Critérios de Implantação'!Y$100)),0)+IFERROR(('Resumo-Cult.Perma.'!W148*('Critérios de Implantação'!Y$101)),0)+IFERROR(('Resumo-Cult.Perma.'!V148*('Critérios de Implantação'!Y$102)),0)</f>
        <v>0</v>
      </c>
      <c r="Z184" s="93">
        <f>IFERROR(('Resumo-Cult.Perma.'!Y148*('Critérios de Implantação'!Z$100)),0)+IFERROR(('Resumo-Cult.Perma.'!X148*('Critérios de Implantação'!Z$101)),0)+IFERROR(('Resumo-Cult.Perma.'!W148*('Critérios de Implantação'!Z$102)),0)</f>
        <v>0</v>
      </c>
      <c r="AA184" s="93">
        <f>IFERROR(('Resumo-Cult.Perma.'!Z148*('Critérios de Implantação'!AA$100)),0)+IFERROR(('Resumo-Cult.Perma.'!Y148*('Critérios de Implantação'!AA$101)),0)+IFERROR(('Resumo-Cult.Perma.'!X148*('Critérios de Implantação'!AA$102)),0)</f>
        <v>0</v>
      </c>
      <c r="AB184" s="93">
        <f>IFERROR(('Resumo-Cult.Perma.'!AA148*('Critérios de Implantação'!AB$100)),0)+IFERROR(('Resumo-Cult.Perma.'!Z148*('Critérios de Implantação'!AB$101)),0)+IFERROR(('Resumo-Cult.Perma.'!Y148*('Critérios de Implantação'!AB$102)),0)</f>
        <v>0</v>
      </c>
      <c r="AC184" s="93">
        <f>IFERROR(('Resumo-Cult.Perma.'!AB148*('Critérios de Implantação'!AC$100)),0)+IFERROR(('Resumo-Cult.Perma.'!AA148*('Critérios de Implantação'!AC$101)),0)+IFERROR(('Resumo-Cult.Perma.'!Z148*('Critérios de Implantação'!AC$102)),0)</f>
        <v>0</v>
      </c>
      <c r="AD184" s="93">
        <f>IFERROR(('Resumo-Cult.Perma.'!AC148*('Critérios de Implantação'!AD$100)),0)+IFERROR(('Resumo-Cult.Perma.'!AB148*('Critérios de Implantação'!AD$101)),0)+IFERROR(('Resumo-Cult.Perma.'!AA148*('Critérios de Implantação'!AD$102)),0)</f>
        <v>0</v>
      </c>
      <c r="AE184" s="93">
        <f>IFERROR(('Resumo-Cult.Perma.'!AD148*('Critérios de Implantação'!AE$100)),0)+IFERROR(('Resumo-Cult.Perma.'!AC148*('Critérios de Implantação'!AE$101)),0)+IFERROR(('Resumo-Cult.Perma.'!AB148*('Critérios de Implantação'!AE$102)),0)</f>
        <v>0</v>
      </c>
      <c r="AF184" s="93">
        <f>IFERROR(('Resumo-Cult.Perma.'!AE148*('Critérios de Implantação'!AF$100)),0)+IFERROR(('Resumo-Cult.Perma.'!AD148*('Critérios de Implantação'!AF$101)),0)+IFERROR(('Resumo-Cult.Perma.'!AC148*('Critérios de Implantação'!AF$102)),0)</f>
        <v>0</v>
      </c>
      <c r="AG184" s="93">
        <f>IFERROR(('Resumo-Cult.Perma.'!AF148*('Critérios de Implantação'!AG$100)),0)+IFERROR(('Resumo-Cult.Perma.'!AE148*('Critérios de Implantação'!AG$101)),0)+IFERROR(('Resumo-Cult.Perma.'!AD148*('Critérios de Implantação'!AG$102)),0)</f>
        <v>0</v>
      </c>
      <c r="AH184" s="93">
        <f>IFERROR(('Resumo-Cult.Perma.'!AG148*('Critérios de Implantação'!AH$100)),0)+IFERROR(('Resumo-Cult.Perma.'!AF148*('Critérios de Implantação'!AH$101)),0)+IFERROR(('Resumo-Cult.Perma.'!AE148*('Critérios de Implantação'!AH$102)),0)</f>
        <v>0</v>
      </c>
      <c r="AI184" s="93">
        <f>IFERROR(('Resumo-Cult.Perma.'!AH148*('Critérios de Implantação'!AI$100)),0)+IFERROR(('Resumo-Cult.Perma.'!AG148*('Critérios de Implantação'!AI$101)),0)+IFERROR(('Resumo-Cult.Perma.'!AF148*('Critérios de Implantação'!AI$102)),0)</f>
        <v>0</v>
      </c>
      <c r="AJ184" s="93">
        <f>IFERROR(('Resumo-Cult.Perma.'!AI148*('Critérios de Implantação'!AJ$100)),0)+IFERROR(('Resumo-Cult.Perma.'!AH148*('Critérios de Implantação'!AJ$101)),0)+IFERROR(('Resumo-Cult.Perma.'!AG148*('Critérios de Implantação'!AJ$102)),0)</f>
        <v>0</v>
      </c>
      <c r="AK184" s="95">
        <f>IFERROR(('Resumo-Cult.Perma.'!AJ148*('Critérios de Implantação'!AK$100)),0)+IFERROR(('Resumo-Cult.Perma.'!AI148*('Critérios de Implantação'!AK$101)),0)+IFERROR(('Resumo-Cult.Perma.'!AH148*('Critérios de Implantação'!AK$102)),0)</f>
        <v>0</v>
      </c>
    </row>
    <row r="185" spans="1:37" ht="20.149999999999999" hidden="1" customHeight="1" outlineLevel="1" x14ac:dyDescent="0.25">
      <c r="A185" s="48" t="s">
        <v>138</v>
      </c>
      <c r="B185" s="34" t="s">
        <v>146</v>
      </c>
      <c r="C185" s="80"/>
      <c r="D185" s="93">
        <f>IFERROR(('Resumo-Cult.Perma.'!C149*('Critérios de Implantação'!D$100)),0)+IFERROR(('Resumo-Cult.Perma.'!B149*('Critérios de Implantação'!D$101)),0)+IFERROR(('Resumo-Cult.Perma.'!A149*('Critérios de Implantação'!D$102)),0)</f>
        <v>0</v>
      </c>
      <c r="E185" s="93">
        <f>IFERROR(('Resumo-Cult.Perma.'!D149*('Critérios de Implantação'!E$100)),0)+IFERROR(('Resumo-Cult.Perma.'!C149*('Critérios de Implantação'!E$101)),0)+IFERROR(('Resumo-Cult.Perma.'!B149*('Critérios de Implantação'!E$102)),0)</f>
        <v>0</v>
      </c>
      <c r="F185" s="93">
        <f>IFERROR(('Resumo-Cult.Perma.'!E149*('Critérios de Implantação'!F$100)),0)+IFERROR(('Resumo-Cult.Perma.'!D149*('Critérios de Implantação'!F$101)),0)+IFERROR(('Resumo-Cult.Perma.'!C149*('Critérios de Implantação'!F$102)),0)</f>
        <v>0</v>
      </c>
      <c r="G185" s="93">
        <f>IFERROR(('Resumo-Cult.Perma.'!F149*('Critérios de Implantação'!G$100)),0)+IFERROR(('Resumo-Cult.Perma.'!E149*('Critérios de Implantação'!G$101)),0)+IFERROR(('Resumo-Cult.Perma.'!D149*('Critérios de Implantação'!G$102)),0)</f>
        <v>0</v>
      </c>
      <c r="H185" s="93">
        <f>IFERROR(('Resumo-Cult.Perma.'!G149*('Critérios de Implantação'!H$100)),0)+IFERROR(('Resumo-Cult.Perma.'!F149*('Critérios de Implantação'!H$101)),0)+IFERROR(('Resumo-Cult.Perma.'!E149*('Critérios de Implantação'!H$102)),0)</f>
        <v>0</v>
      </c>
      <c r="I185" s="93">
        <f>IFERROR(('Resumo-Cult.Perma.'!H149*('Critérios de Implantação'!I$100)),0)+IFERROR(('Resumo-Cult.Perma.'!G149*('Critérios de Implantação'!I$101)),0)+IFERROR(('Resumo-Cult.Perma.'!F149*('Critérios de Implantação'!I$102)),0)</f>
        <v>0</v>
      </c>
      <c r="J185" s="93">
        <f>IFERROR(('Resumo-Cult.Perma.'!I149*('Critérios de Implantação'!J$100)),0)+IFERROR(('Resumo-Cult.Perma.'!H149*('Critérios de Implantação'!J$101)),0)+IFERROR(('Resumo-Cult.Perma.'!G149*('Critérios de Implantação'!J$102)),0)</f>
        <v>0</v>
      </c>
      <c r="K185" s="93">
        <f>IFERROR(('Resumo-Cult.Perma.'!J149*('Critérios de Implantação'!K$100)),0)+IFERROR(('Resumo-Cult.Perma.'!I149*('Critérios de Implantação'!K$101)),0)+IFERROR(('Resumo-Cult.Perma.'!H149*('Critérios de Implantação'!K$102)),0)</f>
        <v>0</v>
      </c>
      <c r="L185" s="93">
        <f>IFERROR(('Resumo-Cult.Perma.'!K149*('Critérios de Implantação'!L$100)),0)+IFERROR(('Resumo-Cult.Perma.'!J149*('Critérios de Implantação'!L$101)),0)+IFERROR(('Resumo-Cult.Perma.'!I149*('Critérios de Implantação'!L$102)),0)</f>
        <v>0</v>
      </c>
      <c r="M185" s="93">
        <f>IFERROR(('Resumo-Cult.Perma.'!L149*('Critérios de Implantação'!M$100)),0)+IFERROR(('Resumo-Cult.Perma.'!K149*('Critérios de Implantação'!M$101)),0)+IFERROR(('Resumo-Cult.Perma.'!J149*('Critérios de Implantação'!M$102)),0)</f>
        <v>0</v>
      </c>
      <c r="N185" s="93">
        <f>IFERROR(('Resumo-Cult.Perma.'!M149*('Critérios de Implantação'!N$100)),0)+IFERROR(('Resumo-Cult.Perma.'!L149*('Critérios de Implantação'!N$101)),0)+IFERROR(('Resumo-Cult.Perma.'!K149*('Critérios de Implantação'!N$102)),0)</f>
        <v>0</v>
      </c>
      <c r="O185" s="93">
        <f>IFERROR(('Resumo-Cult.Perma.'!N149*('Critérios de Implantação'!O$100)),0)+IFERROR(('Resumo-Cult.Perma.'!M149*('Critérios de Implantação'!O$101)),0)+IFERROR(('Resumo-Cult.Perma.'!L149*('Critérios de Implantação'!O$102)),0)</f>
        <v>0</v>
      </c>
      <c r="P185" s="93">
        <f>IFERROR(('Resumo-Cult.Perma.'!O149*('Critérios de Implantação'!P$100)),0)+IFERROR(('Resumo-Cult.Perma.'!N149*('Critérios de Implantação'!P$101)),0)+IFERROR(('Resumo-Cult.Perma.'!M149*('Critérios de Implantação'!P$102)),0)</f>
        <v>0</v>
      </c>
      <c r="Q185" s="93">
        <f>IFERROR(('Resumo-Cult.Perma.'!P149*('Critérios de Implantação'!Q$100)),0)+IFERROR(('Resumo-Cult.Perma.'!O149*('Critérios de Implantação'!Q$101)),0)+IFERROR(('Resumo-Cult.Perma.'!N149*('Critérios de Implantação'!Q$102)),0)</f>
        <v>0</v>
      </c>
      <c r="R185" s="93">
        <f>IFERROR(('Resumo-Cult.Perma.'!Q149*('Critérios de Implantação'!R$100)),0)+IFERROR(('Resumo-Cult.Perma.'!P149*('Critérios de Implantação'!R$101)),0)+IFERROR(('Resumo-Cult.Perma.'!O149*('Critérios de Implantação'!R$102)),0)</f>
        <v>0</v>
      </c>
      <c r="S185" s="93">
        <f>IFERROR(('Resumo-Cult.Perma.'!R149*('Critérios de Implantação'!S$100)),0)+IFERROR(('Resumo-Cult.Perma.'!Q149*('Critérios de Implantação'!S$101)),0)+IFERROR(('Resumo-Cult.Perma.'!P149*('Critérios de Implantação'!S$102)),0)</f>
        <v>0</v>
      </c>
      <c r="T185" s="93">
        <f>IFERROR(('Resumo-Cult.Perma.'!S149*('Critérios de Implantação'!T$100)),0)+IFERROR(('Resumo-Cult.Perma.'!R149*('Critérios de Implantação'!T$101)),0)+IFERROR(('Resumo-Cult.Perma.'!Q149*('Critérios de Implantação'!T$102)),0)</f>
        <v>0</v>
      </c>
      <c r="U185" s="93">
        <f>IFERROR(('Resumo-Cult.Perma.'!T149*('Critérios de Implantação'!U$100)),0)+IFERROR(('Resumo-Cult.Perma.'!S149*('Critérios de Implantação'!U$101)),0)+IFERROR(('Resumo-Cult.Perma.'!R149*('Critérios de Implantação'!U$102)),0)</f>
        <v>0</v>
      </c>
      <c r="V185" s="93">
        <f>IFERROR(('Resumo-Cult.Perma.'!U149*('Critérios de Implantação'!V$100)),0)+IFERROR(('Resumo-Cult.Perma.'!T149*('Critérios de Implantação'!V$101)),0)+IFERROR(('Resumo-Cult.Perma.'!S149*('Critérios de Implantação'!V$102)),0)</f>
        <v>0</v>
      </c>
      <c r="W185" s="93">
        <f>IFERROR(('Resumo-Cult.Perma.'!V149*('Critérios de Implantação'!W$100)),0)+IFERROR(('Resumo-Cult.Perma.'!U149*('Critérios de Implantação'!W$101)),0)+IFERROR(('Resumo-Cult.Perma.'!T149*('Critérios de Implantação'!W$102)),0)</f>
        <v>0</v>
      </c>
      <c r="X185" s="93">
        <f>IFERROR(('Resumo-Cult.Perma.'!W149*('Critérios de Implantação'!X$100)),0)+IFERROR(('Resumo-Cult.Perma.'!V149*('Critérios de Implantação'!X$101)),0)+IFERROR(('Resumo-Cult.Perma.'!U149*('Critérios de Implantação'!X$102)),0)</f>
        <v>0</v>
      </c>
      <c r="Y185" s="93">
        <f>IFERROR(('Resumo-Cult.Perma.'!X149*('Critérios de Implantação'!Y$100)),0)+IFERROR(('Resumo-Cult.Perma.'!W149*('Critérios de Implantação'!Y$101)),0)+IFERROR(('Resumo-Cult.Perma.'!V149*('Critérios de Implantação'!Y$102)),0)</f>
        <v>0</v>
      </c>
      <c r="Z185" s="93">
        <f>IFERROR(('Resumo-Cult.Perma.'!Y149*('Critérios de Implantação'!Z$100)),0)+IFERROR(('Resumo-Cult.Perma.'!X149*('Critérios de Implantação'!Z$101)),0)+IFERROR(('Resumo-Cult.Perma.'!W149*('Critérios de Implantação'!Z$102)),0)</f>
        <v>0</v>
      </c>
      <c r="AA185" s="93">
        <f>IFERROR(('Resumo-Cult.Perma.'!Z149*('Critérios de Implantação'!AA$100)),0)+IFERROR(('Resumo-Cult.Perma.'!Y149*('Critérios de Implantação'!AA$101)),0)+IFERROR(('Resumo-Cult.Perma.'!X149*('Critérios de Implantação'!AA$102)),0)</f>
        <v>0</v>
      </c>
      <c r="AB185" s="93">
        <f>IFERROR(('Resumo-Cult.Perma.'!AA149*('Critérios de Implantação'!AB$100)),0)+IFERROR(('Resumo-Cult.Perma.'!Z149*('Critérios de Implantação'!AB$101)),0)+IFERROR(('Resumo-Cult.Perma.'!Y149*('Critérios de Implantação'!AB$102)),0)</f>
        <v>0</v>
      </c>
      <c r="AC185" s="93">
        <f>IFERROR(('Resumo-Cult.Perma.'!AB149*('Critérios de Implantação'!AC$100)),0)+IFERROR(('Resumo-Cult.Perma.'!AA149*('Critérios de Implantação'!AC$101)),0)+IFERROR(('Resumo-Cult.Perma.'!Z149*('Critérios de Implantação'!AC$102)),0)</f>
        <v>0</v>
      </c>
      <c r="AD185" s="93">
        <f>IFERROR(('Resumo-Cult.Perma.'!AC149*('Critérios de Implantação'!AD$100)),0)+IFERROR(('Resumo-Cult.Perma.'!AB149*('Critérios de Implantação'!AD$101)),0)+IFERROR(('Resumo-Cult.Perma.'!AA149*('Critérios de Implantação'!AD$102)),0)</f>
        <v>0</v>
      </c>
      <c r="AE185" s="93">
        <f>IFERROR(('Resumo-Cult.Perma.'!AD149*('Critérios de Implantação'!AE$100)),0)+IFERROR(('Resumo-Cult.Perma.'!AC149*('Critérios de Implantação'!AE$101)),0)+IFERROR(('Resumo-Cult.Perma.'!AB149*('Critérios de Implantação'!AE$102)),0)</f>
        <v>0</v>
      </c>
      <c r="AF185" s="93">
        <f>IFERROR(('Resumo-Cult.Perma.'!AE149*('Critérios de Implantação'!AF$100)),0)+IFERROR(('Resumo-Cult.Perma.'!AD149*('Critérios de Implantação'!AF$101)),0)+IFERROR(('Resumo-Cult.Perma.'!AC149*('Critérios de Implantação'!AF$102)),0)</f>
        <v>0</v>
      </c>
      <c r="AG185" s="93">
        <f>IFERROR(('Resumo-Cult.Perma.'!AF149*('Critérios de Implantação'!AG$100)),0)+IFERROR(('Resumo-Cult.Perma.'!AE149*('Critérios de Implantação'!AG$101)),0)+IFERROR(('Resumo-Cult.Perma.'!AD149*('Critérios de Implantação'!AG$102)),0)</f>
        <v>0</v>
      </c>
      <c r="AH185" s="93">
        <f>IFERROR(('Resumo-Cult.Perma.'!AG149*('Critérios de Implantação'!AH$100)),0)+IFERROR(('Resumo-Cult.Perma.'!AF149*('Critérios de Implantação'!AH$101)),0)+IFERROR(('Resumo-Cult.Perma.'!AE149*('Critérios de Implantação'!AH$102)),0)</f>
        <v>0</v>
      </c>
      <c r="AI185" s="93">
        <f>IFERROR(('Resumo-Cult.Perma.'!AH149*('Critérios de Implantação'!AI$100)),0)+IFERROR(('Resumo-Cult.Perma.'!AG149*('Critérios de Implantação'!AI$101)),0)+IFERROR(('Resumo-Cult.Perma.'!AF149*('Critérios de Implantação'!AI$102)),0)</f>
        <v>0</v>
      </c>
      <c r="AJ185" s="93">
        <f>IFERROR(('Resumo-Cult.Perma.'!AI149*('Critérios de Implantação'!AJ$100)),0)+IFERROR(('Resumo-Cult.Perma.'!AH149*('Critérios de Implantação'!AJ$101)),0)+IFERROR(('Resumo-Cult.Perma.'!AG149*('Critérios de Implantação'!AJ$102)),0)</f>
        <v>0</v>
      </c>
      <c r="AK185" s="95">
        <f>IFERROR(('Resumo-Cult.Perma.'!AJ149*('Critérios de Implantação'!AK$100)),0)+IFERROR(('Resumo-Cult.Perma.'!AI149*('Critérios de Implantação'!AK$101)),0)+IFERROR(('Resumo-Cult.Perma.'!AH149*('Critérios de Implantação'!AK$102)),0)</f>
        <v>0</v>
      </c>
    </row>
    <row r="186" spans="1:37" ht="20.149999999999999" hidden="1" customHeight="1" outlineLevel="1" x14ac:dyDescent="0.25">
      <c r="A186" s="48" t="s">
        <v>139</v>
      </c>
      <c r="B186" s="82" t="s">
        <v>143</v>
      </c>
      <c r="C186" s="80"/>
      <c r="D186" s="93">
        <f>IFERROR(('Resumo-Cult.Perma.'!C150*('Critérios de Implantação'!D$100)),0)+IFERROR(('Resumo-Cult.Perma.'!B150*('Critérios de Implantação'!D$101)),0)+IFERROR(('Resumo-Cult.Perma.'!A150*('Critérios de Implantação'!D$102)),0)</f>
        <v>0</v>
      </c>
      <c r="E186" s="93">
        <f>IFERROR(('Resumo-Cult.Perma.'!D150*('Critérios de Implantação'!E$100)),0)+IFERROR(('Resumo-Cult.Perma.'!C150*('Critérios de Implantação'!E$101)),0)+IFERROR(('Resumo-Cult.Perma.'!B150*('Critérios de Implantação'!E$102)),0)</f>
        <v>0</v>
      </c>
      <c r="F186" s="93">
        <f>IFERROR(('Resumo-Cult.Perma.'!E150*('Critérios de Implantação'!F$100)),0)+IFERROR(('Resumo-Cult.Perma.'!D150*('Critérios de Implantação'!F$101)),0)+IFERROR(('Resumo-Cult.Perma.'!C150*('Critérios de Implantação'!F$102)),0)</f>
        <v>0</v>
      </c>
      <c r="G186" s="93">
        <f>IFERROR(('Resumo-Cult.Perma.'!F150*('Critérios de Implantação'!G$100)),0)+IFERROR(('Resumo-Cult.Perma.'!E150*('Critérios de Implantação'!G$101)),0)+IFERROR(('Resumo-Cult.Perma.'!D150*('Critérios de Implantação'!G$102)),0)</f>
        <v>0</v>
      </c>
      <c r="H186" s="93">
        <f>IFERROR(('Resumo-Cult.Perma.'!G150*('Critérios de Implantação'!H$100)),0)+IFERROR(('Resumo-Cult.Perma.'!F150*('Critérios de Implantação'!H$101)),0)+IFERROR(('Resumo-Cult.Perma.'!E150*('Critérios de Implantação'!H$102)),0)</f>
        <v>0</v>
      </c>
      <c r="I186" s="93">
        <f>IFERROR(('Resumo-Cult.Perma.'!H150*('Critérios de Implantação'!I$100)),0)+IFERROR(('Resumo-Cult.Perma.'!G150*('Critérios de Implantação'!I$101)),0)+IFERROR(('Resumo-Cult.Perma.'!F150*('Critérios de Implantação'!I$102)),0)</f>
        <v>0</v>
      </c>
      <c r="J186" s="93">
        <f>IFERROR(('Resumo-Cult.Perma.'!I150*('Critérios de Implantação'!J$100)),0)+IFERROR(('Resumo-Cult.Perma.'!H150*('Critérios de Implantação'!J$101)),0)+IFERROR(('Resumo-Cult.Perma.'!G150*('Critérios de Implantação'!J$102)),0)</f>
        <v>0</v>
      </c>
      <c r="K186" s="93">
        <f>IFERROR(('Resumo-Cult.Perma.'!J150*('Critérios de Implantação'!K$100)),0)+IFERROR(('Resumo-Cult.Perma.'!I150*('Critérios de Implantação'!K$101)),0)+IFERROR(('Resumo-Cult.Perma.'!H150*('Critérios de Implantação'!K$102)),0)</f>
        <v>0</v>
      </c>
      <c r="L186" s="93">
        <f>IFERROR(('Resumo-Cult.Perma.'!K150*('Critérios de Implantação'!L$100)),0)+IFERROR(('Resumo-Cult.Perma.'!J150*('Critérios de Implantação'!L$101)),0)+IFERROR(('Resumo-Cult.Perma.'!I150*('Critérios de Implantação'!L$102)),0)</f>
        <v>0</v>
      </c>
      <c r="M186" s="93">
        <f>IFERROR(('Resumo-Cult.Perma.'!L150*('Critérios de Implantação'!M$100)),0)+IFERROR(('Resumo-Cult.Perma.'!K150*('Critérios de Implantação'!M$101)),0)+IFERROR(('Resumo-Cult.Perma.'!J150*('Critérios de Implantação'!M$102)),0)</f>
        <v>0</v>
      </c>
      <c r="N186" s="93">
        <f>IFERROR(('Resumo-Cult.Perma.'!M150*('Critérios de Implantação'!N$100)),0)+IFERROR(('Resumo-Cult.Perma.'!L150*('Critérios de Implantação'!N$101)),0)+IFERROR(('Resumo-Cult.Perma.'!K150*('Critérios de Implantação'!N$102)),0)</f>
        <v>0</v>
      </c>
      <c r="O186" s="93">
        <f>IFERROR(('Resumo-Cult.Perma.'!N150*('Critérios de Implantação'!O$100)),0)+IFERROR(('Resumo-Cult.Perma.'!M150*('Critérios de Implantação'!O$101)),0)+IFERROR(('Resumo-Cult.Perma.'!L150*('Critérios de Implantação'!O$102)),0)</f>
        <v>0</v>
      </c>
      <c r="P186" s="93">
        <f>IFERROR(('Resumo-Cult.Perma.'!O150*('Critérios de Implantação'!P$100)),0)+IFERROR(('Resumo-Cult.Perma.'!N150*('Critérios de Implantação'!P$101)),0)+IFERROR(('Resumo-Cult.Perma.'!M150*('Critérios de Implantação'!P$102)),0)</f>
        <v>0</v>
      </c>
      <c r="Q186" s="93">
        <f>IFERROR(('Resumo-Cult.Perma.'!P150*('Critérios de Implantação'!Q$100)),0)+IFERROR(('Resumo-Cult.Perma.'!O150*('Critérios de Implantação'!Q$101)),0)+IFERROR(('Resumo-Cult.Perma.'!N150*('Critérios de Implantação'!Q$102)),0)</f>
        <v>0</v>
      </c>
      <c r="R186" s="93">
        <f>IFERROR(('Resumo-Cult.Perma.'!Q150*('Critérios de Implantação'!R$100)),0)+IFERROR(('Resumo-Cult.Perma.'!P150*('Critérios de Implantação'!R$101)),0)+IFERROR(('Resumo-Cult.Perma.'!O150*('Critérios de Implantação'!R$102)),0)</f>
        <v>0</v>
      </c>
      <c r="S186" s="93">
        <f>IFERROR(('Resumo-Cult.Perma.'!R150*('Critérios de Implantação'!S$100)),0)+IFERROR(('Resumo-Cult.Perma.'!Q150*('Critérios de Implantação'!S$101)),0)+IFERROR(('Resumo-Cult.Perma.'!P150*('Critérios de Implantação'!S$102)),0)</f>
        <v>0</v>
      </c>
      <c r="T186" s="93">
        <f>IFERROR(('Resumo-Cult.Perma.'!S150*('Critérios de Implantação'!T$100)),0)+IFERROR(('Resumo-Cult.Perma.'!R150*('Critérios de Implantação'!T$101)),0)+IFERROR(('Resumo-Cult.Perma.'!Q150*('Critérios de Implantação'!T$102)),0)</f>
        <v>0</v>
      </c>
      <c r="U186" s="93">
        <f>IFERROR(('Resumo-Cult.Perma.'!T150*('Critérios de Implantação'!U$100)),0)+IFERROR(('Resumo-Cult.Perma.'!S150*('Critérios de Implantação'!U$101)),0)+IFERROR(('Resumo-Cult.Perma.'!R150*('Critérios de Implantação'!U$102)),0)</f>
        <v>0</v>
      </c>
      <c r="V186" s="93">
        <f>IFERROR(('Resumo-Cult.Perma.'!U150*('Critérios de Implantação'!V$100)),0)+IFERROR(('Resumo-Cult.Perma.'!T150*('Critérios de Implantação'!V$101)),0)+IFERROR(('Resumo-Cult.Perma.'!S150*('Critérios de Implantação'!V$102)),0)</f>
        <v>0</v>
      </c>
      <c r="W186" s="93">
        <f>IFERROR(('Resumo-Cult.Perma.'!V150*('Critérios de Implantação'!W$100)),0)+IFERROR(('Resumo-Cult.Perma.'!U150*('Critérios de Implantação'!W$101)),0)+IFERROR(('Resumo-Cult.Perma.'!T150*('Critérios de Implantação'!W$102)),0)</f>
        <v>0</v>
      </c>
      <c r="X186" s="93">
        <f>IFERROR(('Resumo-Cult.Perma.'!W150*('Critérios de Implantação'!X$100)),0)+IFERROR(('Resumo-Cult.Perma.'!V150*('Critérios de Implantação'!X$101)),0)+IFERROR(('Resumo-Cult.Perma.'!U150*('Critérios de Implantação'!X$102)),0)</f>
        <v>0</v>
      </c>
      <c r="Y186" s="93">
        <f>IFERROR(('Resumo-Cult.Perma.'!X150*('Critérios de Implantação'!Y$100)),0)+IFERROR(('Resumo-Cult.Perma.'!W150*('Critérios de Implantação'!Y$101)),0)+IFERROR(('Resumo-Cult.Perma.'!V150*('Critérios de Implantação'!Y$102)),0)</f>
        <v>0</v>
      </c>
      <c r="Z186" s="93">
        <f>IFERROR(('Resumo-Cult.Perma.'!Y150*('Critérios de Implantação'!Z$100)),0)+IFERROR(('Resumo-Cult.Perma.'!X150*('Critérios de Implantação'!Z$101)),0)+IFERROR(('Resumo-Cult.Perma.'!W150*('Critérios de Implantação'!Z$102)),0)</f>
        <v>0</v>
      </c>
      <c r="AA186" s="93">
        <f>IFERROR(('Resumo-Cult.Perma.'!Z150*('Critérios de Implantação'!AA$100)),0)+IFERROR(('Resumo-Cult.Perma.'!Y150*('Critérios de Implantação'!AA$101)),0)+IFERROR(('Resumo-Cult.Perma.'!X150*('Critérios de Implantação'!AA$102)),0)</f>
        <v>0</v>
      </c>
      <c r="AB186" s="93">
        <f>IFERROR(('Resumo-Cult.Perma.'!AA150*('Critérios de Implantação'!AB$100)),0)+IFERROR(('Resumo-Cult.Perma.'!Z150*('Critérios de Implantação'!AB$101)),0)+IFERROR(('Resumo-Cult.Perma.'!Y150*('Critérios de Implantação'!AB$102)),0)</f>
        <v>0</v>
      </c>
      <c r="AC186" s="93">
        <f>IFERROR(('Resumo-Cult.Perma.'!AB150*('Critérios de Implantação'!AC$100)),0)+IFERROR(('Resumo-Cult.Perma.'!AA150*('Critérios de Implantação'!AC$101)),0)+IFERROR(('Resumo-Cult.Perma.'!Z150*('Critérios de Implantação'!AC$102)),0)</f>
        <v>0</v>
      </c>
      <c r="AD186" s="93">
        <f>IFERROR(('Resumo-Cult.Perma.'!AC150*('Critérios de Implantação'!AD$100)),0)+IFERROR(('Resumo-Cult.Perma.'!AB150*('Critérios de Implantação'!AD$101)),0)+IFERROR(('Resumo-Cult.Perma.'!AA150*('Critérios de Implantação'!AD$102)),0)</f>
        <v>0</v>
      </c>
      <c r="AE186" s="93">
        <f>IFERROR(('Resumo-Cult.Perma.'!AD150*('Critérios de Implantação'!AE$100)),0)+IFERROR(('Resumo-Cult.Perma.'!AC150*('Critérios de Implantação'!AE$101)),0)+IFERROR(('Resumo-Cult.Perma.'!AB150*('Critérios de Implantação'!AE$102)),0)</f>
        <v>0</v>
      </c>
      <c r="AF186" s="93">
        <f>IFERROR(('Resumo-Cult.Perma.'!AE150*('Critérios de Implantação'!AF$100)),0)+IFERROR(('Resumo-Cult.Perma.'!AD150*('Critérios de Implantação'!AF$101)),0)+IFERROR(('Resumo-Cult.Perma.'!AC150*('Critérios de Implantação'!AF$102)),0)</f>
        <v>0</v>
      </c>
      <c r="AG186" s="93">
        <f>IFERROR(('Resumo-Cult.Perma.'!AF150*('Critérios de Implantação'!AG$100)),0)+IFERROR(('Resumo-Cult.Perma.'!AE150*('Critérios de Implantação'!AG$101)),0)+IFERROR(('Resumo-Cult.Perma.'!AD150*('Critérios de Implantação'!AG$102)),0)</f>
        <v>0</v>
      </c>
      <c r="AH186" s="93">
        <f>IFERROR(('Resumo-Cult.Perma.'!AG150*('Critérios de Implantação'!AH$100)),0)+IFERROR(('Resumo-Cult.Perma.'!AF150*('Critérios de Implantação'!AH$101)),0)+IFERROR(('Resumo-Cult.Perma.'!AE150*('Critérios de Implantação'!AH$102)),0)</f>
        <v>0</v>
      </c>
      <c r="AI186" s="93">
        <f>IFERROR(('Resumo-Cult.Perma.'!AH150*('Critérios de Implantação'!AI$100)),0)+IFERROR(('Resumo-Cult.Perma.'!AG150*('Critérios de Implantação'!AI$101)),0)+IFERROR(('Resumo-Cult.Perma.'!AF150*('Critérios de Implantação'!AI$102)),0)</f>
        <v>0</v>
      </c>
      <c r="AJ186" s="93">
        <f>IFERROR(('Resumo-Cult.Perma.'!AI150*('Critérios de Implantação'!AJ$100)),0)+IFERROR(('Resumo-Cult.Perma.'!AH150*('Critérios de Implantação'!AJ$101)),0)+IFERROR(('Resumo-Cult.Perma.'!AG150*('Critérios de Implantação'!AJ$102)),0)</f>
        <v>0</v>
      </c>
      <c r="AK186" s="95">
        <f>IFERROR(('Resumo-Cult.Perma.'!AJ150*('Critérios de Implantação'!AK$100)),0)+IFERROR(('Resumo-Cult.Perma.'!AI150*('Critérios de Implantação'!AK$101)),0)+IFERROR(('Resumo-Cult.Perma.'!AH150*('Critérios de Implantação'!AK$102)),0)</f>
        <v>0</v>
      </c>
    </row>
    <row r="187" spans="1:37" ht="20.149999999999999" hidden="1" customHeight="1" outlineLevel="1" x14ac:dyDescent="0.25">
      <c r="A187" s="48" t="s">
        <v>140</v>
      </c>
      <c r="B187" s="34" t="s">
        <v>141</v>
      </c>
      <c r="C187" s="80"/>
      <c r="D187" s="93">
        <f>IFERROR(('Resumo-Cult.Perma.'!C151*('Critérios de Implantação'!D$100)),0)+IFERROR(('Resumo-Cult.Perma.'!B151*('Critérios de Implantação'!D$101)),0)+IFERROR(('Resumo-Cult.Perma.'!A151*('Critérios de Implantação'!D$102)),0)</f>
        <v>0</v>
      </c>
      <c r="E187" s="93">
        <f>IFERROR(('Resumo-Cult.Perma.'!D151*('Critérios de Implantação'!E$100)),0)+IFERROR(('Resumo-Cult.Perma.'!C151*('Critérios de Implantação'!E$101)),0)+IFERROR(('Resumo-Cult.Perma.'!B151*('Critérios de Implantação'!E$102)),0)</f>
        <v>0</v>
      </c>
      <c r="F187" s="93">
        <f>IFERROR(('Resumo-Cult.Perma.'!E151*('Critérios de Implantação'!F$100)),0)+IFERROR(('Resumo-Cult.Perma.'!D151*('Critérios de Implantação'!F$101)),0)+IFERROR(('Resumo-Cult.Perma.'!C151*('Critérios de Implantação'!F$102)),0)</f>
        <v>0</v>
      </c>
      <c r="G187" s="93">
        <f>IFERROR(('Resumo-Cult.Perma.'!F151*('Critérios de Implantação'!G$100)),0)+IFERROR(('Resumo-Cult.Perma.'!E151*('Critérios de Implantação'!G$101)),0)+IFERROR(('Resumo-Cult.Perma.'!D151*('Critérios de Implantação'!G$102)),0)</f>
        <v>0</v>
      </c>
      <c r="H187" s="93">
        <f>IFERROR(('Resumo-Cult.Perma.'!G151*('Critérios de Implantação'!H$100)),0)+IFERROR(('Resumo-Cult.Perma.'!F151*('Critérios de Implantação'!H$101)),0)+IFERROR(('Resumo-Cult.Perma.'!E151*('Critérios de Implantação'!H$102)),0)</f>
        <v>0</v>
      </c>
      <c r="I187" s="93">
        <f>IFERROR(('Resumo-Cult.Perma.'!H151*('Critérios de Implantação'!I$100)),0)+IFERROR(('Resumo-Cult.Perma.'!G151*('Critérios de Implantação'!I$101)),0)+IFERROR(('Resumo-Cult.Perma.'!F151*('Critérios de Implantação'!I$102)),0)</f>
        <v>0</v>
      </c>
      <c r="J187" s="93">
        <f>IFERROR(('Resumo-Cult.Perma.'!I151*('Critérios de Implantação'!J$100)),0)+IFERROR(('Resumo-Cult.Perma.'!H151*('Critérios de Implantação'!J$101)),0)+IFERROR(('Resumo-Cult.Perma.'!G151*('Critérios de Implantação'!J$102)),0)</f>
        <v>0</v>
      </c>
      <c r="K187" s="93">
        <f>IFERROR(('Resumo-Cult.Perma.'!J151*('Critérios de Implantação'!K$100)),0)+IFERROR(('Resumo-Cult.Perma.'!I151*('Critérios de Implantação'!K$101)),0)+IFERROR(('Resumo-Cult.Perma.'!H151*('Critérios de Implantação'!K$102)),0)</f>
        <v>0</v>
      </c>
      <c r="L187" s="93">
        <f>IFERROR(('Resumo-Cult.Perma.'!K151*('Critérios de Implantação'!L$100)),0)+IFERROR(('Resumo-Cult.Perma.'!J151*('Critérios de Implantação'!L$101)),0)+IFERROR(('Resumo-Cult.Perma.'!I151*('Critérios de Implantação'!L$102)),0)</f>
        <v>0</v>
      </c>
      <c r="M187" s="93">
        <f>IFERROR(('Resumo-Cult.Perma.'!L151*('Critérios de Implantação'!M$100)),0)+IFERROR(('Resumo-Cult.Perma.'!K151*('Critérios de Implantação'!M$101)),0)+IFERROR(('Resumo-Cult.Perma.'!J151*('Critérios de Implantação'!M$102)),0)</f>
        <v>0</v>
      </c>
      <c r="N187" s="93">
        <f>IFERROR(('Resumo-Cult.Perma.'!M151*('Critérios de Implantação'!N$100)),0)+IFERROR(('Resumo-Cult.Perma.'!L151*('Critérios de Implantação'!N$101)),0)+IFERROR(('Resumo-Cult.Perma.'!K151*('Critérios de Implantação'!N$102)),0)</f>
        <v>0</v>
      </c>
      <c r="O187" s="93">
        <f>IFERROR(('Resumo-Cult.Perma.'!N151*('Critérios de Implantação'!O$100)),0)+IFERROR(('Resumo-Cult.Perma.'!M151*('Critérios de Implantação'!O$101)),0)+IFERROR(('Resumo-Cult.Perma.'!L151*('Critérios de Implantação'!O$102)),0)</f>
        <v>0</v>
      </c>
      <c r="P187" s="93">
        <f>IFERROR(('Resumo-Cult.Perma.'!O151*('Critérios de Implantação'!P$100)),0)+IFERROR(('Resumo-Cult.Perma.'!N151*('Critérios de Implantação'!P$101)),0)+IFERROR(('Resumo-Cult.Perma.'!M151*('Critérios de Implantação'!P$102)),0)</f>
        <v>0</v>
      </c>
      <c r="Q187" s="93">
        <f>IFERROR(('Resumo-Cult.Perma.'!P151*('Critérios de Implantação'!Q$100)),0)+IFERROR(('Resumo-Cult.Perma.'!O151*('Critérios de Implantação'!Q$101)),0)+IFERROR(('Resumo-Cult.Perma.'!N151*('Critérios de Implantação'!Q$102)),0)</f>
        <v>0</v>
      </c>
      <c r="R187" s="93">
        <f>IFERROR(('Resumo-Cult.Perma.'!Q151*('Critérios de Implantação'!R$100)),0)+IFERROR(('Resumo-Cult.Perma.'!P151*('Critérios de Implantação'!R$101)),0)+IFERROR(('Resumo-Cult.Perma.'!O151*('Critérios de Implantação'!R$102)),0)</f>
        <v>0</v>
      </c>
      <c r="S187" s="93">
        <f>IFERROR(('Resumo-Cult.Perma.'!R151*('Critérios de Implantação'!S$100)),0)+IFERROR(('Resumo-Cult.Perma.'!Q151*('Critérios de Implantação'!S$101)),0)+IFERROR(('Resumo-Cult.Perma.'!P151*('Critérios de Implantação'!S$102)),0)</f>
        <v>0</v>
      </c>
      <c r="T187" s="93">
        <f>IFERROR(('Resumo-Cult.Perma.'!S151*('Critérios de Implantação'!T$100)),0)+IFERROR(('Resumo-Cult.Perma.'!R151*('Critérios de Implantação'!T$101)),0)+IFERROR(('Resumo-Cult.Perma.'!Q151*('Critérios de Implantação'!T$102)),0)</f>
        <v>0</v>
      </c>
      <c r="U187" s="93">
        <f>IFERROR(('Resumo-Cult.Perma.'!T151*('Critérios de Implantação'!U$100)),0)+IFERROR(('Resumo-Cult.Perma.'!S151*('Critérios de Implantação'!U$101)),0)+IFERROR(('Resumo-Cult.Perma.'!R151*('Critérios de Implantação'!U$102)),0)</f>
        <v>0</v>
      </c>
      <c r="V187" s="93">
        <f>IFERROR(('Resumo-Cult.Perma.'!U151*('Critérios de Implantação'!V$100)),0)+IFERROR(('Resumo-Cult.Perma.'!T151*('Critérios de Implantação'!V$101)),0)+IFERROR(('Resumo-Cult.Perma.'!S151*('Critérios de Implantação'!V$102)),0)</f>
        <v>0</v>
      </c>
      <c r="W187" s="93">
        <f>IFERROR(('Resumo-Cult.Perma.'!V151*('Critérios de Implantação'!W$100)),0)+IFERROR(('Resumo-Cult.Perma.'!U151*('Critérios de Implantação'!W$101)),0)+IFERROR(('Resumo-Cult.Perma.'!T151*('Critérios de Implantação'!W$102)),0)</f>
        <v>0</v>
      </c>
      <c r="X187" s="93">
        <f>IFERROR(('Resumo-Cult.Perma.'!W151*('Critérios de Implantação'!X$100)),0)+IFERROR(('Resumo-Cult.Perma.'!V151*('Critérios de Implantação'!X$101)),0)+IFERROR(('Resumo-Cult.Perma.'!U151*('Critérios de Implantação'!X$102)),0)</f>
        <v>0</v>
      </c>
      <c r="Y187" s="93">
        <f>IFERROR(('Resumo-Cult.Perma.'!X151*('Critérios de Implantação'!Y$100)),0)+IFERROR(('Resumo-Cult.Perma.'!W151*('Critérios de Implantação'!Y$101)),0)+IFERROR(('Resumo-Cult.Perma.'!V151*('Critérios de Implantação'!Y$102)),0)</f>
        <v>0</v>
      </c>
      <c r="Z187" s="93">
        <f>IFERROR(('Resumo-Cult.Perma.'!Y151*('Critérios de Implantação'!Z$100)),0)+IFERROR(('Resumo-Cult.Perma.'!X151*('Critérios de Implantação'!Z$101)),0)+IFERROR(('Resumo-Cult.Perma.'!W151*('Critérios de Implantação'!Z$102)),0)</f>
        <v>0</v>
      </c>
      <c r="AA187" s="93">
        <f>IFERROR(('Resumo-Cult.Perma.'!Z151*('Critérios de Implantação'!AA$100)),0)+IFERROR(('Resumo-Cult.Perma.'!Y151*('Critérios de Implantação'!AA$101)),0)+IFERROR(('Resumo-Cult.Perma.'!X151*('Critérios de Implantação'!AA$102)),0)</f>
        <v>0</v>
      </c>
      <c r="AB187" s="93">
        <f>IFERROR(('Resumo-Cult.Perma.'!AA151*('Critérios de Implantação'!AB$100)),0)+IFERROR(('Resumo-Cult.Perma.'!Z151*('Critérios de Implantação'!AB$101)),0)+IFERROR(('Resumo-Cult.Perma.'!Y151*('Critérios de Implantação'!AB$102)),0)</f>
        <v>0</v>
      </c>
      <c r="AC187" s="93">
        <f>IFERROR(('Resumo-Cult.Perma.'!AB151*('Critérios de Implantação'!AC$100)),0)+IFERROR(('Resumo-Cult.Perma.'!AA151*('Critérios de Implantação'!AC$101)),0)+IFERROR(('Resumo-Cult.Perma.'!Z151*('Critérios de Implantação'!AC$102)),0)</f>
        <v>0</v>
      </c>
      <c r="AD187" s="93">
        <f>IFERROR(('Resumo-Cult.Perma.'!AC151*('Critérios de Implantação'!AD$100)),0)+IFERROR(('Resumo-Cult.Perma.'!AB151*('Critérios de Implantação'!AD$101)),0)+IFERROR(('Resumo-Cult.Perma.'!AA151*('Critérios de Implantação'!AD$102)),0)</f>
        <v>0</v>
      </c>
      <c r="AE187" s="93">
        <f>IFERROR(('Resumo-Cult.Perma.'!AD151*('Critérios de Implantação'!AE$100)),0)+IFERROR(('Resumo-Cult.Perma.'!AC151*('Critérios de Implantação'!AE$101)),0)+IFERROR(('Resumo-Cult.Perma.'!AB151*('Critérios de Implantação'!AE$102)),0)</f>
        <v>0</v>
      </c>
      <c r="AF187" s="93">
        <f>IFERROR(('Resumo-Cult.Perma.'!AE151*('Critérios de Implantação'!AF$100)),0)+IFERROR(('Resumo-Cult.Perma.'!AD151*('Critérios de Implantação'!AF$101)),0)+IFERROR(('Resumo-Cult.Perma.'!AC151*('Critérios de Implantação'!AF$102)),0)</f>
        <v>0</v>
      </c>
      <c r="AG187" s="93">
        <f>IFERROR(('Resumo-Cult.Perma.'!AF151*('Critérios de Implantação'!AG$100)),0)+IFERROR(('Resumo-Cult.Perma.'!AE151*('Critérios de Implantação'!AG$101)),0)+IFERROR(('Resumo-Cult.Perma.'!AD151*('Critérios de Implantação'!AG$102)),0)</f>
        <v>0</v>
      </c>
      <c r="AH187" s="93">
        <f>IFERROR(('Resumo-Cult.Perma.'!AG151*('Critérios de Implantação'!AH$100)),0)+IFERROR(('Resumo-Cult.Perma.'!AF151*('Critérios de Implantação'!AH$101)),0)+IFERROR(('Resumo-Cult.Perma.'!AE151*('Critérios de Implantação'!AH$102)),0)</f>
        <v>0</v>
      </c>
      <c r="AI187" s="93">
        <f>IFERROR(('Resumo-Cult.Perma.'!AH151*('Critérios de Implantação'!AI$100)),0)+IFERROR(('Resumo-Cult.Perma.'!AG151*('Critérios de Implantação'!AI$101)),0)+IFERROR(('Resumo-Cult.Perma.'!AF151*('Critérios de Implantação'!AI$102)),0)</f>
        <v>0</v>
      </c>
      <c r="AJ187" s="93">
        <f>IFERROR(('Resumo-Cult.Perma.'!AI151*('Critérios de Implantação'!AJ$100)),0)+IFERROR(('Resumo-Cult.Perma.'!AH151*('Critérios de Implantação'!AJ$101)),0)+IFERROR(('Resumo-Cult.Perma.'!AG151*('Critérios de Implantação'!AJ$102)),0)</f>
        <v>0</v>
      </c>
      <c r="AK187" s="95">
        <f>IFERROR(('Resumo-Cult.Perma.'!AJ151*('Critérios de Implantação'!AK$100)),0)+IFERROR(('Resumo-Cult.Perma.'!AI151*('Critérios de Implantação'!AK$101)),0)+IFERROR(('Resumo-Cult.Perma.'!AH151*('Critérios de Implantação'!AK$102)),0)</f>
        <v>0</v>
      </c>
    </row>
    <row r="188" spans="1:37" ht="20.149999999999999" hidden="1" customHeight="1" outlineLevel="1" thickBot="1" x14ac:dyDescent="0.3">
      <c r="A188" s="96"/>
      <c r="B188" s="87" t="s">
        <v>149</v>
      </c>
      <c r="C188" s="88"/>
      <c r="D188" s="88">
        <f t="shared" ref="D188:AK188" si="73">SUM(D184:D187)</f>
        <v>0</v>
      </c>
      <c r="E188" s="88">
        <f t="shared" si="73"/>
        <v>0</v>
      </c>
      <c r="F188" s="88">
        <f t="shared" si="73"/>
        <v>0</v>
      </c>
      <c r="G188" s="88">
        <f t="shared" si="73"/>
        <v>0</v>
      </c>
      <c r="H188" s="88">
        <f t="shared" si="73"/>
        <v>0</v>
      </c>
      <c r="I188" s="88">
        <f t="shared" si="73"/>
        <v>0</v>
      </c>
      <c r="J188" s="88">
        <f t="shared" si="73"/>
        <v>0</v>
      </c>
      <c r="K188" s="88">
        <f t="shared" si="73"/>
        <v>0</v>
      </c>
      <c r="L188" s="88">
        <f t="shared" si="73"/>
        <v>0</v>
      </c>
      <c r="M188" s="88">
        <f t="shared" si="73"/>
        <v>0</v>
      </c>
      <c r="N188" s="88">
        <f t="shared" si="73"/>
        <v>0</v>
      </c>
      <c r="O188" s="88">
        <f t="shared" si="73"/>
        <v>0</v>
      </c>
      <c r="P188" s="88">
        <f t="shared" si="73"/>
        <v>0</v>
      </c>
      <c r="Q188" s="88">
        <f t="shared" si="73"/>
        <v>0</v>
      </c>
      <c r="R188" s="88">
        <f t="shared" si="73"/>
        <v>0</v>
      </c>
      <c r="S188" s="88">
        <f t="shared" si="73"/>
        <v>0</v>
      </c>
      <c r="T188" s="88">
        <f t="shared" si="73"/>
        <v>0</v>
      </c>
      <c r="U188" s="88">
        <f t="shared" si="73"/>
        <v>0</v>
      </c>
      <c r="V188" s="88">
        <f t="shared" si="73"/>
        <v>0</v>
      </c>
      <c r="W188" s="88">
        <f t="shared" si="73"/>
        <v>0</v>
      </c>
      <c r="X188" s="88">
        <f t="shared" si="73"/>
        <v>0</v>
      </c>
      <c r="Y188" s="88">
        <f t="shared" si="73"/>
        <v>0</v>
      </c>
      <c r="Z188" s="88">
        <f t="shared" si="73"/>
        <v>0</v>
      </c>
      <c r="AA188" s="88">
        <f t="shared" si="73"/>
        <v>0</v>
      </c>
      <c r="AB188" s="88">
        <f t="shared" si="73"/>
        <v>0</v>
      </c>
      <c r="AC188" s="88">
        <f t="shared" si="73"/>
        <v>0</v>
      </c>
      <c r="AD188" s="88">
        <f t="shared" si="73"/>
        <v>0</v>
      </c>
      <c r="AE188" s="88">
        <f t="shared" si="73"/>
        <v>0</v>
      </c>
      <c r="AF188" s="88">
        <f t="shared" si="73"/>
        <v>0</v>
      </c>
      <c r="AG188" s="88">
        <f t="shared" si="73"/>
        <v>0</v>
      </c>
      <c r="AH188" s="88">
        <f t="shared" si="73"/>
        <v>0</v>
      </c>
      <c r="AI188" s="88">
        <f t="shared" si="73"/>
        <v>0</v>
      </c>
      <c r="AJ188" s="88">
        <f t="shared" si="73"/>
        <v>0</v>
      </c>
      <c r="AK188" s="89">
        <f t="shared" si="73"/>
        <v>0</v>
      </c>
    </row>
    <row r="189" spans="1:37" ht="20.149999999999999" hidden="1" customHeight="1" outlineLevel="1" thickBot="1" x14ac:dyDescent="0.3">
      <c r="A189" s="14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</row>
    <row r="190" spans="1:37" ht="20.149999999999999" hidden="1" customHeight="1" outlineLevel="1" x14ac:dyDescent="0.25">
      <c r="A190" s="42">
        <v>3</v>
      </c>
      <c r="B190" s="97" t="s">
        <v>144</v>
      </c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2"/>
    </row>
    <row r="191" spans="1:37" ht="20.149999999999999" hidden="1" customHeight="1" outlineLevel="1" x14ac:dyDescent="0.25">
      <c r="A191" s="47" t="s">
        <v>339</v>
      </c>
      <c r="B191" s="22" t="str">
        <f>"Valor da produção "&amp;A167</f>
        <v>Valor da produção Cana</v>
      </c>
      <c r="C191" s="80"/>
      <c r="D191" s="80">
        <f>IFERROR(('Resumo-Cult.Perma.'!C155*('Critérios de Implantação'!D$100)),0)+IFERROR(('Resumo-Cult.Perma.'!B155*('Critérios de Implantação'!D$101)),0)+IFERROR(('Resumo-Cult.Perma.'!A155*('Critérios de Implantação'!D$102)),0)</f>
        <v>0</v>
      </c>
      <c r="E191" s="80">
        <f>IFERROR(('Resumo-Cult.Perma.'!D155*('Critérios de Implantação'!E$100)),0)+IFERROR(('Resumo-Cult.Perma.'!C155*('Critérios de Implantação'!E$101)),0)+IFERROR(('Resumo-Cult.Perma.'!B155*('Critérios de Implantação'!E$102)),0)</f>
        <v>0</v>
      </c>
      <c r="F191" s="80">
        <f>IFERROR(('Resumo-Cult.Perma.'!E155*('Critérios de Implantação'!F$100)),0)+IFERROR(('Resumo-Cult.Perma.'!D155*('Critérios de Implantação'!F$101)),0)+IFERROR(('Resumo-Cult.Perma.'!C155*('Critérios de Implantação'!F$102)),0)</f>
        <v>0</v>
      </c>
      <c r="G191" s="80">
        <f>IFERROR(('Resumo-Cult.Perma.'!F155*('Critérios de Implantação'!G$100)),0)+IFERROR(('Resumo-Cult.Perma.'!E155*('Critérios de Implantação'!G$101)),0)+IFERROR(('Resumo-Cult.Perma.'!D155*('Critérios de Implantação'!G$102)),0)</f>
        <v>0</v>
      </c>
      <c r="H191" s="80">
        <f>IFERROR(('Resumo-Cult.Perma.'!G155*('Critérios de Implantação'!H$100)),0)+IFERROR(('Resumo-Cult.Perma.'!F155*('Critérios de Implantação'!H$101)),0)+IFERROR(('Resumo-Cult.Perma.'!E155*('Critérios de Implantação'!H$102)),0)</f>
        <v>0</v>
      </c>
      <c r="I191" s="80">
        <f>IFERROR(('Resumo-Cult.Perma.'!H155*('Critérios de Implantação'!I$100)),0)+IFERROR(('Resumo-Cult.Perma.'!G155*('Critérios de Implantação'!I$101)),0)+IFERROR(('Resumo-Cult.Perma.'!F155*('Critérios de Implantação'!I$102)),0)</f>
        <v>0</v>
      </c>
      <c r="J191" s="80">
        <f>IFERROR(('Resumo-Cult.Perma.'!I155*('Critérios de Implantação'!J$100)),0)+IFERROR(('Resumo-Cult.Perma.'!H155*('Critérios de Implantação'!J$101)),0)+IFERROR(('Resumo-Cult.Perma.'!G155*('Critérios de Implantação'!J$102)),0)</f>
        <v>0</v>
      </c>
      <c r="K191" s="80">
        <f>IFERROR(('Resumo-Cult.Perma.'!J155*('Critérios de Implantação'!K$100)),0)+IFERROR(('Resumo-Cult.Perma.'!I155*('Critérios de Implantação'!K$101)),0)+IFERROR(('Resumo-Cult.Perma.'!H155*('Critérios de Implantação'!K$102)),0)</f>
        <v>0</v>
      </c>
      <c r="L191" s="80">
        <f>IFERROR(('Resumo-Cult.Perma.'!K155*('Critérios de Implantação'!L$100)),0)+IFERROR(('Resumo-Cult.Perma.'!J155*('Critérios de Implantação'!L$101)),0)+IFERROR(('Resumo-Cult.Perma.'!I155*('Critérios de Implantação'!L$102)),0)</f>
        <v>0</v>
      </c>
      <c r="M191" s="80">
        <f>IFERROR(('Resumo-Cult.Perma.'!L155*('Critérios de Implantação'!M$100)),0)+IFERROR(('Resumo-Cult.Perma.'!K155*('Critérios de Implantação'!M$101)),0)+IFERROR(('Resumo-Cult.Perma.'!J155*('Critérios de Implantação'!M$102)),0)</f>
        <v>0</v>
      </c>
      <c r="N191" s="80">
        <f>IFERROR(('Resumo-Cult.Perma.'!M155*('Critérios de Implantação'!N$100)),0)+IFERROR(('Resumo-Cult.Perma.'!L155*('Critérios de Implantação'!N$101)),0)+IFERROR(('Resumo-Cult.Perma.'!K155*('Critérios de Implantação'!N$102)),0)</f>
        <v>0</v>
      </c>
      <c r="O191" s="80">
        <f>IFERROR(('Resumo-Cult.Perma.'!N155*('Critérios de Implantação'!O$100)),0)+IFERROR(('Resumo-Cult.Perma.'!M155*('Critérios de Implantação'!O$101)),0)+IFERROR(('Resumo-Cult.Perma.'!L155*('Critérios de Implantação'!O$102)),0)</f>
        <v>0</v>
      </c>
      <c r="P191" s="80">
        <f>IFERROR(('Resumo-Cult.Perma.'!O155*('Critérios de Implantação'!P$100)),0)+IFERROR(('Resumo-Cult.Perma.'!N155*('Critérios de Implantação'!P$101)),0)+IFERROR(('Resumo-Cult.Perma.'!M155*('Critérios de Implantação'!P$102)),0)</f>
        <v>0</v>
      </c>
      <c r="Q191" s="80">
        <f>IFERROR(('Resumo-Cult.Perma.'!P155*('Critérios de Implantação'!Q$100)),0)+IFERROR(('Resumo-Cult.Perma.'!O155*('Critérios de Implantação'!Q$101)),0)+IFERROR(('Resumo-Cult.Perma.'!N155*('Critérios de Implantação'!Q$102)),0)</f>
        <v>0</v>
      </c>
      <c r="R191" s="80">
        <f>IFERROR(('Resumo-Cult.Perma.'!Q155*('Critérios de Implantação'!R$100)),0)+IFERROR(('Resumo-Cult.Perma.'!P155*('Critérios de Implantação'!R$101)),0)+IFERROR(('Resumo-Cult.Perma.'!O155*('Critérios de Implantação'!R$102)),0)</f>
        <v>0</v>
      </c>
      <c r="S191" s="80">
        <f>IFERROR(('Resumo-Cult.Perma.'!R155*('Critérios de Implantação'!S$100)),0)+IFERROR(('Resumo-Cult.Perma.'!Q155*('Critérios de Implantação'!S$101)),0)+IFERROR(('Resumo-Cult.Perma.'!P155*('Critérios de Implantação'!S$102)),0)</f>
        <v>0</v>
      </c>
      <c r="T191" s="80">
        <f>IFERROR(('Resumo-Cult.Perma.'!S155*('Critérios de Implantação'!T$100)),0)+IFERROR(('Resumo-Cult.Perma.'!R155*('Critérios de Implantação'!T$101)),0)+IFERROR(('Resumo-Cult.Perma.'!Q155*('Critérios de Implantação'!T$102)),0)</f>
        <v>0</v>
      </c>
      <c r="U191" s="80">
        <f>IFERROR(('Resumo-Cult.Perma.'!T155*('Critérios de Implantação'!U$100)),0)+IFERROR(('Resumo-Cult.Perma.'!S155*('Critérios de Implantação'!U$101)),0)+IFERROR(('Resumo-Cult.Perma.'!R155*('Critérios de Implantação'!U$102)),0)</f>
        <v>0</v>
      </c>
      <c r="V191" s="80">
        <f>IFERROR(('Resumo-Cult.Perma.'!U155*('Critérios de Implantação'!V$100)),0)+IFERROR(('Resumo-Cult.Perma.'!T155*('Critérios de Implantação'!V$101)),0)+IFERROR(('Resumo-Cult.Perma.'!S155*('Critérios de Implantação'!V$102)),0)</f>
        <v>0</v>
      </c>
      <c r="W191" s="80">
        <f>IFERROR(('Resumo-Cult.Perma.'!V155*('Critérios de Implantação'!W$100)),0)+IFERROR(('Resumo-Cult.Perma.'!U155*('Critérios de Implantação'!W$101)),0)+IFERROR(('Resumo-Cult.Perma.'!T155*('Critérios de Implantação'!W$102)),0)</f>
        <v>0</v>
      </c>
      <c r="X191" s="80">
        <f>IFERROR(('Resumo-Cult.Perma.'!W155*('Critérios de Implantação'!X$100)),0)+IFERROR(('Resumo-Cult.Perma.'!V155*('Critérios de Implantação'!X$101)),0)+IFERROR(('Resumo-Cult.Perma.'!U155*('Critérios de Implantação'!X$102)),0)</f>
        <v>0</v>
      </c>
      <c r="Y191" s="80">
        <f>IFERROR(('Resumo-Cult.Perma.'!X155*('Critérios de Implantação'!Y$100)),0)+IFERROR(('Resumo-Cult.Perma.'!W155*('Critérios de Implantação'!Y$101)),0)+IFERROR(('Resumo-Cult.Perma.'!V155*('Critérios de Implantação'!Y$102)),0)</f>
        <v>0</v>
      </c>
      <c r="Z191" s="80">
        <f>IFERROR(('Resumo-Cult.Perma.'!Y155*('Critérios de Implantação'!Z$100)),0)+IFERROR(('Resumo-Cult.Perma.'!X155*('Critérios de Implantação'!Z$101)),0)+IFERROR(('Resumo-Cult.Perma.'!W155*('Critérios de Implantação'!Z$102)),0)</f>
        <v>0</v>
      </c>
      <c r="AA191" s="80">
        <f>IFERROR(('Resumo-Cult.Perma.'!Z155*('Critérios de Implantação'!AA$100)),0)+IFERROR(('Resumo-Cult.Perma.'!Y155*('Critérios de Implantação'!AA$101)),0)+IFERROR(('Resumo-Cult.Perma.'!X155*('Critérios de Implantação'!AA$102)),0)</f>
        <v>0</v>
      </c>
      <c r="AB191" s="80">
        <f>IFERROR(('Resumo-Cult.Perma.'!AA155*('Critérios de Implantação'!AB$100)),0)+IFERROR(('Resumo-Cult.Perma.'!Z155*('Critérios de Implantação'!AB$101)),0)+IFERROR(('Resumo-Cult.Perma.'!Y155*('Critérios de Implantação'!AB$102)),0)</f>
        <v>0</v>
      </c>
      <c r="AC191" s="80">
        <f>IFERROR(('Resumo-Cult.Perma.'!AB155*('Critérios de Implantação'!AC$100)),0)+IFERROR(('Resumo-Cult.Perma.'!AA155*('Critérios de Implantação'!AC$101)),0)+IFERROR(('Resumo-Cult.Perma.'!Z155*('Critérios de Implantação'!AC$102)),0)</f>
        <v>0</v>
      </c>
      <c r="AD191" s="80">
        <f>IFERROR(('Resumo-Cult.Perma.'!AC155*('Critérios de Implantação'!AD$100)),0)+IFERROR(('Resumo-Cult.Perma.'!AB155*('Critérios de Implantação'!AD$101)),0)+IFERROR(('Resumo-Cult.Perma.'!AA155*('Critérios de Implantação'!AD$102)),0)</f>
        <v>0</v>
      </c>
      <c r="AE191" s="80">
        <f>IFERROR(('Resumo-Cult.Perma.'!AD155*('Critérios de Implantação'!AE$100)),0)+IFERROR(('Resumo-Cult.Perma.'!AC155*('Critérios de Implantação'!AE$101)),0)+IFERROR(('Resumo-Cult.Perma.'!AB155*('Critérios de Implantação'!AE$102)),0)</f>
        <v>0</v>
      </c>
      <c r="AF191" s="80">
        <f>IFERROR(('Resumo-Cult.Perma.'!AE155*('Critérios de Implantação'!AF$100)),0)+IFERROR(('Resumo-Cult.Perma.'!AD155*('Critérios de Implantação'!AF$101)),0)+IFERROR(('Resumo-Cult.Perma.'!AC155*('Critérios de Implantação'!AF$102)),0)</f>
        <v>0</v>
      </c>
      <c r="AG191" s="80">
        <f>IFERROR(('Resumo-Cult.Perma.'!AF155*('Critérios de Implantação'!AG$100)),0)+IFERROR(('Resumo-Cult.Perma.'!AE155*('Critérios de Implantação'!AG$101)),0)+IFERROR(('Resumo-Cult.Perma.'!AD155*('Critérios de Implantação'!AG$102)),0)</f>
        <v>0</v>
      </c>
      <c r="AH191" s="80">
        <f>IFERROR(('Resumo-Cult.Perma.'!AG155*('Critérios de Implantação'!AH$100)),0)+IFERROR(('Resumo-Cult.Perma.'!AF155*('Critérios de Implantação'!AH$101)),0)+IFERROR(('Resumo-Cult.Perma.'!AE155*('Critérios de Implantação'!AH$102)),0)</f>
        <v>0</v>
      </c>
      <c r="AI191" s="80">
        <f>IFERROR(('Resumo-Cult.Perma.'!AH155*('Critérios de Implantação'!AI$100)),0)+IFERROR(('Resumo-Cult.Perma.'!AG155*('Critérios de Implantação'!AI$101)),0)+IFERROR(('Resumo-Cult.Perma.'!AF155*('Critérios de Implantação'!AI$102)),0)</f>
        <v>0</v>
      </c>
      <c r="AJ191" s="80">
        <f>IFERROR(('Resumo-Cult.Perma.'!AI155*('Critérios de Implantação'!AJ$100)),0)+IFERROR(('Resumo-Cult.Perma.'!AH155*('Critérios de Implantação'!AJ$101)),0)+IFERROR(('Resumo-Cult.Perma.'!AG155*('Critérios de Implantação'!AJ$102)),0)</f>
        <v>0</v>
      </c>
      <c r="AK191" s="81">
        <f>IFERROR(('Resumo-Cult.Perma.'!AJ155*('Critérios de Implantação'!AK$100)),0)+IFERROR(('Resumo-Cult.Perma.'!AI155*('Critérios de Implantação'!AK$101)),0)+IFERROR(('Resumo-Cult.Perma.'!AH155*('Critérios de Implantação'!AK$102)),0)</f>
        <v>0</v>
      </c>
    </row>
    <row r="192" spans="1:37" ht="20.149999999999999" hidden="1" customHeight="1" outlineLevel="1" thickBot="1" x14ac:dyDescent="0.3">
      <c r="A192" s="52"/>
      <c r="B192" s="102" t="s">
        <v>153</v>
      </c>
      <c r="C192" s="88"/>
      <c r="D192" s="88">
        <f>SUM(D191:D191)</f>
        <v>0</v>
      </c>
      <c r="E192" s="88">
        <f t="shared" ref="E192:AK192" si="74">SUM(E191:E191)</f>
        <v>0</v>
      </c>
      <c r="F192" s="88">
        <f t="shared" si="74"/>
        <v>0</v>
      </c>
      <c r="G192" s="88">
        <f t="shared" si="74"/>
        <v>0</v>
      </c>
      <c r="H192" s="88">
        <f>SUM(H191:H191)</f>
        <v>0</v>
      </c>
      <c r="I192" s="88">
        <f t="shared" si="74"/>
        <v>0</v>
      </c>
      <c r="J192" s="88">
        <f t="shared" si="74"/>
        <v>0</v>
      </c>
      <c r="K192" s="88">
        <f t="shared" si="74"/>
        <v>0</v>
      </c>
      <c r="L192" s="88">
        <f t="shared" si="74"/>
        <v>0</v>
      </c>
      <c r="M192" s="88">
        <f t="shared" si="74"/>
        <v>0</v>
      </c>
      <c r="N192" s="88">
        <f t="shared" si="74"/>
        <v>0</v>
      </c>
      <c r="O192" s="88">
        <f t="shared" si="74"/>
        <v>0</v>
      </c>
      <c r="P192" s="88">
        <f t="shared" si="74"/>
        <v>0</v>
      </c>
      <c r="Q192" s="88">
        <f t="shared" si="74"/>
        <v>0</v>
      </c>
      <c r="R192" s="88">
        <f t="shared" si="74"/>
        <v>0</v>
      </c>
      <c r="S192" s="88">
        <f t="shared" si="74"/>
        <v>0</v>
      </c>
      <c r="T192" s="88">
        <f t="shared" si="74"/>
        <v>0</v>
      </c>
      <c r="U192" s="88">
        <f t="shared" si="74"/>
        <v>0</v>
      </c>
      <c r="V192" s="88">
        <f t="shared" si="74"/>
        <v>0</v>
      </c>
      <c r="W192" s="88">
        <f t="shared" si="74"/>
        <v>0</v>
      </c>
      <c r="X192" s="88">
        <f t="shared" si="74"/>
        <v>0</v>
      </c>
      <c r="Y192" s="88">
        <f t="shared" si="74"/>
        <v>0</v>
      </c>
      <c r="Z192" s="88">
        <f t="shared" si="74"/>
        <v>0</v>
      </c>
      <c r="AA192" s="88">
        <f t="shared" si="74"/>
        <v>0</v>
      </c>
      <c r="AB192" s="88">
        <f t="shared" si="74"/>
        <v>0</v>
      </c>
      <c r="AC192" s="88">
        <f t="shared" si="74"/>
        <v>0</v>
      </c>
      <c r="AD192" s="88">
        <f t="shared" si="74"/>
        <v>0</v>
      </c>
      <c r="AE192" s="88">
        <f t="shared" si="74"/>
        <v>0</v>
      </c>
      <c r="AF192" s="88">
        <f t="shared" si="74"/>
        <v>0</v>
      </c>
      <c r="AG192" s="88">
        <f t="shared" si="74"/>
        <v>0</v>
      </c>
      <c r="AH192" s="88">
        <f t="shared" si="74"/>
        <v>0</v>
      </c>
      <c r="AI192" s="88">
        <f t="shared" si="74"/>
        <v>0</v>
      </c>
      <c r="AJ192" s="88">
        <f t="shared" si="74"/>
        <v>0</v>
      </c>
      <c r="AK192" s="89">
        <f t="shared" si="74"/>
        <v>0</v>
      </c>
    </row>
    <row r="193" spans="1:37" ht="20.149999999999999" hidden="1" customHeight="1" outlineLevel="1" thickBot="1" x14ac:dyDescent="0.3"/>
    <row r="194" spans="1:37" ht="20.149999999999999" hidden="1" customHeight="1" outlineLevel="1" thickBot="1" x14ac:dyDescent="0.3">
      <c r="A194" s="70">
        <v>4</v>
      </c>
      <c r="B194" s="104" t="s">
        <v>556</v>
      </c>
      <c r="C194" s="105"/>
      <c r="D194" s="105">
        <f t="shared" ref="D194:AK194" si="75">D192-D188-D181</f>
        <v>0</v>
      </c>
      <c r="E194" s="105">
        <f t="shared" si="75"/>
        <v>0</v>
      </c>
      <c r="F194" s="105">
        <f t="shared" si="75"/>
        <v>0</v>
      </c>
      <c r="G194" s="105">
        <f t="shared" si="75"/>
        <v>0</v>
      </c>
      <c r="H194" s="105">
        <f t="shared" si="75"/>
        <v>0</v>
      </c>
      <c r="I194" s="105">
        <f t="shared" si="75"/>
        <v>0</v>
      </c>
      <c r="J194" s="105">
        <f t="shared" si="75"/>
        <v>0</v>
      </c>
      <c r="K194" s="105">
        <f t="shared" si="75"/>
        <v>0</v>
      </c>
      <c r="L194" s="105">
        <f t="shared" si="75"/>
        <v>0</v>
      </c>
      <c r="M194" s="105">
        <f t="shared" si="75"/>
        <v>0</v>
      </c>
      <c r="N194" s="105">
        <f t="shared" si="75"/>
        <v>0</v>
      </c>
      <c r="O194" s="105">
        <f t="shared" si="75"/>
        <v>0</v>
      </c>
      <c r="P194" s="105">
        <f t="shared" si="75"/>
        <v>0</v>
      </c>
      <c r="Q194" s="105">
        <f t="shared" si="75"/>
        <v>0</v>
      </c>
      <c r="R194" s="105">
        <f t="shared" si="75"/>
        <v>0</v>
      </c>
      <c r="S194" s="105">
        <f t="shared" si="75"/>
        <v>0</v>
      </c>
      <c r="T194" s="105">
        <f t="shared" si="75"/>
        <v>0</v>
      </c>
      <c r="U194" s="105">
        <f t="shared" si="75"/>
        <v>0</v>
      </c>
      <c r="V194" s="105">
        <f t="shared" si="75"/>
        <v>0</v>
      </c>
      <c r="W194" s="105">
        <f t="shared" si="75"/>
        <v>0</v>
      </c>
      <c r="X194" s="105">
        <f t="shared" si="75"/>
        <v>0</v>
      </c>
      <c r="Y194" s="105">
        <f t="shared" si="75"/>
        <v>0</v>
      </c>
      <c r="Z194" s="105">
        <f t="shared" si="75"/>
        <v>0</v>
      </c>
      <c r="AA194" s="105">
        <f t="shared" si="75"/>
        <v>0</v>
      </c>
      <c r="AB194" s="105">
        <f t="shared" si="75"/>
        <v>0</v>
      </c>
      <c r="AC194" s="105">
        <f t="shared" si="75"/>
        <v>0</v>
      </c>
      <c r="AD194" s="105">
        <f t="shared" si="75"/>
        <v>0</v>
      </c>
      <c r="AE194" s="105">
        <f t="shared" si="75"/>
        <v>0</v>
      </c>
      <c r="AF194" s="105">
        <f t="shared" si="75"/>
        <v>0</v>
      </c>
      <c r="AG194" s="105">
        <f t="shared" si="75"/>
        <v>0</v>
      </c>
      <c r="AH194" s="105">
        <f t="shared" si="75"/>
        <v>0</v>
      </c>
      <c r="AI194" s="105">
        <f t="shared" si="75"/>
        <v>0</v>
      </c>
      <c r="AJ194" s="105">
        <f t="shared" si="75"/>
        <v>0</v>
      </c>
      <c r="AK194" s="105">
        <f t="shared" si="75"/>
        <v>0</v>
      </c>
    </row>
    <row r="195" spans="1:37" ht="20.149999999999999" hidden="1" customHeight="1" outlineLevel="1" thickBot="1" x14ac:dyDescent="0.3">
      <c r="A195" s="14"/>
      <c r="C195" s="103"/>
      <c r="D195" s="103"/>
      <c r="E195" s="103"/>
      <c r="F195" s="103"/>
      <c r="G195" s="103"/>
      <c r="H195" s="103"/>
      <c r="I195" s="103"/>
      <c r="J195" s="103"/>
      <c r="K195" s="103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</row>
    <row r="196" spans="1:37" ht="20.149999999999999" hidden="1" customHeight="1" outlineLevel="1" thickBot="1" x14ac:dyDescent="0.3">
      <c r="A196" s="70">
        <v>5</v>
      </c>
      <c r="B196" s="104" t="s">
        <v>160</v>
      </c>
      <c r="C196" s="107"/>
      <c r="D196" s="107">
        <f>D194</f>
        <v>0</v>
      </c>
      <c r="E196" s="107">
        <f t="shared" ref="E196:AJ196" si="76">D196+E194</f>
        <v>0</v>
      </c>
      <c r="F196" s="107">
        <f t="shared" si="76"/>
        <v>0</v>
      </c>
      <c r="G196" s="107">
        <f t="shared" si="76"/>
        <v>0</v>
      </c>
      <c r="H196" s="107">
        <f>G196+H194</f>
        <v>0</v>
      </c>
      <c r="I196" s="107">
        <f>H196+I194</f>
        <v>0</v>
      </c>
      <c r="J196" s="107">
        <f t="shared" si="76"/>
        <v>0</v>
      </c>
      <c r="K196" s="107">
        <f t="shared" si="76"/>
        <v>0</v>
      </c>
      <c r="L196" s="107">
        <f t="shared" si="76"/>
        <v>0</v>
      </c>
      <c r="M196" s="107">
        <f t="shared" si="76"/>
        <v>0</v>
      </c>
      <c r="N196" s="107">
        <f t="shared" si="76"/>
        <v>0</v>
      </c>
      <c r="O196" s="107">
        <f t="shared" si="76"/>
        <v>0</v>
      </c>
      <c r="P196" s="107">
        <f t="shared" si="76"/>
        <v>0</v>
      </c>
      <c r="Q196" s="107">
        <f t="shared" si="76"/>
        <v>0</v>
      </c>
      <c r="R196" s="107">
        <f t="shared" si="76"/>
        <v>0</v>
      </c>
      <c r="S196" s="107">
        <f t="shared" si="76"/>
        <v>0</v>
      </c>
      <c r="T196" s="107">
        <f t="shared" si="76"/>
        <v>0</v>
      </c>
      <c r="U196" s="107">
        <f t="shared" si="76"/>
        <v>0</v>
      </c>
      <c r="V196" s="107">
        <f t="shared" si="76"/>
        <v>0</v>
      </c>
      <c r="W196" s="107">
        <f t="shared" si="76"/>
        <v>0</v>
      </c>
      <c r="X196" s="107">
        <f t="shared" si="76"/>
        <v>0</v>
      </c>
      <c r="Y196" s="107">
        <f t="shared" si="76"/>
        <v>0</v>
      </c>
      <c r="Z196" s="107">
        <f t="shared" si="76"/>
        <v>0</v>
      </c>
      <c r="AA196" s="107">
        <f t="shared" si="76"/>
        <v>0</v>
      </c>
      <c r="AB196" s="107">
        <f t="shared" si="76"/>
        <v>0</v>
      </c>
      <c r="AC196" s="107">
        <f t="shared" si="76"/>
        <v>0</v>
      </c>
      <c r="AD196" s="107">
        <f t="shared" si="76"/>
        <v>0</v>
      </c>
      <c r="AE196" s="107">
        <f t="shared" si="76"/>
        <v>0</v>
      </c>
      <c r="AF196" s="107">
        <f t="shared" si="76"/>
        <v>0</v>
      </c>
      <c r="AG196" s="107">
        <f t="shared" si="76"/>
        <v>0</v>
      </c>
      <c r="AH196" s="107">
        <f t="shared" si="76"/>
        <v>0</v>
      </c>
      <c r="AI196" s="107">
        <f t="shared" si="76"/>
        <v>0</v>
      </c>
      <c r="AJ196" s="107">
        <f t="shared" si="76"/>
        <v>0</v>
      </c>
      <c r="AK196" s="107">
        <f>AJ196+AK194</f>
        <v>0</v>
      </c>
    </row>
    <row r="197" spans="1:37" hidden="1" outlineLevel="1" x14ac:dyDescent="0.25"/>
    <row r="198" spans="1:37" s="546" customFormat="1" ht="30" customHeight="1" x14ac:dyDescent="0.25">
      <c r="A198" s="545" t="s">
        <v>260</v>
      </c>
      <c r="AK198" s="870"/>
    </row>
    <row r="199" spans="1:37" s="550" customFormat="1" ht="20.149999999999999" customHeight="1" outlineLevel="1" thickBot="1" x14ac:dyDescent="0.3">
      <c r="A199" s="547" t="s">
        <v>393</v>
      </c>
      <c r="B199" s="548"/>
      <c r="C199" s="548"/>
      <c r="D199" s="548"/>
      <c r="E199" s="548"/>
      <c r="F199" s="548"/>
      <c r="G199" s="548"/>
      <c r="H199" s="548"/>
      <c r="I199" s="548"/>
      <c r="J199" s="548"/>
      <c r="K199" s="548"/>
      <c r="L199" s="548"/>
      <c r="M199" s="548"/>
      <c r="N199" s="548"/>
      <c r="O199" s="548"/>
      <c r="P199" s="548"/>
      <c r="Q199" s="548"/>
      <c r="R199" s="548"/>
      <c r="S199" s="548"/>
      <c r="T199" s="548"/>
      <c r="U199" s="548"/>
      <c r="V199" s="548"/>
      <c r="W199" s="548"/>
      <c r="X199" s="548"/>
      <c r="Y199" s="548"/>
      <c r="Z199" s="548"/>
      <c r="AA199" s="548"/>
      <c r="AB199" s="548"/>
      <c r="AC199" s="548"/>
      <c r="AD199" s="548"/>
      <c r="AE199" s="548"/>
      <c r="AF199" s="548"/>
      <c r="AG199" s="548"/>
      <c r="AH199" s="548"/>
      <c r="AI199" s="548"/>
      <c r="AJ199" s="548"/>
      <c r="AK199" s="878"/>
    </row>
    <row r="200" spans="1:37" s="58" customFormat="1" ht="20.149999999999999" customHeight="1" outlineLevel="1" thickBot="1" x14ac:dyDescent="0.3">
      <c r="A200" s="1096" t="s">
        <v>152</v>
      </c>
      <c r="B200" s="1098" t="s">
        <v>150</v>
      </c>
      <c r="C200" s="884" t="s">
        <v>151</v>
      </c>
      <c r="D200" s="885"/>
      <c r="E200" s="885"/>
      <c r="F200" s="885"/>
      <c r="G200" s="885"/>
      <c r="H200" s="885"/>
      <c r="I200" s="885"/>
      <c r="J200" s="885"/>
      <c r="K200" s="885"/>
      <c r="L200" s="885"/>
      <c r="M200" s="885"/>
      <c r="N200" s="885"/>
      <c r="O200" s="885"/>
      <c r="P200" s="885"/>
      <c r="Q200" s="885"/>
      <c r="R200" s="885"/>
      <c r="S200" s="885"/>
      <c r="T200" s="885"/>
      <c r="U200" s="885"/>
      <c r="V200" s="885"/>
      <c r="W200" s="885"/>
      <c r="X200" s="885"/>
      <c r="Y200" s="885"/>
      <c r="Z200" s="885"/>
      <c r="AA200" s="885"/>
      <c r="AB200" s="885"/>
      <c r="AC200" s="885"/>
      <c r="AD200" s="885"/>
      <c r="AE200" s="885"/>
      <c r="AF200" s="885"/>
      <c r="AG200" s="885"/>
      <c r="AH200" s="885"/>
      <c r="AI200" s="885"/>
      <c r="AJ200" s="885"/>
      <c r="AK200" s="886"/>
    </row>
    <row r="201" spans="1:37" s="58" customFormat="1" ht="20.149999999999999" customHeight="1" outlineLevel="1" thickBot="1" x14ac:dyDescent="0.3">
      <c r="A201" s="1097"/>
      <c r="B201" s="1099"/>
      <c r="C201" s="122">
        <v>1</v>
      </c>
      <c r="D201" s="122">
        <f>C201+1</f>
        <v>2</v>
      </c>
      <c r="E201" s="122">
        <f t="shared" ref="E201:AK201" si="77">D201+1</f>
        <v>3</v>
      </c>
      <c r="F201" s="122">
        <f t="shared" si="77"/>
        <v>4</v>
      </c>
      <c r="G201" s="122">
        <f t="shared" si="77"/>
        <v>5</v>
      </c>
      <c r="H201" s="122">
        <f t="shared" si="77"/>
        <v>6</v>
      </c>
      <c r="I201" s="122">
        <f t="shared" si="77"/>
        <v>7</v>
      </c>
      <c r="J201" s="122">
        <f t="shared" si="77"/>
        <v>8</v>
      </c>
      <c r="K201" s="122">
        <f t="shared" si="77"/>
        <v>9</v>
      </c>
      <c r="L201" s="122">
        <f t="shared" si="77"/>
        <v>10</v>
      </c>
      <c r="M201" s="122">
        <f t="shared" si="77"/>
        <v>11</v>
      </c>
      <c r="N201" s="122">
        <f t="shared" si="77"/>
        <v>12</v>
      </c>
      <c r="O201" s="122">
        <f t="shared" si="77"/>
        <v>13</v>
      </c>
      <c r="P201" s="122">
        <f t="shared" si="77"/>
        <v>14</v>
      </c>
      <c r="Q201" s="122">
        <f t="shared" si="77"/>
        <v>15</v>
      </c>
      <c r="R201" s="122">
        <f t="shared" si="77"/>
        <v>16</v>
      </c>
      <c r="S201" s="122">
        <f t="shared" si="77"/>
        <v>17</v>
      </c>
      <c r="T201" s="122">
        <f t="shared" si="77"/>
        <v>18</v>
      </c>
      <c r="U201" s="122">
        <f t="shared" si="77"/>
        <v>19</v>
      </c>
      <c r="V201" s="122">
        <f t="shared" si="77"/>
        <v>20</v>
      </c>
      <c r="W201" s="122">
        <f t="shared" si="77"/>
        <v>21</v>
      </c>
      <c r="X201" s="122">
        <f t="shared" si="77"/>
        <v>22</v>
      </c>
      <c r="Y201" s="122">
        <f t="shared" si="77"/>
        <v>23</v>
      </c>
      <c r="Z201" s="122">
        <f t="shared" si="77"/>
        <v>24</v>
      </c>
      <c r="AA201" s="122">
        <f t="shared" si="77"/>
        <v>25</v>
      </c>
      <c r="AB201" s="122">
        <f t="shared" si="77"/>
        <v>26</v>
      </c>
      <c r="AC201" s="122">
        <f t="shared" si="77"/>
        <v>27</v>
      </c>
      <c r="AD201" s="122">
        <f t="shared" si="77"/>
        <v>28</v>
      </c>
      <c r="AE201" s="122">
        <f t="shared" si="77"/>
        <v>29</v>
      </c>
      <c r="AF201" s="122">
        <f t="shared" si="77"/>
        <v>30</v>
      </c>
      <c r="AG201" s="122">
        <f t="shared" si="77"/>
        <v>31</v>
      </c>
      <c r="AH201" s="122">
        <f t="shared" si="77"/>
        <v>32</v>
      </c>
      <c r="AI201" s="122">
        <f t="shared" si="77"/>
        <v>33</v>
      </c>
      <c r="AJ201" s="122">
        <f t="shared" si="77"/>
        <v>34</v>
      </c>
      <c r="AK201" s="122">
        <f t="shared" si="77"/>
        <v>35</v>
      </c>
    </row>
    <row r="202" spans="1:37" ht="20.149999999999999" customHeight="1" outlineLevel="1" x14ac:dyDescent="0.25">
      <c r="A202" s="71">
        <v>1</v>
      </c>
      <c r="B202" s="76" t="s">
        <v>134</v>
      </c>
      <c r="AK202" s="838"/>
    </row>
    <row r="203" spans="1:37" ht="20.149999999999999" customHeight="1" outlineLevel="1" x14ac:dyDescent="0.25">
      <c r="A203" s="48" t="s">
        <v>74</v>
      </c>
      <c r="B203" s="78" t="s">
        <v>129</v>
      </c>
      <c r="C203" s="80"/>
      <c r="D203" s="80">
        <f>('Critérios de Implantação'!D$30*'Critérios de Implantação'!$C$15)*'Resumo-Cult.Temp.'!$C9</f>
        <v>0</v>
      </c>
      <c r="E203" s="80">
        <f>('Critérios de Implantação'!E$30*'Critérios de Implantação'!$C$15)*'Resumo-Cult.Temp.'!$C9</f>
        <v>0</v>
      </c>
      <c r="F203" s="80">
        <f>('Critérios de Implantação'!F$30*'Critérios de Implantação'!$C$15)*'Resumo-Cult.Temp.'!$C9</f>
        <v>390798.84303935204</v>
      </c>
      <c r="G203" s="80">
        <f>('Critérios de Implantação'!G$30*'Critérios de Implantação'!$C$15)*'Resumo-Cult.Temp.'!$C9</f>
        <v>390798.84303935204</v>
      </c>
      <c r="H203" s="80">
        <f>('Critérios de Implantação'!H$30*'Critérios de Implantação'!$C$15)*'Resumo-Cult.Temp.'!$C9</f>
        <v>469525.54699485621</v>
      </c>
      <c r="I203" s="80">
        <f>('Critérios de Implantação'!I$30*'Critérios de Implantação'!$C$15)*'Resumo-Cult.Temp.'!$C9</f>
        <v>906838.85832870437</v>
      </c>
      <c r="J203" s="80">
        <f>('Critérios de Implantação'!J$30*'Critérios de Implantação'!$C$15)*'Resumo-Cult.Temp.'!$C9</f>
        <v>850818.00384733418</v>
      </c>
      <c r="K203" s="80">
        <f>('Critérios de Implantação'!K$30*'Critérios de Implantação'!$C$15)*'Resumo-Cult.Temp.'!$C9</f>
        <v>875411.03778408165</v>
      </c>
      <c r="L203" s="80">
        <f>('Critérios de Implantação'!L$30*'Critérios de Implantação'!$C$15)*'Resumo-Cult.Temp.'!$C9</f>
        <v>713080.15235137299</v>
      </c>
      <c r="M203" s="80">
        <f>('Critérios de Implantação'!M$30*'Critérios de Implantação'!$C$15)*'Resumo-Cult.Temp.'!$C9</f>
        <v>505476.67789264699</v>
      </c>
      <c r="N203" s="80">
        <f>('Critérios de Implantação'!N$30*'Critérios de Implantação'!$C$15)*'Resumo-Cult.Temp.'!$C9</f>
        <v>254302.87081186936</v>
      </c>
      <c r="O203" s="80">
        <f>('Critérios de Implantação'!O$30*'Critérios de Implantação'!$C$15)*'Resumo-Cult.Temp.'!$C9</f>
        <v>0</v>
      </c>
      <c r="P203" s="80">
        <f>('Critérios de Implantação'!P$30*'Critérios de Implantação'!$C$15)*'Resumo-Cult.Temp.'!$C9</f>
        <v>0</v>
      </c>
      <c r="Q203" s="80">
        <f>('Critérios de Implantação'!Q$30*'Critérios de Implantação'!$C$15)*'Resumo-Cult.Temp.'!$C9</f>
        <v>0</v>
      </c>
      <c r="R203" s="80">
        <f>('Critérios de Implantação'!R$30*'Critérios de Implantação'!$C$15)*'Resumo-Cult.Temp.'!$C9</f>
        <v>0</v>
      </c>
      <c r="S203" s="80">
        <f>('Critérios de Implantação'!S$30*'Critérios de Implantação'!$C$15)*'Resumo-Cult.Temp.'!$C9</f>
        <v>0</v>
      </c>
      <c r="T203" s="80">
        <f>('Critérios de Implantação'!T$30*'Critérios de Implantação'!$C$15)*'Resumo-Cult.Temp.'!$C9</f>
        <v>0</v>
      </c>
      <c r="U203" s="80">
        <f>('Critérios de Implantação'!U$30*'Critérios de Implantação'!$C$15)*'Resumo-Cult.Temp.'!$C9</f>
        <v>0</v>
      </c>
      <c r="V203" s="80">
        <f>('Critérios de Implantação'!V$30*'Critérios de Implantação'!$C$15)*'Resumo-Cult.Temp.'!$C9</f>
        <v>0</v>
      </c>
      <c r="W203" s="80">
        <f>('Critérios de Implantação'!W$30*'Critérios de Implantação'!$C$15)*'Resumo-Cult.Temp.'!$C9</f>
        <v>0</v>
      </c>
      <c r="X203" s="80">
        <f>('Critérios de Implantação'!X$30*'Critérios de Implantação'!$C$15)*'Resumo-Cult.Temp.'!$C9</f>
        <v>0</v>
      </c>
      <c r="Y203" s="80">
        <f>('Critérios de Implantação'!Y$30*'Critérios de Implantação'!$C$15)*'Resumo-Cult.Temp.'!$C9</f>
        <v>0</v>
      </c>
      <c r="Z203" s="80">
        <f>('Critérios de Implantação'!Z$30*'Critérios de Implantação'!$C$15)*'Resumo-Cult.Temp.'!$C9</f>
        <v>0</v>
      </c>
      <c r="AA203" s="80">
        <f>('Critérios de Implantação'!AA$30*'Critérios de Implantação'!$C$15)*'Resumo-Cult.Temp.'!$C9</f>
        <v>0</v>
      </c>
      <c r="AB203" s="80">
        <f>('Critérios de Implantação'!AB$30*'Critérios de Implantação'!$C$15)*'Resumo-Cult.Temp.'!$C9</f>
        <v>0</v>
      </c>
      <c r="AC203" s="80">
        <f>('Critérios de Implantação'!AC$30*'Critérios de Implantação'!$C$15)*'Resumo-Cult.Temp.'!$C9</f>
        <v>0</v>
      </c>
      <c r="AD203" s="80">
        <f>('Critérios de Implantação'!AD$30*'Critérios de Implantação'!$C$15)*'Resumo-Cult.Temp.'!$C9</f>
        <v>0</v>
      </c>
      <c r="AE203" s="80">
        <f>('Critérios de Implantação'!AE$30*'Critérios de Implantação'!$C$15)*'Resumo-Cult.Temp.'!$C9</f>
        <v>0</v>
      </c>
      <c r="AF203" s="80">
        <f>('Critérios de Implantação'!AF$30*'Critérios de Implantação'!$C$15)*'Resumo-Cult.Temp.'!$C9</f>
        <v>0</v>
      </c>
      <c r="AG203" s="80">
        <f>('Critérios de Implantação'!AG$30*'Critérios de Implantação'!$C$15)*'Resumo-Cult.Temp.'!$C9</f>
        <v>0</v>
      </c>
      <c r="AH203" s="80">
        <f>('Critérios de Implantação'!AH$30*'Critérios de Implantação'!$C$15)*'Resumo-Cult.Temp.'!$C9</f>
        <v>0</v>
      </c>
      <c r="AI203" s="80">
        <f>('Critérios de Implantação'!AI$30*'Critérios de Implantação'!$C$15)*'Resumo-Cult.Temp.'!$C9</f>
        <v>0</v>
      </c>
      <c r="AJ203" s="80">
        <f>('Critérios de Implantação'!AJ$30*'Critérios de Implantação'!$C$15)*'Resumo-Cult.Temp.'!$C9</f>
        <v>0</v>
      </c>
      <c r="AK203" s="81">
        <f>('Critérios de Implantação'!AK$30*'Critérios de Implantação'!$C$15)*'Resumo-Cult.Temp.'!$C9</f>
        <v>0</v>
      </c>
    </row>
    <row r="204" spans="1:37" ht="20.149999999999999" customHeight="1" outlineLevel="1" x14ac:dyDescent="0.25">
      <c r="A204" s="48" t="s">
        <v>75</v>
      </c>
      <c r="B204" s="82" t="s">
        <v>335</v>
      </c>
      <c r="C204" s="80"/>
      <c r="D204" s="80">
        <f>('Critérios de Implantação'!D$30*'Critérios de Implantação'!$C$15)*'Resumo-Cult.Temp.'!$C10</f>
        <v>0</v>
      </c>
      <c r="E204" s="80">
        <f>('Critérios de Implantação'!E$30*'Critérios de Implantação'!$C$15)*'Resumo-Cult.Temp.'!$C10</f>
        <v>0</v>
      </c>
      <c r="F204" s="80">
        <f>('Critérios de Implantação'!F$30*'Critérios de Implantação'!$C$15)*'Resumo-Cult.Temp.'!$C10</f>
        <v>0</v>
      </c>
      <c r="G204" s="80">
        <f>('Critérios de Implantação'!G$30*'Critérios de Implantação'!$C$15)*'Resumo-Cult.Temp.'!$C10</f>
        <v>0</v>
      </c>
      <c r="H204" s="80">
        <f>('Critérios de Implantação'!H$30*'Critérios de Implantação'!$C$15)*'Resumo-Cult.Temp.'!$C10</f>
        <v>0</v>
      </c>
      <c r="I204" s="80">
        <f>('Critérios de Implantação'!I$30*'Critérios de Implantação'!$C$15)*'Resumo-Cult.Temp.'!$C10</f>
        <v>0</v>
      </c>
      <c r="J204" s="80">
        <f>('Critérios de Implantação'!J$30*'Critérios de Implantação'!$C$15)*'Resumo-Cult.Temp.'!$C10</f>
        <v>0</v>
      </c>
      <c r="K204" s="80">
        <f>('Critérios de Implantação'!K$30*'Critérios de Implantação'!$C$15)*'Resumo-Cult.Temp.'!$C10</f>
        <v>0</v>
      </c>
      <c r="L204" s="80">
        <f>('Critérios de Implantação'!L$30*'Critérios de Implantação'!$C$15)*'Resumo-Cult.Temp.'!$C10</f>
        <v>0</v>
      </c>
      <c r="M204" s="80">
        <f>('Critérios de Implantação'!M$30*'Critérios de Implantação'!$C$15)*'Resumo-Cult.Temp.'!$C10</f>
        <v>0</v>
      </c>
      <c r="N204" s="80">
        <f>('Critérios de Implantação'!N$30*'Critérios de Implantação'!$C$15)*'Resumo-Cult.Temp.'!$C10</f>
        <v>0</v>
      </c>
      <c r="O204" s="80">
        <f>('Critérios de Implantação'!O$30*'Critérios de Implantação'!$C$15)*'Resumo-Cult.Temp.'!$C10</f>
        <v>0</v>
      </c>
      <c r="P204" s="80">
        <f>('Critérios de Implantação'!P$30*'Critérios de Implantação'!$C$15)*'Resumo-Cult.Temp.'!$C10</f>
        <v>0</v>
      </c>
      <c r="Q204" s="80">
        <f>('Critérios de Implantação'!Q$30*'Critérios de Implantação'!$C$15)*'Resumo-Cult.Temp.'!$C10</f>
        <v>0</v>
      </c>
      <c r="R204" s="80">
        <f>('Critérios de Implantação'!R$30*'Critérios de Implantação'!$C$15)*'Resumo-Cult.Temp.'!$C10</f>
        <v>0</v>
      </c>
      <c r="S204" s="80">
        <f>('Critérios de Implantação'!S$30*'Critérios de Implantação'!$C$15)*'Resumo-Cult.Temp.'!$C10</f>
        <v>0</v>
      </c>
      <c r="T204" s="80">
        <f>('Critérios de Implantação'!T$30*'Critérios de Implantação'!$C$15)*'Resumo-Cult.Temp.'!$C10</f>
        <v>0</v>
      </c>
      <c r="U204" s="80">
        <f>('Critérios de Implantação'!U$30*'Critérios de Implantação'!$C$15)*'Resumo-Cult.Temp.'!$C10</f>
        <v>0</v>
      </c>
      <c r="V204" s="80">
        <f>('Critérios de Implantação'!V$30*'Critérios de Implantação'!$C$15)*'Resumo-Cult.Temp.'!$C10</f>
        <v>0</v>
      </c>
      <c r="W204" s="80">
        <f>('Critérios de Implantação'!W$30*'Critérios de Implantação'!$C$15)*'Resumo-Cult.Temp.'!$C10</f>
        <v>0</v>
      </c>
      <c r="X204" s="80">
        <f>('Critérios de Implantação'!X$30*'Critérios de Implantação'!$C$15)*'Resumo-Cult.Temp.'!$C10</f>
        <v>0</v>
      </c>
      <c r="Y204" s="80">
        <f>('Critérios de Implantação'!Y$30*'Critérios de Implantação'!$C$15)*'Resumo-Cult.Temp.'!$C10</f>
        <v>0</v>
      </c>
      <c r="Z204" s="80">
        <f>('Critérios de Implantação'!Z$30*'Critérios de Implantação'!$C$15)*'Resumo-Cult.Temp.'!$C10</f>
        <v>0</v>
      </c>
      <c r="AA204" s="80">
        <f>('Critérios de Implantação'!AA$30*'Critérios de Implantação'!$C$15)*'Resumo-Cult.Temp.'!$C10</f>
        <v>0</v>
      </c>
      <c r="AB204" s="80">
        <f>('Critérios de Implantação'!AB$30*'Critérios de Implantação'!$C$15)*'Resumo-Cult.Temp.'!$C10</f>
        <v>0</v>
      </c>
      <c r="AC204" s="80">
        <f>('Critérios de Implantação'!AC$30*'Critérios de Implantação'!$C$15)*'Resumo-Cult.Temp.'!$C10</f>
        <v>0</v>
      </c>
      <c r="AD204" s="80">
        <f>('Critérios de Implantação'!AD$30*'Critérios de Implantação'!$C$15)*'Resumo-Cult.Temp.'!$C10</f>
        <v>0</v>
      </c>
      <c r="AE204" s="80">
        <f>('Critérios de Implantação'!AE$30*'Critérios de Implantação'!$C$15)*'Resumo-Cult.Temp.'!$C10</f>
        <v>0</v>
      </c>
      <c r="AF204" s="80">
        <f>('Critérios de Implantação'!AF$30*'Critérios de Implantação'!$C$15)*'Resumo-Cult.Temp.'!$C10</f>
        <v>0</v>
      </c>
      <c r="AG204" s="80">
        <f>('Critérios de Implantação'!AG$30*'Critérios de Implantação'!$C$15)*'Resumo-Cult.Temp.'!$C10</f>
        <v>0</v>
      </c>
      <c r="AH204" s="80">
        <f>('Critérios de Implantação'!AH$30*'Critérios de Implantação'!$C$15)*'Resumo-Cult.Temp.'!$C10</f>
        <v>0</v>
      </c>
      <c r="AI204" s="80">
        <f>('Critérios de Implantação'!AI$30*'Critérios de Implantação'!$C$15)*'Resumo-Cult.Temp.'!$C10</f>
        <v>0</v>
      </c>
      <c r="AJ204" s="80">
        <f>('Critérios de Implantação'!AJ$30*'Critérios de Implantação'!$C$15)*'Resumo-Cult.Temp.'!$C10</f>
        <v>0</v>
      </c>
      <c r="AK204" s="81">
        <f>('Critérios de Implantação'!AK$30*'Critérios de Implantação'!$C$15)*'Resumo-Cult.Temp.'!$C10</f>
        <v>0</v>
      </c>
    </row>
    <row r="205" spans="1:37" ht="20.149999999999999" customHeight="1" outlineLevel="1" x14ac:dyDescent="0.25">
      <c r="A205" s="48" t="s">
        <v>76</v>
      </c>
      <c r="B205" s="82" t="s">
        <v>336</v>
      </c>
      <c r="C205" s="80"/>
      <c r="D205" s="80">
        <f>('Critérios de Implantação'!D$30*'Critérios de Implantação'!$C$15)*'Resumo-Cult.Temp.'!$C11</f>
        <v>0</v>
      </c>
      <c r="E205" s="80">
        <f>('Critérios de Implantação'!E$30*'Critérios de Implantação'!$C$15)*'Resumo-Cult.Temp.'!$C11</f>
        <v>0</v>
      </c>
      <c r="F205" s="80">
        <f>('Critérios de Implantação'!F$30*'Critérios de Implantação'!$C$15)*'Resumo-Cult.Temp.'!$C11</f>
        <v>5588564.4738191748</v>
      </c>
      <c r="G205" s="80">
        <f>('Critérios de Implantação'!G$30*'Critérios de Implantação'!$C$15)*'Resumo-Cult.Temp.'!$C11</f>
        <v>5588564.4738191748</v>
      </c>
      <c r="H205" s="80">
        <f>('Critérios de Implantação'!H$30*'Critérios de Implantação'!$C$15)*'Resumo-Cult.Temp.'!$C11</f>
        <v>6714384.7486307537</v>
      </c>
      <c r="I205" s="80">
        <f>('Critérios de Implantação'!I$30*'Critérios de Implantação'!$C$15)*'Resumo-Cult.Temp.'!$C11</f>
        <v>12968122.903639751</v>
      </c>
      <c r="J205" s="80">
        <f>('Critérios de Implantação'!J$30*'Critérios de Implantação'!$C$15)*'Resumo-Cult.Temp.'!$C11</f>
        <v>12167004.469632378</v>
      </c>
      <c r="K205" s="80">
        <f>('Critérios de Implantação'!K$30*'Critérios de Implantação'!$C$15)*'Resumo-Cult.Temp.'!$C11</f>
        <v>12518693.729235677</v>
      </c>
      <c r="L205" s="80">
        <f>('Critérios de Implantação'!L$30*'Critérios de Implantação'!$C$15)*'Resumo-Cult.Temp.'!$C11</f>
        <v>10197303.491031993</v>
      </c>
      <c r="M205" s="80">
        <f>('Critérios de Implantação'!M$30*'Critérios de Implantação'!$C$15)*'Resumo-Cult.Temp.'!$C11</f>
        <v>7228498.8933053957</v>
      </c>
      <c r="N205" s="80">
        <f>('Critérios de Implantação'!N$30*'Critérios de Implantação'!$C$15)*'Resumo-Cult.Temp.'!$C11</f>
        <v>3636622.8168856981</v>
      </c>
      <c r="O205" s="80">
        <f>('Critérios de Implantação'!O$30*'Critérios de Implantação'!$C$15)*'Resumo-Cult.Temp.'!$C11</f>
        <v>0</v>
      </c>
      <c r="P205" s="80">
        <f>('Critérios de Implantação'!P$30*'Critérios de Implantação'!$C$15)*'Resumo-Cult.Temp.'!$C11</f>
        <v>0</v>
      </c>
      <c r="Q205" s="80">
        <f>('Critérios de Implantação'!Q$30*'Critérios de Implantação'!$C$15)*'Resumo-Cult.Temp.'!$C11</f>
        <v>0</v>
      </c>
      <c r="R205" s="80">
        <f>('Critérios de Implantação'!R$30*'Critérios de Implantação'!$C$15)*'Resumo-Cult.Temp.'!$C11</f>
        <v>0</v>
      </c>
      <c r="S205" s="80">
        <f>('Critérios de Implantação'!S$30*'Critérios de Implantação'!$C$15)*'Resumo-Cult.Temp.'!$C11</f>
        <v>0</v>
      </c>
      <c r="T205" s="80">
        <f>('Critérios de Implantação'!T$30*'Critérios de Implantação'!$C$15)*'Resumo-Cult.Temp.'!$C11</f>
        <v>0</v>
      </c>
      <c r="U205" s="80">
        <f>('Critérios de Implantação'!U$30*'Critérios de Implantação'!$C$15)*'Resumo-Cult.Temp.'!$C11</f>
        <v>0</v>
      </c>
      <c r="V205" s="80">
        <f>('Critérios de Implantação'!V$30*'Critérios de Implantação'!$C$15)*'Resumo-Cult.Temp.'!$C11</f>
        <v>0</v>
      </c>
      <c r="W205" s="80">
        <f>('Critérios de Implantação'!W$30*'Critérios de Implantação'!$C$15)*'Resumo-Cult.Temp.'!$C11</f>
        <v>0</v>
      </c>
      <c r="X205" s="80">
        <f>('Critérios de Implantação'!X$30*'Critérios de Implantação'!$C$15)*'Resumo-Cult.Temp.'!$C11</f>
        <v>0</v>
      </c>
      <c r="Y205" s="80">
        <f>('Critérios de Implantação'!Y$30*'Critérios de Implantação'!$C$15)*'Resumo-Cult.Temp.'!$C11</f>
        <v>0</v>
      </c>
      <c r="Z205" s="80">
        <f>('Critérios de Implantação'!Z$30*'Critérios de Implantação'!$C$15)*'Resumo-Cult.Temp.'!$C11</f>
        <v>0</v>
      </c>
      <c r="AA205" s="80">
        <f>('Critérios de Implantação'!AA$30*'Critérios de Implantação'!$C$15)*'Resumo-Cult.Temp.'!$C11</f>
        <v>0</v>
      </c>
      <c r="AB205" s="80">
        <f>('Critérios de Implantação'!AB$30*'Critérios de Implantação'!$C$15)*'Resumo-Cult.Temp.'!$C11</f>
        <v>0</v>
      </c>
      <c r="AC205" s="80">
        <f>('Critérios de Implantação'!AC$30*'Critérios de Implantação'!$C$15)*'Resumo-Cult.Temp.'!$C11</f>
        <v>0</v>
      </c>
      <c r="AD205" s="80">
        <f>('Critérios de Implantação'!AD$30*'Critérios de Implantação'!$C$15)*'Resumo-Cult.Temp.'!$C11</f>
        <v>0</v>
      </c>
      <c r="AE205" s="80">
        <f>('Critérios de Implantação'!AE$30*'Critérios de Implantação'!$C$15)*'Resumo-Cult.Temp.'!$C11</f>
        <v>0</v>
      </c>
      <c r="AF205" s="80">
        <f>('Critérios de Implantação'!AF$30*'Critérios de Implantação'!$C$15)*'Resumo-Cult.Temp.'!$C11</f>
        <v>0</v>
      </c>
      <c r="AG205" s="80">
        <f>('Critérios de Implantação'!AG$30*'Critérios de Implantação'!$C$15)*'Resumo-Cult.Temp.'!$C11</f>
        <v>0</v>
      </c>
      <c r="AH205" s="80">
        <f>('Critérios de Implantação'!AH$30*'Critérios de Implantação'!$C$15)*'Resumo-Cult.Temp.'!$C11</f>
        <v>0</v>
      </c>
      <c r="AI205" s="80">
        <f>('Critérios de Implantação'!AI$30*'Critérios de Implantação'!$C$15)*'Resumo-Cult.Temp.'!$C11</f>
        <v>0</v>
      </c>
      <c r="AJ205" s="80">
        <f>('Critérios de Implantação'!AJ$30*'Critérios de Implantação'!$C$15)*'Resumo-Cult.Temp.'!$C11</f>
        <v>0</v>
      </c>
      <c r="AK205" s="81">
        <f>('Critérios de Implantação'!AK$30*'Critérios de Implantação'!$C$15)*'Resumo-Cult.Temp.'!$C11</f>
        <v>0</v>
      </c>
    </row>
    <row r="206" spans="1:37" ht="20.149999999999999" customHeight="1" outlineLevel="1" x14ac:dyDescent="0.25">
      <c r="A206" s="48" t="s">
        <v>126</v>
      </c>
      <c r="B206" s="82" t="s">
        <v>130</v>
      </c>
      <c r="C206" s="80"/>
      <c r="D206" s="80">
        <f>('Critérios de Implantação'!D$30*'Critérios de Implantação'!$C$15)*'Resumo-Cult.Temp.'!$C12</f>
        <v>0</v>
      </c>
      <c r="E206" s="80">
        <f>('Critérios de Implantação'!E$30*'Critérios de Implantação'!$C$15)*'Resumo-Cult.Temp.'!$C12</f>
        <v>0</v>
      </c>
      <c r="F206" s="80">
        <f>('Critérios de Implantação'!F$30*'Critérios de Implantação'!$C$15)*'Resumo-Cult.Temp.'!$C12</f>
        <v>965915.40027226007</v>
      </c>
      <c r="G206" s="80">
        <f>('Critérios de Implantação'!G$30*'Critérios de Implantação'!$C$15)*'Resumo-Cult.Temp.'!$C12</f>
        <v>965915.40027226007</v>
      </c>
      <c r="H206" s="80">
        <f>('Critérios de Implantação'!H$30*'Critérios de Implantação'!$C$15)*'Resumo-Cult.Temp.'!$C12</f>
        <v>1160499.7423646937</v>
      </c>
      <c r="I206" s="80">
        <f>('Critérios de Implantação'!I$30*'Critérios de Implantação'!$C$15)*'Resumo-Cult.Temp.'!$C12</f>
        <v>2241382.323480438</v>
      </c>
      <c r="J206" s="80">
        <f>('Critérios de Implantação'!J$30*'Critérios de Implantação'!$C$15)*'Resumo-Cult.Temp.'!$C12</f>
        <v>2102918.7454945692</v>
      </c>
      <c r="K206" s="80">
        <f>('Critérios de Implantação'!K$30*'Critérios de Implantação'!$C$15)*'Resumo-Cult.Temp.'!$C12</f>
        <v>2163703.9567151936</v>
      </c>
      <c r="L206" s="80">
        <f>('Critérios de Implantação'!L$30*'Critérios de Implantação'!$C$15)*'Resumo-Cult.Temp.'!$C12</f>
        <v>1762479.8871662051</v>
      </c>
      <c r="M206" s="80">
        <f>('Critérios de Implantação'!M$30*'Critérios de Implantação'!$C$15)*'Resumo-Cult.Temp.'!$C12</f>
        <v>1249358.1195321083</v>
      </c>
      <c r="N206" s="80">
        <f>('Critérios de Implantação'!N$30*'Critérios de Implantação'!$C$15)*'Resumo-Cult.Temp.'!$C12</f>
        <v>628546.02470227133</v>
      </c>
      <c r="O206" s="80">
        <f>('Critérios de Implantação'!O$30*'Critérios de Implantação'!$C$15)*'Resumo-Cult.Temp.'!$C12</f>
        <v>0</v>
      </c>
      <c r="P206" s="80">
        <f>('Critérios de Implantação'!P$30*'Critérios de Implantação'!$C$15)*'Resumo-Cult.Temp.'!$C12</f>
        <v>0</v>
      </c>
      <c r="Q206" s="80">
        <f>('Critérios de Implantação'!Q$30*'Critérios de Implantação'!$C$15)*'Resumo-Cult.Temp.'!$C12</f>
        <v>0</v>
      </c>
      <c r="R206" s="80">
        <f>('Critérios de Implantação'!R$30*'Critérios de Implantação'!$C$15)*'Resumo-Cult.Temp.'!$C12</f>
        <v>0</v>
      </c>
      <c r="S206" s="80">
        <f>('Critérios de Implantação'!S$30*'Critérios de Implantação'!$C$15)*'Resumo-Cult.Temp.'!$C12</f>
        <v>0</v>
      </c>
      <c r="T206" s="80">
        <f>('Critérios de Implantação'!T$30*'Critérios de Implantação'!$C$15)*'Resumo-Cult.Temp.'!$C12</f>
        <v>0</v>
      </c>
      <c r="U206" s="80">
        <f>('Critérios de Implantação'!U$30*'Critérios de Implantação'!$C$15)*'Resumo-Cult.Temp.'!$C12</f>
        <v>0</v>
      </c>
      <c r="V206" s="80">
        <f>('Critérios de Implantação'!V$30*'Critérios de Implantação'!$C$15)*'Resumo-Cult.Temp.'!$C12</f>
        <v>0</v>
      </c>
      <c r="W206" s="80">
        <f>('Critérios de Implantação'!W$30*'Critérios de Implantação'!$C$15)*'Resumo-Cult.Temp.'!$C12</f>
        <v>0</v>
      </c>
      <c r="X206" s="80">
        <f>('Critérios de Implantação'!X$30*'Critérios de Implantação'!$C$15)*'Resumo-Cult.Temp.'!$C12</f>
        <v>0</v>
      </c>
      <c r="Y206" s="80">
        <f>('Critérios de Implantação'!Y$30*'Critérios de Implantação'!$C$15)*'Resumo-Cult.Temp.'!$C12</f>
        <v>0</v>
      </c>
      <c r="Z206" s="80">
        <f>('Critérios de Implantação'!Z$30*'Critérios de Implantação'!$C$15)*'Resumo-Cult.Temp.'!$C12</f>
        <v>0</v>
      </c>
      <c r="AA206" s="80">
        <f>('Critérios de Implantação'!AA$30*'Critérios de Implantação'!$C$15)*'Resumo-Cult.Temp.'!$C12</f>
        <v>0</v>
      </c>
      <c r="AB206" s="80">
        <f>('Critérios de Implantação'!AB$30*'Critérios de Implantação'!$C$15)*'Resumo-Cult.Temp.'!$C12</f>
        <v>0</v>
      </c>
      <c r="AC206" s="80">
        <f>('Critérios de Implantação'!AC$30*'Critérios de Implantação'!$C$15)*'Resumo-Cult.Temp.'!$C12</f>
        <v>0</v>
      </c>
      <c r="AD206" s="80">
        <f>('Critérios de Implantação'!AD$30*'Critérios de Implantação'!$C$15)*'Resumo-Cult.Temp.'!$C12</f>
        <v>0</v>
      </c>
      <c r="AE206" s="80">
        <f>('Critérios de Implantação'!AE$30*'Critérios de Implantação'!$C$15)*'Resumo-Cult.Temp.'!$C12</f>
        <v>0</v>
      </c>
      <c r="AF206" s="80">
        <f>('Critérios de Implantação'!AF$30*'Critérios de Implantação'!$C$15)*'Resumo-Cult.Temp.'!$C12</f>
        <v>0</v>
      </c>
      <c r="AG206" s="80">
        <f>('Critérios de Implantação'!AG$30*'Critérios de Implantação'!$C$15)*'Resumo-Cult.Temp.'!$C12</f>
        <v>0</v>
      </c>
      <c r="AH206" s="80">
        <f>('Critérios de Implantação'!AH$30*'Critérios de Implantação'!$C$15)*'Resumo-Cult.Temp.'!$C12</f>
        <v>0</v>
      </c>
      <c r="AI206" s="80">
        <f>('Critérios de Implantação'!AI$30*'Critérios de Implantação'!$C$15)*'Resumo-Cult.Temp.'!$C12</f>
        <v>0</v>
      </c>
      <c r="AJ206" s="80">
        <f>('Critérios de Implantação'!AJ$30*'Critérios de Implantação'!$C$15)*'Resumo-Cult.Temp.'!$C12</f>
        <v>0</v>
      </c>
      <c r="AK206" s="81">
        <f>('Critérios de Implantação'!AK$30*'Critérios de Implantação'!$C$15)*'Resumo-Cult.Temp.'!$C12</f>
        <v>0</v>
      </c>
    </row>
    <row r="207" spans="1:37" ht="20.149999999999999" customHeight="1" outlineLevel="1" x14ac:dyDescent="0.25">
      <c r="A207" s="48"/>
      <c r="B207" s="83" t="s">
        <v>228</v>
      </c>
      <c r="C207" s="93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1"/>
    </row>
    <row r="208" spans="1:37" ht="20.149999999999999" customHeight="1" outlineLevel="1" x14ac:dyDescent="0.25">
      <c r="A208" s="85" t="s">
        <v>135</v>
      </c>
      <c r="B208" s="82" t="s">
        <v>142</v>
      </c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1"/>
    </row>
    <row r="209" spans="1:37" ht="20.149999999999999" customHeight="1" outlineLevel="1" x14ac:dyDescent="0.25">
      <c r="A209" s="85" t="s">
        <v>157</v>
      </c>
      <c r="B209" s="34" t="s">
        <v>146</v>
      </c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1"/>
    </row>
    <row r="210" spans="1:37" ht="20.149999999999999" customHeight="1" outlineLevel="1" x14ac:dyDescent="0.25">
      <c r="A210" s="85" t="s">
        <v>158</v>
      </c>
      <c r="B210" s="82" t="s">
        <v>143</v>
      </c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1"/>
    </row>
    <row r="211" spans="1:37" ht="20.149999999999999" customHeight="1" outlineLevel="1" x14ac:dyDescent="0.25">
      <c r="A211" s="85" t="s">
        <v>159</v>
      </c>
      <c r="B211" s="34" t="s">
        <v>141</v>
      </c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1"/>
    </row>
    <row r="212" spans="1:37" s="15" customFormat="1" ht="20.149999999999999" customHeight="1" outlineLevel="1" thickBot="1" x14ac:dyDescent="0.3">
      <c r="A212" s="86"/>
      <c r="B212" s="87" t="s">
        <v>148</v>
      </c>
      <c r="C212" s="88"/>
      <c r="D212" s="88">
        <f t="shared" ref="D212:AK212" si="78">SUM(D203:D211)</f>
        <v>0</v>
      </c>
      <c r="E212" s="88">
        <f t="shared" si="78"/>
        <v>0</v>
      </c>
      <c r="F212" s="88">
        <f t="shared" si="78"/>
        <v>6945278.7171307877</v>
      </c>
      <c r="G212" s="88">
        <f t="shared" si="78"/>
        <v>6945278.7171307877</v>
      </c>
      <c r="H212" s="88">
        <f t="shared" si="78"/>
        <v>8344410.0379903037</v>
      </c>
      <c r="I212" s="88">
        <f t="shared" si="78"/>
        <v>16116344.085448893</v>
      </c>
      <c r="J212" s="88">
        <f t="shared" si="78"/>
        <v>15120741.218974281</v>
      </c>
      <c r="K212" s="88">
        <f t="shared" si="78"/>
        <v>15557808.723734953</v>
      </c>
      <c r="L212" s="88">
        <f t="shared" si="78"/>
        <v>12672863.530549573</v>
      </c>
      <c r="M212" s="88">
        <f t="shared" si="78"/>
        <v>8983333.6907301508</v>
      </c>
      <c r="N212" s="88">
        <f t="shared" si="78"/>
        <v>4519471.7123998385</v>
      </c>
      <c r="O212" s="88">
        <f t="shared" si="78"/>
        <v>0</v>
      </c>
      <c r="P212" s="88">
        <f t="shared" si="78"/>
        <v>0</v>
      </c>
      <c r="Q212" s="88">
        <f t="shared" si="78"/>
        <v>0</v>
      </c>
      <c r="R212" s="88">
        <f t="shared" si="78"/>
        <v>0</v>
      </c>
      <c r="S212" s="88">
        <f t="shared" si="78"/>
        <v>0</v>
      </c>
      <c r="T212" s="88">
        <f t="shared" si="78"/>
        <v>0</v>
      </c>
      <c r="U212" s="88">
        <f t="shared" si="78"/>
        <v>0</v>
      </c>
      <c r="V212" s="88">
        <f t="shared" si="78"/>
        <v>0</v>
      </c>
      <c r="W212" s="88">
        <f t="shared" si="78"/>
        <v>0</v>
      </c>
      <c r="X212" s="88">
        <f t="shared" si="78"/>
        <v>0</v>
      </c>
      <c r="Y212" s="88">
        <f t="shared" si="78"/>
        <v>0</v>
      </c>
      <c r="Z212" s="88">
        <f t="shared" si="78"/>
        <v>0</v>
      </c>
      <c r="AA212" s="88">
        <f t="shared" si="78"/>
        <v>0</v>
      </c>
      <c r="AB212" s="88">
        <f t="shared" si="78"/>
        <v>0</v>
      </c>
      <c r="AC212" s="88">
        <f t="shared" si="78"/>
        <v>0</v>
      </c>
      <c r="AD212" s="88">
        <f t="shared" si="78"/>
        <v>0</v>
      </c>
      <c r="AE212" s="88">
        <f t="shared" si="78"/>
        <v>0</v>
      </c>
      <c r="AF212" s="88">
        <f t="shared" si="78"/>
        <v>0</v>
      </c>
      <c r="AG212" s="88">
        <f t="shared" si="78"/>
        <v>0</v>
      </c>
      <c r="AH212" s="88">
        <f t="shared" si="78"/>
        <v>0</v>
      </c>
      <c r="AI212" s="88">
        <f t="shared" si="78"/>
        <v>0</v>
      </c>
      <c r="AJ212" s="88">
        <f t="shared" si="78"/>
        <v>0</v>
      </c>
      <c r="AK212" s="89">
        <f t="shared" si="78"/>
        <v>0</v>
      </c>
    </row>
    <row r="213" spans="1:37" ht="20.149999999999999" customHeight="1" outlineLevel="1" thickBot="1" x14ac:dyDescent="0.3">
      <c r="A213" s="14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</row>
    <row r="214" spans="1:37" ht="20.149999999999999" customHeight="1" outlineLevel="1" x14ac:dyDescent="0.25">
      <c r="A214" s="71">
        <v>2</v>
      </c>
      <c r="B214" s="76" t="s">
        <v>136</v>
      </c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2"/>
    </row>
    <row r="215" spans="1:37" ht="20.149999999999999" customHeight="1" outlineLevel="1" x14ac:dyDescent="0.25">
      <c r="A215" s="48" t="s">
        <v>137</v>
      </c>
      <c r="B215" s="82" t="s">
        <v>142</v>
      </c>
      <c r="C215" s="93"/>
      <c r="D215" s="109">
        <f>'Resumo-Cult.Temp.'!C16*('Critérios de Implantação'!D$88+'Critérios de Implantação'!D$89+'Critérios de Implantação'!D$90)</f>
        <v>0</v>
      </c>
      <c r="E215" s="93">
        <f>'Resumo-Cult.Temp.'!D16*('Critérios de Implantação'!E$88+'Critérios de Implantação'!E$89+'Critérios de Implantação'!E$90)</f>
        <v>0</v>
      </c>
      <c r="F215" s="93">
        <f>'Resumo-Cult.Temp.'!E16*('Critérios de Implantação'!F$88+'Critérios de Implantação'!F$89+'Critérios de Implantação'!F$90)</f>
        <v>1857820.0818371852</v>
      </c>
      <c r="G215" s="93">
        <f>'Resumo-Cult.Temp.'!F16*('Critérios de Implantação'!G$88+'Critérios de Implantação'!G$89+'Critérios de Implantação'!G$90)</f>
        <v>3715640.1636743704</v>
      </c>
      <c r="H215" s="93">
        <f>'Resumo-Cult.Temp.'!G16*('Critérios de Implantação'!H$88+'Critérios de Implantação'!H$89+'Critérios de Implantação'!H$90)</f>
        <v>5947719.4179489175</v>
      </c>
      <c r="I215" s="93">
        <f>'Resumo-Cult.Temp.'!H16*('Critérios de Implantação'!I$88+'Critérios de Implantação'!I$89+'Critérios de Implantação'!I$90)</f>
        <v>10258744.05888862</v>
      </c>
      <c r="J215" s="93">
        <f>'Resumo-Cult.Temp.'!I16*('Critérios de Implantação'!J$88+'Critérios de Implantação'!J$89+'Critérios de Implantação'!J$90)</f>
        <v>14303450.950144788</v>
      </c>
      <c r="K215" s="93">
        <f>'Resumo-Cult.Temp.'!J16*('Critérios de Implantação'!K$88+'Critérios de Implantação'!K$89+'Critérios de Implantação'!K$90)</f>
        <v>18465070.757431246</v>
      </c>
      <c r="L215" s="93">
        <f>'Resumo-Cult.Temp.'!K16*('Critérios de Implantação'!L$88+'Critérios de Implantação'!L$89+'Critérios de Implantação'!L$90)</f>
        <v>21854985.161206745</v>
      </c>
      <c r="M215" s="93">
        <f>'Resumo-Cult.Temp.'!L16*('Critérios de Implantação'!M$88+'Critérios de Implantação'!M$89+'Critérios de Implantação'!M$90)</f>
        <v>24257972.631143406</v>
      </c>
      <c r="N215" s="93">
        <f>'Resumo-Cult.Temp.'!M16*('Critérios de Implantação'!N$88+'Critérios de Implantação'!N$89+'Critérios de Implantação'!N$90)</f>
        <v>25466904</v>
      </c>
      <c r="O215" s="93">
        <f>'Resumo-Cult.Temp.'!N16*('Critérios de Implantação'!O$88+'Critérios de Implantação'!O$89+'Critérios de Implantação'!O$90)</f>
        <v>25466904</v>
      </c>
      <c r="P215" s="93">
        <f>'Resumo-Cult.Temp.'!O16*('Critérios de Implantação'!P$88+'Critérios de Implantação'!P$89+'Critérios de Implantação'!P$90)</f>
        <v>25466904</v>
      </c>
      <c r="Q215" s="93">
        <f>'Resumo-Cult.Temp.'!P16*('Critérios de Implantação'!Q$88+'Critérios de Implantação'!Q$89+'Critérios de Implantação'!Q$90)</f>
        <v>25466904</v>
      </c>
      <c r="R215" s="93">
        <f>'Resumo-Cult.Temp.'!Q16*('Critérios de Implantação'!R$88+'Critérios de Implantação'!R$89+'Critérios de Implantação'!R$90)</f>
        <v>25466904</v>
      </c>
      <c r="S215" s="93">
        <f>'Resumo-Cult.Temp.'!R16*('Critérios de Implantação'!S$88+'Critérios de Implantação'!S$89+'Critérios de Implantação'!S$90)</f>
        <v>25466904</v>
      </c>
      <c r="T215" s="93">
        <f>'Resumo-Cult.Temp.'!S16*('Critérios de Implantação'!T$88+'Critérios de Implantação'!T$89+'Critérios de Implantação'!T$90)</f>
        <v>25466904</v>
      </c>
      <c r="U215" s="93">
        <f>'Resumo-Cult.Temp.'!T16*('Critérios de Implantação'!U$88+'Critérios de Implantação'!U$89+'Critérios de Implantação'!U$90)</f>
        <v>25466904</v>
      </c>
      <c r="V215" s="93">
        <f>'Resumo-Cult.Temp.'!U16*('Critérios de Implantação'!V$88+'Critérios de Implantação'!V$89+'Critérios de Implantação'!V$90)</f>
        <v>25466904</v>
      </c>
      <c r="W215" s="93">
        <f>'Resumo-Cult.Temp.'!V16*('Critérios de Implantação'!W$88+'Critérios de Implantação'!W$89+'Critérios de Implantação'!W$90)</f>
        <v>25466904</v>
      </c>
      <c r="X215" s="93">
        <f>'Resumo-Cult.Temp.'!W16*('Critérios de Implantação'!X$88+'Critérios de Implantação'!X$89+'Critérios de Implantação'!X$90)</f>
        <v>25466904</v>
      </c>
      <c r="Y215" s="93">
        <f>'Resumo-Cult.Temp.'!X16*('Critérios de Implantação'!Y$88+'Critérios de Implantação'!Y$89+'Critérios de Implantação'!Y$90)</f>
        <v>25466904</v>
      </c>
      <c r="Z215" s="93">
        <f>'Resumo-Cult.Temp.'!Y16*('Critérios de Implantação'!Z$88+'Critérios de Implantação'!Z$89+'Critérios de Implantação'!Z$90)</f>
        <v>25466904</v>
      </c>
      <c r="AA215" s="93">
        <f>'Resumo-Cult.Temp.'!Z16*('Critérios de Implantação'!AA$88+'Critérios de Implantação'!AA$89+'Critérios de Implantação'!AA$90)</f>
        <v>25466904</v>
      </c>
      <c r="AB215" s="93">
        <f>'Resumo-Cult.Temp.'!AA16*('Critérios de Implantação'!AB$88+'Critérios de Implantação'!AB$89+'Critérios de Implantação'!AB$90)</f>
        <v>25466904</v>
      </c>
      <c r="AC215" s="93">
        <f>'Resumo-Cult.Temp.'!AB16*('Critérios de Implantação'!AC$88+'Critérios de Implantação'!AC$89+'Critérios de Implantação'!AC$90)</f>
        <v>25466904</v>
      </c>
      <c r="AD215" s="93">
        <f>'Resumo-Cult.Temp.'!AC16*('Critérios de Implantação'!AD$88+'Critérios de Implantação'!AD$89+'Critérios de Implantação'!AD$90)</f>
        <v>25466904</v>
      </c>
      <c r="AE215" s="93">
        <f>'Resumo-Cult.Temp.'!AD16*('Critérios de Implantação'!AE$88+'Critérios de Implantação'!AE$89+'Critérios de Implantação'!AE$90)</f>
        <v>25466904</v>
      </c>
      <c r="AF215" s="93">
        <f>'Resumo-Cult.Temp.'!AE16*('Critérios de Implantação'!AF$88+'Critérios de Implantação'!AF$89+'Critérios de Implantação'!AF$90)</f>
        <v>25466904</v>
      </c>
      <c r="AG215" s="93">
        <f>'Resumo-Cult.Temp.'!AF16*('Critérios de Implantação'!AG$88+'Critérios de Implantação'!AG$89+'Critérios de Implantação'!AG$90)</f>
        <v>25466904</v>
      </c>
      <c r="AH215" s="93">
        <f>'Resumo-Cult.Temp.'!AG16*('Critérios de Implantação'!AH$88+'Critérios de Implantação'!AH$89+'Critérios de Implantação'!AH$90)</f>
        <v>25466904</v>
      </c>
      <c r="AI215" s="93">
        <f>'Resumo-Cult.Temp.'!AH16*('Critérios de Implantação'!AI$88+'Critérios de Implantação'!AI$89+'Critérios de Implantação'!AI$90)</f>
        <v>25466904</v>
      </c>
      <c r="AJ215" s="94">
        <f>'Resumo-Cult.Temp.'!AI16*('Critérios de Implantação'!AJ$88+'Critérios de Implantação'!AJ$89+'Critérios de Implantação'!AJ$90)</f>
        <v>25466904</v>
      </c>
      <c r="AK215" s="95">
        <f>'Resumo-Cult.Temp.'!AJ16*('Critérios de Implantação'!AK$88+'Critérios de Implantação'!AK$89+'Critérios de Implantação'!AK$90)</f>
        <v>25466904</v>
      </c>
    </row>
    <row r="216" spans="1:37" ht="20.149999999999999" customHeight="1" outlineLevel="1" x14ac:dyDescent="0.25">
      <c r="A216" s="48" t="s">
        <v>138</v>
      </c>
      <c r="B216" s="34" t="s">
        <v>146</v>
      </c>
      <c r="C216" s="80"/>
      <c r="D216" s="93">
        <f>'Resumo-Cult.Temp.'!C17*('Critérios de Implantação'!D$88+'Critérios de Implantação'!D$89+'Critérios de Implantação'!D$90)</f>
        <v>0</v>
      </c>
      <c r="E216" s="93">
        <f>'Resumo-Cult.Temp.'!D17*('Critérios de Implantação'!E$88+'Critérios de Implantação'!E$89+'Critérios de Implantação'!E$90)</f>
        <v>0</v>
      </c>
      <c r="F216" s="93">
        <f>'Resumo-Cult.Temp.'!E17*('Critérios de Implantação'!F$88+'Critérios de Implantação'!F$89+'Critérios de Implantação'!F$90)</f>
        <v>480314.46018229664</v>
      </c>
      <c r="G216" s="93">
        <f>'Resumo-Cult.Temp.'!F17*('Critérios de Implantação'!G$88+'Critérios de Implantação'!G$89+'Critérios de Implantação'!G$90)</f>
        <v>960628.92036459327</v>
      </c>
      <c r="H216" s="93">
        <f>'Resumo-Cult.Temp.'!G17*('Critérios de Implantação'!H$88+'Critérios de Implantação'!H$89+'Critérios de Implantação'!H$90)</f>
        <v>1537703.0690306958</v>
      </c>
      <c r="I216" s="93">
        <f>'Resumo-Cult.Temp.'!H17*('Critérios de Implantação'!I$88+'Critérios de Implantação'!I$89+'Critérios de Implantação'!I$90)</f>
        <v>2652260.6591273015</v>
      </c>
      <c r="J216" s="93">
        <f>'Resumo-Cult.Temp.'!I17*('Critérios de Implantação'!J$88+'Critérios de Implantação'!J$89+'Critérios de Implantação'!J$90)</f>
        <v>3697965.3675984088</v>
      </c>
      <c r="K216" s="93">
        <f>'Resumo-Cult.Temp.'!J17*('Critérios de Implantação'!K$88+'Critérios de Implantação'!K$89+'Critérios de Implantação'!K$90)</f>
        <v>4773896.3421651516</v>
      </c>
      <c r="L216" s="93">
        <f>'Resumo-Cult.Temp.'!K17*('Critérios de Implantação'!L$88+'Critérios de Implantação'!L$89+'Critérios de Implantação'!L$90)</f>
        <v>5650313.2367997924</v>
      </c>
      <c r="M216" s="93">
        <f>'Resumo-Cult.Temp.'!L17*('Critérios de Implantação'!M$88+'Critérios de Implantação'!M$89+'Critérios de Implantação'!M$90)</f>
        <v>6271573.4119541487</v>
      </c>
      <c r="N216" s="93">
        <f>'Resumo-Cult.Temp.'!M17*('Critérios de Implantação'!N$88+'Critérios de Implantação'!N$89+'Critérios de Implantação'!N$90)</f>
        <v>6584126.4000000004</v>
      </c>
      <c r="O216" s="93">
        <f>'Resumo-Cult.Temp.'!N17*('Critérios de Implantação'!O$88+'Critérios de Implantação'!O$89+'Critérios de Implantação'!O$90)</f>
        <v>6584126.4000000004</v>
      </c>
      <c r="P216" s="93">
        <f>'Resumo-Cult.Temp.'!O17*('Critérios de Implantação'!P$88+'Critérios de Implantação'!P$89+'Critérios de Implantação'!P$90)</f>
        <v>6584126.4000000004</v>
      </c>
      <c r="Q216" s="93">
        <f>'Resumo-Cult.Temp.'!P17*('Critérios de Implantação'!Q$88+'Critérios de Implantação'!Q$89+'Critérios de Implantação'!Q$90)</f>
        <v>6584126.4000000004</v>
      </c>
      <c r="R216" s="93">
        <f>'Resumo-Cult.Temp.'!Q17*('Critérios de Implantação'!R$88+'Critérios de Implantação'!R$89+'Critérios de Implantação'!R$90)</f>
        <v>6584126.4000000004</v>
      </c>
      <c r="S216" s="93">
        <f>'Resumo-Cult.Temp.'!R17*('Critérios de Implantação'!S$88+'Critérios de Implantação'!S$89+'Critérios de Implantação'!S$90)</f>
        <v>6584126.4000000004</v>
      </c>
      <c r="T216" s="93">
        <f>'Resumo-Cult.Temp.'!S17*('Critérios de Implantação'!T$88+'Critérios de Implantação'!T$89+'Critérios de Implantação'!T$90)</f>
        <v>6584126.4000000004</v>
      </c>
      <c r="U216" s="93">
        <f>'Resumo-Cult.Temp.'!T17*('Critérios de Implantação'!U$88+'Critérios de Implantação'!U$89+'Critérios de Implantação'!U$90)</f>
        <v>6584126.4000000004</v>
      </c>
      <c r="V216" s="93">
        <f>'Resumo-Cult.Temp.'!U17*('Critérios de Implantação'!V$88+'Critérios de Implantação'!V$89+'Critérios de Implantação'!V$90)</f>
        <v>6584126.4000000004</v>
      </c>
      <c r="W216" s="93">
        <f>'Resumo-Cult.Temp.'!V17*('Critérios de Implantação'!W$88+'Critérios de Implantação'!W$89+'Critérios de Implantação'!W$90)</f>
        <v>6584126.4000000004</v>
      </c>
      <c r="X216" s="93">
        <f>'Resumo-Cult.Temp.'!W17*('Critérios de Implantação'!X$88+'Critérios de Implantação'!X$89+'Critérios de Implantação'!X$90)</f>
        <v>6584126.4000000004</v>
      </c>
      <c r="Y216" s="93">
        <f>'Resumo-Cult.Temp.'!X17*('Critérios de Implantação'!Y$88+'Critérios de Implantação'!Y$89+'Critérios de Implantação'!Y$90)</f>
        <v>6584126.4000000004</v>
      </c>
      <c r="Z216" s="93">
        <f>'Resumo-Cult.Temp.'!Y17*('Critérios de Implantação'!Z$88+'Critérios de Implantação'!Z$89+'Critérios de Implantação'!Z$90)</f>
        <v>6584126.4000000004</v>
      </c>
      <c r="AA216" s="93">
        <f>'Resumo-Cult.Temp.'!Z17*('Critérios de Implantação'!AA$88+'Critérios de Implantação'!AA$89+'Critérios de Implantação'!AA$90)</f>
        <v>6584126.4000000004</v>
      </c>
      <c r="AB216" s="93">
        <f>'Resumo-Cult.Temp.'!AA17*('Critérios de Implantação'!AB$88+'Critérios de Implantação'!AB$89+'Critérios de Implantação'!AB$90)</f>
        <v>6584126.4000000004</v>
      </c>
      <c r="AC216" s="93">
        <f>'Resumo-Cult.Temp.'!AB17*('Critérios de Implantação'!AC$88+'Critérios de Implantação'!AC$89+'Critérios de Implantação'!AC$90)</f>
        <v>6584126.4000000004</v>
      </c>
      <c r="AD216" s="93">
        <f>'Resumo-Cult.Temp.'!AC17*('Critérios de Implantação'!AD$88+'Critérios de Implantação'!AD$89+'Critérios de Implantação'!AD$90)</f>
        <v>6584126.4000000004</v>
      </c>
      <c r="AE216" s="93">
        <f>'Resumo-Cult.Temp.'!AD17*('Critérios de Implantação'!AE$88+'Critérios de Implantação'!AE$89+'Critérios de Implantação'!AE$90)</f>
        <v>6584126.4000000004</v>
      </c>
      <c r="AF216" s="93">
        <f>'Resumo-Cult.Temp.'!AE17*('Critérios de Implantação'!AF$88+'Critérios de Implantação'!AF$89+'Critérios de Implantação'!AF$90)</f>
        <v>6584126.4000000004</v>
      </c>
      <c r="AG216" s="93">
        <f>'Resumo-Cult.Temp.'!AF17*('Critérios de Implantação'!AG$88+'Critérios de Implantação'!AG$89+'Critérios de Implantação'!AG$90)</f>
        <v>6584126.4000000004</v>
      </c>
      <c r="AH216" s="93">
        <f>'Resumo-Cult.Temp.'!AG17*('Critérios de Implantação'!AH$88+'Critérios de Implantação'!AH$89+'Critérios de Implantação'!AH$90)</f>
        <v>6584126.4000000004</v>
      </c>
      <c r="AI216" s="93">
        <f>'Resumo-Cult.Temp.'!AH17*('Critérios de Implantação'!AI$88+'Critérios de Implantação'!AI$89+'Critérios de Implantação'!AI$90)</f>
        <v>6584126.4000000004</v>
      </c>
      <c r="AJ216" s="94">
        <f>'Resumo-Cult.Temp.'!AI17*('Critérios de Implantação'!AJ$88+'Critérios de Implantação'!AJ$89+'Critérios de Implantação'!AJ$90)</f>
        <v>6584126.4000000004</v>
      </c>
      <c r="AK216" s="95">
        <f>'Resumo-Cult.Temp.'!AJ17*('Critérios de Implantação'!AK$88+'Critérios de Implantação'!AK$89+'Critérios de Implantação'!AK$90)</f>
        <v>6584126.4000000004</v>
      </c>
    </row>
    <row r="217" spans="1:37" ht="20.149999999999999" customHeight="1" outlineLevel="1" x14ac:dyDescent="0.25">
      <c r="A217" s="48" t="s">
        <v>139</v>
      </c>
      <c r="B217" s="82" t="s">
        <v>143</v>
      </c>
      <c r="C217" s="80"/>
      <c r="D217" s="93">
        <f>'Resumo-Cult.Temp.'!C18*('Critérios de Implantação'!D$88+'Critérios de Implantação'!D$89+'Critérios de Implantação'!D$90)</f>
        <v>0</v>
      </c>
      <c r="E217" s="93">
        <f>'Resumo-Cult.Temp.'!D18*('Critérios de Implantação'!E$88+'Critérios de Implantação'!E$89+'Critérios de Implantação'!E$90)</f>
        <v>0</v>
      </c>
      <c r="F217" s="93">
        <f>'Resumo-Cult.Temp.'!E18*('Critérios de Implantação'!F$88+'Critérios de Implantação'!F$89+'Critérios de Implantação'!F$90)</f>
        <v>1234015.4527325043</v>
      </c>
      <c r="G217" s="93">
        <f>'Resumo-Cult.Temp.'!F18*('Critérios de Implantação'!G$88+'Critérios de Implantação'!G$89+'Critérios de Implantação'!G$90)</f>
        <v>2468030.9054650087</v>
      </c>
      <c r="H217" s="93">
        <f>'Resumo-Cult.Temp.'!G18*('Critérios de Implantação'!H$88+'Critérios de Implantação'!H$89+'Critérios de Implantação'!H$90)</f>
        <v>3950639.6459059073</v>
      </c>
      <c r="I217" s="93">
        <f>'Resumo-Cult.Temp.'!H18*('Critérios de Implantação'!I$88+'Critérios de Implantação'!I$89+'Critérios de Implantação'!I$90)</f>
        <v>6814141.3789528469</v>
      </c>
      <c r="J217" s="93">
        <f>'Resumo-Cult.Temp.'!I18*('Critérios de Implantação'!J$88+'Critérios de Implantação'!J$89+'Critérios de Implantação'!J$90)</f>
        <v>9500747.5010311324</v>
      </c>
      <c r="K217" s="93">
        <f>'Resumo-Cult.Temp.'!J18*('Critérios de Implantação'!K$88+'Critérios de Implantação'!K$89+'Critérios de Implantação'!K$90)</f>
        <v>12265010.413675876</v>
      </c>
      <c r="L217" s="93">
        <f>'Resumo-Cult.Temp.'!K18*('Critérios de Implantação'!L$88+'Critérios de Implantação'!L$89+'Critérios de Implantação'!L$90)</f>
        <v>14516685.265614562</v>
      </c>
      <c r="M217" s="93">
        <f>'Resumo-Cult.Temp.'!L18*('Critérios de Implantação'!M$88+'Critérios de Implantação'!M$89+'Critérios de Implantação'!M$90)</f>
        <v>16112815.967190376</v>
      </c>
      <c r="N217" s="93">
        <f>'Resumo-Cult.Temp.'!M18*('Critérios de Implantação'!N$88+'Critérios de Implantação'!N$89+'Critérios de Implantação'!N$90)</f>
        <v>16915821.600000001</v>
      </c>
      <c r="O217" s="93">
        <f>'Resumo-Cult.Temp.'!N18*('Critérios de Implantação'!O$88+'Critérios de Implantação'!O$89+'Critérios de Implantação'!O$90)</f>
        <v>16915821.600000001</v>
      </c>
      <c r="P217" s="93">
        <f>'Resumo-Cult.Temp.'!O18*('Critérios de Implantação'!P$88+'Critérios de Implantação'!P$89+'Critérios de Implantação'!P$90)</f>
        <v>16915821.600000001</v>
      </c>
      <c r="Q217" s="93">
        <f>'Resumo-Cult.Temp.'!P18*('Critérios de Implantação'!Q$88+'Critérios de Implantação'!Q$89+'Critérios de Implantação'!Q$90)</f>
        <v>16915821.600000001</v>
      </c>
      <c r="R217" s="93">
        <f>'Resumo-Cult.Temp.'!Q18*('Critérios de Implantação'!R$88+'Critérios de Implantação'!R$89+'Critérios de Implantação'!R$90)</f>
        <v>16915821.600000001</v>
      </c>
      <c r="S217" s="93">
        <f>'Resumo-Cult.Temp.'!R18*('Critérios de Implantação'!S$88+'Critérios de Implantação'!S$89+'Critérios de Implantação'!S$90)</f>
        <v>16915821.600000001</v>
      </c>
      <c r="T217" s="93">
        <f>'Resumo-Cult.Temp.'!S18*('Critérios de Implantação'!T$88+'Critérios de Implantação'!T$89+'Critérios de Implantação'!T$90)</f>
        <v>16915821.600000001</v>
      </c>
      <c r="U217" s="93">
        <f>'Resumo-Cult.Temp.'!T18*('Critérios de Implantação'!U$88+'Critérios de Implantação'!U$89+'Critérios de Implantação'!U$90)</f>
        <v>16915821.600000001</v>
      </c>
      <c r="V217" s="93">
        <f>'Resumo-Cult.Temp.'!U18*('Critérios de Implantação'!V$88+'Critérios de Implantação'!V$89+'Critérios de Implantação'!V$90)</f>
        <v>16915821.600000001</v>
      </c>
      <c r="W217" s="93">
        <f>'Resumo-Cult.Temp.'!V18*('Critérios de Implantação'!W$88+'Critérios de Implantação'!W$89+'Critérios de Implantação'!W$90)</f>
        <v>16915821.600000001</v>
      </c>
      <c r="X217" s="93">
        <f>'Resumo-Cult.Temp.'!W18*('Critérios de Implantação'!X$88+'Critérios de Implantação'!X$89+'Critérios de Implantação'!X$90)</f>
        <v>16915821.600000001</v>
      </c>
      <c r="Y217" s="93">
        <f>'Resumo-Cult.Temp.'!X18*('Critérios de Implantação'!Y$88+'Critérios de Implantação'!Y$89+'Critérios de Implantação'!Y$90)</f>
        <v>16915821.600000001</v>
      </c>
      <c r="Z217" s="93">
        <f>'Resumo-Cult.Temp.'!Y18*('Critérios de Implantação'!Z$88+'Critérios de Implantação'!Z$89+'Critérios de Implantação'!Z$90)</f>
        <v>16915821.600000001</v>
      </c>
      <c r="AA217" s="93">
        <f>'Resumo-Cult.Temp.'!Z18*('Critérios de Implantação'!AA$88+'Critérios de Implantação'!AA$89+'Critérios de Implantação'!AA$90)</f>
        <v>16915821.600000001</v>
      </c>
      <c r="AB217" s="93">
        <f>'Resumo-Cult.Temp.'!AA18*('Critérios de Implantação'!AB$88+'Critérios de Implantação'!AB$89+'Critérios de Implantação'!AB$90)</f>
        <v>16915821.600000001</v>
      </c>
      <c r="AC217" s="93">
        <f>'Resumo-Cult.Temp.'!AB18*('Critérios de Implantação'!AC$88+'Critérios de Implantação'!AC$89+'Critérios de Implantação'!AC$90)</f>
        <v>16915821.600000001</v>
      </c>
      <c r="AD217" s="93">
        <f>'Resumo-Cult.Temp.'!AC18*('Critérios de Implantação'!AD$88+'Critérios de Implantação'!AD$89+'Critérios de Implantação'!AD$90)</f>
        <v>16915821.600000001</v>
      </c>
      <c r="AE217" s="93">
        <f>'Resumo-Cult.Temp.'!AD18*('Critérios de Implantação'!AE$88+'Critérios de Implantação'!AE$89+'Critérios de Implantação'!AE$90)</f>
        <v>16915821.600000001</v>
      </c>
      <c r="AF217" s="93">
        <f>'Resumo-Cult.Temp.'!AE18*('Critérios de Implantação'!AF$88+'Critérios de Implantação'!AF$89+'Critérios de Implantação'!AF$90)</f>
        <v>16915821.600000001</v>
      </c>
      <c r="AG217" s="93">
        <f>'Resumo-Cult.Temp.'!AF18*('Critérios de Implantação'!AG$88+'Critérios de Implantação'!AG$89+'Critérios de Implantação'!AG$90)</f>
        <v>16915821.600000001</v>
      </c>
      <c r="AH217" s="93">
        <f>'Resumo-Cult.Temp.'!AG18*('Critérios de Implantação'!AH$88+'Critérios de Implantação'!AH$89+'Critérios de Implantação'!AH$90)</f>
        <v>16915821.600000001</v>
      </c>
      <c r="AI217" s="93">
        <f>'Resumo-Cult.Temp.'!AH18*('Critérios de Implantação'!AI$88+'Critérios de Implantação'!AI$89+'Critérios de Implantação'!AI$90)</f>
        <v>16915821.600000001</v>
      </c>
      <c r="AJ217" s="94">
        <f>'Resumo-Cult.Temp.'!AI18*('Critérios de Implantação'!AJ$88+'Critérios de Implantação'!AJ$89+'Critérios de Implantação'!AJ$90)</f>
        <v>16915821.600000001</v>
      </c>
      <c r="AK217" s="95">
        <f>'Resumo-Cult.Temp.'!AJ18*('Critérios de Implantação'!AK$88+'Critérios de Implantação'!AK$89+'Critérios de Implantação'!AK$90)</f>
        <v>16915821.600000001</v>
      </c>
    </row>
    <row r="218" spans="1:37" ht="20.149999999999999" customHeight="1" outlineLevel="1" x14ac:dyDescent="0.25">
      <c r="A218" s="48" t="s">
        <v>140</v>
      </c>
      <c r="B218" s="34" t="s">
        <v>141</v>
      </c>
      <c r="C218" s="80"/>
      <c r="D218" s="93">
        <f>'Resumo-Cult.Temp.'!C19*('Critérios de Implantação'!D$88+'Critérios de Implantação'!D$89+'Critérios de Implantação'!D$90)</f>
        <v>0</v>
      </c>
      <c r="E218" s="93">
        <f>'Resumo-Cult.Temp.'!D19*('Critérios de Implantação'!E$88+'Critérios de Implantação'!E$89+'Critérios de Implantação'!E$90)</f>
        <v>0</v>
      </c>
      <c r="F218" s="93">
        <f>'Resumo-Cult.Temp.'!E19*('Critérios de Implantação'!F$88+'Critérios de Implantação'!F$89+'Critérios de Implantação'!F$90)</f>
        <v>800462.46841616626</v>
      </c>
      <c r="G218" s="93">
        <f>'Resumo-Cult.Temp.'!F19*('Critérios de Implantação'!G$88+'Critérios de Implantação'!G$89+'Critérios de Implantação'!G$90)</f>
        <v>1600924.9368323325</v>
      </c>
      <c r="H218" s="93">
        <f>'Resumo-Cult.Temp.'!G19*('Critérios de Implantação'!H$88+'Critérios de Implantação'!H$89+'Critérios de Implantação'!H$90)</f>
        <v>2562641.1369340504</v>
      </c>
      <c r="I218" s="93">
        <f>'Resumo-Cult.Temp.'!H19*('Critérios de Implantação'!I$88+'Critérios de Implantação'!I$89+'Critérios de Implantação'!I$90)</f>
        <v>4420094.1051875884</v>
      </c>
      <c r="J218" s="93">
        <f>'Resumo-Cult.Temp.'!I19*('Critérios de Implantação'!J$88+'Critérios de Implantação'!J$89+'Critérios de Implantação'!J$90)</f>
        <v>6162801.1056378772</v>
      </c>
      <c r="K218" s="93">
        <f>'Resumo-Cult.Temp.'!J19*('Critérios de Implantação'!K$88+'Critérios de Implantação'!K$89+'Critérios de Implantação'!K$90)</f>
        <v>7955881.3377429731</v>
      </c>
      <c r="L218" s="93">
        <f>'Resumo-Cult.Temp.'!K19*('Critérios de Implantação'!L$88+'Critérios de Implantação'!L$89+'Critérios de Implantação'!L$90)</f>
        <v>9416463.7040840089</v>
      </c>
      <c r="M218" s="93">
        <f>'Resumo-Cult.Temp.'!L19*('Critérios de Implantação'!M$88+'Critérios de Implantação'!M$89+'Critérios de Implantação'!M$90)</f>
        <v>10451817.611905094</v>
      </c>
      <c r="N218" s="93">
        <f>'Resumo-Cult.Temp.'!M19*('Critérios de Implantação'!N$88+'Critérios de Implantação'!N$89+'Critérios de Implantação'!N$90)</f>
        <v>10972699.153191766</v>
      </c>
      <c r="O218" s="93">
        <f>'Resumo-Cult.Temp.'!N19*('Critérios de Implantação'!O$88+'Critérios de Implantação'!O$89+'Critérios de Implantação'!O$90)</f>
        <v>10972699.153191766</v>
      </c>
      <c r="P218" s="93">
        <f>'Resumo-Cult.Temp.'!O19*('Critérios de Implantação'!P$88+'Critérios de Implantação'!P$89+'Critérios de Implantação'!P$90)</f>
        <v>10972699.153191766</v>
      </c>
      <c r="Q218" s="93">
        <f>'Resumo-Cult.Temp.'!P19*('Critérios de Implantação'!Q$88+'Critérios de Implantação'!Q$89+'Critérios de Implantação'!Q$90)</f>
        <v>10972699.153191766</v>
      </c>
      <c r="R218" s="93">
        <f>'Resumo-Cult.Temp.'!Q19*('Critérios de Implantação'!R$88+'Critérios de Implantação'!R$89+'Critérios de Implantação'!R$90)</f>
        <v>10972699.153191766</v>
      </c>
      <c r="S218" s="93">
        <f>'Resumo-Cult.Temp.'!R19*('Critérios de Implantação'!S$88+'Critérios de Implantação'!S$89+'Critérios de Implantação'!S$90)</f>
        <v>10972699.153191766</v>
      </c>
      <c r="T218" s="93">
        <f>'Resumo-Cult.Temp.'!S19*('Critérios de Implantação'!T$88+'Critérios de Implantação'!T$89+'Critérios de Implantação'!T$90)</f>
        <v>10972699.153191766</v>
      </c>
      <c r="U218" s="93">
        <f>'Resumo-Cult.Temp.'!T19*('Critérios de Implantação'!U$88+'Critérios de Implantação'!U$89+'Critérios de Implantação'!U$90)</f>
        <v>10972699.153191766</v>
      </c>
      <c r="V218" s="93">
        <f>'Resumo-Cult.Temp.'!U19*('Critérios de Implantação'!V$88+'Critérios de Implantação'!V$89+'Critérios de Implantação'!V$90)</f>
        <v>10972699.153191766</v>
      </c>
      <c r="W218" s="93">
        <f>'Resumo-Cult.Temp.'!V19*('Critérios de Implantação'!W$88+'Critérios de Implantação'!W$89+'Critérios de Implantação'!W$90)</f>
        <v>10972699.153191766</v>
      </c>
      <c r="X218" s="93">
        <f>'Resumo-Cult.Temp.'!W19*('Critérios de Implantação'!X$88+'Critérios de Implantação'!X$89+'Critérios de Implantação'!X$90)</f>
        <v>10972699.153191766</v>
      </c>
      <c r="Y218" s="93">
        <f>'Resumo-Cult.Temp.'!X19*('Critérios de Implantação'!Y$88+'Critérios de Implantação'!Y$89+'Critérios de Implantação'!Y$90)</f>
        <v>10972699.153191766</v>
      </c>
      <c r="Z218" s="93">
        <f>'Resumo-Cult.Temp.'!Y19*('Critérios de Implantação'!Z$88+'Critérios de Implantação'!Z$89+'Critérios de Implantação'!Z$90)</f>
        <v>10972699.153191766</v>
      </c>
      <c r="AA218" s="93">
        <f>'Resumo-Cult.Temp.'!Z19*('Critérios de Implantação'!AA$88+'Critérios de Implantação'!AA$89+'Critérios de Implantação'!AA$90)</f>
        <v>10972699.153191766</v>
      </c>
      <c r="AB218" s="93">
        <f>'Resumo-Cult.Temp.'!AA19*('Critérios de Implantação'!AB$88+'Critérios de Implantação'!AB$89+'Critérios de Implantação'!AB$90)</f>
        <v>10972699.153191766</v>
      </c>
      <c r="AC218" s="93">
        <f>'Resumo-Cult.Temp.'!AB19*('Critérios de Implantação'!AC$88+'Critérios de Implantação'!AC$89+'Critérios de Implantação'!AC$90)</f>
        <v>10972699.153191766</v>
      </c>
      <c r="AD218" s="93">
        <f>'Resumo-Cult.Temp.'!AC19*('Critérios de Implantação'!AD$88+'Critérios de Implantação'!AD$89+'Critérios de Implantação'!AD$90)</f>
        <v>10972699.153191766</v>
      </c>
      <c r="AE218" s="93">
        <f>'Resumo-Cult.Temp.'!AD19*('Critérios de Implantação'!AE$88+'Critérios de Implantação'!AE$89+'Critérios de Implantação'!AE$90)</f>
        <v>10972699.153191766</v>
      </c>
      <c r="AF218" s="93">
        <f>'Resumo-Cult.Temp.'!AE19*('Critérios de Implantação'!AF$88+'Critérios de Implantação'!AF$89+'Critérios de Implantação'!AF$90)</f>
        <v>10972699.153191766</v>
      </c>
      <c r="AG218" s="93">
        <f>'Resumo-Cult.Temp.'!AF19*('Critérios de Implantação'!AG$88+'Critérios de Implantação'!AG$89+'Critérios de Implantação'!AG$90)</f>
        <v>10972699.153191766</v>
      </c>
      <c r="AH218" s="93">
        <f>'Resumo-Cult.Temp.'!AG19*('Critérios de Implantação'!AH$88+'Critérios de Implantação'!AH$89+'Critérios de Implantação'!AH$90)</f>
        <v>10972699.153191766</v>
      </c>
      <c r="AI218" s="93">
        <f>'Resumo-Cult.Temp.'!AH19*('Critérios de Implantação'!AI$88+'Critérios de Implantação'!AI$89+'Critérios de Implantação'!AI$90)</f>
        <v>10972699.153191766</v>
      </c>
      <c r="AJ218" s="94">
        <f>'Resumo-Cult.Temp.'!AI19*('Critérios de Implantação'!AJ$88+'Critérios de Implantação'!AJ$89+'Critérios de Implantação'!AJ$90)</f>
        <v>10972699.153191766</v>
      </c>
      <c r="AK218" s="95">
        <f>'Resumo-Cult.Temp.'!AJ19*('Critérios de Implantação'!AK$88+'Critérios de Implantação'!AK$89+'Critérios de Implantação'!AK$90)</f>
        <v>10972699.153191766</v>
      </c>
    </row>
    <row r="219" spans="1:37" ht="20.149999999999999" customHeight="1" outlineLevel="1" thickBot="1" x14ac:dyDescent="0.3">
      <c r="A219" s="96"/>
      <c r="B219" s="87" t="s">
        <v>149</v>
      </c>
      <c r="C219" s="88"/>
      <c r="D219" s="88">
        <f t="shared" ref="D219:AK219" si="79">SUM(D215:D218)</f>
        <v>0</v>
      </c>
      <c r="E219" s="88">
        <f t="shared" si="79"/>
        <v>0</v>
      </c>
      <c r="F219" s="88">
        <f t="shared" si="79"/>
        <v>4372612.4631681526</v>
      </c>
      <c r="G219" s="88">
        <f t="shared" si="79"/>
        <v>8745224.9263363052</v>
      </c>
      <c r="H219" s="88">
        <f t="shared" si="79"/>
        <v>13998703.269819569</v>
      </c>
      <c r="I219" s="88">
        <f t="shared" si="79"/>
        <v>24145240.202156354</v>
      </c>
      <c r="J219" s="88">
        <f t="shared" si="79"/>
        <v>33664964.924412206</v>
      </c>
      <c r="K219" s="88">
        <f t="shared" si="79"/>
        <v>43459858.85101524</v>
      </c>
      <c r="L219" s="88">
        <f t="shared" si="79"/>
        <v>51438447.367705107</v>
      </c>
      <c r="M219" s="88">
        <f t="shared" si="79"/>
        <v>57094179.622193024</v>
      </c>
      <c r="N219" s="88">
        <f t="shared" si="79"/>
        <v>59939551.153191768</v>
      </c>
      <c r="O219" s="88">
        <f t="shared" si="79"/>
        <v>59939551.153191768</v>
      </c>
      <c r="P219" s="88">
        <f t="shared" si="79"/>
        <v>59939551.153191768</v>
      </c>
      <c r="Q219" s="88">
        <f t="shared" si="79"/>
        <v>59939551.153191768</v>
      </c>
      <c r="R219" s="88">
        <f t="shared" si="79"/>
        <v>59939551.153191768</v>
      </c>
      <c r="S219" s="88">
        <f t="shared" si="79"/>
        <v>59939551.153191768</v>
      </c>
      <c r="T219" s="88">
        <f t="shared" si="79"/>
        <v>59939551.153191768</v>
      </c>
      <c r="U219" s="88">
        <f t="shared" si="79"/>
        <v>59939551.153191768</v>
      </c>
      <c r="V219" s="88">
        <f t="shared" si="79"/>
        <v>59939551.153191768</v>
      </c>
      <c r="W219" s="88">
        <f t="shared" si="79"/>
        <v>59939551.153191768</v>
      </c>
      <c r="X219" s="88">
        <f t="shared" si="79"/>
        <v>59939551.153191768</v>
      </c>
      <c r="Y219" s="88">
        <f t="shared" si="79"/>
        <v>59939551.153191768</v>
      </c>
      <c r="Z219" s="88">
        <f t="shared" si="79"/>
        <v>59939551.153191768</v>
      </c>
      <c r="AA219" s="88">
        <f t="shared" si="79"/>
        <v>59939551.153191768</v>
      </c>
      <c r="AB219" s="88">
        <f t="shared" si="79"/>
        <v>59939551.153191768</v>
      </c>
      <c r="AC219" s="88">
        <f t="shared" si="79"/>
        <v>59939551.153191768</v>
      </c>
      <c r="AD219" s="88">
        <f t="shared" si="79"/>
        <v>59939551.153191768</v>
      </c>
      <c r="AE219" s="88">
        <f t="shared" si="79"/>
        <v>59939551.153191768</v>
      </c>
      <c r="AF219" s="88">
        <f t="shared" si="79"/>
        <v>59939551.153191768</v>
      </c>
      <c r="AG219" s="88">
        <f t="shared" si="79"/>
        <v>59939551.153191768</v>
      </c>
      <c r="AH219" s="88">
        <f t="shared" si="79"/>
        <v>59939551.153191768</v>
      </c>
      <c r="AI219" s="88">
        <f t="shared" si="79"/>
        <v>59939551.153191768</v>
      </c>
      <c r="AJ219" s="88">
        <f t="shared" si="79"/>
        <v>59939551.153191768</v>
      </c>
      <c r="AK219" s="89">
        <f t="shared" si="79"/>
        <v>59939551.153191768</v>
      </c>
    </row>
    <row r="220" spans="1:37" ht="20.149999999999999" customHeight="1" outlineLevel="1" thickBot="1" x14ac:dyDescent="0.3">
      <c r="A220" s="14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</row>
    <row r="221" spans="1:37" ht="20.149999999999999" customHeight="1" outlineLevel="1" x14ac:dyDescent="0.25">
      <c r="A221" s="42">
        <v>3</v>
      </c>
      <c r="B221" s="97" t="s">
        <v>144</v>
      </c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2"/>
    </row>
    <row r="222" spans="1:37" ht="20.149999999999999" customHeight="1" outlineLevel="1" x14ac:dyDescent="0.25">
      <c r="A222" s="47" t="s">
        <v>340</v>
      </c>
      <c r="B222" s="22" t="str">
        <f>"Valor da produção "&amp;A198</f>
        <v>Valor da produção Soja</v>
      </c>
      <c r="C222" s="80"/>
      <c r="D222" s="80">
        <f>'Resumo-Cult.Temp.'!C23*('Critérios de Implantação'!D$88+'Critérios de Implantação'!D$89+'Critérios de Implantação'!D$90)</f>
        <v>0</v>
      </c>
      <c r="E222" s="80">
        <f>'Resumo-Cult.Temp.'!D23*('Critérios de Implantação'!E$88+'Critérios de Implantação'!E$89+'Critérios de Implantação'!E$90)</f>
        <v>0</v>
      </c>
      <c r="F222" s="80">
        <f>'Resumo-Cult.Temp.'!E23*('Critérios de Implantação'!F$88+'Critérios de Implantação'!F$89+'Critérios de Implantação'!F$90)</f>
        <v>8725410.6087455712</v>
      </c>
      <c r="G222" s="80">
        <f>'Resumo-Cult.Temp.'!F23*('Critérios de Implantação'!G$88+'Critérios de Implantação'!G$89+'Critérios de Implantação'!G$90)</f>
        <v>17450821.217491142</v>
      </c>
      <c r="H222" s="80">
        <f>'Resumo-Cult.Temp.'!G23*('Critérios de Implantação'!H$88+'Critérios de Implantação'!H$89+'Critérios de Implantação'!H$90)</f>
        <v>27933971.978542533</v>
      </c>
      <c r="I222" s="80">
        <f>'Resumo-Cult.Temp.'!H23*('Critérios de Implantação'!I$88+'Critérios de Implantação'!I$89+'Critérios de Implantação'!I$90)</f>
        <v>48181067.219014458</v>
      </c>
      <c r="J222" s="80">
        <f>'Resumo-Cult.Temp.'!I23*('Critérios de Implantação'!J$88+'Critérios de Implantação'!J$89+'Critérios de Implantação'!J$90)</f>
        <v>67177378.413655624</v>
      </c>
      <c r="K222" s="80">
        <f>'Resumo-Cult.Temp.'!J23*('Critérios de Implantação'!K$88+'Critérios de Implantação'!K$89+'Critérios de Implantação'!K$90)</f>
        <v>86722781.098803923</v>
      </c>
      <c r="L222" s="80">
        <f>'Resumo-Cult.Temp.'!K23*('Critérios de Implantação'!L$88+'Critérios de Implantação'!L$89+'Critérios de Implantação'!L$90)</f>
        <v>102643803.47907247</v>
      </c>
      <c r="M222" s="80">
        <f>'Resumo-Cult.Temp.'!L23*('Critérios de Implantação'!M$88+'Critérios de Implantação'!M$89+'Critérios de Implantação'!M$90)</f>
        <v>113929639.2647067</v>
      </c>
      <c r="N222" s="80">
        <f>'Resumo-Cult.Temp.'!M23*('Critérios de Implantação'!N$88+'Critérios de Implantação'!N$89+'Critérios de Implantação'!N$90)</f>
        <v>119607488.64000002</v>
      </c>
      <c r="O222" s="80">
        <f>'Resumo-Cult.Temp.'!N23*('Critérios de Implantação'!O$88+'Critérios de Implantação'!O$89+'Critérios de Implantação'!O$90)</f>
        <v>119607488.64000002</v>
      </c>
      <c r="P222" s="80">
        <f>'Resumo-Cult.Temp.'!O23*('Critérios de Implantação'!P$88+'Critérios de Implantação'!P$89+'Critérios de Implantação'!P$90)</f>
        <v>119607488.64000002</v>
      </c>
      <c r="Q222" s="80">
        <f>'Resumo-Cult.Temp.'!P23*('Critérios de Implantação'!Q$88+'Critérios de Implantação'!Q$89+'Critérios de Implantação'!Q$90)</f>
        <v>119607488.64000002</v>
      </c>
      <c r="R222" s="80">
        <f>'Resumo-Cult.Temp.'!Q23*('Critérios de Implantação'!R$88+'Critérios de Implantação'!R$89+'Critérios de Implantação'!R$90)</f>
        <v>119607488.64000002</v>
      </c>
      <c r="S222" s="80">
        <f>'Resumo-Cult.Temp.'!R23*('Critérios de Implantação'!S$88+'Critérios de Implantação'!S$89+'Critérios de Implantação'!S$90)</f>
        <v>119607488.64000002</v>
      </c>
      <c r="T222" s="80">
        <f>'Resumo-Cult.Temp.'!S23*('Critérios de Implantação'!T$88+'Critérios de Implantação'!T$89+'Critérios de Implantação'!T$90)</f>
        <v>119607488.64000002</v>
      </c>
      <c r="U222" s="80">
        <f>'Resumo-Cult.Temp.'!T23*('Critérios de Implantação'!U$88+'Critérios de Implantação'!U$89+'Critérios de Implantação'!U$90)</f>
        <v>119607488.64000002</v>
      </c>
      <c r="V222" s="80">
        <f>'Resumo-Cult.Temp.'!U23*('Critérios de Implantação'!V$88+'Critérios de Implantação'!V$89+'Critérios de Implantação'!V$90)</f>
        <v>119607488.64000002</v>
      </c>
      <c r="W222" s="80">
        <f>'Resumo-Cult.Temp.'!V23*('Critérios de Implantação'!W$88+'Critérios de Implantação'!W$89+'Critérios de Implantação'!W$90)</f>
        <v>119607488.64000002</v>
      </c>
      <c r="X222" s="80">
        <f>'Resumo-Cult.Temp.'!W23*('Critérios de Implantação'!X$88+'Critérios de Implantação'!X$89+'Critérios de Implantação'!X$90)</f>
        <v>119607488.64000002</v>
      </c>
      <c r="Y222" s="80">
        <f>'Resumo-Cult.Temp.'!X23*('Critérios de Implantação'!Y$88+'Critérios de Implantação'!Y$89+'Critérios de Implantação'!Y$90)</f>
        <v>119607488.64000002</v>
      </c>
      <c r="Z222" s="80">
        <f>'Resumo-Cult.Temp.'!Y23*('Critérios de Implantação'!Z$88+'Critérios de Implantação'!Z$89+'Critérios de Implantação'!Z$90)</f>
        <v>119607488.64000002</v>
      </c>
      <c r="AA222" s="80">
        <f>'Resumo-Cult.Temp.'!Z23*('Critérios de Implantação'!AA$88+'Critérios de Implantação'!AA$89+'Critérios de Implantação'!AA$90)</f>
        <v>119607488.64000002</v>
      </c>
      <c r="AB222" s="80">
        <f>'Resumo-Cult.Temp.'!AA23*('Critérios de Implantação'!AB$88+'Critérios de Implantação'!AB$89+'Critérios de Implantação'!AB$90)</f>
        <v>119607488.64000002</v>
      </c>
      <c r="AC222" s="80">
        <f>'Resumo-Cult.Temp.'!AB23*('Critérios de Implantação'!AC$88+'Critérios de Implantação'!AC$89+'Critérios de Implantação'!AC$90)</f>
        <v>119607488.64000002</v>
      </c>
      <c r="AD222" s="80">
        <f>'Resumo-Cult.Temp.'!AC23*('Critérios de Implantação'!AD$88+'Critérios de Implantação'!AD$89+'Critérios de Implantação'!AD$90)</f>
        <v>119607488.64000002</v>
      </c>
      <c r="AE222" s="80">
        <f>'Resumo-Cult.Temp.'!AD23*('Critérios de Implantação'!AE$88+'Critérios de Implantação'!AE$89+'Critérios de Implantação'!AE$90)</f>
        <v>119607488.64000002</v>
      </c>
      <c r="AF222" s="80">
        <f>'Resumo-Cult.Temp.'!AE23*('Critérios de Implantação'!AF$88+'Critérios de Implantação'!AF$89+'Critérios de Implantação'!AF$90)</f>
        <v>119607488.64000002</v>
      </c>
      <c r="AG222" s="80">
        <f>'Resumo-Cult.Temp.'!AF23*('Critérios de Implantação'!AG$88+'Critérios de Implantação'!AG$89+'Critérios de Implantação'!AG$90)</f>
        <v>119607488.64000002</v>
      </c>
      <c r="AH222" s="80">
        <f>'Resumo-Cult.Temp.'!AG23*('Critérios de Implantação'!AH$88+'Critérios de Implantação'!AH$89+'Critérios de Implantação'!AH$90)</f>
        <v>119607488.64000002</v>
      </c>
      <c r="AI222" s="80">
        <f>'Resumo-Cult.Temp.'!AH23*('Critérios de Implantação'!AI$88+'Critérios de Implantação'!AI$89+'Critérios de Implantação'!AI$90)</f>
        <v>119607488.64000002</v>
      </c>
      <c r="AJ222" s="98">
        <f>'Resumo-Cult.Temp.'!AI23*('Critérios de Implantação'!AJ$88+'Critérios de Implantação'!AJ$89+'Critérios de Implantação'!AJ$90)</f>
        <v>119607488.64000002</v>
      </c>
      <c r="AK222" s="81">
        <f>'Resumo-Cult.Temp.'!AJ23*('Critérios de Implantação'!AK$88+'Critérios de Implantação'!AK$89+'Critérios de Implantação'!AK$90)</f>
        <v>119607488.64000002</v>
      </c>
    </row>
    <row r="223" spans="1:37" ht="20.149999999999999" customHeight="1" outlineLevel="1" thickBot="1" x14ac:dyDescent="0.3">
      <c r="A223" s="52"/>
      <c r="B223" s="102" t="s">
        <v>153</v>
      </c>
      <c r="C223" s="88"/>
      <c r="D223" s="88">
        <f>SUM(D222:D222)</f>
        <v>0</v>
      </c>
      <c r="E223" s="88">
        <f t="shared" ref="E223:AK223" si="80">SUM(E222:E222)</f>
        <v>0</v>
      </c>
      <c r="F223" s="88">
        <f t="shared" si="80"/>
        <v>8725410.6087455712</v>
      </c>
      <c r="G223" s="88">
        <f t="shared" si="80"/>
        <v>17450821.217491142</v>
      </c>
      <c r="H223" s="88">
        <f>SUM(H222:H222)</f>
        <v>27933971.978542533</v>
      </c>
      <c r="I223" s="88">
        <f t="shared" si="80"/>
        <v>48181067.219014458</v>
      </c>
      <c r="J223" s="88">
        <f t="shared" si="80"/>
        <v>67177378.413655624</v>
      </c>
      <c r="K223" s="88">
        <f t="shared" si="80"/>
        <v>86722781.098803923</v>
      </c>
      <c r="L223" s="88">
        <f t="shared" si="80"/>
        <v>102643803.47907247</v>
      </c>
      <c r="M223" s="88">
        <f t="shared" si="80"/>
        <v>113929639.2647067</v>
      </c>
      <c r="N223" s="88">
        <f t="shared" si="80"/>
        <v>119607488.64000002</v>
      </c>
      <c r="O223" s="88">
        <f t="shared" si="80"/>
        <v>119607488.64000002</v>
      </c>
      <c r="P223" s="88">
        <f t="shared" si="80"/>
        <v>119607488.64000002</v>
      </c>
      <c r="Q223" s="88">
        <f t="shared" si="80"/>
        <v>119607488.64000002</v>
      </c>
      <c r="R223" s="88">
        <f t="shared" si="80"/>
        <v>119607488.64000002</v>
      </c>
      <c r="S223" s="88">
        <f t="shared" si="80"/>
        <v>119607488.64000002</v>
      </c>
      <c r="T223" s="88">
        <f t="shared" si="80"/>
        <v>119607488.64000002</v>
      </c>
      <c r="U223" s="88">
        <f t="shared" si="80"/>
        <v>119607488.64000002</v>
      </c>
      <c r="V223" s="88">
        <f t="shared" si="80"/>
        <v>119607488.64000002</v>
      </c>
      <c r="W223" s="88">
        <f t="shared" si="80"/>
        <v>119607488.64000002</v>
      </c>
      <c r="X223" s="88">
        <f t="shared" si="80"/>
        <v>119607488.64000002</v>
      </c>
      <c r="Y223" s="88">
        <f t="shared" si="80"/>
        <v>119607488.64000002</v>
      </c>
      <c r="Z223" s="88">
        <f t="shared" si="80"/>
        <v>119607488.64000002</v>
      </c>
      <c r="AA223" s="88">
        <f t="shared" si="80"/>
        <v>119607488.64000002</v>
      </c>
      <c r="AB223" s="88">
        <f t="shared" si="80"/>
        <v>119607488.64000002</v>
      </c>
      <c r="AC223" s="88">
        <f t="shared" si="80"/>
        <v>119607488.64000002</v>
      </c>
      <c r="AD223" s="88">
        <f t="shared" si="80"/>
        <v>119607488.64000002</v>
      </c>
      <c r="AE223" s="88">
        <f t="shared" si="80"/>
        <v>119607488.64000002</v>
      </c>
      <c r="AF223" s="88">
        <f t="shared" si="80"/>
        <v>119607488.64000002</v>
      </c>
      <c r="AG223" s="88">
        <f t="shared" si="80"/>
        <v>119607488.64000002</v>
      </c>
      <c r="AH223" s="88">
        <f t="shared" si="80"/>
        <v>119607488.64000002</v>
      </c>
      <c r="AI223" s="88">
        <f t="shared" si="80"/>
        <v>119607488.64000002</v>
      </c>
      <c r="AJ223" s="88">
        <f t="shared" si="80"/>
        <v>119607488.64000002</v>
      </c>
      <c r="AK223" s="89">
        <f t="shared" si="80"/>
        <v>119607488.64000002</v>
      </c>
    </row>
    <row r="224" spans="1:37" ht="20.149999999999999" customHeight="1" outlineLevel="1" thickBot="1" x14ac:dyDescent="0.3"/>
    <row r="225" spans="1:37" ht="20.149999999999999" customHeight="1" outlineLevel="1" thickBot="1" x14ac:dyDescent="0.3">
      <c r="A225" s="70">
        <v>4</v>
      </c>
      <c r="B225" s="104" t="s">
        <v>556</v>
      </c>
      <c r="C225" s="105"/>
      <c r="D225" s="105">
        <f t="shared" ref="D225:AK225" si="81">D223-D219-D212</f>
        <v>0</v>
      </c>
      <c r="E225" s="105">
        <f t="shared" si="81"/>
        <v>0</v>
      </c>
      <c r="F225" s="105">
        <f t="shared" si="81"/>
        <v>-2592480.5715533691</v>
      </c>
      <c r="G225" s="105">
        <f t="shared" si="81"/>
        <v>1760317.5740240496</v>
      </c>
      <c r="H225" s="105">
        <f t="shared" si="81"/>
        <v>5590858.6707326602</v>
      </c>
      <c r="I225" s="105">
        <f t="shared" si="81"/>
        <v>7919482.9314092118</v>
      </c>
      <c r="J225" s="105">
        <f t="shared" si="81"/>
        <v>18391672.270269137</v>
      </c>
      <c r="K225" s="105">
        <f t="shared" si="81"/>
        <v>27705113.52405373</v>
      </c>
      <c r="L225" s="105">
        <f t="shared" si="81"/>
        <v>38532492.580817789</v>
      </c>
      <c r="M225" s="105">
        <f t="shared" si="81"/>
        <v>47852125.951783523</v>
      </c>
      <c r="N225" s="105">
        <f t="shared" si="81"/>
        <v>55148465.774408408</v>
      </c>
      <c r="O225" s="105">
        <f t="shared" si="81"/>
        <v>59667937.486808248</v>
      </c>
      <c r="P225" s="105">
        <f t="shared" si="81"/>
        <v>59667937.486808248</v>
      </c>
      <c r="Q225" s="105">
        <f t="shared" si="81"/>
        <v>59667937.486808248</v>
      </c>
      <c r="R225" s="105">
        <f t="shared" si="81"/>
        <v>59667937.486808248</v>
      </c>
      <c r="S225" s="105">
        <f t="shared" si="81"/>
        <v>59667937.486808248</v>
      </c>
      <c r="T225" s="105">
        <f t="shared" si="81"/>
        <v>59667937.486808248</v>
      </c>
      <c r="U225" s="105">
        <f t="shared" si="81"/>
        <v>59667937.486808248</v>
      </c>
      <c r="V225" s="105">
        <f t="shared" si="81"/>
        <v>59667937.486808248</v>
      </c>
      <c r="W225" s="105">
        <f t="shared" si="81"/>
        <v>59667937.486808248</v>
      </c>
      <c r="X225" s="105">
        <f t="shared" si="81"/>
        <v>59667937.486808248</v>
      </c>
      <c r="Y225" s="105">
        <f t="shared" si="81"/>
        <v>59667937.486808248</v>
      </c>
      <c r="Z225" s="105">
        <f t="shared" si="81"/>
        <v>59667937.486808248</v>
      </c>
      <c r="AA225" s="105">
        <f t="shared" si="81"/>
        <v>59667937.486808248</v>
      </c>
      <c r="AB225" s="105">
        <f t="shared" si="81"/>
        <v>59667937.486808248</v>
      </c>
      <c r="AC225" s="105">
        <f t="shared" si="81"/>
        <v>59667937.486808248</v>
      </c>
      <c r="AD225" s="105">
        <f t="shared" si="81"/>
        <v>59667937.486808248</v>
      </c>
      <c r="AE225" s="105">
        <f t="shared" si="81"/>
        <v>59667937.486808248</v>
      </c>
      <c r="AF225" s="105">
        <f t="shared" si="81"/>
        <v>59667937.486808248</v>
      </c>
      <c r="AG225" s="105">
        <f t="shared" si="81"/>
        <v>59667937.486808248</v>
      </c>
      <c r="AH225" s="105">
        <f t="shared" si="81"/>
        <v>59667937.486808248</v>
      </c>
      <c r="AI225" s="105">
        <f t="shared" si="81"/>
        <v>59667937.486808248</v>
      </c>
      <c r="AJ225" s="105">
        <f t="shared" si="81"/>
        <v>59667937.486808248</v>
      </c>
      <c r="AK225" s="105">
        <f t="shared" si="81"/>
        <v>59667937.486808248</v>
      </c>
    </row>
    <row r="226" spans="1:37" ht="20.149999999999999" customHeight="1" outlineLevel="1" thickBot="1" x14ac:dyDescent="0.3">
      <c r="A226" s="14"/>
      <c r="C226" s="103"/>
      <c r="D226" s="103"/>
      <c r="E226" s="103"/>
      <c r="F226" s="103"/>
      <c r="G226" s="103"/>
      <c r="H226" s="103"/>
      <c r="I226" s="103"/>
      <c r="J226" s="103"/>
      <c r="K226" s="103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</row>
    <row r="227" spans="1:37" ht="20.149999999999999" customHeight="1" outlineLevel="1" thickBot="1" x14ac:dyDescent="0.3">
      <c r="A227" s="70">
        <v>5</v>
      </c>
      <c r="B227" s="104" t="s">
        <v>160</v>
      </c>
      <c r="C227" s="107"/>
      <c r="D227" s="107">
        <f>D225</f>
        <v>0</v>
      </c>
      <c r="E227" s="107">
        <f t="shared" ref="E227:AJ227" si="82">D227+E225</f>
        <v>0</v>
      </c>
      <c r="F227" s="107">
        <f t="shared" si="82"/>
        <v>-2592480.5715533691</v>
      </c>
      <c r="G227" s="107">
        <f t="shared" si="82"/>
        <v>-832162.99752931949</v>
      </c>
      <c r="H227" s="107">
        <f>G227+H225</f>
        <v>4758695.6732033407</v>
      </c>
      <c r="I227" s="107">
        <f>H227+I225</f>
        <v>12678178.604612552</v>
      </c>
      <c r="J227" s="107">
        <f t="shared" si="82"/>
        <v>31069850.874881689</v>
      </c>
      <c r="K227" s="107">
        <f t="shared" si="82"/>
        <v>58774964.398935422</v>
      </c>
      <c r="L227" s="107">
        <f t="shared" si="82"/>
        <v>97307456.979753211</v>
      </c>
      <c r="M227" s="107">
        <f t="shared" si="82"/>
        <v>145159582.93153673</v>
      </c>
      <c r="N227" s="107">
        <f t="shared" si="82"/>
        <v>200308048.70594513</v>
      </c>
      <c r="O227" s="107">
        <f t="shared" si="82"/>
        <v>259975986.19275337</v>
      </c>
      <c r="P227" s="107">
        <f t="shared" si="82"/>
        <v>319643923.67956161</v>
      </c>
      <c r="Q227" s="107">
        <f t="shared" si="82"/>
        <v>379311861.16636986</v>
      </c>
      <c r="R227" s="107">
        <f t="shared" si="82"/>
        <v>438979798.6531781</v>
      </c>
      <c r="S227" s="107">
        <f t="shared" si="82"/>
        <v>498647736.13998634</v>
      </c>
      <c r="T227" s="107">
        <f t="shared" si="82"/>
        <v>558315673.62679458</v>
      </c>
      <c r="U227" s="107">
        <f t="shared" si="82"/>
        <v>617983611.11360288</v>
      </c>
      <c r="V227" s="107">
        <f t="shared" si="82"/>
        <v>677651548.60041118</v>
      </c>
      <c r="W227" s="107">
        <f t="shared" si="82"/>
        <v>737319486.08721948</v>
      </c>
      <c r="X227" s="107">
        <f t="shared" si="82"/>
        <v>796987423.57402778</v>
      </c>
      <c r="Y227" s="107">
        <f t="shared" si="82"/>
        <v>856655361.06083608</v>
      </c>
      <c r="Z227" s="107">
        <f t="shared" si="82"/>
        <v>916323298.54764438</v>
      </c>
      <c r="AA227" s="107">
        <f t="shared" si="82"/>
        <v>975991236.03445268</v>
      </c>
      <c r="AB227" s="107">
        <f t="shared" si="82"/>
        <v>1035659173.521261</v>
      </c>
      <c r="AC227" s="107">
        <f t="shared" si="82"/>
        <v>1095327111.0080693</v>
      </c>
      <c r="AD227" s="107">
        <f t="shared" si="82"/>
        <v>1154995048.4948776</v>
      </c>
      <c r="AE227" s="107">
        <f t="shared" si="82"/>
        <v>1214662985.9816859</v>
      </c>
      <c r="AF227" s="107">
        <f t="shared" si="82"/>
        <v>1274330923.4684942</v>
      </c>
      <c r="AG227" s="107">
        <f t="shared" si="82"/>
        <v>1333998860.9553025</v>
      </c>
      <c r="AH227" s="107">
        <f t="shared" si="82"/>
        <v>1393666798.4421108</v>
      </c>
      <c r="AI227" s="107">
        <f t="shared" si="82"/>
        <v>1453334735.9289191</v>
      </c>
      <c r="AJ227" s="107">
        <f t="shared" si="82"/>
        <v>1513002673.4157274</v>
      </c>
      <c r="AK227" s="107">
        <f>AJ227+AK225</f>
        <v>1572670610.9025357</v>
      </c>
    </row>
    <row r="228" spans="1:37" outlineLevel="1" x14ac:dyDescent="0.25"/>
    <row r="229" spans="1:37" s="546" customFormat="1" ht="30" customHeight="1" x14ac:dyDescent="0.25">
      <c r="A229" s="545" t="s">
        <v>248</v>
      </c>
      <c r="AK229" s="870"/>
    </row>
    <row r="230" spans="1:37" s="550" customFormat="1" ht="20.149999999999999" customHeight="1" outlineLevel="1" thickBot="1" x14ac:dyDescent="0.3">
      <c r="A230" s="547" t="s">
        <v>394</v>
      </c>
      <c r="B230" s="548"/>
      <c r="C230" s="548"/>
      <c r="D230" s="548"/>
      <c r="E230" s="548"/>
      <c r="F230" s="548"/>
      <c r="G230" s="548"/>
      <c r="H230" s="548"/>
      <c r="I230" s="548"/>
      <c r="J230" s="548"/>
      <c r="K230" s="548"/>
      <c r="L230" s="548"/>
      <c r="M230" s="548"/>
      <c r="N230" s="548"/>
      <c r="O230" s="548"/>
      <c r="P230" s="548"/>
      <c r="Q230" s="548"/>
      <c r="R230" s="548"/>
      <c r="S230" s="548"/>
      <c r="T230" s="548"/>
      <c r="U230" s="548"/>
      <c r="V230" s="548"/>
      <c r="W230" s="548"/>
      <c r="X230" s="548"/>
      <c r="Y230" s="548"/>
      <c r="Z230" s="548"/>
      <c r="AA230" s="548"/>
      <c r="AB230" s="548"/>
      <c r="AC230" s="548"/>
      <c r="AD230" s="548"/>
      <c r="AE230" s="548"/>
      <c r="AF230" s="548"/>
      <c r="AG230" s="548"/>
      <c r="AH230" s="548"/>
      <c r="AI230" s="548"/>
      <c r="AJ230" s="548"/>
      <c r="AK230" s="878"/>
    </row>
    <row r="231" spans="1:37" s="58" customFormat="1" ht="20.149999999999999" customHeight="1" outlineLevel="1" thickBot="1" x14ac:dyDescent="0.3">
      <c r="A231" s="1096" t="s">
        <v>152</v>
      </c>
      <c r="B231" s="1098" t="s">
        <v>150</v>
      </c>
      <c r="C231" s="884" t="s">
        <v>151</v>
      </c>
      <c r="D231" s="885"/>
      <c r="E231" s="885"/>
      <c r="F231" s="885"/>
      <c r="G231" s="885"/>
      <c r="H231" s="885"/>
      <c r="I231" s="885"/>
      <c r="J231" s="885"/>
      <c r="K231" s="885"/>
      <c r="L231" s="885"/>
      <c r="M231" s="885"/>
      <c r="N231" s="885"/>
      <c r="O231" s="885"/>
      <c r="P231" s="885"/>
      <c r="Q231" s="885"/>
      <c r="R231" s="885"/>
      <c r="S231" s="885"/>
      <c r="T231" s="885"/>
      <c r="U231" s="885"/>
      <c r="V231" s="885"/>
      <c r="W231" s="885"/>
      <c r="X231" s="885"/>
      <c r="Y231" s="885"/>
      <c r="Z231" s="885"/>
      <c r="AA231" s="885"/>
      <c r="AB231" s="885"/>
      <c r="AC231" s="885"/>
      <c r="AD231" s="885"/>
      <c r="AE231" s="885"/>
      <c r="AF231" s="885"/>
      <c r="AG231" s="885"/>
      <c r="AH231" s="885"/>
      <c r="AI231" s="885"/>
      <c r="AJ231" s="885"/>
      <c r="AK231" s="886"/>
    </row>
    <row r="232" spans="1:37" s="58" customFormat="1" ht="20.149999999999999" customHeight="1" outlineLevel="1" thickBot="1" x14ac:dyDescent="0.3">
      <c r="A232" s="1097"/>
      <c r="B232" s="1099"/>
      <c r="C232" s="122">
        <v>1</v>
      </c>
      <c r="D232" s="122">
        <f>C232+1</f>
        <v>2</v>
      </c>
      <c r="E232" s="122">
        <f t="shared" ref="E232:AK232" si="83">D232+1</f>
        <v>3</v>
      </c>
      <c r="F232" s="122">
        <f t="shared" si="83"/>
        <v>4</v>
      </c>
      <c r="G232" s="122">
        <f t="shared" si="83"/>
        <v>5</v>
      </c>
      <c r="H232" s="122">
        <f t="shared" si="83"/>
        <v>6</v>
      </c>
      <c r="I232" s="122">
        <f t="shared" si="83"/>
        <v>7</v>
      </c>
      <c r="J232" s="122">
        <f t="shared" si="83"/>
        <v>8</v>
      </c>
      <c r="K232" s="122">
        <f t="shared" si="83"/>
        <v>9</v>
      </c>
      <c r="L232" s="122">
        <f t="shared" si="83"/>
        <v>10</v>
      </c>
      <c r="M232" s="122">
        <f t="shared" si="83"/>
        <v>11</v>
      </c>
      <c r="N232" s="122">
        <f t="shared" si="83"/>
        <v>12</v>
      </c>
      <c r="O232" s="122">
        <f t="shared" si="83"/>
        <v>13</v>
      </c>
      <c r="P232" s="122">
        <f t="shared" si="83"/>
        <v>14</v>
      </c>
      <c r="Q232" s="122">
        <f t="shared" si="83"/>
        <v>15</v>
      </c>
      <c r="R232" s="122">
        <f t="shared" si="83"/>
        <v>16</v>
      </c>
      <c r="S232" s="122">
        <f t="shared" si="83"/>
        <v>17</v>
      </c>
      <c r="T232" s="122">
        <f t="shared" si="83"/>
        <v>18</v>
      </c>
      <c r="U232" s="122">
        <f t="shared" si="83"/>
        <v>19</v>
      </c>
      <c r="V232" s="122">
        <f t="shared" si="83"/>
        <v>20</v>
      </c>
      <c r="W232" s="122">
        <f t="shared" si="83"/>
        <v>21</v>
      </c>
      <c r="X232" s="122">
        <f t="shared" si="83"/>
        <v>22</v>
      </c>
      <c r="Y232" s="122">
        <f t="shared" si="83"/>
        <v>23</v>
      </c>
      <c r="Z232" s="122">
        <f t="shared" si="83"/>
        <v>24</v>
      </c>
      <c r="AA232" s="122">
        <f t="shared" si="83"/>
        <v>25</v>
      </c>
      <c r="AB232" s="122">
        <f t="shared" si="83"/>
        <v>26</v>
      </c>
      <c r="AC232" s="122">
        <f t="shared" si="83"/>
        <v>27</v>
      </c>
      <c r="AD232" s="122">
        <f t="shared" si="83"/>
        <v>28</v>
      </c>
      <c r="AE232" s="122">
        <f t="shared" si="83"/>
        <v>29</v>
      </c>
      <c r="AF232" s="122">
        <f t="shared" si="83"/>
        <v>30</v>
      </c>
      <c r="AG232" s="122">
        <f t="shared" si="83"/>
        <v>31</v>
      </c>
      <c r="AH232" s="122">
        <f t="shared" si="83"/>
        <v>32</v>
      </c>
      <c r="AI232" s="122">
        <f t="shared" si="83"/>
        <v>33</v>
      </c>
      <c r="AJ232" s="122">
        <f t="shared" si="83"/>
        <v>34</v>
      </c>
      <c r="AK232" s="122">
        <f t="shared" si="83"/>
        <v>35</v>
      </c>
    </row>
    <row r="233" spans="1:37" ht="20.149999999999999" customHeight="1" outlineLevel="1" x14ac:dyDescent="0.25">
      <c r="A233" s="71">
        <v>1</v>
      </c>
      <c r="B233" s="76" t="s">
        <v>134</v>
      </c>
      <c r="AK233" s="838"/>
    </row>
    <row r="234" spans="1:37" ht="20.149999999999999" customHeight="1" outlineLevel="1" x14ac:dyDescent="0.25">
      <c r="A234" s="48" t="s">
        <v>74</v>
      </c>
      <c r="B234" s="78" t="s">
        <v>129</v>
      </c>
      <c r="C234" s="80"/>
      <c r="D234" s="80">
        <f>('Critérios de Implantação'!D$30*'Critérios de Implantação'!$C$18)*'Resumo-Cult.Temp.'!$C37</f>
        <v>0</v>
      </c>
      <c r="E234" s="80">
        <f>('Critérios de Implantação'!E$30*'Critérios de Implantação'!$C$18)*'Resumo-Cult.Temp.'!$C37</f>
        <v>0</v>
      </c>
      <c r="F234" s="80">
        <f>('Critérios de Implantação'!F$30*'Critérios de Implantação'!$C$18)*'Resumo-Cult.Temp.'!$C37</f>
        <v>203541.06408299584</v>
      </c>
      <c r="G234" s="80">
        <f>('Critérios de Implantação'!G$30*'Critérios de Implantação'!$C$18)*'Resumo-Cult.Temp.'!$C37</f>
        <v>203541.06408299584</v>
      </c>
      <c r="H234" s="80">
        <f>('Critérios de Implantação'!H$30*'Critérios de Implantação'!$C$18)*'Resumo-Cult.Temp.'!$C37</f>
        <v>244544.55572648766</v>
      </c>
      <c r="I234" s="80">
        <f>('Critérios de Implantação'!I$30*'Critérios de Implantação'!$C$18)*'Resumo-Cult.Temp.'!$C37</f>
        <v>472311.90537953348</v>
      </c>
      <c r="J234" s="80">
        <f>('Critérios de Implantação'!J$30*'Critérios de Implantação'!$C$18)*'Resumo-Cult.Temp.'!$C37</f>
        <v>443134.37700381997</v>
      </c>
      <c r="K234" s="80">
        <f>('Critérios de Implantação'!K$30*'Critérios de Implantação'!$C$18)*'Resumo-Cult.Temp.'!$C37</f>
        <v>455943.2488458759</v>
      </c>
      <c r="L234" s="80">
        <f>('Critérios de Implantação'!L$30*'Critérios de Implantação'!$C$18)*'Resumo-Cult.Temp.'!$C37</f>
        <v>371395.91268300684</v>
      </c>
      <c r="M234" s="80">
        <f>('Critérios de Implantação'!M$30*'Critérios de Implantação'!$C$18)*'Resumo-Cult.Temp.'!$C37</f>
        <v>263269.10306908697</v>
      </c>
      <c r="N234" s="80">
        <f>('Critérios de Implantação'!N$30*'Critérios de Implantação'!$C$18)*'Resumo-Cult.Temp.'!$C37</f>
        <v>132449.41188118196</v>
      </c>
      <c r="O234" s="80">
        <f>('Critérios de Implantação'!O$30*'Critérios de Implantação'!$C$18)*'Resumo-Cult.Temp.'!$C37</f>
        <v>0</v>
      </c>
      <c r="P234" s="80">
        <f>('Critérios de Implantação'!P$30*'Critérios de Implantação'!$C$18)*'Resumo-Cult.Temp.'!$C37</f>
        <v>0</v>
      </c>
      <c r="Q234" s="80">
        <f>('Critérios de Implantação'!Q$30*'Critérios de Implantação'!$C$18)*'Resumo-Cult.Temp.'!$C37</f>
        <v>0</v>
      </c>
      <c r="R234" s="80">
        <f>('Critérios de Implantação'!R$30*'Critérios de Implantação'!$C$18)*'Resumo-Cult.Temp.'!$C37</f>
        <v>0</v>
      </c>
      <c r="S234" s="80">
        <f>('Critérios de Implantação'!S$30*'Critérios de Implantação'!$C$18)*'Resumo-Cult.Temp.'!$C37</f>
        <v>0</v>
      </c>
      <c r="T234" s="80">
        <f>('Critérios de Implantação'!T$30*'Critérios de Implantação'!$C$18)*'Resumo-Cult.Temp.'!$C37</f>
        <v>0</v>
      </c>
      <c r="U234" s="80">
        <f>('Critérios de Implantação'!U$30*'Critérios de Implantação'!$C$18)*'Resumo-Cult.Temp.'!$C37</f>
        <v>0</v>
      </c>
      <c r="V234" s="80">
        <f>('Critérios de Implantação'!V$30*'Critérios de Implantação'!$C$18)*'Resumo-Cult.Temp.'!$C37</f>
        <v>0</v>
      </c>
      <c r="W234" s="80">
        <f>('Critérios de Implantação'!W$30*'Critérios de Implantação'!$C$18)*'Resumo-Cult.Temp.'!$C37</f>
        <v>0</v>
      </c>
      <c r="X234" s="80">
        <f>('Critérios de Implantação'!X$30*'Critérios de Implantação'!$C$18)*'Resumo-Cult.Temp.'!$C37</f>
        <v>0</v>
      </c>
      <c r="Y234" s="80">
        <f>('Critérios de Implantação'!Y$30*'Critérios de Implantação'!$C$18)*'Resumo-Cult.Temp.'!$C37</f>
        <v>0</v>
      </c>
      <c r="Z234" s="80">
        <f>('Critérios de Implantação'!Z$30*'Critérios de Implantação'!$C$18)*'Resumo-Cult.Temp.'!$C37</f>
        <v>0</v>
      </c>
      <c r="AA234" s="80">
        <f>('Critérios de Implantação'!AA$30*'Critérios de Implantação'!$C$18)*'Resumo-Cult.Temp.'!$C37</f>
        <v>0</v>
      </c>
      <c r="AB234" s="80">
        <f>('Critérios de Implantação'!AB$30*'Critérios de Implantação'!$C$18)*'Resumo-Cult.Temp.'!$C37</f>
        <v>0</v>
      </c>
      <c r="AC234" s="80">
        <f>('Critérios de Implantação'!AC$30*'Critérios de Implantação'!$C$18)*'Resumo-Cult.Temp.'!$C37</f>
        <v>0</v>
      </c>
      <c r="AD234" s="80">
        <f>('Critérios de Implantação'!AD$30*'Critérios de Implantação'!$C$18)*'Resumo-Cult.Temp.'!$C37</f>
        <v>0</v>
      </c>
      <c r="AE234" s="80">
        <f>('Critérios de Implantação'!AE$30*'Critérios de Implantação'!$C$18)*'Resumo-Cult.Temp.'!$C37</f>
        <v>0</v>
      </c>
      <c r="AF234" s="80">
        <f>('Critérios de Implantação'!AF$30*'Critérios de Implantação'!$C$18)*'Resumo-Cult.Temp.'!$C37</f>
        <v>0</v>
      </c>
      <c r="AG234" s="80">
        <f>('Critérios de Implantação'!AG$30*'Critérios de Implantação'!$C$18)*'Resumo-Cult.Temp.'!$C37</f>
        <v>0</v>
      </c>
      <c r="AH234" s="80">
        <f>('Critérios de Implantação'!AH$30*'Critérios de Implantação'!$C$18)*'Resumo-Cult.Temp.'!$C37</f>
        <v>0</v>
      </c>
      <c r="AI234" s="80">
        <f>('Critérios de Implantação'!AI$30*'Critérios de Implantação'!$C$18)*'Resumo-Cult.Temp.'!$C37</f>
        <v>0</v>
      </c>
      <c r="AJ234" s="80">
        <f>('Critérios de Implantação'!AJ$30*'Critérios de Implantação'!$C$18)*'Resumo-Cult.Temp.'!$C37</f>
        <v>0</v>
      </c>
      <c r="AK234" s="81">
        <f>('Critérios de Implantação'!AK$30*'Critérios de Implantação'!$C$18)*'Resumo-Cult.Temp.'!$C37</f>
        <v>0</v>
      </c>
    </row>
    <row r="235" spans="1:37" ht="20.149999999999999" customHeight="1" outlineLevel="1" x14ac:dyDescent="0.25">
      <c r="A235" s="48" t="s">
        <v>75</v>
      </c>
      <c r="B235" s="82" t="s">
        <v>335</v>
      </c>
      <c r="C235" s="80"/>
      <c r="D235" s="80">
        <f>('Critérios de Implantação'!D$30*'Critérios de Implantação'!$C$18)*'Resumo-Cult.Temp.'!$C38</f>
        <v>0</v>
      </c>
      <c r="E235" s="80">
        <f>('Critérios de Implantação'!E$30*'Critérios de Implantação'!$C$18)*'Resumo-Cult.Temp.'!$C38</f>
        <v>0</v>
      </c>
      <c r="F235" s="80">
        <f>('Critérios de Implantação'!F$30*'Critérios de Implantação'!$C$18)*'Resumo-Cult.Temp.'!$C38</f>
        <v>0</v>
      </c>
      <c r="G235" s="80">
        <f>('Critérios de Implantação'!G$30*'Critérios de Implantação'!$C$18)*'Resumo-Cult.Temp.'!$C38</f>
        <v>0</v>
      </c>
      <c r="H235" s="80">
        <f>('Critérios de Implantação'!H$30*'Critérios de Implantação'!$C$18)*'Resumo-Cult.Temp.'!$C38</f>
        <v>0</v>
      </c>
      <c r="I235" s="80">
        <f>('Critérios de Implantação'!I$30*'Critérios de Implantação'!$C$18)*'Resumo-Cult.Temp.'!$C38</f>
        <v>0</v>
      </c>
      <c r="J235" s="80">
        <f>('Critérios de Implantação'!J$30*'Critérios de Implantação'!$C$18)*'Resumo-Cult.Temp.'!$C38</f>
        <v>0</v>
      </c>
      <c r="K235" s="80">
        <f>('Critérios de Implantação'!K$30*'Critérios de Implantação'!$C$18)*'Resumo-Cult.Temp.'!$C38</f>
        <v>0</v>
      </c>
      <c r="L235" s="80">
        <f>('Critérios de Implantação'!L$30*'Critérios de Implantação'!$C$18)*'Resumo-Cult.Temp.'!$C38</f>
        <v>0</v>
      </c>
      <c r="M235" s="80">
        <f>('Critérios de Implantação'!M$30*'Critérios de Implantação'!$C$18)*'Resumo-Cult.Temp.'!$C38</f>
        <v>0</v>
      </c>
      <c r="N235" s="80">
        <f>('Critérios de Implantação'!N$30*'Critérios de Implantação'!$C$18)*'Resumo-Cult.Temp.'!$C38</f>
        <v>0</v>
      </c>
      <c r="O235" s="80">
        <f>('Critérios de Implantação'!O$30*'Critérios de Implantação'!$C$18)*'Resumo-Cult.Temp.'!$C38</f>
        <v>0</v>
      </c>
      <c r="P235" s="80">
        <f>('Critérios de Implantação'!P$30*'Critérios de Implantação'!$C$18)*'Resumo-Cult.Temp.'!$C38</f>
        <v>0</v>
      </c>
      <c r="Q235" s="80">
        <f>('Critérios de Implantação'!Q$30*'Critérios de Implantação'!$C$18)*'Resumo-Cult.Temp.'!$C38</f>
        <v>0</v>
      </c>
      <c r="R235" s="80">
        <f>('Critérios de Implantação'!R$30*'Critérios de Implantação'!$C$18)*'Resumo-Cult.Temp.'!$C38</f>
        <v>0</v>
      </c>
      <c r="S235" s="80">
        <f>('Critérios de Implantação'!S$30*'Critérios de Implantação'!$C$18)*'Resumo-Cult.Temp.'!$C38</f>
        <v>0</v>
      </c>
      <c r="T235" s="80">
        <f>('Critérios de Implantação'!T$30*'Critérios de Implantação'!$C$18)*'Resumo-Cult.Temp.'!$C38</f>
        <v>0</v>
      </c>
      <c r="U235" s="80">
        <f>('Critérios de Implantação'!U$30*'Critérios de Implantação'!$C$18)*'Resumo-Cult.Temp.'!$C38</f>
        <v>0</v>
      </c>
      <c r="V235" s="80">
        <f>('Critérios de Implantação'!V$30*'Critérios de Implantação'!$C$18)*'Resumo-Cult.Temp.'!$C38</f>
        <v>0</v>
      </c>
      <c r="W235" s="80">
        <f>('Critérios de Implantação'!W$30*'Critérios de Implantação'!$C$18)*'Resumo-Cult.Temp.'!$C38</f>
        <v>0</v>
      </c>
      <c r="X235" s="80">
        <f>('Critérios de Implantação'!X$30*'Critérios de Implantação'!$C$18)*'Resumo-Cult.Temp.'!$C38</f>
        <v>0</v>
      </c>
      <c r="Y235" s="80">
        <f>('Critérios de Implantação'!Y$30*'Critérios de Implantação'!$C$18)*'Resumo-Cult.Temp.'!$C38</f>
        <v>0</v>
      </c>
      <c r="Z235" s="80">
        <f>('Critérios de Implantação'!Z$30*'Critérios de Implantação'!$C$18)*'Resumo-Cult.Temp.'!$C38</f>
        <v>0</v>
      </c>
      <c r="AA235" s="80">
        <f>('Critérios de Implantação'!AA$30*'Critérios de Implantação'!$C$18)*'Resumo-Cult.Temp.'!$C38</f>
        <v>0</v>
      </c>
      <c r="AB235" s="80">
        <f>('Critérios de Implantação'!AB$30*'Critérios de Implantação'!$C$18)*'Resumo-Cult.Temp.'!$C38</f>
        <v>0</v>
      </c>
      <c r="AC235" s="80">
        <f>('Critérios de Implantação'!AC$30*'Critérios de Implantação'!$C$18)*'Resumo-Cult.Temp.'!$C38</f>
        <v>0</v>
      </c>
      <c r="AD235" s="80">
        <f>('Critérios de Implantação'!AD$30*'Critérios de Implantação'!$C$18)*'Resumo-Cult.Temp.'!$C38</f>
        <v>0</v>
      </c>
      <c r="AE235" s="80">
        <f>('Critérios de Implantação'!AE$30*'Critérios de Implantação'!$C$18)*'Resumo-Cult.Temp.'!$C38</f>
        <v>0</v>
      </c>
      <c r="AF235" s="80">
        <f>('Critérios de Implantação'!AF$30*'Critérios de Implantação'!$C$18)*'Resumo-Cult.Temp.'!$C38</f>
        <v>0</v>
      </c>
      <c r="AG235" s="80">
        <f>('Critérios de Implantação'!AG$30*'Critérios de Implantação'!$C$18)*'Resumo-Cult.Temp.'!$C38</f>
        <v>0</v>
      </c>
      <c r="AH235" s="80">
        <f>('Critérios de Implantação'!AH$30*'Critérios de Implantação'!$C$18)*'Resumo-Cult.Temp.'!$C38</f>
        <v>0</v>
      </c>
      <c r="AI235" s="80">
        <f>('Critérios de Implantação'!AI$30*'Critérios de Implantação'!$C$18)*'Resumo-Cult.Temp.'!$C38</f>
        <v>0</v>
      </c>
      <c r="AJ235" s="80">
        <f>('Critérios de Implantação'!AJ$30*'Critérios de Implantação'!$C$18)*'Resumo-Cult.Temp.'!$C38</f>
        <v>0</v>
      </c>
      <c r="AK235" s="81">
        <f>('Critérios de Implantação'!AK$30*'Critérios de Implantação'!$C$18)*'Resumo-Cult.Temp.'!$C38</f>
        <v>0</v>
      </c>
    </row>
    <row r="236" spans="1:37" ht="20.149999999999999" customHeight="1" outlineLevel="1" x14ac:dyDescent="0.25">
      <c r="A236" s="48" t="s">
        <v>76</v>
      </c>
      <c r="B236" s="82" t="s">
        <v>336</v>
      </c>
      <c r="C236" s="80"/>
      <c r="D236" s="80">
        <f>('Critérios de Implantação'!D$30*'Critérios de Implantação'!$C$18)*'Resumo-Cult.Temp.'!$C39</f>
        <v>0</v>
      </c>
      <c r="E236" s="80">
        <f>('Critérios de Implantação'!E$30*'Critérios de Implantação'!$C$18)*'Resumo-Cult.Temp.'!$C39</f>
        <v>0</v>
      </c>
      <c r="F236" s="80">
        <f>('Critérios de Implantação'!F$30*'Critérios de Implantação'!$C$18)*'Resumo-Cult.Temp.'!$C39</f>
        <v>2910710.6634474872</v>
      </c>
      <c r="G236" s="80">
        <f>('Critérios de Implantação'!G$30*'Critérios de Implantação'!$C$18)*'Resumo-Cult.Temp.'!$C39</f>
        <v>2910710.6634474872</v>
      </c>
      <c r="H236" s="80">
        <f>('Critérios de Implantação'!H$30*'Critérios de Implantação'!$C$18)*'Resumo-Cult.Temp.'!$C39</f>
        <v>3497075.3899118509</v>
      </c>
      <c r="I236" s="80">
        <f>('Critérios de Implantação'!I$30*'Critérios de Implantação'!$C$18)*'Resumo-Cult.Temp.'!$C39</f>
        <v>6754230.6789790364</v>
      </c>
      <c r="J236" s="80">
        <f>('Critérios de Implantação'!J$30*'Critérios de Implantação'!$C$18)*'Resumo-Cult.Temp.'!$C39</f>
        <v>6336981.4946001973</v>
      </c>
      <c r="K236" s="80">
        <f>('Critérios de Implantação'!K$30*'Critérios de Implantação'!$C$18)*'Resumo-Cult.Temp.'!$C39</f>
        <v>6520152.9839769164</v>
      </c>
      <c r="L236" s="80">
        <f>('Critérios de Implantação'!L$30*'Critérios de Implantação'!$C$18)*'Resumo-Cult.Temp.'!$C39</f>
        <v>5311095.56824583</v>
      </c>
      <c r="M236" s="80">
        <f>('Critérios de Implantação'!M$30*'Critérios de Implantação'!$C$18)*'Resumo-Cult.Temp.'!$C39</f>
        <v>3764843.1735965605</v>
      </c>
      <c r="N236" s="80">
        <f>('Critérios de Implantação'!N$30*'Critérios de Implantação'!$C$18)*'Resumo-Cult.Temp.'!$C39</f>
        <v>1894074.3837946346</v>
      </c>
      <c r="O236" s="80">
        <f>('Critérios de Implantação'!O$30*'Critérios de Implantação'!$C$18)*'Resumo-Cult.Temp.'!$C39</f>
        <v>0</v>
      </c>
      <c r="P236" s="80">
        <f>('Critérios de Implantação'!P$30*'Critérios de Implantação'!$C$18)*'Resumo-Cult.Temp.'!$C39</f>
        <v>0</v>
      </c>
      <c r="Q236" s="80">
        <f>('Critérios de Implantação'!Q$30*'Critérios de Implantação'!$C$18)*'Resumo-Cult.Temp.'!$C39</f>
        <v>0</v>
      </c>
      <c r="R236" s="80">
        <f>('Critérios de Implantação'!R$30*'Critérios de Implantação'!$C$18)*'Resumo-Cult.Temp.'!$C39</f>
        <v>0</v>
      </c>
      <c r="S236" s="80">
        <f>('Critérios de Implantação'!S$30*'Critérios de Implantação'!$C$18)*'Resumo-Cult.Temp.'!$C39</f>
        <v>0</v>
      </c>
      <c r="T236" s="80">
        <f>('Critérios de Implantação'!T$30*'Critérios de Implantação'!$C$18)*'Resumo-Cult.Temp.'!$C39</f>
        <v>0</v>
      </c>
      <c r="U236" s="80">
        <f>('Critérios de Implantação'!U$30*'Critérios de Implantação'!$C$18)*'Resumo-Cult.Temp.'!$C39</f>
        <v>0</v>
      </c>
      <c r="V236" s="80">
        <f>('Critérios de Implantação'!V$30*'Critérios de Implantação'!$C$18)*'Resumo-Cult.Temp.'!$C39</f>
        <v>0</v>
      </c>
      <c r="W236" s="80">
        <f>('Critérios de Implantação'!W$30*'Critérios de Implantação'!$C$18)*'Resumo-Cult.Temp.'!$C39</f>
        <v>0</v>
      </c>
      <c r="X236" s="80">
        <f>('Critérios de Implantação'!X$30*'Critérios de Implantação'!$C$18)*'Resumo-Cult.Temp.'!$C39</f>
        <v>0</v>
      </c>
      <c r="Y236" s="80">
        <f>('Critérios de Implantação'!Y$30*'Critérios de Implantação'!$C$18)*'Resumo-Cult.Temp.'!$C39</f>
        <v>0</v>
      </c>
      <c r="Z236" s="80">
        <f>('Critérios de Implantação'!Z$30*'Critérios de Implantação'!$C$18)*'Resumo-Cult.Temp.'!$C39</f>
        <v>0</v>
      </c>
      <c r="AA236" s="80">
        <f>('Critérios de Implantação'!AA$30*'Critérios de Implantação'!$C$18)*'Resumo-Cult.Temp.'!$C39</f>
        <v>0</v>
      </c>
      <c r="AB236" s="80">
        <f>('Critérios de Implantação'!AB$30*'Critérios de Implantação'!$C$18)*'Resumo-Cult.Temp.'!$C39</f>
        <v>0</v>
      </c>
      <c r="AC236" s="80">
        <f>('Critérios de Implantação'!AC$30*'Critérios de Implantação'!$C$18)*'Resumo-Cult.Temp.'!$C39</f>
        <v>0</v>
      </c>
      <c r="AD236" s="80">
        <f>('Critérios de Implantação'!AD$30*'Critérios de Implantação'!$C$18)*'Resumo-Cult.Temp.'!$C39</f>
        <v>0</v>
      </c>
      <c r="AE236" s="80">
        <f>('Critérios de Implantação'!AE$30*'Critérios de Implantação'!$C$18)*'Resumo-Cult.Temp.'!$C39</f>
        <v>0</v>
      </c>
      <c r="AF236" s="80">
        <f>('Critérios de Implantação'!AF$30*'Critérios de Implantação'!$C$18)*'Resumo-Cult.Temp.'!$C39</f>
        <v>0</v>
      </c>
      <c r="AG236" s="80">
        <f>('Critérios de Implantação'!AG$30*'Critérios de Implantação'!$C$18)*'Resumo-Cult.Temp.'!$C39</f>
        <v>0</v>
      </c>
      <c r="AH236" s="80">
        <f>('Critérios de Implantação'!AH$30*'Critérios de Implantação'!$C$18)*'Resumo-Cult.Temp.'!$C39</f>
        <v>0</v>
      </c>
      <c r="AI236" s="80">
        <f>('Critérios de Implantação'!AI$30*'Critérios de Implantação'!$C$18)*'Resumo-Cult.Temp.'!$C39</f>
        <v>0</v>
      </c>
      <c r="AJ236" s="80">
        <f>('Critérios de Implantação'!AJ$30*'Critérios de Implantação'!$C$18)*'Resumo-Cult.Temp.'!$C39</f>
        <v>0</v>
      </c>
      <c r="AK236" s="81">
        <f>('Critérios de Implantação'!AK$30*'Critérios de Implantação'!$C$18)*'Resumo-Cult.Temp.'!$C39</f>
        <v>0</v>
      </c>
    </row>
    <row r="237" spans="1:37" ht="20.149999999999999" customHeight="1" outlineLevel="1" x14ac:dyDescent="0.25">
      <c r="A237" s="48" t="s">
        <v>126</v>
      </c>
      <c r="B237" s="82" t="s">
        <v>130</v>
      </c>
      <c r="C237" s="80"/>
      <c r="D237" s="80">
        <f>('Critérios de Implantação'!D$30*'Critérios de Implantação'!$C$18)*'Resumo-Cult.Temp.'!$C40</f>
        <v>0</v>
      </c>
      <c r="E237" s="80">
        <f>('Critérios de Implantação'!E$30*'Critérios de Implantação'!$C$18)*'Resumo-Cult.Temp.'!$C40</f>
        <v>0</v>
      </c>
      <c r="F237" s="80">
        <f>('Critérios de Implantação'!F$30*'Critérios de Implantação'!$C$18)*'Resumo-Cult.Temp.'!$C40</f>
        <v>503080.93764180213</v>
      </c>
      <c r="G237" s="80">
        <f>('Critérios de Implantação'!G$30*'Critérios de Implantação'!$C$18)*'Resumo-Cult.Temp.'!$C40</f>
        <v>503080.93764180213</v>
      </c>
      <c r="H237" s="80">
        <f>('Critérios de Implantação'!H$30*'Critérios de Implantação'!$C$18)*'Resumo-Cult.Temp.'!$C40</f>
        <v>604426.9491482781</v>
      </c>
      <c r="I237" s="80">
        <f>('Critérios de Implantação'!I$30*'Critérios de Implantação'!$C$18)*'Resumo-Cult.Temp.'!$C40</f>
        <v>1167386.6268127281</v>
      </c>
      <c r="J237" s="80">
        <f>('Critérios de Implantação'!J$30*'Critérios de Implantação'!$C$18)*'Resumo-Cult.Temp.'!$C40</f>
        <v>1095270.1799450882</v>
      </c>
      <c r="K237" s="80">
        <f>('Critérios de Implantação'!K$30*'Critérios de Implantação'!$C$18)*'Resumo-Cult.Temp.'!$C40</f>
        <v>1126929.1441224967</v>
      </c>
      <c r="L237" s="80">
        <f>('Critérios de Implantação'!L$30*'Critérios de Implantação'!$C$18)*'Resumo-Cult.Temp.'!$C40</f>
        <v>917958.27456573199</v>
      </c>
      <c r="M237" s="80">
        <f>('Critérios de Implantação'!M$30*'Critérios de Implantação'!$C$18)*'Resumo-Cult.Temp.'!$C40</f>
        <v>650707.35392297304</v>
      </c>
      <c r="N237" s="80">
        <f>('Critérios de Implantação'!N$30*'Critérios de Implantação'!$C$18)*'Resumo-Cult.Temp.'!$C40</f>
        <v>327367.72119909967</v>
      </c>
      <c r="O237" s="80">
        <f>('Critérios de Implantação'!O$30*'Critérios de Implantação'!$C$18)*'Resumo-Cult.Temp.'!$C40</f>
        <v>0</v>
      </c>
      <c r="P237" s="80">
        <f>('Critérios de Implantação'!P$30*'Critérios de Implantação'!$C$18)*'Resumo-Cult.Temp.'!$C40</f>
        <v>0</v>
      </c>
      <c r="Q237" s="80">
        <f>('Critérios de Implantação'!Q$30*'Critérios de Implantação'!$C$18)*'Resumo-Cult.Temp.'!$C40</f>
        <v>0</v>
      </c>
      <c r="R237" s="80">
        <f>('Critérios de Implantação'!R$30*'Critérios de Implantação'!$C$18)*'Resumo-Cult.Temp.'!$C40</f>
        <v>0</v>
      </c>
      <c r="S237" s="80">
        <f>('Critérios de Implantação'!S$30*'Critérios de Implantação'!$C$18)*'Resumo-Cult.Temp.'!$C40</f>
        <v>0</v>
      </c>
      <c r="T237" s="80">
        <f>('Critérios de Implantação'!T$30*'Critérios de Implantação'!$C$18)*'Resumo-Cult.Temp.'!$C40</f>
        <v>0</v>
      </c>
      <c r="U237" s="80">
        <f>('Critérios de Implantação'!U$30*'Critérios de Implantação'!$C$18)*'Resumo-Cult.Temp.'!$C40</f>
        <v>0</v>
      </c>
      <c r="V237" s="80">
        <f>('Critérios de Implantação'!V$30*'Critérios de Implantação'!$C$18)*'Resumo-Cult.Temp.'!$C40</f>
        <v>0</v>
      </c>
      <c r="W237" s="80">
        <f>('Critérios de Implantação'!W$30*'Critérios de Implantação'!$C$18)*'Resumo-Cult.Temp.'!$C40</f>
        <v>0</v>
      </c>
      <c r="X237" s="80">
        <f>('Critérios de Implantação'!X$30*'Critérios de Implantação'!$C$18)*'Resumo-Cult.Temp.'!$C40</f>
        <v>0</v>
      </c>
      <c r="Y237" s="80">
        <f>('Critérios de Implantação'!Y$30*'Critérios de Implantação'!$C$18)*'Resumo-Cult.Temp.'!$C40</f>
        <v>0</v>
      </c>
      <c r="Z237" s="80">
        <f>('Critérios de Implantação'!Z$30*'Critérios de Implantação'!$C$18)*'Resumo-Cult.Temp.'!$C40</f>
        <v>0</v>
      </c>
      <c r="AA237" s="80">
        <f>('Critérios de Implantação'!AA$30*'Critérios de Implantação'!$C$18)*'Resumo-Cult.Temp.'!$C40</f>
        <v>0</v>
      </c>
      <c r="AB237" s="80">
        <f>('Critérios de Implantação'!AB$30*'Critérios de Implantação'!$C$18)*'Resumo-Cult.Temp.'!$C40</f>
        <v>0</v>
      </c>
      <c r="AC237" s="80">
        <f>('Critérios de Implantação'!AC$30*'Critérios de Implantação'!$C$18)*'Resumo-Cult.Temp.'!$C40</f>
        <v>0</v>
      </c>
      <c r="AD237" s="80">
        <f>('Critérios de Implantação'!AD$30*'Critérios de Implantação'!$C$18)*'Resumo-Cult.Temp.'!$C40</f>
        <v>0</v>
      </c>
      <c r="AE237" s="80">
        <f>('Critérios de Implantação'!AE$30*'Critérios de Implantação'!$C$18)*'Resumo-Cult.Temp.'!$C40</f>
        <v>0</v>
      </c>
      <c r="AF237" s="80">
        <f>('Critérios de Implantação'!AF$30*'Critérios de Implantação'!$C$18)*'Resumo-Cult.Temp.'!$C40</f>
        <v>0</v>
      </c>
      <c r="AG237" s="80">
        <f>('Critérios de Implantação'!AG$30*'Critérios de Implantação'!$C$18)*'Resumo-Cult.Temp.'!$C40</f>
        <v>0</v>
      </c>
      <c r="AH237" s="80">
        <f>('Critérios de Implantação'!AH$30*'Critérios de Implantação'!$C$18)*'Resumo-Cult.Temp.'!$C40</f>
        <v>0</v>
      </c>
      <c r="AI237" s="80">
        <f>('Critérios de Implantação'!AI$30*'Critérios de Implantação'!$C$18)*'Resumo-Cult.Temp.'!$C40</f>
        <v>0</v>
      </c>
      <c r="AJ237" s="80">
        <f>('Critérios de Implantação'!AJ$30*'Critérios de Implantação'!$C$18)*'Resumo-Cult.Temp.'!$C40</f>
        <v>0</v>
      </c>
      <c r="AK237" s="81">
        <f>('Critérios de Implantação'!AK$30*'Critérios de Implantação'!$C$18)*'Resumo-Cult.Temp.'!$C40</f>
        <v>0</v>
      </c>
    </row>
    <row r="238" spans="1:37" ht="20.149999999999999" customHeight="1" outlineLevel="1" x14ac:dyDescent="0.25">
      <c r="A238" s="48"/>
      <c r="B238" s="83" t="s">
        <v>228</v>
      </c>
      <c r="C238" s="93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1"/>
    </row>
    <row r="239" spans="1:37" ht="20.149999999999999" customHeight="1" outlineLevel="1" x14ac:dyDescent="0.25">
      <c r="A239" s="85" t="s">
        <v>135</v>
      </c>
      <c r="B239" s="82" t="s">
        <v>142</v>
      </c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1"/>
    </row>
    <row r="240" spans="1:37" ht="20.149999999999999" customHeight="1" outlineLevel="1" x14ac:dyDescent="0.25">
      <c r="A240" s="85" t="s">
        <v>157</v>
      </c>
      <c r="B240" s="34" t="s">
        <v>146</v>
      </c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1"/>
    </row>
    <row r="241" spans="1:37" ht="20.149999999999999" customHeight="1" outlineLevel="1" x14ac:dyDescent="0.25">
      <c r="A241" s="85" t="s">
        <v>158</v>
      </c>
      <c r="B241" s="82" t="s">
        <v>143</v>
      </c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1"/>
    </row>
    <row r="242" spans="1:37" ht="20.149999999999999" customHeight="1" outlineLevel="1" x14ac:dyDescent="0.25">
      <c r="A242" s="85" t="s">
        <v>159</v>
      </c>
      <c r="B242" s="34" t="s">
        <v>141</v>
      </c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1"/>
    </row>
    <row r="243" spans="1:37" s="15" customFormat="1" ht="20.149999999999999" customHeight="1" outlineLevel="1" thickBot="1" x14ac:dyDescent="0.3">
      <c r="A243" s="86"/>
      <c r="B243" s="87" t="s">
        <v>148</v>
      </c>
      <c r="C243" s="88"/>
      <c r="D243" s="88">
        <f t="shared" ref="D243:AK243" si="84">SUM(D234:D242)</f>
        <v>0</v>
      </c>
      <c r="E243" s="88">
        <f t="shared" si="84"/>
        <v>0</v>
      </c>
      <c r="F243" s="88">
        <f t="shared" si="84"/>
        <v>3617332.6651722854</v>
      </c>
      <c r="G243" s="88">
        <f t="shared" si="84"/>
        <v>3617332.6651722854</v>
      </c>
      <c r="H243" s="88">
        <f t="shared" si="84"/>
        <v>4346046.8947866168</v>
      </c>
      <c r="I243" s="88">
        <f t="shared" si="84"/>
        <v>8393929.2111712992</v>
      </c>
      <c r="J243" s="88">
        <f t="shared" si="84"/>
        <v>7875386.051549105</v>
      </c>
      <c r="K243" s="88">
        <f t="shared" si="84"/>
        <v>8103025.3769452889</v>
      </c>
      <c r="L243" s="88">
        <f t="shared" si="84"/>
        <v>6600449.7554945685</v>
      </c>
      <c r="M243" s="88">
        <f t="shared" si="84"/>
        <v>4678819.6305886209</v>
      </c>
      <c r="N243" s="88">
        <f t="shared" si="84"/>
        <v>2353891.5168749159</v>
      </c>
      <c r="O243" s="88">
        <f t="shared" si="84"/>
        <v>0</v>
      </c>
      <c r="P243" s="88">
        <f t="shared" si="84"/>
        <v>0</v>
      </c>
      <c r="Q243" s="88">
        <f t="shared" si="84"/>
        <v>0</v>
      </c>
      <c r="R243" s="88">
        <f t="shared" si="84"/>
        <v>0</v>
      </c>
      <c r="S243" s="88">
        <f t="shared" si="84"/>
        <v>0</v>
      </c>
      <c r="T243" s="88">
        <f t="shared" si="84"/>
        <v>0</v>
      </c>
      <c r="U243" s="88">
        <f t="shared" si="84"/>
        <v>0</v>
      </c>
      <c r="V243" s="88">
        <f t="shared" si="84"/>
        <v>0</v>
      </c>
      <c r="W243" s="88">
        <f t="shared" si="84"/>
        <v>0</v>
      </c>
      <c r="X243" s="88">
        <f t="shared" si="84"/>
        <v>0</v>
      </c>
      <c r="Y243" s="88">
        <f t="shared" si="84"/>
        <v>0</v>
      </c>
      <c r="Z243" s="88">
        <f t="shared" si="84"/>
        <v>0</v>
      </c>
      <c r="AA243" s="88">
        <f t="shared" si="84"/>
        <v>0</v>
      </c>
      <c r="AB243" s="88">
        <f t="shared" si="84"/>
        <v>0</v>
      </c>
      <c r="AC243" s="88">
        <f t="shared" si="84"/>
        <v>0</v>
      </c>
      <c r="AD243" s="88">
        <f t="shared" si="84"/>
        <v>0</v>
      </c>
      <c r="AE243" s="88">
        <f t="shared" si="84"/>
        <v>0</v>
      </c>
      <c r="AF243" s="88">
        <f t="shared" si="84"/>
        <v>0</v>
      </c>
      <c r="AG243" s="88">
        <f t="shared" si="84"/>
        <v>0</v>
      </c>
      <c r="AH243" s="88">
        <f t="shared" si="84"/>
        <v>0</v>
      </c>
      <c r="AI243" s="88">
        <f t="shared" si="84"/>
        <v>0</v>
      </c>
      <c r="AJ243" s="88">
        <f t="shared" si="84"/>
        <v>0</v>
      </c>
      <c r="AK243" s="89">
        <f t="shared" si="84"/>
        <v>0</v>
      </c>
    </row>
    <row r="244" spans="1:37" ht="20.149999999999999" customHeight="1" outlineLevel="1" thickBot="1" x14ac:dyDescent="0.3">
      <c r="A244" s="14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</row>
    <row r="245" spans="1:37" ht="20.149999999999999" customHeight="1" outlineLevel="1" x14ac:dyDescent="0.25">
      <c r="A245" s="71">
        <v>2</v>
      </c>
      <c r="B245" s="76" t="s">
        <v>136</v>
      </c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2"/>
    </row>
    <row r="246" spans="1:37" ht="20.149999999999999" customHeight="1" outlineLevel="1" x14ac:dyDescent="0.25">
      <c r="A246" s="48" t="s">
        <v>137</v>
      </c>
      <c r="B246" s="82" t="s">
        <v>142</v>
      </c>
      <c r="C246" s="93"/>
      <c r="D246" s="93">
        <f>'Resumo-Cult.Temp.'!C44*('Critérios de Implantação'!D$97+'Critérios de Implantação'!D$98+'Critérios de Implantação'!D$99)</f>
        <v>0</v>
      </c>
      <c r="E246" s="93">
        <f>'Resumo-Cult.Temp.'!D44*('Critérios de Implantação'!E$97+'Critérios de Implantação'!E$98+'Critérios de Implantação'!E$99)</f>
        <v>0</v>
      </c>
      <c r="F246" s="93">
        <f>'Resumo-Cult.Temp.'!E44*('Critérios de Implantação'!F$97+'Critérios de Implantação'!F$98+'Critérios de Implantação'!F$99)</f>
        <v>1128883.7302830119</v>
      </c>
      <c r="G246" s="93">
        <f>'Resumo-Cult.Temp.'!F44*('Critérios de Implantação'!G$97+'Critérios de Implantação'!G$98+'Critérios de Implantação'!G$99)</f>
        <v>2257767.4605660238</v>
      </c>
      <c r="H246" s="93">
        <f>'Resumo-Cult.Temp.'!G44*('Critérios de Implantação'!H$97+'Critérios de Implantação'!H$98+'Critérios de Implantação'!H$99)</f>
        <v>3614065.6185453497</v>
      </c>
      <c r="I246" s="93">
        <f>'Resumo-Cult.Temp.'!H44*('Critérios de Implantação'!I$97+'Critérios de Implantação'!I$98+'Critérios de Implantação'!I$99)</f>
        <v>6233611.8413385702</v>
      </c>
      <c r="J246" s="93">
        <f>'Resumo-Cult.Temp.'!I44*('Critérios de Implantação'!J$97+'Critérios de Implantação'!J$98+'Critérios de Implantação'!J$99)</f>
        <v>8691333.0426227022</v>
      </c>
      <c r="K246" s="93">
        <f>'Resumo-Cult.Temp.'!J44*('Critérios de Implantação'!K$97+'Critérios de Implantação'!K$98+'Critérios de Implantação'!K$99)</f>
        <v>11220095.078300236</v>
      </c>
      <c r="L246" s="93">
        <f>'Resumo-Cult.Temp.'!K44*('Critérios de Implantação'!L$97+'Critérios de Implantação'!L$98+'Critérios de Implantação'!L$99)</f>
        <v>13279938.90003882</v>
      </c>
      <c r="M246" s="93">
        <f>'Resumo-Cult.Temp.'!L44*('Critérios de Implantação'!M$97+'Critérios de Implantação'!M$98+'Critérios de Implantação'!M$99)</f>
        <v>14740087.536285054</v>
      </c>
      <c r="N246" s="93">
        <f>'Resumo-Cult.Temp.'!M44*('Critérios de Implantação'!N$97+'Critérios de Implantação'!N$98+'Critérios de Implantação'!N$99)</f>
        <v>15474681.25</v>
      </c>
      <c r="O246" s="93">
        <f>'Resumo-Cult.Temp.'!N44*('Critérios de Implantação'!O$97+'Critérios de Implantação'!O$98+'Critérios de Implantação'!O$99)</f>
        <v>15474681.25</v>
      </c>
      <c r="P246" s="93">
        <f>'Resumo-Cult.Temp.'!O44*('Critérios de Implantação'!P$97+'Critérios de Implantação'!P$98+'Critérios de Implantação'!P$99)</f>
        <v>15474681.25</v>
      </c>
      <c r="Q246" s="93">
        <f>'Resumo-Cult.Temp.'!P44*('Critérios de Implantação'!Q$97+'Critérios de Implantação'!Q$98+'Critérios de Implantação'!Q$99)</f>
        <v>15474681.25</v>
      </c>
      <c r="R246" s="93">
        <f>'Resumo-Cult.Temp.'!Q44*('Critérios de Implantação'!R$97+'Critérios de Implantação'!R$98+'Critérios de Implantação'!R$99)</f>
        <v>15474681.25</v>
      </c>
      <c r="S246" s="93">
        <f>'Resumo-Cult.Temp.'!R44*('Critérios de Implantação'!S$97+'Critérios de Implantação'!S$98+'Critérios de Implantação'!S$99)</f>
        <v>15474681.25</v>
      </c>
      <c r="T246" s="93">
        <f>'Resumo-Cult.Temp.'!S44*('Critérios de Implantação'!T$97+'Critérios de Implantação'!T$98+'Critérios de Implantação'!T$99)</f>
        <v>15474681.25</v>
      </c>
      <c r="U246" s="93">
        <f>'Resumo-Cult.Temp.'!T44*('Critérios de Implantação'!U$97+'Critérios de Implantação'!U$98+'Critérios de Implantação'!U$99)</f>
        <v>15474681.25</v>
      </c>
      <c r="V246" s="93">
        <f>'Resumo-Cult.Temp.'!U44*('Critérios de Implantação'!V$97+'Critérios de Implantação'!V$98+'Critérios de Implantação'!V$99)</f>
        <v>15474681.25</v>
      </c>
      <c r="W246" s="93">
        <f>'Resumo-Cult.Temp.'!V44*('Critérios de Implantação'!W$97+'Critérios de Implantação'!W$98+'Critérios de Implantação'!W$99)</f>
        <v>15474681.25</v>
      </c>
      <c r="X246" s="93">
        <f>'Resumo-Cult.Temp.'!W44*('Critérios de Implantação'!X$97+'Critérios de Implantação'!X$98+'Critérios de Implantação'!X$99)</f>
        <v>15474681.25</v>
      </c>
      <c r="Y246" s="93">
        <f>'Resumo-Cult.Temp.'!X44*('Critérios de Implantação'!Y$97+'Critérios de Implantação'!Y$98+'Critérios de Implantação'!Y$99)</f>
        <v>15474681.25</v>
      </c>
      <c r="Z246" s="93">
        <f>'Resumo-Cult.Temp.'!Y44*('Critérios de Implantação'!Z$97+'Critérios de Implantação'!Z$98+'Critérios de Implantação'!Z$99)</f>
        <v>15474681.25</v>
      </c>
      <c r="AA246" s="93">
        <f>'Resumo-Cult.Temp.'!Z44*('Critérios de Implantação'!AA$97+'Critérios de Implantação'!AA$98+'Critérios de Implantação'!AA$99)</f>
        <v>15474681.25</v>
      </c>
      <c r="AB246" s="93">
        <f>'Resumo-Cult.Temp.'!AA44*('Critérios de Implantação'!AB$97+'Critérios de Implantação'!AB$98+'Critérios de Implantação'!AB$99)</f>
        <v>15474681.25</v>
      </c>
      <c r="AC246" s="93">
        <f>'Resumo-Cult.Temp.'!AB44*('Critérios de Implantação'!AC$97+'Critérios de Implantação'!AC$98+'Critérios de Implantação'!AC$99)</f>
        <v>15474681.25</v>
      </c>
      <c r="AD246" s="93">
        <f>'Resumo-Cult.Temp.'!AC44*('Critérios de Implantação'!AD$97+'Critérios de Implantação'!AD$98+'Critérios de Implantação'!AD$99)</f>
        <v>15474681.25</v>
      </c>
      <c r="AE246" s="93">
        <f>'Resumo-Cult.Temp.'!AD44*('Critérios de Implantação'!AE$97+'Critérios de Implantação'!AE$98+'Critérios de Implantação'!AE$99)</f>
        <v>15474681.25</v>
      </c>
      <c r="AF246" s="93">
        <f>'Resumo-Cult.Temp.'!AE44*('Critérios de Implantação'!AF$97+'Critérios de Implantação'!AF$98+'Critérios de Implantação'!AF$99)</f>
        <v>15474681.25</v>
      </c>
      <c r="AG246" s="93">
        <f>'Resumo-Cult.Temp.'!AF44*('Critérios de Implantação'!AG$97+'Critérios de Implantação'!AG$98+'Critérios de Implantação'!AG$99)</f>
        <v>15474681.25</v>
      </c>
      <c r="AH246" s="93">
        <f>'Resumo-Cult.Temp.'!AG44*('Critérios de Implantação'!AH$97+'Critérios de Implantação'!AH$98+'Critérios de Implantação'!AH$99)</f>
        <v>15474681.25</v>
      </c>
      <c r="AI246" s="93">
        <f>'Resumo-Cult.Temp.'!AH44*('Critérios de Implantação'!AI$97+'Critérios de Implantação'!AI$98+'Critérios de Implantação'!AI$99)</f>
        <v>15474681.25</v>
      </c>
      <c r="AJ246" s="93">
        <f>'Resumo-Cult.Temp.'!AI44*('Critérios de Implantação'!AJ$97+'Critérios de Implantação'!AJ$98+'Critérios de Implantação'!AJ$99)</f>
        <v>15474681.25</v>
      </c>
      <c r="AK246" s="95">
        <f>'Resumo-Cult.Temp.'!AJ44*('Critérios de Implantação'!AK$97+'Critérios de Implantação'!AK$98+'Critérios de Implantação'!AK$99)</f>
        <v>15474681.25</v>
      </c>
    </row>
    <row r="247" spans="1:37" ht="20.149999999999999" customHeight="1" outlineLevel="1" x14ac:dyDescent="0.25">
      <c r="A247" s="48" t="s">
        <v>138</v>
      </c>
      <c r="B247" s="34" t="s">
        <v>146</v>
      </c>
      <c r="C247" s="80"/>
      <c r="D247" s="93">
        <f>'Resumo-Cult.Temp.'!C45*('Critérios de Implantação'!D$97+'Critérios de Implantação'!D$98+'Critérios de Implantação'!D$99)</f>
        <v>0</v>
      </c>
      <c r="E247" s="93">
        <f>'Resumo-Cult.Temp.'!D45*('Critérios de Implantação'!E$97+'Critérios de Implantação'!E$98+'Critérios de Implantação'!E$99)</f>
        <v>0</v>
      </c>
      <c r="F247" s="93">
        <f>'Resumo-Cult.Temp.'!E45*('Critérios de Implantação'!F$97+'Critérios de Implantação'!F$98+'Critérios de Implantação'!F$99)</f>
        <v>215140.85195665373</v>
      </c>
      <c r="G247" s="93">
        <f>'Resumo-Cult.Temp.'!F45*('Critérios de Implantação'!G$97+'Critérios de Implantação'!G$98+'Critérios de Implantação'!G$99)</f>
        <v>430281.70391330746</v>
      </c>
      <c r="H247" s="93">
        <f>'Resumo-Cult.Temp.'!G45*('Critérios de Implantação'!H$97+'Critérios de Implantação'!H$98+'Critérios de Implantação'!H$99)</f>
        <v>688762.83300333261</v>
      </c>
      <c r="I247" s="93">
        <f>'Resumo-Cult.Temp.'!H45*('Critérios de Implantação'!I$97+'Critérios de Implantação'!I$98+'Critérios de Implantação'!I$99)</f>
        <v>1187991.7535674372</v>
      </c>
      <c r="J247" s="93">
        <f>'Resumo-Cult.Temp.'!I45*('Critérios de Implantação'!J$97+'Critérios de Implantação'!J$98+'Critérios de Implantação'!J$99)</f>
        <v>1656380.320903454</v>
      </c>
      <c r="K247" s="93">
        <f>'Resumo-Cult.Temp.'!J45*('Critérios de Implantação'!K$97+'Critérios de Implantação'!K$98+'Critérios de Implantação'!K$99)</f>
        <v>2138307.7365948074</v>
      </c>
      <c r="L247" s="93">
        <f>'Resumo-Cult.Temp.'!K45*('Critérios de Implantação'!L$97+'Critérios de Implantação'!L$98+'Critérios de Implantação'!L$99)</f>
        <v>2530869.4706499069</v>
      </c>
      <c r="M247" s="93">
        <f>'Resumo-Cult.Temp.'!L45*('Critérios de Implantação'!M$97+'Critérios de Implantação'!M$98+'Critérios de Implantação'!M$99)</f>
        <v>2809142.2574377959</v>
      </c>
      <c r="N247" s="93">
        <f>'Resumo-Cult.Temp.'!M45*('Critérios de Implantação'!N$97+'Critérios de Implantação'!N$98+'Critérios de Implantação'!N$99)</f>
        <v>2949139.95</v>
      </c>
      <c r="O247" s="93">
        <f>'Resumo-Cult.Temp.'!N45*('Critérios de Implantação'!O$97+'Critérios de Implantação'!O$98+'Critérios de Implantação'!O$99)</f>
        <v>2949139.95</v>
      </c>
      <c r="P247" s="93">
        <f>'Resumo-Cult.Temp.'!O45*('Critérios de Implantação'!P$97+'Critérios de Implantação'!P$98+'Critérios de Implantação'!P$99)</f>
        <v>2949139.95</v>
      </c>
      <c r="Q247" s="93">
        <f>'Resumo-Cult.Temp.'!P45*('Critérios de Implantação'!Q$97+'Critérios de Implantação'!Q$98+'Critérios de Implantação'!Q$99)</f>
        <v>2949139.95</v>
      </c>
      <c r="R247" s="93">
        <f>'Resumo-Cult.Temp.'!Q45*('Critérios de Implantação'!R$97+'Critérios de Implantação'!R$98+'Critérios de Implantação'!R$99)</f>
        <v>2949139.95</v>
      </c>
      <c r="S247" s="93">
        <f>'Resumo-Cult.Temp.'!R45*('Critérios de Implantação'!S$97+'Critérios de Implantação'!S$98+'Critérios de Implantação'!S$99)</f>
        <v>2949139.95</v>
      </c>
      <c r="T247" s="93">
        <f>'Resumo-Cult.Temp.'!S45*('Critérios de Implantação'!T$97+'Critérios de Implantação'!T$98+'Critérios de Implantação'!T$99)</f>
        <v>2949139.95</v>
      </c>
      <c r="U247" s="93">
        <f>'Resumo-Cult.Temp.'!T45*('Critérios de Implantação'!U$97+'Critérios de Implantação'!U$98+'Critérios de Implantação'!U$99)</f>
        <v>2949139.95</v>
      </c>
      <c r="V247" s="93">
        <f>'Resumo-Cult.Temp.'!U45*('Critérios de Implantação'!V$97+'Critérios de Implantação'!V$98+'Critérios de Implantação'!V$99)</f>
        <v>2949139.95</v>
      </c>
      <c r="W247" s="93">
        <f>'Resumo-Cult.Temp.'!V45*('Critérios de Implantação'!W$97+'Critérios de Implantação'!W$98+'Critérios de Implantação'!W$99)</f>
        <v>2949139.95</v>
      </c>
      <c r="X247" s="93">
        <f>'Resumo-Cult.Temp.'!W45*('Critérios de Implantação'!X$97+'Critérios de Implantação'!X$98+'Critérios de Implantação'!X$99)</f>
        <v>2949139.95</v>
      </c>
      <c r="Y247" s="93">
        <f>'Resumo-Cult.Temp.'!X45*('Critérios de Implantação'!Y$97+'Critérios de Implantação'!Y$98+'Critérios de Implantação'!Y$99)</f>
        <v>2949139.95</v>
      </c>
      <c r="Z247" s="93">
        <f>'Resumo-Cult.Temp.'!Y45*('Critérios de Implantação'!Z$97+'Critérios de Implantação'!Z$98+'Critérios de Implantação'!Z$99)</f>
        <v>2949139.95</v>
      </c>
      <c r="AA247" s="93">
        <f>'Resumo-Cult.Temp.'!Z45*('Critérios de Implantação'!AA$97+'Critérios de Implantação'!AA$98+'Critérios de Implantação'!AA$99)</f>
        <v>2949139.95</v>
      </c>
      <c r="AB247" s="93">
        <f>'Resumo-Cult.Temp.'!AA45*('Critérios de Implantação'!AB$97+'Critérios de Implantação'!AB$98+'Critérios de Implantação'!AB$99)</f>
        <v>2949139.95</v>
      </c>
      <c r="AC247" s="93">
        <f>'Resumo-Cult.Temp.'!AB45*('Critérios de Implantação'!AC$97+'Critérios de Implantação'!AC$98+'Critérios de Implantação'!AC$99)</f>
        <v>2949139.95</v>
      </c>
      <c r="AD247" s="93">
        <f>'Resumo-Cult.Temp.'!AC45*('Critérios de Implantação'!AD$97+'Critérios de Implantação'!AD$98+'Critérios de Implantação'!AD$99)</f>
        <v>2949139.95</v>
      </c>
      <c r="AE247" s="93">
        <f>'Resumo-Cult.Temp.'!AD45*('Critérios de Implantação'!AE$97+'Critérios de Implantação'!AE$98+'Critérios de Implantação'!AE$99)</f>
        <v>2949139.95</v>
      </c>
      <c r="AF247" s="93">
        <f>'Resumo-Cult.Temp.'!AE45*('Critérios de Implantação'!AF$97+'Critérios de Implantação'!AF$98+'Critérios de Implantação'!AF$99)</f>
        <v>2949139.95</v>
      </c>
      <c r="AG247" s="93">
        <f>'Resumo-Cult.Temp.'!AF45*('Critérios de Implantação'!AG$97+'Critérios de Implantação'!AG$98+'Critérios de Implantação'!AG$99)</f>
        <v>2949139.95</v>
      </c>
      <c r="AH247" s="93">
        <f>'Resumo-Cult.Temp.'!AG45*('Critérios de Implantação'!AH$97+'Critérios de Implantação'!AH$98+'Critérios de Implantação'!AH$99)</f>
        <v>2949139.95</v>
      </c>
      <c r="AI247" s="93">
        <f>'Resumo-Cult.Temp.'!AH45*('Critérios de Implantação'!AI$97+'Critérios de Implantação'!AI$98+'Critérios de Implantação'!AI$99)</f>
        <v>2949139.95</v>
      </c>
      <c r="AJ247" s="93">
        <f>'Resumo-Cult.Temp.'!AI45*('Critérios de Implantação'!AJ$97+'Critérios de Implantação'!AJ$98+'Critérios de Implantação'!AJ$99)</f>
        <v>2949139.95</v>
      </c>
      <c r="AK247" s="95">
        <f>'Resumo-Cult.Temp.'!AJ45*('Critérios de Implantação'!AK$97+'Critérios de Implantação'!AK$98+'Critérios de Implantação'!AK$99)</f>
        <v>2949139.95</v>
      </c>
    </row>
    <row r="248" spans="1:37" ht="20.149999999999999" customHeight="1" outlineLevel="1" x14ac:dyDescent="0.25">
      <c r="A248" s="48" t="s">
        <v>139</v>
      </c>
      <c r="B248" s="82" t="s">
        <v>143</v>
      </c>
      <c r="C248" s="80"/>
      <c r="D248" s="93">
        <f>'Resumo-Cult.Temp.'!C46*('Critérios de Implantação'!D$97+'Critérios de Implantação'!D$98+'Critérios de Implantação'!D$99)</f>
        <v>0</v>
      </c>
      <c r="E248" s="93">
        <f>'Resumo-Cult.Temp.'!D46*('Critérios de Implantação'!E$97+'Critérios de Implantação'!E$98+'Critérios de Implantação'!E$99)</f>
        <v>0</v>
      </c>
      <c r="F248" s="93">
        <f>'Resumo-Cult.Temp.'!E46*('Critérios de Implantação'!F$97+'Critérios de Implantação'!F$98+'Critérios de Implantação'!F$99)</f>
        <v>443686.70653631963</v>
      </c>
      <c r="G248" s="93">
        <f>'Resumo-Cult.Temp.'!F46*('Critérios de Implantação'!G$97+'Critérios de Implantação'!G$98+'Critérios de Implantação'!G$99)</f>
        <v>887373.41307263926</v>
      </c>
      <c r="H248" s="93">
        <f>'Resumo-Cult.Temp.'!G46*('Critérios de Implantação'!H$97+'Critérios de Implantação'!H$98+'Critérios de Implantação'!H$99)</f>
        <v>1420441.1211564997</v>
      </c>
      <c r="I248" s="93">
        <f>'Resumo-Cult.Temp.'!H46*('Critérios de Implantação'!I$97+'Critérios de Implantação'!I$98+'Critérios de Implantação'!I$99)</f>
        <v>2450004.932763034</v>
      </c>
      <c r="J248" s="93">
        <f>'Resumo-Cult.Temp.'!I46*('Critérios de Implantação'!J$97+'Critérios de Implantação'!J$98+'Critérios de Implantação'!J$99)</f>
        <v>3415966.4362642532</v>
      </c>
      <c r="K248" s="93">
        <f>'Resumo-Cult.Temp.'!J46*('Critérios de Implantação'!K$97+'Critérios de Implantação'!K$98+'Critérios de Implantação'!K$99)</f>
        <v>4409849.215443437</v>
      </c>
      <c r="L248" s="93">
        <f>'Resumo-Cult.Temp.'!K46*('Critérios de Implantação'!L$97+'Critérios de Implantação'!L$98+'Critérios de Implantação'!L$99)</f>
        <v>5219432.4317922611</v>
      </c>
      <c r="M248" s="93">
        <f>'Resumo-Cult.Temp.'!L46*('Critérios de Implantação'!M$97+'Critérios de Implantação'!M$98+'Critérios de Implantação'!M$99)</f>
        <v>5793316.6344702234</v>
      </c>
      <c r="N248" s="93">
        <f>'Resumo-Cult.Temp.'!M46*('Critérios de Implantação'!N$97+'Critérios de Implantação'!N$98+'Critérios de Implantação'!N$99)</f>
        <v>6082035</v>
      </c>
      <c r="O248" s="93">
        <f>'Resumo-Cult.Temp.'!N46*('Critérios de Implantação'!O$97+'Critérios de Implantação'!O$98+'Critérios de Implantação'!O$99)</f>
        <v>6082035</v>
      </c>
      <c r="P248" s="93">
        <f>'Resumo-Cult.Temp.'!O46*('Critérios de Implantação'!P$97+'Critérios de Implantação'!P$98+'Critérios de Implantação'!P$99)</f>
        <v>6082035</v>
      </c>
      <c r="Q248" s="93">
        <f>'Resumo-Cult.Temp.'!P46*('Critérios de Implantação'!Q$97+'Critérios de Implantação'!Q$98+'Critérios de Implantação'!Q$99)</f>
        <v>6082035</v>
      </c>
      <c r="R248" s="93">
        <f>'Resumo-Cult.Temp.'!Q46*('Critérios de Implantação'!R$97+'Critérios de Implantação'!R$98+'Critérios de Implantação'!R$99)</f>
        <v>6082035</v>
      </c>
      <c r="S248" s="93">
        <f>'Resumo-Cult.Temp.'!R46*('Critérios de Implantação'!S$97+'Critérios de Implantação'!S$98+'Critérios de Implantação'!S$99)</f>
        <v>6082035</v>
      </c>
      <c r="T248" s="93">
        <f>'Resumo-Cult.Temp.'!S46*('Critérios de Implantação'!T$97+'Critérios de Implantação'!T$98+'Critérios de Implantação'!T$99)</f>
        <v>6082035</v>
      </c>
      <c r="U248" s="93">
        <f>'Resumo-Cult.Temp.'!T46*('Critérios de Implantação'!U$97+'Critérios de Implantação'!U$98+'Critérios de Implantação'!U$99)</f>
        <v>6082035</v>
      </c>
      <c r="V248" s="93">
        <f>'Resumo-Cult.Temp.'!U46*('Critérios de Implantação'!V$97+'Critérios de Implantação'!V$98+'Critérios de Implantação'!V$99)</f>
        <v>6082035</v>
      </c>
      <c r="W248" s="93">
        <f>'Resumo-Cult.Temp.'!V46*('Critérios de Implantação'!W$97+'Critérios de Implantação'!W$98+'Critérios de Implantação'!W$99)</f>
        <v>6082035</v>
      </c>
      <c r="X248" s="93">
        <f>'Resumo-Cult.Temp.'!W46*('Critérios de Implantação'!X$97+'Critérios de Implantação'!X$98+'Critérios de Implantação'!X$99)</f>
        <v>6082035</v>
      </c>
      <c r="Y248" s="93">
        <f>'Resumo-Cult.Temp.'!X46*('Critérios de Implantação'!Y$97+'Critérios de Implantação'!Y$98+'Critérios de Implantação'!Y$99)</f>
        <v>6082035</v>
      </c>
      <c r="Z248" s="93">
        <f>'Resumo-Cult.Temp.'!Y46*('Critérios de Implantação'!Z$97+'Critérios de Implantação'!Z$98+'Critérios de Implantação'!Z$99)</f>
        <v>6082035</v>
      </c>
      <c r="AA248" s="93">
        <f>'Resumo-Cult.Temp.'!Z46*('Critérios de Implantação'!AA$97+'Critérios de Implantação'!AA$98+'Critérios de Implantação'!AA$99)</f>
        <v>6082035</v>
      </c>
      <c r="AB248" s="93">
        <f>'Resumo-Cult.Temp.'!AA46*('Critérios de Implantação'!AB$97+'Critérios de Implantação'!AB$98+'Critérios de Implantação'!AB$99)</f>
        <v>6082035</v>
      </c>
      <c r="AC248" s="93">
        <f>'Resumo-Cult.Temp.'!AB46*('Critérios de Implantação'!AC$97+'Critérios de Implantação'!AC$98+'Critérios de Implantação'!AC$99)</f>
        <v>6082035</v>
      </c>
      <c r="AD248" s="93">
        <f>'Resumo-Cult.Temp.'!AC46*('Critérios de Implantação'!AD$97+'Critérios de Implantação'!AD$98+'Critérios de Implantação'!AD$99)</f>
        <v>6082035</v>
      </c>
      <c r="AE248" s="93">
        <f>'Resumo-Cult.Temp.'!AD46*('Critérios de Implantação'!AE$97+'Critérios de Implantação'!AE$98+'Critérios de Implantação'!AE$99)</f>
        <v>6082035</v>
      </c>
      <c r="AF248" s="93">
        <f>'Resumo-Cult.Temp.'!AE46*('Critérios de Implantação'!AF$97+'Critérios de Implantação'!AF$98+'Critérios de Implantação'!AF$99)</f>
        <v>6082035</v>
      </c>
      <c r="AG248" s="93">
        <f>'Resumo-Cult.Temp.'!AF46*('Critérios de Implantação'!AG$97+'Critérios de Implantação'!AG$98+'Critérios de Implantação'!AG$99)</f>
        <v>6082035</v>
      </c>
      <c r="AH248" s="93">
        <f>'Resumo-Cult.Temp.'!AG46*('Critérios de Implantação'!AH$97+'Critérios de Implantação'!AH$98+'Critérios de Implantação'!AH$99)</f>
        <v>6082035</v>
      </c>
      <c r="AI248" s="93">
        <f>'Resumo-Cult.Temp.'!AH46*('Critérios de Implantação'!AI$97+'Critérios de Implantação'!AI$98+'Critérios de Implantação'!AI$99)</f>
        <v>6082035</v>
      </c>
      <c r="AJ248" s="93">
        <f>'Resumo-Cult.Temp.'!AI46*('Critérios de Implantação'!AJ$97+'Critérios de Implantação'!AJ$98+'Critérios de Implantação'!AJ$99)</f>
        <v>6082035</v>
      </c>
      <c r="AK248" s="95">
        <f>'Resumo-Cult.Temp.'!AJ46*('Critérios de Implantação'!AK$97+'Critérios de Implantação'!AK$98+'Critérios de Implantação'!AK$99)</f>
        <v>6082035</v>
      </c>
    </row>
    <row r="249" spans="1:37" ht="20.149999999999999" customHeight="1" outlineLevel="1" x14ac:dyDescent="0.25">
      <c r="A249" s="48" t="s">
        <v>140</v>
      </c>
      <c r="B249" s="34" t="s">
        <v>141</v>
      </c>
      <c r="C249" s="80"/>
      <c r="D249" s="93">
        <f>'Resumo-Cult.Temp.'!C47*('Critérios de Implantação'!D$97+'Critérios de Implantação'!D$98+'Critérios de Implantação'!D$99)</f>
        <v>0</v>
      </c>
      <c r="E249" s="93">
        <f>'Resumo-Cult.Temp.'!D47*('Critérios de Implantação'!E$97+'Critérios de Implantação'!E$98+'Critérios de Implantação'!E$99)</f>
        <v>0</v>
      </c>
      <c r="F249" s="93">
        <f>'Resumo-Cult.Temp.'!E47*('Critérios de Implantação'!F$97+'Critérios de Implantação'!F$98+'Critérios de Implantação'!F$99)</f>
        <v>421564.9735101746</v>
      </c>
      <c r="G249" s="93">
        <f>'Resumo-Cult.Temp.'!F47*('Critérios de Implantação'!G$97+'Critérios de Implantação'!G$98+'Critérios de Implantação'!G$99)</f>
        <v>843129.94702034921</v>
      </c>
      <c r="H249" s="93">
        <f>'Resumo-Cult.Temp.'!G47*('Critérios de Implantação'!H$97+'Critérios de Implantação'!H$98+'Critérios de Implantação'!H$99)</f>
        <v>1349619.4832785346</v>
      </c>
      <c r="I249" s="93">
        <f>'Resumo-Cult.Temp.'!H47*('Critérios de Implantação'!I$97+'Critérios de Implantação'!I$98+'Critérios de Implantação'!I$99)</f>
        <v>2327850.3713644594</v>
      </c>
      <c r="J249" s="93">
        <f>'Resumo-Cult.Temp.'!I47*('Critérios de Implantação'!J$97+'Critérios de Implantação'!J$98+'Critérios de Implantação'!J$99)</f>
        <v>3245650.092736111</v>
      </c>
      <c r="K249" s="93">
        <f>'Resumo-Cult.Temp.'!J47*('Critérios de Implantação'!K$97+'Critérios de Implantação'!K$98+'Critérios de Implantação'!K$99)</f>
        <v>4189978.9655746613</v>
      </c>
      <c r="L249" s="93">
        <f>'Resumo-Cult.Temp.'!K47*('Critérios de Implantação'!L$97+'Critérios de Implantação'!L$98+'Critérios de Implantação'!L$99)</f>
        <v>4959197.2498426307</v>
      </c>
      <c r="M249" s="93">
        <f>'Resumo-Cult.Temp.'!L47*('Critérios de Implantação'!M$97+'Critérios de Implantação'!M$98+'Critérios de Implantação'!M$99)</f>
        <v>5504468.214998398</v>
      </c>
      <c r="N249" s="93">
        <f>'Resumo-Cult.Temp.'!M47*('Critérios de Implantação'!N$97+'Critérios de Implantação'!N$98+'Critérios de Implantação'!N$99)</f>
        <v>5778791.3991808342</v>
      </c>
      <c r="O249" s="93">
        <f>'Resumo-Cult.Temp.'!N47*('Critérios de Implantação'!O$97+'Critérios de Implantação'!O$98+'Critérios de Implantação'!O$99)</f>
        <v>5778791.3991808342</v>
      </c>
      <c r="P249" s="93">
        <f>'Resumo-Cult.Temp.'!O47*('Critérios de Implantação'!P$97+'Critérios de Implantação'!P$98+'Critérios de Implantação'!P$99)</f>
        <v>5778791.3991808342</v>
      </c>
      <c r="Q249" s="93">
        <f>'Resumo-Cult.Temp.'!P47*('Critérios de Implantação'!Q$97+'Critérios de Implantação'!Q$98+'Critérios de Implantação'!Q$99)</f>
        <v>5778791.3991808342</v>
      </c>
      <c r="R249" s="93">
        <f>'Resumo-Cult.Temp.'!Q47*('Critérios de Implantação'!R$97+'Critérios de Implantação'!R$98+'Critérios de Implantação'!R$99)</f>
        <v>5778791.3991808342</v>
      </c>
      <c r="S249" s="93">
        <f>'Resumo-Cult.Temp.'!R47*('Critérios de Implantação'!S$97+'Critérios de Implantação'!S$98+'Critérios de Implantação'!S$99)</f>
        <v>5778791.3991808342</v>
      </c>
      <c r="T249" s="93">
        <f>'Resumo-Cult.Temp.'!S47*('Critérios de Implantação'!T$97+'Critérios de Implantação'!T$98+'Critérios de Implantação'!T$99)</f>
        <v>5778791.3991808342</v>
      </c>
      <c r="U249" s="93">
        <f>'Resumo-Cult.Temp.'!T47*('Critérios de Implantação'!U$97+'Critérios de Implantação'!U$98+'Critérios de Implantação'!U$99)</f>
        <v>5778791.3991808342</v>
      </c>
      <c r="V249" s="93">
        <f>'Resumo-Cult.Temp.'!U47*('Critérios de Implantação'!V$97+'Critérios de Implantação'!V$98+'Critérios de Implantação'!V$99)</f>
        <v>5778791.3991808342</v>
      </c>
      <c r="W249" s="93">
        <f>'Resumo-Cult.Temp.'!V47*('Critérios de Implantação'!W$97+'Critérios de Implantação'!W$98+'Critérios de Implantação'!W$99)</f>
        <v>5778791.3991808342</v>
      </c>
      <c r="X249" s="93">
        <f>'Resumo-Cult.Temp.'!W47*('Critérios de Implantação'!X$97+'Critérios de Implantação'!X$98+'Critérios de Implantação'!X$99)</f>
        <v>5778791.3991808342</v>
      </c>
      <c r="Y249" s="93">
        <f>'Resumo-Cult.Temp.'!X47*('Critérios de Implantação'!Y$97+'Critérios de Implantação'!Y$98+'Critérios de Implantação'!Y$99)</f>
        <v>5778791.3991808342</v>
      </c>
      <c r="Z249" s="93">
        <f>'Resumo-Cult.Temp.'!Y47*('Critérios de Implantação'!Z$97+'Critérios de Implantação'!Z$98+'Critérios de Implantação'!Z$99)</f>
        <v>5778791.3991808342</v>
      </c>
      <c r="AA249" s="93">
        <f>'Resumo-Cult.Temp.'!Z47*('Critérios de Implantação'!AA$97+'Critérios de Implantação'!AA$98+'Critérios de Implantação'!AA$99)</f>
        <v>5778791.3991808342</v>
      </c>
      <c r="AB249" s="93">
        <f>'Resumo-Cult.Temp.'!AA47*('Critérios de Implantação'!AB$97+'Critérios de Implantação'!AB$98+'Critérios de Implantação'!AB$99)</f>
        <v>5778791.3991808342</v>
      </c>
      <c r="AC249" s="93">
        <f>'Resumo-Cult.Temp.'!AB47*('Critérios de Implantação'!AC$97+'Critérios de Implantação'!AC$98+'Critérios de Implantação'!AC$99)</f>
        <v>5778791.3991808342</v>
      </c>
      <c r="AD249" s="93">
        <f>'Resumo-Cult.Temp.'!AC47*('Critérios de Implantação'!AD$97+'Critérios de Implantação'!AD$98+'Critérios de Implantação'!AD$99)</f>
        <v>5778791.3991808342</v>
      </c>
      <c r="AE249" s="93">
        <f>'Resumo-Cult.Temp.'!AD47*('Critérios de Implantação'!AE$97+'Critérios de Implantação'!AE$98+'Critérios de Implantação'!AE$99)</f>
        <v>5778791.3991808342</v>
      </c>
      <c r="AF249" s="93">
        <f>'Resumo-Cult.Temp.'!AE47*('Critérios de Implantação'!AF$97+'Critérios de Implantação'!AF$98+'Critérios de Implantação'!AF$99)</f>
        <v>5778791.3991808342</v>
      </c>
      <c r="AG249" s="93">
        <f>'Resumo-Cult.Temp.'!AF47*('Critérios de Implantação'!AG$97+'Critérios de Implantação'!AG$98+'Critérios de Implantação'!AG$99)</f>
        <v>5778791.3991808342</v>
      </c>
      <c r="AH249" s="93">
        <f>'Resumo-Cult.Temp.'!AG47*('Critérios de Implantação'!AH$97+'Critérios de Implantação'!AH$98+'Critérios de Implantação'!AH$99)</f>
        <v>5778791.3991808342</v>
      </c>
      <c r="AI249" s="93">
        <f>'Resumo-Cult.Temp.'!AH47*('Critérios de Implantação'!AI$97+'Critérios de Implantação'!AI$98+'Critérios de Implantação'!AI$99)</f>
        <v>5778791.3991808342</v>
      </c>
      <c r="AJ249" s="93">
        <f>'Resumo-Cult.Temp.'!AI47*('Critérios de Implantação'!AJ$97+'Critérios de Implantação'!AJ$98+'Critérios de Implantação'!AJ$99)</f>
        <v>5778791.3991808342</v>
      </c>
      <c r="AK249" s="95">
        <f>'Resumo-Cult.Temp.'!AJ47*('Critérios de Implantação'!AK$97+'Critérios de Implantação'!AK$98+'Critérios de Implantação'!AK$99)</f>
        <v>5778791.3991808342</v>
      </c>
    </row>
    <row r="250" spans="1:37" ht="20.149999999999999" customHeight="1" outlineLevel="1" thickBot="1" x14ac:dyDescent="0.3">
      <c r="A250" s="96"/>
      <c r="B250" s="87" t="s">
        <v>149</v>
      </c>
      <c r="C250" s="88"/>
      <c r="D250" s="88">
        <f t="shared" ref="D250:AK250" si="85">SUM(D246:D249)</f>
        <v>0</v>
      </c>
      <c r="E250" s="88">
        <f t="shared" si="85"/>
        <v>0</v>
      </c>
      <c r="F250" s="88">
        <f t="shared" si="85"/>
        <v>2209276.2622861597</v>
      </c>
      <c r="G250" s="88">
        <f t="shared" si="85"/>
        <v>4418552.5245723194</v>
      </c>
      <c r="H250" s="88">
        <f>SUM(H246:H249)</f>
        <v>7072889.0559837166</v>
      </c>
      <c r="I250" s="88">
        <f t="shared" si="85"/>
        <v>12199458.899033502</v>
      </c>
      <c r="J250" s="88">
        <f t="shared" si="85"/>
        <v>17009329.892526519</v>
      </c>
      <c r="K250" s="88">
        <f t="shared" si="85"/>
        <v>21958230.99591314</v>
      </c>
      <c r="L250" s="88">
        <f t="shared" si="85"/>
        <v>25989438.052323617</v>
      </c>
      <c r="M250" s="88">
        <f t="shared" si="85"/>
        <v>28847014.643191472</v>
      </c>
      <c r="N250" s="88">
        <f t="shared" si="85"/>
        <v>30284647.599180833</v>
      </c>
      <c r="O250" s="88">
        <f t="shared" si="85"/>
        <v>30284647.599180833</v>
      </c>
      <c r="P250" s="88">
        <f t="shared" si="85"/>
        <v>30284647.599180833</v>
      </c>
      <c r="Q250" s="88">
        <f t="shared" si="85"/>
        <v>30284647.599180833</v>
      </c>
      <c r="R250" s="88">
        <f t="shared" si="85"/>
        <v>30284647.599180833</v>
      </c>
      <c r="S250" s="88">
        <f t="shared" si="85"/>
        <v>30284647.599180833</v>
      </c>
      <c r="T250" s="88">
        <f t="shared" si="85"/>
        <v>30284647.599180833</v>
      </c>
      <c r="U250" s="88">
        <f t="shared" si="85"/>
        <v>30284647.599180833</v>
      </c>
      <c r="V250" s="88">
        <f t="shared" si="85"/>
        <v>30284647.599180833</v>
      </c>
      <c r="W250" s="88">
        <f t="shared" si="85"/>
        <v>30284647.599180833</v>
      </c>
      <c r="X250" s="88">
        <f t="shared" si="85"/>
        <v>30284647.599180833</v>
      </c>
      <c r="Y250" s="88">
        <f t="shared" si="85"/>
        <v>30284647.599180833</v>
      </c>
      <c r="Z250" s="88">
        <f t="shared" si="85"/>
        <v>30284647.599180833</v>
      </c>
      <c r="AA250" s="88">
        <f t="shared" si="85"/>
        <v>30284647.599180833</v>
      </c>
      <c r="AB250" s="88">
        <f t="shared" si="85"/>
        <v>30284647.599180833</v>
      </c>
      <c r="AC250" s="88">
        <f t="shared" si="85"/>
        <v>30284647.599180833</v>
      </c>
      <c r="AD250" s="88">
        <f t="shared" si="85"/>
        <v>30284647.599180833</v>
      </c>
      <c r="AE250" s="88">
        <f t="shared" si="85"/>
        <v>30284647.599180833</v>
      </c>
      <c r="AF250" s="88">
        <f t="shared" si="85"/>
        <v>30284647.599180833</v>
      </c>
      <c r="AG250" s="88">
        <f t="shared" si="85"/>
        <v>30284647.599180833</v>
      </c>
      <c r="AH250" s="88">
        <f t="shared" si="85"/>
        <v>30284647.599180833</v>
      </c>
      <c r="AI250" s="88">
        <f t="shared" si="85"/>
        <v>30284647.599180833</v>
      </c>
      <c r="AJ250" s="88">
        <f t="shared" si="85"/>
        <v>30284647.599180833</v>
      </c>
      <c r="AK250" s="89">
        <f t="shared" si="85"/>
        <v>30284647.599180833</v>
      </c>
    </row>
    <row r="251" spans="1:37" ht="20.149999999999999" customHeight="1" outlineLevel="1" thickBot="1" x14ac:dyDescent="0.3">
      <c r="A251" s="14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</row>
    <row r="252" spans="1:37" ht="20.149999999999999" customHeight="1" outlineLevel="1" x14ac:dyDescent="0.25">
      <c r="A252" s="42">
        <v>3</v>
      </c>
      <c r="B252" s="97" t="s">
        <v>144</v>
      </c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2"/>
    </row>
    <row r="253" spans="1:37" ht="20.149999999999999" customHeight="1" outlineLevel="1" x14ac:dyDescent="0.25">
      <c r="A253" s="47" t="s">
        <v>341</v>
      </c>
      <c r="B253" s="22" t="str">
        <f>"Valor da produção "&amp;A229</f>
        <v>Valor da produção Feijão</v>
      </c>
      <c r="C253" s="80"/>
      <c r="D253" s="80">
        <f>'Resumo-Cult.Temp.'!C51*('Critérios de Implantação'!D$97+'Critérios de Implantação'!D$98+'Critérios de Implantação'!D$99)</f>
        <v>0</v>
      </c>
      <c r="E253" s="80">
        <f>'Resumo-Cult.Temp.'!D51*('Critérios de Implantação'!E$97+'Critérios de Implantação'!E$98+'Critérios de Implantação'!E$99)</f>
        <v>0</v>
      </c>
      <c r="F253" s="80">
        <f>'Resumo-Cult.Temp.'!E51*('Critérios de Implantação'!F$97+'Critérios de Implantação'!F$98+'Critérios de Implantação'!F$99)</f>
        <v>5146765.7958213072</v>
      </c>
      <c r="G253" s="80">
        <f>'Resumo-Cult.Temp.'!F51*('Critérios de Implantação'!G$97+'Critérios de Implantação'!G$98+'Critérios de Implantação'!G$99)</f>
        <v>10293531.591642614</v>
      </c>
      <c r="H253" s="80">
        <f>'Resumo-Cult.Temp.'!G51*('Critérios de Implantação'!H$97+'Critérios de Implantação'!H$98+'Critérios de Implantação'!H$99)</f>
        <v>16477117.005415397</v>
      </c>
      <c r="I253" s="80">
        <f>'Resumo-Cult.Temp.'!H51*('Critérios de Implantação'!I$97+'Critérios de Implantação'!I$98+'Critérios de Implantação'!I$99)</f>
        <v>28420057.220051192</v>
      </c>
      <c r="J253" s="80">
        <f>'Resumo-Cult.Temp.'!I51*('Critérios de Implantação'!J$97+'Critérios de Implantação'!J$98+'Critérios de Implantação'!J$99)</f>
        <v>39625210.660665333</v>
      </c>
      <c r="K253" s="80">
        <f>'Resumo-Cult.Temp.'!J51*('Critérios de Implantação'!K$97+'Critérios de Implantação'!K$98+'Critérios de Implantação'!K$99)</f>
        <v>51154250.899143867</v>
      </c>
      <c r="L253" s="80">
        <f>'Resumo-Cult.Temp.'!K51*('Critérios de Implantação'!L$97+'Critérios de Implantação'!L$98+'Critérios de Implantação'!L$99)</f>
        <v>60545416.20879022</v>
      </c>
      <c r="M253" s="80">
        <f>'Resumo-Cult.Temp.'!L51*('Critérios de Implantação'!M$97+'Critérios de Implantação'!M$98+'Critérios de Implantação'!M$99)</f>
        <v>67202472.959854588</v>
      </c>
      <c r="N253" s="80">
        <f>'Resumo-Cult.Temp.'!M51*('Critérios de Implantação'!N$97+'Critérios de Implantação'!N$98+'Critérios de Implantação'!N$99)</f>
        <v>70551605.999999985</v>
      </c>
      <c r="O253" s="80">
        <f>'Resumo-Cult.Temp.'!N51*('Critérios de Implantação'!O$97+'Critérios de Implantação'!O$98+'Critérios de Implantação'!O$99)</f>
        <v>70551605.999999985</v>
      </c>
      <c r="P253" s="80">
        <f>'Resumo-Cult.Temp.'!O51*('Critérios de Implantação'!P$97+'Critérios de Implantação'!P$98+'Critérios de Implantação'!P$99)</f>
        <v>70551605.999999985</v>
      </c>
      <c r="Q253" s="80">
        <f>'Resumo-Cult.Temp.'!P51*('Critérios de Implantação'!Q$97+'Critérios de Implantação'!Q$98+'Critérios de Implantação'!Q$99)</f>
        <v>70551605.999999985</v>
      </c>
      <c r="R253" s="80">
        <f>'Resumo-Cult.Temp.'!Q51*('Critérios de Implantação'!R$97+'Critérios de Implantação'!R$98+'Critérios de Implantação'!R$99)</f>
        <v>70551605.999999985</v>
      </c>
      <c r="S253" s="80">
        <f>'Resumo-Cult.Temp.'!R51*('Critérios de Implantação'!S$97+'Critérios de Implantação'!S$98+'Critérios de Implantação'!S$99)</f>
        <v>70551605.999999985</v>
      </c>
      <c r="T253" s="80">
        <f>'Resumo-Cult.Temp.'!S51*('Critérios de Implantação'!T$97+'Critérios de Implantação'!T$98+'Critérios de Implantação'!T$99)</f>
        <v>70551605.999999985</v>
      </c>
      <c r="U253" s="80">
        <f>'Resumo-Cult.Temp.'!T51*('Critérios de Implantação'!U$97+'Critérios de Implantação'!U$98+'Critérios de Implantação'!U$99)</f>
        <v>70551605.999999985</v>
      </c>
      <c r="V253" s="80">
        <f>'Resumo-Cult.Temp.'!U51*('Critérios de Implantação'!V$97+'Critérios de Implantação'!V$98+'Critérios de Implantação'!V$99)</f>
        <v>70551605.999999985</v>
      </c>
      <c r="W253" s="80">
        <f>'Resumo-Cult.Temp.'!V51*('Critérios de Implantação'!W$97+'Critérios de Implantação'!W$98+'Critérios de Implantação'!W$99)</f>
        <v>70551605.999999985</v>
      </c>
      <c r="X253" s="80">
        <f>'Resumo-Cult.Temp.'!W51*('Critérios de Implantação'!X$97+'Critérios de Implantação'!X$98+'Critérios de Implantação'!X$99)</f>
        <v>70551605.999999985</v>
      </c>
      <c r="Y253" s="80">
        <f>'Resumo-Cult.Temp.'!X51*('Critérios de Implantação'!Y$97+'Critérios de Implantação'!Y$98+'Critérios de Implantação'!Y$99)</f>
        <v>70551605.999999985</v>
      </c>
      <c r="Z253" s="80">
        <f>'Resumo-Cult.Temp.'!Y51*('Critérios de Implantação'!Z$97+'Critérios de Implantação'!Z$98+'Critérios de Implantação'!Z$99)</f>
        <v>70551605.999999985</v>
      </c>
      <c r="AA253" s="80">
        <f>'Resumo-Cult.Temp.'!Z51*('Critérios de Implantação'!AA$97+'Critérios de Implantação'!AA$98+'Critérios de Implantação'!AA$99)</f>
        <v>70551605.999999985</v>
      </c>
      <c r="AB253" s="80">
        <f>'Resumo-Cult.Temp.'!AA51*('Critérios de Implantação'!AB$97+'Critérios de Implantação'!AB$98+'Critérios de Implantação'!AB$99)</f>
        <v>70551605.999999985</v>
      </c>
      <c r="AC253" s="80">
        <f>'Resumo-Cult.Temp.'!AB51*('Critérios de Implantação'!AC$97+'Critérios de Implantação'!AC$98+'Critérios de Implantação'!AC$99)</f>
        <v>70551605.999999985</v>
      </c>
      <c r="AD253" s="80">
        <f>'Resumo-Cult.Temp.'!AC51*('Critérios de Implantação'!AD$97+'Critérios de Implantação'!AD$98+'Critérios de Implantação'!AD$99)</f>
        <v>70551605.999999985</v>
      </c>
      <c r="AE253" s="80">
        <f>'Resumo-Cult.Temp.'!AD51*('Critérios de Implantação'!AE$97+'Critérios de Implantação'!AE$98+'Critérios de Implantação'!AE$99)</f>
        <v>70551605.999999985</v>
      </c>
      <c r="AF253" s="80">
        <f>'Resumo-Cult.Temp.'!AE51*('Critérios de Implantação'!AF$97+'Critérios de Implantação'!AF$98+'Critérios de Implantação'!AF$99)</f>
        <v>70551605.999999985</v>
      </c>
      <c r="AG253" s="80">
        <f>'Resumo-Cult.Temp.'!AF51*('Critérios de Implantação'!AG$97+'Critérios de Implantação'!AG$98+'Critérios de Implantação'!AG$99)</f>
        <v>70551605.999999985</v>
      </c>
      <c r="AH253" s="80">
        <f>'Resumo-Cult.Temp.'!AG51*('Critérios de Implantação'!AH$97+'Critérios de Implantação'!AH$98+'Critérios de Implantação'!AH$99)</f>
        <v>70551605.999999985</v>
      </c>
      <c r="AI253" s="80">
        <f>'Resumo-Cult.Temp.'!AH51*('Critérios de Implantação'!AI$97+'Critérios de Implantação'!AI$98+'Critérios de Implantação'!AI$99)</f>
        <v>70551605.999999985</v>
      </c>
      <c r="AJ253" s="80">
        <f>'Resumo-Cult.Temp.'!AI51*('Critérios de Implantação'!AJ$97+'Critérios de Implantação'!AJ$98+'Critérios de Implantação'!AJ$99)</f>
        <v>70551605.999999985</v>
      </c>
      <c r="AK253" s="81">
        <f>'Resumo-Cult.Temp.'!AJ51*('Critérios de Implantação'!AK$97+'Critérios de Implantação'!AK$98+'Critérios de Implantação'!AK$99)</f>
        <v>70551605.999999985</v>
      </c>
    </row>
    <row r="254" spans="1:37" ht="20.149999999999999" customHeight="1" outlineLevel="1" thickBot="1" x14ac:dyDescent="0.3">
      <c r="A254" s="52"/>
      <c r="B254" s="102" t="s">
        <v>153</v>
      </c>
      <c r="C254" s="88"/>
      <c r="D254" s="88">
        <f>SUM(D253:D253)</f>
        <v>0</v>
      </c>
      <c r="E254" s="88">
        <f t="shared" ref="E254:AK254" si="86">SUM(E253:E253)</f>
        <v>0</v>
      </c>
      <c r="F254" s="88">
        <f t="shared" si="86"/>
        <v>5146765.7958213072</v>
      </c>
      <c r="G254" s="88">
        <f t="shared" si="86"/>
        <v>10293531.591642614</v>
      </c>
      <c r="H254" s="88">
        <f>SUM(H253:H253)</f>
        <v>16477117.005415397</v>
      </c>
      <c r="I254" s="88">
        <f t="shared" si="86"/>
        <v>28420057.220051192</v>
      </c>
      <c r="J254" s="88">
        <f t="shared" si="86"/>
        <v>39625210.660665333</v>
      </c>
      <c r="K254" s="88">
        <f t="shared" si="86"/>
        <v>51154250.899143867</v>
      </c>
      <c r="L254" s="88">
        <f t="shared" si="86"/>
        <v>60545416.20879022</v>
      </c>
      <c r="M254" s="88">
        <f t="shared" si="86"/>
        <v>67202472.959854588</v>
      </c>
      <c r="N254" s="88">
        <f t="shared" si="86"/>
        <v>70551605.999999985</v>
      </c>
      <c r="O254" s="88">
        <f t="shared" si="86"/>
        <v>70551605.999999985</v>
      </c>
      <c r="P254" s="88">
        <f t="shared" si="86"/>
        <v>70551605.999999985</v>
      </c>
      <c r="Q254" s="88">
        <f t="shared" si="86"/>
        <v>70551605.999999985</v>
      </c>
      <c r="R254" s="88">
        <f t="shared" si="86"/>
        <v>70551605.999999985</v>
      </c>
      <c r="S254" s="88">
        <f t="shared" si="86"/>
        <v>70551605.999999985</v>
      </c>
      <c r="T254" s="88">
        <f t="shared" si="86"/>
        <v>70551605.999999985</v>
      </c>
      <c r="U254" s="88">
        <f t="shared" si="86"/>
        <v>70551605.999999985</v>
      </c>
      <c r="V254" s="88">
        <f t="shared" si="86"/>
        <v>70551605.999999985</v>
      </c>
      <c r="W254" s="88">
        <f t="shared" si="86"/>
        <v>70551605.999999985</v>
      </c>
      <c r="X254" s="88">
        <f t="shared" si="86"/>
        <v>70551605.999999985</v>
      </c>
      <c r="Y254" s="88">
        <f t="shared" si="86"/>
        <v>70551605.999999985</v>
      </c>
      <c r="Z254" s="88">
        <f t="shared" si="86"/>
        <v>70551605.999999985</v>
      </c>
      <c r="AA254" s="88">
        <f t="shared" si="86"/>
        <v>70551605.999999985</v>
      </c>
      <c r="AB254" s="88">
        <f t="shared" si="86"/>
        <v>70551605.999999985</v>
      </c>
      <c r="AC254" s="88">
        <f t="shared" si="86"/>
        <v>70551605.999999985</v>
      </c>
      <c r="AD254" s="88">
        <f t="shared" si="86"/>
        <v>70551605.999999985</v>
      </c>
      <c r="AE254" s="88">
        <f t="shared" si="86"/>
        <v>70551605.999999985</v>
      </c>
      <c r="AF254" s="88">
        <f t="shared" si="86"/>
        <v>70551605.999999985</v>
      </c>
      <c r="AG254" s="88">
        <f t="shared" si="86"/>
        <v>70551605.999999985</v>
      </c>
      <c r="AH254" s="88">
        <f t="shared" si="86"/>
        <v>70551605.999999985</v>
      </c>
      <c r="AI254" s="88">
        <f t="shared" si="86"/>
        <v>70551605.999999985</v>
      </c>
      <c r="AJ254" s="88">
        <f t="shared" si="86"/>
        <v>70551605.999999985</v>
      </c>
      <c r="AK254" s="89">
        <f t="shared" si="86"/>
        <v>70551605.999999985</v>
      </c>
    </row>
    <row r="255" spans="1:37" ht="20.149999999999999" customHeight="1" outlineLevel="1" thickBot="1" x14ac:dyDescent="0.3">
      <c r="A255" s="14"/>
      <c r="C255" s="103"/>
      <c r="D255" s="103"/>
      <c r="E255" s="103"/>
      <c r="F255" s="103"/>
      <c r="G255" s="103"/>
      <c r="H255" s="103"/>
      <c r="I255" s="103"/>
      <c r="J255" s="103"/>
      <c r="K255" s="103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</row>
    <row r="256" spans="1:37" ht="20.149999999999999" customHeight="1" outlineLevel="1" thickBot="1" x14ac:dyDescent="0.3">
      <c r="A256" s="70">
        <v>4</v>
      </c>
      <c r="B256" s="104" t="s">
        <v>556</v>
      </c>
      <c r="C256" s="105"/>
      <c r="D256" s="105">
        <f t="shared" ref="D256:AK256" si="87">D254-D250-D243</f>
        <v>0</v>
      </c>
      <c r="E256" s="105">
        <f t="shared" si="87"/>
        <v>0</v>
      </c>
      <c r="F256" s="105">
        <f t="shared" si="87"/>
        <v>-679843.13163713785</v>
      </c>
      <c r="G256" s="105">
        <f t="shared" si="87"/>
        <v>2257646.4018980097</v>
      </c>
      <c r="H256" s="105">
        <f t="shared" si="87"/>
        <v>5058181.0546450634</v>
      </c>
      <c r="I256" s="105">
        <f t="shared" si="87"/>
        <v>7826669.1098463908</v>
      </c>
      <c r="J256" s="105">
        <f t="shared" si="87"/>
        <v>14740494.71658971</v>
      </c>
      <c r="K256" s="105">
        <f t="shared" si="87"/>
        <v>21092994.52628544</v>
      </c>
      <c r="L256" s="105">
        <f t="shared" si="87"/>
        <v>27955528.400972035</v>
      </c>
      <c r="M256" s="105">
        <f t="shared" si="87"/>
        <v>33676638.686074495</v>
      </c>
      <c r="N256" s="105">
        <f t="shared" si="87"/>
        <v>37913066.883944236</v>
      </c>
      <c r="O256" s="105">
        <f t="shared" si="87"/>
        <v>40266958.400819153</v>
      </c>
      <c r="P256" s="105">
        <f t="shared" si="87"/>
        <v>40266958.400819153</v>
      </c>
      <c r="Q256" s="105">
        <f t="shared" si="87"/>
        <v>40266958.400819153</v>
      </c>
      <c r="R256" s="105">
        <f t="shared" si="87"/>
        <v>40266958.400819153</v>
      </c>
      <c r="S256" s="105">
        <f t="shared" si="87"/>
        <v>40266958.400819153</v>
      </c>
      <c r="T256" s="105">
        <f t="shared" si="87"/>
        <v>40266958.400819153</v>
      </c>
      <c r="U256" s="105">
        <f t="shared" si="87"/>
        <v>40266958.400819153</v>
      </c>
      <c r="V256" s="105">
        <f t="shared" si="87"/>
        <v>40266958.400819153</v>
      </c>
      <c r="W256" s="105">
        <f t="shared" si="87"/>
        <v>40266958.400819153</v>
      </c>
      <c r="X256" s="105">
        <f t="shared" si="87"/>
        <v>40266958.400819153</v>
      </c>
      <c r="Y256" s="105">
        <f t="shared" si="87"/>
        <v>40266958.400819153</v>
      </c>
      <c r="Z256" s="105">
        <f t="shared" si="87"/>
        <v>40266958.400819153</v>
      </c>
      <c r="AA256" s="105">
        <f t="shared" si="87"/>
        <v>40266958.400819153</v>
      </c>
      <c r="AB256" s="105">
        <f t="shared" si="87"/>
        <v>40266958.400819153</v>
      </c>
      <c r="AC256" s="105">
        <f t="shared" si="87"/>
        <v>40266958.400819153</v>
      </c>
      <c r="AD256" s="105">
        <f t="shared" si="87"/>
        <v>40266958.400819153</v>
      </c>
      <c r="AE256" s="105">
        <f t="shared" si="87"/>
        <v>40266958.400819153</v>
      </c>
      <c r="AF256" s="105">
        <f t="shared" si="87"/>
        <v>40266958.400819153</v>
      </c>
      <c r="AG256" s="105">
        <f t="shared" si="87"/>
        <v>40266958.400819153</v>
      </c>
      <c r="AH256" s="105">
        <f t="shared" si="87"/>
        <v>40266958.400819153</v>
      </c>
      <c r="AI256" s="105">
        <f t="shared" si="87"/>
        <v>40266958.400819153</v>
      </c>
      <c r="AJ256" s="105">
        <f t="shared" si="87"/>
        <v>40266958.400819153</v>
      </c>
      <c r="AK256" s="105">
        <f t="shared" si="87"/>
        <v>40266958.400819153</v>
      </c>
    </row>
    <row r="257" spans="1:37" ht="20.149999999999999" customHeight="1" outlineLevel="1" thickBot="1" x14ac:dyDescent="0.3"/>
    <row r="258" spans="1:37" ht="20.149999999999999" customHeight="1" outlineLevel="1" thickBot="1" x14ac:dyDescent="0.3">
      <c r="A258" s="70">
        <v>5</v>
      </c>
      <c r="B258" s="104" t="s">
        <v>160</v>
      </c>
      <c r="C258" s="107"/>
      <c r="D258" s="107">
        <f>D256</f>
        <v>0</v>
      </c>
      <c r="E258" s="107">
        <f t="shared" ref="E258:AJ258" si="88">D258+E256</f>
        <v>0</v>
      </c>
      <c r="F258" s="107">
        <f t="shared" si="88"/>
        <v>-679843.13163713785</v>
      </c>
      <c r="G258" s="107">
        <f t="shared" si="88"/>
        <v>1577803.2702608719</v>
      </c>
      <c r="H258" s="107">
        <f>G258+H256</f>
        <v>6635984.3249059357</v>
      </c>
      <c r="I258" s="107">
        <f>H258+I256</f>
        <v>14462653.434752326</v>
      </c>
      <c r="J258" s="107">
        <f t="shared" si="88"/>
        <v>29203148.151342034</v>
      </c>
      <c r="K258" s="107">
        <f t="shared" si="88"/>
        <v>50296142.677627474</v>
      </c>
      <c r="L258" s="107">
        <f t="shared" si="88"/>
        <v>78251671.078599513</v>
      </c>
      <c r="M258" s="107">
        <f t="shared" si="88"/>
        <v>111928309.76467401</v>
      </c>
      <c r="N258" s="107">
        <f t="shared" si="88"/>
        <v>149841376.64861825</v>
      </c>
      <c r="O258" s="107">
        <f t="shared" si="88"/>
        <v>190108335.0494374</v>
      </c>
      <c r="P258" s="107">
        <f t="shared" si="88"/>
        <v>230375293.45025656</v>
      </c>
      <c r="Q258" s="107">
        <f t="shared" si="88"/>
        <v>270642251.85107571</v>
      </c>
      <c r="R258" s="107">
        <f t="shared" si="88"/>
        <v>310909210.25189483</v>
      </c>
      <c r="S258" s="107">
        <f t="shared" si="88"/>
        <v>351176168.65271401</v>
      </c>
      <c r="T258" s="107">
        <f t="shared" si="88"/>
        <v>391443127.0535332</v>
      </c>
      <c r="U258" s="107">
        <f t="shared" si="88"/>
        <v>431710085.45435238</v>
      </c>
      <c r="V258" s="107">
        <f t="shared" si="88"/>
        <v>471977043.85517156</v>
      </c>
      <c r="W258" s="107">
        <f t="shared" si="88"/>
        <v>512244002.25599074</v>
      </c>
      <c r="X258" s="107">
        <f t="shared" si="88"/>
        <v>552510960.65680993</v>
      </c>
      <c r="Y258" s="107">
        <f t="shared" si="88"/>
        <v>592777919.05762911</v>
      </c>
      <c r="Z258" s="107">
        <f t="shared" si="88"/>
        <v>633044877.45844829</v>
      </c>
      <c r="AA258" s="107">
        <f t="shared" si="88"/>
        <v>673311835.85926747</v>
      </c>
      <c r="AB258" s="107">
        <f t="shared" si="88"/>
        <v>713578794.26008666</v>
      </c>
      <c r="AC258" s="107">
        <f t="shared" si="88"/>
        <v>753845752.66090584</v>
      </c>
      <c r="AD258" s="107">
        <f t="shared" si="88"/>
        <v>794112711.06172502</v>
      </c>
      <c r="AE258" s="107">
        <f t="shared" si="88"/>
        <v>834379669.4625442</v>
      </c>
      <c r="AF258" s="107">
        <f t="shared" si="88"/>
        <v>874646627.86336339</v>
      </c>
      <c r="AG258" s="107">
        <f t="shared" si="88"/>
        <v>914913586.26418257</v>
      </c>
      <c r="AH258" s="107">
        <f t="shared" si="88"/>
        <v>955180544.66500175</v>
      </c>
      <c r="AI258" s="107">
        <f t="shared" si="88"/>
        <v>995447503.06582093</v>
      </c>
      <c r="AJ258" s="107">
        <f t="shared" si="88"/>
        <v>1035714461.4666401</v>
      </c>
      <c r="AK258" s="107">
        <f>AJ258+AK256</f>
        <v>1075981419.8674593</v>
      </c>
    </row>
    <row r="259" spans="1:37" outlineLevel="1" x14ac:dyDescent="0.25"/>
    <row r="260" spans="1:37" s="546" customFormat="1" ht="30" customHeight="1" collapsed="1" x14ac:dyDescent="0.25">
      <c r="A260" s="545" t="s">
        <v>261</v>
      </c>
    </row>
    <row r="261" spans="1:37" s="550" customFormat="1" ht="20.149999999999999" hidden="1" customHeight="1" outlineLevel="1" thickBot="1" x14ac:dyDescent="0.3">
      <c r="A261" s="547" t="s">
        <v>395</v>
      </c>
      <c r="B261" s="548"/>
      <c r="C261" s="548"/>
      <c r="D261" s="548"/>
      <c r="E261" s="548"/>
      <c r="F261" s="548"/>
      <c r="G261" s="548"/>
      <c r="H261" s="548"/>
      <c r="I261" s="548"/>
      <c r="J261" s="548"/>
      <c r="K261" s="548"/>
      <c r="L261" s="548"/>
      <c r="M261" s="548"/>
      <c r="N261" s="548"/>
      <c r="O261" s="548"/>
      <c r="P261" s="548"/>
      <c r="Q261" s="548"/>
      <c r="R261" s="548"/>
      <c r="S261" s="548"/>
      <c r="T261" s="548"/>
      <c r="U261" s="548"/>
      <c r="V261" s="548"/>
      <c r="W261" s="548"/>
      <c r="X261" s="548"/>
      <c r="Y261" s="548"/>
      <c r="Z261" s="548"/>
      <c r="AA261" s="548"/>
      <c r="AB261" s="548"/>
      <c r="AC261" s="548"/>
      <c r="AD261" s="548"/>
      <c r="AE261" s="548"/>
      <c r="AF261" s="548"/>
      <c r="AG261" s="548"/>
      <c r="AH261" s="548"/>
      <c r="AI261" s="548"/>
      <c r="AJ261" s="548"/>
      <c r="AK261" s="548"/>
    </row>
    <row r="262" spans="1:37" s="58" customFormat="1" ht="20.149999999999999" hidden="1" customHeight="1" outlineLevel="1" thickBot="1" x14ac:dyDescent="0.3">
      <c r="A262" s="1096" t="s">
        <v>152</v>
      </c>
      <c r="B262" s="1098" t="s">
        <v>150</v>
      </c>
      <c r="C262" s="884" t="s">
        <v>151</v>
      </c>
      <c r="D262" s="885"/>
      <c r="E262" s="885"/>
      <c r="F262" s="885"/>
      <c r="G262" s="885"/>
      <c r="H262" s="885"/>
      <c r="I262" s="885"/>
      <c r="J262" s="885"/>
      <c r="K262" s="885"/>
      <c r="L262" s="885"/>
      <c r="M262" s="885"/>
      <c r="N262" s="885"/>
      <c r="O262" s="885"/>
      <c r="P262" s="885"/>
      <c r="Q262" s="885"/>
      <c r="R262" s="885"/>
      <c r="S262" s="885"/>
      <c r="T262" s="885"/>
      <c r="U262" s="885"/>
      <c r="V262" s="885"/>
      <c r="W262" s="885"/>
      <c r="X262" s="885"/>
      <c r="Y262" s="885"/>
      <c r="Z262" s="885"/>
      <c r="AA262" s="885"/>
      <c r="AB262" s="885"/>
      <c r="AC262" s="885"/>
      <c r="AD262" s="885"/>
      <c r="AE262" s="885"/>
      <c r="AF262" s="885"/>
      <c r="AG262" s="885"/>
      <c r="AH262" s="885"/>
      <c r="AI262" s="885"/>
      <c r="AJ262" s="885"/>
      <c r="AK262" s="886"/>
    </row>
    <row r="263" spans="1:37" s="58" customFormat="1" ht="20.149999999999999" hidden="1" customHeight="1" outlineLevel="1" thickBot="1" x14ac:dyDescent="0.3">
      <c r="A263" s="1097"/>
      <c r="B263" s="1099"/>
      <c r="C263" s="122">
        <v>1</v>
      </c>
      <c r="D263" s="122">
        <f>C263+1</f>
        <v>2</v>
      </c>
      <c r="E263" s="122">
        <f t="shared" ref="E263:AK263" si="89">D263+1</f>
        <v>3</v>
      </c>
      <c r="F263" s="122">
        <f t="shared" si="89"/>
        <v>4</v>
      </c>
      <c r="G263" s="122">
        <f t="shared" si="89"/>
        <v>5</v>
      </c>
      <c r="H263" s="122">
        <f t="shared" si="89"/>
        <v>6</v>
      </c>
      <c r="I263" s="122">
        <f t="shared" si="89"/>
        <v>7</v>
      </c>
      <c r="J263" s="122">
        <f t="shared" si="89"/>
        <v>8</v>
      </c>
      <c r="K263" s="122">
        <f t="shared" si="89"/>
        <v>9</v>
      </c>
      <c r="L263" s="122">
        <f t="shared" si="89"/>
        <v>10</v>
      </c>
      <c r="M263" s="122">
        <f t="shared" si="89"/>
        <v>11</v>
      </c>
      <c r="N263" s="122">
        <f t="shared" si="89"/>
        <v>12</v>
      </c>
      <c r="O263" s="122">
        <f t="shared" si="89"/>
        <v>13</v>
      </c>
      <c r="P263" s="122">
        <f t="shared" si="89"/>
        <v>14</v>
      </c>
      <c r="Q263" s="122">
        <f t="shared" si="89"/>
        <v>15</v>
      </c>
      <c r="R263" s="122">
        <f t="shared" si="89"/>
        <v>16</v>
      </c>
      <c r="S263" s="122">
        <f t="shared" si="89"/>
        <v>17</v>
      </c>
      <c r="T263" s="122">
        <f t="shared" si="89"/>
        <v>18</v>
      </c>
      <c r="U263" s="122">
        <f t="shared" si="89"/>
        <v>19</v>
      </c>
      <c r="V263" s="122">
        <f t="shared" si="89"/>
        <v>20</v>
      </c>
      <c r="W263" s="122">
        <f t="shared" si="89"/>
        <v>21</v>
      </c>
      <c r="X263" s="122">
        <f t="shared" si="89"/>
        <v>22</v>
      </c>
      <c r="Y263" s="122">
        <f t="shared" si="89"/>
        <v>23</v>
      </c>
      <c r="Z263" s="122">
        <f t="shared" si="89"/>
        <v>24</v>
      </c>
      <c r="AA263" s="122">
        <f t="shared" si="89"/>
        <v>25</v>
      </c>
      <c r="AB263" s="122">
        <f t="shared" si="89"/>
        <v>26</v>
      </c>
      <c r="AC263" s="122">
        <f t="shared" si="89"/>
        <v>27</v>
      </c>
      <c r="AD263" s="122">
        <f t="shared" si="89"/>
        <v>28</v>
      </c>
      <c r="AE263" s="122">
        <f t="shared" si="89"/>
        <v>29</v>
      </c>
      <c r="AF263" s="122">
        <f t="shared" si="89"/>
        <v>30</v>
      </c>
      <c r="AG263" s="122">
        <f t="shared" si="89"/>
        <v>31</v>
      </c>
      <c r="AH263" s="122">
        <f t="shared" si="89"/>
        <v>32</v>
      </c>
      <c r="AI263" s="122">
        <f t="shared" si="89"/>
        <v>33</v>
      </c>
      <c r="AJ263" s="122">
        <f t="shared" si="89"/>
        <v>34</v>
      </c>
      <c r="AK263" s="45">
        <f t="shared" si="89"/>
        <v>35</v>
      </c>
    </row>
    <row r="264" spans="1:37" ht="20.149999999999999" hidden="1" customHeight="1" outlineLevel="1" x14ac:dyDescent="0.25">
      <c r="A264" s="71">
        <v>1</v>
      </c>
      <c r="B264" s="76" t="s">
        <v>134</v>
      </c>
      <c r="AK264" s="876"/>
    </row>
    <row r="265" spans="1:37" ht="20.149999999999999" hidden="1" customHeight="1" outlineLevel="1" x14ac:dyDescent="0.25">
      <c r="A265" s="48" t="s">
        <v>74</v>
      </c>
      <c r="B265" s="78" t="s">
        <v>129</v>
      </c>
      <c r="C265" s="80"/>
      <c r="D265" s="80">
        <f>('Critérios de Implantação'!D$30*'Critérios de Implantação'!$C$17)*'Resumo-Cult.Temp.'!$C65</f>
        <v>0</v>
      </c>
      <c r="E265" s="80">
        <f>('Critérios de Implantação'!E$30*'Critérios de Implantação'!$C$17)*'Resumo-Cult.Temp.'!$C65</f>
        <v>0</v>
      </c>
      <c r="F265" s="80">
        <f>('Critérios de Implantação'!F$30*'Critérios de Implantação'!$C$17)*'Resumo-Cult.Temp.'!$C65</f>
        <v>203541.06408299584</v>
      </c>
      <c r="G265" s="80">
        <f>('Critérios de Implantação'!G$30*'Critérios de Implantação'!$C$17)*'Resumo-Cult.Temp.'!$C65</f>
        <v>203541.06408299584</v>
      </c>
      <c r="H265" s="80">
        <f>('Critérios de Implantação'!H$30*'Critérios de Implantação'!$C$17)*'Resumo-Cult.Temp.'!$C65</f>
        <v>244544.55572648766</v>
      </c>
      <c r="I265" s="80">
        <f>('Critérios de Implantação'!I$30*'Critérios de Implantação'!$C$17)*'Resumo-Cult.Temp.'!$C65</f>
        <v>472311.90537953348</v>
      </c>
      <c r="J265" s="80">
        <f>('Critérios de Implantação'!J$30*'Critérios de Implantação'!$C$17)*'Resumo-Cult.Temp.'!$C65</f>
        <v>443134.37700381997</v>
      </c>
      <c r="K265" s="80">
        <f>('Critérios de Implantação'!K$30*'Critérios de Implantação'!$C$17)*'Resumo-Cult.Temp.'!$C65</f>
        <v>455943.2488458759</v>
      </c>
      <c r="L265" s="80">
        <f>('Critérios de Implantação'!L$30*'Critérios de Implantação'!$C$17)*'Resumo-Cult.Temp.'!$C65</f>
        <v>371395.91268300684</v>
      </c>
      <c r="M265" s="80">
        <f>('Critérios de Implantação'!M$30*'Critérios de Implantação'!$C$17)*'Resumo-Cult.Temp.'!$C65</f>
        <v>263269.10306908697</v>
      </c>
      <c r="N265" s="80">
        <f>('Critérios de Implantação'!N$30*'Critérios de Implantação'!$C$17)*'Resumo-Cult.Temp.'!$C65</f>
        <v>132449.41188118196</v>
      </c>
      <c r="O265" s="80">
        <f>('Critérios de Implantação'!O$30*'Critérios de Implantação'!$C$17)*'Resumo-Cult.Temp.'!$C65</f>
        <v>0</v>
      </c>
      <c r="P265" s="80">
        <f>('Critérios de Implantação'!P$30*'Critérios de Implantação'!$C$17)*'Resumo-Cult.Temp.'!$C65</f>
        <v>0</v>
      </c>
      <c r="Q265" s="80">
        <f>('Critérios de Implantação'!Q$30*'Critérios de Implantação'!$C$17)*'Resumo-Cult.Temp.'!$C65</f>
        <v>0</v>
      </c>
      <c r="R265" s="80">
        <f>('Critérios de Implantação'!R$30*'Critérios de Implantação'!$C$17)*'Resumo-Cult.Temp.'!$C65</f>
        <v>0</v>
      </c>
      <c r="S265" s="80">
        <f>('Critérios de Implantação'!S$30*'Critérios de Implantação'!$C$17)*'Resumo-Cult.Temp.'!$C65</f>
        <v>0</v>
      </c>
      <c r="T265" s="80">
        <f>('Critérios de Implantação'!T$30*'Critérios de Implantação'!$C$17)*'Resumo-Cult.Temp.'!$C65</f>
        <v>0</v>
      </c>
      <c r="U265" s="80">
        <f>('Critérios de Implantação'!U$30*'Critérios de Implantação'!$C$17)*'Resumo-Cult.Temp.'!$C65</f>
        <v>0</v>
      </c>
      <c r="V265" s="80">
        <f>('Critérios de Implantação'!V$30*'Critérios de Implantação'!$C$17)*'Resumo-Cult.Temp.'!$C65</f>
        <v>0</v>
      </c>
      <c r="W265" s="80">
        <f>('Critérios de Implantação'!W$30*'Critérios de Implantação'!$C$17)*'Resumo-Cult.Temp.'!$C65</f>
        <v>0</v>
      </c>
      <c r="X265" s="80">
        <f>('Critérios de Implantação'!X$30*'Critérios de Implantação'!$C$17)*'Resumo-Cult.Temp.'!$C65</f>
        <v>0</v>
      </c>
      <c r="Y265" s="80">
        <f>('Critérios de Implantação'!Y$30*'Critérios de Implantação'!$C$17)*'Resumo-Cult.Temp.'!$C65</f>
        <v>0</v>
      </c>
      <c r="Z265" s="80">
        <f>('Critérios de Implantação'!Z$30*'Critérios de Implantação'!$C$17)*'Resumo-Cult.Temp.'!$C65</f>
        <v>0</v>
      </c>
      <c r="AA265" s="80">
        <f>('Critérios de Implantação'!AA$30*'Critérios de Implantação'!$C$17)*'Resumo-Cult.Temp.'!$C65</f>
        <v>0</v>
      </c>
      <c r="AB265" s="80">
        <f>('Critérios de Implantação'!AB$30*'Critérios de Implantação'!$C$17)*'Resumo-Cult.Temp.'!$C65</f>
        <v>0</v>
      </c>
      <c r="AC265" s="80">
        <f>('Critérios de Implantação'!AC$30*'Critérios de Implantação'!$C$17)*'Resumo-Cult.Temp.'!$C65</f>
        <v>0</v>
      </c>
      <c r="AD265" s="80">
        <f>('Critérios de Implantação'!AD$30*'Critérios de Implantação'!$C$17)*'Resumo-Cult.Temp.'!$C65</f>
        <v>0</v>
      </c>
      <c r="AE265" s="80">
        <f>('Critérios de Implantação'!AE$30*'Critérios de Implantação'!$C$17)*'Resumo-Cult.Temp.'!$C65</f>
        <v>0</v>
      </c>
      <c r="AF265" s="80">
        <f>('Critérios de Implantação'!AF$30*'Critérios de Implantação'!$C$17)*'Resumo-Cult.Temp.'!$C65</f>
        <v>0</v>
      </c>
      <c r="AG265" s="80">
        <f>('Critérios de Implantação'!AG$30*'Critérios de Implantação'!$C$17)*'Resumo-Cult.Temp.'!$C65</f>
        <v>0</v>
      </c>
      <c r="AH265" s="80">
        <f>('Critérios de Implantação'!AH$30*'Critérios de Implantação'!$C$17)*'Resumo-Cult.Temp.'!$C65</f>
        <v>0</v>
      </c>
      <c r="AI265" s="80">
        <f>('Critérios de Implantação'!AI$30*'Critérios de Implantação'!$C$17)*'Resumo-Cult.Temp.'!$C65</f>
        <v>0</v>
      </c>
      <c r="AJ265" s="98">
        <f>('Critérios de Implantação'!AJ$30*'Critérios de Implantação'!$C$17)*'Resumo-Cult.Temp.'!$C65</f>
        <v>0</v>
      </c>
      <c r="AK265" s="81">
        <f>('Critérios de Implantação'!AK$30*'Critérios de Implantação'!$C$17)*'Resumo-Cult.Temp.'!$C65</f>
        <v>0</v>
      </c>
    </row>
    <row r="266" spans="1:37" ht="20.149999999999999" hidden="1" customHeight="1" outlineLevel="1" x14ac:dyDescent="0.25">
      <c r="A266" s="48" t="s">
        <v>75</v>
      </c>
      <c r="B266" s="82" t="s">
        <v>335</v>
      </c>
      <c r="C266" s="80"/>
      <c r="D266" s="80">
        <f>('Critérios de Implantação'!D$30*'Critérios de Implantação'!$C$17)*'Resumo-Cult.Temp.'!$C66</f>
        <v>0</v>
      </c>
      <c r="E266" s="80">
        <f>('Critérios de Implantação'!E$30*'Critérios de Implantação'!$C$17)*'Resumo-Cult.Temp.'!$C66</f>
        <v>0</v>
      </c>
      <c r="F266" s="80">
        <f>('Critérios de Implantação'!F$30*'Critérios de Implantação'!$C$17)*'Resumo-Cult.Temp.'!$C66</f>
        <v>0</v>
      </c>
      <c r="G266" s="80">
        <f>('Critérios de Implantação'!G$30*'Critérios de Implantação'!$C$17)*'Resumo-Cult.Temp.'!$C66</f>
        <v>0</v>
      </c>
      <c r="H266" s="80">
        <f>('Critérios de Implantação'!H$30*'Critérios de Implantação'!$C$17)*'Resumo-Cult.Temp.'!$C66</f>
        <v>0</v>
      </c>
      <c r="I266" s="80">
        <f>('Critérios de Implantação'!I$30*'Critérios de Implantação'!$C$17)*'Resumo-Cult.Temp.'!$C66</f>
        <v>0</v>
      </c>
      <c r="J266" s="80">
        <f>('Critérios de Implantação'!J$30*'Critérios de Implantação'!$C$17)*'Resumo-Cult.Temp.'!$C66</f>
        <v>0</v>
      </c>
      <c r="K266" s="80">
        <f>('Critérios de Implantação'!K$30*'Critérios de Implantação'!$C$17)*'Resumo-Cult.Temp.'!$C66</f>
        <v>0</v>
      </c>
      <c r="L266" s="80">
        <f>('Critérios de Implantação'!L$30*'Critérios de Implantação'!$C$17)*'Resumo-Cult.Temp.'!$C66</f>
        <v>0</v>
      </c>
      <c r="M266" s="80">
        <f>('Critérios de Implantação'!M$30*'Critérios de Implantação'!$C$17)*'Resumo-Cult.Temp.'!$C66</f>
        <v>0</v>
      </c>
      <c r="N266" s="80">
        <f>('Critérios de Implantação'!N$30*'Critérios de Implantação'!$C$17)*'Resumo-Cult.Temp.'!$C66</f>
        <v>0</v>
      </c>
      <c r="O266" s="80">
        <f>('Critérios de Implantação'!O$30*'Critérios de Implantação'!$C$17)*'Resumo-Cult.Temp.'!$C66</f>
        <v>0</v>
      </c>
      <c r="P266" s="80">
        <f>('Critérios de Implantação'!P$30*'Critérios de Implantação'!$C$17)*'Resumo-Cult.Temp.'!$C66</f>
        <v>0</v>
      </c>
      <c r="Q266" s="80">
        <f>('Critérios de Implantação'!Q$30*'Critérios de Implantação'!$C$17)*'Resumo-Cult.Temp.'!$C66</f>
        <v>0</v>
      </c>
      <c r="R266" s="80">
        <f>('Critérios de Implantação'!R$30*'Critérios de Implantação'!$C$17)*'Resumo-Cult.Temp.'!$C66</f>
        <v>0</v>
      </c>
      <c r="S266" s="80">
        <f>('Critérios de Implantação'!S$30*'Critérios de Implantação'!$C$17)*'Resumo-Cult.Temp.'!$C66</f>
        <v>0</v>
      </c>
      <c r="T266" s="80">
        <f>('Critérios de Implantação'!T$30*'Critérios de Implantação'!$C$17)*'Resumo-Cult.Temp.'!$C66</f>
        <v>0</v>
      </c>
      <c r="U266" s="80">
        <f>('Critérios de Implantação'!U$30*'Critérios de Implantação'!$C$17)*'Resumo-Cult.Temp.'!$C66</f>
        <v>0</v>
      </c>
      <c r="V266" s="80">
        <f>('Critérios de Implantação'!V$30*'Critérios de Implantação'!$C$17)*'Resumo-Cult.Temp.'!$C66</f>
        <v>0</v>
      </c>
      <c r="W266" s="80">
        <f>('Critérios de Implantação'!W$30*'Critérios de Implantação'!$C$17)*'Resumo-Cult.Temp.'!$C66</f>
        <v>0</v>
      </c>
      <c r="X266" s="80">
        <f>('Critérios de Implantação'!X$30*'Critérios de Implantação'!$C$17)*'Resumo-Cult.Temp.'!$C66</f>
        <v>0</v>
      </c>
      <c r="Y266" s="80">
        <f>('Critérios de Implantação'!Y$30*'Critérios de Implantação'!$C$17)*'Resumo-Cult.Temp.'!$C66</f>
        <v>0</v>
      </c>
      <c r="Z266" s="80">
        <f>('Critérios de Implantação'!Z$30*'Critérios de Implantação'!$C$17)*'Resumo-Cult.Temp.'!$C66</f>
        <v>0</v>
      </c>
      <c r="AA266" s="80">
        <f>('Critérios de Implantação'!AA$30*'Critérios de Implantação'!$C$17)*'Resumo-Cult.Temp.'!$C66</f>
        <v>0</v>
      </c>
      <c r="AB266" s="80">
        <f>('Critérios de Implantação'!AB$30*'Critérios de Implantação'!$C$17)*'Resumo-Cult.Temp.'!$C66</f>
        <v>0</v>
      </c>
      <c r="AC266" s="80">
        <f>('Critérios de Implantação'!AC$30*'Critérios de Implantação'!$C$17)*'Resumo-Cult.Temp.'!$C66</f>
        <v>0</v>
      </c>
      <c r="AD266" s="80">
        <f>('Critérios de Implantação'!AD$30*'Critérios de Implantação'!$C$17)*'Resumo-Cult.Temp.'!$C66</f>
        <v>0</v>
      </c>
      <c r="AE266" s="80">
        <f>('Critérios de Implantação'!AE$30*'Critérios de Implantação'!$C$17)*'Resumo-Cult.Temp.'!$C66</f>
        <v>0</v>
      </c>
      <c r="AF266" s="80">
        <f>('Critérios de Implantação'!AF$30*'Critérios de Implantação'!$C$17)*'Resumo-Cult.Temp.'!$C66</f>
        <v>0</v>
      </c>
      <c r="AG266" s="80">
        <f>('Critérios de Implantação'!AG$30*'Critérios de Implantação'!$C$17)*'Resumo-Cult.Temp.'!$C66</f>
        <v>0</v>
      </c>
      <c r="AH266" s="80">
        <f>('Critérios de Implantação'!AH$30*'Critérios de Implantação'!$C$17)*'Resumo-Cult.Temp.'!$C66</f>
        <v>0</v>
      </c>
      <c r="AI266" s="80">
        <f>('Critérios de Implantação'!AI$30*'Critérios de Implantação'!$C$17)*'Resumo-Cult.Temp.'!$C66</f>
        <v>0</v>
      </c>
      <c r="AJ266" s="98">
        <f>('Critérios de Implantação'!AJ$30*'Critérios de Implantação'!$C$17)*'Resumo-Cult.Temp.'!$C66</f>
        <v>0</v>
      </c>
      <c r="AK266" s="81">
        <f>('Critérios de Implantação'!AK$30*'Critérios de Implantação'!$C$17)*'Resumo-Cult.Temp.'!$C66</f>
        <v>0</v>
      </c>
    </row>
    <row r="267" spans="1:37" ht="20.149999999999999" hidden="1" customHeight="1" outlineLevel="1" x14ac:dyDescent="0.25">
      <c r="A267" s="48" t="s">
        <v>76</v>
      </c>
      <c r="B267" s="82" t="s">
        <v>336</v>
      </c>
      <c r="C267" s="80"/>
      <c r="D267" s="80">
        <f>('Critérios de Implantação'!D$30*'Critérios de Implantação'!$C$17)*'Resumo-Cult.Temp.'!$C67</f>
        <v>0</v>
      </c>
      <c r="E267" s="80">
        <f>('Critérios de Implantação'!E$30*'Critérios de Implantação'!$C$17)*'Resumo-Cult.Temp.'!$C67</f>
        <v>0</v>
      </c>
      <c r="F267" s="80">
        <f>('Critérios de Implantação'!F$30*'Critérios de Implantação'!$C$17)*'Resumo-Cult.Temp.'!$C67</f>
        <v>2910710.6634474872</v>
      </c>
      <c r="G267" s="80">
        <f>('Critérios de Implantação'!G$30*'Critérios de Implantação'!$C$17)*'Resumo-Cult.Temp.'!$C67</f>
        <v>2910710.6634474872</v>
      </c>
      <c r="H267" s="80">
        <f>('Critérios de Implantação'!H$30*'Critérios de Implantação'!$C$17)*'Resumo-Cult.Temp.'!$C67</f>
        <v>3497075.3899118509</v>
      </c>
      <c r="I267" s="80">
        <f>('Critérios de Implantação'!I$30*'Critérios de Implantação'!$C$17)*'Resumo-Cult.Temp.'!$C67</f>
        <v>6754230.6789790364</v>
      </c>
      <c r="J267" s="80">
        <f>('Critérios de Implantação'!J$30*'Critérios de Implantação'!$C$17)*'Resumo-Cult.Temp.'!$C67</f>
        <v>6336981.4946001973</v>
      </c>
      <c r="K267" s="80">
        <f>('Critérios de Implantação'!K$30*'Critérios de Implantação'!$C$17)*'Resumo-Cult.Temp.'!$C67</f>
        <v>6520152.9839769164</v>
      </c>
      <c r="L267" s="80">
        <f>('Critérios de Implantação'!L$30*'Critérios de Implantação'!$C$17)*'Resumo-Cult.Temp.'!$C67</f>
        <v>5311095.56824583</v>
      </c>
      <c r="M267" s="80">
        <f>('Critérios de Implantação'!M$30*'Critérios de Implantação'!$C$17)*'Resumo-Cult.Temp.'!$C67</f>
        <v>3764843.1735965605</v>
      </c>
      <c r="N267" s="80">
        <f>('Critérios de Implantação'!N$30*'Critérios de Implantação'!$C$17)*'Resumo-Cult.Temp.'!$C67</f>
        <v>1894074.3837946346</v>
      </c>
      <c r="O267" s="80">
        <f>('Critérios de Implantação'!O$30*'Critérios de Implantação'!$C$17)*'Resumo-Cult.Temp.'!$C67</f>
        <v>0</v>
      </c>
      <c r="P267" s="80">
        <f>('Critérios de Implantação'!P$30*'Critérios de Implantação'!$C$17)*'Resumo-Cult.Temp.'!$C67</f>
        <v>0</v>
      </c>
      <c r="Q267" s="80">
        <f>('Critérios de Implantação'!Q$30*'Critérios de Implantação'!$C$17)*'Resumo-Cult.Temp.'!$C67</f>
        <v>0</v>
      </c>
      <c r="R267" s="80">
        <f>('Critérios de Implantação'!R$30*'Critérios de Implantação'!$C$17)*'Resumo-Cult.Temp.'!$C67</f>
        <v>0</v>
      </c>
      <c r="S267" s="80">
        <f>('Critérios de Implantação'!S$30*'Critérios de Implantação'!$C$17)*'Resumo-Cult.Temp.'!$C67</f>
        <v>0</v>
      </c>
      <c r="T267" s="80">
        <f>('Critérios de Implantação'!T$30*'Critérios de Implantação'!$C$17)*'Resumo-Cult.Temp.'!$C67</f>
        <v>0</v>
      </c>
      <c r="U267" s="80">
        <f>('Critérios de Implantação'!U$30*'Critérios de Implantação'!$C$17)*'Resumo-Cult.Temp.'!$C67</f>
        <v>0</v>
      </c>
      <c r="V267" s="80">
        <f>('Critérios de Implantação'!V$30*'Critérios de Implantação'!$C$17)*'Resumo-Cult.Temp.'!$C67</f>
        <v>0</v>
      </c>
      <c r="W267" s="80">
        <f>('Critérios de Implantação'!W$30*'Critérios de Implantação'!$C$17)*'Resumo-Cult.Temp.'!$C67</f>
        <v>0</v>
      </c>
      <c r="X267" s="80">
        <f>('Critérios de Implantação'!X$30*'Critérios de Implantação'!$C$17)*'Resumo-Cult.Temp.'!$C67</f>
        <v>0</v>
      </c>
      <c r="Y267" s="80">
        <f>('Critérios de Implantação'!Y$30*'Critérios de Implantação'!$C$17)*'Resumo-Cult.Temp.'!$C67</f>
        <v>0</v>
      </c>
      <c r="Z267" s="80">
        <f>('Critérios de Implantação'!Z$30*'Critérios de Implantação'!$C$17)*'Resumo-Cult.Temp.'!$C67</f>
        <v>0</v>
      </c>
      <c r="AA267" s="80">
        <f>('Critérios de Implantação'!AA$30*'Critérios de Implantação'!$C$17)*'Resumo-Cult.Temp.'!$C67</f>
        <v>0</v>
      </c>
      <c r="AB267" s="80">
        <f>('Critérios de Implantação'!AB$30*'Critérios de Implantação'!$C$17)*'Resumo-Cult.Temp.'!$C67</f>
        <v>0</v>
      </c>
      <c r="AC267" s="80">
        <f>('Critérios de Implantação'!AC$30*'Critérios de Implantação'!$C$17)*'Resumo-Cult.Temp.'!$C67</f>
        <v>0</v>
      </c>
      <c r="AD267" s="80">
        <f>('Critérios de Implantação'!AD$30*'Critérios de Implantação'!$C$17)*'Resumo-Cult.Temp.'!$C67</f>
        <v>0</v>
      </c>
      <c r="AE267" s="80">
        <f>('Critérios de Implantação'!AE$30*'Critérios de Implantação'!$C$17)*'Resumo-Cult.Temp.'!$C67</f>
        <v>0</v>
      </c>
      <c r="AF267" s="80">
        <f>('Critérios de Implantação'!AF$30*'Critérios de Implantação'!$C$17)*'Resumo-Cult.Temp.'!$C67</f>
        <v>0</v>
      </c>
      <c r="AG267" s="80">
        <f>('Critérios de Implantação'!AG$30*'Critérios de Implantação'!$C$17)*'Resumo-Cult.Temp.'!$C67</f>
        <v>0</v>
      </c>
      <c r="AH267" s="80">
        <f>('Critérios de Implantação'!AH$30*'Critérios de Implantação'!$C$17)*'Resumo-Cult.Temp.'!$C67</f>
        <v>0</v>
      </c>
      <c r="AI267" s="80">
        <f>('Critérios de Implantação'!AI$30*'Critérios de Implantação'!$C$17)*'Resumo-Cult.Temp.'!$C67</f>
        <v>0</v>
      </c>
      <c r="AJ267" s="98">
        <f>('Critérios de Implantação'!AJ$30*'Critérios de Implantação'!$C$17)*'Resumo-Cult.Temp.'!$C67</f>
        <v>0</v>
      </c>
      <c r="AK267" s="81">
        <f>('Critérios de Implantação'!AK$30*'Critérios de Implantação'!$C$17)*'Resumo-Cult.Temp.'!$C67</f>
        <v>0</v>
      </c>
    </row>
    <row r="268" spans="1:37" ht="20.149999999999999" hidden="1" customHeight="1" outlineLevel="1" x14ac:dyDescent="0.25">
      <c r="A268" s="48" t="s">
        <v>126</v>
      </c>
      <c r="B268" s="82" t="s">
        <v>130</v>
      </c>
      <c r="C268" s="80"/>
      <c r="D268" s="80">
        <f>('Critérios de Implantação'!D$30*'Critérios de Implantação'!$C$17)*'Resumo-Cult.Temp.'!$C68</f>
        <v>0</v>
      </c>
      <c r="E268" s="80">
        <f>('Critérios de Implantação'!E$30*'Critérios de Implantação'!$C$17)*'Resumo-Cult.Temp.'!$C68</f>
        <v>0</v>
      </c>
      <c r="F268" s="80">
        <f>('Critérios de Implantação'!F$30*'Critérios de Implantação'!$C$17)*'Resumo-Cult.Temp.'!$C68</f>
        <v>503080.93764180213</v>
      </c>
      <c r="G268" s="80">
        <f>('Critérios de Implantação'!G$30*'Critérios de Implantação'!$C$17)*'Resumo-Cult.Temp.'!$C68</f>
        <v>503080.93764180213</v>
      </c>
      <c r="H268" s="80">
        <f>('Critérios de Implantação'!H$30*'Critérios de Implantação'!$C$17)*'Resumo-Cult.Temp.'!$C68</f>
        <v>604426.9491482781</v>
      </c>
      <c r="I268" s="80">
        <f>('Critérios de Implantação'!I$30*'Critérios de Implantação'!$C$17)*'Resumo-Cult.Temp.'!$C68</f>
        <v>1167386.6268127281</v>
      </c>
      <c r="J268" s="80">
        <f>('Critérios de Implantação'!J$30*'Critérios de Implantação'!$C$17)*'Resumo-Cult.Temp.'!$C68</f>
        <v>1095270.1799450882</v>
      </c>
      <c r="K268" s="80">
        <f>('Critérios de Implantação'!K$30*'Critérios de Implantação'!$C$17)*'Resumo-Cult.Temp.'!$C68</f>
        <v>1126929.1441224967</v>
      </c>
      <c r="L268" s="80">
        <f>('Critérios de Implantação'!L$30*'Critérios de Implantação'!$C$17)*'Resumo-Cult.Temp.'!$C68</f>
        <v>917958.27456573199</v>
      </c>
      <c r="M268" s="80">
        <f>('Critérios de Implantação'!M$30*'Critérios de Implantação'!$C$17)*'Resumo-Cult.Temp.'!$C68</f>
        <v>650707.35392297304</v>
      </c>
      <c r="N268" s="80">
        <f>('Critérios de Implantação'!N$30*'Critérios de Implantação'!$C$17)*'Resumo-Cult.Temp.'!$C68</f>
        <v>327367.72119909967</v>
      </c>
      <c r="O268" s="80">
        <f>('Critérios de Implantação'!O$30*'Critérios de Implantação'!$C$17)*'Resumo-Cult.Temp.'!$C68</f>
        <v>0</v>
      </c>
      <c r="P268" s="80">
        <f>('Critérios de Implantação'!P$30*'Critérios de Implantação'!$C$17)*'Resumo-Cult.Temp.'!$C68</f>
        <v>0</v>
      </c>
      <c r="Q268" s="80">
        <f>('Critérios de Implantação'!Q$30*'Critérios de Implantação'!$C$17)*'Resumo-Cult.Temp.'!$C68</f>
        <v>0</v>
      </c>
      <c r="R268" s="80">
        <f>('Critérios de Implantação'!R$30*'Critérios de Implantação'!$C$17)*'Resumo-Cult.Temp.'!$C68</f>
        <v>0</v>
      </c>
      <c r="S268" s="80">
        <f>('Critérios de Implantação'!S$30*'Critérios de Implantação'!$C$17)*'Resumo-Cult.Temp.'!$C68</f>
        <v>0</v>
      </c>
      <c r="T268" s="80">
        <f>('Critérios de Implantação'!T$30*'Critérios de Implantação'!$C$17)*'Resumo-Cult.Temp.'!$C68</f>
        <v>0</v>
      </c>
      <c r="U268" s="80">
        <f>('Critérios de Implantação'!U$30*'Critérios de Implantação'!$C$17)*'Resumo-Cult.Temp.'!$C68</f>
        <v>0</v>
      </c>
      <c r="V268" s="80">
        <f>('Critérios de Implantação'!V$30*'Critérios de Implantação'!$C$17)*'Resumo-Cult.Temp.'!$C68</f>
        <v>0</v>
      </c>
      <c r="W268" s="80">
        <f>('Critérios de Implantação'!W$30*'Critérios de Implantação'!$C$17)*'Resumo-Cult.Temp.'!$C68</f>
        <v>0</v>
      </c>
      <c r="X268" s="80">
        <f>('Critérios de Implantação'!X$30*'Critérios de Implantação'!$C$17)*'Resumo-Cult.Temp.'!$C68</f>
        <v>0</v>
      </c>
      <c r="Y268" s="80">
        <f>('Critérios de Implantação'!Y$30*'Critérios de Implantação'!$C$17)*'Resumo-Cult.Temp.'!$C68</f>
        <v>0</v>
      </c>
      <c r="Z268" s="80">
        <f>('Critérios de Implantação'!Z$30*'Critérios de Implantação'!$C$17)*'Resumo-Cult.Temp.'!$C68</f>
        <v>0</v>
      </c>
      <c r="AA268" s="80">
        <f>('Critérios de Implantação'!AA$30*'Critérios de Implantação'!$C$17)*'Resumo-Cult.Temp.'!$C68</f>
        <v>0</v>
      </c>
      <c r="AB268" s="80">
        <f>('Critérios de Implantação'!AB$30*'Critérios de Implantação'!$C$17)*'Resumo-Cult.Temp.'!$C68</f>
        <v>0</v>
      </c>
      <c r="AC268" s="80">
        <f>('Critérios de Implantação'!AC$30*'Critérios de Implantação'!$C$17)*'Resumo-Cult.Temp.'!$C68</f>
        <v>0</v>
      </c>
      <c r="AD268" s="80">
        <f>('Critérios de Implantação'!AD$30*'Critérios de Implantação'!$C$17)*'Resumo-Cult.Temp.'!$C68</f>
        <v>0</v>
      </c>
      <c r="AE268" s="80">
        <f>('Critérios de Implantação'!AE$30*'Critérios de Implantação'!$C$17)*'Resumo-Cult.Temp.'!$C68</f>
        <v>0</v>
      </c>
      <c r="AF268" s="80">
        <f>('Critérios de Implantação'!AF$30*'Critérios de Implantação'!$C$17)*'Resumo-Cult.Temp.'!$C68</f>
        <v>0</v>
      </c>
      <c r="AG268" s="80">
        <f>('Critérios de Implantação'!AG$30*'Critérios de Implantação'!$C$17)*'Resumo-Cult.Temp.'!$C68</f>
        <v>0</v>
      </c>
      <c r="AH268" s="80">
        <f>('Critérios de Implantação'!AH$30*'Critérios de Implantação'!$C$17)*'Resumo-Cult.Temp.'!$C68</f>
        <v>0</v>
      </c>
      <c r="AI268" s="80">
        <f>('Critérios de Implantação'!AI$30*'Critérios de Implantação'!$C$17)*'Resumo-Cult.Temp.'!$C68</f>
        <v>0</v>
      </c>
      <c r="AJ268" s="98">
        <f>('Critérios de Implantação'!AJ$30*'Critérios de Implantação'!$C$17)*'Resumo-Cult.Temp.'!$C68</f>
        <v>0</v>
      </c>
      <c r="AK268" s="81">
        <f>('Critérios de Implantação'!AK$30*'Critérios de Implantação'!$C$17)*'Resumo-Cult.Temp.'!$C68</f>
        <v>0</v>
      </c>
    </row>
    <row r="269" spans="1:37" ht="20.149999999999999" hidden="1" customHeight="1" outlineLevel="1" x14ac:dyDescent="0.25">
      <c r="A269" s="48"/>
      <c r="B269" s="83" t="s">
        <v>228</v>
      </c>
      <c r="C269" s="93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98"/>
      <c r="AK269" s="81"/>
    </row>
    <row r="270" spans="1:37" ht="20.149999999999999" hidden="1" customHeight="1" outlineLevel="1" x14ac:dyDescent="0.25">
      <c r="A270" s="85" t="s">
        <v>135</v>
      </c>
      <c r="B270" s="82" t="s">
        <v>142</v>
      </c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98"/>
      <c r="AK270" s="81"/>
    </row>
    <row r="271" spans="1:37" ht="20.149999999999999" hidden="1" customHeight="1" outlineLevel="1" x14ac:dyDescent="0.25">
      <c r="A271" s="85" t="s">
        <v>157</v>
      </c>
      <c r="B271" s="34" t="s">
        <v>146</v>
      </c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98"/>
      <c r="AK271" s="81"/>
    </row>
    <row r="272" spans="1:37" ht="20.149999999999999" hidden="1" customHeight="1" outlineLevel="1" x14ac:dyDescent="0.25">
      <c r="A272" s="85" t="s">
        <v>158</v>
      </c>
      <c r="B272" s="82" t="s">
        <v>143</v>
      </c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98"/>
      <c r="AK272" s="81"/>
    </row>
    <row r="273" spans="1:37" ht="20.149999999999999" hidden="1" customHeight="1" outlineLevel="1" x14ac:dyDescent="0.25">
      <c r="A273" s="85" t="s">
        <v>159</v>
      </c>
      <c r="B273" s="34" t="s">
        <v>141</v>
      </c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98"/>
      <c r="AK273" s="81"/>
    </row>
    <row r="274" spans="1:37" s="15" customFormat="1" ht="20.149999999999999" hidden="1" customHeight="1" outlineLevel="1" thickBot="1" x14ac:dyDescent="0.3">
      <c r="A274" s="86"/>
      <c r="B274" s="87" t="s">
        <v>148</v>
      </c>
      <c r="C274" s="88"/>
      <c r="D274" s="88">
        <f t="shared" ref="D274:AK274" si="90">SUM(D265:D273)</f>
        <v>0</v>
      </c>
      <c r="E274" s="88">
        <f t="shared" si="90"/>
        <v>0</v>
      </c>
      <c r="F274" s="88">
        <f t="shared" si="90"/>
        <v>3617332.6651722854</v>
      </c>
      <c r="G274" s="88">
        <f t="shared" si="90"/>
        <v>3617332.6651722854</v>
      </c>
      <c r="H274" s="88">
        <f t="shared" si="90"/>
        <v>4346046.8947866168</v>
      </c>
      <c r="I274" s="88">
        <f t="shared" si="90"/>
        <v>8393929.2111712992</v>
      </c>
      <c r="J274" s="88">
        <f t="shared" si="90"/>
        <v>7875386.051549105</v>
      </c>
      <c r="K274" s="88">
        <f t="shared" si="90"/>
        <v>8103025.3769452889</v>
      </c>
      <c r="L274" s="88">
        <f t="shared" si="90"/>
        <v>6600449.7554945685</v>
      </c>
      <c r="M274" s="88">
        <f t="shared" si="90"/>
        <v>4678819.6305886209</v>
      </c>
      <c r="N274" s="88">
        <f t="shared" si="90"/>
        <v>2353891.5168749159</v>
      </c>
      <c r="O274" s="88">
        <f t="shared" si="90"/>
        <v>0</v>
      </c>
      <c r="P274" s="88">
        <f t="shared" si="90"/>
        <v>0</v>
      </c>
      <c r="Q274" s="88">
        <f t="shared" si="90"/>
        <v>0</v>
      </c>
      <c r="R274" s="88">
        <f t="shared" si="90"/>
        <v>0</v>
      </c>
      <c r="S274" s="88">
        <f t="shared" si="90"/>
        <v>0</v>
      </c>
      <c r="T274" s="88">
        <f t="shared" si="90"/>
        <v>0</v>
      </c>
      <c r="U274" s="88">
        <f t="shared" si="90"/>
        <v>0</v>
      </c>
      <c r="V274" s="88">
        <f t="shared" si="90"/>
        <v>0</v>
      </c>
      <c r="W274" s="88">
        <f t="shared" si="90"/>
        <v>0</v>
      </c>
      <c r="X274" s="88">
        <f t="shared" si="90"/>
        <v>0</v>
      </c>
      <c r="Y274" s="88">
        <f t="shared" si="90"/>
        <v>0</v>
      </c>
      <c r="Z274" s="88">
        <f t="shared" si="90"/>
        <v>0</v>
      </c>
      <c r="AA274" s="88">
        <f t="shared" si="90"/>
        <v>0</v>
      </c>
      <c r="AB274" s="88">
        <f t="shared" si="90"/>
        <v>0</v>
      </c>
      <c r="AC274" s="88">
        <f t="shared" si="90"/>
        <v>0</v>
      </c>
      <c r="AD274" s="88">
        <f t="shared" si="90"/>
        <v>0</v>
      </c>
      <c r="AE274" s="88">
        <f t="shared" si="90"/>
        <v>0</v>
      </c>
      <c r="AF274" s="88">
        <f t="shared" si="90"/>
        <v>0</v>
      </c>
      <c r="AG274" s="88">
        <f t="shared" si="90"/>
        <v>0</v>
      </c>
      <c r="AH274" s="88">
        <f t="shared" si="90"/>
        <v>0</v>
      </c>
      <c r="AI274" s="88">
        <f t="shared" si="90"/>
        <v>0</v>
      </c>
      <c r="AJ274" s="875">
        <f t="shared" si="90"/>
        <v>0</v>
      </c>
      <c r="AK274" s="89">
        <f t="shared" si="90"/>
        <v>0</v>
      </c>
    </row>
    <row r="275" spans="1:37" ht="20.149999999999999" hidden="1" customHeight="1" outlineLevel="1" thickBot="1" x14ac:dyDescent="0.3">
      <c r="A275" s="14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</row>
    <row r="276" spans="1:37" ht="20.149999999999999" hidden="1" customHeight="1" outlineLevel="1" x14ac:dyDescent="0.25">
      <c r="A276" s="71">
        <v>2</v>
      </c>
      <c r="B276" s="76" t="s">
        <v>136</v>
      </c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2"/>
    </row>
    <row r="277" spans="1:37" ht="20.149999999999999" hidden="1" customHeight="1" outlineLevel="1" x14ac:dyDescent="0.25">
      <c r="A277" s="48" t="s">
        <v>137</v>
      </c>
      <c r="B277" s="82" t="s">
        <v>142</v>
      </c>
      <c r="C277" s="93"/>
      <c r="D277" s="93">
        <f>'Resumo-Cult.Temp.'!C72*('Critérios de Implantação'!D$94+'Critérios de Implantação'!D$95+'Critérios de Implantação'!D$96)</f>
        <v>0</v>
      </c>
      <c r="E277" s="93">
        <f>'Resumo-Cult.Temp.'!D72*('Critérios de Implantação'!E$94+'Critérios de Implantação'!E$95+'Critérios de Implantação'!E$96)</f>
        <v>0</v>
      </c>
      <c r="F277" s="93">
        <f>'Resumo-Cult.Temp.'!E72*('Critérios de Implantação'!F$94+'Critérios de Implantação'!F$95+'Critérios de Implantação'!F$96)</f>
        <v>1364100.6190318763</v>
      </c>
      <c r="G277" s="93">
        <f>'Resumo-Cult.Temp.'!F72*('Critérios de Implantação'!G$94+'Critérios de Implantação'!G$95+'Critérios de Implantação'!G$96)</f>
        <v>2728201.2380637527</v>
      </c>
      <c r="H277" s="93">
        <f>'Resumo-Cult.Temp.'!G72*('Critérios de Implantação'!H$94+'Critérios de Implantação'!H$95+'Critérios de Implantação'!H$96)</f>
        <v>4367100.8937683878</v>
      </c>
      <c r="I277" s="93">
        <f>'Resumo-Cult.Temp.'!H72*('Critérios de Implantação'!I$94+'Critérios de Implantação'!I$95+'Critérios de Implantação'!I$96)</f>
        <v>7532461.9741331581</v>
      </c>
      <c r="J277" s="93">
        <f>'Resumo-Cult.Temp.'!I72*('Critérios de Implantação'!J$94+'Critérios de Implantação'!J$95+'Critérios de Implantação'!J$96)</f>
        <v>10502279.788089035</v>
      </c>
      <c r="K277" s="93">
        <f>'Resumo-Cult.Temp.'!J72*('Critérios de Implantação'!K$94+'Critérios de Implantação'!K$95+'Critérios de Implantação'!K$96)</f>
        <v>13557940.67301227</v>
      </c>
      <c r="L277" s="93">
        <f>'Resumo-Cult.Temp.'!K72*('Critérios de Implantação'!L$94+'Critérios de Implantação'!L$95+'Critérios de Implantação'!L$96)</f>
        <v>16046978.433914503</v>
      </c>
      <c r="M277" s="93">
        <f>'Resumo-Cult.Temp.'!L72*('Critérios de Implantação'!M$94+'Critérios de Implantação'!M$95+'Critérios de Implantação'!M$96)</f>
        <v>17811367.099594623</v>
      </c>
      <c r="N277" s="93">
        <f>'Resumo-Cult.Temp.'!M72*('Critérios de Implantação'!N$94+'Critérios de Implantação'!N$95+'Critérios de Implantação'!N$96)</f>
        <v>18699022.5</v>
      </c>
      <c r="O277" s="93">
        <f>'Resumo-Cult.Temp.'!N72*('Critérios de Implantação'!O$94+'Critérios de Implantação'!O$95+'Critérios de Implantação'!O$96)</f>
        <v>18699022.5</v>
      </c>
      <c r="P277" s="93">
        <f>'Resumo-Cult.Temp.'!O72*('Critérios de Implantação'!P$94+'Critérios de Implantação'!P$95+'Critérios de Implantação'!P$96)</f>
        <v>18699022.5</v>
      </c>
      <c r="Q277" s="93">
        <f>'Resumo-Cult.Temp.'!P72*('Critérios de Implantação'!Q$94+'Critérios de Implantação'!Q$95+'Critérios de Implantação'!Q$96)</f>
        <v>18699022.5</v>
      </c>
      <c r="R277" s="93">
        <f>'Resumo-Cult.Temp.'!Q72*('Critérios de Implantação'!R$94+'Critérios de Implantação'!R$95+'Critérios de Implantação'!R$96)</f>
        <v>18699022.5</v>
      </c>
      <c r="S277" s="93">
        <f>'Resumo-Cult.Temp.'!R72*('Critérios de Implantação'!S$94+'Critérios de Implantação'!S$95+'Critérios de Implantação'!S$96)</f>
        <v>18699022.5</v>
      </c>
      <c r="T277" s="93">
        <f>'Resumo-Cult.Temp.'!S72*('Critérios de Implantação'!T$94+'Critérios de Implantação'!T$95+'Critérios de Implantação'!T$96)</f>
        <v>18699022.5</v>
      </c>
      <c r="U277" s="93">
        <f>'Resumo-Cult.Temp.'!T72*('Critérios de Implantação'!U$94+'Critérios de Implantação'!U$95+'Critérios de Implantação'!U$96)</f>
        <v>18699022.5</v>
      </c>
      <c r="V277" s="93">
        <f>'Resumo-Cult.Temp.'!U72*('Critérios de Implantação'!V$94+'Critérios de Implantação'!V$95+'Critérios de Implantação'!V$96)</f>
        <v>18699022.5</v>
      </c>
      <c r="W277" s="93">
        <f>'Resumo-Cult.Temp.'!V72*('Critérios de Implantação'!W$94+'Critérios de Implantação'!W$95+'Critérios de Implantação'!W$96)</f>
        <v>18699022.5</v>
      </c>
      <c r="X277" s="93">
        <f>'Resumo-Cult.Temp.'!W72*('Critérios de Implantação'!X$94+'Critérios de Implantação'!X$95+'Critérios de Implantação'!X$96)</f>
        <v>18699022.5</v>
      </c>
      <c r="Y277" s="93">
        <f>'Resumo-Cult.Temp.'!X72*('Critérios de Implantação'!Y$94+'Critérios de Implantação'!Y$95+'Critérios de Implantação'!Y$96)</f>
        <v>18699022.5</v>
      </c>
      <c r="Z277" s="93">
        <f>'Resumo-Cult.Temp.'!Y72*('Critérios de Implantação'!Z$94+'Critérios de Implantação'!Z$95+'Critérios de Implantação'!Z$96)</f>
        <v>18699022.5</v>
      </c>
      <c r="AA277" s="93">
        <f>'Resumo-Cult.Temp.'!Z72*('Critérios de Implantação'!AA$94+'Critérios de Implantação'!AA$95+'Critérios de Implantação'!AA$96)</f>
        <v>18699022.5</v>
      </c>
      <c r="AB277" s="93">
        <f>'Resumo-Cult.Temp.'!AA72*('Critérios de Implantação'!AB$94+'Critérios de Implantação'!AB$95+'Critérios de Implantação'!AB$96)</f>
        <v>18699022.5</v>
      </c>
      <c r="AC277" s="93">
        <f>'Resumo-Cult.Temp.'!AB72*('Critérios de Implantação'!AC$94+'Critérios de Implantação'!AC$95+'Critérios de Implantação'!AC$96)</f>
        <v>18699022.5</v>
      </c>
      <c r="AD277" s="93">
        <f>'Resumo-Cult.Temp.'!AC72*('Critérios de Implantação'!AD$94+'Critérios de Implantação'!AD$95+'Critérios de Implantação'!AD$96)</f>
        <v>18699022.5</v>
      </c>
      <c r="AE277" s="93">
        <f>'Resumo-Cult.Temp.'!AD72*('Critérios de Implantação'!AE$94+'Critérios de Implantação'!AE$95+'Critérios de Implantação'!AE$96)</f>
        <v>18699022.5</v>
      </c>
      <c r="AF277" s="93">
        <f>'Resumo-Cult.Temp.'!AE72*('Critérios de Implantação'!AF$94+'Critérios de Implantação'!AF$95+'Critérios de Implantação'!AF$96)</f>
        <v>18699022.5</v>
      </c>
      <c r="AG277" s="93">
        <f>'Resumo-Cult.Temp.'!AF72*('Critérios de Implantação'!AG$94+'Critérios de Implantação'!AG$95+'Critérios de Implantação'!AG$96)</f>
        <v>18699022.5</v>
      </c>
      <c r="AH277" s="93">
        <f>'Resumo-Cult.Temp.'!AG72*('Critérios de Implantação'!AH$94+'Critérios de Implantação'!AH$95+'Critérios de Implantação'!AH$96)</f>
        <v>18699022.5</v>
      </c>
      <c r="AI277" s="93">
        <f>'Resumo-Cult.Temp.'!AH72*('Critérios de Implantação'!AI$94+'Critérios de Implantação'!AI$95+'Critérios de Implantação'!AI$96)</f>
        <v>18699022.5</v>
      </c>
      <c r="AJ277" s="93">
        <f>'Resumo-Cult.Temp.'!AI72*('Critérios de Implantação'!AJ$94+'Critérios de Implantação'!AJ$95+'Critérios de Implantação'!AJ$96)</f>
        <v>18699022.5</v>
      </c>
      <c r="AK277" s="95">
        <f>'Resumo-Cult.Temp.'!AJ72*('Critérios de Implantação'!AK$94+'Critérios de Implantação'!AK$95+'Critérios de Implantação'!AK$96)</f>
        <v>18699022.5</v>
      </c>
    </row>
    <row r="278" spans="1:37" ht="20.149999999999999" hidden="1" customHeight="1" outlineLevel="1" x14ac:dyDescent="0.25">
      <c r="A278" s="48" t="s">
        <v>138</v>
      </c>
      <c r="B278" s="34" t="s">
        <v>146</v>
      </c>
      <c r="C278" s="80"/>
      <c r="D278" s="93">
        <f>'Resumo-Cult.Temp.'!C73*('Critérios de Implantação'!D$94+'Critérios de Implantação'!D$95+'Critérios de Implantação'!D$96)</f>
        <v>0</v>
      </c>
      <c r="E278" s="93">
        <f>'Resumo-Cult.Temp.'!D73*('Critérios de Implantação'!E$94+'Critérios de Implantação'!E$95+'Critérios de Implantação'!E$96)</f>
        <v>0</v>
      </c>
      <c r="F278" s="93">
        <f>'Resumo-Cult.Temp.'!E73*('Critérios de Implantação'!F$94+'Critérios de Implantação'!F$95+'Critérios de Implantação'!F$96)</f>
        <v>250163.78134494618</v>
      </c>
      <c r="G278" s="93">
        <f>'Resumo-Cult.Temp.'!F73*('Critérios de Implantação'!G$94+'Critérios de Implantação'!G$95+'Critérios de Implantação'!G$96)</f>
        <v>500327.56268989237</v>
      </c>
      <c r="H278" s="93">
        <f>'Resumo-Cult.Temp.'!G73*('Critérios de Implantação'!H$94+'Critérios de Implantação'!H$95+'Critérios de Implantação'!H$96)</f>
        <v>800887.01512015413</v>
      </c>
      <c r="I278" s="93">
        <f>'Resumo-Cult.Temp.'!H73*('Critérios de Implantação'!I$94+'Critérios de Implantação'!I$95+'Critérios de Implantação'!I$96)</f>
        <v>1381385.7599621362</v>
      </c>
      <c r="J278" s="93">
        <f>'Resumo-Cult.Temp.'!I73*('Critérios de Implantação'!J$94+'Critérios de Implantação'!J$95+'Critérios de Implantação'!J$96)</f>
        <v>1926023.6289575046</v>
      </c>
      <c r="K278" s="93">
        <f>'Resumo-Cult.Temp.'!J73*('Critérios de Implantação'!K$94+'Critérios de Implantação'!K$95+'Critérios de Implantação'!K$96)</f>
        <v>2486404.3448776826</v>
      </c>
      <c r="L278" s="93">
        <f>'Resumo-Cult.Temp.'!K73*('Critérios de Implantação'!L$94+'Critérios de Implantação'!L$95+'Critérios de Implantação'!L$96)</f>
        <v>2942871.4774998915</v>
      </c>
      <c r="M278" s="93">
        <f>'Resumo-Cult.Temp.'!L73*('Critérios de Implantação'!M$94+'Critérios de Implantação'!M$95+'Critérios de Implantação'!M$96)</f>
        <v>3266444.4853927856</v>
      </c>
      <c r="N278" s="93">
        <f>'Resumo-Cult.Temp.'!M73*('Critérios de Implantação'!N$94+'Critérios de Implantação'!N$95+'Critérios de Implantação'!N$96)</f>
        <v>3429232.5</v>
      </c>
      <c r="O278" s="93">
        <f>'Resumo-Cult.Temp.'!N73*('Critérios de Implantação'!O$94+'Critérios de Implantação'!O$95+'Critérios de Implantação'!O$96)</f>
        <v>3429232.5</v>
      </c>
      <c r="P278" s="93">
        <f>'Resumo-Cult.Temp.'!O73*('Critérios de Implantação'!P$94+'Critérios de Implantação'!P$95+'Critérios de Implantação'!P$96)</f>
        <v>3429232.5</v>
      </c>
      <c r="Q278" s="93">
        <f>'Resumo-Cult.Temp.'!P73*('Critérios de Implantação'!Q$94+'Critérios de Implantação'!Q$95+'Critérios de Implantação'!Q$96)</f>
        <v>3429232.5</v>
      </c>
      <c r="R278" s="93">
        <f>'Resumo-Cult.Temp.'!Q73*('Critérios de Implantação'!R$94+'Critérios de Implantação'!R$95+'Critérios de Implantação'!R$96)</f>
        <v>3429232.5</v>
      </c>
      <c r="S278" s="93">
        <f>'Resumo-Cult.Temp.'!R73*('Critérios de Implantação'!S$94+'Critérios de Implantação'!S$95+'Critérios de Implantação'!S$96)</f>
        <v>3429232.5</v>
      </c>
      <c r="T278" s="93">
        <f>'Resumo-Cult.Temp.'!S73*('Critérios de Implantação'!T$94+'Critérios de Implantação'!T$95+'Critérios de Implantação'!T$96)</f>
        <v>3429232.5</v>
      </c>
      <c r="U278" s="93">
        <f>'Resumo-Cult.Temp.'!T73*('Critérios de Implantação'!U$94+'Critérios de Implantação'!U$95+'Critérios de Implantação'!U$96)</f>
        <v>3429232.5</v>
      </c>
      <c r="V278" s="93">
        <f>'Resumo-Cult.Temp.'!U73*('Critérios de Implantação'!V$94+'Critérios de Implantação'!V$95+'Critérios de Implantação'!V$96)</f>
        <v>3429232.5</v>
      </c>
      <c r="W278" s="93">
        <f>'Resumo-Cult.Temp.'!V73*('Critérios de Implantação'!W$94+'Critérios de Implantação'!W$95+'Critérios de Implantação'!W$96)</f>
        <v>3429232.5</v>
      </c>
      <c r="X278" s="93">
        <f>'Resumo-Cult.Temp.'!W73*('Critérios de Implantação'!X$94+'Critérios de Implantação'!X$95+'Critérios de Implantação'!X$96)</f>
        <v>3429232.5</v>
      </c>
      <c r="Y278" s="93">
        <f>'Resumo-Cult.Temp.'!X73*('Critérios de Implantação'!Y$94+'Critérios de Implantação'!Y$95+'Critérios de Implantação'!Y$96)</f>
        <v>3429232.5</v>
      </c>
      <c r="Z278" s="93">
        <f>'Resumo-Cult.Temp.'!Y73*('Critérios de Implantação'!Z$94+'Critérios de Implantação'!Z$95+'Critérios de Implantação'!Z$96)</f>
        <v>3429232.5</v>
      </c>
      <c r="AA278" s="93">
        <f>'Resumo-Cult.Temp.'!Z73*('Critérios de Implantação'!AA$94+'Critérios de Implantação'!AA$95+'Critérios de Implantação'!AA$96)</f>
        <v>3429232.5</v>
      </c>
      <c r="AB278" s="93">
        <f>'Resumo-Cult.Temp.'!AA73*('Critérios de Implantação'!AB$94+'Critérios de Implantação'!AB$95+'Critérios de Implantação'!AB$96)</f>
        <v>3429232.5</v>
      </c>
      <c r="AC278" s="93">
        <f>'Resumo-Cult.Temp.'!AB73*('Critérios de Implantação'!AC$94+'Critérios de Implantação'!AC$95+'Critérios de Implantação'!AC$96)</f>
        <v>3429232.5</v>
      </c>
      <c r="AD278" s="93">
        <f>'Resumo-Cult.Temp.'!AC73*('Critérios de Implantação'!AD$94+'Critérios de Implantação'!AD$95+'Critérios de Implantação'!AD$96)</f>
        <v>3429232.5</v>
      </c>
      <c r="AE278" s="93">
        <f>'Resumo-Cult.Temp.'!AD73*('Critérios de Implantação'!AE$94+'Critérios de Implantação'!AE$95+'Critérios de Implantação'!AE$96)</f>
        <v>3429232.5</v>
      </c>
      <c r="AF278" s="93">
        <f>'Resumo-Cult.Temp.'!AE73*('Critérios de Implantação'!AF$94+'Critérios de Implantação'!AF$95+'Critérios de Implantação'!AF$96)</f>
        <v>3429232.5</v>
      </c>
      <c r="AG278" s="93">
        <f>'Resumo-Cult.Temp.'!AF73*('Critérios de Implantação'!AG$94+'Critérios de Implantação'!AG$95+'Critérios de Implantação'!AG$96)</f>
        <v>3429232.5</v>
      </c>
      <c r="AH278" s="93">
        <f>'Resumo-Cult.Temp.'!AG73*('Critérios de Implantação'!AH$94+'Critérios de Implantação'!AH$95+'Critérios de Implantação'!AH$96)</f>
        <v>3429232.5</v>
      </c>
      <c r="AI278" s="93">
        <f>'Resumo-Cult.Temp.'!AH73*('Critérios de Implantação'!AI$94+'Critérios de Implantação'!AI$95+'Critérios de Implantação'!AI$96)</f>
        <v>3429232.5</v>
      </c>
      <c r="AJ278" s="93">
        <f>'Resumo-Cult.Temp.'!AI73*('Critérios de Implantação'!AJ$94+'Critérios de Implantação'!AJ$95+'Critérios de Implantação'!AJ$96)</f>
        <v>3429232.5</v>
      </c>
      <c r="AK278" s="95">
        <f>'Resumo-Cult.Temp.'!AJ73*('Critérios de Implantação'!AK$94+'Critérios de Implantação'!AK$95+'Critérios de Implantação'!AK$96)</f>
        <v>3429232.5</v>
      </c>
    </row>
    <row r="279" spans="1:37" ht="20.149999999999999" hidden="1" customHeight="1" outlineLevel="1" x14ac:dyDescent="0.25">
      <c r="A279" s="48" t="s">
        <v>139</v>
      </c>
      <c r="B279" s="82" t="s">
        <v>143</v>
      </c>
      <c r="C279" s="80"/>
      <c r="D279" s="93">
        <f>'Resumo-Cult.Temp.'!C74*('Critérios de Implantação'!D$94+'Critérios de Implantação'!D$95+'Critérios de Implantação'!D$96)</f>
        <v>0</v>
      </c>
      <c r="E279" s="93">
        <f>'Resumo-Cult.Temp.'!D74*('Critérios de Implantação'!E$94+'Critérios de Implantação'!E$95+'Critérios de Implantação'!E$96)</f>
        <v>0</v>
      </c>
      <c r="F279" s="93">
        <f>'Resumo-Cult.Temp.'!E74*('Critérios de Implantação'!F$94+'Critérios de Implantação'!F$95+'Critérios de Implantação'!F$96)</f>
        <v>669463.45259292203</v>
      </c>
      <c r="G279" s="93">
        <f>'Resumo-Cult.Temp.'!F74*('Critérios de Implantação'!G$94+'Critérios de Implantação'!G$95+'Critérios de Implantação'!G$96)</f>
        <v>1338926.9051858441</v>
      </c>
      <c r="H279" s="93">
        <f>'Resumo-Cult.Temp.'!G74*('Critérios de Implantação'!H$94+'Critérios de Implantação'!H$95+'Critérios de Implantação'!H$96)</f>
        <v>2143254.2448655698</v>
      </c>
      <c r="I279" s="93">
        <f>'Resumo-Cult.Temp.'!H74*('Critérios de Implantação'!I$94+'Critérios de Implantação'!I$95+'Critérios de Implantação'!I$96)</f>
        <v>3696727.3010307481</v>
      </c>
      <c r="J279" s="93">
        <f>'Resumo-Cult.Temp.'!I74*('Critérios de Implantação'!J$94+'Critérios de Implantação'!J$95+'Critérios de Implantação'!J$96)</f>
        <v>5154233.0447887937</v>
      </c>
      <c r="K279" s="93">
        <f>'Resumo-Cult.Temp.'!J74*('Critérios de Implantação'!K$94+'Critérios de Implantação'!K$95+'Critérios de Implantação'!K$96)</f>
        <v>6653868.2311034845</v>
      </c>
      <c r="L279" s="93">
        <f>'Resumo-Cult.Temp.'!K74*('Critérios de Implantação'!L$94+'Critérios de Implantação'!L$95+'Critérios de Implantação'!L$96)</f>
        <v>7875420.2118000248</v>
      </c>
      <c r="M279" s="93">
        <f>'Resumo-Cult.Temp.'!L74*('Critérios de Implantação'!M$94+'Critérios de Implantação'!M$95+'Critérios de Implantação'!M$96)</f>
        <v>8741334.1417272352</v>
      </c>
      <c r="N279" s="93">
        <f>'Resumo-Cult.Temp.'!M74*('Critérios de Implantação'!N$94+'Critérios de Implantação'!N$95+'Critérios de Implantação'!N$96)</f>
        <v>9176971.25</v>
      </c>
      <c r="O279" s="93">
        <f>'Resumo-Cult.Temp.'!N74*('Critérios de Implantação'!O$94+'Critérios de Implantação'!O$95+'Critérios de Implantação'!O$96)</f>
        <v>9176971.25</v>
      </c>
      <c r="P279" s="93">
        <f>'Resumo-Cult.Temp.'!O74*('Critérios de Implantação'!P$94+'Critérios de Implantação'!P$95+'Critérios de Implantação'!P$96)</f>
        <v>9176971.25</v>
      </c>
      <c r="Q279" s="93">
        <f>'Resumo-Cult.Temp.'!P74*('Critérios de Implantação'!Q$94+'Critérios de Implantação'!Q$95+'Critérios de Implantação'!Q$96)</f>
        <v>9176971.25</v>
      </c>
      <c r="R279" s="93">
        <f>'Resumo-Cult.Temp.'!Q74*('Critérios de Implantação'!R$94+'Critérios de Implantação'!R$95+'Critérios de Implantação'!R$96)</f>
        <v>9176971.25</v>
      </c>
      <c r="S279" s="93">
        <f>'Resumo-Cult.Temp.'!R74*('Critérios de Implantação'!S$94+'Critérios de Implantação'!S$95+'Critérios de Implantação'!S$96)</f>
        <v>9176971.25</v>
      </c>
      <c r="T279" s="93">
        <f>'Resumo-Cult.Temp.'!S74*('Critérios de Implantação'!T$94+'Critérios de Implantação'!T$95+'Critérios de Implantação'!T$96)</f>
        <v>9176971.25</v>
      </c>
      <c r="U279" s="93">
        <f>'Resumo-Cult.Temp.'!T74*('Critérios de Implantação'!U$94+'Critérios de Implantação'!U$95+'Critérios de Implantação'!U$96)</f>
        <v>9176971.25</v>
      </c>
      <c r="V279" s="93">
        <f>'Resumo-Cult.Temp.'!U74*('Critérios de Implantação'!V$94+'Critérios de Implantação'!V$95+'Critérios de Implantação'!V$96)</f>
        <v>9176971.25</v>
      </c>
      <c r="W279" s="93">
        <f>'Resumo-Cult.Temp.'!V74*('Critérios de Implantação'!W$94+'Critérios de Implantação'!W$95+'Critérios de Implantação'!W$96)</f>
        <v>9176971.25</v>
      </c>
      <c r="X279" s="93">
        <f>'Resumo-Cult.Temp.'!W74*('Critérios de Implantação'!X$94+'Critérios de Implantação'!X$95+'Critérios de Implantação'!X$96)</f>
        <v>9176971.25</v>
      </c>
      <c r="Y279" s="93">
        <f>'Resumo-Cult.Temp.'!X74*('Critérios de Implantação'!Y$94+'Critérios de Implantação'!Y$95+'Critérios de Implantação'!Y$96)</f>
        <v>9176971.25</v>
      </c>
      <c r="Z279" s="93">
        <f>'Resumo-Cult.Temp.'!Y74*('Critérios de Implantação'!Z$94+'Critérios de Implantação'!Z$95+'Critérios de Implantação'!Z$96)</f>
        <v>9176971.25</v>
      </c>
      <c r="AA279" s="93">
        <f>'Resumo-Cult.Temp.'!Z74*('Critérios de Implantação'!AA$94+'Critérios de Implantação'!AA$95+'Critérios de Implantação'!AA$96)</f>
        <v>9176971.25</v>
      </c>
      <c r="AB279" s="93">
        <f>'Resumo-Cult.Temp.'!AA74*('Critérios de Implantação'!AB$94+'Critérios de Implantação'!AB$95+'Critérios de Implantação'!AB$96)</f>
        <v>9176971.25</v>
      </c>
      <c r="AC279" s="93">
        <f>'Resumo-Cult.Temp.'!AB74*('Critérios de Implantação'!AC$94+'Critérios de Implantação'!AC$95+'Critérios de Implantação'!AC$96)</f>
        <v>9176971.25</v>
      </c>
      <c r="AD279" s="93">
        <f>'Resumo-Cult.Temp.'!AC74*('Critérios de Implantação'!AD$94+'Critérios de Implantação'!AD$95+'Critérios de Implantação'!AD$96)</f>
        <v>9176971.25</v>
      </c>
      <c r="AE279" s="93">
        <f>'Resumo-Cult.Temp.'!AD74*('Critérios de Implantação'!AE$94+'Critérios de Implantação'!AE$95+'Critérios de Implantação'!AE$96)</f>
        <v>9176971.25</v>
      </c>
      <c r="AF279" s="93">
        <f>'Resumo-Cult.Temp.'!AE74*('Critérios de Implantação'!AF$94+'Critérios de Implantação'!AF$95+'Critérios de Implantação'!AF$96)</f>
        <v>9176971.25</v>
      </c>
      <c r="AG279" s="93">
        <f>'Resumo-Cult.Temp.'!AF74*('Critérios de Implantação'!AG$94+'Critérios de Implantação'!AG$95+'Critérios de Implantação'!AG$96)</f>
        <v>9176971.25</v>
      </c>
      <c r="AH279" s="93">
        <f>'Resumo-Cult.Temp.'!AG74*('Critérios de Implantação'!AH$94+'Critérios de Implantação'!AH$95+'Critérios de Implantação'!AH$96)</f>
        <v>9176971.25</v>
      </c>
      <c r="AI279" s="93">
        <f>'Resumo-Cult.Temp.'!AH74*('Critérios de Implantação'!AI$94+'Critérios de Implantação'!AI$95+'Critérios de Implantação'!AI$96)</f>
        <v>9176971.25</v>
      </c>
      <c r="AJ279" s="93">
        <f>'Resumo-Cult.Temp.'!AI74*('Critérios de Implantação'!AJ$94+'Critérios de Implantação'!AJ$95+'Critérios de Implantação'!AJ$96)</f>
        <v>9176971.25</v>
      </c>
      <c r="AK279" s="95">
        <f>'Resumo-Cult.Temp.'!AJ74*('Critérios de Implantação'!AK$94+'Critérios de Implantação'!AK$95+'Critérios de Implantação'!AK$96)</f>
        <v>9176971.25</v>
      </c>
    </row>
    <row r="280" spans="1:37" ht="20.149999999999999" hidden="1" customHeight="1" outlineLevel="1" x14ac:dyDescent="0.25">
      <c r="A280" s="48" t="s">
        <v>140</v>
      </c>
      <c r="B280" s="34" t="s">
        <v>141</v>
      </c>
      <c r="C280" s="80"/>
      <c r="D280" s="93">
        <f>'Resumo-Cult.Temp.'!C75*('Critérios de Implantação'!D$94+'Critérios de Implantação'!D$95+'Critérios de Implantação'!D$96)</f>
        <v>0</v>
      </c>
      <c r="E280" s="93">
        <f>'Resumo-Cult.Temp.'!D75*('Critérios de Implantação'!E$94+'Critérios de Implantação'!E$95+'Critérios de Implantação'!E$96)</f>
        <v>0</v>
      </c>
      <c r="F280" s="93">
        <f>'Resumo-Cult.Temp.'!E75*('Critérios de Implantação'!F$94+'Critérios de Implantação'!F$95+'Critérios de Implantação'!F$96)</f>
        <v>485307.45970784675</v>
      </c>
      <c r="G280" s="93">
        <f>'Resumo-Cult.Temp.'!F75*('Critérios de Implantação'!G$94+'Critérios de Implantação'!G$95+'Critérios de Implantação'!G$96)</f>
        <v>970614.9194156935</v>
      </c>
      <c r="H280" s="93">
        <f>'Resumo-Cult.Temp.'!G75*('Critérios de Implantação'!H$94+'Critérios de Implantação'!H$95+'Critérios de Implantação'!H$96)</f>
        <v>1553687.9109011514</v>
      </c>
      <c r="I280" s="93">
        <f>'Resumo-Cult.Temp.'!H75*('Critérios de Implantação'!I$94+'Critérios de Implantação'!I$95+'Critérios de Implantação'!I$96)</f>
        <v>2679831.630460606</v>
      </c>
      <c r="J280" s="93">
        <f>'Resumo-Cult.Temp.'!I75*('Critérios de Implantação'!J$94+'Critérios de Implantação'!J$95+'Critérios de Implantação'!J$96)</f>
        <v>3736406.7239525602</v>
      </c>
      <c r="K280" s="93">
        <f>'Resumo-Cult.Temp.'!J75*('Critérios de Implantação'!K$94+'Critérios de Implantação'!K$95+'Critérios de Implantação'!K$96)</f>
        <v>4823522.2938019373</v>
      </c>
      <c r="L280" s="93">
        <f>'Resumo-Cult.Temp.'!K75*('Critérios de Implantação'!L$94+'Critérios de Implantação'!L$95+'Critérios de Implantação'!L$96)</f>
        <v>5709049.7805628991</v>
      </c>
      <c r="M280" s="93">
        <f>'Resumo-Cult.Temp.'!L75*('Critérios de Implantação'!M$94+'Critérios de Implantação'!M$95+'Critérios de Implantação'!M$96)</f>
        <v>6336768.1243066657</v>
      </c>
      <c r="N280" s="93">
        <f>'Resumo-Cult.Temp.'!M75*('Critérios de Implantação'!N$94+'Critérios de Implantação'!N$95+'Critérios de Implantação'!N$96)</f>
        <v>6652570.1857208898</v>
      </c>
      <c r="O280" s="93">
        <f>'Resumo-Cult.Temp.'!N75*('Critérios de Implantação'!O$94+'Critérios de Implantação'!O$95+'Critérios de Implantação'!O$96)</f>
        <v>6652570.1857208898</v>
      </c>
      <c r="P280" s="93">
        <f>'Resumo-Cult.Temp.'!O75*('Critérios de Implantação'!P$94+'Critérios de Implantação'!P$95+'Critérios de Implantação'!P$96)</f>
        <v>6652570.1857208898</v>
      </c>
      <c r="Q280" s="93">
        <f>'Resumo-Cult.Temp.'!P75*('Critérios de Implantação'!Q$94+'Critérios de Implantação'!Q$95+'Critérios de Implantação'!Q$96)</f>
        <v>6652570.1857208898</v>
      </c>
      <c r="R280" s="93">
        <f>'Resumo-Cult.Temp.'!Q75*('Critérios de Implantação'!R$94+'Critérios de Implantação'!R$95+'Critérios de Implantação'!R$96)</f>
        <v>6652570.1857208898</v>
      </c>
      <c r="S280" s="93">
        <f>'Resumo-Cult.Temp.'!R75*('Critérios de Implantação'!S$94+'Critérios de Implantação'!S$95+'Critérios de Implantação'!S$96)</f>
        <v>6652570.1857208898</v>
      </c>
      <c r="T280" s="93">
        <f>'Resumo-Cult.Temp.'!S75*('Critérios de Implantação'!T$94+'Critérios de Implantação'!T$95+'Critérios de Implantação'!T$96)</f>
        <v>6652570.1857208898</v>
      </c>
      <c r="U280" s="93">
        <f>'Resumo-Cult.Temp.'!T75*('Critérios de Implantação'!U$94+'Critérios de Implantação'!U$95+'Critérios de Implantação'!U$96)</f>
        <v>6652570.1857208898</v>
      </c>
      <c r="V280" s="93">
        <f>'Resumo-Cult.Temp.'!U75*('Critérios de Implantação'!V$94+'Critérios de Implantação'!V$95+'Critérios de Implantação'!V$96)</f>
        <v>6652570.1857208898</v>
      </c>
      <c r="W280" s="93">
        <f>'Resumo-Cult.Temp.'!V75*('Critérios de Implantação'!W$94+'Critérios de Implantação'!W$95+'Critérios de Implantação'!W$96)</f>
        <v>6652570.1857208898</v>
      </c>
      <c r="X280" s="93">
        <f>'Resumo-Cult.Temp.'!W75*('Critérios de Implantação'!X$94+'Critérios de Implantação'!X$95+'Critérios de Implantação'!X$96)</f>
        <v>6652570.1857208898</v>
      </c>
      <c r="Y280" s="93">
        <f>'Resumo-Cult.Temp.'!X75*('Critérios de Implantação'!Y$94+'Critérios de Implantação'!Y$95+'Critérios de Implantação'!Y$96)</f>
        <v>6652570.1857208898</v>
      </c>
      <c r="Z280" s="93">
        <f>'Resumo-Cult.Temp.'!Y75*('Critérios de Implantação'!Z$94+'Critérios de Implantação'!Z$95+'Critérios de Implantação'!Z$96)</f>
        <v>6652570.1857208898</v>
      </c>
      <c r="AA280" s="93">
        <f>'Resumo-Cult.Temp.'!Z75*('Critérios de Implantação'!AA$94+'Critérios de Implantação'!AA$95+'Critérios de Implantação'!AA$96)</f>
        <v>6652570.1857208898</v>
      </c>
      <c r="AB280" s="93">
        <f>'Resumo-Cult.Temp.'!AA75*('Critérios de Implantação'!AB$94+'Critérios de Implantação'!AB$95+'Critérios de Implantação'!AB$96)</f>
        <v>6652570.1857208898</v>
      </c>
      <c r="AC280" s="93">
        <f>'Resumo-Cult.Temp.'!AB75*('Critérios de Implantação'!AC$94+'Critérios de Implantação'!AC$95+'Critérios de Implantação'!AC$96)</f>
        <v>6652570.1857208898</v>
      </c>
      <c r="AD280" s="93">
        <f>'Resumo-Cult.Temp.'!AC75*('Critérios de Implantação'!AD$94+'Critérios de Implantação'!AD$95+'Critérios de Implantação'!AD$96)</f>
        <v>6652570.1857208898</v>
      </c>
      <c r="AE280" s="93">
        <f>'Resumo-Cult.Temp.'!AD75*('Critérios de Implantação'!AE$94+'Critérios de Implantação'!AE$95+'Critérios de Implantação'!AE$96)</f>
        <v>6652570.1857208898</v>
      </c>
      <c r="AF280" s="93">
        <f>'Resumo-Cult.Temp.'!AE75*('Critérios de Implantação'!AF$94+'Critérios de Implantação'!AF$95+'Critérios de Implantação'!AF$96)</f>
        <v>6652570.1857208898</v>
      </c>
      <c r="AG280" s="93">
        <f>'Resumo-Cult.Temp.'!AF75*('Critérios de Implantação'!AG$94+'Critérios de Implantação'!AG$95+'Critérios de Implantação'!AG$96)</f>
        <v>6652570.1857208898</v>
      </c>
      <c r="AH280" s="93">
        <f>'Resumo-Cult.Temp.'!AG75*('Critérios de Implantação'!AH$94+'Critérios de Implantação'!AH$95+'Critérios de Implantação'!AH$96)</f>
        <v>6652570.1857208898</v>
      </c>
      <c r="AI280" s="93">
        <f>'Resumo-Cult.Temp.'!AH75*('Critérios de Implantação'!AI$94+'Critérios de Implantação'!AI$95+'Critérios de Implantação'!AI$96)</f>
        <v>6652570.1857208898</v>
      </c>
      <c r="AJ280" s="93">
        <f>'Resumo-Cult.Temp.'!AI75*('Critérios de Implantação'!AJ$94+'Critérios de Implantação'!AJ$95+'Critérios de Implantação'!AJ$96)</f>
        <v>6652570.1857208898</v>
      </c>
      <c r="AK280" s="95">
        <f>'Resumo-Cult.Temp.'!AJ75*('Critérios de Implantação'!AK$94+'Critérios de Implantação'!AK$95+'Critérios de Implantação'!AK$96)</f>
        <v>6652570.1857208898</v>
      </c>
    </row>
    <row r="281" spans="1:37" ht="20.149999999999999" hidden="1" customHeight="1" outlineLevel="1" thickBot="1" x14ac:dyDescent="0.3">
      <c r="A281" s="96"/>
      <c r="B281" s="87" t="s">
        <v>149</v>
      </c>
      <c r="C281" s="88"/>
      <c r="D281" s="88">
        <f t="shared" ref="D281:AA281" si="91">SUM(D277:D280)</f>
        <v>0</v>
      </c>
      <c r="E281" s="88">
        <f t="shared" si="91"/>
        <v>0</v>
      </c>
      <c r="F281" s="88">
        <f t="shared" si="91"/>
        <v>2769035.3126775916</v>
      </c>
      <c r="G281" s="88">
        <f t="shared" si="91"/>
        <v>5538070.6253551831</v>
      </c>
      <c r="H281" s="88">
        <f t="shared" si="91"/>
        <v>8864930.064655263</v>
      </c>
      <c r="I281" s="88">
        <f t="shared" si="91"/>
        <v>15290406.665586647</v>
      </c>
      <c r="J281" s="88">
        <f t="shared" si="91"/>
        <v>21318943.185787894</v>
      </c>
      <c r="K281" s="88">
        <f t="shared" si="91"/>
        <v>27521735.542795375</v>
      </c>
      <c r="L281" s="88">
        <f t="shared" si="91"/>
        <v>32574319.90377732</v>
      </c>
      <c r="M281" s="88">
        <f t="shared" si="91"/>
        <v>36155913.851021312</v>
      </c>
      <c r="N281" s="88">
        <f t="shared" si="91"/>
        <v>37957796.435720891</v>
      </c>
      <c r="O281" s="88">
        <f t="shared" si="91"/>
        <v>37957796.435720891</v>
      </c>
      <c r="P281" s="88">
        <f t="shared" si="91"/>
        <v>37957796.435720891</v>
      </c>
      <c r="Q281" s="88">
        <f t="shared" si="91"/>
        <v>37957796.435720891</v>
      </c>
      <c r="R281" s="88">
        <f t="shared" si="91"/>
        <v>37957796.435720891</v>
      </c>
      <c r="S281" s="88">
        <f t="shared" si="91"/>
        <v>37957796.435720891</v>
      </c>
      <c r="T281" s="88">
        <f t="shared" si="91"/>
        <v>37957796.435720891</v>
      </c>
      <c r="U281" s="88">
        <f t="shared" si="91"/>
        <v>37957796.435720891</v>
      </c>
      <c r="V281" s="88">
        <f t="shared" si="91"/>
        <v>37957796.435720891</v>
      </c>
      <c r="W281" s="88">
        <f t="shared" si="91"/>
        <v>37957796.435720891</v>
      </c>
      <c r="X281" s="88">
        <f t="shared" si="91"/>
        <v>37957796.435720891</v>
      </c>
      <c r="Y281" s="88">
        <f t="shared" si="91"/>
        <v>37957796.435720891</v>
      </c>
      <c r="Z281" s="88">
        <f t="shared" si="91"/>
        <v>37957796.435720891</v>
      </c>
      <c r="AA281" s="88">
        <f t="shared" si="91"/>
        <v>37957796.435720891</v>
      </c>
      <c r="AB281" s="88">
        <f t="shared" ref="AB281:AK281" si="92">SUM(AB277:AB280)</f>
        <v>37957796.435720891</v>
      </c>
      <c r="AC281" s="88">
        <f t="shared" si="92"/>
        <v>37957796.435720891</v>
      </c>
      <c r="AD281" s="88">
        <f t="shared" si="92"/>
        <v>37957796.435720891</v>
      </c>
      <c r="AE281" s="88">
        <f t="shared" si="92"/>
        <v>37957796.435720891</v>
      </c>
      <c r="AF281" s="88">
        <f t="shared" si="92"/>
        <v>37957796.435720891</v>
      </c>
      <c r="AG281" s="88">
        <f t="shared" si="92"/>
        <v>37957796.435720891</v>
      </c>
      <c r="AH281" s="88">
        <f t="shared" si="92"/>
        <v>37957796.435720891</v>
      </c>
      <c r="AI281" s="88">
        <f t="shared" si="92"/>
        <v>37957796.435720891</v>
      </c>
      <c r="AJ281" s="88">
        <f t="shared" si="92"/>
        <v>37957796.435720891</v>
      </c>
      <c r="AK281" s="89">
        <f t="shared" si="92"/>
        <v>37957796.435720891</v>
      </c>
    </row>
    <row r="282" spans="1:37" ht="20.149999999999999" hidden="1" customHeight="1" outlineLevel="1" thickBot="1" x14ac:dyDescent="0.3">
      <c r="A282" s="14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</row>
    <row r="283" spans="1:37" ht="20.149999999999999" hidden="1" customHeight="1" outlineLevel="1" x14ac:dyDescent="0.25">
      <c r="A283" s="42">
        <v>3</v>
      </c>
      <c r="B283" s="97" t="s">
        <v>144</v>
      </c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2"/>
    </row>
    <row r="284" spans="1:37" ht="20.149999999999999" hidden="1" customHeight="1" outlineLevel="1" x14ac:dyDescent="0.25">
      <c r="A284" s="47" t="s">
        <v>342</v>
      </c>
      <c r="B284" s="22" t="str">
        <f>"Valor da produção "&amp;A260</f>
        <v>Valor da produção Milho 1</v>
      </c>
      <c r="C284" s="80"/>
      <c r="D284" s="80">
        <f>'Resumo-Cult.Temp.'!C79*('Critérios de Implantação'!D$94+'Critérios de Implantação'!D$95+'Critérios de Implantação'!D$96)</f>
        <v>0</v>
      </c>
      <c r="E284" s="80">
        <f>'Resumo-Cult.Temp.'!D79*('Critérios de Implantação'!E$94+'Critérios de Implantação'!E$95+'Critérios de Implantação'!E$96)</f>
        <v>0</v>
      </c>
      <c r="F284" s="80">
        <f>'Resumo-Cult.Temp.'!E79*('Critérios de Implantação'!F$94+'Critérios de Implantação'!F$95+'Critérios de Implantação'!F$96)</f>
        <v>5059916.4830524968</v>
      </c>
      <c r="G284" s="80">
        <f>'Resumo-Cult.Temp.'!F79*('Critérios de Implantação'!G$94+'Critérios de Implantação'!G$95+'Critérios de Implantação'!G$96)</f>
        <v>10119832.966104994</v>
      </c>
      <c r="H284" s="80">
        <f>'Resumo-Cult.Temp.'!G79*('Critérios de Implantação'!H$94+'Critérios de Implantação'!H$95+'Critérios de Implantação'!H$96)</f>
        <v>16199073.211486893</v>
      </c>
      <c r="I284" s="80">
        <f>'Resumo-Cult.Temp.'!H79*('Critérios de Implantação'!I$94+'Critérios de Implantação'!I$95+'Critérios de Implantação'!I$96)</f>
        <v>27940481.786403965</v>
      </c>
      <c r="J284" s="80">
        <f>'Resumo-Cult.Temp.'!I79*('Critérios de Implantação'!J$94+'Critérios de Implantação'!J$95+'Critérios de Implantação'!J$96)</f>
        <v>38956553.400800854</v>
      </c>
      <c r="K284" s="80">
        <f>'Resumo-Cult.Temp.'!J79*('Critérios de Implantação'!K$94+'Critérios de Implantação'!K$95+'Critérios de Implantação'!K$96)</f>
        <v>50291046.371865585</v>
      </c>
      <c r="L284" s="80">
        <f>'Resumo-Cult.Temp.'!K79*('Critérios de Implantação'!L$94+'Critérios de Implantação'!L$95+'Critérios de Implantação'!L$96)</f>
        <v>59523740.073205367</v>
      </c>
      <c r="M284" s="80">
        <f>'Resumo-Cult.Temp.'!L79*('Critérios de Implantação'!M$94+'Critérios de Implantação'!M$95+'Critérios de Implantação'!M$96)</f>
        <v>66068462.044171065</v>
      </c>
      <c r="N284" s="80">
        <f>'Resumo-Cult.Temp.'!M79*('Critérios de Implantação'!N$94+'Critérios de Implantação'!N$95+'Critérios de Implantação'!N$96)</f>
        <v>69361080.000000015</v>
      </c>
      <c r="O284" s="80">
        <f>'Resumo-Cult.Temp.'!N79*('Critérios de Implantação'!O$94+'Critérios de Implantação'!O$95+'Critérios de Implantação'!O$96)</f>
        <v>69361080.000000015</v>
      </c>
      <c r="P284" s="80">
        <f>'Resumo-Cult.Temp.'!O79*('Critérios de Implantação'!P$94+'Critérios de Implantação'!P$95+'Critérios de Implantação'!P$96)</f>
        <v>69361080.000000015</v>
      </c>
      <c r="Q284" s="80">
        <f>'Resumo-Cult.Temp.'!P79*('Critérios de Implantação'!Q$94+'Critérios de Implantação'!Q$95+'Critérios de Implantação'!Q$96)</f>
        <v>69361080.000000015</v>
      </c>
      <c r="R284" s="80">
        <f>'Resumo-Cult.Temp.'!Q79*('Critérios de Implantação'!R$94+'Critérios de Implantação'!R$95+'Critérios de Implantação'!R$96)</f>
        <v>69361080.000000015</v>
      </c>
      <c r="S284" s="80">
        <f>'Resumo-Cult.Temp.'!R79*('Critérios de Implantação'!S$94+'Critérios de Implantação'!S$95+'Critérios de Implantação'!S$96)</f>
        <v>69361080.000000015</v>
      </c>
      <c r="T284" s="80">
        <f>'Resumo-Cult.Temp.'!S79*('Critérios de Implantação'!T$94+'Critérios de Implantação'!T$95+'Critérios de Implantação'!T$96)</f>
        <v>69361080.000000015</v>
      </c>
      <c r="U284" s="80">
        <f>'Resumo-Cult.Temp.'!T79*('Critérios de Implantação'!U$94+'Critérios de Implantação'!U$95+'Critérios de Implantação'!U$96)</f>
        <v>69361080.000000015</v>
      </c>
      <c r="V284" s="80">
        <f>'Resumo-Cult.Temp.'!U79*('Critérios de Implantação'!V$94+'Critérios de Implantação'!V$95+'Critérios de Implantação'!V$96)</f>
        <v>69361080.000000015</v>
      </c>
      <c r="W284" s="80">
        <f>'Resumo-Cult.Temp.'!V79*('Critérios de Implantação'!W$94+'Critérios de Implantação'!W$95+'Critérios de Implantação'!W$96)</f>
        <v>69361080.000000015</v>
      </c>
      <c r="X284" s="80">
        <f>'Resumo-Cult.Temp.'!W79*('Critérios de Implantação'!X$94+'Critérios de Implantação'!X$95+'Critérios de Implantação'!X$96)</f>
        <v>69361080.000000015</v>
      </c>
      <c r="Y284" s="80">
        <f>'Resumo-Cult.Temp.'!X79*('Critérios de Implantação'!Y$94+'Critérios de Implantação'!Y$95+'Critérios de Implantação'!Y$96)</f>
        <v>69361080.000000015</v>
      </c>
      <c r="Z284" s="80">
        <f>'Resumo-Cult.Temp.'!Y79*('Critérios de Implantação'!Z$94+'Critérios de Implantação'!Z$95+'Critérios de Implantação'!Z$96)</f>
        <v>69361080.000000015</v>
      </c>
      <c r="AA284" s="80">
        <f>'Resumo-Cult.Temp.'!Z79*('Critérios de Implantação'!AA$94+'Critérios de Implantação'!AA$95+'Critérios de Implantação'!AA$96)</f>
        <v>69361080.000000015</v>
      </c>
      <c r="AB284" s="80">
        <f>'Resumo-Cult.Temp.'!AA79*('Critérios de Implantação'!AB$94+'Critérios de Implantação'!AB$95+'Critérios de Implantação'!AB$96)</f>
        <v>69361080.000000015</v>
      </c>
      <c r="AC284" s="80">
        <f>'Resumo-Cult.Temp.'!AB79*('Critérios de Implantação'!AC$94+'Critérios de Implantação'!AC$95+'Critérios de Implantação'!AC$96)</f>
        <v>69361080.000000015</v>
      </c>
      <c r="AD284" s="80">
        <f>'Resumo-Cult.Temp.'!AC79*('Critérios de Implantação'!AD$94+'Critérios de Implantação'!AD$95+'Critérios de Implantação'!AD$96)</f>
        <v>69361080.000000015</v>
      </c>
      <c r="AE284" s="80">
        <f>'Resumo-Cult.Temp.'!AD79*('Critérios de Implantação'!AE$94+'Critérios de Implantação'!AE$95+'Critérios de Implantação'!AE$96)</f>
        <v>69361080.000000015</v>
      </c>
      <c r="AF284" s="80">
        <f>'Resumo-Cult.Temp.'!AE79*('Critérios de Implantação'!AF$94+'Critérios de Implantação'!AF$95+'Critérios de Implantação'!AF$96)</f>
        <v>69361080.000000015</v>
      </c>
      <c r="AG284" s="80">
        <f>'Resumo-Cult.Temp.'!AF79*('Critérios de Implantação'!AG$94+'Critérios de Implantação'!AG$95+'Critérios de Implantação'!AG$96)</f>
        <v>69361080.000000015</v>
      </c>
      <c r="AH284" s="80">
        <f>'Resumo-Cult.Temp.'!AG79*('Critérios de Implantação'!AH$94+'Critérios de Implantação'!AH$95+'Critérios de Implantação'!AH$96)</f>
        <v>69361080.000000015</v>
      </c>
      <c r="AI284" s="80">
        <f>'Resumo-Cult.Temp.'!AH79*('Critérios de Implantação'!AI$94+'Critérios de Implantação'!AI$95+'Critérios de Implantação'!AI$96)</f>
        <v>69361080.000000015</v>
      </c>
      <c r="AJ284" s="80">
        <f>'Resumo-Cult.Temp.'!AI79*('Critérios de Implantação'!AJ$94+'Critérios de Implantação'!AJ$95+'Critérios de Implantação'!AJ$96)</f>
        <v>69361080.000000015</v>
      </c>
      <c r="AK284" s="81">
        <f>'Resumo-Cult.Temp.'!AJ79*('Critérios de Implantação'!AK$94+'Critérios de Implantação'!AK$95+'Critérios de Implantação'!AK$96)</f>
        <v>69361080.000000015</v>
      </c>
    </row>
    <row r="285" spans="1:37" ht="20.149999999999999" hidden="1" customHeight="1" outlineLevel="1" thickBot="1" x14ac:dyDescent="0.3">
      <c r="A285" s="52"/>
      <c r="B285" s="102" t="s">
        <v>153</v>
      </c>
      <c r="C285" s="88"/>
      <c r="D285" s="88">
        <f>SUM(D284:D284)</f>
        <v>0</v>
      </c>
      <c r="E285" s="88">
        <f t="shared" ref="E285:AK285" si="93">SUM(E284:E284)</f>
        <v>0</v>
      </c>
      <c r="F285" s="88">
        <f t="shared" si="93"/>
        <v>5059916.4830524968</v>
      </c>
      <c r="G285" s="88">
        <f t="shared" si="93"/>
        <v>10119832.966104994</v>
      </c>
      <c r="H285" s="88">
        <f>SUM(H284:H284)</f>
        <v>16199073.211486893</v>
      </c>
      <c r="I285" s="88">
        <f t="shared" si="93"/>
        <v>27940481.786403965</v>
      </c>
      <c r="J285" s="88">
        <f t="shared" si="93"/>
        <v>38956553.400800854</v>
      </c>
      <c r="K285" s="88">
        <f t="shared" si="93"/>
        <v>50291046.371865585</v>
      </c>
      <c r="L285" s="88">
        <f t="shared" si="93"/>
        <v>59523740.073205367</v>
      </c>
      <c r="M285" s="88">
        <f t="shared" si="93"/>
        <v>66068462.044171065</v>
      </c>
      <c r="N285" s="88">
        <f t="shared" si="93"/>
        <v>69361080.000000015</v>
      </c>
      <c r="O285" s="88">
        <f t="shared" si="93"/>
        <v>69361080.000000015</v>
      </c>
      <c r="P285" s="88">
        <f t="shared" si="93"/>
        <v>69361080.000000015</v>
      </c>
      <c r="Q285" s="88">
        <f t="shared" si="93"/>
        <v>69361080.000000015</v>
      </c>
      <c r="R285" s="88">
        <f t="shared" si="93"/>
        <v>69361080.000000015</v>
      </c>
      <c r="S285" s="88">
        <f t="shared" si="93"/>
        <v>69361080.000000015</v>
      </c>
      <c r="T285" s="88">
        <f t="shared" si="93"/>
        <v>69361080.000000015</v>
      </c>
      <c r="U285" s="88">
        <f t="shared" si="93"/>
        <v>69361080.000000015</v>
      </c>
      <c r="V285" s="88">
        <f t="shared" si="93"/>
        <v>69361080.000000015</v>
      </c>
      <c r="W285" s="88">
        <f t="shared" si="93"/>
        <v>69361080.000000015</v>
      </c>
      <c r="X285" s="88">
        <f t="shared" si="93"/>
        <v>69361080.000000015</v>
      </c>
      <c r="Y285" s="88">
        <f t="shared" si="93"/>
        <v>69361080.000000015</v>
      </c>
      <c r="Z285" s="88">
        <f t="shared" si="93"/>
        <v>69361080.000000015</v>
      </c>
      <c r="AA285" s="88">
        <f t="shared" si="93"/>
        <v>69361080.000000015</v>
      </c>
      <c r="AB285" s="88">
        <f t="shared" si="93"/>
        <v>69361080.000000015</v>
      </c>
      <c r="AC285" s="88">
        <f t="shared" si="93"/>
        <v>69361080.000000015</v>
      </c>
      <c r="AD285" s="88">
        <f t="shared" si="93"/>
        <v>69361080.000000015</v>
      </c>
      <c r="AE285" s="88">
        <f t="shared" si="93"/>
        <v>69361080.000000015</v>
      </c>
      <c r="AF285" s="88">
        <f t="shared" si="93"/>
        <v>69361080.000000015</v>
      </c>
      <c r="AG285" s="88">
        <f t="shared" si="93"/>
        <v>69361080.000000015</v>
      </c>
      <c r="AH285" s="88">
        <f t="shared" si="93"/>
        <v>69361080.000000015</v>
      </c>
      <c r="AI285" s="88">
        <f t="shared" si="93"/>
        <v>69361080.000000015</v>
      </c>
      <c r="AJ285" s="88">
        <f t="shared" si="93"/>
        <v>69361080.000000015</v>
      </c>
      <c r="AK285" s="89">
        <f t="shared" si="93"/>
        <v>69361080.000000015</v>
      </c>
    </row>
    <row r="286" spans="1:37" ht="20.149999999999999" hidden="1" customHeight="1" outlineLevel="1" thickBot="1" x14ac:dyDescent="0.3">
      <c r="A286" s="14"/>
      <c r="C286" s="103"/>
      <c r="D286" s="103"/>
      <c r="E286" s="103"/>
      <c r="F286" s="103"/>
      <c r="G286" s="103"/>
      <c r="H286" s="103"/>
      <c r="I286" s="103"/>
      <c r="J286" s="103"/>
      <c r="K286" s="103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</row>
    <row r="287" spans="1:37" ht="20.149999999999999" hidden="1" customHeight="1" outlineLevel="1" thickBot="1" x14ac:dyDescent="0.3">
      <c r="A287" s="70">
        <v>4</v>
      </c>
      <c r="B287" s="104" t="s">
        <v>556</v>
      </c>
      <c r="C287" s="105"/>
      <c r="D287" s="105">
        <f t="shared" ref="D287:AA287" si="94">D285-D281-D274</f>
        <v>0</v>
      </c>
      <c r="E287" s="105">
        <f t="shared" si="94"/>
        <v>0</v>
      </c>
      <c r="F287" s="105">
        <f t="shared" si="94"/>
        <v>-1326451.4947973802</v>
      </c>
      <c r="G287" s="105">
        <f t="shared" si="94"/>
        <v>964429.67557752505</v>
      </c>
      <c r="H287" s="105">
        <f t="shared" si="94"/>
        <v>2988096.252045013</v>
      </c>
      <c r="I287" s="105">
        <f t="shared" si="94"/>
        <v>4256145.9096460193</v>
      </c>
      <c r="J287" s="105">
        <f t="shared" si="94"/>
        <v>9762224.1634638552</v>
      </c>
      <c r="K287" s="105">
        <f t="shared" si="94"/>
        <v>14666285.452124922</v>
      </c>
      <c r="L287" s="105">
        <f t="shared" si="94"/>
        <v>20348970.413933478</v>
      </c>
      <c r="M287" s="105">
        <f t="shared" si="94"/>
        <v>25233728.562561132</v>
      </c>
      <c r="N287" s="105">
        <f t="shared" si="94"/>
        <v>29049392.047404207</v>
      </c>
      <c r="O287" s="105">
        <f t="shared" si="94"/>
        <v>31403283.564279124</v>
      </c>
      <c r="P287" s="105">
        <f t="shared" si="94"/>
        <v>31403283.564279124</v>
      </c>
      <c r="Q287" s="105">
        <f t="shared" si="94"/>
        <v>31403283.564279124</v>
      </c>
      <c r="R287" s="105">
        <f t="shared" si="94"/>
        <v>31403283.564279124</v>
      </c>
      <c r="S287" s="105">
        <f t="shared" si="94"/>
        <v>31403283.564279124</v>
      </c>
      <c r="T287" s="105">
        <f t="shared" si="94"/>
        <v>31403283.564279124</v>
      </c>
      <c r="U287" s="105">
        <f t="shared" si="94"/>
        <v>31403283.564279124</v>
      </c>
      <c r="V287" s="105">
        <f t="shared" si="94"/>
        <v>31403283.564279124</v>
      </c>
      <c r="W287" s="105">
        <f t="shared" si="94"/>
        <v>31403283.564279124</v>
      </c>
      <c r="X287" s="105">
        <f t="shared" si="94"/>
        <v>31403283.564279124</v>
      </c>
      <c r="Y287" s="105">
        <f t="shared" si="94"/>
        <v>31403283.564279124</v>
      </c>
      <c r="Z287" s="105">
        <f t="shared" si="94"/>
        <v>31403283.564279124</v>
      </c>
      <c r="AA287" s="105">
        <f t="shared" si="94"/>
        <v>31403283.564279124</v>
      </c>
      <c r="AB287" s="105">
        <f t="shared" ref="AB287:AK287" si="95">AB285-AB281-AB274</f>
        <v>31403283.564279124</v>
      </c>
      <c r="AC287" s="105">
        <f t="shared" si="95"/>
        <v>31403283.564279124</v>
      </c>
      <c r="AD287" s="105">
        <f t="shared" si="95"/>
        <v>31403283.564279124</v>
      </c>
      <c r="AE287" s="105">
        <f t="shared" si="95"/>
        <v>31403283.564279124</v>
      </c>
      <c r="AF287" s="105">
        <f t="shared" si="95"/>
        <v>31403283.564279124</v>
      </c>
      <c r="AG287" s="105">
        <f t="shared" si="95"/>
        <v>31403283.564279124</v>
      </c>
      <c r="AH287" s="105">
        <f t="shared" si="95"/>
        <v>31403283.564279124</v>
      </c>
      <c r="AI287" s="105">
        <f t="shared" si="95"/>
        <v>31403283.564279124</v>
      </c>
      <c r="AJ287" s="105">
        <f t="shared" si="95"/>
        <v>31403283.564279124</v>
      </c>
      <c r="AK287" s="105">
        <f t="shared" si="95"/>
        <v>31403283.564279124</v>
      </c>
    </row>
    <row r="288" spans="1:37" ht="20.149999999999999" hidden="1" customHeight="1" outlineLevel="1" thickBot="1" x14ac:dyDescent="0.3"/>
    <row r="289" spans="1:37" ht="20.149999999999999" hidden="1" customHeight="1" outlineLevel="1" thickBot="1" x14ac:dyDescent="0.3">
      <c r="A289" s="70">
        <v>5</v>
      </c>
      <c r="B289" s="104" t="s">
        <v>160</v>
      </c>
      <c r="C289" s="107"/>
      <c r="D289" s="107">
        <f>D287</f>
        <v>0</v>
      </c>
      <c r="E289" s="107">
        <f t="shared" ref="E289:AJ289" si="96">D289+E287</f>
        <v>0</v>
      </c>
      <c r="F289" s="107">
        <f t="shared" si="96"/>
        <v>-1326451.4947973802</v>
      </c>
      <c r="G289" s="107">
        <f t="shared" si="96"/>
        <v>-362021.81921985513</v>
      </c>
      <c r="H289" s="107">
        <f>G289+H287</f>
        <v>2626074.4328251579</v>
      </c>
      <c r="I289" s="107">
        <f>H289+I287</f>
        <v>6882220.3424711768</v>
      </c>
      <c r="J289" s="107">
        <f t="shared" si="96"/>
        <v>16644444.505935032</v>
      </c>
      <c r="K289" s="107">
        <f t="shared" si="96"/>
        <v>31310729.958059952</v>
      </c>
      <c r="L289" s="107">
        <f t="shared" si="96"/>
        <v>51659700.37199343</v>
      </c>
      <c r="M289" s="107">
        <f t="shared" si="96"/>
        <v>76893428.934554562</v>
      </c>
      <c r="N289" s="107">
        <f t="shared" si="96"/>
        <v>105942820.98195878</v>
      </c>
      <c r="O289" s="107">
        <f t="shared" si="96"/>
        <v>137346104.54623789</v>
      </c>
      <c r="P289" s="107">
        <f t="shared" si="96"/>
        <v>168749388.11051702</v>
      </c>
      <c r="Q289" s="107">
        <f t="shared" si="96"/>
        <v>200152671.67479616</v>
      </c>
      <c r="R289" s="107">
        <f t="shared" si="96"/>
        <v>231555955.2390753</v>
      </c>
      <c r="S289" s="107">
        <f t="shared" si="96"/>
        <v>262959238.80335444</v>
      </c>
      <c r="T289" s="107">
        <f t="shared" si="96"/>
        <v>294362522.36763358</v>
      </c>
      <c r="U289" s="107">
        <f t="shared" si="96"/>
        <v>325765805.93191272</v>
      </c>
      <c r="V289" s="107">
        <f t="shared" si="96"/>
        <v>357169089.49619186</v>
      </c>
      <c r="W289" s="107">
        <f t="shared" si="96"/>
        <v>388572373.060471</v>
      </c>
      <c r="X289" s="107">
        <f t="shared" si="96"/>
        <v>419975656.62475014</v>
      </c>
      <c r="Y289" s="107">
        <f t="shared" si="96"/>
        <v>451378940.18902928</v>
      </c>
      <c r="Z289" s="107">
        <f t="shared" si="96"/>
        <v>482782223.75330842</v>
      </c>
      <c r="AA289" s="107">
        <f t="shared" si="96"/>
        <v>514185507.31758755</v>
      </c>
      <c r="AB289" s="107">
        <f t="shared" si="96"/>
        <v>545588790.88186669</v>
      </c>
      <c r="AC289" s="107">
        <f t="shared" si="96"/>
        <v>576992074.44614577</v>
      </c>
      <c r="AD289" s="107">
        <f t="shared" si="96"/>
        <v>608395358.01042485</v>
      </c>
      <c r="AE289" s="107">
        <f t="shared" si="96"/>
        <v>639798641.57470393</v>
      </c>
      <c r="AF289" s="107">
        <f t="shared" si="96"/>
        <v>671201925.13898301</v>
      </c>
      <c r="AG289" s="107">
        <f t="shared" si="96"/>
        <v>702605208.70326209</v>
      </c>
      <c r="AH289" s="107">
        <f t="shared" si="96"/>
        <v>734008492.26754117</v>
      </c>
      <c r="AI289" s="107">
        <f t="shared" si="96"/>
        <v>765411775.83182025</v>
      </c>
      <c r="AJ289" s="107">
        <f t="shared" si="96"/>
        <v>796815059.39609933</v>
      </c>
      <c r="AK289" s="107">
        <f>AJ289+AK287</f>
        <v>828218342.96037841</v>
      </c>
    </row>
    <row r="290" spans="1:37" hidden="1" outlineLevel="1" x14ac:dyDescent="0.25"/>
    <row r="291" spans="1:37" s="546" customFormat="1" ht="30" customHeight="1" x14ac:dyDescent="0.25">
      <c r="A291" s="545" t="s">
        <v>327</v>
      </c>
      <c r="AK291" s="870"/>
    </row>
    <row r="292" spans="1:37" s="550" customFormat="1" ht="20.149999999999999" customHeight="1" outlineLevel="1" thickBot="1" x14ac:dyDescent="0.3">
      <c r="A292" s="547" t="str">
        <f>"Planejamento "&amp;A291</f>
        <v>Planejamento Milho 2</v>
      </c>
      <c r="B292" s="548"/>
      <c r="C292" s="871"/>
      <c r="D292" s="871"/>
      <c r="E292" s="871"/>
      <c r="F292" s="871"/>
      <c r="G292" s="871"/>
      <c r="H292" s="871"/>
      <c r="I292" s="871"/>
      <c r="J292" s="871"/>
      <c r="K292" s="871"/>
      <c r="L292" s="871"/>
      <c r="M292" s="871"/>
      <c r="N292" s="871"/>
      <c r="O292" s="871"/>
      <c r="P292" s="871"/>
      <c r="Q292" s="871"/>
      <c r="R292" s="871"/>
      <c r="S292" s="871"/>
      <c r="T292" s="871"/>
      <c r="U292" s="871"/>
      <c r="V292" s="871"/>
      <c r="W292" s="871"/>
      <c r="X292" s="871"/>
      <c r="Y292" s="871"/>
      <c r="Z292" s="871"/>
      <c r="AA292" s="871"/>
      <c r="AB292" s="871"/>
      <c r="AC292" s="871"/>
      <c r="AD292" s="871"/>
      <c r="AE292" s="871"/>
      <c r="AF292" s="871"/>
      <c r="AG292" s="871"/>
      <c r="AH292" s="871"/>
      <c r="AI292" s="871"/>
      <c r="AJ292" s="871"/>
      <c r="AK292" s="872"/>
    </row>
    <row r="293" spans="1:37" s="58" customFormat="1" ht="20.149999999999999" customHeight="1" outlineLevel="1" thickBot="1" x14ac:dyDescent="0.3">
      <c r="A293" s="1096" t="s">
        <v>152</v>
      </c>
      <c r="B293" s="1098" t="s">
        <v>150</v>
      </c>
      <c r="C293" s="884" t="s">
        <v>151</v>
      </c>
      <c r="D293" s="885"/>
      <c r="E293" s="885"/>
      <c r="F293" s="885"/>
      <c r="G293" s="885"/>
      <c r="H293" s="885"/>
      <c r="I293" s="885"/>
      <c r="J293" s="885"/>
      <c r="K293" s="885"/>
      <c r="L293" s="885"/>
      <c r="M293" s="885"/>
      <c r="N293" s="885"/>
      <c r="O293" s="885"/>
      <c r="P293" s="885"/>
      <c r="Q293" s="885"/>
      <c r="R293" s="885"/>
      <c r="S293" s="885"/>
      <c r="T293" s="885"/>
      <c r="U293" s="885"/>
      <c r="V293" s="885"/>
      <c r="W293" s="885"/>
      <c r="X293" s="885"/>
      <c r="Y293" s="885"/>
      <c r="Z293" s="885"/>
      <c r="AA293" s="885"/>
      <c r="AB293" s="885"/>
      <c r="AC293" s="885"/>
      <c r="AD293" s="885"/>
      <c r="AE293" s="885"/>
      <c r="AF293" s="885"/>
      <c r="AG293" s="885"/>
      <c r="AH293" s="885"/>
      <c r="AI293" s="885"/>
      <c r="AJ293" s="885"/>
      <c r="AK293" s="886"/>
    </row>
    <row r="294" spans="1:37" s="58" customFormat="1" ht="20.149999999999999" customHeight="1" outlineLevel="1" thickBot="1" x14ac:dyDescent="0.3">
      <c r="A294" s="1097"/>
      <c r="B294" s="1099"/>
      <c r="C294" s="122">
        <v>1</v>
      </c>
      <c r="D294" s="122">
        <f>C294+1</f>
        <v>2</v>
      </c>
      <c r="E294" s="122">
        <f t="shared" ref="E294:AK294" si="97">D294+1</f>
        <v>3</v>
      </c>
      <c r="F294" s="122">
        <f t="shared" si="97"/>
        <v>4</v>
      </c>
      <c r="G294" s="122">
        <f t="shared" si="97"/>
        <v>5</v>
      </c>
      <c r="H294" s="122">
        <f t="shared" si="97"/>
        <v>6</v>
      </c>
      <c r="I294" s="122">
        <f t="shared" si="97"/>
        <v>7</v>
      </c>
      <c r="J294" s="122">
        <f t="shared" si="97"/>
        <v>8</v>
      </c>
      <c r="K294" s="122">
        <f t="shared" si="97"/>
        <v>9</v>
      </c>
      <c r="L294" s="122">
        <f t="shared" si="97"/>
        <v>10</v>
      </c>
      <c r="M294" s="122">
        <f t="shared" si="97"/>
        <v>11</v>
      </c>
      <c r="N294" s="122">
        <f t="shared" si="97"/>
        <v>12</v>
      </c>
      <c r="O294" s="122">
        <f t="shared" si="97"/>
        <v>13</v>
      </c>
      <c r="P294" s="122">
        <f t="shared" si="97"/>
        <v>14</v>
      </c>
      <c r="Q294" s="122">
        <f t="shared" si="97"/>
        <v>15</v>
      </c>
      <c r="R294" s="122">
        <f t="shared" si="97"/>
        <v>16</v>
      </c>
      <c r="S294" s="122">
        <f t="shared" si="97"/>
        <v>17</v>
      </c>
      <c r="T294" s="122">
        <f t="shared" si="97"/>
        <v>18</v>
      </c>
      <c r="U294" s="122">
        <f t="shared" si="97"/>
        <v>19</v>
      </c>
      <c r="V294" s="122">
        <f t="shared" si="97"/>
        <v>20</v>
      </c>
      <c r="W294" s="122">
        <f t="shared" si="97"/>
        <v>21</v>
      </c>
      <c r="X294" s="122">
        <f t="shared" si="97"/>
        <v>22</v>
      </c>
      <c r="Y294" s="122">
        <f t="shared" si="97"/>
        <v>23</v>
      </c>
      <c r="Z294" s="122">
        <f t="shared" si="97"/>
        <v>24</v>
      </c>
      <c r="AA294" s="122">
        <f t="shared" si="97"/>
        <v>25</v>
      </c>
      <c r="AB294" s="122">
        <f t="shared" si="97"/>
        <v>26</v>
      </c>
      <c r="AC294" s="122">
        <f t="shared" si="97"/>
        <v>27</v>
      </c>
      <c r="AD294" s="122">
        <f t="shared" si="97"/>
        <v>28</v>
      </c>
      <c r="AE294" s="122">
        <f t="shared" si="97"/>
        <v>29</v>
      </c>
      <c r="AF294" s="122">
        <f t="shared" si="97"/>
        <v>30</v>
      </c>
      <c r="AG294" s="122">
        <f t="shared" si="97"/>
        <v>31</v>
      </c>
      <c r="AH294" s="122">
        <f t="shared" si="97"/>
        <v>32</v>
      </c>
      <c r="AI294" s="122">
        <f t="shared" si="97"/>
        <v>33</v>
      </c>
      <c r="AJ294" s="122">
        <f t="shared" si="97"/>
        <v>34</v>
      </c>
      <c r="AK294" s="873">
        <f t="shared" si="97"/>
        <v>35</v>
      </c>
    </row>
    <row r="295" spans="1:37" ht="20.149999999999999" customHeight="1" outlineLevel="1" x14ac:dyDescent="0.25">
      <c r="A295" s="71">
        <v>1</v>
      </c>
      <c r="B295" s="76" t="s">
        <v>134</v>
      </c>
      <c r="AK295" s="163"/>
    </row>
    <row r="296" spans="1:37" ht="20.149999999999999" customHeight="1" outlineLevel="1" x14ac:dyDescent="0.25">
      <c r="A296" s="48" t="s">
        <v>74</v>
      </c>
      <c r="B296" s="78" t="s">
        <v>129</v>
      </c>
      <c r="C296" s="80"/>
      <c r="D296" s="80">
        <f>('Critérios de Implantação'!D$30*'Critérios de Implantação'!$C$16)*'Resumo-Cult.Temp.'!$C93</f>
        <v>0</v>
      </c>
      <c r="E296" s="80">
        <f>('Critérios de Implantação'!E$30*'Critérios de Implantação'!$C$16)*'Resumo-Cult.Temp.'!$C93</f>
        <v>0</v>
      </c>
      <c r="F296" s="80">
        <f>('Critérios de Implantação'!F$30*'Critérios de Implantação'!$C$16)*'Resumo-Cult.Temp.'!$C93</f>
        <v>390798.84303935204</v>
      </c>
      <c r="G296" s="80">
        <f>('Critérios de Implantação'!G$30*'Critérios de Implantação'!$C$16)*'Resumo-Cult.Temp.'!$C93</f>
        <v>390798.84303935204</v>
      </c>
      <c r="H296" s="80">
        <f>('Critérios de Implantação'!H$30*'Critérios de Implantação'!$C$16)*'Resumo-Cult.Temp.'!$C93</f>
        <v>469525.54699485621</v>
      </c>
      <c r="I296" s="80">
        <f>('Critérios de Implantação'!I$30*'Critérios de Implantação'!$C$16)*'Resumo-Cult.Temp.'!$C93</f>
        <v>906838.85832870437</v>
      </c>
      <c r="J296" s="80">
        <f>('Critérios de Implantação'!J$30*'Critérios de Implantação'!$C$16)*'Resumo-Cult.Temp.'!$C93</f>
        <v>850818.00384733418</v>
      </c>
      <c r="K296" s="80">
        <f>('Critérios de Implantação'!K$30*'Critérios de Implantação'!$C$16)*'Resumo-Cult.Temp.'!$C93</f>
        <v>875411.03778408165</v>
      </c>
      <c r="L296" s="80">
        <f>('Critérios de Implantação'!L$30*'Critérios de Implantação'!$C$16)*'Resumo-Cult.Temp.'!$C93</f>
        <v>713080.15235137299</v>
      </c>
      <c r="M296" s="80">
        <f>('Critérios de Implantação'!M$30*'Critérios de Implantação'!$C$16)*'Resumo-Cult.Temp.'!$C93</f>
        <v>505476.67789264699</v>
      </c>
      <c r="N296" s="80">
        <f>('Critérios de Implantação'!N$30*'Critérios de Implantação'!$C$16)*'Resumo-Cult.Temp.'!$C93</f>
        <v>254302.87081186936</v>
      </c>
      <c r="O296" s="80">
        <f>('Critérios de Implantação'!O$30*'Critérios de Implantação'!$C$16)*'Resumo-Cult.Temp.'!$C93</f>
        <v>0</v>
      </c>
      <c r="P296" s="80">
        <f>('Critérios de Implantação'!P$30*'Critérios de Implantação'!$C$16)*'Resumo-Cult.Temp.'!$C93</f>
        <v>0</v>
      </c>
      <c r="Q296" s="80">
        <f>('Critérios de Implantação'!Q$30*'Critérios de Implantação'!$C$16)*'Resumo-Cult.Temp.'!$C93</f>
        <v>0</v>
      </c>
      <c r="R296" s="80">
        <f>('Critérios de Implantação'!R$30*'Critérios de Implantação'!$C$16)*'Resumo-Cult.Temp.'!$C93</f>
        <v>0</v>
      </c>
      <c r="S296" s="80">
        <f>('Critérios de Implantação'!S$30*'Critérios de Implantação'!$C$16)*'Resumo-Cult.Temp.'!$C93</f>
        <v>0</v>
      </c>
      <c r="T296" s="80">
        <f>('Critérios de Implantação'!T$30*'Critérios de Implantação'!$C$16)*'Resumo-Cult.Temp.'!$C93</f>
        <v>0</v>
      </c>
      <c r="U296" s="80">
        <f>('Critérios de Implantação'!U$30*'Critérios de Implantação'!$C$16)*'Resumo-Cult.Temp.'!$C93</f>
        <v>0</v>
      </c>
      <c r="V296" s="80">
        <f>('Critérios de Implantação'!V$30*'Critérios de Implantação'!$C$16)*'Resumo-Cult.Temp.'!$C93</f>
        <v>0</v>
      </c>
      <c r="W296" s="80">
        <f>('Critérios de Implantação'!W$30*'Critérios de Implantação'!$C$16)*'Resumo-Cult.Temp.'!$C93</f>
        <v>0</v>
      </c>
      <c r="X296" s="80">
        <f>('Critérios de Implantação'!X$30*'Critérios de Implantação'!$C$16)*'Resumo-Cult.Temp.'!$C93</f>
        <v>0</v>
      </c>
      <c r="Y296" s="80">
        <f>('Critérios de Implantação'!Y$30*'Critérios de Implantação'!$C$16)*'Resumo-Cult.Temp.'!$C93</f>
        <v>0</v>
      </c>
      <c r="Z296" s="80">
        <f>('Critérios de Implantação'!Z$30*'Critérios de Implantação'!$C$16)*'Resumo-Cult.Temp.'!$C93</f>
        <v>0</v>
      </c>
      <c r="AA296" s="80">
        <f>('Critérios de Implantação'!AA$30*'Critérios de Implantação'!$C$16)*'Resumo-Cult.Temp.'!$C93</f>
        <v>0</v>
      </c>
      <c r="AB296" s="80">
        <f>('Critérios de Implantação'!AB$30*'Critérios de Implantação'!$C$16)*'Resumo-Cult.Temp.'!$C93</f>
        <v>0</v>
      </c>
      <c r="AC296" s="80">
        <f>('Critérios de Implantação'!AC$30*'Critérios de Implantação'!$C$16)*'Resumo-Cult.Temp.'!$C93</f>
        <v>0</v>
      </c>
      <c r="AD296" s="80">
        <f>('Critérios de Implantação'!AD$30*'Critérios de Implantação'!$C$16)*'Resumo-Cult.Temp.'!$C93</f>
        <v>0</v>
      </c>
      <c r="AE296" s="80">
        <f>('Critérios de Implantação'!AE$30*'Critérios de Implantação'!$C$16)*'Resumo-Cult.Temp.'!$C93</f>
        <v>0</v>
      </c>
      <c r="AF296" s="80">
        <f>('Critérios de Implantação'!AF$30*'Critérios de Implantação'!$C$16)*'Resumo-Cult.Temp.'!$C93</f>
        <v>0</v>
      </c>
      <c r="AG296" s="80">
        <f>('Critérios de Implantação'!AG$30*'Critérios de Implantação'!$C$16)*'Resumo-Cult.Temp.'!$C93</f>
        <v>0</v>
      </c>
      <c r="AH296" s="80">
        <f>('Critérios de Implantação'!AH$30*'Critérios de Implantação'!$C$16)*'Resumo-Cult.Temp.'!$C93</f>
        <v>0</v>
      </c>
      <c r="AI296" s="80">
        <f>('Critérios de Implantação'!AI$30*'Critérios de Implantação'!$C$16)*'Resumo-Cult.Temp.'!$C93</f>
        <v>0</v>
      </c>
      <c r="AJ296" s="80">
        <f>('Critérios de Implantação'!AJ$30*'Critérios de Implantação'!$C$16)*'Resumo-Cult.Temp.'!$C93</f>
        <v>0</v>
      </c>
      <c r="AK296" s="874">
        <f>('Critérios de Implantação'!AK$30*'Critérios de Implantação'!$C$16)*'Resumo-Cult.Temp.'!$C93</f>
        <v>0</v>
      </c>
    </row>
    <row r="297" spans="1:37" ht="20.149999999999999" customHeight="1" outlineLevel="1" x14ac:dyDescent="0.25">
      <c r="A297" s="48" t="s">
        <v>75</v>
      </c>
      <c r="B297" s="82" t="s">
        <v>335</v>
      </c>
      <c r="C297" s="80"/>
      <c r="D297" s="80">
        <f>('Critérios de Implantação'!D$30*'Critérios de Implantação'!$C$16)*'Resumo-Cult.Temp.'!$C94</f>
        <v>0</v>
      </c>
      <c r="E297" s="80">
        <f>('Critérios de Implantação'!E$30*'Critérios de Implantação'!$C$16)*'Resumo-Cult.Temp.'!$C94</f>
        <v>0</v>
      </c>
      <c r="F297" s="80">
        <f>('Critérios de Implantação'!F$30*'Critérios de Implantação'!$C$16)*'Resumo-Cult.Temp.'!$C94</f>
        <v>0</v>
      </c>
      <c r="G297" s="80">
        <f>('Critérios de Implantação'!G$30*'Critérios de Implantação'!$C$16)*'Resumo-Cult.Temp.'!$C94</f>
        <v>0</v>
      </c>
      <c r="H297" s="80">
        <f>('Critérios de Implantação'!H$30*'Critérios de Implantação'!$C$16)*'Resumo-Cult.Temp.'!$C94</f>
        <v>0</v>
      </c>
      <c r="I297" s="80">
        <f>('Critérios de Implantação'!I$30*'Critérios de Implantação'!$C$16)*'Resumo-Cult.Temp.'!$C94</f>
        <v>0</v>
      </c>
      <c r="J297" s="80">
        <f>('Critérios de Implantação'!J$30*'Critérios de Implantação'!$C$16)*'Resumo-Cult.Temp.'!$C94</f>
        <v>0</v>
      </c>
      <c r="K297" s="80">
        <f>('Critérios de Implantação'!K$30*'Critérios de Implantação'!$C$16)*'Resumo-Cult.Temp.'!$C94</f>
        <v>0</v>
      </c>
      <c r="L297" s="80">
        <f>('Critérios de Implantação'!L$30*'Critérios de Implantação'!$C$16)*'Resumo-Cult.Temp.'!$C94</f>
        <v>0</v>
      </c>
      <c r="M297" s="80">
        <f>('Critérios de Implantação'!M$30*'Critérios de Implantação'!$C$16)*'Resumo-Cult.Temp.'!$C94</f>
        <v>0</v>
      </c>
      <c r="N297" s="80">
        <f>('Critérios de Implantação'!N$30*'Critérios de Implantação'!$C$16)*'Resumo-Cult.Temp.'!$C94</f>
        <v>0</v>
      </c>
      <c r="O297" s="80">
        <f>('Critérios de Implantação'!O$30*'Critérios de Implantação'!$C$16)*'Resumo-Cult.Temp.'!$C94</f>
        <v>0</v>
      </c>
      <c r="P297" s="80">
        <f>('Critérios de Implantação'!P$30*'Critérios de Implantação'!$C$16)*'Resumo-Cult.Temp.'!$C94</f>
        <v>0</v>
      </c>
      <c r="Q297" s="80">
        <f>('Critérios de Implantação'!Q$30*'Critérios de Implantação'!$C$16)*'Resumo-Cult.Temp.'!$C94</f>
        <v>0</v>
      </c>
      <c r="R297" s="80">
        <f>('Critérios de Implantação'!R$30*'Critérios de Implantação'!$C$16)*'Resumo-Cult.Temp.'!$C94</f>
        <v>0</v>
      </c>
      <c r="S297" s="80">
        <f>('Critérios de Implantação'!S$30*'Critérios de Implantação'!$C$16)*'Resumo-Cult.Temp.'!$C94</f>
        <v>0</v>
      </c>
      <c r="T297" s="80">
        <f>('Critérios de Implantação'!T$30*'Critérios de Implantação'!$C$16)*'Resumo-Cult.Temp.'!$C94</f>
        <v>0</v>
      </c>
      <c r="U297" s="80">
        <f>('Critérios de Implantação'!U$30*'Critérios de Implantação'!$C$16)*'Resumo-Cult.Temp.'!$C94</f>
        <v>0</v>
      </c>
      <c r="V297" s="80">
        <f>('Critérios de Implantação'!V$30*'Critérios de Implantação'!$C$16)*'Resumo-Cult.Temp.'!$C94</f>
        <v>0</v>
      </c>
      <c r="W297" s="80">
        <f>('Critérios de Implantação'!W$30*'Critérios de Implantação'!$C$16)*'Resumo-Cult.Temp.'!$C94</f>
        <v>0</v>
      </c>
      <c r="X297" s="80">
        <f>('Critérios de Implantação'!X$30*'Critérios de Implantação'!$C$16)*'Resumo-Cult.Temp.'!$C94</f>
        <v>0</v>
      </c>
      <c r="Y297" s="80">
        <f>('Critérios de Implantação'!Y$30*'Critérios de Implantação'!$C$16)*'Resumo-Cult.Temp.'!$C94</f>
        <v>0</v>
      </c>
      <c r="Z297" s="80">
        <f>('Critérios de Implantação'!Z$30*'Critérios de Implantação'!$C$16)*'Resumo-Cult.Temp.'!$C94</f>
        <v>0</v>
      </c>
      <c r="AA297" s="80">
        <f>('Critérios de Implantação'!AA$30*'Critérios de Implantação'!$C$16)*'Resumo-Cult.Temp.'!$C94</f>
        <v>0</v>
      </c>
      <c r="AB297" s="80">
        <f>('Critérios de Implantação'!AB$30*'Critérios de Implantação'!$C$16)*'Resumo-Cult.Temp.'!$C94</f>
        <v>0</v>
      </c>
      <c r="AC297" s="80">
        <f>('Critérios de Implantação'!AC$30*'Critérios de Implantação'!$C$16)*'Resumo-Cult.Temp.'!$C94</f>
        <v>0</v>
      </c>
      <c r="AD297" s="80">
        <f>('Critérios de Implantação'!AD$30*'Critérios de Implantação'!$C$16)*'Resumo-Cult.Temp.'!$C94</f>
        <v>0</v>
      </c>
      <c r="AE297" s="80">
        <f>('Critérios de Implantação'!AE$30*'Critérios de Implantação'!$C$16)*'Resumo-Cult.Temp.'!$C94</f>
        <v>0</v>
      </c>
      <c r="AF297" s="80">
        <f>('Critérios de Implantação'!AF$30*'Critérios de Implantação'!$C$16)*'Resumo-Cult.Temp.'!$C94</f>
        <v>0</v>
      </c>
      <c r="AG297" s="80">
        <f>('Critérios de Implantação'!AG$30*'Critérios de Implantação'!$C$16)*'Resumo-Cult.Temp.'!$C94</f>
        <v>0</v>
      </c>
      <c r="AH297" s="80">
        <f>('Critérios de Implantação'!AH$30*'Critérios de Implantação'!$C$16)*'Resumo-Cult.Temp.'!$C94</f>
        <v>0</v>
      </c>
      <c r="AI297" s="80">
        <f>('Critérios de Implantação'!AI$30*'Critérios de Implantação'!$C$16)*'Resumo-Cult.Temp.'!$C94</f>
        <v>0</v>
      </c>
      <c r="AJ297" s="80">
        <f>('Critérios de Implantação'!AJ$30*'Critérios de Implantação'!$C$16)*'Resumo-Cult.Temp.'!$C94</f>
        <v>0</v>
      </c>
      <c r="AK297" s="81">
        <f>('Critérios de Implantação'!AK$30*'Critérios de Implantação'!$C$16)*'Resumo-Cult.Temp.'!$C94</f>
        <v>0</v>
      </c>
    </row>
    <row r="298" spans="1:37" ht="20.149999999999999" customHeight="1" outlineLevel="1" x14ac:dyDescent="0.25">
      <c r="A298" s="48" t="s">
        <v>76</v>
      </c>
      <c r="B298" s="82" t="s">
        <v>336</v>
      </c>
      <c r="C298" s="80"/>
      <c r="D298" s="80">
        <f>('Critérios de Implantação'!D$30*'Critérios de Implantação'!$C$16)*'Resumo-Cult.Temp.'!$C95</f>
        <v>0</v>
      </c>
      <c r="E298" s="80">
        <f>('Critérios de Implantação'!E$30*'Critérios de Implantação'!$C$16)*'Resumo-Cult.Temp.'!$C95</f>
        <v>0</v>
      </c>
      <c r="F298" s="80">
        <f>('Critérios de Implantação'!F$30*'Critérios de Implantação'!$C$16)*'Resumo-Cult.Temp.'!$C95</f>
        <v>5588564.4738191748</v>
      </c>
      <c r="G298" s="80">
        <f>('Critérios de Implantação'!G$30*'Critérios de Implantação'!$C$16)*'Resumo-Cult.Temp.'!$C95</f>
        <v>5588564.4738191748</v>
      </c>
      <c r="H298" s="80">
        <f>('Critérios de Implantação'!H$30*'Critérios de Implantação'!$C$16)*'Resumo-Cult.Temp.'!$C95</f>
        <v>6714384.7486307537</v>
      </c>
      <c r="I298" s="80">
        <f>('Critérios de Implantação'!I$30*'Critérios de Implantação'!$C$16)*'Resumo-Cult.Temp.'!$C95</f>
        <v>12968122.903639751</v>
      </c>
      <c r="J298" s="80">
        <f>('Critérios de Implantação'!J$30*'Critérios de Implantação'!$C$16)*'Resumo-Cult.Temp.'!$C95</f>
        <v>12167004.469632378</v>
      </c>
      <c r="K298" s="80">
        <f>('Critérios de Implantação'!K$30*'Critérios de Implantação'!$C$16)*'Resumo-Cult.Temp.'!$C95</f>
        <v>12518693.729235677</v>
      </c>
      <c r="L298" s="80">
        <f>('Critérios de Implantação'!L$30*'Critérios de Implantação'!$C$16)*'Resumo-Cult.Temp.'!$C95</f>
        <v>10197303.491031993</v>
      </c>
      <c r="M298" s="80">
        <f>('Critérios de Implantação'!M$30*'Critérios de Implantação'!$C$16)*'Resumo-Cult.Temp.'!$C95</f>
        <v>7228498.8933053957</v>
      </c>
      <c r="N298" s="80">
        <f>('Critérios de Implantação'!N$30*'Critérios de Implantação'!$C$16)*'Resumo-Cult.Temp.'!$C95</f>
        <v>3636622.8168856981</v>
      </c>
      <c r="O298" s="80">
        <f>('Critérios de Implantação'!O$30*'Critérios de Implantação'!$C$16)*'Resumo-Cult.Temp.'!$C95</f>
        <v>0</v>
      </c>
      <c r="P298" s="80">
        <f>('Critérios de Implantação'!P$30*'Critérios de Implantação'!$C$16)*'Resumo-Cult.Temp.'!$C95</f>
        <v>0</v>
      </c>
      <c r="Q298" s="80">
        <f>('Critérios de Implantação'!Q$30*'Critérios de Implantação'!$C$16)*'Resumo-Cult.Temp.'!$C95</f>
        <v>0</v>
      </c>
      <c r="R298" s="80">
        <f>('Critérios de Implantação'!R$30*'Critérios de Implantação'!$C$16)*'Resumo-Cult.Temp.'!$C95</f>
        <v>0</v>
      </c>
      <c r="S298" s="80">
        <f>('Critérios de Implantação'!S$30*'Critérios de Implantação'!$C$16)*'Resumo-Cult.Temp.'!$C95</f>
        <v>0</v>
      </c>
      <c r="T298" s="80">
        <f>('Critérios de Implantação'!T$30*'Critérios de Implantação'!$C$16)*'Resumo-Cult.Temp.'!$C95</f>
        <v>0</v>
      </c>
      <c r="U298" s="80">
        <f>('Critérios de Implantação'!U$30*'Critérios de Implantação'!$C$16)*'Resumo-Cult.Temp.'!$C95</f>
        <v>0</v>
      </c>
      <c r="V298" s="80">
        <f>('Critérios de Implantação'!V$30*'Critérios de Implantação'!$C$16)*'Resumo-Cult.Temp.'!$C95</f>
        <v>0</v>
      </c>
      <c r="W298" s="80">
        <f>('Critérios de Implantação'!W$30*'Critérios de Implantação'!$C$16)*'Resumo-Cult.Temp.'!$C95</f>
        <v>0</v>
      </c>
      <c r="X298" s="80">
        <f>('Critérios de Implantação'!X$30*'Critérios de Implantação'!$C$16)*'Resumo-Cult.Temp.'!$C95</f>
        <v>0</v>
      </c>
      <c r="Y298" s="80">
        <f>('Critérios de Implantação'!Y$30*'Critérios de Implantação'!$C$16)*'Resumo-Cult.Temp.'!$C95</f>
        <v>0</v>
      </c>
      <c r="Z298" s="80">
        <f>('Critérios de Implantação'!Z$30*'Critérios de Implantação'!$C$16)*'Resumo-Cult.Temp.'!$C95</f>
        <v>0</v>
      </c>
      <c r="AA298" s="80">
        <f>('Critérios de Implantação'!AA$30*'Critérios de Implantação'!$C$16)*'Resumo-Cult.Temp.'!$C95</f>
        <v>0</v>
      </c>
      <c r="AB298" s="80">
        <f>('Critérios de Implantação'!AB$30*'Critérios de Implantação'!$C$16)*'Resumo-Cult.Temp.'!$C95</f>
        <v>0</v>
      </c>
      <c r="AC298" s="80">
        <f>('Critérios de Implantação'!AC$30*'Critérios de Implantação'!$C$16)*'Resumo-Cult.Temp.'!$C95</f>
        <v>0</v>
      </c>
      <c r="AD298" s="80">
        <f>('Critérios de Implantação'!AD$30*'Critérios de Implantação'!$C$16)*'Resumo-Cult.Temp.'!$C95</f>
        <v>0</v>
      </c>
      <c r="AE298" s="80">
        <f>('Critérios de Implantação'!AE$30*'Critérios de Implantação'!$C$16)*'Resumo-Cult.Temp.'!$C95</f>
        <v>0</v>
      </c>
      <c r="AF298" s="80">
        <f>('Critérios de Implantação'!AF$30*'Critérios de Implantação'!$C$16)*'Resumo-Cult.Temp.'!$C95</f>
        <v>0</v>
      </c>
      <c r="AG298" s="80">
        <f>('Critérios de Implantação'!AG$30*'Critérios de Implantação'!$C$16)*'Resumo-Cult.Temp.'!$C95</f>
        <v>0</v>
      </c>
      <c r="AH298" s="80">
        <f>('Critérios de Implantação'!AH$30*'Critérios de Implantação'!$C$16)*'Resumo-Cult.Temp.'!$C95</f>
        <v>0</v>
      </c>
      <c r="AI298" s="80">
        <f>('Critérios de Implantação'!AI$30*'Critérios de Implantação'!$C$16)*'Resumo-Cult.Temp.'!$C95</f>
        <v>0</v>
      </c>
      <c r="AJ298" s="80">
        <f>('Critérios de Implantação'!AJ$30*'Critérios de Implantação'!$C$16)*'Resumo-Cult.Temp.'!$C95</f>
        <v>0</v>
      </c>
      <c r="AK298" s="81">
        <f>('Critérios de Implantação'!AK$30*'Critérios de Implantação'!$C$16)*'Resumo-Cult.Temp.'!$C95</f>
        <v>0</v>
      </c>
    </row>
    <row r="299" spans="1:37" ht="20.149999999999999" customHeight="1" outlineLevel="1" x14ac:dyDescent="0.25">
      <c r="A299" s="48" t="s">
        <v>126</v>
      </c>
      <c r="B299" s="82" t="s">
        <v>130</v>
      </c>
      <c r="C299" s="80"/>
      <c r="D299" s="80">
        <f>('Critérios de Implantação'!D$30*'Critérios de Implantação'!$C$16)*'Resumo-Cult.Temp.'!$C96</f>
        <v>0</v>
      </c>
      <c r="E299" s="80">
        <f>('Critérios de Implantação'!E$30*'Critérios de Implantação'!$C$16)*'Resumo-Cult.Temp.'!$C96</f>
        <v>0</v>
      </c>
      <c r="F299" s="80">
        <f>('Critérios de Implantação'!F$30*'Critérios de Implantação'!$C$16)*'Resumo-Cult.Temp.'!$C96</f>
        <v>965915.40027226007</v>
      </c>
      <c r="G299" s="80">
        <f>('Critérios de Implantação'!G$30*'Critérios de Implantação'!$C$16)*'Resumo-Cult.Temp.'!$C96</f>
        <v>965915.40027226007</v>
      </c>
      <c r="H299" s="80">
        <f>('Critérios de Implantação'!H$30*'Critérios de Implantação'!$C$16)*'Resumo-Cult.Temp.'!$C96</f>
        <v>1160499.7423646937</v>
      </c>
      <c r="I299" s="80">
        <f>('Critérios de Implantação'!I$30*'Critérios de Implantação'!$C$16)*'Resumo-Cult.Temp.'!$C96</f>
        <v>2241382.323480438</v>
      </c>
      <c r="J299" s="80">
        <f>('Critérios de Implantação'!J$30*'Critérios de Implantação'!$C$16)*'Resumo-Cult.Temp.'!$C96</f>
        <v>2102918.7454945692</v>
      </c>
      <c r="K299" s="80">
        <f>('Critérios de Implantação'!K$30*'Critérios de Implantação'!$C$16)*'Resumo-Cult.Temp.'!$C96</f>
        <v>2163703.9567151936</v>
      </c>
      <c r="L299" s="80">
        <f>('Critérios de Implantação'!L$30*'Critérios de Implantação'!$C$16)*'Resumo-Cult.Temp.'!$C96</f>
        <v>1762479.8871662051</v>
      </c>
      <c r="M299" s="80">
        <f>('Critérios de Implantação'!M$30*'Critérios de Implantação'!$C$16)*'Resumo-Cult.Temp.'!$C96</f>
        <v>1249358.1195321083</v>
      </c>
      <c r="N299" s="80">
        <f>('Critérios de Implantação'!N$30*'Critérios de Implantação'!$C$16)*'Resumo-Cult.Temp.'!$C96</f>
        <v>628546.02470227133</v>
      </c>
      <c r="O299" s="80">
        <f>('Critérios de Implantação'!O$30*'Critérios de Implantação'!$C$16)*'Resumo-Cult.Temp.'!$C96</f>
        <v>0</v>
      </c>
      <c r="P299" s="80">
        <f>('Critérios de Implantação'!P$30*'Critérios de Implantação'!$C$16)*'Resumo-Cult.Temp.'!$C96</f>
        <v>0</v>
      </c>
      <c r="Q299" s="80">
        <f>('Critérios de Implantação'!Q$30*'Critérios de Implantação'!$C$16)*'Resumo-Cult.Temp.'!$C96</f>
        <v>0</v>
      </c>
      <c r="R299" s="80">
        <f>('Critérios de Implantação'!R$30*'Critérios de Implantação'!$C$16)*'Resumo-Cult.Temp.'!$C96</f>
        <v>0</v>
      </c>
      <c r="S299" s="80">
        <f>('Critérios de Implantação'!S$30*'Critérios de Implantação'!$C$16)*'Resumo-Cult.Temp.'!$C96</f>
        <v>0</v>
      </c>
      <c r="T299" s="80">
        <f>('Critérios de Implantação'!T$30*'Critérios de Implantação'!$C$16)*'Resumo-Cult.Temp.'!$C96</f>
        <v>0</v>
      </c>
      <c r="U299" s="80">
        <f>('Critérios de Implantação'!U$30*'Critérios de Implantação'!$C$16)*'Resumo-Cult.Temp.'!$C96</f>
        <v>0</v>
      </c>
      <c r="V299" s="80">
        <f>('Critérios de Implantação'!V$30*'Critérios de Implantação'!$C$16)*'Resumo-Cult.Temp.'!$C96</f>
        <v>0</v>
      </c>
      <c r="W299" s="80">
        <f>('Critérios de Implantação'!W$30*'Critérios de Implantação'!$C$16)*'Resumo-Cult.Temp.'!$C96</f>
        <v>0</v>
      </c>
      <c r="X299" s="80">
        <f>('Critérios de Implantação'!X$30*'Critérios de Implantação'!$C$16)*'Resumo-Cult.Temp.'!$C96</f>
        <v>0</v>
      </c>
      <c r="Y299" s="80">
        <f>('Critérios de Implantação'!Y$30*'Critérios de Implantação'!$C$16)*'Resumo-Cult.Temp.'!$C96</f>
        <v>0</v>
      </c>
      <c r="Z299" s="80">
        <f>('Critérios de Implantação'!Z$30*'Critérios de Implantação'!$C$16)*'Resumo-Cult.Temp.'!$C96</f>
        <v>0</v>
      </c>
      <c r="AA299" s="80">
        <f>('Critérios de Implantação'!AA$30*'Critérios de Implantação'!$C$16)*'Resumo-Cult.Temp.'!$C96</f>
        <v>0</v>
      </c>
      <c r="AB299" s="80">
        <f>('Critérios de Implantação'!AB$30*'Critérios de Implantação'!$C$16)*'Resumo-Cult.Temp.'!$C96</f>
        <v>0</v>
      </c>
      <c r="AC299" s="80">
        <f>('Critérios de Implantação'!AC$30*'Critérios de Implantação'!$C$16)*'Resumo-Cult.Temp.'!$C96</f>
        <v>0</v>
      </c>
      <c r="AD299" s="80">
        <f>('Critérios de Implantação'!AD$30*'Critérios de Implantação'!$C$16)*'Resumo-Cult.Temp.'!$C96</f>
        <v>0</v>
      </c>
      <c r="AE299" s="80">
        <f>('Critérios de Implantação'!AE$30*'Critérios de Implantação'!$C$16)*'Resumo-Cult.Temp.'!$C96</f>
        <v>0</v>
      </c>
      <c r="AF299" s="80">
        <f>('Critérios de Implantação'!AF$30*'Critérios de Implantação'!$C$16)*'Resumo-Cult.Temp.'!$C96</f>
        <v>0</v>
      </c>
      <c r="AG299" s="80">
        <f>('Critérios de Implantação'!AG$30*'Critérios de Implantação'!$C$16)*'Resumo-Cult.Temp.'!$C96</f>
        <v>0</v>
      </c>
      <c r="AH299" s="80">
        <f>('Critérios de Implantação'!AH$30*'Critérios de Implantação'!$C$16)*'Resumo-Cult.Temp.'!$C96</f>
        <v>0</v>
      </c>
      <c r="AI299" s="80">
        <f>('Critérios de Implantação'!AI$30*'Critérios de Implantação'!$C$16)*'Resumo-Cult.Temp.'!$C96</f>
        <v>0</v>
      </c>
      <c r="AJ299" s="80">
        <f>('Critérios de Implantação'!AJ$30*'Critérios de Implantação'!$C$16)*'Resumo-Cult.Temp.'!$C96</f>
        <v>0</v>
      </c>
      <c r="AK299" s="81">
        <f>('Critérios de Implantação'!AK$30*'Critérios de Implantação'!$C$16)*'Resumo-Cult.Temp.'!$C96</f>
        <v>0</v>
      </c>
    </row>
    <row r="300" spans="1:37" ht="20.149999999999999" customHeight="1" outlineLevel="1" x14ac:dyDescent="0.25">
      <c r="A300" s="48"/>
      <c r="B300" s="83" t="s">
        <v>228</v>
      </c>
      <c r="C300" s="93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1"/>
    </row>
    <row r="301" spans="1:37" ht="20.149999999999999" customHeight="1" outlineLevel="1" x14ac:dyDescent="0.25">
      <c r="A301" s="85" t="s">
        <v>135</v>
      </c>
      <c r="B301" s="82" t="s">
        <v>142</v>
      </c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1"/>
    </row>
    <row r="302" spans="1:37" ht="20.149999999999999" customHeight="1" outlineLevel="1" x14ac:dyDescent="0.25">
      <c r="A302" s="85" t="s">
        <v>157</v>
      </c>
      <c r="B302" s="34" t="s">
        <v>146</v>
      </c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1"/>
    </row>
    <row r="303" spans="1:37" ht="20.149999999999999" customHeight="1" outlineLevel="1" x14ac:dyDescent="0.25">
      <c r="A303" s="85" t="s">
        <v>158</v>
      </c>
      <c r="B303" s="82" t="s">
        <v>143</v>
      </c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1"/>
    </row>
    <row r="304" spans="1:37" ht="20.149999999999999" customHeight="1" outlineLevel="1" x14ac:dyDescent="0.25">
      <c r="A304" s="85" t="s">
        <v>159</v>
      </c>
      <c r="B304" s="34" t="s">
        <v>141</v>
      </c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1"/>
    </row>
    <row r="305" spans="1:37" s="15" customFormat="1" ht="20.149999999999999" customHeight="1" outlineLevel="1" thickBot="1" x14ac:dyDescent="0.3">
      <c r="A305" s="86"/>
      <c r="B305" s="87" t="s">
        <v>148</v>
      </c>
      <c r="C305" s="88"/>
      <c r="D305" s="88">
        <f t="shared" ref="D305:AK305" si="98">SUM(D296:D304)</f>
        <v>0</v>
      </c>
      <c r="E305" s="88">
        <f t="shared" si="98"/>
        <v>0</v>
      </c>
      <c r="F305" s="88">
        <f t="shared" si="98"/>
        <v>6945278.7171307877</v>
      </c>
      <c r="G305" s="88">
        <f t="shared" si="98"/>
        <v>6945278.7171307877</v>
      </c>
      <c r="H305" s="88">
        <f t="shared" si="98"/>
        <v>8344410.0379903037</v>
      </c>
      <c r="I305" s="88">
        <f t="shared" si="98"/>
        <v>16116344.085448893</v>
      </c>
      <c r="J305" s="88">
        <f t="shared" si="98"/>
        <v>15120741.218974281</v>
      </c>
      <c r="K305" s="88">
        <f t="shared" si="98"/>
        <v>15557808.723734953</v>
      </c>
      <c r="L305" s="88">
        <f t="shared" si="98"/>
        <v>12672863.530549573</v>
      </c>
      <c r="M305" s="88">
        <f t="shared" si="98"/>
        <v>8983333.6907301508</v>
      </c>
      <c r="N305" s="88">
        <f t="shared" si="98"/>
        <v>4519471.7123998385</v>
      </c>
      <c r="O305" s="88">
        <f t="shared" si="98"/>
        <v>0</v>
      </c>
      <c r="P305" s="88">
        <f t="shared" si="98"/>
        <v>0</v>
      </c>
      <c r="Q305" s="88">
        <f t="shared" si="98"/>
        <v>0</v>
      </c>
      <c r="R305" s="88">
        <f t="shared" si="98"/>
        <v>0</v>
      </c>
      <c r="S305" s="88">
        <f t="shared" si="98"/>
        <v>0</v>
      </c>
      <c r="T305" s="88">
        <f t="shared" si="98"/>
        <v>0</v>
      </c>
      <c r="U305" s="88">
        <f t="shared" si="98"/>
        <v>0</v>
      </c>
      <c r="V305" s="88">
        <f t="shared" si="98"/>
        <v>0</v>
      </c>
      <c r="W305" s="88">
        <f t="shared" si="98"/>
        <v>0</v>
      </c>
      <c r="X305" s="88">
        <f t="shared" si="98"/>
        <v>0</v>
      </c>
      <c r="Y305" s="88">
        <f t="shared" si="98"/>
        <v>0</v>
      </c>
      <c r="Z305" s="88">
        <f t="shared" si="98"/>
        <v>0</v>
      </c>
      <c r="AA305" s="88">
        <f t="shared" si="98"/>
        <v>0</v>
      </c>
      <c r="AB305" s="88">
        <f t="shared" si="98"/>
        <v>0</v>
      </c>
      <c r="AC305" s="88">
        <f t="shared" si="98"/>
        <v>0</v>
      </c>
      <c r="AD305" s="88">
        <f t="shared" si="98"/>
        <v>0</v>
      </c>
      <c r="AE305" s="88">
        <f t="shared" si="98"/>
        <v>0</v>
      </c>
      <c r="AF305" s="88">
        <f t="shared" si="98"/>
        <v>0</v>
      </c>
      <c r="AG305" s="88">
        <f t="shared" si="98"/>
        <v>0</v>
      </c>
      <c r="AH305" s="88">
        <f t="shared" si="98"/>
        <v>0</v>
      </c>
      <c r="AI305" s="88">
        <f t="shared" si="98"/>
        <v>0</v>
      </c>
      <c r="AJ305" s="88">
        <f t="shared" si="98"/>
        <v>0</v>
      </c>
      <c r="AK305" s="89">
        <f t="shared" si="98"/>
        <v>0</v>
      </c>
    </row>
    <row r="306" spans="1:37" ht="20.149999999999999" customHeight="1" outlineLevel="1" thickBot="1" x14ac:dyDescent="0.3">
      <c r="A306" s="14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</row>
    <row r="307" spans="1:37" ht="20.149999999999999" customHeight="1" outlineLevel="1" x14ac:dyDescent="0.25">
      <c r="A307" s="71">
        <v>2</v>
      </c>
      <c r="B307" s="76" t="s">
        <v>136</v>
      </c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2"/>
    </row>
    <row r="308" spans="1:37" ht="20.149999999999999" customHeight="1" outlineLevel="1" x14ac:dyDescent="0.25">
      <c r="A308" s="48" t="s">
        <v>137</v>
      </c>
      <c r="B308" s="82" t="s">
        <v>142</v>
      </c>
      <c r="C308" s="93"/>
      <c r="D308" s="93">
        <f>'Resumo-Cult.Temp.'!C100*('Critérios de Implantação'!D$91+'Critérios de Implantação'!D$92+'Critérios de Implantação'!D$93)</f>
        <v>0</v>
      </c>
      <c r="E308" s="93">
        <f>'Resumo-Cult.Temp.'!D100*('Critérios de Implantação'!E$91+'Critérios de Implantação'!E$92+'Critérios de Implantação'!E$93)</f>
        <v>0</v>
      </c>
      <c r="F308" s="93">
        <f>'Resumo-Cult.Temp.'!E100*('Critérios de Implantação'!F$91+'Critérios de Implantação'!F$92+'Critérios de Implantação'!F$93)</f>
        <v>2324540.7365426244</v>
      </c>
      <c r="G308" s="93">
        <f>'Resumo-Cult.Temp.'!F100*('Critérios de Implantação'!G$91+'Critérios de Implantação'!G$92+'Critérios de Implantação'!G$93)</f>
        <v>4649081.4730852488</v>
      </c>
      <c r="H308" s="93">
        <f>'Resumo-Cult.Temp.'!G100*('Critérios de Implantação'!H$91+'Critérios de Implantação'!H$92+'Critérios de Implantação'!H$93)</f>
        <v>7441902.5887994999</v>
      </c>
      <c r="I308" s="93">
        <f>'Resumo-Cult.Temp.'!H100*('Critérios de Implantação'!I$91+'Critérios de Implantação'!I$92+'Critérios de Implantação'!I$93)</f>
        <v>12835940.737097224</v>
      </c>
      <c r="J308" s="93">
        <f>'Resumo-Cult.Temp.'!I100*('Critérios de Implantação'!J$91+'Critérios de Implantação'!J$92+'Critérios de Implantação'!J$93)</f>
        <v>17896756.920547016</v>
      </c>
      <c r="K308" s="93">
        <f>'Resumo-Cult.Temp.'!J100*('Critérios de Implantação'!K$91+'Critérios de Implantação'!K$92+'Critérios de Implantação'!K$93)</f>
        <v>23103856.825761534</v>
      </c>
      <c r="L308" s="93">
        <f>'Resumo-Cult.Temp.'!K100*('Critérios de Implantação'!L$91+'Critérios de Implantação'!L$92+'Critérios de Implantação'!L$93)</f>
        <v>27345383.872436732</v>
      </c>
      <c r="M308" s="93">
        <f>'Resumo-Cult.Temp.'!L100*('Critérios de Implantação'!M$91+'Critérios de Implantação'!M$92+'Critérios de Implantação'!M$93)</f>
        <v>30352048.682381868</v>
      </c>
      <c r="N308" s="93">
        <f>'Resumo-Cult.Temp.'!M100*('Critérios de Implantação'!N$91+'Critérios de Implantação'!N$92+'Critérios de Implantação'!N$93)</f>
        <v>31864687.199999999</v>
      </c>
      <c r="O308" s="93">
        <f>'Resumo-Cult.Temp.'!N100*('Critérios de Implantação'!O$91+'Critérios de Implantação'!O$92+'Critérios de Implantação'!O$93)</f>
        <v>31864687.199999999</v>
      </c>
      <c r="P308" s="93">
        <f>'Resumo-Cult.Temp.'!O100*('Critérios de Implantação'!P$91+'Critérios de Implantação'!P$92+'Critérios de Implantação'!P$93)</f>
        <v>31864687.199999999</v>
      </c>
      <c r="Q308" s="93">
        <f>'Resumo-Cult.Temp.'!P100*('Critérios de Implantação'!Q$91+'Critérios de Implantação'!Q$92+'Critérios de Implantação'!Q$93)</f>
        <v>31864687.199999999</v>
      </c>
      <c r="R308" s="93">
        <f>'Resumo-Cult.Temp.'!Q100*('Critérios de Implantação'!R$91+'Critérios de Implantação'!R$92+'Critérios de Implantação'!R$93)</f>
        <v>31864687.199999999</v>
      </c>
      <c r="S308" s="93">
        <f>'Resumo-Cult.Temp.'!R100*('Critérios de Implantação'!S$91+'Critérios de Implantação'!S$92+'Critérios de Implantação'!S$93)</f>
        <v>31864687.199999999</v>
      </c>
      <c r="T308" s="93">
        <f>'Resumo-Cult.Temp.'!S100*('Critérios de Implantação'!T$91+'Critérios de Implantação'!T$92+'Critérios de Implantação'!T$93)</f>
        <v>31864687.199999999</v>
      </c>
      <c r="U308" s="93">
        <f>'Resumo-Cult.Temp.'!T100*('Critérios de Implantação'!U$91+'Critérios de Implantação'!U$92+'Critérios de Implantação'!U$93)</f>
        <v>31864687.199999999</v>
      </c>
      <c r="V308" s="93">
        <f>'Resumo-Cult.Temp.'!U100*('Critérios de Implantação'!V$91+'Critérios de Implantação'!V$92+'Critérios de Implantação'!V$93)</f>
        <v>31864687.199999999</v>
      </c>
      <c r="W308" s="93">
        <f>'Resumo-Cult.Temp.'!V100*('Critérios de Implantação'!W$91+'Critérios de Implantação'!W$92+'Critérios de Implantação'!W$93)</f>
        <v>31864687.199999999</v>
      </c>
      <c r="X308" s="93">
        <f>'Resumo-Cult.Temp.'!W100*('Critérios de Implantação'!X$91+'Critérios de Implantação'!X$92+'Critérios de Implantação'!X$93)</f>
        <v>31864687.199999999</v>
      </c>
      <c r="Y308" s="93">
        <f>'Resumo-Cult.Temp.'!X100*('Critérios de Implantação'!Y$91+'Critérios de Implantação'!Y$92+'Critérios de Implantação'!Y$93)</f>
        <v>31864687.199999999</v>
      </c>
      <c r="Z308" s="93">
        <f>'Resumo-Cult.Temp.'!Y100*('Critérios de Implantação'!Z$91+'Critérios de Implantação'!Z$92+'Critérios de Implantação'!Z$93)</f>
        <v>31864687.199999999</v>
      </c>
      <c r="AA308" s="93">
        <f>'Resumo-Cult.Temp.'!Z100*('Critérios de Implantação'!AA$91+'Critérios de Implantação'!AA$92+'Critérios de Implantação'!AA$93)</f>
        <v>31864687.199999999</v>
      </c>
      <c r="AB308" s="93">
        <f>'Resumo-Cult.Temp.'!AA100*('Critérios de Implantação'!AB$91+'Critérios de Implantação'!AB$92+'Critérios de Implantação'!AB$93)</f>
        <v>31864687.199999999</v>
      </c>
      <c r="AC308" s="93">
        <f>'Resumo-Cult.Temp.'!AB100*('Critérios de Implantação'!AC$91+'Critérios de Implantação'!AC$92+'Critérios de Implantação'!AC$93)</f>
        <v>31864687.199999999</v>
      </c>
      <c r="AD308" s="93">
        <f>'Resumo-Cult.Temp.'!AC100*('Critérios de Implantação'!AD$91+'Critérios de Implantação'!AD$92+'Critérios de Implantação'!AD$93)</f>
        <v>31864687.199999999</v>
      </c>
      <c r="AE308" s="93">
        <f>'Resumo-Cult.Temp.'!AD100*('Critérios de Implantação'!AE$91+'Critérios de Implantação'!AE$92+'Critérios de Implantação'!AE$93)</f>
        <v>31864687.199999999</v>
      </c>
      <c r="AF308" s="93">
        <f>'Resumo-Cult.Temp.'!AE100*('Critérios de Implantação'!AF$91+'Critérios de Implantação'!AF$92+'Critérios de Implantação'!AF$93)</f>
        <v>31864687.199999999</v>
      </c>
      <c r="AG308" s="93">
        <f>'Resumo-Cult.Temp.'!AF100*('Critérios de Implantação'!AG$91+'Critérios de Implantação'!AG$92+'Critérios de Implantação'!AG$93)</f>
        <v>31864687.199999999</v>
      </c>
      <c r="AH308" s="93">
        <f>'Resumo-Cult.Temp.'!AG100*('Critérios de Implantação'!AH$91+'Critérios de Implantação'!AH$92+'Critérios de Implantação'!AH$93)</f>
        <v>31864687.199999999</v>
      </c>
      <c r="AI308" s="93">
        <f>'Resumo-Cult.Temp.'!AH100*('Critérios de Implantação'!AI$91+'Critérios de Implantação'!AI$92+'Critérios de Implantação'!AI$93)</f>
        <v>31864687.199999999</v>
      </c>
      <c r="AJ308" s="93">
        <f>'Resumo-Cult.Temp.'!AI100*('Critérios de Implantação'!AJ$91+'Critérios de Implantação'!AJ$92+'Critérios de Implantação'!AJ$93)</f>
        <v>31864687.199999999</v>
      </c>
      <c r="AK308" s="95">
        <f>'Resumo-Cult.Temp.'!AJ100*('Critérios de Implantação'!AK$91+'Critérios de Implantação'!AK$92+'Critérios de Implantação'!AK$93)</f>
        <v>31864687.199999999</v>
      </c>
    </row>
    <row r="309" spans="1:37" ht="20.149999999999999" customHeight="1" outlineLevel="1" x14ac:dyDescent="0.25">
      <c r="A309" s="48" t="s">
        <v>138</v>
      </c>
      <c r="B309" s="34" t="s">
        <v>146</v>
      </c>
      <c r="C309" s="80"/>
      <c r="D309" s="93">
        <f>'Resumo-Cult.Temp.'!C101*('Critérios de Implantação'!D$91+'Critérios de Implantação'!D$92+'Critérios de Implantação'!D$93)</f>
        <v>0</v>
      </c>
      <c r="E309" s="93">
        <f>'Resumo-Cult.Temp.'!D101*('Critérios de Implantação'!E$91+'Critérios de Implantação'!E$92+'Critérios de Implantação'!E$93)</f>
        <v>0</v>
      </c>
      <c r="F309" s="93">
        <f>'Resumo-Cult.Temp.'!E101*('Critérios de Implantação'!F$91+'Critérios de Implantação'!F$92+'Critérios de Implantação'!F$93)</f>
        <v>480314.46018229664</v>
      </c>
      <c r="G309" s="93">
        <f>'Resumo-Cult.Temp.'!F101*('Critérios de Implantação'!G$91+'Critérios de Implantação'!G$92+'Critérios de Implantação'!G$93)</f>
        <v>960628.92036459327</v>
      </c>
      <c r="H309" s="93">
        <f>'Resumo-Cult.Temp.'!G101*('Critérios de Implantação'!H$91+'Critérios de Implantação'!H$92+'Critérios de Implantação'!H$93)</f>
        <v>1537703.0690306958</v>
      </c>
      <c r="I309" s="93">
        <f>'Resumo-Cult.Temp.'!H101*('Critérios de Implantação'!I$91+'Critérios de Implantação'!I$92+'Critérios de Implantação'!I$93)</f>
        <v>2652260.6591273015</v>
      </c>
      <c r="J309" s="93">
        <f>'Resumo-Cult.Temp.'!I101*('Critérios de Implantação'!J$91+'Critérios de Implantação'!J$92+'Critérios de Implantação'!J$93)</f>
        <v>3697965.3675984088</v>
      </c>
      <c r="K309" s="93">
        <f>'Resumo-Cult.Temp.'!J101*('Critérios de Implantação'!K$91+'Critérios de Implantação'!K$92+'Critérios de Implantação'!K$93)</f>
        <v>4773896.3421651516</v>
      </c>
      <c r="L309" s="93">
        <f>'Resumo-Cult.Temp.'!K101*('Critérios de Implantação'!L$91+'Critérios de Implantação'!L$92+'Critérios de Implantação'!L$93)</f>
        <v>5650313.2367997924</v>
      </c>
      <c r="M309" s="93">
        <f>'Resumo-Cult.Temp.'!L101*('Critérios de Implantação'!M$91+'Critérios de Implantação'!M$92+'Critérios de Implantação'!M$93)</f>
        <v>6271573.4119541487</v>
      </c>
      <c r="N309" s="93">
        <f>'Resumo-Cult.Temp.'!M101*('Critérios de Implantação'!N$91+'Critérios de Implantação'!N$92+'Critérios de Implantação'!N$93)</f>
        <v>6584126.4000000004</v>
      </c>
      <c r="O309" s="93">
        <f>'Resumo-Cult.Temp.'!N101*('Critérios de Implantação'!O$91+'Critérios de Implantação'!O$92+'Critérios de Implantação'!O$93)</f>
        <v>6584126.4000000004</v>
      </c>
      <c r="P309" s="93">
        <f>'Resumo-Cult.Temp.'!O101*('Critérios de Implantação'!P$91+'Critérios de Implantação'!P$92+'Critérios de Implantação'!P$93)</f>
        <v>6584126.4000000004</v>
      </c>
      <c r="Q309" s="93">
        <f>'Resumo-Cult.Temp.'!P101*('Critérios de Implantação'!Q$91+'Critérios de Implantação'!Q$92+'Critérios de Implantação'!Q$93)</f>
        <v>6584126.4000000004</v>
      </c>
      <c r="R309" s="93">
        <f>'Resumo-Cult.Temp.'!Q101*('Critérios de Implantação'!R$91+'Critérios de Implantação'!R$92+'Critérios de Implantação'!R$93)</f>
        <v>6584126.4000000004</v>
      </c>
      <c r="S309" s="93">
        <f>'Resumo-Cult.Temp.'!R101*('Critérios de Implantação'!S$91+'Critérios de Implantação'!S$92+'Critérios de Implantação'!S$93)</f>
        <v>6584126.4000000004</v>
      </c>
      <c r="T309" s="93">
        <f>'Resumo-Cult.Temp.'!S101*('Critérios de Implantação'!T$91+'Critérios de Implantação'!T$92+'Critérios de Implantação'!T$93)</f>
        <v>6584126.4000000004</v>
      </c>
      <c r="U309" s="93">
        <f>'Resumo-Cult.Temp.'!T101*('Critérios de Implantação'!U$91+'Critérios de Implantação'!U$92+'Critérios de Implantação'!U$93)</f>
        <v>6584126.4000000004</v>
      </c>
      <c r="V309" s="93">
        <f>'Resumo-Cult.Temp.'!U101*('Critérios de Implantação'!V$91+'Critérios de Implantação'!V$92+'Critérios de Implantação'!V$93)</f>
        <v>6584126.4000000004</v>
      </c>
      <c r="W309" s="93">
        <f>'Resumo-Cult.Temp.'!V101*('Critérios de Implantação'!W$91+'Critérios de Implantação'!W$92+'Critérios de Implantação'!W$93)</f>
        <v>6584126.4000000004</v>
      </c>
      <c r="X309" s="93">
        <f>'Resumo-Cult.Temp.'!W101*('Critérios de Implantação'!X$91+'Critérios de Implantação'!X$92+'Critérios de Implantação'!X$93)</f>
        <v>6584126.4000000004</v>
      </c>
      <c r="Y309" s="93">
        <f>'Resumo-Cult.Temp.'!X101*('Critérios de Implantação'!Y$91+'Critérios de Implantação'!Y$92+'Critérios de Implantação'!Y$93)</f>
        <v>6584126.4000000004</v>
      </c>
      <c r="Z309" s="93">
        <f>'Resumo-Cult.Temp.'!Y101*('Critérios de Implantação'!Z$91+'Critérios de Implantação'!Z$92+'Critérios de Implantação'!Z$93)</f>
        <v>6584126.4000000004</v>
      </c>
      <c r="AA309" s="93">
        <f>'Resumo-Cult.Temp.'!Z101*('Critérios de Implantação'!AA$91+'Critérios de Implantação'!AA$92+'Critérios de Implantação'!AA$93)</f>
        <v>6584126.4000000004</v>
      </c>
      <c r="AB309" s="93">
        <f>'Resumo-Cult.Temp.'!AA101*('Critérios de Implantação'!AB$91+'Critérios de Implantação'!AB$92+'Critérios de Implantação'!AB$93)</f>
        <v>6584126.4000000004</v>
      </c>
      <c r="AC309" s="93">
        <f>'Resumo-Cult.Temp.'!AB101*('Critérios de Implantação'!AC$91+'Critérios de Implantação'!AC$92+'Critérios de Implantação'!AC$93)</f>
        <v>6584126.4000000004</v>
      </c>
      <c r="AD309" s="93">
        <f>'Resumo-Cult.Temp.'!AC101*('Critérios de Implantação'!AD$91+'Critérios de Implantação'!AD$92+'Critérios de Implantação'!AD$93)</f>
        <v>6584126.4000000004</v>
      </c>
      <c r="AE309" s="93">
        <f>'Resumo-Cult.Temp.'!AD101*('Critérios de Implantação'!AE$91+'Critérios de Implantação'!AE$92+'Critérios de Implantação'!AE$93)</f>
        <v>6584126.4000000004</v>
      </c>
      <c r="AF309" s="93">
        <f>'Resumo-Cult.Temp.'!AE101*('Critérios de Implantação'!AF$91+'Critérios de Implantação'!AF$92+'Critérios de Implantação'!AF$93)</f>
        <v>6584126.4000000004</v>
      </c>
      <c r="AG309" s="93">
        <f>'Resumo-Cult.Temp.'!AF101*('Critérios de Implantação'!AG$91+'Critérios de Implantação'!AG$92+'Critérios de Implantação'!AG$93)</f>
        <v>6584126.4000000004</v>
      </c>
      <c r="AH309" s="93">
        <f>'Resumo-Cult.Temp.'!AG101*('Critérios de Implantação'!AH$91+'Critérios de Implantação'!AH$92+'Critérios de Implantação'!AH$93)</f>
        <v>6584126.4000000004</v>
      </c>
      <c r="AI309" s="93">
        <f>'Resumo-Cult.Temp.'!AH101*('Critérios de Implantação'!AI$91+'Critérios de Implantação'!AI$92+'Critérios de Implantação'!AI$93)</f>
        <v>6584126.4000000004</v>
      </c>
      <c r="AJ309" s="93">
        <f>'Resumo-Cult.Temp.'!AI101*('Critérios de Implantação'!AJ$91+'Critérios de Implantação'!AJ$92+'Critérios de Implantação'!AJ$93)</f>
        <v>6584126.4000000004</v>
      </c>
      <c r="AK309" s="95">
        <f>'Resumo-Cult.Temp.'!AJ101*('Critérios de Implantação'!AK$91+'Critérios de Implantação'!AK$92+'Critérios de Implantação'!AK$93)</f>
        <v>6584126.4000000004</v>
      </c>
    </row>
    <row r="310" spans="1:37" ht="20.149999999999999" customHeight="1" outlineLevel="1" x14ac:dyDescent="0.25">
      <c r="A310" s="48" t="s">
        <v>139</v>
      </c>
      <c r="B310" s="82" t="s">
        <v>143</v>
      </c>
      <c r="C310" s="80"/>
      <c r="D310" s="93">
        <f>'Resumo-Cult.Temp.'!C102*('Critérios de Implantação'!D$91+'Critérios de Implantação'!D$92+'Critérios de Implantação'!D$93)</f>
        <v>0</v>
      </c>
      <c r="E310" s="93">
        <f>'Resumo-Cult.Temp.'!D102*('Critérios de Implantação'!E$91+'Critérios de Implantação'!E$92+'Critérios de Implantação'!E$93)</f>
        <v>0</v>
      </c>
      <c r="F310" s="93">
        <f>'Resumo-Cult.Temp.'!E102*('Critérios de Implantação'!F$91+'Critérios de Implantação'!F$92+'Critérios de Implantação'!F$93)</f>
        <v>948545.5377184978</v>
      </c>
      <c r="G310" s="93">
        <f>'Resumo-Cult.Temp.'!F102*('Critérios de Implantação'!G$91+'Critérios de Implantação'!G$92+'Critérios de Implantação'!G$93)</f>
        <v>1897091.0754369956</v>
      </c>
      <c r="H310" s="93">
        <f>'Resumo-Cult.Temp.'!G102*('Critérios de Implantação'!H$91+'Critérios de Implantação'!H$92+'Critérios de Implantação'!H$93)</f>
        <v>3036721.7841235125</v>
      </c>
      <c r="I310" s="93">
        <f>'Resumo-Cult.Temp.'!H102*('Critérios de Implantação'!I$91+'Critérios de Implantação'!I$92+'Critérios de Implantação'!I$93)</f>
        <v>5237797.7796602054</v>
      </c>
      <c r="J310" s="93">
        <f>'Resumo-Cult.Temp.'!I102*('Critérios de Implantação'!J$91+'Critérios de Implantação'!J$92+'Critérios de Implantação'!J$93)</f>
        <v>7302900.1599113233</v>
      </c>
      <c r="K310" s="93">
        <f>'Resumo-Cult.Temp.'!J102*('Critérios de Implantação'!K$91+'Critérios de Implantação'!K$92+'Critérios de Implantação'!K$93)</f>
        <v>9427694.6631437577</v>
      </c>
      <c r="L310" s="93">
        <f>'Resumo-Cult.Temp.'!K102*('Critérios de Implantação'!L$91+'Critérios de Implantação'!L$92+'Critérios de Implantação'!L$93)</f>
        <v>11158480.228648648</v>
      </c>
      <c r="M310" s="93">
        <f>'Resumo-Cult.Temp.'!L102*('Critérios de Implantação'!M$91+'Critérios de Implantação'!M$92+'Critérios de Implantação'!M$93)</f>
        <v>12385371.392161023</v>
      </c>
      <c r="N310" s="93">
        <f>'Resumo-Cult.Temp.'!M102*('Critérios de Implantação'!N$91+'Critérios de Implantação'!N$92+'Critérios de Implantação'!N$93)</f>
        <v>13002614.4</v>
      </c>
      <c r="O310" s="93">
        <f>'Resumo-Cult.Temp.'!N102*('Critérios de Implantação'!O$91+'Critérios de Implantação'!O$92+'Critérios de Implantação'!O$93)</f>
        <v>13002614.4</v>
      </c>
      <c r="P310" s="93">
        <f>'Resumo-Cult.Temp.'!O102*('Critérios de Implantação'!P$91+'Critérios de Implantação'!P$92+'Critérios de Implantação'!P$93)</f>
        <v>13002614.4</v>
      </c>
      <c r="Q310" s="93">
        <f>'Resumo-Cult.Temp.'!P102*('Critérios de Implantação'!Q$91+'Critérios de Implantação'!Q$92+'Critérios de Implantação'!Q$93)</f>
        <v>13002614.4</v>
      </c>
      <c r="R310" s="93">
        <f>'Resumo-Cult.Temp.'!Q102*('Critérios de Implantação'!R$91+'Critérios de Implantação'!R$92+'Critérios de Implantação'!R$93)</f>
        <v>13002614.4</v>
      </c>
      <c r="S310" s="93">
        <f>'Resumo-Cult.Temp.'!R102*('Critérios de Implantação'!S$91+'Critérios de Implantação'!S$92+'Critérios de Implantação'!S$93)</f>
        <v>13002614.4</v>
      </c>
      <c r="T310" s="93">
        <f>'Resumo-Cult.Temp.'!S102*('Critérios de Implantação'!T$91+'Critérios de Implantação'!T$92+'Critérios de Implantação'!T$93)</f>
        <v>13002614.4</v>
      </c>
      <c r="U310" s="93">
        <f>'Resumo-Cult.Temp.'!T102*('Critérios de Implantação'!U$91+'Critérios de Implantação'!U$92+'Critérios de Implantação'!U$93)</f>
        <v>13002614.4</v>
      </c>
      <c r="V310" s="93">
        <f>'Resumo-Cult.Temp.'!U102*('Critérios de Implantação'!V$91+'Critérios de Implantação'!V$92+'Critérios de Implantação'!V$93)</f>
        <v>13002614.4</v>
      </c>
      <c r="W310" s="93">
        <f>'Resumo-Cult.Temp.'!V102*('Critérios de Implantação'!W$91+'Critérios de Implantação'!W$92+'Critérios de Implantação'!W$93)</f>
        <v>13002614.4</v>
      </c>
      <c r="X310" s="93">
        <f>'Resumo-Cult.Temp.'!W102*('Critérios de Implantação'!X$91+'Critérios de Implantação'!X$92+'Critérios de Implantação'!X$93)</f>
        <v>13002614.4</v>
      </c>
      <c r="Y310" s="93">
        <f>'Resumo-Cult.Temp.'!X102*('Critérios de Implantação'!Y$91+'Critérios de Implantação'!Y$92+'Critérios de Implantação'!Y$93)</f>
        <v>13002614.4</v>
      </c>
      <c r="Z310" s="93">
        <f>'Resumo-Cult.Temp.'!Y102*('Critérios de Implantação'!Z$91+'Critérios de Implantação'!Z$92+'Critérios de Implantação'!Z$93)</f>
        <v>13002614.4</v>
      </c>
      <c r="AA310" s="93">
        <f>'Resumo-Cult.Temp.'!Z102*('Critérios de Implantação'!AA$91+'Critérios de Implantação'!AA$92+'Critérios de Implantação'!AA$93)</f>
        <v>13002614.4</v>
      </c>
      <c r="AB310" s="93">
        <f>'Resumo-Cult.Temp.'!AA102*('Critérios de Implantação'!AB$91+'Critérios de Implantação'!AB$92+'Critérios de Implantação'!AB$93)</f>
        <v>13002614.4</v>
      </c>
      <c r="AC310" s="93">
        <f>'Resumo-Cult.Temp.'!AB102*('Critérios de Implantação'!AC$91+'Critérios de Implantação'!AC$92+'Critérios de Implantação'!AC$93)</f>
        <v>13002614.4</v>
      </c>
      <c r="AD310" s="93">
        <f>'Resumo-Cult.Temp.'!AC102*('Critérios de Implantação'!AD$91+'Critérios de Implantação'!AD$92+'Critérios de Implantação'!AD$93)</f>
        <v>13002614.4</v>
      </c>
      <c r="AE310" s="93">
        <f>'Resumo-Cult.Temp.'!AD102*('Critérios de Implantação'!AE$91+'Critérios de Implantação'!AE$92+'Critérios de Implantação'!AE$93)</f>
        <v>13002614.4</v>
      </c>
      <c r="AF310" s="93">
        <f>'Resumo-Cult.Temp.'!AE102*('Critérios de Implantação'!AF$91+'Critérios de Implantação'!AF$92+'Critérios de Implantação'!AF$93)</f>
        <v>13002614.4</v>
      </c>
      <c r="AG310" s="93">
        <f>'Resumo-Cult.Temp.'!AF102*('Critérios de Implantação'!AG$91+'Critérios de Implantação'!AG$92+'Critérios de Implantação'!AG$93)</f>
        <v>13002614.4</v>
      </c>
      <c r="AH310" s="93">
        <f>'Resumo-Cult.Temp.'!AG102*('Critérios de Implantação'!AH$91+'Critérios de Implantação'!AH$92+'Critérios de Implantação'!AH$93)</f>
        <v>13002614.4</v>
      </c>
      <c r="AI310" s="93">
        <f>'Resumo-Cult.Temp.'!AH102*('Critérios de Implantação'!AI$91+'Critérios de Implantação'!AI$92+'Critérios de Implantação'!AI$93)</f>
        <v>13002614.4</v>
      </c>
      <c r="AJ310" s="93">
        <f>'Resumo-Cult.Temp.'!AI102*('Critérios de Implantação'!AJ$91+'Critérios de Implantação'!AJ$92+'Critérios de Implantação'!AJ$93)</f>
        <v>13002614.4</v>
      </c>
      <c r="AK310" s="95">
        <f>'Resumo-Cult.Temp.'!AJ102*('Critérios de Implantação'!AK$91+'Critérios de Implantação'!AK$92+'Critérios de Implantação'!AK$93)</f>
        <v>13002614.4</v>
      </c>
    </row>
    <row r="311" spans="1:37" ht="20.149999999999999" customHeight="1" outlineLevel="1" x14ac:dyDescent="0.25">
      <c r="A311" s="48" t="s">
        <v>140</v>
      </c>
      <c r="B311" s="34" t="s">
        <v>141</v>
      </c>
      <c r="C311" s="80"/>
      <c r="D311" s="93">
        <f>'Resumo-Cult.Temp.'!C103*('Critérios de Implantação'!D$91+'Critérios de Implantação'!D$92+'Critérios de Implantação'!D$93)</f>
        <v>0</v>
      </c>
      <c r="E311" s="93">
        <f>'Resumo-Cult.Temp.'!D103*('Critérios de Implantação'!E$91+'Critérios de Implantação'!E$92+'Critérios de Implantação'!E$93)</f>
        <v>0</v>
      </c>
      <c r="F311" s="93">
        <f>'Resumo-Cult.Temp.'!E103*('Critérios de Implantação'!F$91+'Critérios de Implantação'!F$92+'Critérios de Implantação'!F$93)</f>
        <v>961690.84423794947</v>
      </c>
      <c r="G311" s="93">
        <f>'Resumo-Cult.Temp.'!F103*('Critérios de Implantação'!G$91+'Critérios de Implantação'!G$92+'Critérios de Implantação'!G$93)</f>
        <v>1923381.6884758989</v>
      </c>
      <c r="H311" s="93">
        <f>'Resumo-Cult.Temp.'!G103*('Critérios de Implantação'!H$91+'Critérios de Implantação'!H$92+'Critérios de Implantação'!H$93)</f>
        <v>3078805.8349985126</v>
      </c>
      <c r="I311" s="93">
        <f>'Resumo-Cult.Temp.'!H103*('Critérios de Implantação'!I$91+'Critérios de Implantação'!I$92+'Critérios de Implantação'!I$93)</f>
        <v>5310385.1827554172</v>
      </c>
      <c r="J311" s="93">
        <f>'Resumo-Cult.Temp.'!I103*('Critérios de Implantação'!J$91+'Critérios de Implantação'!J$92+'Critérios de Implantação'!J$93)</f>
        <v>7404106.5409079483</v>
      </c>
      <c r="K311" s="93">
        <f>'Resumo-Cult.Temp.'!J103*('Critérios de Implantação'!K$91+'Critérios de Implantação'!K$92+'Critérios de Implantação'!K$93)</f>
        <v>9558347.2582915965</v>
      </c>
      <c r="L311" s="93">
        <f>'Resumo-Cult.Temp.'!K103*('Critérios de Implantação'!L$91+'Critérios de Implantação'!L$92+'Critérios de Implantação'!L$93)</f>
        <v>11313118.711530171</v>
      </c>
      <c r="M311" s="93">
        <f>'Resumo-Cult.Temp.'!L103*('Critérios de Implantação'!M$91+'Critérios de Implantação'!M$92+'Critérios de Implantação'!M$93)</f>
        <v>12557012.601605542</v>
      </c>
      <c r="N311" s="93">
        <f>'Resumo-Cult.Temp.'!M103*('Critérios de Implantação'!N$91+'Critérios de Implantação'!N$92+'Critérios de Implantação'!N$93)</f>
        <v>13182809.598907743</v>
      </c>
      <c r="O311" s="93">
        <f>'Resumo-Cult.Temp.'!N103*('Critérios de Implantação'!O$91+'Critérios de Implantação'!O$92+'Critérios de Implantação'!O$93)</f>
        <v>13182809.598907743</v>
      </c>
      <c r="P311" s="93">
        <f>'Resumo-Cult.Temp.'!O103*('Critérios de Implantação'!P$91+'Critérios de Implantação'!P$92+'Critérios de Implantação'!P$93)</f>
        <v>13182809.598907743</v>
      </c>
      <c r="Q311" s="93">
        <f>'Resumo-Cult.Temp.'!P103*('Critérios de Implantação'!Q$91+'Critérios de Implantação'!Q$92+'Critérios de Implantação'!Q$93)</f>
        <v>13182809.598907743</v>
      </c>
      <c r="R311" s="93">
        <f>'Resumo-Cult.Temp.'!Q103*('Critérios de Implantação'!R$91+'Critérios de Implantação'!R$92+'Critérios de Implantação'!R$93)</f>
        <v>13182809.598907743</v>
      </c>
      <c r="S311" s="93">
        <f>'Resumo-Cult.Temp.'!R103*('Critérios de Implantação'!S$91+'Critérios de Implantação'!S$92+'Critérios de Implantação'!S$93)</f>
        <v>13182809.598907743</v>
      </c>
      <c r="T311" s="93">
        <f>'Resumo-Cult.Temp.'!S103*('Critérios de Implantação'!T$91+'Critérios de Implantação'!T$92+'Critérios de Implantação'!T$93)</f>
        <v>13182809.598907743</v>
      </c>
      <c r="U311" s="93">
        <f>'Resumo-Cult.Temp.'!T103*('Critérios de Implantação'!U$91+'Critérios de Implantação'!U$92+'Critérios de Implantação'!U$93)</f>
        <v>13182809.598907743</v>
      </c>
      <c r="V311" s="93">
        <f>'Resumo-Cult.Temp.'!U103*('Critérios de Implantação'!V$91+'Critérios de Implantação'!V$92+'Critérios de Implantação'!V$93)</f>
        <v>13182809.598907743</v>
      </c>
      <c r="W311" s="93">
        <f>'Resumo-Cult.Temp.'!V103*('Critérios de Implantação'!W$91+'Critérios de Implantação'!W$92+'Critérios de Implantação'!W$93)</f>
        <v>13182809.598907743</v>
      </c>
      <c r="X311" s="93">
        <f>'Resumo-Cult.Temp.'!W103*('Critérios de Implantação'!X$91+'Critérios de Implantação'!X$92+'Critérios de Implantação'!X$93)</f>
        <v>13182809.598907743</v>
      </c>
      <c r="Y311" s="93">
        <f>'Resumo-Cult.Temp.'!X103*('Critérios de Implantação'!Y$91+'Critérios de Implantação'!Y$92+'Critérios de Implantação'!Y$93)</f>
        <v>13182809.598907743</v>
      </c>
      <c r="Z311" s="93">
        <f>'Resumo-Cult.Temp.'!Y103*('Critérios de Implantação'!Z$91+'Critérios de Implantação'!Z$92+'Critérios de Implantação'!Z$93)</f>
        <v>13182809.598907743</v>
      </c>
      <c r="AA311" s="93">
        <f>'Resumo-Cult.Temp.'!Z103*('Critérios de Implantação'!AA$91+'Critérios de Implantação'!AA$92+'Critérios de Implantação'!AA$93)</f>
        <v>13182809.598907743</v>
      </c>
      <c r="AB311" s="93">
        <f>'Resumo-Cult.Temp.'!AA103*('Critérios de Implantação'!AB$91+'Critérios de Implantação'!AB$92+'Critérios de Implantação'!AB$93)</f>
        <v>13182809.598907743</v>
      </c>
      <c r="AC311" s="93">
        <f>'Resumo-Cult.Temp.'!AB103*('Critérios de Implantação'!AC$91+'Critérios de Implantação'!AC$92+'Critérios de Implantação'!AC$93)</f>
        <v>13182809.598907743</v>
      </c>
      <c r="AD311" s="93">
        <f>'Resumo-Cult.Temp.'!AC103*('Critérios de Implantação'!AD$91+'Critérios de Implantação'!AD$92+'Critérios de Implantação'!AD$93)</f>
        <v>13182809.598907743</v>
      </c>
      <c r="AE311" s="93">
        <f>'Resumo-Cult.Temp.'!AD103*('Critérios de Implantação'!AE$91+'Critérios de Implantação'!AE$92+'Critérios de Implantação'!AE$93)</f>
        <v>13182809.598907743</v>
      </c>
      <c r="AF311" s="93">
        <f>'Resumo-Cult.Temp.'!AE103*('Critérios de Implantação'!AF$91+'Critérios de Implantação'!AF$92+'Critérios de Implantação'!AF$93)</f>
        <v>13182809.598907743</v>
      </c>
      <c r="AG311" s="93">
        <f>'Resumo-Cult.Temp.'!AF103*('Critérios de Implantação'!AG$91+'Critérios de Implantação'!AG$92+'Critérios de Implantação'!AG$93)</f>
        <v>13182809.598907743</v>
      </c>
      <c r="AH311" s="93">
        <f>'Resumo-Cult.Temp.'!AG103*('Critérios de Implantação'!AH$91+'Critérios de Implantação'!AH$92+'Critérios de Implantação'!AH$93)</f>
        <v>13182809.598907743</v>
      </c>
      <c r="AI311" s="93">
        <f>'Resumo-Cult.Temp.'!AH103*('Critérios de Implantação'!AI$91+'Critérios de Implantação'!AI$92+'Critérios de Implantação'!AI$93)</f>
        <v>13182809.598907743</v>
      </c>
      <c r="AJ311" s="93">
        <f>'Resumo-Cult.Temp.'!AI103*('Critérios de Implantação'!AJ$91+'Critérios de Implantação'!AJ$92+'Critérios de Implantação'!AJ$93)</f>
        <v>13182809.598907743</v>
      </c>
      <c r="AK311" s="95">
        <f>'Resumo-Cult.Temp.'!AJ103*('Critérios de Implantação'!AK$91+'Critérios de Implantação'!AK$92+'Critérios de Implantação'!AK$93)</f>
        <v>13182809.598907743</v>
      </c>
    </row>
    <row r="312" spans="1:37" ht="20.149999999999999" customHeight="1" outlineLevel="1" thickBot="1" x14ac:dyDescent="0.3">
      <c r="A312" s="96"/>
      <c r="B312" s="87" t="s">
        <v>149</v>
      </c>
      <c r="C312" s="88"/>
      <c r="D312" s="88">
        <f t="shared" ref="D312:AK312" si="99">SUM(D308:D311)</f>
        <v>0</v>
      </c>
      <c r="E312" s="88">
        <f t="shared" si="99"/>
        <v>0</v>
      </c>
      <c r="F312" s="88">
        <f t="shared" si="99"/>
        <v>4715091.5786813684</v>
      </c>
      <c r="G312" s="88">
        <f t="shared" si="99"/>
        <v>9430183.1573627368</v>
      </c>
      <c r="H312" s="88">
        <f t="shared" si="99"/>
        <v>15095133.27695222</v>
      </c>
      <c r="I312" s="88">
        <f t="shared" si="99"/>
        <v>26036384.358640149</v>
      </c>
      <c r="J312" s="88">
        <f t="shared" si="99"/>
        <v>36301728.988964692</v>
      </c>
      <c r="K312" s="88">
        <f t="shared" si="99"/>
        <v>46863795.089362033</v>
      </c>
      <c r="L312" s="88">
        <f t="shared" si="99"/>
        <v>55467296.049415343</v>
      </c>
      <c r="M312" s="88">
        <f t="shared" si="99"/>
        <v>61566006.088102587</v>
      </c>
      <c r="N312" s="88">
        <f t="shared" si="99"/>
        <v>64634237.598907739</v>
      </c>
      <c r="O312" s="88">
        <f t="shared" si="99"/>
        <v>64634237.598907739</v>
      </c>
      <c r="P312" s="88">
        <f t="shared" si="99"/>
        <v>64634237.598907739</v>
      </c>
      <c r="Q312" s="88">
        <f t="shared" si="99"/>
        <v>64634237.598907739</v>
      </c>
      <c r="R312" s="88">
        <f t="shared" si="99"/>
        <v>64634237.598907739</v>
      </c>
      <c r="S312" s="88">
        <f t="shared" si="99"/>
        <v>64634237.598907739</v>
      </c>
      <c r="T312" s="88">
        <f t="shared" si="99"/>
        <v>64634237.598907739</v>
      </c>
      <c r="U312" s="88">
        <f t="shared" si="99"/>
        <v>64634237.598907739</v>
      </c>
      <c r="V312" s="88">
        <f t="shared" si="99"/>
        <v>64634237.598907739</v>
      </c>
      <c r="W312" s="88">
        <f t="shared" si="99"/>
        <v>64634237.598907739</v>
      </c>
      <c r="X312" s="88">
        <f t="shared" si="99"/>
        <v>64634237.598907739</v>
      </c>
      <c r="Y312" s="88">
        <f t="shared" si="99"/>
        <v>64634237.598907739</v>
      </c>
      <c r="Z312" s="88">
        <f t="shared" si="99"/>
        <v>64634237.598907739</v>
      </c>
      <c r="AA312" s="88">
        <f t="shared" si="99"/>
        <v>64634237.598907739</v>
      </c>
      <c r="AB312" s="88">
        <f t="shared" si="99"/>
        <v>64634237.598907739</v>
      </c>
      <c r="AC312" s="88">
        <f t="shared" si="99"/>
        <v>64634237.598907739</v>
      </c>
      <c r="AD312" s="88">
        <f t="shared" si="99"/>
        <v>64634237.598907739</v>
      </c>
      <c r="AE312" s="88">
        <f t="shared" si="99"/>
        <v>64634237.598907739</v>
      </c>
      <c r="AF312" s="88">
        <f t="shared" si="99"/>
        <v>64634237.598907739</v>
      </c>
      <c r="AG312" s="88">
        <f t="shared" si="99"/>
        <v>64634237.598907739</v>
      </c>
      <c r="AH312" s="88">
        <f t="shared" si="99"/>
        <v>64634237.598907739</v>
      </c>
      <c r="AI312" s="88">
        <f t="shared" si="99"/>
        <v>64634237.598907739</v>
      </c>
      <c r="AJ312" s="88">
        <f t="shared" si="99"/>
        <v>64634237.598907739</v>
      </c>
      <c r="AK312" s="89">
        <f t="shared" si="99"/>
        <v>64634237.598907739</v>
      </c>
    </row>
    <row r="313" spans="1:37" ht="20.149999999999999" customHeight="1" outlineLevel="1" thickBot="1" x14ac:dyDescent="0.3">
      <c r="A313" s="14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</row>
    <row r="314" spans="1:37" ht="20.149999999999999" customHeight="1" outlineLevel="1" x14ac:dyDescent="0.25">
      <c r="A314" s="42">
        <v>3</v>
      </c>
      <c r="B314" s="97" t="s">
        <v>144</v>
      </c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2"/>
    </row>
    <row r="315" spans="1:37" ht="20.149999999999999" customHeight="1" outlineLevel="1" x14ac:dyDescent="0.25">
      <c r="A315" s="47" t="s">
        <v>343</v>
      </c>
      <c r="B315" s="22" t="str">
        <f>"Valor da produção "&amp;A291</f>
        <v>Valor da produção Milho 2</v>
      </c>
      <c r="C315" s="80"/>
      <c r="D315" s="80">
        <f>'Resumo-Cult.Temp.'!C107*('Critérios de Implantação'!D$91+'Critérios de Implantação'!D$92+'Critérios de Implantação'!D$93)</f>
        <v>0</v>
      </c>
      <c r="E315" s="80">
        <f>'Resumo-Cult.Temp.'!D107*('Critérios de Implantação'!E$91+'Critérios de Implantação'!E$92+'Critérios de Implantação'!E$93)</f>
        <v>0</v>
      </c>
      <c r="F315" s="80">
        <f>'Resumo-Cult.Temp.'!E107*('Critérios de Implantação'!F$91+'Critérios de Implantação'!F$92+'Critérios de Implantação'!F$93)</f>
        <v>8944724.0037722029</v>
      </c>
      <c r="G315" s="80">
        <f>'Resumo-Cult.Temp.'!F107*('Critérios de Implantação'!G$91+'Critérios de Implantação'!G$92+'Critérios de Implantação'!G$93)</f>
        <v>17889448.007544406</v>
      </c>
      <c r="H315" s="80">
        <f>'Resumo-Cult.Temp.'!G107*('Critérios de Implantação'!H$91+'Critérios de Implantação'!H$92+'Critérios de Implantação'!H$93)</f>
        <v>28636093.002515029</v>
      </c>
      <c r="I315" s="80">
        <f>'Resumo-Cult.Temp.'!H107*('Critérios de Implantação'!I$91+'Critérios de Implantação'!I$92+'Critérios de Implantação'!I$93)</f>
        <v>49392099.444502763</v>
      </c>
      <c r="J315" s="80">
        <f>'Resumo-Cult.Temp.'!I107*('Critérios de Implantação'!J$91+'Critérios de Implantação'!J$92+'Critérios de Implantação'!J$93)</f>
        <v>68865883.35508734</v>
      </c>
      <c r="K315" s="80">
        <f>'Resumo-Cult.Temp.'!J107*('Critérios de Implantação'!K$91+'Critérios de Implantação'!K$92+'Critérios de Implantação'!K$93)</f>
        <v>88902560.183339685</v>
      </c>
      <c r="L315" s="80">
        <f>'Resumo-Cult.Temp.'!K107*('Critérios de Implantação'!L$91+'Critérios de Implantação'!L$92+'Critérios de Implantação'!L$93)</f>
        <v>105223757.82493198</v>
      </c>
      <c r="M315" s="80">
        <f>'Resumo-Cult.Temp.'!L107*('Critérios de Implantação'!M$91+'Critérios de Implantação'!M$92+'Critérios de Implantação'!M$93)</f>
        <v>116793263.35091969</v>
      </c>
      <c r="N315" s="80">
        <f>'Resumo-Cult.Temp.'!M107*('Critérios de Implantação'!N$91+'Critérios de Implantação'!N$92+'Critérios de Implantação'!N$93)</f>
        <v>122613825.59999998</v>
      </c>
      <c r="O315" s="80">
        <f>'Resumo-Cult.Temp.'!N107*('Critérios de Implantação'!O$91+'Critérios de Implantação'!O$92+'Critérios de Implantação'!O$93)</f>
        <v>122613825.59999998</v>
      </c>
      <c r="P315" s="80">
        <f>'Resumo-Cult.Temp.'!O107*('Critérios de Implantação'!P$91+'Critérios de Implantação'!P$92+'Critérios de Implantação'!P$93)</f>
        <v>122613825.59999998</v>
      </c>
      <c r="Q315" s="80">
        <f>'Resumo-Cult.Temp.'!P107*('Critérios de Implantação'!Q$91+'Critérios de Implantação'!Q$92+'Critérios de Implantação'!Q$93)</f>
        <v>122613825.59999998</v>
      </c>
      <c r="R315" s="80">
        <f>'Resumo-Cult.Temp.'!Q107*('Critérios de Implantação'!R$91+'Critérios de Implantação'!R$92+'Critérios de Implantação'!R$93)</f>
        <v>122613825.59999998</v>
      </c>
      <c r="S315" s="80">
        <f>'Resumo-Cult.Temp.'!R107*('Critérios de Implantação'!S$91+'Critérios de Implantação'!S$92+'Critérios de Implantação'!S$93)</f>
        <v>122613825.59999998</v>
      </c>
      <c r="T315" s="80">
        <f>'Resumo-Cult.Temp.'!S107*('Critérios de Implantação'!T$91+'Critérios de Implantação'!T$92+'Critérios de Implantação'!T$93)</f>
        <v>122613825.59999998</v>
      </c>
      <c r="U315" s="80">
        <f>'Resumo-Cult.Temp.'!T107*('Critérios de Implantação'!U$91+'Critérios de Implantação'!U$92+'Critérios de Implantação'!U$93)</f>
        <v>122613825.59999998</v>
      </c>
      <c r="V315" s="80">
        <f>'Resumo-Cult.Temp.'!U107*('Critérios de Implantação'!V$91+'Critérios de Implantação'!V$92+'Critérios de Implantação'!V$93)</f>
        <v>122613825.59999998</v>
      </c>
      <c r="W315" s="80">
        <f>'Resumo-Cult.Temp.'!V107*('Critérios de Implantação'!W$91+'Critérios de Implantação'!W$92+'Critérios de Implantação'!W$93)</f>
        <v>122613825.59999998</v>
      </c>
      <c r="X315" s="80">
        <f>'Resumo-Cult.Temp.'!W107*('Critérios de Implantação'!X$91+'Critérios de Implantação'!X$92+'Critérios de Implantação'!X$93)</f>
        <v>122613825.59999998</v>
      </c>
      <c r="Y315" s="80">
        <f>'Resumo-Cult.Temp.'!X107*('Critérios de Implantação'!Y$91+'Critérios de Implantação'!Y$92+'Critérios de Implantação'!Y$93)</f>
        <v>122613825.59999998</v>
      </c>
      <c r="Z315" s="80">
        <f>'Resumo-Cult.Temp.'!Y107*('Critérios de Implantação'!Z$91+'Critérios de Implantação'!Z$92+'Critérios de Implantação'!Z$93)</f>
        <v>122613825.59999998</v>
      </c>
      <c r="AA315" s="80">
        <f>'Resumo-Cult.Temp.'!Z107*('Critérios de Implantação'!AA$91+'Critérios de Implantação'!AA$92+'Critérios de Implantação'!AA$93)</f>
        <v>122613825.59999998</v>
      </c>
      <c r="AB315" s="80">
        <f>'Resumo-Cult.Temp.'!AA107*('Critérios de Implantação'!AB$91+'Critérios de Implantação'!AB$92+'Critérios de Implantação'!AB$93)</f>
        <v>122613825.59999998</v>
      </c>
      <c r="AC315" s="80">
        <f>'Resumo-Cult.Temp.'!AB107*('Critérios de Implantação'!AC$91+'Critérios de Implantação'!AC$92+'Critérios de Implantação'!AC$93)</f>
        <v>122613825.59999998</v>
      </c>
      <c r="AD315" s="80">
        <f>'Resumo-Cult.Temp.'!AC107*('Critérios de Implantação'!AD$91+'Critérios de Implantação'!AD$92+'Critérios de Implantação'!AD$93)</f>
        <v>122613825.59999998</v>
      </c>
      <c r="AE315" s="80">
        <f>'Resumo-Cult.Temp.'!AD107*('Critérios de Implantação'!AE$91+'Critérios de Implantação'!AE$92+'Critérios de Implantação'!AE$93)</f>
        <v>122613825.59999998</v>
      </c>
      <c r="AF315" s="80">
        <f>'Resumo-Cult.Temp.'!AE107*('Critérios de Implantação'!AF$91+'Critérios de Implantação'!AF$92+'Critérios de Implantação'!AF$93)</f>
        <v>122613825.59999998</v>
      </c>
      <c r="AG315" s="80">
        <f>'Resumo-Cult.Temp.'!AF107*('Critérios de Implantação'!AG$91+'Critérios de Implantação'!AG$92+'Critérios de Implantação'!AG$93)</f>
        <v>122613825.59999998</v>
      </c>
      <c r="AH315" s="80">
        <f>'Resumo-Cult.Temp.'!AG107*('Critérios de Implantação'!AH$91+'Critérios de Implantação'!AH$92+'Critérios de Implantação'!AH$93)</f>
        <v>122613825.59999998</v>
      </c>
      <c r="AI315" s="80">
        <f>'Resumo-Cult.Temp.'!AH107*('Critérios de Implantação'!AI$91+'Critérios de Implantação'!AI$92+'Critérios de Implantação'!AI$93)</f>
        <v>122613825.59999998</v>
      </c>
      <c r="AJ315" s="80">
        <f>'Resumo-Cult.Temp.'!AI107*('Critérios de Implantação'!AJ$91+'Critérios de Implantação'!AJ$92+'Critérios de Implantação'!AJ$93)</f>
        <v>122613825.59999998</v>
      </c>
      <c r="AK315" s="81">
        <f>'Resumo-Cult.Temp.'!AJ107*('Critérios de Implantação'!AK$91+'Critérios de Implantação'!AK$92+'Critérios de Implantação'!AK$93)</f>
        <v>122613825.59999998</v>
      </c>
    </row>
    <row r="316" spans="1:37" ht="20.149999999999999" customHeight="1" outlineLevel="1" thickBot="1" x14ac:dyDescent="0.3">
      <c r="A316" s="52"/>
      <c r="B316" s="102" t="s">
        <v>153</v>
      </c>
      <c r="C316" s="88"/>
      <c r="D316" s="88">
        <f>SUM(D315:D315)</f>
        <v>0</v>
      </c>
      <c r="E316" s="88">
        <f t="shared" ref="E316:AK316" si="100">SUM(E315:E315)</f>
        <v>0</v>
      </c>
      <c r="F316" s="88">
        <f t="shared" si="100"/>
        <v>8944724.0037722029</v>
      </c>
      <c r="G316" s="88">
        <f t="shared" si="100"/>
        <v>17889448.007544406</v>
      </c>
      <c r="H316" s="88">
        <f>SUM(H315:H315)</f>
        <v>28636093.002515029</v>
      </c>
      <c r="I316" s="88">
        <f t="shared" si="100"/>
        <v>49392099.444502763</v>
      </c>
      <c r="J316" s="88">
        <f t="shared" si="100"/>
        <v>68865883.35508734</v>
      </c>
      <c r="K316" s="88">
        <f t="shared" si="100"/>
        <v>88902560.183339685</v>
      </c>
      <c r="L316" s="88">
        <f t="shared" si="100"/>
        <v>105223757.82493198</v>
      </c>
      <c r="M316" s="88">
        <f t="shared" si="100"/>
        <v>116793263.35091969</v>
      </c>
      <c r="N316" s="88">
        <f t="shared" si="100"/>
        <v>122613825.59999998</v>
      </c>
      <c r="O316" s="88">
        <f t="shared" si="100"/>
        <v>122613825.59999998</v>
      </c>
      <c r="P316" s="88">
        <f t="shared" si="100"/>
        <v>122613825.59999998</v>
      </c>
      <c r="Q316" s="88">
        <f t="shared" si="100"/>
        <v>122613825.59999998</v>
      </c>
      <c r="R316" s="88">
        <f t="shared" si="100"/>
        <v>122613825.59999998</v>
      </c>
      <c r="S316" s="88">
        <f t="shared" si="100"/>
        <v>122613825.59999998</v>
      </c>
      <c r="T316" s="88">
        <f t="shared" si="100"/>
        <v>122613825.59999998</v>
      </c>
      <c r="U316" s="88">
        <f t="shared" si="100"/>
        <v>122613825.59999998</v>
      </c>
      <c r="V316" s="88">
        <f t="shared" si="100"/>
        <v>122613825.59999998</v>
      </c>
      <c r="W316" s="88">
        <f t="shared" si="100"/>
        <v>122613825.59999998</v>
      </c>
      <c r="X316" s="88">
        <f t="shared" si="100"/>
        <v>122613825.59999998</v>
      </c>
      <c r="Y316" s="88">
        <f t="shared" si="100"/>
        <v>122613825.59999998</v>
      </c>
      <c r="Z316" s="88">
        <f t="shared" si="100"/>
        <v>122613825.59999998</v>
      </c>
      <c r="AA316" s="88">
        <f t="shared" si="100"/>
        <v>122613825.59999998</v>
      </c>
      <c r="AB316" s="88">
        <f t="shared" si="100"/>
        <v>122613825.59999998</v>
      </c>
      <c r="AC316" s="88">
        <f t="shared" si="100"/>
        <v>122613825.59999998</v>
      </c>
      <c r="AD316" s="88">
        <f t="shared" si="100"/>
        <v>122613825.59999998</v>
      </c>
      <c r="AE316" s="88">
        <f t="shared" si="100"/>
        <v>122613825.59999998</v>
      </c>
      <c r="AF316" s="88">
        <f t="shared" si="100"/>
        <v>122613825.59999998</v>
      </c>
      <c r="AG316" s="88">
        <f t="shared" si="100"/>
        <v>122613825.59999998</v>
      </c>
      <c r="AH316" s="88">
        <f t="shared" si="100"/>
        <v>122613825.59999998</v>
      </c>
      <c r="AI316" s="88">
        <f t="shared" si="100"/>
        <v>122613825.59999998</v>
      </c>
      <c r="AJ316" s="88">
        <f t="shared" si="100"/>
        <v>122613825.59999998</v>
      </c>
      <c r="AK316" s="89">
        <f t="shared" si="100"/>
        <v>122613825.59999998</v>
      </c>
    </row>
    <row r="317" spans="1:37" ht="20.149999999999999" customHeight="1" outlineLevel="1" thickBot="1" x14ac:dyDescent="0.3">
      <c r="A317" s="14"/>
      <c r="C317" s="103"/>
      <c r="D317" s="103"/>
      <c r="E317" s="103"/>
      <c r="F317" s="103"/>
      <c r="G317" s="103"/>
      <c r="H317" s="103"/>
      <c r="I317" s="103"/>
      <c r="J317" s="103"/>
      <c r="K317" s="103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</row>
    <row r="318" spans="1:37" ht="20.149999999999999" customHeight="1" outlineLevel="1" thickBot="1" x14ac:dyDescent="0.3">
      <c r="A318" s="70">
        <v>4</v>
      </c>
      <c r="B318" s="104" t="s">
        <v>556</v>
      </c>
      <c r="C318" s="105"/>
      <c r="D318" s="105">
        <f t="shared" ref="D318:AK318" si="101">D316-D312-D305</f>
        <v>0</v>
      </c>
      <c r="E318" s="105">
        <f t="shared" si="101"/>
        <v>0</v>
      </c>
      <c r="F318" s="105">
        <f t="shared" si="101"/>
        <v>-2715646.2920399532</v>
      </c>
      <c r="G318" s="105">
        <f t="shared" si="101"/>
        <v>1513986.1330508813</v>
      </c>
      <c r="H318" s="105">
        <f t="shared" si="101"/>
        <v>5196549.6875725053</v>
      </c>
      <c r="I318" s="105">
        <f t="shared" si="101"/>
        <v>7239371.0004137214</v>
      </c>
      <c r="J318" s="105">
        <f t="shared" si="101"/>
        <v>17443413.147148367</v>
      </c>
      <c r="K318" s="105">
        <f t="shared" si="101"/>
        <v>26480956.3702427</v>
      </c>
      <c r="L318" s="105">
        <f t="shared" si="101"/>
        <v>37083598.244967066</v>
      </c>
      <c r="M318" s="105">
        <f t="shared" si="101"/>
        <v>46243923.57208696</v>
      </c>
      <c r="N318" s="105">
        <f t="shared" si="101"/>
        <v>53460116.2886924</v>
      </c>
      <c r="O318" s="105">
        <f t="shared" si="101"/>
        <v>57979588.00109224</v>
      </c>
      <c r="P318" s="105">
        <f t="shared" si="101"/>
        <v>57979588.00109224</v>
      </c>
      <c r="Q318" s="105">
        <f t="shared" si="101"/>
        <v>57979588.00109224</v>
      </c>
      <c r="R318" s="105">
        <f t="shared" si="101"/>
        <v>57979588.00109224</v>
      </c>
      <c r="S318" s="105">
        <f t="shared" si="101"/>
        <v>57979588.00109224</v>
      </c>
      <c r="T318" s="105">
        <f t="shared" si="101"/>
        <v>57979588.00109224</v>
      </c>
      <c r="U318" s="105">
        <f t="shared" si="101"/>
        <v>57979588.00109224</v>
      </c>
      <c r="V318" s="105">
        <f t="shared" si="101"/>
        <v>57979588.00109224</v>
      </c>
      <c r="W318" s="105">
        <f t="shared" si="101"/>
        <v>57979588.00109224</v>
      </c>
      <c r="X318" s="105">
        <f t="shared" si="101"/>
        <v>57979588.00109224</v>
      </c>
      <c r="Y318" s="105">
        <f t="shared" si="101"/>
        <v>57979588.00109224</v>
      </c>
      <c r="Z318" s="105">
        <f t="shared" si="101"/>
        <v>57979588.00109224</v>
      </c>
      <c r="AA318" s="105">
        <f t="shared" si="101"/>
        <v>57979588.00109224</v>
      </c>
      <c r="AB318" s="105">
        <f t="shared" si="101"/>
        <v>57979588.00109224</v>
      </c>
      <c r="AC318" s="105">
        <f t="shared" si="101"/>
        <v>57979588.00109224</v>
      </c>
      <c r="AD318" s="105">
        <f t="shared" si="101"/>
        <v>57979588.00109224</v>
      </c>
      <c r="AE318" s="105">
        <f t="shared" si="101"/>
        <v>57979588.00109224</v>
      </c>
      <c r="AF318" s="105">
        <f t="shared" si="101"/>
        <v>57979588.00109224</v>
      </c>
      <c r="AG318" s="105">
        <f t="shared" si="101"/>
        <v>57979588.00109224</v>
      </c>
      <c r="AH318" s="105">
        <f t="shared" si="101"/>
        <v>57979588.00109224</v>
      </c>
      <c r="AI318" s="105">
        <f t="shared" si="101"/>
        <v>57979588.00109224</v>
      </c>
      <c r="AJ318" s="105">
        <f t="shared" si="101"/>
        <v>57979588.00109224</v>
      </c>
      <c r="AK318" s="106">
        <f t="shared" si="101"/>
        <v>57979588.00109224</v>
      </c>
    </row>
    <row r="319" spans="1:37" ht="20.149999999999999" customHeight="1" outlineLevel="1" thickBot="1" x14ac:dyDescent="0.3">
      <c r="A319" s="14"/>
      <c r="C319" s="103"/>
      <c r="D319" s="103"/>
      <c r="E319" s="103"/>
      <c r="F319" s="103"/>
      <c r="G319" s="103"/>
      <c r="H319" s="103"/>
      <c r="I319" s="103"/>
      <c r="J319" s="103"/>
      <c r="K319" s="103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</row>
    <row r="320" spans="1:37" ht="20.149999999999999" customHeight="1" outlineLevel="1" thickBot="1" x14ac:dyDescent="0.3">
      <c r="A320" s="70">
        <v>5</v>
      </c>
      <c r="B320" s="104" t="s">
        <v>160</v>
      </c>
      <c r="C320" s="107"/>
      <c r="D320" s="107">
        <f>D318</f>
        <v>0</v>
      </c>
      <c r="E320" s="107">
        <f t="shared" ref="E320:AJ320" si="102">D320+E318</f>
        <v>0</v>
      </c>
      <c r="F320" s="107">
        <f t="shared" si="102"/>
        <v>-2715646.2920399532</v>
      </c>
      <c r="G320" s="107">
        <f t="shared" si="102"/>
        <v>-1201660.1589890718</v>
      </c>
      <c r="H320" s="107">
        <f>G320+H318</f>
        <v>3994889.5285834335</v>
      </c>
      <c r="I320" s="107">
        <f>H320+I318</f>
        <v>11234260.528997155</v>
      </c>
      <c r="J320" s="107">
        <f t="shared" si="102"/>
        <v>28677673.676145524</v>
      </c>
      <c r="K320" s="107">
        <f t="shared" si="102"/>
        <v>55158630.046388224</v>
      </c>
      <c r="L320" s="107">
        <f t="shared" si="102"/>
        <v>92242228.291355282</v>
      </c>
      <c r="M320" s="107">
        <f t="shared" si="102"/>
        <v>138486151.86344224</v>
      </c>
      <c r="N320" s="107">
        <f t="shared" si="102"/>
        <v>191946268.15213466</v>
      </c>
      <c r="O320" s="107">
        <f t="shared" si="102"/>
        <v>249925856.15322691</v>
      </c>
      <c r="P320" s="107">
        <f t="shared" si="102"/>
        <v>307905444.15431917</v>
      </c>
      <c r="Q320" s="107">
        <f t="shared" si="102"/>
        <v>365885032.15541142</v>
      </c>
      <c r="R320" s="107">
        <f t="shared" si="102"/>
        <v>423864620.15650368</v>
      </c>
      <c r="S320" s="107">
        <f t="shared" si="102"/>
        <v>481844208.15759593</v>
      </c>
      <c r="T320" s="107">
        <f t="shared" si="102"/>
        <v>539823796.15868819</v>
      </c>
      <c r="U320" s="107">
        <f t="shared" si="102"/>
        <v>597803384.15978038</v>
      </c>
      <c r="V320" s="107">
        <f t="shared" si="102"/>
        <v>655782972.16087258</v>
      </c>
      <c r="W320" s="107">
        <f t="shared" si="102"/>
        <v>713762560.16196477</v>
      </c>
      <c r="X320" s="107">
        <f t="shared" si="102"/>
        <v>771742148.16305697</v>
      </c>
      <c r="Y320" s="107">
        <f t="shared" si="102"/>
        <v>829721736.16414917</v>
      </c>
      <c r="Z320" s="107">
        <f t="shared" si="102"/>
        <v>887701324.16524136</v>
      </c>
      <c r="AA320" s="107">
        <f t="shared" si="102"/>
        <v>945680912.16633356</v>
      </c>
      <c r="AB320" s="107">
        <f t="shared" si="102"/>
        <v>1003660500.1674258</v>
      </c>
      <c r="AC320" s="107">
        <f t="shared" si="102"/>
        <v>1061640088.1685179</v>
      </c>
      <c r="AD320" s="107">
        <f t="shared" si="102"/>
        <v>1119619676.1696103</v>
      </c>
      <c r="AE320" s="107">
        <f t="shared" si="102"/>
        <v>1177599264.1707025</v>
      </c>
      <c r="AF320" s="107">
        <f t="shared" si="102"/>
        <v>1235578852.1717947</v>
      </c>
      <c r="AG320" s="107">
        <f t="shared" si="102"/>
        <v>1293558440.1728868</v>
      </c>
      <c r="AH320" s="107">
        <f t="shared" si="102"/>
        <v>1351538028.173979</v>
      </c>
      <c r="AI320" s="107">
        <f t="shared" si="102"/>
        <v>1409517616.1750712</v>
      </c>
      <c r="AJ320" s="107">
        <f t="shared" si="102"/>
        <v>1467497204.1761634</v>
      </c>
      <c r="AK320" s="108">
        <f>AJ320+AK318</f>
        <v>1525476792.1772556</v>
      </c>
    </row>
    <row r="321" ht="20.149999999999999" customHeight="1" outlineLevel="1" x14ac:dyDescent="0.25"/>
  </sheetData>
  <mergeCells count="20">
    <mergeCell ref="A45:A46"/>
    <mergeCell ref="B45:B46"/>
    <mergeCell ref="A4:A5"/>
    <mergeCell ref="B4:B5"/>
    <mergeCell ref="A76:A77"/>
    <mergeCell ref="B76:B77"/>
    <mergeCell ref="A107:A108"/>
    <mergeCell ref="B107:B108"/>
    <mergeCell ref="A169:A170"/>
    <mergeCell ref="B169:B170"/>
    <mergeCell ref="A138:A139"/>
    <mergeCell ref="B138:B139"/>
    <mergeCell ref="A231:A232"/>
    <mergeCell ref="B231:B232"/>
    <mergeCell ref="A200:A201"/>
    <mergeCell ref="B200:B201"/>
    <mergeCell ref="A293:A294"/>
    <mergeCell ref="B293:B294"/>
    <mergeCell ref="A262:A263"/>
    <mergeCell ref="B262:B263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2E0B-D8A4-476A-8B79-5E627FCB0C77}">
  <sheetPr>
    <tabColor theme="0"/>
  </sheetPr>
  <dimension ref="A1:R15"/>
  <sheetViews>
    <sheetView showGridLines="0" workbookViewId="0">
      <selection activeCell="J3" sqref="J3"/>
    </sheetView>
  </sheetViews>
  <sheetFormatPr defaultRowHeight="12.5" x14ac:dyDescent="0.25"/>
  <cols>
    <col min="1" max="1" width="28.54296875" customWidth="1"/>
    <col min="2" max="2" width="19.26953125" customWidth="1"/>
    <col min="7" max="7" width="13.81640625" customWidth="1"/>
    <col min="8" max="8" width="15" customWidth="1"/>
    <col min="9" max="9" width="20.54296875" customWidth="1"/>
  </cols>
  <sheetData>
    <row r="1" spans="1:18" ht="13" thickBot="1" x14ac:dyDescent="0.3"/>
    <row r="2" spans="1:18" s="541" customFormat="1" ht="16" customHeight="1" thickBot="1" x14ac:dyDescent="0.3">
      <c r="A2" s="770" t="s">
        <v>572</v>
      </c>
      <c r="B2" s="769"/>
      <c r="C2" s="769"/>
      <c r="D2" s="771"/>
      <c r="E2"/>
      <c r="F2"/>
      <c r="G2" s="6"/>
      <c r="H2"/>
      <c r="I2"/>
      <c r="J2"/>
      <c r="K2"/>
      <c r="L2"/>
      <c r="M2"/>
      <c r="N2"/>
      <c r="O2"/>
      <c r="P2"/>
      <c r="Q2"/>
      <c r="R2"/>
    </row>
    <row r="3" spans="1:18" ht="18.649999999999999" customHeight="1" thickBot="1" x14ac:dyDescent="0.35">
      <c r="G3" s="1100" t="s">
        <v>579</v>
      </c>
      <c r="H3" s="1100" t="s">
        <v>590</v>
      </c>
      <c r="I3" s="778" t="s">
        <v>589</v>
      </c>
    </row>
    <row r="4" spans="1:18" s="563" customFormat="1" ht="17.149999999999999" customHeight="1" collapsed="1" thickBot="1" x14ac:dyDescent="0.3">
      <c r="A4" s="774" t="s">
        <v>231</v>
      </c>
      <c r="B4" s="774" t="s">
        <v>591</v>
      </c>
      <c r="C4"/>
      <c r="D4"/>
      <c r="E4"/>
      <c r="F4"/>
      <c r="G4" s="1101"/>
      <c r="H4" s="1101"/>
      <c r="I4" s="779" t="s">
        <v>592</v>
      </c>
      <c r="J4"/>
      <c r="K4"/>
      <c r="L4"/>
      <c r="M4"/>
      <c r="N4"/>
      <c r="O4"/>
      <c r="P4"/>
      <c r="Q4"/>
      <c r="R4"/>
    </row>
    <row r="5" spans="1:18" ht="17.149999999999999" customHeight="1" x14ac:dyDescent="0.3">
      <c r="A5" s="775" t="str">
        <f>'Resumo-Cult.Perma.'!A4</f>
        <v>Banana Nanica</v>
      </c>
      <c r="B5" s="1069">
        <f>'Resumo-Cult.Perma.'!D35</f>
        <v>28049.030162870662</v>
      </c>
      <c r="G5" s="780" t="s">
        <v>580</v>
      </c>
      <c r="H5" s="781" t="s">
        <v>326</v>
      </c>
      <c r="I5" s="1072">
        <f>B5</f>
        <v>28049.030162870662</v>
      </c>
    </row>
    <row r="6" spans="1:18" ht="17.149999999999999" customHeight="1" x14ac:dyDescent="0.3">
      <c r="A6" s="776" t="str">
        <f>'Resumo-Cult.Perma.'!A37</f>
        <v>Banana Prata</v>
      </c>
      <c r="B6" s="1070">
        <f>'Resumo-Cult.Perma.'!D68</f>
        <v>28159.097160013516</v>
      </c>
      <c r="G6" s="776" t="s">
        <v>581</v>
      </c>
      <c r="H6" s="782" t="s">
        <v>376</v>
      </c>
      <c r="I6" s="1070">
        <f>B6</f>
        <v>28159.097160013516</v>
      </c>
    </row>
    <row r="7" spans="1:18" ht="17.149999999999999" customHeight="1" x14ac:dyDescent="0.3">
      <c r="A7" s="776" t="str">
        <f>'Resumo-Cult.Perma.'!A70</f>
        <v>Manga</v>
      </c>
      <c r="B7" s="1070">
        <f>'Resumo-Cult.Perma.'!D101</f>
        <v>28623.958274299206</v>
      </c>
      <c r="G7" s="776" t="s">
        <v>582</v>
      </c>
      <c r="H7" s="782" t="s">
        <v>163</v>
      </c>
      <c r="I7" s="1070">
        <f>B7</f>
        <v>28623.958274299206</v>
      </c>
    </row>
    <row r="8" spans="1:18" ht="17.149999999999999" customHeight="1" x14ac:dyDescent="0.3">
      <c r="A8" s="776" t="str">
        <f>'Resumo-Cult.Perma.'!A103</f>
        <v>Limão</v>
      </c>
      <c r="B8" s="1070">
        <f>'Resumo-Cult.Perma.'!D134</f>
        <v>24626.385074299214</v>
      </c>
      <c r="G8" s="776" t="s">
        <v>583</v>
      </c>
      <c r="H8" s="782" t="s">
        <v>162</v>
      </c>
      <c r="I8" s="1070">
        <f>B8</f>
        <v>24626.385074299214</v>
      </c>
    </row>
    <row r="9" spans="1:18" ht="17.149999999999999" customHeight="1" x14ac:dyDescent="0.3">
      <c r="A9" s="776" t="str">
        <f>'Resumo-Cult.Perma.'!A136</f>
        <v>Cana</v>
      </c>
      <c r="B9" s="1070">
        <f>'Resumo-Cult.Perma.'!D162</f>
        <v>7441.2818787907845</v>
      </c>
      <c r="G9" s="776" t="s">
        <v>584</v>
      </c>
      <c r="H9" s="782" t="s">
        <v>585</v>
      </c>
      <c r="I9" s="1070">
        <f>B10+B13</f>
        <v>13548.453675366984</v>
      </c>
    </row>
    <row r="10" spans="1:18" ht="17.149999999999999" customHeight="1" x14ac:dyDescent="0.3">
      <c r="A10" s="776" t="str">
        <f>'Resumo-Cult.Temp.'!A4</f>
        <v>Soja</v>
      </c>
      <c r="B10" s="1070">
        <f>'Resumo-Cult.Temp.'!D30</f>
        <v>6876.1566731392786</v>
      </c>
      <c r="G10" s="776" t="s">
        <v>586</v>
      </c>
      <c r="H10" s="782" t="s">
        <v>587</v>
      </c>
      <c r="I10" s="1070">
        <f>B11+B12</f>
        <v>15958.443035936547</v>
      </c>
    </row>
    <row r="11" spans="1:18" ht="17.149999999999999" customHeight="1" thickBot="1" x14ac:dyDescent="0.35">
      <c r="A11" s="776" t="str">
        <f>'Resumo-Cult.Temp.'!A32</f>
        <v>Feijão</v>
      </c>
      <c r="B11" s="1070">
        <f>'Resumo-Cult.Temp.'!D58</f>
        <v>9006.6557171730965</v>
      </c>
      <c r="G11" s="777" t="s">
        <v>588</v>
      </c>
      <c r="H11" s="783" t="s">
        <v>245</v>
      </c>
      <c r="I11" s="1071">
        <f>B9</f>
        <v>7441.2818787907845</v>
      </c>
    </row>
    <row r="12" spans="1:18" ht="17.149999999999999" customHeight="1" x14ac:dyDescent="0.3">
      <c r="A12" s="776" t="str">
        <f>'Resumo-Cult.Temp.'!A60</f>
        <v>Milho 1</v>
      </c>
      <c r="B12" s="1070">
        <f>'Resumo-Cult.Temp.'!D86</f>
        <v>6951.7873187634505</v>
      </c>
      <c r="G12" s="785" t="s">
        <v>593</v>
      </c>
      <c r="H12" s="786"/>
      <c r="I12" s="784"/>
    </row>
    <row r="13" spans="1:18" ht="17.149999999999999" customHeight="1" thickBot="1" x14ac:dyDescent="0.35">
      <c r="A13" s="777" t="str">
        <f>'Resumo-Cult.Temp.'!A88</f>
        <v>Milho 2</v>
      </c>
      <c r="B13" s="1071">
        <f>'Resumo-Cult.Temp.'!D114</f>
        <v>6672.297002227705</v>
      </c>
      <c r="G13" s="772" t="s">
        <v>594</v>
      </c>
      <c r="H13" s="773"/>
      <c r="I13" s="787"/>
    </row>
    <row r="14" spans="1:18" ht="17.149999999999999" customHeight="1" x14ac:dyDescent="0.25">
      <c r="A14" s="785" t="s">
        <v>593</v>
      </c>
      <c r="B14" s="786"/>
    </row>
    <row r="15" spans="1:18" ht="20.149999999999999" customHeight="1" thickBot="1" x14ac:dyDescent="0.3">
      <c r="A15" s="772" t="s">
        <v>594</v>
      </c>
      <c r="B15" s="773"/>
    </row>
  </sheetData>
  <mergeCells count="2">
    <mergeCell ref="H3:H4"/>
    <mergeCell ref="G3:G4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4ADF-872F-4976-A376-C8A8585C0EEF}">
  <sheetPr>
    <tabColor theme="0"/>
  </sheetPr>
  <dimension ref="A2:AA142"/>
  <sheetViews>
    <sheetView showGridLines="0" topLeftCell="A110" zoomScale="115" zoomScaleNormal="115" workbookViewId="0">
      <selection activeCell="I126" sqref="I126"/>
    </sheetView>
  </sheetViews>
  <sheetFormatPr defaultColWidth="9.1796875" defaultRowHeight="12.5" x14ac:dyDescent="0.25"/>
  <cols>
    <col min="1" max="1" width="34.1796875" style="14" customWidth="1"/>
    <col min="2" max="2" width="19.81640625" style="14" customWidth="1"/>
    <col min="3" max="10" width="16.26953125" style="14" customWidth="1"/>
    <col min="11" max="11" width="11.7265625" style="14" customWidth="1"/>
    <col min="12" max="12" width="15.7265625" style="14" customWidth="1"/>
    <col min="13" max="17" width="11.7265625" style="14" customWidth="1"/>
    <col min="18" max="27" width="11.7265625" style="6" customWidth="1"/>
    <col min="28" max="16384" width="9.1796875" style="6"/>
  </cols>
  <sheetData>
    <row r="2" spans="1:10" s="564" customFormat="1" ht="40" customHeight="1" thickBot="1" x14ac:dyDescent="0.3">
      <c r="A2" s="565" t="s">
        <v>662</v>
      </c>
      <c r="B2" s="761"/>
      <c r="C2" s="761"/>
      <c r="D2" s="761"/>
      <c r="E2" s="761"/>
      <c r="F2" s="761"/>
      <c r="G2" s="761"/>
      <c r="H2" s="761"/>
      <c r="I2" s="761"/>
    </row>
    <row r="3" spans="1:10" s="6" customFormat="1" ht="10" customHeight="1" x14ac:dyDescent="0.25">
      <c r="A3" s="763"/>
      <c r="B3" s="14"/>
      <c r="C3" s="14"/>
      <c r="D3" s="14"/>
      <c r="E3" s="14"/>
      <c r="F3" s="14"/>
      <c r="G3" s="14"/>
      <c r="H3" s="14"/>
      <c r="I3" s="14"/>
    </row>
    <row r="4" spans="1:10" s="6" customFormat="1" ht="40" customHeight="1" x14ac:dyDescent="0.25">
      <c r="A4" s="850" t="s">
        <v>573</v>
      </c>
      <c r="B4" s="850" t="s">
        <v>326</v>
      </c>
      <c r="C4" s="850" t="s">
        <v>376</v>
      </c>
      <c r="D4" s="850" t="s">
        <v>163</v>
      </c>
      <c r="E4" s="850" t="s">
        <v>162</v>
      </c>
      <c r="F4" s="850" t="s">
        <v>260</v>
      </c>
      <c r="G4" s="850" t="s">
        <v>261</v>
      </c>
      <c r="H4" s="850" t="s">
        <v>327</v>
      </c>
      <c r="I4" s="850" t="s">
        <v>248</v>
      </c>
      <c r="J4" s="850" t="s">
        <v>249</v>
      </c>
    </row>
    <row r="5" spans="1:10" ht="16.5" customHeight="1" x14ac:dyDescent="0.25">
      <c r="A5" s="8">
        <v>2</v>
      </c>
      <c r="B5" s="762" cm="1">
        <f t="array" ref="B5:B16">TRANSPOSE('Critérios de Implantação'!$E39:$P39)</f>
        <v>0</v>
      </c>
      <c r="C5" s="762" cm="1">
        <f t="array" ref="C5:C16">TRANSPOSE('Critérios de Implantação'!$E40:$P40)</f>
        <v>0</v>
      </c>
      <c r="D5" s="762" cm="1">
        <f t="array" ref="D5:D15">TRANSPOSE('Critérios de Implantação'!$F41:$P41)</f>
        <v>0</v>
      </c>
      <c r="E5" s="762" cm="1">
        <f t="array" ref="E5:E16">TRANSPOSE('Critérios de Implantação'!$E42:$P42)</f>
        <v>0</v>
      </c>
      <c r="F5" s="762" cm="1">
        <f t="array" ref="F5:F17">TRANSPOSE('Critérios de Implantação'!$D43:$P43)</f>
        <v>0</v>
      </c>
      <c r="G5" s="762" cm="1">
        <f t="array" ref="G5:G17">TRANSPOSE('Critérios de Implantação'!$D45:$P45)</f>
        <v>0</v>
      </c>
      <c r="H5" s="762" cm="1">
        <f t="array" ref="H5:H17">TRANSPOSE('Critérios de Implantação'!$D44:$P44)</f>
        <v>0</v>
      </c>
      <c r="I5" s="762" cm="1">
        <f t="array" ref="I5:I17">TRANSPOSE('Critérios de Implantação'!$D46:$P46)</f>
        <v>0</v>
      </c>
      <c r="J5" s="856">
        <f>SUM(B5:I5)</f>
        <v>0</v>
      </c>
    </row>
    <row r="6" spans="1:10" ht="16.5" customHeight="1" x14ac:dyDescent="0.25">
      <c r="A6" s="8">
        <f>A5+1</f>
        <v>3</v>
      </c>
      <c r="B6" s="762">
        <v>0</v>
      </c>
      <c r="C6" s="762">
        <v>0</v>
      </c>
      <c r="D6" s="762">
        <v>0</v>
      </c>
      <c r="E6" s="762">
        <v>0</v>
      </c>
      <c r="F6" s="762">
        <v>0</v>
      </c>
      <c r="G6" s="762">
        <v>0</v>
      </c>
      <c r="H6" s="762">
        <v>0</v>
      </c>
      <c r="I6" s="762">
        <v>0</v>
      </c>
      <c r="J6" s="856">
        <f>SUM(B6:I6)</f>
        <v>0</v>
      </c>
    </row>
    <row r="7" spans="1:10" ht="16.5" customHeight="1" x14ac:dyDescent="0.25">
      <c r="A7" s="8">
        <f t="shared" ref="A7:A38" si="0">A6+1</f>
        <v>4</v>
      </c>
      <c r="B7" s="1073">
        <v>113.28171230714544</v>
      </c>
      <c r="C7" s="1073">
        <v>62.934284615080799</v>
      </c>
      <c r="D7" s="1073">
        <v>62.934284615080799</v>
      </c>
      <c r="E7" s="1073">
        <v>100.69485538412928</v>
      </c>
      <c r="F7" s="1073">
        <v>604.16913230477564</v>
      </c>
      <c r="G7" s="1073">
        <v>314.67142307540399</v>
      </c>
      <c r="H7" s="1073">
        <v>604.16913230477564</v>
      </c>
      <c r="I7" s="1073">
        <v>314.67142307540399</v>
      </c>
      <c r="J7" s="1074">
        <f>SUM(B7:I7)</f>
        <v>2177.5262476817957</v>
      </c>
    </row>
    <row r="8" spans="1:10" ht="16.5" customHeight="1" x14ac:dyDescent="0.25">
      <c r="A8" s="8">
        <f t="shared" si="0"/>
        <v>5</v>
      </c>
      <c r="B8" s="1073">
        <v>226.56342461429088</v>
      </c>
      <c r="C8" s="1073">
        <v>125.8685692301616</v>
      </c>
      <c r="D8" s="1073">
        <v>125.8685692301616</v>
      </c>
      <c r="E8" s="1073">
        <v>201.38971076825857</v>
      </c>
      <c r="F8" s="1073">
        <v>1208.3382646095513</v>
      </c>
      <c r="G8" s="1073">
        <v>629.34284615080799</v>
      </c>
      <c r="H8" s="1073">
        <v>1208.3382646095513</v>
      </c>
      <c r="I8" s="1073">
        <v>629.34284615080799</v>
      </c>
      <c r="J8" s="1074">
        <f t="shared" ref="J8:J38" si="1">SUM(B8:I8)</f>
        <v>4355.0524953635913</v>
      </c>
    </row>
    <row r="9" spans="1:10" ht="16.5" customHeight="1" x14ac:dyDescent="0.25">
      <c r="A9" s="8">
        <f t="shared" si="0"/>
        <v>6</v>
      </c>
      <c r="B9" s="1073">
        <v>362.66581816761698</v>
      </c>
      <c r="C9" s="1073">
        <v>201.48101009312055</v>
      </c>
      <c r="D9" s="1073">
        <v>201.48101009312055</v>
      </c>
      <c r="E9" s="1073">
        <v>322.36961614899286</v>
      </c>
      <c r="F9" s="1073">
        <v>1934.2176968939571</v>
      </c>
      <c r="G9" s="1073">
        <v>1007.4050504656027</v>
      </c>
      <c r="H9" s="1073">
        <v>1934.2176968939571</v>
      </c>
      <c r="I9" s="1073">
        <v>1007.4050504656027</v>
      </c>
      <c r="J9" s="1074">
        <f t="shared" si="1"/>
        <v>6971.2429492219708</v>
      </c>
    </row>
    <row r="10" spans="1:10" ht="16.5" customHeight="1" x14ac:dyDescent="0.25">
      <c r="A10" s="8">
        <f t="shared" si="0"/>
        <v>7</v>
      </c>
      <c r="B10" s="1073">
        <v>625.53317432247673</v>
      </c>
      <c r="C10" s="1073">
        <v>347.51843017915377</v>
      </c>
      <c r="D10" s="1073">
        <v>347.51843017915377</v>
      </c>
      <c r="E10" s="1073">
        <v>556.02948828664603</v>
      </c>
      <c r="F10" s="1073">
        <v>3336.1769297198762</v>
      </c>
      <c r="G10" s="1073">
        <v>1737.5921508957688</v>
      </c>
      <c r="H10" s="1073">
        <v>3336.1769297198762</v>
      </c>
      <c r="I10" s="1073">
        <v>1737.5921508957688</v>
      </c>
      <c r="J10" s="1074">
        <f t="shared" si="1"/>
        <v>12024.13768419872</v>
      </c>
    </row>
    <row r="11" spans="1:10" ht="16.5" customHeight="1" x14ac:dyDescent="0.25">
      <c r="A11" s="8">
        <f t="shared" si="0"/>
        <v>8</v>
      </c>
      <c r="B11" s="1073">
        <v>872.16164330151139</v>
      </c>
      <c r="C11" s="1073">
        <v>484.5342462786175</v>
      </c>
      <c r="D11" s="1073">
        <v>484.5342462786175</v>
      </c>
      <c r="E11" s="1073">
        <v>775.254794045788</v>
      </c>
      <c r="F11" s="1073">
        <v>4651.528764274728</v>
      </c>
      <c r="G11" s="1073">
        <v>2422.6712313930875</v>
      </c>
      <c r="H11" s="1073">
        <v>4651.528764274728</v>
      </c>
      <c r="I11" s="1073">
        <v>2422.6712313930875</v>
      </c>
      <c r="J11" s="1074">
        <f t="shared" si="1"/>
        <v>16764.884921240166</v>
      </c>
    </row>
    <row r="12" spans="1:10" ht="16.5" customHeight="1" x14ac:dyDescent="0.25">
      <c r="A12" s="8">
        <f t="shared" si="0"/>
        <v>9</v>
      </c>
      <c r="B12" s="1073">
        <v>1125.9189486238563</v>
      </c>
      <c r="C12" s="1073">
        <v>625.51052701325352</v>
      </c>
      <c r="D12" s="1073">
        <v>625.51052701325352</v>
      </c>
      <c r="E12" s="1073">
        <v>1000.8168432212057</v>
      </c>
      <c r="F12" s="1073">
        <v>6004.9010593272342</v>
      </c>
      <c r="G12" s="1073">
        <v>3127.5526350662676</v>
      </c>
      <c r="H12" s="1073">
        <v>6004.9010593272342</v>
      </c>
      <c r="I12" s="1073">
        <v>3127.5526350662676</v>
      </c>
      <c r="J12" s="1074">
        <f t="shared" si="1"/>
        <v>21642.664234658572</v>
      </c>
    </row>
    <row r="13" spans="1:10" ht="16.5" customHeight="1" x14ac:dyDescent="0.25">
      <c r="A13" s="8">
        <f t="shared" si="0"/>
        <v>10</v>
      </c>
      <c r="B13" s="1073">
        <v>1332.6210464150454</v>
      </c>
      <c r="C13" s="1073">
        <v>740.34502578613638</v>
      </c>
      <c r="D13" s="1073">
        <v>740.34502578613638</v>
      </c>
      <c r="E13" s="1073">
        <v>1184.5520412578182</v>
      </c>
      <c r="F13" s="1073">
        <v>7107.312247546909</v>
      </c>
      <c r="G13" s="1073">
        <v>3701.7251289306814</v>
      </c>
      <c r="H13" s="1073">
        <v>7107.312247546909</v>
      </c>
      <c r="I13" s="1073">
        <v>3701.7251289306814</v>
      </c>
      <c r="J13" s="1074">
        <f t="shared" si="1"/>
        <v>25615.937892200316</v>
      </c>
    </row>
    <row r="14" spans="1:10" ht="16.5" customHeight="1" x14ac:dyDescent="0.25">
      <c r="A14" s="8">
        <f t="shared" si="0"/>
        <v>11</v>
      </c>
      <c r="B14" s="1073">
        <v>1479.1446726306954</v>
      </c>
      <c r="C14" s="1073">
        <v>821.74704035038633</v>
      </c>
      <c r="D14" s="1073">
        <v>821.74704035038633</v>
      </c>
      <c r="E14" s="1073">
        <v>1314.7952645606181</v>
      </c>
      <c r="F14" s="1073">
        <v>7888.7715873637089</v>
      </c>
      <c r="G14" s="1073">
        <v>4108.7352017519315</v>
      </c>
      <c r="H14" s="1073">
        <v>7888.7715873637089</v>
      </c>
      <c r="I14" s="1073">
        <v>4108.7352017519315</v>
      </c>
      <c r="J14" s="1074">
        <f t="shared" si="1"/>
        <v>28432.447596123369</v>
      </c>
    </row>
    <row r="15" spans="1:10" ht="16.5" customHeight="1" x14ac:dyDescent="0.25">
      <c r="A15" s="8">
        <f t="shared" si="0"/>
        <v>12</v>
      </c>
      <c r="B15" s="1073">
        <v>1552.8600000000001</v>
      </c>
      <c r="C15" s="1073">
        <v>862.7</v>
      </c>
      <c r="D15" s="1073">
        <v>862.7</v>
      </c>
      <c r="E15" s="1073">
        <v>1380.32</v>
      </c>
      <c r="F15" s="1073">
        <v>8281.92</v>
      </c>
      <c r="G15" s="1073">
        <v>4313.5</v>
      </c>
      <c r="H15" s="1073">
        <v>8281.92</v>
      </c>
      <c r="I15" s="1073">
        <v>4313.5</v>
      </c>
      <c r="J15" s="1074">
        <f t="shared" si="1"/>
        <v>29849.42</v>
      </c>
    </row>
    <row r="16" spans="1:10" ht="16.5" customHeight="1" x14ac:dyDescent="0.25">
      <c r="A16" s="8">
        <f t="shared" si="0"/>
        <v>13</v>
      </c>
      <c r="B16" s="1073">
        <v>1552.8600000000001</v>
      </c>
      <c r="C16" s="1073">
        <v>862.7</v>
      </c>
      <c r="D16" s="1073">
        <f>D15</f>
        <v>862.7</v>
      </c>
      <c r="E16" s="1073">
        <v>1380.32</v>
      </c>
      <c r="F16" s="1073">
        <v>8281.92</v>
      </c>
      <c r="G16" s="1073">
        <v>4313.5</v>
      </c>
      <c r="H16" s="1073">
        <v>8281.92</v>
      </c>
      <c r="I16" s="1073">
        <v>4313.5</v>
      </c>
      <c r="J16" s="1074">
        <f t="shared" si="1"/>
        <v>29849.42</v>
      </c>
    </row>
    <row r="17" spans="1:10" ht="16.5" customHeight="1" x14ac:dyDescent="0.25">
      <c r="A17" s="8">
        <f t="shared" si="0"/>
        <v>14</v>
      </c>
      <c r="B17" s="1073">
        <f>B16</f>
        <v>1552.8600000000001</v>
      </c>
      <c r="C17" s="1073">
        <f>C16</f>
        <v>862.7</v>
      </c>
      <c r="D17" s="1073">
        <f>D16</f>
        <v>862.7</v>
      </c>
      <c r="E17" s="1073">
        <f>E16</f>
        <v>1380.32</v>
      </c>
      <c r="F17" s="1073">
        <v>8281.92</v>
      </c>
      <c r="G17" s="1073">
        <v>4313.5</v>
      </c>
      <c r="H17" s="1073">
        <v>8281.92</v>
      </c>
      <c r="I17" s="1073">
        <v>4313.5</v>
      </c>
      <c r="J17" s="1074">
        <f t="shared" si="1"/>
        <v>29849.42</v>
      </c>
    </row>
    <row r="18" spans="1:10" ht="16.5" customHeight="1" x14ac:dyDescent="0.25">
      <c r="A18" s="8">
        <f t="shared" si="0"/>
        <v>15</v>
      </c>
      <c r="B18" s="1073">
        <f t="shared" ref="B18:B38" si="2">B17</f>
        <v>1552.8600000000001</v>
      </c>
      <c r="C18" s="1073">
        <f t="shared" ref="C18:C38" si="3">C17</f>
        <v>862.7</v>
      </c>
      <c r="D18" s="1073">
        <f t="shared" ref="D18:D38" si="4">D17</f>
        <v>862.7</v>
      </c>
      <c r="E18" s="1073">
        <f t="shared" ref="E18:E38" si="5">E17</f>
        <v>1380.32</v>
      </c>
      <c r="F18" s="1073">
        <f>F17</f>
        <v>8281.92</v>
      </c>
      <c r="G18" s="1073">
        <f>G17</f>
        <v>4313.5</v>
      </c>
      <c r="H18" s="1073">
        <f>H17</f>
        <v>8281.92</v>
      </c>
      <c r="I18" s="1073">
        <f>I17</f>
        <v>4313.5</v>
      </c>
      <c r="J18" s="1074">
        <f t="shared" si="1"/>
        <v>29849.42</v>
      </c>
    </row>
    <row r="19" spans="1:10" ht="16.5" customHeight="1" x14ac:dyDescent="0.25">
      <c r="A19" s="8">
        <f t="shared" si="0"/>
        <v>16</v>
      </c>
      <c r="B19" s="1073">
        <f t="shared" si="2"/>
        <v>1552.8600000000001</v>
      </c>
      <c r="C19" s="1073">
        <f t="shared" si="3"/>
        <v>862.7</v>
      </c>
      <c r="D19" s="1073">
        <f t="shared" si="4"/>
        <v>862.7</v>
      </c>
      <c r="E19" s="1073">
        <f t="shared" si="5"/>
        <v>1380.32</v>
      </c>
      <c r="F19" s="1073">
        <f t="shared" ref="F19:F38" si="6">F18</f>
        <v>8281.92</v>
      </c>
      <c r="G19" s="1073">
        <f t="shared" ref="G19:G37" si="7">G18</f>
        <v>4313.5</v>
      </c>
      <c r="H19" s="1073">
        <f t="shared" ref="H19:H37" si="8">H18</f>
        <v>8281.92</v>
      </c>
      <c r="I19" s="1073">
        <f t="shared" ref="I19:I37" si="9">I18</f>
        <v>4313.5</v>
      </c>
      <c r="J19" s="1074">
        <f t="shared" si="1"/>
        <v>29849.42</v>
      </c>
    </row>
    <row r="20" spans="1:10" ht="16.5" customHeight="1" x14ac:dyDescent="0.25">
      <c r="A20" s="8">
        <f t="shared" si="0"/>
        <v>17</v>
      </c>
      <c r="B20" s="1073">
        <f t="shared" si="2"/>
        <v>1552.8600000000001</v>
      </c>
      <c r="C20" s="1073">
        <f t="shared" si="3"/>
        <v>862.7</v>
      </c>
      <c r="D20" s="1073">
        <f t="shared" si="4"/>
        <v>862.7</v>
      </c>
      <c r="E20" s="1073">
        <f t="shared" si="5"/>
        <v>1380.32</v>
      </c>
      <c r="F20" s="1073">
        <f t="shared" si="6"/>
        <v>8281.92</v>
      </c>
      <c r="G20" s="1073">
        <f t="shared" si="7"/>
        <v>4313.5</v>
      </c>
      <c r="H20" s="1073">
        <f t="shared" si="8"/>
        <v>8281.92</v>
      </c>
      <c r="I20" s="1073">
        <f t="shared" si="9"/>
        <v>4313.5</v>
      </c>
      <c r="J20" s="1074">
        <f t="shared" si="1"/>
        <v>29849.42</v>
      </c>
    </row>
    <row r="21" spans="1:10" ht="16.5" customHeight="1" x14ac:dyDescent="0.25">
      <c r="A21" s="8">
        <f t="shared" si="0"/>
        <v>18</v>
      </c>
      <c r="B21" s="1073">
        <f t="shared" si="2"/>
        <v>1552.8600000000001</v>
      </c>
      <c r="C21" s="1073">
        <f t="shared" si="3"/>
        <v>862.7</v>
      </c>
      <c r="D21" s="1073">
        <f t="shared" si="4"/>
        <v>862.7</v>
      </c>
      <c r="E21" s="1073">
        <f t="shared" si="5"/>
        <v>1380.32</v>
      </c>
      <c r="F21" s="1073">
        <f t="shared" si="6"/>
        <v>8281.92</v>
      </c>
      <c r="G21" s="1073">
        <f t="shared" si="7"/>
        <v>4313.5</v>
      </c>
      <c r="H21" s="1073">
        <f t="shared" si="8"/>
        <v>8281.92</v>
      </c>
      <c r="I21" s="1073">
        <f t="shared" si="9"/>
        <v>4313.5</v>
      </c>
      <c r="J21" s="1074">
        <f t="shared" si="1"/>
        <v>29849.42</v>
      </c>
    </row>
    <row r="22" spans="1:10" ht="16.5" customHeight="1" x14ac:dyDescent="0.25">
      <c r="A22" s="8">
        <f t="shared" si="0"/>
        <v>19</v>
      </c>
      <c r="B22" s="1073">
        <f t="shared" si="2"/>
        <v>1552.8600000000001</v>
      </c>
      <c r="C22" s="1073">
        <f t="shared" si="3"/>
        <v>862.7</v>
      </c>
      <c r="D22" s="1073">
        <f t="shared" si="4"/>
        <v>862.7</v>
      </c>
      <c r="E22" s="1073">
        <f t="shared" si="5"/>
        <v>1380.32</v>
      </c>
      <c r="F22" s="1073">
        <f t="shared" si="6"/>
        <v>8281.92</v>
      </c>
      <c r="G22" s="1073">
        <f t="shared" si="7"/>
        <v>4313.5</v>
      </c>
      <c r="H22" s="1073">
        <f t="shared" si="8"/>
        <v>8281.92</v>
      </c>
      <c r="I22" s="1073">
        <f t="shared" si="9"/>
        <v>4313.5</v>
      </c>
      <c r="J22" s="1074">
        <f t="shared" si="1"/>
        <v>29849.42</v>
      </c>
    </row>
    <row r="23" spans="1:10" ht="16.5" customHeight="1" x14ac:dyDescent="0.25">
      <c r="A23" s="8">
        <f t="shared" si="0"/>
        <v>20</v>
      </c>
      <c r="B23" s="1073">
        <f t="shared" si="2"/>
        <v>1552.8600000000001</v>
      </c>
      <c r="C23" s="1073">
        <f t="shared" si="3"/>
        <v>862.7</v>
      </c>
      <c r="D23" s="1073">
        <f t="shared" si="4"/>
        <v>862.7</v>
      </c>
      <c r="E23" s="1073">
        <f t="shared" si="5"/>
        <v>1380.32</v>
      </c>
      <c r="F23" s="1073">
        <f t="shared" si="6"/>
        <v>8281.92</v>
      </c>
      <c r="G23" s="1073">
        <f t="shared" si="7"/>
        <v>4313.5</v>
      </c>
      <c r="H23" s="1073">
        <f t="shared" si="8"/>
        <v>8281.92</v>
      </c>
      <c r="I23" s="1073">
        <f t="shared" si="9"/>
        <v>4313.5</v>
      </c>
      <c r="J23" s="1074">
        <f>SUM(B23:I23)</f>
        <v>29849.42</v>
      </c>
    </row>
    <row r="24" spans="1:10" ht="16.5" customHeight="1" x14ac:dyDescent="0.25">
      <c r="A24" s="8">
        <f t="shared" si="0"/>
        <v>21</v>
      </c>
      <c r="B24" s="1073">
        <f t="shared" si="2"/>
        <v>1552.8600000000001</v>
      </c>
      <c r="C24" s="1073">
        <f t="shared" si="3"/>
        <v>862.7</v>
      </c>
      <c r="D24" s="1073">
        <f t="shared" si="4"/>
        <v>862.7</v>
      </c>
      <c r="E24" s="1073">
        <f t="shared" si="5"/>
        <v>1380.32</v>
      </c>
      <c r="F24" s="1073">
        <f t="shared" si="6"/>
        <v>8281.92</v>
      </c>
      <c r="G24" s="1073">
        <f t="shared" si="7"/>
        <v>4313.5</v>
      </c>
      <c r="H24" s="1073">
        <f t="shared" si="8"/>
        <v>8281.92</v>
      </c>
      <c r="I24" s="1073">
        <f t="shared" si="9"/>
        <v>4313.5</v>
      </c>
      <c r="J24" s="1074">
        <f t="shared" si="1"/>
        <v>29849.42</v>
      </c>
    </row>
    <row r="25" spans="1:10" ht="16.5" customHeight="1" x14ac:dyDescent="0.25">
      <c r="A25" s="8">
        <f t="shared" si="0"/>
        <v>22</v>
      </c>
      <c r="B25" s="1073">
        <f t="shared" si="2"/>
        <v>1552.8600000000001</v>
      </c>
      <c r="C25" s="1073">
        <f t="shared" si="3"/>
        <v>862.7</v>
      </c>
      <c r="D25" s="1073">
        <f t="shared" si="4"/>
        <v>862.7</v>
      </c>
      <c r="E25" s="1073">
        <f t="shared" si="5"/>
        <v>1380.32</v>
      </c>
      <c r="F25" s="1073">
        <f t="shared" si="6"/>
        <v>8281.92</v>
      </c>
      <c r="G25" s="1073">
        <f t="shared" si="7"/>
        <v>4313.5</v>
      </c>
      <c r="H25" s="1073">
        <f t="shared" si="8"/>
        <v>8281.92</v>
      </c>
      <c r="I25" s="1073">
        <f t="shared" si="9"/>
        <v>4313.5</v>
      </c>
      <c r="J25" s="1074">
        <f t="shared" si="1"/>
        <v>29849.42</v>
      </c>
    </row>
    <row r="26" spans="1:10" ht="16.5" customHeight="1" x14ac:dyDescent="0.25">
      <c r="A26" s="8">
        <f t="shared" si="0"/>
        <v>23</v>
      </c>
      <c r="B26" s="1073">
        <f t="shared" si="2"/>
        <v>1552.8600000000001</v>
      </c>
      <c r="C26" s="1073">
        <f t="shared" si="3"/>
        <v>862.7</v>
      </c>
      <c r="D26" s="1073">
        <f t="shared" si="4"/>
        <v>862.7</v>
      </c>
      <c r="E26" s="1073">
        <f t="shared" si="5"/>
        <v>1380.32</v>
      </c>
      <c r="F26" s="1073">
        <f t="shared" si="6"/>
        <v>8281.92</v>
      </c>
      <c r="G26" s="1073">
        <f t="shared" si="7"/>
        <v>4313.5</v>
      </c>
      <c r="H26" s="1073">
        <f t="shared" si="8"/>
        <v>8281.92</v>
      </c>
      <c r="I26" s="1073">
        <f t="shared" si="9"/>
        <v>4313.5</v>
      </c>
      <c r="J26" s="1074">
        <f t="shared" si="1"/>
        <v>29849.42</v>
      </c>
    </row>
    <row r="27" spans="1:10" ht="16.5" customHeight="1" x14ac:dyDescent="0.25">
      <c r="A27" s="8">
        <f t="shared" si="0"/>
        <v>24</v>
      </c>
      <c r="B27" s="1073">
        <f t="shared" si="2"/>
        <v>1552.8600000000001</v>
      </c>
      <c r="C27" s="1073">
        <f t="shared" si="3"/>
        <v>862.7</v>
      </c>
      <c r="D27" s="1073">
        <f t="shared" si="4"/>
        <v>862.7</v>
      </c>
      <c r="E27" s="1073">
        <f t="shared" si="5"/>
        <v>1380.32</v>
      </c>
      <c r="F27" s="1073">
        <f t="shared" si="6"/>
        <v>8281.92</v>
      </c>
      <c r="G27" s="1073">
        <f t="shared" si="7"/>
        <v>4313.5</v>
      </c>
      <c r="H27" s="1073">
        <f t="shared" si="8"/>
        <v>8281.92</v>
      </c>
      <c r="I27" s="1073">
        <f t="shared" si="9"/>
        <v>4313.5</v>
      </c>
      <c r="J27" s="1074">
        <f t="shared" si="1"/>
        <v>29849.42</v>
      </c>
    </row>
    <row r="28" spans="1:10" ht="16.5" customHeight="1" x14ac:dyDescent="0.25">
      <c r="A28" s="8">
        <f t="shared" si="0"/>
        <v>25</v>
      </c>
      <c r="B28" s="1073">
        <f t="shared" si="2"/>
        <v>1552.8600000000001</v>
      </c>
      <c r="C28" s="1073">
        <f t="shared" si="3"/>
        <v>862.7</v>
      </c>
      <c r="D28" s="1073">
        <f t="shared" si="4"/>
        <v>862.7</v>
      </c>
      <c r="E28" s="1073">
        <f t="shared" si="5"/>
        <v>1380.32</v>
      </c>
      <c r="F28" s="1073">
        <f t="shared" si="6"/>
        <v>8281.92</v>
      </c>
      <c r="G28" s="1073">
        <f t="shared" si="7"/>
        <v>4313.5</v>
      </c>
      <c r="H28" s="1073">
        <f t="shared" si="8"/>
        <v>8281.92</v>
      </c>
      <c r="I28" s="1073">
        <f t="shared" si="9"/>
        <v>4313.5</v>
      </c>
      <c r="J28" s="1074">
        <f t="shared" si="1"/>
        <v>29849.42</v>
      </c>
    </row>
    <row r="29" spans="1:10" ht="16.5" customHeight="1" x14ac:dyDescent="0.25">
      <c r="A29" s="8">
        <f t="shared" si="0"/>
        <v>26</v>
      </c>
      <c r="B29" s="1073">
        <f t="shared" si="2"/>
        <v>1552.8600000000001</v>
      </c>
      <c r="C29" s="1073">
        <f t="shared" si="3"/>
        <v>862.7</v>
      </c>
      <c r="D29" s="1073">
        <f t="shared" si="4"/>
        <v>862.7</v>
      </c>
      <c r="E29" s="1073">
        <f t="shared" si="5"/>
        <v>1380.32</v>
      </c>
      <c r="F29" s="1073">
        <f t="shared" si="6"/>
        <v>8281.92</v>
      </c>
      <c r="G29" s="1073">
        <f t="shared" si="7"/>
        <v>4313.5</v>
      </c>
      <c r="H29" s="1073">
        <f t="shared" si="8"/>
        <v>8281.92</v>
      </c>
      <c r="I29" s="1073">
        <f t="shared" si="9"/>
        <v>4313.5</v>
      </c>
      <c r="J29" s="1074">
        <f>SUM(B29:I29)</f>
        <v>29849.42</v>
      </c>
    </row>
    <row r="30" spans="1:10" ht="16.5" customHeight="1" x14ac:dyDescent="0.25">
      <c r="A30" s="8">
        <f t="shared" si="0"/>
        <v>27</v>
      </c>
      <c r="B30" s="1073">
        <f t="shared" si="2"/>
        <v>1552.8600000000001</v>
      </c>
      <c r="C30" s="1073">
        <f t="shared" si="3"/>
        <v>862.7</v>
      </c>
      <c r="D30" s="1073">
        <f t="shared" si="4"/>
        <v>862.7</v>
      </c>
      <c r="E30" s="1073">
        <f t="shared" si="5"/>
        <v>1380.32</v>
      </c>
      <c r="F30" s="1073">
        <f t="shared" si="6"/>
        <v>8281.92</v>
      </c>
      <c r="G30" s="1073">
        <f t="shared" si="7"/>
        <v>4313.5</v>
      </c>
      <c r="H30" s="1073">
        <f t="shared" si="8"/>
        <v>8281.92</v>
      </c>
      <c r="I30" s="1073">
        <f t="shared" si="9"/>
        <v>4313.5</v>
      </c>
      <c r="J30" s="1074">
        <f t="shared" si="1"/>
        <v>29849.42</v>
      </c>
    </row>
    <row r="31" spans="1:10" ht="16.5" customHeight="1" x14ac:dyDescent="0.25">
      <c r="A31" s="8">
        <f t="shared" si="0"/>
        <v>28</v>
      </c>
      <c r="B31" s="1073">
        <f t="shared" si="2"/>
        <v>1552.8600000000001</v>
      </c>
      <c r="C31" s="1073">
        <f t="shared" si="3"/>
        <v>862.7</v>
      </c>
      <c r="D31" s="1073">
        <f t="shared" si="4"/>
        <v>862.7</v>
      </c>
      <c r="E31" s="1073">
        <f t="shared" si="5"/>
        <v>1380.32</v>
      </c>
      <c r="F31" s="1073">
        <f t="shared" si="6"/>
        <v>8281.92</v>
      </c>
      <c r="G31" s="1073">
        <f t="shared" si="7"/>
        <v>4313.5</v>
      </c>
      <c r="H31" s="1073">
        <f t="shared" si="8"/>
        <v>8281.92</v>
      </c>
      <c r="I31" s="1073">
        <f t="shared" si="9"/>
        <v>4313.5</v>
      </c>
      <c r="J31" s="1074">
        <f t="shared" si="1"/>
        <v>29849.42</v>
      </c>
    </row>
    <row r="32" spans="1:10" ht="16.5" customHeight="1" x14ac:dyDescent="0.25">
      <c r="A32" s="8">
        <f t="shared" si="0"/>
        <v>29</v>
      </c>
      <c r="B32" s="1073">
        <f t="shared" si="2"/>
        <v>1552.8600000000001</v>
      </c>
      <c r="C32" s="1073">
        <f t="shared" si="3"/>
        <v>862.7</v>
      </c>
      <c r="D32" s="1073">
        <f t="shared" si="4"/>
        <v>862.7</v>
      </c>
      <c r="E32" s="1073">
        <f t="shared" si="5"/>
        <v>1380.32</v>
      </c>
      <c r="F32" s="1073">
        <f t="shared" si="6"/>
        <v>8281.92</v>
      </c>
      <c r="G32" s="1073">
        <f t="shared" si="7"/>
        <v>4313.5</v>
      </c>
      <c r="H32" s="1073">
        <f t="shared" si="8"/>
        <v>8281.92</v>
      </c>
      <c r="I32" s="1073">
        <f t="shared" si="9"/>
        <v>4313.5</v>
      </c>
      <c r="J32" s="1074">
        <f t="shared" si="1"/>
        <v>29849.42</v>
      </c>
    </row>
    <row r="33" spans="1:23" ht="16.5" customHeight="1" x14ac:dyDescent="0.25">
      <c r="A33" s="8">
        <f t="shared" si="0"/>
        <v>30</v>
      </c>
      <c r="B33" s="1073">
        <f t="shared" si="2"/>
        <v>1552.8600000000001</v>
      </c>
      <c r="C33" s="1073">
        <f t="shared" si="3"/>
        <v>862.7</v>
      </c>
      <c r="D33" s="1073">
        <f t="shared" si="4"/>
        <v>862.7</v>
      </c>
      <c r="E33" s="1073">
        <f t="shared" si="5"/>
        <v>1380.32</v>
      </c>
      <c r="F33" s="1073">
        <f t="shared" si="6"/>
        <v>8281.92</v>
      </c>
      <c r="G33" s="1073">
        <f t="shared" si="7"/>
        <v>4313.5</v>
      </c>
      <c r="H33" s="1073">
        <f t="shared" si="8"/>
        <v>8281.92</v>
      </c>
      <c r="I33" s="1073">
        <f t="shared" si="9"/>
        <v>4313.5</v>
      </c>
      <c r="J33" s="1074">
        <f t="shared" si="1"/>
        <v>29849.42</v>
      </c>
      <c r="K33" s="6"/>
      <c r="L33" s="6"/>
      <c r="M33" s="6"/>
      <c r="N33" s="6"/>
      <c r="O33" s="6"/>
      <c r="P33" s="6"/>
      <c r="Q33" s="6"/>
    </row>
    <row r="34" spans="1:23" ht="16.5" customHeight="1" x14ac:dyDescent="0.25">
      <c r="A34" s="8">
        <f t="shared" si="0"/>
        <v>31</v>
      </c>
      <c r="B34" s="1073">
        <f t="shared" si="2"/>
        <v>1552.8600000000001</v>
      </c>
      <c r="C34" s="1073">
        <f t="shared" si="3"/>
        <v>862.7</v>
      </c>
      <c r="D34" s="1073">
        <f t="shared" si="4"/>
        <v>862.7</v>
      </c>
      <c r="E34" s="1073">
        <f t="shared" si="5"/>
        <v>1380.32</v>
      </c>
      <c r="F34" s="1073">
        <f t="shared" si="6"/>
        <v>8281.92</v>
      </c>
      <c r="G34" s="1073">
        <f t="shared" si="7"/>
        <v>4313.5</v>
      </c>
      <c r="H34" s="1073">
        <f t="shared" si="8"/>
        <v>8281.92</v>
      </c>
      <c r="I34" s="1073">
        <f t="shared" si="9"/>
        <v>4313.5</v>
      </c>
      <c r="J34" s="1074">
        <f t="shared" si="1"/>
        <v>29849.42</v>
      </c>
      <c r="K34" s="6"/>
      <c r="L34" s="6"/>
      <c r="M34" s="6"/>
      <c r="N34" s="6"/>
      <c r="O34" s="6"/>
      <c r="P34" s="6"/>
      <c r="Q34" s="6"/>
    </row>
    <row r="35" spans="1:23" ht="16.5" customHeight="1" x14ac:dyDescent="0.25">
      <c r="A35" s="8">
        <f t="shared" si="0"/>
        <v>32</v>
      </c>
      <c r="B35" s="1073">
        <f t="shared" si="2"/>
        <v>1552.8600000000001</v>
      </c>
      <c r="C35" s="1073">
        <f t="shared" si="3"/>
        <v>862.7</v>
      </c>
      <c r="D35" s="1073">
        <f t="shared" si="4"/>
        <v>862.7</v>
      </c>
      <c r="E35" s="1073">
        <f t="shared" si="5"/>
        <v>1380.32</v>
      </c>
      <c r="F35" s="1073">
        <f t="shared" si="6"/>
        <v>8281.92</v>
      </c>
      <c r="G35" s="1073">
        <f t="shared" si="7"/>
        <v>4313.5</v>
      </c>
      <c r="H35" s="1073">
        <f t="shared" si="8"/>
        <v>8281.92</v>
      </c>
      <c r="I35" s="1073">
        <f t="shared" si="9"/>
        <v>4313.5</v>
      </c>
      <c r="J35" s="1074">
        <f t="shared" si="1"/>
        <v>29849.42</v>
      </c>
      <c r="K35" s="6"/>
      <c r="L35" s="6"/>
      <c r="M35" s="6"/>
      <c r="N35" s="6"/>
      <c r="O35" s="6"/>
      <c r="P35" s="6"/>
      <c r="Q35" s="6"/>
    </row>
    <row r="36" spans="1:23" ht="16.5" customHeight="1" x14ac:dyDescent="0.25">
      <c r="A36" s="8">
        <f t="shared" si="0"/>
        <v>33</v>
      </c>
      <c r="B36" s="1073">
        <f t="shared" si="2"/>
        <v>1552.8600000000001</v>
      </c>
      <c r="C36" s="1073">
        <f t="shared" si="3"/>
        <v>862.7</v>
      </c>
      <c r="D36" s="1073">
        <f t="shared" si="4"/>
        <v>862.7</v>
      </c>
      <c r="E36" s="1073">
        <f t="shared" si="5"/>
        <v>1380.32</v>
      </c>
      <c r="F36" s="1073">
        <f t="shared" si="6"/>
        <v>8281.92</v>
      </c>
      <c r="G36" s="1073">
        <f t="shared" si="7"/>
        <v>4313.5</v>
      </c>
      <c r="H36" s="1073">
        <f t="shared" si="8"/>
        <v>8281.92</v>
      </c>
      <c r="I36" s="1073">
        <f t="shared" si="9"/>
        <v>4313.5</v>
      </c>
      <c r="J36" s="1074">
        <f t="shared" si="1"/>
        <v>29849.42</v>
      </c>
      <c r="K36" s="6"/>
      <c r="L36" s="6"/>
      <c r="M36" s="6"/>
      <c r="N36" s="6"/>
      <c r="O36" s="6"/>
      <c r="P36" s="6"/>
      <c r="Q36" s="6"/>
    </row>
    <row r="37" spans="1:23" ht="16.5" customHeight="1" x14ac:dyDescent="0.25">
      <c r="A37" s="8">
        <f t="shared" si="0"/>
        <v>34</v>
      </c>
      <c r="B37" s="1073">
        <f t="shared" si="2"/>
        <v>1552.8600000000001</v>
      </c>
      <c r="C37" s="1073">
        <f t="shared" si="3"/>
        <v>862.7</v>
      </c>
      <c r="D37" s="1073">
        <f t="shared" si="4"/>
        <v>862.7</v>
      </c>
      <c r="E37" s="1073">
        <f t="shared" si="5"/>
        <v>1380.32</v>
      </c>
      <c r="F37" s="1073">
        <f t="shared" si="6"/>
        <v>8281.92</v>
      </c>
      <c r="G37" s="1073">
        <f t="shared" si="7"/>
        <v>4313.5</v>
      </c>
      <c r="H37" s="1073">
        <f t="shared" si="8"/>
        <v>8281.92</v>
      </c>
      <c r="I37" s="1073">
        <f t="shared" si="9"/>
        <v>4313.5</v>
      </c>
      <c r="J37" s="1074">
        <f t="shared" si="1"/>
        <v>29849.42</v>
      </c>
      <c r="K37" s="6"/>
      <c r="L37" s="6"/>
      <c r="M37" s="6"/>
      <c r="N37" s="6"/>
      <c r="O37" s="6"/>
      <c r="P37" s="6"/>
      <c r="Q37" s="6"/>
    </row>
    <row r="38" spans="1:23" ht="16.5" customHeight="1" x14ac:dyDescent="0.25">
      <c r="A38" s="8">
        <f t="shared" si="0"/>
        <v>35</v>
      </c>
      <c r="B38" s="1073">
        <f t="shared" si="2"/>
        <v>1552.8600000000001</v>
      </c>
      <c r="C38" s="1073">
        <f t="shared" si="3"/>
        <v>862.7</v>
      </c>
      <c r="D38" s="1073">
        <f t="shared" si="4"/>
        <v>862.7</v>
      </c>
      <c r="E38" s="1073">
        <f t="shared" si="5"/>
        <v>1380.32</v>
      </c>
      <c r="F38" s="1073">
        <f t="shared" si="6"/>
        <v>8281.92</v>
      </c>
      <c r="G38" s="1073">
        <f t="shared" ref="G38" si="10">G37</f>
        <v>4313.5</v>
      </c>
      <c r="H38" s="1073">
        <f t="shared" ref="H38" si="11">H37</f>
        <v>8281.92</v>
      </c>
      <c r="I38" s="1073">
        <f t="shared" ref="I38" si="12">I37</f>
        <v>4313.5</v>
      </c>
      <c r="J38" s="1074">
        <f t="shared" si="1"/>
        <v>29849.42</v>
      </c>
      <c r="K38" s="6"/>
      <c r="L38" s="6"/>
      <c r="M38" s="6"/>
      <c r="N38" s="6"/>
      <c r="O38" s="6"/>
      <c r="P38" s="6"/>
      <c r="Q38" s="6"/>
    </row>
    <row r="39" spans="1:23" ht="13" x14ac:dyDescent="0.25">
      <c r="A39" s="852" t="s">
        <v>663</v>
      </c>
      <c r="B39" s="524"/>
      <c r="C39" s="524"/>
      <c r="D39" s="524"/>
      <c r="E39" s="524"/>
      <c r="F39" s="524"/>
      <c r="G39" s="524"/>
      <c r="H39" s="524"/>
      <c r="I39" s="524"/>
      <c r="J39" s="865"/>
      <c r="K39" s="524"/>
      <c r="L39" s="855"/>
      <c r="M39" s="38"/>
      <c r="N39" s="38"/>
      <c r="O39" s="38"/>
      <c r="P39" s="38"/>
      <c r="Q39" s="38"/>
      <c r="R39" s="38"/>
      <c r="S39" s="38"/>
    </row>
    <row r="40" spans="1:23" ht="13.5" thickBot="1" x14ac:dyDescent="0.3">
      <c r="C40" s="524"/>
      <c r="D40" s="524"/>
      <c r="E40" s="524"/>
      <c r="F40" s="524"/>
      <c r="G40" s="524"/>
      <c r="H40" s="524"/>
      <c r="I40" s="524"/>
    </row>
    <row r="41" spans="1:23" s="564" customFormat="1" ht="40" customHeight="1" thickBot="1" x14ac:dyDescent="0.3">
      <c r="A41" s="565" t="s">
        <v>649</v>
      </c>
      <c r="B41" s="761"/>
      <c r="C41" s="761"/>
      <c r="D41" s="761"/>
      <c r="E41" s="761"/>
      <c r="F41" s="761"/>
      <c r="G41" s="761"/>
      <c r="H41" s="761"/>
      <c r="I41" s="761"/>
      <c r="J41" s="761"/>
      <c r="K41" s="670"/>
      <c r="L41" s="565" t="s">
        <v>653</v>
      </c>
      <c r="M41" s="761"/>
      <c r="N41" s="761"/>
      <c r="O41" s="761"/>
      <c r="P41" s="761"/>
      <c r="Q41" s="761"/>
    </row>
    <row r="42" spans="1:23" ht="10" customHeight="1" x14ac:dyDescent="0.25">
      <c r="A42" s="763"/>
    </row>
    <row r="43" spans="1:23" ht="36" x14ac:dyDescent="0.25">
      <c r="A43" s="850" t="s">
        <v>573</v>
      </c>
      <c r="B43" s="850" t="s">
        <v>326</v>
      </c>
      <c r="C43" s="850" t="s">
        <v>376</v>
      </c>
      <c r="D43" s="851" t="s">
        <v>163</v>
      </c>
      <c r="E43" s="851" t="s">
        <v>162</v>
      </c>
      <c r="F43" s="851" t="s">
        <v>260</v>
      </c>
      <c r="G43" s="851" t="s">
        <v>261</v>
      </c>
      <c r="H43" s="851" t="s">
        <v>327</v>
      </c>
      <c r="I43" s="851" t="s">
        <v>248</v>
      </c>
      <c r="J43" s="6"/>
      <c r="L43" s="850" t="s">
        <v>573</v>
      </c>
      <c r="M43" s="850" t="s">
        <v>326</v>
      </c>
      <c r="N43" s="850" t="s">
        <v>376</v>
      </c>
      <c r="O43" s="851" t="s">
        <v>163</v>
      </c>
      <c r="P43" s="851" t="s">
        <v>162</v>
      </c>
      <c r="Q43" s="851" t="s">
        <v>260</v>
      </c>
      <c r="R43" s="851" t="s">
        <v>261</v>
      </c>
      <c r="S43" s="851" t="s">
        <v>327</v>
      </c>
      <c r="T43" s="851" t="s">
        <v>248</v>
      </c>
      <c r="U43" s="851" t="s">
        <v>249</v>
      </c>
    </row>
    <row r="44" spans="1:23" ht="16" customHeight="1" x14ac:dyDescent="0.25">
      <c r="A44" s="8">
        <v>2</v>
      </c>
      <c r="B44" s="762"/>
      <c r="C44" s="762"/>
      <c r="D44" s="762"/>
      <c r="E44" s="762"/>
      <c r="F44" s="762">
        <f t="array" ref="F44:F77">TRANSPOSE('Planejamento Global'!D223:AK223/'Rentabilidade-Cult.Temp.'!E68)</f>
        <v>0</v>
      </c>
      <c r="G44" s="762">
        <f t="array" ref="G44:G77">TRANSPOSE('Planejamento Global'!D285:AK285/'Rentabilidade-Cult.Temp.'!I68)</f>
        <v>0</v>
      </c>
      <c r="H44" s="762">
        <f t="array" ref="H44:H77">TRANSPOSE('Planejamento Global'!D316:AK316/'Rentabilidade-Cult.Temp.'!K68)</f>
        <v>0</v>
      </c>
      <c r="I44" s="762">
        <f t="array" ref="I44:I77">TRANSPOSE('Planejamento Global'!D254:AK254/'Rentabilidade-Cult.Temp.'!G68)</f>
        <v>0</v>
      </c>
      <c r="J44" s="1013"/>
      <c r="K44" s="1013"/>
      <c r="L44" s="8">
        <v>2</v>
      </c>
      <c r="M44" s="762"/>
      <c r="N44" s="762"/>
      <c r="O44" s="762"/>
      <c r="P44" s="762"/>
      <c r="Q44" s="762">
        <f t="array" ref="Q44:Q77">TRANSPOSE('Planejamento Global'!D223:AK223/1000)</f>
        <v>0</v>
      </c>
      <c r="R44" s="762">
        <f t="array" ref="R44:R77">TRANSPOSE('Planejamento Global'!D285:AK285/1000)</f>
        <v>0</v>
      </c>
      <c r="S44" s="762">
        <f t="array" ref="S44:S77">TRANSPOSE('Planejamento Global'!D316:AK316/1000)</f>
        <v>0</v>
      </c>
      <c r="T44" s="762">
        <f t="array" ref="T44:T77">TRANSPOSE('Planejamento Global'!D254:AK254/1000)</f>
        <v>0</v>
      </c>
      <c r="U44" s="856">
        <f t="shared" ref="U44:U77" si="13">SUM(M44:T44)</f>
        <v>0</v>
      </c>
    </row>
    <row r="45" spans="1:23" ht="16" customHeight="1" x14ac:dyDescent="0.25">
      <c r="A45" s="8">
        <f>A44+1</f>
        <v>3</v>
      </c>
      <c r="B45" s="762">
        <f t="array" ref="B45:B77">TRANSPOSE('Planejamento Global'!E68:AK68/'Rentabilidade-Cult.Perma.'!AN94)</f>
        <v>0</v>
      </c>
      <c r="C45" s="762">
        <f t="array" ref="C45:C77">TRANSPOSE('Planejamento Global'!E99:AK99/'Rentabilidade-Cult.Perma.'!AN186)</f>
        <v>0</v>
      </c>
      <c r="D45" s="762"/>
      <c r="E45" s="762">
        <f t="array" ref="E45:E77">TRANSPOSE('Planejamento Global'!E161:AK161/'Rentabilidade-Cult.Perma.'!AN365)</f>
        <v>0</v>
      </c>
      <c r="F45" s="762">
        <v>0</v>
      </c>
      <c r="G45" s="762">
        <v>0</v>
      </c>
      <c r="H45" s="762">
        <v>0</v>
      </c>
      <c r="I45" s="762">
        <v>0</v>
      </c>
      <c r="J45" s="1013"/>
      <c r="K45" s="1013"/>
      <c r="L45" s="8">
        <f>L44+1</f>
        <v>3</v>
      </c>
      <c r="M45" s="762">
        <f t="array" ref="M45:M77">TRANSPOSE('Planejamento Global'!E68:AK68/1000)</f>
        <v>0</v>
      </c>
      <c r="N45" s="762">
        <f t="array" ref="N45:N77">TRANSPOSE('Planejamento Global'!E99:AK99/1000)</f>
        <v>0</v>
      </c>
      <c r="O45" s="762"/>
      <c r="P45" s="762">
        <f t="array" ref="P45:P77">TRANSPOSE('Planejamento Global'!E161:AK161/1000)</f>
        <v>0</v>
      </c>
      <c r="Q45" s="762">
        <v>0</v>
      </c>
      <c r="R45" s="762">
        <v>0</v>
      </c>
      <c r="S45" s="762">
        <v>0</v>
      </c>
      <c r="T45" s="762">
        <v>0</v>
      </c>
      <c r="U45" s="856">
        <f t="shared" si="13"/>
        <v>0</v>
      </c>
    </row>
    <row r="46" spans="1:23" ht="16" customHeight="1" x14ac:dyDescent="0.25">
      <c r="A46" s="8">
        <f t="shared" ref="A46:A77" si="14">A45+1</f>
        <v>4</v>
      </c>
      <c r="B46" s="762">
        <v>0</v>
      </c>
      <c r="C46" s="762">
        <v>0</v>
      </c>
      <c r="D46" s="762">
        <f t="array" ref="D46:D77">TRANSPOSE('Planejamento Global'!F130:AK130/'Rentabilidade-Cult.Perma.'!AN277)</f>
        <v>0</v>
      </c>
      <c r="E46" s="762">
        <v>0</v>
      </c>
      <c r="F46" s="762">
        <v>3008.762278877783</v>
      </c>
      <c r="G46" s="762">
        <v>3373.2776553683311</v>
      </c>
      <c r="H46" s="762">
        <v>5963.1493358481357</v>
      </c>
      <c r="I46" s="762">
        <v>887.37341307263921</v>
      </c>
      <c r="J46" s="1013"/>
      <c r="K46" s="1013"/>
      <c r="L46" s="8">
        <f t="shared" ref="L46:L77" si="15">L45+1</f>
        <v>4</v>
      </c>
      <c r="M46" s="762">
        <v>0</v>
      </c>
      <c r="N46" s="762">
        <v>0</v>
      </c>
      <c r="O46" s="762">
        <f t="array" ref="O46:O77">TRANSPOSE('Planejamento Global'!F130:AK130/1000)</f>
        <v>0</v>
      </c>
      <c r="P46" s="762">
        <v>0</v>
      </c>
      <c r="Q46" s="762">
        <v>8725.4106087455712</v>
      </c>
      <c r="R46" s="762">
        <v>5059.9164830524969</v>
      </c>
      <c r="S46" s="762">
        <v>8944.7240037722022</v>
      </c>
      <c r="T46" s="762">
        <v>5146.7657958213076</v>
      </c>
      <c r="U46" s="856">
        <f t="shared" si="13"/>
        <v>27876.81689139158</v>
      </c>
      <c r="W46" s="1013"/>
    </row>
    <row r="47" spans="1:23" ht="16" customHeight="1" x14ac:dyDescent="0.25">
      <c r="A47" s="8">
        <f t="shared" si="14"/>
        <v>5</v>
      </c>
      <c r="B47" s="762">
        <v>8518.7847654973375</v>
      </c>
      <c r="C47" s="762">
        <v>2246.7539607583844</v>
      </c>
      <c r="D47" s="762">
        <v>0</v>
      </c>
      <c r="E47" s="762">
        <v>281.94559507556204</v>
      </c>
      <c r="F47" s="762">
        <v>6017.5245577555661</v>
      </c>
      <c r="G47" s="762">
        <v>6746.5553107366622</v>
      </c>
      <c r="H47" s="762">
        <v>11926.298671696271</v>
      </c>
      <c r="I47" s="762">
        <v>1774.7468261452784</v>
      </c>
      <c r="J47" s="1013"/>
      <c r="K47" s="1013"/>
      <c r="L47" s="8">
        <f t="shared" si="15"/>
        <v>5</v>
      </c>
      <c r="M47" s="762">
        <v>11074.420195146538</v>
      </c>
      <c r="N47" s="762">
        <v>5167.5341097442843</v>
      </c>
      <c r="O47" s="762">
        <v>0</v>
      </c>
      <c r="P47" s="762">
        <v>676.66942818134885</v>
      </c>
      <c r="Q47" s="762">
        <v>17450.821217491142</v>
      </c>
      <c r="R47" s="762">
        <v>10119.832966104994</v>
      </c>
      <c r="S47" s="762">
        <v>17889.448007544404</v>
      </c>
      <c r="T47" s="762">
        <v>10293.531591642615</v>
      </c>
      <c r="U47" s="856">
        <f t="shared" si="13"/>
        <v>72672.257515855323</v>
      </c>
      <c r="W47" s="1013"/>
    </row>
    <row r="48" spans="1:23" ht="16" customHeight="1" x14ac:dyDescent="0.25">
      <c r="A48" s="8">
        <f t="shared" si="14"/>
        <v>6</v>
      </c>
      <c r="B48" s="762">
        <v>16505.145483151089</v>
      </c>
      <c r="C48" s="762">
        <v>4317.2919245945432</v>
      </c>
      <c r="D48" s="762">
        <v>472.00713461310602</v>
      </c>
      <c r="E48" s="762">
        <v>1701.743055991785</v>
      </c>
      <c r="F48" s="762">
        <v>9632.4041305319079</v>
      </c>
      <c r="G48" s="762">
        <v>10799.382140991262</v>
      </c>
      <c r="H48" s="762">
        <v>19090.728668343352</v>
      </c>
      <c r="I48" s="762">
        <v>2840.8822423129996</v>
      </c>
      <c r="J48" s="1013"/>
      <c r="K48" s="1013"/>
      <c r="L48" s="8">
        <f t="shared" si="15"/>
        <v>6</v>
      </c>
      <c r="M48" s="762">
        <v>21456.689128096416</v>
      </c>
      <c r="N48" s="762">
        <v>9929.7714265674476</v>
      </c>
      <c r="O48" s="762">
        <v>2171.2328192202876</v>
      </c>
      <c r="P48" s="762">
        <v>4084.1833343802841</v>
      </c>
      <c r="Q48" s="762">
        <v>27933.971978542533</v>
      </c>
      <c r="R48" s="762">
        <v>16199.073211486893</v>
      </c>
      <c r="S48" s="762">
        <v>28636.09300251503</v>
      </c>
      <c r="T48" s="762">
        <v>16477.117005415395</v>
      </c>
      <c r="U48" s="856">
        <f>SUM(M48:T48)</f>
        <v>126888.13190622428</v>
      </c>
    </row>
    <row r="49" spans="1:21" ht="16" customHeight="1" x14ac:dyDescent="0.25">
      <c r="A49" s="8">
        <f t="shared" si="14"/>
        <v>7</v>
      </c>
      <c r="B49" s="762">
        <v>25675.197382674047</v>
      </c>
      <c r="C49" s="762">
        <v>6664.2240695577248</v>
      </c>
      <c r="D49" s="762">
        <v>1063.5894099948657</v>
      </c>
      <c r="E49" s="762">
        <v>3842.9247024337551</v>
      </c>
      <c r="F49" s="762">
        <v>16614.161110004985</v>
      </c>
      <c r="G49" s="762">
        <v>18626.987857602642</v>
      </c>
      <c r="H49" s="762">
        <v>32928.066296335179</v>
      </c>
      <c r="I49" s="762">
        <v>4900.0098655260672</v>
      </c>
      <c r="J49" s="1013"/>
      <c r="K49" s="1013"/>
      <c r="L49" s="8">
        <f t="shared" si="15"/>
        <v>7</v>
      </c>
      <c r="M49" s="762">
        <v>33377.756597476262</v>
      </c>
      <c r="N49" s="762">
        <v>15327.715359982767</v>
      </c>
      <c r="O49" s="762">
        <v>4892.5112859763822</v>
      </c>
      <c r="P49" s="762">
        <v>9223.0192858410119</v>
      </c>
      <c r="Q49" s="762">
        <v>48181.067219014461</v>
      </c>
      <c r="R49" s="762">
        <v>27940.481786403965</v>
      </c>
      <c r="S49" s="762">
        <v>49392.099444502761</v>
      </c>
      <c r="T49" s="762">
        <v>28420.057220051192</v>
      </c>
      <c r="U49" s="856">
        <f t="shared" si="13"/>
        <v>216754.70819924879</v>
      </c>
    </row>
    <row r="50" spans="1:21" ht="16" customHeight="1" x14ac:dyDescent="0.25">
      <c r="A50" s="8">
        <f t="shared" si="14"/>
        <v>8</v>
      </c>
      <c r="B50" s="762">
        <v>44270.717267975284</v>
      </c>
      <c r="C50" s="762">
        <v>11370.253994521945</v>
      </c>
      <c r="D50" s="762">
        <v>2222.2649918488169</v>
      </c>
      <c r="E50" s="762">
        <v>8703.8401970539271</v>
      </c>
      <c r="F50" s="762">
        <v>23164.613246088145</v>
      </c>
      <c r="G50" s="762">
        <v>25971.035600533902</v>
      </c>
      <c r="H50" s="762">
        <v>45910.588903391559</v>
      </c>
      <c r="I50" s="762">
        <v>6831.9328725285059</v>
      </c>
      <c r="J50" s="1013"/>
      <c r="K50" s="1013"/>
      <c r="L50" s="8">
        <f t="shared" si="15"/>
        <v>8</v>
      </c>
      <c r="M50" s="762">
        <v>57551.932448367872</v>
      </c>
      <c r="N50" s="762">
        <v>26151.584187400476</v>
      </c>
      <c r="O50" s="762">
        <v>10222.418962504558</v>
      </c>
      <c r="P50" s="762">
        <v>20889.216472929427</v>
      </c>
      <c r="Q50" s="762">
        <v>67177.378413655621</v>
      </c>
      <c r="R50" s="762">
        <v>38956.553400800854</v>
      </c>
      <c r="S50" s="762">
        <v>68865.883355087339</v>
      </c>
      <c r="T50" s="762">
        <v>39625.210660665332</v>
      </c>
      <c r="U50" s="856">
        <f t="shared" si="13"/>
        <v>329440.17790141149</v>
      </c>
    </row>
    <row r="51" spans="1:21" ht="16" customHeight="1" x14ac:dyDescent="0.25">
      <c r="A51" s="8">
        <f t="shared" si="14"/>
        <v>9</v>
      </c>
      <c r="B51" s="762">
        <v>60942.020311570224</v>
      </c>
      <c r="C51" s="762">
        <v>15401.948737078315</v>
      </c>
      <c r="D51" s="762">
        <v>4052.7915555154477</v>
      </c>
      <c r="E51" s="762">
        <v>14458.238039839636</v>
      </c>
      <c r="F51" s="762">
        <v>29904.40727544963</v>
      </c>
      <c r="G51" s="762">
        <v>33527.364247910387</v>
      </c>
      <c r="H51" s="762">
        <v>59268.373455559791</v>
      </c>
      <c r="I51" s="762">
        <v>8819.6984308868741</v>
      </c>
      <c r="J51" s="1013"/>
      <c r="K51" s="1013"/>
      <c r="L51" s="8">
        <f t="shared" si="15"/>
        <v>9</v>
      </c>
      <c r="M51" s="762">
        <v>79224.626405041286</v>
      </c>
      <c r="N51" s="762">
        <v>35424.482095280124</v>
      </c>
      <c r="O51" s="762">
        <v>18642.841155371058</v>
      </c>
      <c r="P51" s="762">
        <v>34699.77129561513</v>
      </c>
      <c r="Q51" s="762">
        <v>86722.781098803927</v>
      </c>
      <c r="R51" s="762">
        <v>50291.046371865588</v>
      </c>
      <c r="S51" s="762">
        <v>88902.560183339679</v>
      </c>
      <c r="T51" s="762">
        <v>51154.250899143866</v>
      </c>
      <c r="U51" s="856">
        <f t="shared" si="13"/>
        <v>445062.35950446071</v>
      </c>
    </row>
    <row r="52" spans="1:21" ht="16" customHeight="1" x14ac:dyDescent="0.25">
      <c r="A52" s="8">
        <f t="shared" si="14"/>
        <v>10</v>
      </c>
      <c r="B52" s="762">
        <v>77097.515245837654</v>
      </c>
      <c r="C52" s="762">
        <v>19202.798122654931</v>
      </c>
      <c r="D52" s="762">
        <v>6340.3408593566137</v>
      </c>
      <c r="E52" s="762">
        <v>20775.847204330665</v>
      </c>
      <c r="F52" s="762">
        <v>35394.414992783612</v>
      </c>
      <c r="G52" s="762">
        <v>39682.493382136912</v>
      </c>
      <c r="H52" s="762">
        <v>70149.171883287985</v>
      </c>
      <c r="I52" s="762">
        <v>10438.86486358452</v>
      </c>
      <c r="J52" s="1013"/>
      <c r="K52" s="1013"/>
      <c r="L52" s="8">
        <f t="shared" si="15"/>
        <v>10</v>
      </c>
      <c r="M52" s="762">
        <v>100226.76981958895</v>
      </c>
      <c r="N52" s="762">
        <v>44166.435682106341</v>
      </c>
      <c r="O52" s="762">
        <v>29165.567953040423</v>
      </c>
      <c r="P52" s="762">
        <v>49862.0332903936</v>
      </c>
      <c r="Q52" s="762">
        <v>102643.80347907246</v>
      </c>
      <c r="R52" s="762">
        <v>59523.740073205365</v>
      </c>
      <c r="S52" s="762">
        <v>105223.75782493198</v>
      </c>
      <c r="T52" s="762">
        <v>60545.416208790222</v>
      </c>
      <c r="U52" s="856">
        <f t="shared" si="13"/>
        <v>551357.52433112939</v>
      </c>
    </row>
    <row r="53" spans="1:21" ht="16" customHeight="1" x14ac:dyDescent="0.25">
      <c r="A53" s="8">
        <f t="shared" si="14"/>
        <v>11</v>
      </c>
      <c r="B53" s="762">
        <v>89757.275812674998</v>
      </c>
      <c r="C53" s="762">
        <v>21926.661124986054</v>
      </c>
      <c r="D53" s="762">
        <v>9488.5195791219958</v>
      </c>
      <c r="E53" s="762">
        <v>29291.225795104187</v>
      </c>
      <c r="F53" s="762">
        <v>39286.082505071274</v>
      </c>
      <c r="G53" s="762">
        <v>44045.641362780712</v>
      </c>
      <c r="H53" s="762">
        <v>77862.175567279803</v>
      </c>
      <c r="I53" s="762">
        <v>11586.633268940446</v>
      </c>
      <c r="J53" s="1013"/>
      <c r="K53" s="1013"/>
      <c r="L53" s="8">
        <f t="shared" si="15"/>
        <v>11</v>
      </c>
      <c r="M53" s="762">
        <v>116684.4585564775</v>
      </c>
      <c r="N53" s="762">
        <v>50431.320587467926</v>
      </c>
      <c r="O53" s="762">
        <v>43647.190063961178</v>
      </c>
      <c r="P53" s="762">
        <v>70298.941908250054</v>
      </c>
      <c r="Q53" s="762">
        <v>113929.6392647067</v>
      </c>
      <c r="R53" s="762">
        <v>66068.462044171072</v>
      </c>
      <c r="S53" s="762">
        <v>116793.26335091969</v>
      </c>
      <c r="T53" s="762">
        <v>67202.472959854582</v>
      </c>
      <c r="U53" s="856">
        <f t="shared" si="13"/>
        <v>645055.74873580877</v>
      </c>
    </row>
    <row r="54" spans="1:21" ht="16" customHeight="1" x14ac:dyDescent="0.25">
      <c r="A54" s="8">
        <f t="shared" si="14"/>
        <v>12</v>
      </c>
      <c r="B54" s="762">
        <v>96374.739916226885</v>
      </c>
      <c r="C54" s="762">
        <v>23366.926879139992</v>
      </c>
      <c r="D54" s="762">
        <v>12573.892581970653</v>
      </c>
      <c r="E54" s="762">
        <v>36289.283732784555</v>
      </c>
      <c r="F54" s="762">
        <v>41243.961600000002</v>
      </c>
      <c r="G54" s="762">
        <v>46240.720000000008</v>
      </c>
      <c r="H54" s="762">
        <v>81742.550399999993</v>
      </c>
      <c r="I54" s="762">
        <v>12164.069999999998</v>
      </c>
      <c r="J54" s="1013"/>
      <c r="K54" s="1013"/>
      <c r="L54" s="8">
        <f t="shared" si="15"/>
        <v>12</v>
      </c>
      <c r="M54" s="762">
        <v>125287.16189109495</v>
      </c>
      <c r="N54" s="762">
        <v>53743.931822021987</v>
      </c>
      <c r="O54" s="762">
        <v>57839.905877065001</v>
      </c>
      <c r="P54" s="762">
        <v>87094.280958682939</v>
      </c>
      <c r="Q54" s="762">
        <v>119607.48864000001</v>
      </c>
      <c r="R54" s="762">
        <v>69361.080000000016</v>
      </c>
      <c r="S54" s="762">
        <v>122613.82559999998</v>
      </c>
      <c r="T54" s="762">
        <v>70551.605999999985</v>
      </c>
      <c r="U54" s="856">
        <f t="shared" si="13"/>
        <v>706099.28078886482</v>
      </c>
    </row>
    <row r="55" spans="1:21" ht="16" customHeight="1" x14ac:dyDescent="0.25">
      <c r="A55" s="8">
        <f t="shared" si="14"/>
        <v>13</v>
      </c>
      <c r="B55" s="762">
        <v>96892.798866264275</v>
      </c>
      <c r="C55" s="762">
        <v>23342.395541061553</v>
      </c>
      <c r="D55" s="762">
        <v>15761.99974143002</v>
      </c>
      <c r="E55" s="762">
        <v>41427.467828146779</v>
      </c>
      <c r="F55" s="762">
        <v>41243.961600000002</v>
      </c>
      <c r="G55" s="762">
        <v>46240.720000000008</v>
      </c>
      <c r="H55" s="762">
        <v>81742.550399999993</v>
      </c>
      <c r="I55" s="762">
        <v>12164.069999999998</v>
      </c>
      <c r="J55" s="1013"/>
      <c r="K55" s="1013"/>
      <c r="L55" s="8">
        <f t="shared" si="15"/>
        <v>13</v>
      </c>
      <c r="M55" s="762">
        <v>125960.63852614356</v>
      </c>
      <c r="N55" s="762">
        <v>53687.509744441566</v>
      </c>
      <c r="O55" s="762">
        <v>72505.198810578091</v>
      </c>
      <c r="P55" s="762">
        <v>99425.922787552263</v>
      </c>
      <c r="Q55" s="762">
        <v>119607.48864000001</v>
      </c>
      <c r="R55" s="762">
        <v>69361.080000000016</v>
      </c>
      <c r="S55" s="762">
        <v>122613.82559999998</v>
      </c>
      <c r="T55" s="762">
        <v>70551.605999999985</v>
      </c>
      <c r="U55" s="856">
        <f t="shared" si="13"/>
        <v>733713.27010871551</v>
      </c>
    </row>
    <row r="56" spans="1:21" ht="16" customHeight="1" x14ac:dyDescent="0.25">
      <c r="A56" s="8">
        <f t="shared" si="14"/>
        <v>14</v>
      </c>
      <c r="B56" s="762">
        <v>92247.054183268061</v>
      </c>
      <c r="C56" s="762">
        <v>21834.325709429071</v>
      </c>
      <c r="D56" s="762">
        <v>18387.483513047588</v>
      </c>
      <c r="E56" s="762">
        <v>44432.41650150327</v>
      </c>
      <c r="F56" s="762">
        <v>41243.961600000002</v>
      </c>
      <c r="G56" s="762">
        <v>46240.720000000008</v>
      </c>
      <c r="H56" s="762">
        <v>81742.550399999993</v>
      </c>
      <c r="I56" s="762">
        <v>12164.069999999998</v>
      </c>
      <c r="J56" s="1013"/>
      <c r="K56" s="1013"/>
      <c r="L56" s="8">
        <f t="shared" si="15"/>
        <v>14</v>
      </c>
      <c r="M56" s="762">
        <v>119921.17043824847</v>
      </c>
      <c r="N56" s="762">
        <v>50218.949131686866</v>
      </c>
      <c r="O56" s="762">
        <v>84582.424160018913</v>
      </c>
      <c r="P56" s="762">
        <v>106637.79960360785</v>
      </c>
      <c r="Q56" s="762">
        <v>119607.48864000001</v>
      </c>
      <c r="R56" s="762">
        <v>69361.080000000016</v>
      </c>
      <c r="S56" s="762">
        <v>122613.82559999998</v>
      </c>
      <c r="T56" s="762">
        <v>70551.605999999985</v>
      </c>
      <c r="U56" s="856">
        <f t="shared" si="13"/>
        <v>743494.3435735621</v>
      </c>
    </row>
    <row r="57" spans="1:21" ht="16" customHeight="1" x14ac:dyDescent="0.25">
      <c r="A57" s="8">
        <f t="shared" si="14"/>
        <v>15</v>
      </c>
      <c r="B57" s="762">
        <v>85829.397790289571</v>
      </c>
      <c r="C57" s="762">
        <v>20536.708182553084</v>
      </c>
      <c r="D57" s="762">
        <v>20480.982507633817</v>
      </c>
      <c r="E57" s="762">
        <v>45185.83076155767</v>
      </c>
      <c r="F57" s="762">
        <v>41243.961600000002</v>
      </c>
      <c r="G57" s="762">
        <v>46240.720000000008</v>
      </c>
      <c r="H57" s="762">
        <v>81742.550399999993</v>
      </c>
      <c r="I57" s="762">
        <v>12164.069999999998</v>
      </c>
      <c r="J57" s="1013"/>
      <c r="K57" s="1013"/>
      <c r="L57" s="8">
        <f t="shared" si="15"/>
        <v>15</v>
      </c>
      <c r="M57" s="762">
        <v>111578.21712737644</v>
      </c>
      <c r="N57" s="762">
        <v>47234.428819872097</v>
      </c>
      <c r="O57" s="762">
        <v>94212.519535115556</v>
      </c>
      <c r="P57" s="762">
        <v>108445.99382773841</v>
      </c>
      <c r="Q57" s="762">
        <v>119607.48864000001</v>
      </c>
      <c r="R57" s="762">
        <v>69361.080000000016</v>
      </c>
      <c r="S57" s="762">
        <v>122613.82559999998</v>
      </c>
      <c r="T57" s="762">
        <v>70551.605999999985</v>
      </c>
      <c r="U57" s="856">
        <f t="shared" si="13"/>
        <v>743605.15955010243</v>
      </c>
    </row>
    <row r="58" spans="1:21" ht="16" customHeight="1" x14ac:dyDescent="0.25">
      <c r="A58" s="8">
        <f t="shared" si="14"/>
        <v>16</v>
      </c>
      <c r="B58" s="762">
        <v>75353.143513546485</v>
      </c>
      <c r="C58" s="762">
        <v>18444.154112163244</v>
      </c>
      <c r="D58" s="762">
        <v>21789.725724307424</v>
      </c>
      <c r="E58" s="762">
        <v>43835.944842476274</v>
      </c>
      <c r="F58" s="762">
        <v>41243.961600000002</v>
      </c>
      <c r="G58" s="762">
        <v>46240.720000000008</v>
      </c>
      <c r="H58" s="762">
        <v>81742.550399999993</v>
      </c>
      <c r="I58" s="762">
        <v>12164.069999999998</v>
      </c>
      <c r="J58" s="1013"/>
      <c r="K58" s="1013"/>
      <c r="L58" s="8">
        <f t="shared" si="15"/>
        <v>16</v>
      </c>
      <c r="M58" s="762">
        <v>97959.086567610429</v>
      </c>
      <c r="N58" s="762">
        <v>42421.554457975464</v>
      </c>
      <c r="O58" s="762">
        <v>100232.73833181415</v>
      </c>
      <c r="P58" s="762">
        <v>105206.26762194306</v>
      </c>
      <c r="Q58" s="762">
        <v>119607.48864000001</v>
      </c>
      <c r="R58" s="762">
        <v>69361.080000000016</v>
      </c>
      <c r="S58" s="762">
        <v>122613.82559999998</v>
      </c>
      <c r="T58" s="762">
        <v>70551.605999999985</v>
      </c>
      <c r="U58" s="856">
        <f t="shared" si="13"/>
        <v>727953.64721934311</v>
      </c>
    </row>
    <row r="59" spans="1:21" ht="16" customHeight="1" x14ac:dyDescent="0.25">
      <c r="A59" s="8">
        <f t="shared" si="14"/>
        <v>17</v>
      </c>
      <c r="B59" s="762">
        <v>73547.061794134454</v>
      </c>
      <c r="C59" s="762">
        <v>18611.118027537275</v>
      </c>
      <c r="D59" s="762">
        <v>22138.97092341592</v>
      </c>
      <c r="E59" s="762">
        <v>41694.156274090201</v>
      </c>
      <c r="F59" s="762">
        <v>41243.961600000002</v>
      </c>
      <c r="G59" s="762">
        <v>46240.720000000008</v>
      </c>
      <c r="H59" s="762">
        <v>81742.550399999993</v>
      </c>
      <c r="I59" s="762">
        <v>12164.069999999998</v>
      </c>
      <c r="J59" s="1013"/>
      <c r="K59" s="1013"/>
      <c r="L59" s="8">
        <f t="shared" si="15"/>
        <v>17</v>
      </c>
      <c r="M59" s="762">
        <v>95611.180332374788</v>
      </c>
      <c r="N59" s="762">
        <v>42805.571463335727</v>
      </c>
      <c r="O59" s="762">
        <v>101839.26624771324</v>
      </c>
      <c r="P59" s="762">
        <v>100065.97505781648</v>
      </c>
      <c r="Q59" s="762">
        <v>119607.48864000001</v>
      </c>
      <c r="R59" s="762">
        <v>69361.080000000016</v>
      </c>
      <c r="S59" s="762">
        <v>122613.82559999998</v>
      </c>
      <c r="T59" s="762">
        <v>70551.605999999985</v>
      </c>
      <c r="U59" s="856">
        <f t="shared" si="13"/>
        <v>722455.99334124033</v>
      </c>
    </row>
    <row r="60" spans="1:21" ht="16" customHeight="1" x14ac:dyDescent="0.25">
      <c r="A60" s="8">
        <f t="shared" si="14"/>
        <v>18</v>
      </c>
      <c r="B60" s="762">
        <v>70726.874987748786</v>
      </c>
      <c r="C60" s="762">
        <v>18367.692019939564</v>
      </c>
      <c r="D60" s="762">
        <v>22267.254908378207</v>
      </c>
      <c r="E60" s="762">
        <v>40096.186566177246</v>
      </c>
      <c r="F60" s="762">
        <v>41243.961600000002</v>
      </c>
      <c r="G60" s="762">
        <v>46240.720000000008</v>
      </c>
      <c r="H60" s="762">
        <v>81742.550399999993</v>
      </c>
      <c r="I60" s="762">
        <v>12164.069999999998</v>
      </c>
      <c r="J60" s="1013"/>
      <c r="K60" s="1013"/>
      <c r="L60" s="8">
        <f t="shared" si="15"/>
        <v>18</v>
      </c>
      <c r="M60" s="762">
        <v>91944.937484073409</v>
      </c>
      <c r="N60" s="762">
        <v>42245.691645860999</v>
      </c>
      <c r="O60" s="762">
        <v>102429.37257853975</v>
      </c>
      <c r="P60" s="762">
        <v>96230.847758825388</v>
      </c>
      <c r="Q60" s="762">
        <v>119607.48864000001</v>
      </c>
      <c r="R60" s="762">
        <v>69361.080000000016</v>
      </c>
      <c r="S60" s="762">
        <v>122613.82559999998</v>
      </c>
      <c r="T60" s="762">
        <v>70551.605999999985</v>
      </c>
      <c r="U60" s="856">
        <f t="shared" si="13"/>
        <v>714984.84970729961</v>
      </c>
    </row>
    <row r="61" spans="1:21" ht="16" customHeight="1" x14ac:dyDescent="0.25">
      <c r="A61" s="8">
        <f t="shared" si="14"/>
        <v>19</v>
      </c>
      <c r="B61" s="762">
        <v>65816.477502388283</v>
      </c>
      <c r="C61" s="762">
        <v>17347.761692277985</v>
      </c>
      <c r="D61" s="762">
        <v>21476.093670425329</v>
      </c>
      <c r="E61" s="762">
        <v>38506.731783268064</v>
      </c>
      <c r="F61" s="762">
        <v>41243.961600000002</v>
      </c>
      <c r="G61" s="762">
        <v>46240.720000000008</v>
      </c>
      <c r="H61" s="762">
        <v>81742.550399999993</v>
      </c>
      <c r="I61" s="762">
        <v>12164.069999999998</v>
      </c>
      <c r="J61" s="1013"/>
      <c r="K61" s="1013"/>
      <c r="L61" s="8">
        <f t="shared" si="15"/>
        <v>19</v>
      </c>
      <c r="M61" s="762">
        <v>85561.420753104772</v>
      </c>
      <c r="N61" s="762">
        <v>39899.851892239363</v>
      </c>
      <c r="O61" s="762">
        <v>98790.030883956511</v>
      </c>
      <c r="P61" s="762">
        <v>92416.156279843359</v>
      </c>
      <c r="Q61" s="762">
        <v>119607.48864000001</v>
      </c>
      <c r="R61" s="762">
        <v>69361.080000000016</v>
      </c>
      <c r="S61" s="762">
        <v>122613.82559999998</v>
      </c>
      <c r="T61" s="762">
        <v>70551.605999999985</v>
      </c>
      <c r="U61" s="856">
        <f t="shared" si="13"/>
        <v>698801.46004914411</v>
      </c>
    </row>
    <row r="62" spans="1:21" ht="16" customHeight="1" x14ac:dyDescent="0.25">
      <c r="A62" s="8">
        <f t="shared" si="14"/>
        <v>20</v>
      </c>
      <c r="B62" s="762">
        <v>72218.060459942048</v>
      </c>
      <c r="C62" s="762">
        <v>19064.45470805675</v>
      </c>
      <c r="D62" s="762">
        <v>20651.669689480379</v>
      </c>
      <c r="E62" s="762">
        <v>37196.114957726975</v>
      </c>
      <c r="F62" s="762">
        <v>41243.961600000002</v>
      </c>
      <c r="G62" s="762">
        <v>46240.720000000008</v>
      </c>
      <c r="H62" s="762">
        <v>81742.550399999993</v>
      </c>
      <c r="I62" s="762">
        <v>12164.069999999998</v>
      </c>
      <c r="J62" s="1013"/>
      <c r="K62" s="1013"/>
      <c r="L62" s="8">
        <f t="shared" si="15"/>
        <v>20</v>
      </c>
      <c r="M62" s="762">
        <v>93883.478597924666</v>
      </c>
      <c r="N62" s="762">
        <v>43848.245828530526</v>
      </c>
      <c r="O62" s="762">
        <v>94997.680571609744</v>
      </c>
      <c r="P62" s="762">
        <v>89270.675898544738</v>
      </c>
      <c r="Q62" s="762">
        <v>119607.48864000001</v>
      </c>
      <c r="R62" s="762">
        <v>69361.080000000016</v>
      </c>
      <c r="S62" s="762">
        <v>122613.82559999998</v>
      </c>
      <c r="T62" s="762">
        <v>70551.605999999985</v>
      </c>
      <c r="U62" s="856">
        <f t="shared" si="13"/>
        <v>704134.08113660966</v>
      </c>
    </row>
    <row r="63" spans="1:21" ht="16" customHeight="1" x14ac:dyDescent="0.25">
      <c r="A63" s="8">
        <f t="shared" si="14"/>
        <v>21</v>
      </c>
      <c r="B63" s="762">
        <v>78030.12692516252</v>
      </c>
      <c r="C63" s="762">
        <v>20095.73424250284</v>
      </c>
      <c r="D63" s="762">
        <v>19720.929618710932</v>
      </c>
      <c r="E63" s="762">
        <v>35647.571252357127</v>
      </c>
      <c r="F63" s="762">
        <v>41243.961600000002</v>
      </c>
      <c r="G63" s="762">
        <v>46240.720000000008</v>
      </c>
      <c r="H63" s="762">
        <v>81742.550399999993</v>
      </c>
      <c r="I63" s="762">
        <v>12164.069999999998</v>
      </c>
      <c r="J63" s="1013"/>
      <c r="K63" s="1013"/>
      <c r="L63" s="8">
        <f t="shared" si="15"/>
        <v>21</v>
      </c>
      <c r="M63" s="762">
        <v>101439.16500271128</v>
      </c>
      <c r="N63" s="762">
        <v>46220.188757756529</v>
      </c>
      <c r="O63" s="762">
        <v>90716.276246070294</v>
      </c>
      <c r="P63" s="762">
        <v>85554.171005657103</v>
      </c>
      <c r="Q63" s="762">
        <v>119607.48864000001</v>
      </c>
      <c r="R63" s="762">
        <v>69361.080000000016</v>
      </c>
      <c r="S63" s="762">
        <v>122613.82559999998</v>
      </c>
      <c r="T63" s="762">
        <v>70551.605999999985</v>
      </c>
      <c r="U63" s="856">
        <f t="shared" si="13"/>
        <v>706063.80125219526</v>
      </c>
    </row>
    <row r="64" spans="1:21" ht="16" customHeight="1" x14ac:dyDescent="0.25">
      <c r="A64" s="8">
        <f t="shared" si="14"/>
        <v>22</v>
      </c>
      <c r="B64" s="762">
        <v>85724.961939267683</v>
      </c>
      <c r="C64" s="762">
        <v>21792.478740521525</v>
      </c>
      <c r="D64" s="762">
        <v>17565.299327405704</v>
      </c>
      <c r="E64" s="762">
        <v>32277.897632575095</v>
      </c>
      <c r="F64" s="762">
        <v>41243.961600000002</v>
      </c>
      <c r="G64" s="762">
        <v>46240.720000000008</v>
      </c>
      <c r="H64" s="762">
        <v>81742.550399999993</v>
      </c>
      <c r="I64" s="762">
        <v>12164.069999999998</v>
      </c>
      <c r="J64" s="1013"/>
      <c r="K64" s="1013"/>
      <c r="L64" s="8">
        <f t="shared" si="15"/>
        <v>22</v>
      </c>
      <c r="M64" s="762">
        <v>111442.450521048</v>
      </c>
      <c r="N64" s="762">
        <v>50122.701103199506</v>
      </c>
      <c r="O64" s="762">
        <v>80800.376906066245</v>
      </c>
      <c r="P64" s="762">
        <v>77466.954318180229</v>
      </c>
      <c r="Q64" s="762">
        <v>119607.48864000001</v>
      </c>
      <c r="R64" s="762">
        <v>69361.080000000016</v>
      </c>
      <c r="S64" s="762">
        <v>122613.82559999998</v>
      </c>
      <c r="T64" s="762">
        <v>70551.605999999985</v>
      </c>
      <c r="U64" s="856">
        <f t="shared" si="13"/>
        <v>701966.48308849393</v>
      </c>
    </row>
    <row r="65" spans="1:21" ht="16" customHeight="1" x14ac:dyDescent="0.25">
      <c r="A65" s="8">
        <f t="shared" si="14"/>
        <v>23</v>
      </c>
      <c r="B65" s="762">
        <v>92528.97212176086</v>
      </c>
      <c r="C65" s="762">
        <v>23189.383684577457</v>
      </c>
      <c r="D65" s="762">
        <v>15600.814590342754</v>
      </c>
      <c r="E65" s="762">
        <v>29236.881410738653</v>
      </c>
      <c r="F65" s="762">
        <v>41243.961600000002</v>
      </c>
      <c r="G65" s="762">
        <v>46240.720000000008</v>
      </c>
      <c r="H65" s="762">
        <v>81742.550399999993</v>
      </c>
      <c r="I65" s="762">
        <v>12164.069999999998</v>
      </c>
      <c r="J65" s="1013"/>
      <c r="K65" s="1013"/>
      <c r="L65" s="8">
        <f t="shared" si="15"/>
        <v>23</v>
      </c>
      <c r="M65" s="762">
        <v>120287.66375828911</v>
      </c>
      <c r="N65" s="762">
        <v>53335.58247452815</v>
      </c>
      <c r="O65" s="762">
        <v>71763.747115576669</v>
      </c>
      <c r="P65" s="762">
        <v>70168.515385772771</v>
      </c>
      <c r="Q65" s="762">
        <v>119607.48864000001</v>
      </c>
      <c r="R65" s="762">
        <v>69361.080000000016</v>
      </c>
      <c r="S65" s="762">
        <v>122613.82559999998</v>
      </c>
      <c r="T65" s="762">
        <v>70551.605999999985</v>
      </c>
      <c r="U65" s="856">
        <f t="shared" si="13"/>
        <v>697689.5089741667</v>
      </c>
    </row>
    <row r="66" spans="1:21" ht="16" customHeight="1" x14ac:dyDescent="0.25">
      <c r="A66" s="8">
        <f t="shared" si="14"/>
        <v>24</v>
      </c>
      <c r="B66" s="762">
        <v>96374.739916226885</v>
      </c>
      <c r="C66" s="762">
        <v>24085.737535072807</v>
      </c>
      <c r="D66" s="762">
        <v>13740.243569736685</v>
      </c>
      <c r="E66" s="762">
        <v>26527.984516424109</v>
      </c>
      <c r="F66" s="762">
        <v>41243.961600000002</v>
      </c>
      <c r="G66" s="762">
        <v>46240.720000000008</v>
      </c>
      <c r="H66" s="762">
        <v>81742.550399999993</v>
      </c>
      <c r="I66" s="762">
        <v>12164.069999999998</v>
      </c>
      <c r="J66" s="1013"/>
      <c r="K66" s="1013"/>
      <c r="L66" s="8">
        <f t="shared" si="15"/>
        <v>24</v>
      </c>
      <c r="M66" s="762">
        <v>125287.16189109495</v>
      </c>
      <c r="N66" s="762">
        <v>55397.196330667459</v>
      </c>
      <c r="O66" s="762">
        <v>63205.120420788749</v>
      </c>
      <c r="P66" s="762">
        <v>63667.162839417862</v>
      </c>
      <c r="Q66" s="762">
        <v>119607.48864000001</v>
      </c>
      <c r="R66" s="762">
        <v>69361.080000000016</v>
      </c>
      <c r="S66" s="762">
        <v>122613.82559999998</v>
      </c>
      <c r="T66" s="762">
        <v>70551.605999999985</v>
      </c>
      <c r="U66" s="856">
        <f t="shared" si="13"/>
        <v>689690.64172196912</v>
      </c>
    </row>
    <row r="67" spans="1:21" ht="16" customHeight="1" x14ac:dyDescent="0.25">
      <c r="A67" s="8">
        <f t="shared" si="14"/>
        <v>25</v>
      </c>
      <c r="B67" s="762">
        <v>96892.798866264275</v>
      </c>
      <c r="C67" s="762">
        <v>24273.682628128794</v>
      </c>
      <c r="D67" s="762">
        <v>11063.741250842952</v>
      </c>
      <c r="E67" s="762">
        <v>22731.543075107715</v>
      </c>
      <c r="F67" s="762">
        <v>41243.961600000002</v>
      </c>
      <c r="G67" s="762">
        <v>46240.720000000008</v>
      </c>
      <c r="H67" s="762">
        <v>81742.550399999993</v>
      </c>
      <c r="I67" s="762">
        <v>12164.069999999998</v>
      </c>
      <c r="J67" s="1013"/>
      <c r="K67" s="1013"/>
      <c r="L67" s="8">
        <f t="shared" si="15"/>
        <v>25</v>
      </c>
      <c r="M67" s="762">
        <v>125960.63852614356</v>
      </c>
      <c r="N67" s="762">
        <v>55829.470044696223</v>
      </c>
      <c r="O67" s="762">
        <v>50893.209753877578</v>
      </c>
      <c r="P67" s="762">
        <v>54555.703380258514</v>
      </c>
      <c r="Q67" s="762">
        <v>119607.48864000001</v>
      </c>
      <c r="R67" s="762">
        <v>69361.080000000016</v>
      </c>
      <c r="S67" s="762">
        <v>122613.82559999998</v>
      </c>
      <c r="T67" s="762">
        <v>70551.605999999985</v>
      </c>
      <c r="U67" s="856">
        <f t="shared" si="13"/>
        <v>669373.02194497583</v>
      </c>
    </row>
    <row r="68" spans="1:21" ht="16" customHeight="1" x14ac:dyDescent="0.25">
      <c r="A68" s="8">
        <f t="shared" si="14"/>
        <v>26</v>
      </c>
      <c r="B68" s="762">
        <v>92247.054183268061</v>
      </c>
      <c r="C68" s="762">
        <v>23247.662455162776</v>
      </c>
      <c r="D68" s="762">
        <v>9256.405138768183</v>
      </c>
      <c r="E68" s="762">
        <v>22046.200165083712</v>
      </c>
      <c r="F68" s="762">
        <v>41243.961600000002</v>
      </c>
      <c r="G68" s="762">
        <v>46240.720000000008</v>
      </c>
      <c r="H68" s="762">
        <v>81742.550399999993</v>
      </c>
      <c r="I68" s="762">
        <v>12164.069999999998</v>
      </c>
      <c r="J68" s="1013"/>
      <c r="K68" s="1013"/>
      <c r="L68" s="8">
        <f t="shared" si="15"/>
        <v>26</v>
      </c>
      <c r="M68" s="762">
        <v>119921.17043824847</v>
      </c>
      <c r="N68" s="762">
        <v>53469.623646874381</v>
      </c>
      <c r="O68" s="762">
        <v>42579.46363833364</v>
      </c>
      <c r="P68" s="762">
        <v>52910.880396200911</v>
      </c>
      <c r="Q68" s="762">
        <v>119607.48864000001</v>
      </c>
      <c r="R68" s="762">
        <v>69361.080000000016</v>
      </c>
      <c r="S68" s="762">
        <v>122613.82559999998</v>
      </c>
      <c r="T68" s="762">
        <v>70551.605999999985</v>
      </c>
      <c r="U68" s="856">
        <f t="shared" si="13"/>
        <v>651015.13835965737</v>
      </c>
    </row>
    <row r="69" spans="1:21" ht="16" customHeight="1" x14ac:dyDescent="0.25">
      <c r="A69" s="8">
        <f t="shared" si="14"/>
        <v>27</v>
      </c>
      <c r="B69" s="762">
        <v>85829.397790289571</v>
      </c>
      <c r="C69" s="762">
        <v>22503.19944285653</v>
      </c>
      <c r="D69" s="762">
        <v>8293.7680999978056</v>
      </c>
      <c r="E69" s="762">
        <v>22513.006793369226</v>
      </c>
      <c r="F69" s="762">
        <v>41243.961600000002</v>
      </c>
      <c r="G69" s="762">
        <v>46240.720000000008</v>
      </c>
      <c r="H69" s="762">
        <v>81742.550399999993</v>
      </c>
      <c r="I69" s="762">
        <v>12164.069999999998</v>
      </c>
      <c r="J69" s="1013"/>
      <c r="K69" s="1013"/>
      <c r="L69" s="8">
        <f t="shared" si="15"/>
        <v>27</v>
      </c>
      <c r="M69" s="762">
        <v>111578.21712737644</v>
      </c>
      <c r="N69" s="762">
        <v>51757.358718570023</v>
      </c>
      <c r="O69" s="762">
        <v>38151.3332599899</v>
      </c>
      <c r="P69" s="762">
        <v>54031.216304086141</v>
      </c>
      <c r="Q69" s="762">
        <v>119607.48864000001</v>
      </c>
      <c r="R69" s="762">
        <v>69361.080000000016</v>
      </c>
      <c r="S69" s="762">
        <v>122613.82559999998</v>
      </c>
      <c r="T69" s="762">
        <v>70551.605999999985</v>
      </c>
      <c r="U69" s="856">
        <f t="shared" si="13"/>
        <v>637652.12565002253</v>
      </c>
    </row>
    <row r="70" spans="1:21" ht="16" customHeight="1" x14ac:dyDescent="0.25">
      <c r="A70" s="8">
        <f t="shared" si="14"/>
        <v>28</v>
      </c>
      <c r="B70" s="762">
        <v>75353.143513546485</v>
      </c>
      <c r="C70" s="762">
        <v>20457.657349078756</v>
      </c>
      <c r="D70" s="762">
        <v>8485.9505469051765</v>
      </c>
      <c r="E70" s="762">
        <v>24764.251085248783</v>
      </c>
      <c r="F70" s="762">
        <v>41243.961600000002</v>
      </c>
      <c r="G70" s="762">
        <v>46240.720000000008</v>
      </c>
      <c r="H70" s="762">
        <v>81742.550399999993</v>
      </c>
      <c r="I70" s="762">
        <v>12164.069999999998</v>
      </c>
      <c r="J70" s="1013"/>
      <c r="K70" s="1013"/>
      <c r="L70" s="8">
        <f t="shared" si="15"/>
        <v>28</v>
      </c>
      <c r="M70" s="762">
        <v>97959.086567610429</v>
      </c>
      <c r="N70" s="762">
        <v>47052.611902881137</v>
      </c>
      <c r="O70" s="762">
        <v>39035.372515763811</v>
      </c>
      <c r="P70" s="762">
        <v>59434.202604597078</v>
      </c>
      <c r="Q70" s="762">
        <v>119607.48864000001</v>
      </c>
      <c r="R70" s="762">
        <v>69361.080000000016</v>
      </c>
      <c r="S70" s="762">
        <v>122613.82559999998</v>
      </c>
      <c r="T70" s="762">
        <v>70551.605999999985</v>
      </c>
      <c r="U70" s="856">
        <f t="shared" si="13"/>
        <v>625615.27383085247</v>
      </c>
    </row>
    <row r="71" spans="1:21" ht="16" customHeight="1" x14ac:dyDescent="0.25">
      <c r="A71" s="8">
        <f t="shared" si="14"/>
        <v>29</v>
      </c>
      <c r="B71" s="762">
        <v>73547.061794134454</v>
      </c>
      <c r="C71" s="762">
        <v>20927.428550828394</v>
      </c>
      <c r="D71" s="762">
        <v>10180.624597200467</v>
      </c>
      <c r="E71" s="762">
        <v>30523.090821364567</v>
      </c>
      <c r="F71" s="762">
        <v>41243.961600000002</v>
      </c>
      <c r="G71" s="762">
        <v>46240.720000000008</v>
      </c>
      <c r="H71" s="762">
        <v>81742.550399999993</v>
      </c>
      <c r="I71" s="762">
        <v>12164.069999999998</v>
      </c>
      <c r="J71" s="1013"/>
      <c r="K71" s="1013"/>
      <c r="L71" s="8">
        <f t="shared" si="15"/>
        <v>29</v>
      </c>
      <c r="M71" s="762">
        <v>95611.180332374788</v>
      </c>
      <c r="N71" s="762">
        <v>48133.085666905303</v>
      </c>
      <c r="O71" s="762">
        <v>46830.873147122154</v>
      </c>
      <c r="P71" s="762">
        <v>73255.417971274961</v>
      </c>
      <c r="Q71" s="762">
        <v>119607.48864000001</v>
      </c>
      <c r="R71" s="762">
        <v>69361.080000000016</v>
      </c>
      <c r="S71" s="762">
        <v>122613.82559999998</v>
      </c>
      <c r="T71" s="762">
        <v>70551.605999999985</v>
      </c>
      <c r="U71" s="856">
        <f t="shared" si="13"/>
        <v>645964.55735767714</v>
      </c>
    </row>
    <row r="72" spans="1:21" ht="16" customHeight="1" x14ac:dyDescent="0.25">
      <c r="A72" s="8">
        <f t="shared" si="14"/>
        <v>30</v>
      </c>
      <c r="B72" s="762">
        <v>70726.874987748786</v>
      </c>
      <c r="C72" s="762">
        <v>20758.403061611014</v>
      </c>
      <c r="D72" s="762">
        <v>12573.892581970653</v>
      </c>
      <c r="E72" s="762">
        <v>36289.283732784555</v>
      </c>
      <c r="F72" s="762">
        <v>41243.961600000002</v>
      </c>
      <c r="G72" s="762">
        <v>46240.720000000008</v>
      </c>
      <c r="H72" s="762">
        <v>81742.550399999993</v>
      </c>
      <c r="I72" s="762">
        <v>12164.069999999998</v>
      </c>
      <c r="J72" s="1013"/>
      <c r="K72" s="1013"/>
      <c r="L72" s="8">
        <f t="shared" si="15"/>
        <v>30</v>
      </c>
      <c r="M72" s="762">
        <v>91944.937484073409</v>
      </c>
      <c r="N72" s="762">
        <v>47744.327041705335</v>
      </c>
      <c r="O72" s="762">
        <v>57839.905877065001</v>
      </c>
      <c r="P72" s="762">
        <v>87094.280958682939</v>
      </c>
      <c r="Q72" s="762">
        <v>119607.48864000001</v>
      </c>
      <c r="R72" s="762">
        <v>69361.080000000016</v>
      </c>
      <c r="S72" s="762">
        <v>122613.82559999998</v>
      </c>
      <c r="T72" s="762">
        <v>70551.605999999985</v>
      </c>
      <c r="U72" s="856">
        <f t="shared" si="13"/>
        <v>666757.4516015267</v>
      </c>
    </row>
    <row r="73" spans="1:21" ht="16" customHeight="1" x14ac:dyDescent="0.25">
      <c r="A73" s="8">
        <f t="shared" si="14"/>
        <v>31</v>
      </c>
      <c r="B73" s="762">
        <v>65816.477502388283</v>
      </c>
      <c r="C73" s="762">
        <v>19364.163992853304</v>
      </c>
      <c r="D73" s="762">
        <v>15761.99974143002</v>
      </c>
      <c r="E73" s="762">
        <v>41427.467828146779</v>
      </c>
      <c r="F73" s="762">
        <v>41243.961600000002</v>
      </c>
      <c r="G73" s="762">
        <v>46240.720000000008</v>
      </c>
      <c r="H73" s="762">
        <v>81742.550399999993</v>
      </c>
      <c r="I73" s="762">
        <v>12164.069999999998</v>
      </c>
      <c r="J73" s="1013"/>
      <c r="K73" s="1013"/>
      <c r="L73" s="8">
        <f t="shared" si="15"/>
        <v>31</v>
      </c>
      <c r="M73" s="762">
        <v>85561.420753104772</v>
      </c>
      <c r="N73" s="762">
        <v>44537.5771835626</v>
      </c>
      <c r="O73" s="762">
        <v>72505.198810578091</v>
      </c>
      <c r="P73" s="762">
        <v>99425.922787552263</v>
      </c>
      <c r="Q73" s="762">
        <v>119607.48864000001</v>
      </c>
      <c r="R73" s="762">
        <v>69361.080000000016</v>
      </c>
      <c r="S73" s="762">
        <v>122613.82559999998</v>
      </c>
      <c r="T73" s="762">
        <v>70551.605999999985</v>
      </c>
      <c r="U73" s="856">
        <f t="shared" si="13"/>
        <v>684164.11977479781</v>
      </c>
    </row>
    <row r="74" spans="1:21" ht="16" customHeight="1" x14ac:dyDescent="0.25">
      <c r="A74" s="8">
        <f t="shared" si="14"/>
        <v>32</v>
      </c>
      <c r="B74" s="762">
        <v>72218.060459942048</v>
      </c>
      <c r="C74" s="762">
        <v>20699.022801499061</v>
      </c>
      <c r="D74" s="762">
        <v>18387.483513047588</v>
      </c>
      <c r="E74" s="762">
        <v>44432.41650150327</v>
      </c>
      <c r="F74" s="762">
        <v>41243.961600000002</v>
      </c>
      <c r="G74" s="762">
        <v>46240.720000000008</v>
      </c>
      <c r="H74" s="762">
        <v>81742.550399999993</v>
      </c>
      <c r="I74" s="762">
        <v>12164.069999999998</v>
      </c>
      <c r="J74" s="1013"/>
      <c r="K74" s="1013"/>
      <c r="L74" s="8">
        <f t="shared" si="15"/>
        <v>32</v>
      </c>
      <c r="M74" s="762">
        <v>93883.478597924666</v>
      </c>
      <c r="N74" s="762">
        <v>47607.752443447833</v>
      </c>
      <c r="O74" s="762">
        <v>84582.424160018913</v>
      </c>
      <c r="P74" s="762">
        <v>106637.79960360785</v>
      </c>
      <c r="Q74" s="762">
        <v>119607.48864000001</v>
      </c>
      <c r="R74" s="762">
        <v>69361.080000000016</v>
      </c>
      <c r="S74" s="762">
        <v>122613.82559999998</v>
      </c>
      <c r="T74" s="762">
        <v>70551.605999999985</v>
      </c>
      <c r="U74" s="856">
        <f t="shared" si="13"/>
        <v>714845.45504499937</v>
      </c>
    </row>
    <row r="75" spans="1:21" ht="16" customHeight="1" x14ac:dyDescent="0.25">
      <c r="A75" s="8">
        <f t="shared" si="14"/>
        <v>33</v>
      </c>
      <c r="B75" s="762">
        <v>78030.12692516252</v>
      </c>
      <c r="C75" s="762">
        <v>21242.99983075272</v>
      </c>
      <c r="D75" s="762">
        <v>20480.982507633817</v>
      </c>
      <c r="E75" s="762">
        <v>45185.83076155767</v>
      </c>
      <c r="F75" s="762">
        <v>41243.961600000002</v>
      </c>
      <c r="G75" s="762">
        <v>46240.720000000008</v>
      </c>
      <c r="H75" s="762">
        <v>81742.550399999993</v>
      </c>
      <c r="I75" s="762">
        <v>12164.069999999998</v>
      </c>
      <c r="J75" s="1013"/>
      <c r="K75" s="1013"/>
      <c r="L75" s="8">
        <f t="shared" si="15"/>
        <v>33</v>
      </c>
      <c r="M75" s="762">
        <v>101439.16500271128</v>
      </c>
      <c r="N75" s="762">
        <v>48858.899610731256</v>
      </c>
      <c r="O75" s="762">
        <v>94212.519535115556</v>
      </c>
      <c r="P75" s="762">
        <v>108445.99382773841</v>
      </c>
      <c r="Q75" s="762">
        <v>119607.48864000001</v>
      </c>
      <c r="R75" s="762">
        <v>69361.080000000016</v>
      </c>
      <c r="S75" s="762">
        <v>122613.82559999998</v>
      </c>
      <c r="T75" s="762">
        <v>70551.605999999985</v>
      </c>
      <c r="U75" s="856">
        <f t="shared" si="13"/>
        <v>735090.5782162965</v>
      </c>
    </row>
    <row r="76" spans="1:21" ht="16" customHeight="1" x14ac:dyDescent="0.25">
      <c r="A76" s="8">
        <f t="shared" si="14"/>
        <v>34</v>
      </c>
      <c r="B76" s="762">
        <v>85724.961939267683</v>
      </c>
      <c r="C76" s="762">
        <v>22485.806797575584</v>
      </c>
      <c r="D76" s="762">
        <v>21789.725724307424</v>
      </c>
      <c r="E76" s="762">
        <v>43835.944842476274</v>
      </c>
      <c r="F76" s="762">
        <v>41243.961600000002</v>
      </c>
      <c r="G76" s="762">
        <v>46240.720000000008</v>
      </c>
      <c r="H76" s="762">
        <v>81742.550399999993</v>
      </c>
      <c r="I76" s="762">
        <v>12164.069999999998</v>
      </c>
      <c r="J76" s="1013"/>
      <c r="K76" s="1013"/>
      <c r="L76" s="8">
        <f t="shared" si="15"/>
        <v>34</v>
      </c>
      <c r="M76" s="762">
        <v>111442.450521048</v>
      </c>
      <c r="N76" s="762">
        <v>51717.355634423846</v>
      </c>
      <c r="O76" s="762">
        <v>100232.73833181415</v>
      </c>
      <c r="P76" s="762">
        <v>105206.26762194306</v>
      </c>
      <c r="Q76" s="762">
        <v>119607.48864000001</v>
      </c>
      <c r="R76" s="762">
        <v>69361.080000000016</v>
      </c>
      <c r="S76" s="762">
        <v>122613.82559999998</v>
      </c>
      <c r="T76" s="762">
        <v>70551.605999999985</v>
      </c>
      <c r="U76" s="856">
        <f t="shared" si="13"/>
        <v>750732.81234922912</v>
      </c>
    </row>
    <row r="77" spans="1:21" ht="16" customHeight="1" x14ac:dyDescent="0.25">
      <c r="A77" s="8">
        <f t="shared" si="14"/>
        <v>35</v>
      </c>
      <c r="B77" s="762">
        <v>92528.97212176086</v>
      </c>
      <c r="C77" s="762">
        <v>23422.815554580255</v>
      </c>
      <c r="D77" s="762">
        <v>22138.97092341592</v>
      </c>
      <c r="E77" s="762">
        <v>41694.156274090201</v>
      </c>
      <c r="F77" s="762">
        <v>41243.961600000002</v>
      </c>
      <c r="G77" s="762">
        <v>46240.720000000008</v>
      </c>
      <c r="H77" s="762">
        <v>81742.550399999993</v>
      </c>
      <c r="I77" s="762">
        <v>12164.069999999998</v>
      </c>
      <c r="J77" s="1013"/>
      <c r="K77" s="1013"/>
      <c r="L77" s="8">
        <f t="shared" si="15"/>
        <v>35</v>
      </c>
      <c r="M77" s="762">
        <v>120287.66375828911</v>
      </c>
      <c r="N77" s="762">
        <v>53872.475775534585</v>
      </c>
      <c r="O77" s="762">
        <v>101839.26624771324</v>
      </c>
      <c r="P77" s="762">
        <v>100065.97505781648</v>
      </c>
      <c r="Q77" s="762">
        <v>119607.48864000001</v>
      </c>
      <c r="R77" s="762">
        <v>69361.080000000016</v>
      </c>
      <c r="S77" s="762">
        <v>122613.82559999998</v>
      </c>
      <c r="T77" s="762">
        <v>70551.605999999985</v>
      </c>
      <c r="U77" s="856">
        <f t="shared" si="13"/>
        <v>758199.38107935339</v>
      </c>
    </row>
    <row r="78" spans="1:21" ht="16" customHeight="1" x14ac:dyDescent="0.25">
      <c r="A78" s="852" t="s">
        <v>663</v>
      </c>
      <c r="B78" s="110"/>
      <c r="C78" s="110"/>
      <c r="D78" s="110"/>
      <c r="E78" s="110"/>
      <c r="F78" s="110"/>
      <c r="G78" s="110"/>
      <c r="H78" s="110"/>
      <c r="I78" s="110"/>
      <c r="K78" s="1013">
        <f t="shared" ref="K78" si="16">SUM(B78:E78)</f>
        <v>0</v>
      </c>
      <c r="L78" s="852" t="s">
        <v>663</v>
      </c>
      <c r="M78" s="110"/>
      <c r="N78" s="110"/>
      <c r="O78" s="110"/>
      <c r="P78" s="110"/>
      <c r="Q78" s="110"/>
      <c r="R78" s="110"/>
      <c r="S78" s="110"/>
      <c r="T78" s="110"/>
      <c r="U78" s="110"/>
    </row>
    <row r="82" spans="1:27" s="564" customFormat="1" ht="40" customHeight="1" thickBot="1" x14ac:dyDescent="0.3">
      <c r="A82" s="565" t="s">
        <v>654</v>
      </c>
      <c r="B82" s="761"/>
      <c r="C82" s="761"/>
      <c r="D82" s="761"/>
      <c r="E82" s="761"/>
      <c r="F82" s="761"/>
      <c r="G82" s="761"/>
      <c r="H82" s="761"/>
      <c r="I82" s="761"/>
      <c r="J82" s="761"/>
      <c r="K82" s="761"/>
      <c r="L82" s="761"/>
      <c r="M82" s="761"/>
      <c r="N82" s="761"/>
      <c r="O82" s="761"/>
      <c r="P82" s="761"/>
      <c r="Q82" s="761"/>
    </row>
    <row r="83" spans="1:27" x14ac:dyDescent="0.25">
      <c r="J83" s="38"/>
      <c r="K83" s="38"/>
      <c r="L83" s="38"/>
      <c r="M83" s="38"/>
      <c r="N83" s="38"/>
      <c r="O83" s="38"/>
      <c r="P83" s="38"/>
      <c r="Q83" s="38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spans="1:27" ht="36" x14ac:dyDescent="0.25">
      <c r="A84" s="850" t="s">
        <v>573</v>
      </c>
      <c r="B84" s="850" t="s">
        <v>326</v>
      </c>
      <c r="C84" s="850" t="s">
        <v>376</v>
      </c>
      <c r="D84" s="851" t="s">
        <v>163</v>
      </c>
      <c r="E84" s="851" t="s">
        <v>162</v>
      </c>
      <c r="F84" s="851" t="s">
        <v>260</v>
      </c>
      <c r="G84" s="851" t="s">
        <v>261</v>
      </c>
      <c r="H84" s="851" t="s">
        <v>327</v>
      </c>
      <c r="I84" s="853" t="s">
        <v>248</v>
      </c>
      <c r="J84" s="851" t="s">
        <v>249</v>
      </c>
      <c r="K84" s="38"/>
      <c r="L84" s="857" t="s">
        <v>326</v>
      </c>
      <c r="M84" s="857"/>
      <c r="N84" s="857" t="s">
        <v>376</v>
      </c>
      <c r="O84" s="857"/>
      <c r="P84" s="857" t="s">
        <v>163</v>
      </c>
      <c r="Q84" s="857"/>
      <c r="R84" s="857" t="s">
        <v>162</v>
      </c>
      <c r="S84" s="531"/>
      <c r="T84" s="857" t="s">
        <v>260</v>
      </c>
      <c r="U84" s="531"/>
      <c r="V84" s="857" t="s">
        <v>261</v>
      </c>
      <c r="W84" s="531"/>
      <c r="X84" s="531" t="s">
        <v>327</v>
      </c>
      <c r="Y84" s="531"/>
      <c r="Z84" s="531"/>
      <c r="AA84" s="531"/>
    </row>
    <row r="85" spans="1:27" ht="16" customHeight="1" x14ac:dyDescent="0.25">
      <c r="A85" s="8">
        <v>2</v>
      </c>
      <c r="B85" s="762" cm="1">
        <f t="array" ref="B85:B118">TRANSPOSE('Planejamento Global'!D57:AK57+'Planejamento Global'!D64:AK64)/1000</f>
        <v>0</v>
      </c>
      <c r="C85" s="762" cm="1">
        <f t="array" ref="C85:C118">TRANSPOSE('Planejamento Global'!D88:AK88+'Planejamento Global'!D95:AK95)/1000</f>
        <v>0</v>
      </c>
      <c r="D85" s="762" cm="1">
        <f t="array" ref="D85:D118">TRANSPOSE('Planejamento Global'!D119:AK119+'Planejamento Global'!D126:AK126)/1000</f>
        <v>0</v>
      </c>
      <c r="E85" s="762" cm="1">
        <f t="array" ref="E85:E118">TRANSPOSE('Planejamento Global'!D150:AK150+'Planejamento Global'!D157:AK157)/1000</f>
        <v>0</v>
      </c>
      <c r="F85" s="762" cm="1">
        <f t="array" ref="F85:F118">TRANSPOSE('Planejamento Global'!D212:AK212+'Planejamento Global'!D219:AK219)/1000</f>
        <v>0</v>
      </c>
      <c r="G85" s="762" cm="1">
        <f t="array" ref="G85:G118">TRANSPOSE('Planejamento Global'!D274:AK274+'Planejamento Global'!D281:AK281)/1000</f>
        <v>0</v>
      </c>
      <c r="H85" s="762" cm="1">
        <f t="array" ref="H85:H118">TRANSPOSE('Planejamento Global'!D305:AK305+'Planejamento Global'!D312:AK312)/1000</f>
        <v>0</v>
      </c>
      <c r="I85" s="854" cm="1">
        <f t="array" ref="I85:I118">TRANSPOSE('Planejamento Global'!D243:AK243+'Planejamento Global'!D250:AK250)/1000</f>
        <v>0</v>
      </c>
      <c r="J85" s="856">
        <f>SUM(B85:I85)</f>
        <v>0</v>
      </c>
      <c r="K85" s="666"/>
      <c r="L85" s="978"/>
      <c r="M85" s="978"/>
      <c r="N85" s="978"/>
      <c r="O85" s="978"/>
      <c r="P85" s="978"/>
      <c r="Q85" s="978"/>
      <c r="R85" s="978"/>
      <c r="S85" s="978"/>
      <c r="T85" s="978"/>
      <c r="U85" s="978"/>
      <c r="V85" s="978"/>
      <c r="W85" s="978"/>
      <c r="X85" s="978"/>
      <c r="Y85" s="978"/>
      <c r="Z85" s="978"/>
      <c r="AA85" s="978"/>
    </row>
    <row r="86" spans="1:27" ht="16" customHeight="1" x14ac:dyDescent="0.25">
      <c r="A86" s="8">
        <f>A85+1</f>
        <v>3</v>
      </c>
      <c r="B86" s="762">
        <v>0</v>
      </c>
      <c r="C86" s="762">
        <v>0</v>
      </c>
      <c r="D86" s="762">
        <v>0</v>
      </c>
      <c r="E86" s="762">
        <v>0</v>
      </c>
      <c r="F86" s="762">
        <v>0</v>
      </c>
      <c r="G86" s="762">
        <v>0</v>
      </c>
      <c r="H86" s="762">
        <v>0</v>
      </c>
      <c r="I86" s="854">
        <v>0</v>
      </c>
      <c r="J86" s="856">
        <f t="shared" ref="J86:J116" si="17">SUM(B86:I86)</f>
        <v>0</v>
      </c>
      <c r="K86" s="666"/>
      <c r="L86" s="978"/>
      <c r="M86" s="978"/>
      <c r="N86" s="978"/>
      <c r="O86" s="978"/>
      <c r="P86" s="978"/>
      <c r="Q86" s="978"/>
      <c r="R86" s="978"/>
      <c r="S86" s="978"/>
      <c r="T86" s="978"/>
      <c r="U86" s="978"/>
      <c r="V86" s="978"/>
      <c r="W86" s="978"/>
      <c r="X86" s="978"/>
      <c r="Y86" s="978"/>
      <c r="Z86" s="978"/>
      <c r="AA86" s="978"/>
    </row>
    <row r="87" spans="1:27" ht="16" customHeight="1" x14ac:dyDescent="0.25">
      <c r="A87" s="8">
        <f t="shared" ref="A87:A118" si="18">A86+1</f>
        <v>4</v>
      </c>
      <c r="B87" s="762">
        <v>10865.178096090198</v>
      </c>
      <c r="C87" s="762">
        <v>5192.1179072211426</v>
      </c>
      <c r="D87" s="762">
        <v>4704.5768919393495</v>
      </c>
      <c r="E87" s="762">
        <v>5442.9722464794831</v>
      </c>
      <c r="F87" s="762">
        <v>11317.891180298939</v>
      </c>
      <c r="G87" s="762">
        <v>6386.3679778498763</v>
      </c>
      <c r="H87" s="762">
        <v>11660.370295812156</v>
      </c>
      <c r="I87" s="854">
        <v>5826.6089274584447</v>
      </c>
      <c r="J87" s="856">
        <f t="shared" si="17"/>
        <v>61396.083523149595</v>
      </c>
      <c r="K87" s="666"/>
      <c r="L87" s="978"/>
      <c r="M87" s="978"/>
      <c r="N87" s="978"/>
      <c r="O87" s="978"/>
      <c r="P87" s="978"/>
      <c r="Q87" s="978"/>
      <c r="R87" s="978"/>
      <c r="S87" s="978"/>
      <c r="T87" s="978"/>
      <c r="U87" s="978"/>
      <c r="V87" s="978"/>
      <c r="W87" s="978"/>
      <c r="X87" s="978"/>
      <c r="Y87" s="978"/>
      <c r="Z87" s="978"/>
      <c r="AA87" s="978"/>
    </row>
    <row r="88" spans="1:27" ht="16" customHeight="1" x14ac:dyDescent="0.25">
      <c r="A88" s="8">
        <f t="shared" si="18"/>
        <v>5</v>
      </c>
      <c r="B88" s="762">
        <v>15775.615797584296</v>
      </c>
      <c r="C88" s="762">
        <v>7041.8111163127242</v>
      </c>
      <c r="D88" s="762">
        <v>5846.3492378025603</v>
      </c>
      <c r="E88" s="762">
        <v>7411.3193134849962</v>
      </c>
      <c r="F88" s="762">
        <v>15690.503643467093</v>
      </c>
      <c r="G88" s="762">
        <v>9155.4032905274689</v>
      </c>
      <c r="H88" s="762">
        <v>16375.461874493525</v>
      </c>
      <c r="I88" s="854">
        <v>8035.8851897446048</v>
      </c>
      <c r="J88" s="856">
        <f t="shared" si="17"/>
        <v>85332.349463417268</v>
      </c>
      <c r="K88" s="666"/>
      <c r="L88" s="978"/>
      <c r="M88" s="978"/>
      <c r="N88" s="978"/>
      <c r="O88" s="978"/>
      <c r="P88" s="978"/>
      <c r="Q88" s="978"/>
      <c r="R88" s="978"/>
      <c r="S88" s="978"/>
      <c r="T88" s="978"/>
      <c r="U88" s="978"/>
      <c r="V88" s="978"/>
      <c r="W88" s="978"/>
      <c r="X88" s="978"/>
      <c r="Y88" s="978"/>
      <c r="Z88" s="978"/>
      <c r="AA88" s="978"/>
    </row>
    <row r="89" spans="1:27" ht="16" customHeight="1" x14ac:dyDescent="0.25">
      <c r="A89" s="8">
        <f t="shared" si="18"/>
        <v>6</v>
      </c>
      <c r="B89" s="762">
        <v>22713.641086635114</v>
      </c>
      <c r="C89" s="762">
        <v>9870.9918619126329</v>
      </c>
      <c r="D89" s="762">
        <v>8964.2944584579454</v>
      </c>
      <c r="E89" s="762">
        <v>11212.680304026622</v>
      </c>
      <c r="F89" s="762">
        <v>22343.113307809876</v>
      </c>
      <c r="G89" s="762">
        <v>13210.976959441879</v>
      </c>
      <c r="H89" s="762">
        <v>23439.543314942523</v>
      </c>
      <c r="I89" s="854">
        <v>11418.935950770334</v>
      </c>
      <c r="J89" s="856">
        <f>SUM(B89:I89)</f>
        <v>123174.17724399692</v>
      </c>
      <c r="K89" s="666"/>
      <c r="L89" s="978"/>
      <c r="M89" s="978"/>
      <c r="N89" s="978"/>
      <c r="O89" s="978"/>
      <c r="P89" s="978"/>
      <c r="Q89" s="978"/>
      <c r="R89" s="978"/>
      <c r="S89" s="978"/>
      <c r="T89" s="978"/>
      <c r="U89" s="978"/>
      <c r="V89" s="978"/>
      <c r="W89" s="978"/>
      <c r="X89" s="978"/>
      <c r="Y89" s="978"/>
      <c r="Z89" s="978"/>
      <c r="AA89" s="978"/>
    </row>
    <row r="90" spans="1:27" ht="16" customHeight="1" x14ac:dyDescent="0.25">
      <c r="A90" s="8">
        <f t="shared" si="18"/>
        <v>7</v>
      </c>
      <c r="B90" s="762">
        <v>40500.570999725955</v>
      </c>
      <c r="C90" s="762">
        <v>17798.97858061899</v>
      </c>
      <c r="D90" s="762">
        <v>17000.623884097658</v>
      </c>
      <c r="E90" s="762">
        <v>20785.010581858947</v>
      </c>
      <c r="F90" s="762">
        <v>40261.584287605248</v>
      </c>
      <c r="G90" s="762">
        <v>23684.335876757945</v>
      </c>
      <c r="H90" s="762">
        <v>42152.728444089043</v>
      </c>
      <c r="I90" s="854">
        <v>20593.3881102048</v>
      </c>
      <c r="J90" s="856">
        <f t="shared" si="17"/>
        <v>222777.22076495859</v>
      </c>
      <c r="K90" s="666"/>
      <c r="L90" s="1016"/>
      <c r="M90" s="978"/>
      <c r="N90" s="978"/>
      <c r="O90" s="978"/>
      <c r="P90" s="978"/>
      <c r="Q90" s="978"/>
      <c r="R90" s="978"/>
      <c r="S90" s="978"/>
      <c r="T90" s="978"/>
      <c r="U90" s="978"/>
      <c r="V90" s="978"/>
      <c r="W90" s="978"/>
      <c r="X90" s="978"/>
      <c r="Y90" s="978"/>
      <c r="Z90" s="978"/>
      <c r="AA90" s="978"/>
    </row>
    <row r="91" spans="1:27" ht="16" customHeight="1" x14ac:dyDescent="0.25">
      <c r="A91" s="8">
        <f t="shared" si="18"/>
        <v>8</v>
      </c>
      <c r="B91" s="762">
        <v>49892.463148380935</v>
      </c>
      <c r="C91" s="762">
        <v>21172.304112451246</v>
      </c>
      <c r="D91" s="762">
        <v>21349.506352465178</v>
      </c>
      <c r="E91" s="762">
        <v>26466.039138252021</v>
      </c>
      <c r="F91" s="762">
        <v>48785.70614338648</v>
      </c>
      <c r="G91" s="762">
        <v>29194.329237337002</v>
      </c>
      <c r="H91" s="762">
        <v>51422.470207938968</v>
      </c>
      <c r="I91" s="854">
        <v>24884.715944075622</v>
      </c>
      <c r="J91" s="856">
        <f t="shared" si="17"/>
        <v>273167.53428428742</v>
      </c>
      <c r="K91" s="666"/>
      <c r="L91" s="1016"/>
      <c r="M91" s="978"/>
      <c r="N91" s="978"/>
      <c r="O91" s="978"/>
      <c r="P91" s="978"/>
      <c r="Q91" s="978"/>
      <c r="R91" s="978"/>
      <c r="S91" s="978"/>
      <c r="T91" s="978"/>
      <c r="U91" s="978"/>
      <c r="V91" s="978"/>
      <c r="W91" s="978"/>
      <c r="X91" s="978"/>
      <c r="Y91" s="978"/>
      <c r="Z91" s="978"/>
      <c r="AA91" s="978"/>
    </row>
    <row r="92" spans="1:27" ht="16" customHeight="1" x14ac:dyDescent="0.25">
      <c r="A92" s="8">
        <f t="shared" si="18"/>
        <v>9</v>
      </c>
      <c r="B92" s="762">
        <v>60612.093714230468</v>
      </c>
      <c r="C92" s="762">
        <v>25242.451609552965</v>
      </c>
      <c r="D92" s="762">
        <v>28026.282029932394</v>
      </c>
      <c r="E92" s="762">
        <v>33988.737861304893</v>
      </c>
      <c r="F92" s="762">
        <v>59017.667574750194</v>
      </c>
      <c r="G92" s="762">
        <v>35624.760919740664</v>
      </c>
      <c r="H92" s="762">
        <v>62421.603813096983</v>
      </c>
      <c r="I92" s="854">
        <v>30061.256372858428</v>
      </c>
      <c r="J92" s="856">
        <f t="shared" si="17"/>
        <v>334994.85389546701</v>
      </c>
      <c r="K92" s="666"/>
      <c r="L92" s="1016"/>
      <c r="M92" s="978"/>
      <c r="N92" s="978"/>
      <c r="O92" s="978"/>
      <c r="P92" s="978"/>
      <c r="Q92" s="978"/>
      <c r="R92" s="978"/>
      <c r="S92" s="978"/>
      <c r="T92" s="978"/>
      <c r="U92" s="978"/>
      <c r="V92" s="978"/>
      <c r="W92" s="978"/>
      <c r="X92" s="978"/>
      <c r="Y92" s="978"/>
      <c r="Z92" s="978"/>
      <c r="AA92" s="978"/>
    </row>
    <row r="93" spans="1:27" ht="16" customHeight="1" x14ac:dyDescent="0.25">
      <c r="A93" s="8">
        <f t="shared" si="18"/>
        <v>10</v>
      </c>
      <c r="B93" s="762">
        <v>66245.674746069562</v>
      </c>
      <c r="C93" s="762">
        <v>26885.51972423758</v>
      </c>
      <c r="D93" s="762">
        <v>33377.264569978615</v>
      </c>
      <c r="E93" s="762">
        <v>39444.812611311798</v>
      </c>
      <c r="F93" s="762">
        <v>64111.310898254676</v>
      </c>
      <c r="G93" s="762">
        <v>39174.769659271886</v>
      </c>
      <c r="H93" s="762">
        <v>68140.159579964922</v>
      </c>
      <c r="I93" s="854">
        <v>32589.887807818184</v>
      </c>
      <c r="J93" s="856">
        <f t="shared" si="17"/>
        <v>369969.39959690726</v>
      </c>
      <c r="K93" s="666"/>
      <c r="L93" s="978"/>
      <c r="M93" s="978"/>
      <c r="N93" s="978"/>
      <c r="O93" s="978"/>
      <c r="P93" s="978"/>
      <c r="Q93" s="978"/>
      <c r="R93" s="978"/>
      <c r="S93" s="978"/>
      <c r="T93" s="978"/>
      <c r="U93" s="978"/>
      <c r="V93" s="978"/>
      <c r="W93" s="978"/>
      <c r="X93" s="978"/>
      <c r="Y93" s="978"/>
      <c r="Z93" s="978"/>
      <c r="AA93" s="978"/>
    </row>
    <row r="94" spans="1:27" ht="16" customHeight="1" x14ac:dyDescent="0.25">
      <c r="A94" s="8">
        <f t="shared" si="18"/>
        <v>11</v>
      </c>
      <c r="B94" s="762">
        <v>68419.56787182347</v>
      </c>
      <c r="C94" s="762">
        <v>27087.170640027791</v>
      </c>
      <c r="D94" s="762">
        <v>39009.539542823179</v>
      </c>
      <c r="E94" s="762">
        <v>44162.093747362276</v>
      </c>
      <c r="F94" s="762">
        <v>66077.513312923184</v>
      </c>
      <c r="G94" s="762">
        <v>40834.733481609932</v>
      </c>
      <c r="H94" s="762">
        <v>70549.339778832727</v>
      </c>
      <c r="I94" s="854">
        <v>33525.834273780092</v>
      </c>
      <c r="J94" s="856">
        <f t="shared" si="17"/>
        <v>389665.79264918272</v>
      </c>
      <c r="K94" s="666"/>
      <c r="L94" s="978"/>
      <c r="M94" s="978"/>
      <c r="N94" s="978"/>
      <c r="O94" s="978"/>
      <c r="P94" s="978"/>
      <c r="Q94" s="978"/>
      <c r="R94" s="978"/>
      <c r="S94" s="978"/>
      <c r="T94" s="978"/>
      <c r="U94" s="978"/>
      <c r="V94" s="978"/>
      <c r="W94" s="978"/>
      <c r="X94" s="978"/>
      <c r="Y94" s="978"/>
      <c r="Z94" s="978"/>
      <c r="AA94" s="978"/>
    </row>
    <row r="95" spans="1:27" ht="16" customHeight="1" x14ac:dyDescent="0.25">
      <c r="A95" s="8">
        <f t="shared" si="18"/>
        <v>12</v>
      </c>
      <c r="B95" s="762">
        <v>66530.50932075546</v>
      </c>
      <c r="C95" s="762">
        <v>25731.232116698695</v>
      </c>
      <c r="D95" s="762">
        <v>43418.138588223286</v>
      </c>
      <c r="E95" s="762">
        <v>46966.520448736039</v>
      </c>
      <c r="F95" s="762">
        <v>64459.022865591607</v>
      </c>
      <c r="G95" s="762">
        <v>40311.687952595807</v>
      </c>
      <c r="H95" s="762">
        <v>69153.709311307583</v>
      </c>
      <c r="I95" s="854">
        <v>32638.539116055748</v>
      </c>
      <c r="J95" s="856">
        <f t="shared" si="17"/>
        <v>389209.35971996421</v>
      </c>
      <c r="K95" s="666"/>
      <c r="L95" s="978"/>
      <c r="M95" s="978"/>
      <c r="N95" s="978"/>
      <c r="O95" s="978"/>
      <c r="P95" s="978"/>
      <c r="Q95" s="978"/>
      <c r="R95" s="978"/>
      <c r="S95" s="978"/>
      <c r="T95" s="978"/>
      <c r="U95" s="978"/>
      <c r="V95" s="978"/>
      <c r="W95" s="978"/>
      <c r="X95" s="978"/>
      <c r="Y95" s="978"/>
      <c r="Z95" s="978"/>
      <c r="AA95" s="978"/>
    </row>
    <row r="96" spans="1:27" ht="16" customHeight="1" x14ac:dyDescent="0.25">
      <c r="A96" s="8">
        <f t="shared" si="18"/>
        <v>13</v>
      </c>
      <c r="B96" s="762">
        <v>61332.469110975675</v>
      </c>
      <c r="C96" s="762">
        <v>23174.04196567076</v>
      </c>
      <c r="D96" s="762">
        <v>46912.345679027669</v>
      </c>
      <c r="E96" s="762">
        <v>47807.482182351137</v>
      </c>
      <c r="F96" s="762">
        <v>59939.551153191765</v>
      </c>
      <c r="G96" s="762">
        <v>37957.796435720891</v>
      </c>
      <c r="H96" s="762">
        <v>64634.237598907741</v>
      </c>
      <c r="I96" s="854">
        <v>30284.647599180833</v>
      </c>
      <c r="J96" s="856">
        <f t="shared" si="17"/>
        <v>372042.57172502647</v>
      </c>
      <c r="K96" s="666"/>
      <c r="L96" s="978"/>
      <c r="M96" s="978"/>
      <c r="N96" s="978"/>
      <c r="O96" s="978"/>
      <c r="P96" s="978"/>
      <c r="Q96" s="978"/>
      <c r="R96" s="978"/>
      <c r="S96" s="978"/>
      <c r="T96" s="978"/>
      <c r="U96" s="978"/>
      <c r="V96" s="978"/>
      <c r="W96" s="978"/>
      <c r="X96" s="978"/>
      <c r="Y96" s="978"/>
      <c r="Z96" s="978"/>
      <c r="AA96" s="978"/>
    </row>
    <row r="97" spans="1:27" ht="16" customHeight="1" x14ac:dyDescent="0.25">
      <c r="A97" s="8">
        <f t="shared" si="18"/>
        <v>14</v>
      </c>
      <c r="B97" s="762">
        <v>60178.115299284553</v>
      </c>
      <c r="C97" s="762">
        <v>22822.047786342457</v>
      </c>
      <c r="D97" s="762">
        <v>51550.143316925889</v>
      </c>
      <c r="E97" s="762">
        <v>49984.620459139507</v>
      </c>
      <c r="F97" s="762">
        <v>59939.551153191765</v>
      </c>
      <c r="G97" s="762">
        <v>37957.796435720891</v>
      </c>
      <c r="H97" s="762">
        <v>64634.237598907741</v>
      </c>
      <c r="I97" s="854">
        <v>30284.647599180833</v>
      </c>
      <c r="J97" s="856">
        <f t="shared" si="17"/>
        <v>377351.15964869357</v>
      </c>
      <c r="K97" s="666"/>
      <c r="L97" s="978"/>
      <c r="M97" s="978"/>
      <c r="N97" s="978"/>
      <c r="O97" s="978"/>
      <c r="P97" s="978"/>
      <c r="Q97" s="978"/>
      <c r="R97" s="978"/>
      <c r="S97" s="978"/>
      <c r="T97" s="978"/>
      <c r="U97" s="978"/>
      <c r="V97" s="978"/>
      <c r="W97" s="978"/>
      <c r="X97" s="978"/>
      <c r="Y97" s="978"/>
      <c r="Z97" s="978"/>
      <c r="AA97" s="978"/>
    </row>
    <row r="98" spans="1:27" ht="16" customHeight="1" x14ac:dyDescent="0.25">
      <c r="A98" s="8">
        <f t="shared" si="18"/>
        <v>15</v>
      </c>
      <c r="B98" s="762">
        <v>58804.752844035916</v>
      </c>
      <c r="C98" s="762">
        <v>22555.23196470461</v>
      </c>
      <c r="D98" s="762">
        <v>54947.155092094501</v>
      </c>
      <c r="E98" s="762">
        <v>51043.493147167697</v>
      </c>
      <c r="F98" s="762">
        <v>59939.551153191765</v>
      </c>
      <c r="G98" s="762">
        <v>37957.796435720891</v>
      </c>
      <c r="H98" s="762">
        <v>64634.237598907741</v>
      </c>
      <c r="I98" s="854">
        <v>30284.647599180833</v>
      </c>
      <c r="J98" s="856">
        <f t="shared" si="17"/>
        <v>380166.8658350039</v>
      </c>
      <c r="K98" s="666"/>
      <c r="L98" s="978"/>
      <c r="M98" s="978"/>
      <c r="N98" s="978"/>
      <c r="O98" s="978"/>
      <c r="P98" s="978"/>
      <c r="Q98" s="978"/>
      <c r="R98" s="978"/>
      <c r="S98" s="978"/>
      <c r="T98" s="978"/>
      <c r="U98" s="978"/>
      <c r="V98" s="978"/>
      <c r="W98" s="978"/>
      <c r="X98" s="978"/>
      <c r="Y98" s="978"/>
      <c r="Z98" s="978"/>
      <c r="AA98" s="978"/>
    </row>
    <row r="99" spans="1:27" ht="16" customHeight="1" x14ac:dyDescent="0.25">
      <c r="A99" s="8">
        <f t="shared" si="18"/>
        <v>16</v>
      </c>
      <c r="B99" s="762">
        <v>59731.808832198578</v>
      </c>
      <c r="C99" s="762">
        <v>23328.581434155854</v>
      </c>
      <c r="D99" s="762">
        <v>56997.862014109538</v>
      </c>
      <c r="E99" s="762">
        <v>51280.085079472628</v>
      </c>
      <c r="F99" s="762">
        <v>59939.551153191765</v>
      </c>
      <c r="G99" s="762">
        <v>37957.796435720891</v>
      </c>
      <c r="H99" s="762">
        <v>64634.237598907741</v>
      </c>
      <c r="I99" s="854">
        <v>30284.647599180833</v>
      </c>
      <c r="J99" s="856">
        <f t="shared" si="17"/>
        <v>384154.5701469378</v>
      </c>
      <c r="K99" s="666"/>
      <c r="L99" s="978"/>
      <c r="M99" s="978"/>
      <c r="N99" s="978"/>
      <c r="O99" s="978"/>
      <c r="P99" s="978"/>
      <c r="Q99" s="978"/>
      <c r="R99" s="978"/>
      <c r="S99" s="978"/>
      <c r="T99" s="978"/>
      <c r="U99" s="978"/>
      <c r="V99" s="978"/>
      <c r="W99" s="978"/>
      <c r="X99" s="978"/>
      <c r="Y99" s="978"/>
      <c r="Z99" s="978"/>
      <c r="AA99" s="978"/>
    </row>
    <row r="100" spans="1:27" ht="16" customHeight="1" x14ac:dyDescent="0.25">
      <c r="A100" s="8">
        <f t="shared" si="18"/>
        <v>17</v>
      </c>
      <c r="B100" s="762">
        <v>59604.735945853921</v>
      </c>
      <c r="C100" s="762">
        <v>23415.915135781863</v>
      </c>
      <c r="D100" s="762">
        <v>57602.31130006985</v>
      </c>
      <c r="E100" s="762">
        <v>51076.548650253244</v>
      </c>
      <c r="F100" s="762">
        <v>59939.551153191765</v>
      </c>
      <c r="G100" s="762">
        <v>37957.796435720891</v>
      </c>
      <c r="H100" s="762">
        <v>64634.237598907741</v>
      </c>
      <c r="I100" s="854">
        <v>30284.647599180833</v>
      </c>
      <c r="J100" s="856">
        <f t="shared" si="17"/>
        <v>384515.74381896009</v>
      </c>
      <c r="K100" s="666"/>
      <c r="L100" s="978"/>
      <c r="M100" s="978"/>
      <c r="N100" s="978"/>
      <c r="O100" s="978"/>
      <c r="P100" s="978"/>
      <c r="Q100" s="978"/>
      <c r="R100" s="978"/>
      <c r="S100" s="978"/>
      <c r="T100" s="978"/>
      <c r="U100" s="978"/>
      <c r="V100" s="978"/>
      <c r="W100" s="978"/>
      <c r="X100" s="978"/>
      <c r="Y100" s="978"/>
      <c r="Z100" s="978"/>
      <c r="AA100" s="978"/>
    </row>
    <row r="101" spans="1:27" ht="16" customHeight="1" x14ac:dyDescent="0.25">
      <c r="A101" s="8">
        <f t="shared" si="18"/>
        <v>18</v>
      </c>
      <c r="B101" s="762">
        <v>59803.879821116134</v>
      </c>
      <c r="C101" s="762">
        <v>23638.238826540433</v>
      </c>
      <c r="D101" s="762">
        <v>57797.900996896613</v>
      </c>
      <c r="E101" s="762">
        <v>50816.842901289696</v>
      </c>
      <c r="F101" s="762">
        <v>59939.551153191765</v>
      </c>
      <c r="G101" s="762">
        <v>37957.796435720891</v>
      </c>
      <c r="H101" s="762">
        <v>64634.237598907741</v>
      </c>
      <c r="I101" s="854">
        <v>30284.647599180833</v>
      </c>
      <c r="J101" s="856">
        <f t="shared" si="17"/>
        <v>384873.09533284407</v>
      </c>
      <c r="K101" s="666"/>
      <c r="L101" s="978"/>
      <c r="M101" s="978"/>
      <c r="N101" s="978"/>
      <c r="O101" s="978"/>
      <c r="P101" s="978"/>
      <c r="Q101" s="978"/>
      <c r="R101" s="978"/>
      <c r="S101" s="978"/>
      <c r="T101" s="978"/>
      <c r="U101" s="978"/>
      <c r="V101" s="978"/>
      <c r="W101" s="978"/>
      <c r="X101" s="978"/>
      <c r="Y101" s="978"/>
      <c r="Z101" s="978"/>
      <c r="AA101" s="978"/>
    </row>
    <row r="102" spans="1:27" ht="16" customHeight="1" x14ac:dyDescent="0.25">
      <c r="A102" s="8">
        <f t="shared" si="18"/>
        <v>19</v>
      </c>
      <c r="B102" s="762">
        <v>62372.585842932247</v>
      </c>
      <c r="C102" s="762">
        <v>24787.17349147538</v>
      </c>
      <c r="D102" s="762">
        <v>56793.126224696447</v>
      </c>
      <c r="E102" s="762">
        <v>50528.7542218874</v>
      </c>
      <c r="F102" s="762">
        <v>59939.551153191765</v>
      </c>
      <c r="G102" s="762">
        <v>37957.796435720891</v>
      </c>
      <c r="H102" s="762">
        <v>64634.237598907741</v>
      </c>
      <c r="I102" s="854">
        <v>30284.647599180833</v>
      </c>
      <c r="J102" s="856">
        <f t="shared" si="17"/>
        <v>387297.87256799266</v>
      </c>
      <c r="K102" s="666"/>
      <c r="L102" s="978"/>
      <c r="M102" s="978"/>
      <c r="N102" s="978"/>
      <c r="O102" s="978"/>
      <c r="P102" s="978"/>
      <c r="Q102" s="978"/>
      <c r="R102" s="978"/>
      <c r="S102" s="978"/>
      <c r="T102" s="978"/>
      <c r="U102" s="978"/>
      <c r="V102" s="978"/>
      <c r="W102" s="978"/>
      <c r="X102" s="978"/>
      <c r="Y102" s="978"/>
      <c r="Z102" s="978"/>
      <c r="AA102" s="978"/>
    </row>
    <row r="103" spans="1:27" ht="16" customHeight="1" x14ac:dyDescent="0.25">
      <c r="A103" s="8">
        <f t="shared" si="18"/>
        <v>20</v>
      </c>
      <c r="B103" s="762">
        <v>63388.047113036992</v>
      </c>
      <c r="C103" s="762">
        <v>24981.119683861758</v>
      </c>
      <c r="D103" s="762">
        <v>55746.107768896371</v>
      </c>
      <c r="E103" s="762">
        <v>50291.204922258068</v>
      </c>
      <c r="F103" s="762">
        <v>59939.551153191765</v>
      </c>
      <c r="G103" s="762">
        <v>37957.796435720891</v>
      </c>
      <c r="H103" s="762">
        <v>64634.237598907741</v>
      </c>
      <c r="I103" s="854">
        <v>30284.647599180833</v>
      </c>
      <c r="J103" s="856">
        <f t="shared" si="17"/>
        <v>387222.71227505436</v>
      </c>
      <c r="K103" s="666"/>
      <c r="L103" s="978"/>
      <c r="M103" s="978"/>
      <c r="N103" s="978"/>
      <c r="O103" s="978"/>
      <c r="P103" s="978"/>
      <c r="Q103" s="978"/>
      <c r="R103" s="978"/>
      <c r="S103" s="978"/>
      <c r="T103" s="978"/>
      <c r="U103" s="978"/>
      <c r="V103" s="978"/>
      <c r="W103" s="978"/>
      <c r="X103" s="978"/>
      <c r="Y103" s="978"/>
      <c r="Z103" s="978"/>
      <c r="AA103" s="978"/>
    </row>
    <row r="104" spans="1:27" ht="16" customHeight="1" x14ac:dyDescent="0.25">
      <c r="A104" s="8">
        <f t="shared" si="18"/>
        <v>21</v>
      </c>
      <c r="B104" s="762">
        <v>64808.180133666756</v>
      </c>
      <c r="C104" s="762">
        <v>25265.112544440799</v>
      </c>
      <c r="D104" s="762">
        <v>54564.067879019174</v>
      </c>
      <c r="E104" s="762">
        <v>50010.531375659797</v>
      </c>
      <c r="F104" s="762">
        <v>59939.551153191765</v>
      </c>
      <c r="G104" s="762">
        <v>37957.796435720891</v>
      </c>
      <c r="H104" s="762">
        <v>64634.237598907741</v>
      </c>
      <c r="I104" s="854">
        <v>30284.647599180833</v>
      </c>
      <c r="J104" s="856">
        <f t="shared" si="17"/>
        <v>387464.12471978774</v>
      </c>
      <c r="K104" s="666"/>
      <c r="L104" s="978"/>
      <c r="M104" s="978"/>
      <c r="N104" s="978"/>
      <c r="O104" s="978"/>
      <c r="P104" s="978"/>
      <c r="Q104" s="978"/>
      <c r="R104" s="978"/>
      <c r="S104" s="978"/>
      <c r="T104" s="978"/>
      <c r="U104" s="978"/>
      <c r="V104" s="978"/>
      <c r="W104" s="978"/>
      <c r="X104" s="978"/>
      <c r="Y104" s="978"/>
      <c r="Z104" s="978"/>
      <c r="AA104" s="978"/>
    </row>
    <row r="105" spans="1:27" ht="16" customHeight="1" x14ac:dyDescent="0.25">
      <c r="A105" s="8">
        <f t="shared" si="18"/>
        <v>22</v>
      </c>
      <c r="B105" s="762">
        <v>65174.514871920277</v>
      </c>
      <c r="C105" s="762">
        <v>25092.394250554164</v>
      </c>
      <c r="D105" s="762">
        <v>52343.427403114336</v>
      </c>
      <c r="E105" s="762">
        <v>49493.582741283913</v>
      </c>
      <c r="F105" s="762">
        <v>59939.551153191765</v>
      </c>
      <c r="G105" s="762">
        <v>37957.796435720891</v>
      </c>
      <c r="H105" s="762">
        <v>64634.237598907741</v>
      </c>
      <c r="I105" s="854">
        <v>30284.647599180833</v>
      </c>
      <c r="J105" s="856">
        <f t="shared" si="17"/>
        <v>384920.15205387387</v>
      </c>
      <c r="K105" s="666"/>
      <c r="L105" s="978"/>
      <c r="M105" s="978"/>
      <c r="N105" s="978"/>
      <c r="O105" s="978"/>
      <c r="P105" s="978"/>
      <c r="Q105" s="978"/>
      <c r="R105" s="978"/>
      <c r="S105" s="978"/>
      <c r="T105" s="978"/>
      <c r="U105" s="978"/>
      <c r="V105" s="978"/>
      <c r="W105" s="978"/>
      <c r="X105" s="978"/>
      <c r="Y105" s="978"/>
      <c r="Z105" s="978"/>
      <c r="AA105" s="978"/>
    </row>
    <row r="106" spans="1:27" ht="16" customHeight="1" x14ac:dyDescent="0.25">
      <c r="A106" s="8">
        <f t="shared" si="18"/>
        <v>23</v>
      </c>
      <c r="B106" s="762">
        <v>64772.76941417437</v>
      </c>
      <c r="C106" s="762">
        <v>24667.593459039315</v>
      </c>
      <c r="D106" s="762">
        <v>48838.88624737021</v>
      </c>
      <c r="E106" s="762">
        <v>47685.844166083501</v>
      </c>
      <c r="F106" s="762">
        <v>59939.551153191765</v>
      </c>
      <c r="G106" s="762">
        <v>37957.796435720891</v>
      </c>
      <c r="H106" s="762">
        <v>64634.237598907741</v>
      </c>
      <c r="I106" s="854">
        <v>30284.647599180833</v>
      </c>
      <c r="J106" s="856">
        <f t="shared" si="17"/>
        <v>378781.32607366861</v>
      </c>
      <c r="K106" s="666"/>
      <c r="L106" s="978"/>
      <c r="M106" s="978"/>
      <c r="N106" s="978"/>
      <c r="O106" s="978"/>
      <c r="P106" s="978"/>
      <c r="Q106" s="978"/>
      <c r="R106" s="978"/>
      <c r="S106" s="978"/>
      <c r="T106" s="978"/>
      <c r="U106" s="978"/>
      <c r="V106" s="978"/>
      <c r="W106" s="978"/>
      <c r="X106" s="978"/>
      <c r="Y106" s="978"/>
      <c r="Z106" s="978"/>
      <c r="AA106" s="978"/>
    </row>
    <row r="107" spans="1:27" ht="16" customHeight="1" x14ac:dyDescent="0.25">
      <c r="A107" s="8">
        <f t="shared" si="18"/>
        <v>24</v>
      </c>
      <c r="B107" s="762">
        <v>63419.127354082331</v>
      </c>
      <c r="C107" s="762">
        <v>24002.686579658068</v>
      </c>
      <c r="D107" s="762">
        <v>45995.517612555341</v>
      </c>
      <c r="E107" s="762">
        <v>46481.19347114479</v>
      </c>
      <c r="F107" s="762">
        <v>59939.551153191765</v>
      </c>
      <c r="G107" s="762">
        <v>37957.796435720891</v>
      </c>
      <c r="H107" s="762">
        <v>64634.237598907741</v>
      </c>
      <c r="I107" s="854">
        <v>30284.647599180833</v>
      </c>
      <c r="J107" s="856">
        <f t="shared" si="17"/>
        <v>372714.75780444173</v>
      </c>
      <c r="K107" s="666"/>
      <c r="L107" s="978"/>
      <c r="M107" s="978"/>
      <c r="N107" s="978"/>
      <c r="O107" s="978"/>
      <c r="P107" s="978"/>
      <c r="Q107" s="978"/>
      <c r="R107" s="978"/>
      <c r="S107" s="978"/>
      <c r="T107" s="978"/>
      <c r="U107" s="978"/>
      <c r="V107" s="978"/>
      <c r="W107" s="978"/>
      <c r="X107" s="978"/>
      <c r="Y107" s="978"/>
      <c r="Z107" s="978"/>
      <c r="AA107" s="978"/>
    </row>
    <row r="108" spans="1:27" ht="16" customHeight="1" x14ac:dyDescent="0.25">
      <c r="A108" s="8">
        <f t="shared" si="18"/>
        <v>25</v>
      </c>
      <c r="B108" s="762">
        <v>61332.469110975675</v>
      </c>
      <c r="C108" s="762">
        <v>23174.04196567076</v>
      </c>
      <c r="D108" s="762">
        <v>42610.568912293005</v>
      </c>
      <c r="E108" s="762">
        <v>45178.319509699293</v>
      </c>
      <c r="F108" s="762">
        <v>59939.551153191765</v>
      </c>
      <c r="G108" s="762">
        <v>37957.796435720891</v>
      </c>
      <c r="H108" s="762">
        <v>64634.237598907741</v>
      </c>
      <c r="I108" s="854">
        <v>30284.647599180833</v>
      </c>
      <c r="J108" s="856">
        <f t="shared" si="17"/>
        <v>365111.63228563993</v>
      </c>
      <c r="K108" s="666"/>
      <c r="L108" s="978"/>
      <c r="M108" s="978"/>
      <c r="N108" s="978"/>
      <c r="O108" s="978"/>
      <c r="P108" s="978"/>
      <c r="Q108" s="978"/>
      <c r="R108" s="978"/>
      <c r="S108" s="978"/>
      <c r="T108" s="978"/>
      <c r="U108" s="978"/>
      <c r="V108" s="978"/>
      <c r="W108" s="978"/>
      <c r="X108" s="978"/>
      <c r="Y108" s="978"/>
      <c r="Z108" s="978"/>
      <c r="AA108" s="978"/>
    </row>
    <row r="109" spans="1:27" ht="16" customHeight="1" x14ac:dyDescent="0.25">
      <c r="A109" s="8">
        <f t="shared" si="18"/>
        <v>26</v>
      </c>
      <c r="B109" s="762">
        <v>60178.115299284553</v>
      </c>
      <c r="C109" s="762">
        <v>22822.047786342457</v>
      </c>
      <c r="D109" s="762">
        <v>38795.865816578626</v>
      </c>
      <c r="E109" s="762">
        <v>43248.608373120194</v>
      </c>
      <c r="F109" s="762">
        <v>59939.551153191765</v>
      </c>
      <c r="G109" s="762">
        <v>37957.796435720891</v>
      </c>
      <c r="H109" s="762">
        <v>64634.237598907741</v>
      </c>
      <c r="I109" s="854">
        <v>30284.647599180833</v>
      </c>
      <c r="J109" s="856">
        <f t="shared" si="17"/>
        <v>357860.87006232701</v>
      </c>
      <c r="K109" s="666"/>
      <c r="L109" s="978"/>
      <c r="M109" s="978"/>
      <c r="N109" s="978"/>
      <c r="O109" s="978"/>
      <c r="P109" s="978"/>
      <c r="Q109" s="978"/>
      <c r="R109" s="978"/>
      <c r="S109" s="978"/>
      <c r="T109" s="978"/>
      <c r="U109" s="978"/>
      <c r="V109" s="978"/>
      <c r="W109" s="978"/>
      <c r="X109" s="978"/>
      <c r="Y109" s="978"/>
      <c r="Z109" s="978"/>
      <c r="AA109" s="978"/>
    </row>
    <row r="110" spans="1:27" ht="16" customHeight="1" x14ac:dyDescent="0.25">
      <c r="A110" s="8">
        <f t="shared" si="18"/>
        <v>27</v>
      </c>
      <c r="B110" s="762">
        <v>58804.752844035916</v>
      </c>
      <c r="C110" s="762">
        <v>22555.23196470461</v>
      </c>
      <c r="D110" s="762">
        <v>36973.491836283945</v>
      </c>
      <c r="E110" s="762">
        <v>42559.507387776968</v>
      </c>
      <c r="F110" s="762">
        <v>59939.551153191765</v>
      </c>
      <c r="G110" s="762">
        <v>37957.796435720891</v>
      </c>
      <c r="H110" s="762">
        <v>64634.237598907741</v>
      </c>
      <c r="I110" s="854">
        <v>30284.647599180833</v>
      </c>
      <c r="J110" s="856">
        <f t="shared" si="17"/>
        <v>353709.21681980265</v>
      </c>
      <c r="K110" s="666"/>
      <c r="L110" s="978"/>
      <c r="M110" s="978"/>
      <c r="N110" s="978"/>
      <c r="O110" s="978"/>
      <c r="P110" s="978"/>
      <c r="Q110" s="978"/>
      <c r="R110" s="978"/>
      <c r="S110" s="978"/>
      <c r="T110" s="978"/>
      <c r="U110" s="978"/>
      <c r="V110" s="978"/>
      <c r="W110" s="978"/>
      <c r="X110" s="978"/>
      <c r="Y110" s="978"/>
      <c r="Z110" s="978"/>
      <c r="AA110" s="978"/>
    </row>
    <row r="111" spans="1:27" ht="16" customHeight="1" x14ac:dyDescent="0.25">
      <c r="A111" s="8">
        <f t="shared" si="18"/>
        <v>28</v>
      </c>
      <c r="B111" s="762">
        <v>59731.808832198578</v>
      </c>
      <c r="C111" s="762">
        <v>23328.581434155854</v>
      </c>
      <c r="D111" s="762">
        <v>36579.34217835201</v>
      </c>
      <c r="E111" s="762">
        <v>42384.358431825</v>
      </c>
      <c r="F111" s="762">
        <v>59939.551153191765</v>
      </c>
      <c r="G111" s="762">
        <v>37957.796435720891</v>
      </c>
      <c r="H111" s="762">
        <v>64634.237598907741</v>
      </c>
      <c r="I111" s="854">
        <v>30284.647599180833</v>
      </c>
      <c r="J111" s="856">
        <f t="shared" si="17"/>
        <v>354840.32366353268</v>
      </c>
      <c r="K111" s="666"/>
      <c r="L111" s="978"/>
      <c r="M111" s="978"/>
      <c r="N111" s="978"/>
      <c r="O111" s="978"/>
      <c r="P111" s="978"/>
      <c r="Q111" s="978"/>
      <c r="R111" s="978"/>
      <c r="S111" s="978"/>
      <c r="T111" s="978"/>
      <c r="U111" s="978"/>
      <c r="V111" s="978"/>
      <c r="W111" s="978"/>
      <c r="X111" s="978"/>
      <c r="Y111" s="978"/>
      <c r="Z111" s="978"/>
      <c r="AA111" s="978"/>
    </row>
    <row r="112" spans="1:27" ht="16" customHeight="1" x14ac:dyDescent="0.25">
      <c r="A112" s="8">
        <f t="shared" si="18"/>
        <v>29</v>
      </c>
      <c r="B112" s="762">
        <v>59604.735945853921</v>
      </c>
      <c r="C112" s="762">
        <v>23415.915135781863</v>
      </c>
      <c r="D112" s="762">
        <v>38659.93748860179</v>
      </c>
      <c r="E112" s="762">
        <v>43645.063035451516</v>
      </c>
      <c r="F112" s="762">
        <v>59939.551153191765</v>
      </c>
      <c r="G112" s="762">
        <v>37957.796435720891</v>
      </c>
      <c r="H112" s="762">
        <v>64634.237598907741</v>
      </c>
      <c r="I112" s="854">
        <v>30284.647599180833</v>
      </c>
      <c r="J112" s="856">
        <f t="shared" si="17"/>
        <v>358141.88439269026</v>
      </c>
      <c r="K112" s="666"/>
      <c r="L112" s="978"/>
      <c r="M112" s="978"/>
      <c r="N112" s="978"/>
      <c r="O112" s="978"/>
      <c r="P112" s="978"/>
      <c r="Q112" s="978"/>
      <c r="R112" s="978"/>
      <c r="S112" s="978"/>
      <c r="T112" s="978"/>
      <c r="U112" s="978"/>
      <c r="V112" s="978"/>
      <c r="W112" s="978"/>
      <c r="X112" s="978"/>
      <c r="Y112" s="978"/>
      <c r="Z112" s="978"/>
      <c r="AA112" s="978"/>
    </row>
    <row r="113" spans="1:27" ht="16" customHeight="1" x14ac:dyDescent="0.25">
      <c r="A113" s="8">
        <f t="shared" si="18"/>
        <v>30</v>
      </c>
      <c r="B113" s="762">
        <v>59803.879821116134</v>
      </c>
      <c r="C113" s="762">
        <v>23638.238826540433</v>
      </c>
      <c r="D113" s="762">
        <v>42095.723552027863</v>
      </c>
      <c r="E113" s="762">
        <v>45555.047296796743</v>
      </c>
      <c r="F113" s="762">
        <v>59939.551153191765</v>
      </c>
      <c r="G113" s="762">
        <v>37957.796435720891</v>
      </c>
      <c r="H113" s="762">
        <v>64634.237598907741</v>
      </c>
      <c r="I113" s="854">
        <v>30284.647599180833</v>
      </c>
      <c r="J113" s="856">
        <f t="shared" si="17"/>
        <v>363909.12228348234</v>
      </c>
      <c r="K113" s="666"/>
      <c r="L113" s="978"/>
      <c r="M113" s="978"/>
      <c r="N113" s="978"/>
      <c r="O113" s="978"/>
      <c r="P113" s="978"/>
      <c r="Q113" s="978"/>
      <c r="R113" s="978"/>
      <c r="S113" s="978"/>
      <c r="T113" s="978"/>
      <c r="U113" s="978"/>
      <c r="V113" s="978"/>
      <c r="W113" s="978"/>
      <c r="X113" s="978"/>
      <c r="Y113" s="978"/>
      <c r="Z113" s="978"/>
      <c r="AA113" s="978"/>
    </row>
    <row r="114" spans="1:27" ht="16" customHeight="1" x14ac:dyDescent="0.25">
      <c r="A114" s="8">
        <f t="shared" si="18"/>
        <v>31</v>
      </c>
      <c r="B114" s="762">
        <v>62372.585842932247</v>
      </c>
      <c r="C114" s="762">
        <v>24787.17349147538</v>
      </c>
      <c r="D114" s="762">
        <v>46912.345679027661</v>
      </c>
      <c r="E114" s="762">
        <v>47807.482182351137</v>
      </c>
      <c r="F114" s="762">
        <v>59939.551153191765</v>
      </c>
      <c r="G114" s="762">
        <v>37957.796435720891</v>
      </c>
      <c r="H114" s="762">
        <v>64634.237598907741</v>
      </c>
      <c r="I114" s="854">
        <v>30284.647599180833</v>
      </c>
      <c r="J114" s="856">
        <f t="shared" si="17"/>
        <v>374695.81998278765</v>
      </c>
      <c r="K114" s="666"/>
      <c r="L114" s="978"/>
      <c r="M114" s="978"/>
      <c r="N114" s="978"/>
      <c r="O114" s="978"/>
      <c r="P114" s="978"/>
      <c r="Q114" s="978"/>
      <c r="R114" s="978"/>
      <c r="S114" s="978"/>
      <c r="T114" s="978"/>
      <c r="U114" s="978"/>
      <c r="V114" s="978"/>
      <c r="W114" s="978"/>
      <c r="X114" s="978"/>
      <c r="Y114" s="978"/>
      <c r="Z114" s="978"/>
      <c r="AA114" s="978"/>
    </row>
    <row r="115" spans="1:27" ht="16" customHeight="1" x14ac:dyDescent="0.25">
      <c r="A115" s="8">
        <f t="shared" si="18"/>
        <v>32</v>
      </c>
      <c r="B115" s="762">
        <v>63388.047113036992</v>
      </c>
      <c r="C115" s="762">
        <v>24981.119683861758</v>
      </c>
      <c r="D115" s="762">
        <v>51550.143316925889</v>
      </c>
      <c r="E115" s="762">
        <v>49984.620459139507</v>
      </c>
      <c r="F115" s="762">
        <v>59939.551153191765</v>
      </c>
      <c r="G115" s="762">
        <v>37957.796435720891</v>
      </c>
      <c r="H115" s="762">
        <v>64634.237598907741</v>
      </c>
      <c r="I115" s="854">
        <v>30284.647599180833</v>
      </c>
      <c r="J115" s="856">
        <f t="shared" si="17"/>
        <v>382720.16335996531</v>
      </c>
      <c r="K115" s="666"/>
      <c r="L115" s="978"/>
      <c r="M115" s="978"/>
      <c r="N115" s="978"/>
      <c r="O115" s="978"/>
      <c r="P115" s="978"/>
      <c r="Q115" s="978"/>
      <c r="R115" s="978"/>
      <c r="S115" s="978"/>
      <c r="T115" s="978"/>
      <c r="U115" s="978"/>
      <c r="V115" s="978"/>
      <c r="W115" s="978"/>
      <c r="X115" s="978"/>
      <c r="Y115" s="978"/>
      <c r="Z115" s="978"/>
      <c r="AA115" s="978"/>
    </row>
    <row r="116" spans="1:27" ht="16" customHeight="1" x14ac:dyDescent="0.25">
      <c r="A116" s="8">
        <f t="shared" si="18"/>
        <v>33</v>
      </c>
      <c r="B116" s="762">
        <v>64808.180133666756</v>
      </c>
      <c r="C116" s="762">
        <v>25265.112544440799</v>
      </c>
      <c r="D116" s="762">
        <v>54947.155092094501</v>
      </c>
      <c r="E116" s="762">
        <v>51043.493147167697</v>
      </c>
      <c r="F116" s="762">
        <v>59939.551153191765</v>
      </c>
      <c r="G116" s="762">
        <v>37957.796435720891</v>
      </c>
      <c r="H116" s="762">
        <v>64634.237598907741</v>
      </c>
      <c r="I116" s="854">
        <v>30284.647599180833</v>
      </c>
      <c r="J116" s="856">
        <f t="shared" si="17"/>
        <v>388880.17370437097</v>
      </c>
      <c r="K116" s="666"/>
      <c r="L116" s="978"/>
      <c r="M116" s="978"/>
      <c r="N116" s="978"/>
      <c r="O116" s="978"/>
      <c r="P116" s="978"/>
      <c r="Q116" s="978"/>
      <c r="R116" s="978"/>
      <c r="S116" s="978"/>
      <c r="T116" s="978"/>
      <c r="U116" s="978"/>
      <c r="V116" s="978"/>
      <c r="W116" s="978"/>
      <c r="X116" s="978"/>
      <c r="Y116" s="978"/>
      <c r="Z116" s="978"/>
      <c r="AA116" s="978"/>
    </row>
    <row r="117" spans="1:27" ht="16" customHeight="1" x14ac:dyDescent="0.25">
      <c r="A117" s="8">
        <f t="shared" si="18"/>
        <v>34</v>
      </c>
      <c r="B117" s="762">
        <v>65174.514871920277</v>
      </c>
      <c r="C117" s="762">
        <v>25092.394250554164</v>
      </c>
      <c r="D117" s="762">
        <v>56997.862014109538</v>
      </c>
      <c r="E117" s="762">
        <v>51280.085079472628</v>
      </c>
      <c r="F117" s="762">
        <v>59939.551153191765</v>
      </c>
      <c r="G117" s="762">
        <v>37957.796435720891</v>
      </c>
      <c r="H117" s="762">
        <v>64634.237598907741</v>
      </c>
      <c r="I117" s="854">
        <v>30284.647599180833</v>
      </c>
      <c r="J117" s="856">
        <f>SUM(B117:I117)</f>
        <v>391361.0890030578</v>
      </c>
      <c r="K117" s="666"/>
      <c r="L117" s="978"/>
      <c r="M117" s="978"/>
      <c r="N117" s="978"/>
      <c r="O117" s="978"/>
      <c r="P117" s="978"/>
      <c r="Q117" s="978"/>
      <c r="R117" s="978"/>
      <c r="S117" s="978"/>
      <c r="T117" s="978"/>
      <c r="U117" s="978"/>
      <c r="V117" s="978"/>
      <c r="W117" s="978"/>
      <c r="X117" s="978"/>
      <c r="Y117" s="978"/>
      <c r="Z117" s="978"/>
      <c r="AA117" s="978"/>
    </row>
    <row r="118" spans="1:27" ht="16" customHeight="1" x14ac:dyDescent="0.25">
      <c r="A118" s="8">
        <f t="shared" si="18"/>
        <v>35</v>
      </c>
      <c r="B118" s="762">
        <v>64772.76941417437</v>
      </c>
      <c r="C118" s="762">
        <v>24667.593459039315</v>
      </c>
      <c r="D118" s="762">
        <v>57602.31130006985</v>
      </c>
      <c r="E118" s="762">
        <v>51076.548650253244</v>
      </c>
      <c r="F118" s="762">
        <v>59939.551153191765</v>
      </c>
      <c r="G118" s="762">
        <v>37957.796435720891</v>
      </c>
      <c r="H118" s="762">
        <v>64634.237598907741</v>
      </c>
      <c r="I118" s="854">
        <v>30284.647599180833</v>
      </c>
      <c r="J118" s="856">
        <f>SUM(B118:I118)</f>
        <v>390935.45561053796</v>
      </c>
      <c r="K118" s="666"/>
      <c r="L118" s="978"/>
      <c r="M118" s="978"/>
      <c r="N118" s="978"/>
      <c r="O118" s="978"/>
      <c r="P118" s="978"/>
      <c r="Q118" s="978"/>
      <c r="R118" s="978"/>
      <c r="S118" s="978"/>
      <c r="T118" s="978"/>
      <c r="U118" s="978"/>
      <c r="V118" s="978"/>
      <c r="W118" s="978"/>
      <c r="X118" s="978"/>
      <c r="Y118" s="978"/>
      <c r="Z118" s="978"/>
      <c r="AA118" s="978"/>
    </row>
    <row r="119" spans="1:27" ht="16" customHeight="1" x14ac:dyDescent="0.25">
      <c r="A119" s="852" t="s">
        <v>663</v>
      </c>
      <c r="K119" s="666"/>
      <c r="L119" s="978"/>
      <c r="M119" s="978"/>
      <c r="N119" s="978"/>
      <c r="O119" s="978"/>
      <c r="P119" s="978"/>
      <c r="Q119" s="978"/>
      <c r="R119" s="978"/>
      <c r="S119" s="978"/>
      <c r="T119" s="978"/>
      <c r="U119" s="978"/>
      <c r="V119" s="978"/>
      <c r="W119" s="978"/>
      <c r="X119" s="978"/>
      <c r="Y119" s="978"/>
      <c r="Z119" s="978"/>
      <c r="AA119" s="978"/>
    </row>
    <row r="120" spans="1:27" ht="20.149999999999999" customHeight="1" x14ac:dyDescent="0.25">
      <c r="A120" s="524" t="s">
        <v>655</v>
      </c>
      <c r="B120" s="855"/>
      <c r="C120" s="38"/>
      <c r="D120" s="38"/>
      <c r="E120" s="38"/>
      <c r="F120" s="38"/>
      <c r="G120" s="38"/>
      <c r="H120" s="38"/>
      <c r="I120" s="38"/>
      <c r="K120" s="666"/>
      <c r="L120" s="6"/>
      <c r="M120" s="6"/>
      <c r="N120" s="6"/>
      <c r="O120" s="6"/>
      <c r="P120" s="6"/>
      <c r="Q120" s="6"/>
    </row>
    <row r="123" spans="1:27" ht="13" thickBot="1" x14ac:dyDescent="0.3"/>
    <row r="124" spans="1:27" s="564" customFormat="1" ht="40" customHeight="1" thickBot="1" x14ac:dyDescent="0.3">
      <c r="A124" s="565" t="s">
        <v>769</v>
      </c>
      <c r="B124" s="761"/>
      <c r="C124" s="761"/>
      <c r="D124" s="761"/>
      <c r="E124" s="761"/>
      <c r="F124" s="761"/>
      <c r="G124" s="761"/>
      <c r="H124" s="761"/>
      <c r="I124" s="761"/>
      <c r="J124" s="761"/>
      <c r="K124" s="761"/>
      <c r="L124" s="761"/>
      <c r="M124" s="761"/>
      <c r="N124" s="761"/>
      <c r="O124" s="761"/>
      <c r="P124" s="761"/>
      <c r="Q124" s="761"/>
    </row>
    <row r="125" spans="1:27" ht="36" x14ac:dyDescent="0.25">
      <c r="A125" s="850" t="s">
        <v>231</v>
      </c>
      <c r="B125" s="850" t="s">
        <v>326</v>
      </c>
      <c r="C125" s="850" t="s">
        <v>376</v>
      </c>
      <c r="D125" s="851" t="s">
        <v>163</v>
      </c>
      <c r="E125" s="851" t="s">
        <v>162</v>
      </c>
      <c r="F125" s="851" t="s">
        <v>260</v>
      </c>
      <c r="G125" s="851" t="s">
        <v>261</v>
      </c>
      <c r="H125" s="851" t="s">
        <v>327</v>
      </c>
      <c r="I125" s="986" t="s">
        <v>248</v>
      </c>
    </row>
    <row r="126" spans="1:27" ht="15.75" customHeight="1" x14ac:dyDescent="0.25">
      <c r="A126" s="984" t="s">
        <v>782</v>
      </c>
      <c r="B126" s="1064">
        <f t="shared" ref="B126:I126" si="19">AVERAGE(B29:B38)</f>
        <v>1552.8600000000004</v>
      </c>
      <c r="C126" s="1064">
        <f t="shared" si="19"/>
        <v>862.7</v>
      </c>
      <c r="D126" s="1064">
        <f t="shared" si="19"/>
        <v>862.7</v>
      </c>
      <c r="E126" s="1064">
        <f t="shared" si="19"/>
        <v>1380.32</v>
      </c>
      <c r="F126" s="1064">
        <f t="shared" si="19"/>
        <v>8281.92</v>
      </c>
      <c r="G126" s="1064">
        <f t="shared" si="19"/>
        <v>4313.5</v>
      </c>
      <c r="H126" s="1064">
        <f t="shared" si="19"/>
        <v>8281.92</v>
      </c>
      <c r="I126" s="1064">
        <f t="shared" si="19"/>
        <v>4313.5</v>
      </c>
      <c r="J126" s="1086"/>
    </row>
    <row r="127" spans="1:27" ht="15.75" customHeight="1" x14ac:dyDescent="0.25">
      <c r="A127" s="984" t="s">
        <v>770</v>
      </c>
      <c r="B127" s="1064">
        <f>B128/B126</f>
        <v>51.004091239230107</v>
      </c>
      <c r="C127" s="1064">
        <f>C128/C126</f>
        <v>24.934410552544151</v>
      </c>
      <c r="D127" s="1064">
        <f>D128/D126</f>
        <v>17.080074576872267</v>
      </c>
      <c r="E127" s="1064">
        <f>E128/E126</f>
        <v>25.552889823057335</v>
      </c>
      <c r="F127" s="1064">
        <f>F128/F126</f>
        <v>4.9799999999999995</v>
      </c>
      <c r="G127" s="1064">
        <f>G128/G126</f>
        <v>10.720000000000004</v>
      </c>
      <c r="H127" s="1064">
        <f>H128/H126</f>
        <v>9.8699999999999974</v>
      </c>
      <c r="I127" s="1064">
        <f>I128/I126</f>
        <v>2.819999999999999</v>
      </c>
    </row>
    <row r="128" spans="1:27" ht="15.75" customHeight="1" x14ac:dyDescent="0.25">
      <c r="A128" s="984" t="s">
        <v>771</v>
      </c>
      <c r="B128" s="1064">
        <f>AVERAGE(B68:B77)</f>
        <v>79202.213121750887</v>
      </c>
      <c r="C128" s="1064">
        <f>AVERAGE(C68:C77)</f>
        <v>21510.915983679839</v>
      </c>
      <c r="D128" s="1064">
        <f>AVERAGE(D68:D77)</f>
        <v>14734.980337467705</v>
      </c>
      <c r="E128" s="1064">
        <f>AVERAGE(E68:E77)</f>
        <v>35271.164880562501</v>
      </c>
      <c r="F128" s="1064">
        <f>AVERAGE(F68:F77)</f>
        <v>41243.961599999995</v>
      </c>
      <c r="G128" s="1064">
        <f>AVERAGE(G68:G77)</f>
        <v>46240.720000000016</v>
      </c>
      <c r="H128" s="1064">
        <f>AVERAGE(H68:H77)</f>
        <v>81742.550399999978</v>
      </c>
      <c r="I128" s="1064">
        <f>AVERAGE(I68:I77)</f>
        <v>12164.069999999996</v>
      </c>
    </row>
    <row r="129" spans="1:9" ht="15.75" customHeight="1" x14ac:dyDescent="0.25">
      <c r="A129" s="984" t="s">
        <v>853</v>
      </c>
      <c r="B129" s="1064">
        <f>AVERAGE('Planejamento Global'!AB64:AK64)/1000</f>
        <v>61863.93901182196</v>
      </c>
      <c r="C129" s="1064">
        <f>AVERAGE('Planejamento Global'!AB95:AK95)/1000</f>
        <v>24055.340857689669</v>
      </c>
      <c r="D129" s="1064">
        <f>AVERAGE('Planejamento Global'!AB126:AK126)/1000</f>
        <v>46111.417827407167</v>
      </c>
      <c r="E129" s="1064">
        <f>AVERAGE('Planejamento Global'!AB157:AK157)/1000</f>
        <v>46858.481404335456</v>
      </c>
      <c r="F129" s="1064">
        <f>AVERAGE('Planejamento Global'!AB219:AK219)/1000</f>
        <v>59939.551153191765</v>
      </c>
      <c r="G129" s="1064">
        <f>AVERAGE('Planejamento Global'!AB281:AK281)/1000</f>
        <v>37957.796435720898</v>
      </c>
      <c r="H129" s="1064">
        <f>AVERAGE('Planejamento Global'!AB312:AK312)/1000</f>
        <v>64634.237598907726</v>
      </c>
      <c r="I129" s="1064">
        <f>AVERAGE('Planejamento Global'!AB250:AK250)/1000</f>
        <v>30284.647599180826</v>
      </c>
    </row>
    <row r="130" spans="1:9" ht="15.75" customHeight="1" x14ac:dyDescent="0.25">
      <c r="A130" s="984" t="s">
        <v>781</v>
      </c>
      <c r="B130" s="1065">
        <f>AVERAGE('Resumo-Cult.Perma.'!AB25:AK25)/1000</f>
        <v>39.05935083144</v>
      </c>
      <c r="C130" s="1065">
        <f>AVERAGE('Resumo-Cult.Perma.'!AB58:AK58)/1000</f>
        <v>26.841533221439992</v>
      </c>
      <c r="D130" s="1065">
        <f>AVERAGE('Resumo-Cult.Perma.'!AB91:AK91)/1000</f>
        <v>65.013898821440023</v>
      </c>
      <c r="E130" s="1065">
        <f>AVERAGE('Resumo-Cult.Perma.'!AB124:AK124)/1000</f>
        <v>36.558164321439996</v>
      </c>
      <c r="F130" s="1065">
        <f>AVERAGE('Resumo-Cult.Temp.'!AB20:AK20)/1000</f>
        <v>7.2373979890160465</v>
      </c>
      <c r="G130" s="1065">
        <f>AVERAGE('Resumo-Cult.Temp.'!AB76:AK76)/1000</f>
        <v>8.799767343391883</v>
      </c>
      <c r="H130" s="1065">
        <f>AVERAGE('Resumo-Cult.Temp.'!AB104:AK104)/1000</f>
        <v>7.8042576599276199</v>
      </c>
      <c r="I130" s="1065">
        <f>AVERAGE('Resumo-Cult.Temp.'!AB48:AK48)/1000</f>
        <v>7.0208989449822274</v>
      </c>
    </row>
    <row r="131" spans="1:9" ht="15.75" customHeight="1" x14ac:dyDescent="0.25">
      <c r="A131" s="984" t="s">
        <v>779</v>
      </c>
      <c r="B131" s="1065">
        <f>'Rentabilidade-Cult.Perma.'!AN94/1000</f>
        <v>1.3</v>
      </c>
      <c r="C131" s="1065">
        <f>'Rentabilidade-Cult.Perma.'!AN186/1000</f>
        <v>2.2999999999999998</v>
      </c>
      <c r="D131" s="1065">
        <f>'Rentabilidade-Cult.Perma.'!AN277/1000</f>
        <v>4.5999999999999996</v>
      </c>
      <c r="E131" s="1065">
        <f>'Rentabilidade-Cult.Perma.'!AN365/1000</f>
        <v>2.4</v>
      </c>
      <c r="F131" s="1065">
        <f>'Rentabilidade-Cult.Temp.'!E68/1000</f>
        <v>2.9</v>
      </c>
      <c r="G131" s="1065">
        <f>'Rentabilidade-Cult.Temp.'!I68/1000</f>
        <v>1.5</v>
      </c>
      <c r="H131" s="1065">
        <f>'Rentabilidade-Cult.Temp.'!K68/1000</f>
        <v>1.5</v>
      </c>
      <c r="I131" s="1065">
        <f>'Rentabilidade-Cult.Temp.'!G68/1000</f>
        <v>5.8</v>
      </c>
    </row>
    <row r="132" spans="1:9" ht="15.75" customHeight="1" x14ac:dyDescent="0.25">
      <c r="A132" s="984" t="s">
        <v>780</v>
      </c>
      <c r="B132" s="1064">
        <f>AVERAGE('Planejamento Global'!AB68:AK68)/1000</f>
        <v>102962.87705827615</v>
      </c>
      <c r="C132" s="1064">
        <f>AVERAGE('Planejamento Global'!AB99:AK99)/1000</f>
        <v>49475.106762463627</v>
      </c>
      <c r="D132" s="1064">
        <f>AVERAGE('Planejamento Global'!AB130:AK130)/1000</f>
        <v>67780.909552351441</v>
      </c>
      <c r="E132" s="1064">
        <f>AVERAGE('Planejamento Global'!AB161:AK161)/1000</f>
        <v>84650.795713350017</v>
      </c>
      <c r="F132" s="1064">
        <f>AVERAGE('Planejamento Global'!AB223:AK223)/1000</f>
        <v>119607.48864000001</v>
      </c>
      <c r="G132" s="1064">
        <f>AVERAGE('Planejamento Global'!AB285:AK285)/1000</f>
        <v>69361.080000000016</v>
      </c>
      <c r="H132" s="1064">
        <f>AVERAGE('Planejamento Global'!AB316:AK316)/1000</f>
        <v>122613.82559999998</v>
      </c>
      <c r="I132" s="1064">
        <f>AVERAGE('Planejamento Global'!AB254:AK254)/1000</f>
        <v>70551.605999999985</v>
      </c>
    </row>
    <row r="133" spans="1:9" ht="15.75" customHeight="1" x14ac:dyDescent="0.25">
      <c r="A133" s="37" t="s">
        <v>854</v>
      </c>
      <c r="B133" s="1064">
        <f>B132-B129</f>
        <v>41098.93804645419</v>
      </c>
      <c r="C133" s="1064">
        <f t="shared" ref="C133:G133" si="20">C132-C129</f>
        <v>25419.765904773958</v>
      </c>
      <c r="D133" s="1064">
        <f t="shared" si="20"/>
        <v>21669.491724944273</v>
      </c>
      <c r="E133" s="1064">
        <f t="shared" si="20"/>
        <v>37792.31430901456</v>
      </c>
      <c r="F133" s="1064">
        <f>F132-F129</f>
        <v>59667.937486808245</v>
      </c>
      <c r="G133" s="1064">
        <f t="shared" si="20"/>
        <v>31403.283564279118</v>
      </c>
      <c r="H133" s="1064">
        <f>H132-H129</f>
        <v>57979.588001092256</v>
      </c>
      <c r="I133" s="1064">
        <f>I132-I129</f>
        <v>40266.95840081916</v>
      </c>
    </row>
    <row r="134" spans="1:9" x14ac:dyDescent="0.25">
      <c r="B134" s="467"/>
      <c r="C134" s="467"/>
      <c r="D134" s="467"/>
      <c r="E134" s="467"/>
      <c r="F134" s="467"/>
      <c r="G134" s="467"/>
      <c r="H134" s="467"/>
      <c r="I134" s="467"/>
    </row>
    <row r="135" spans="1:9" x14ac:dyDescent="0.25">
      <c r="B135" s="467"/>
      <c r="C135" s="467"/>
      <c r="D135" s="467"/>
      <c r="E135" s="467"/>
      <c r="F135" s="467"/>
      <c r="G135" s="467"/>
      <c r="H135" s="467"/>
      <c r="I135" s="467"/>
    </row>
    <row r="136" spans="1:9" x14ac:dyDescent="0.25">
      <c r="B136" s="467"/>
      <c r="C136" s="467"/>
      <c r="D136" s="467"/>
      <c r="E136" s="467"/>
      <c r="F136" s="467"/>
      <c r="G136" s="467"/>
      <c r="H136" s="467"/>
      <c r="I136" s="467"/>
    </row>
    <row r="137" spans="1:9" x14ac:dyDescent="0.25">
      <c r="B137" s="1186"/>
      <c r="C137" s="1186"/>
      <c r="D137" s="1186"/>
      <c r="E137" s="1186"/>
      <c r="F137" s="1186"/>
      <c r="G137" s="1186"/>
      <c r="H137" s="1186"/>
      <c r="I137" s="1186"/>
    </row>
    <row r="138" spans="1:9" x14ac:dyDescent="0.25">
      <c r="B138" s="554"/>
      <c r="C138" s="554"/>
      <c r="D138" s="554"/>
      <c r="E138" s="554"/>
      <c r="F138" s="554"/>
      <c r="G138" s="554"/>
      <c r="H138" s="554"/>
      <c r="I138" s="554"/>
    </row>
    <row r="139" spans="1:9" x14ac:dyDescent="0.25">
      <c r="B139" s="987"/>
      <c r="C139" s="987"/>
      <c r="D139" s="987"/>
      <c r="E139" s="987"/>
      <c r="F139" s="987"/>
      <c r="G139" s="987"/>
      <c r="H139" s="987"/>
      <c r="I139" s="987"/>
    </row>
    <row r="140" spans="1:9" x14ac:dyDescent="0.25">
      <c r="B140" s="1186"/>
      <c r="C140" s="1186"/>
      <c r="D140" s="1186"/>
      <c r="E140" s="1186"/>
      <c r="F140" s="1186"/>
      <c r="G140" s="1186"/>
      <c r="H140" s="1186"/>
      <c r="I140" s="1186"/>
    </row>
    <row r="141" spans="1:9" x14ac:dyDescent="0.25">
      <c r="B141" s="987"/>
    </row>
    <row r="142" spans="1:9" x14ac:dyDescent="0.25">
      <c r="B142" s="467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25D6-4658-4C39-B2D6-69D2A80077B1}">
  <sheetPr>
    <tabColor theme="1"/>
  </sheetPr>
  <dimension ref="A1"/>
  <sheetViews>
    <sheetView topLeftCell="XFD1048576" workbookViewId="0">
      <selection sqref="A1:IV65536"/>
    </sheetView>
  </sheetViews>
  <sheetFormatPr defaultColWidth="0" defaultRowHeight="12.75" customHeight="1" zeroHeight="1" x14ac:dyDescent="0.25"/>
  <cols>
    <col min="1" max="16384" width="0" style="117" hidden="1"/>
  </cols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0742-5B5D-4FF4-98C4-4E8F647E203A}">
  <sheetPr>
    <tabColor theme="6" tint="0.59999389629810485"/>
    <outlinePr summaryBelow="0" summaryRight="0"/>
  </sheetPr>
  <dimension ref="A1:AM162"/>
  <sheetViews>
    <sheetView showGridLines="0" topLeftCell="A46" zoomScale="80" zoomScaleNormal="80" workbookViewId="0">
      <selection activeCell="Y28" sqref="Q28:Y28"/>
    </sheetView>
  </sheetViews>
  <sheetFormatPr defaultColWidth="15.7265625" defaultRowHeight="12.5" outlineLevelRow="1" x14ac:dyDescent="0.25"/>
  <cols>
    <col min="1" max="1" width="9.1796875" style="6" customWidth="1"/>
    <col min="2" max="2" width="58.453125" style="6" customWidth="1"/>
    <col min="3" max="16384" width="15.7265625" style="6"/>
  </cols>
  <sheetData>
    <row r="1" spans="1:37" ht="13" thickBot="1" x14ac:dyDescent="0.3"/>
    <row r="2" spans="1:37" ht="40" customHeight="1" thickBot="1" x14ac:dyDescent="0.3">
      <c r="A2" s="538" t="s">
        <v>558</v>
      </c>
      <c r="B2" s="564"/>
      <c r="C2" s="564"/>
      <c r="D2" s="564"/>
      <c r="E2" s="564"/>
      <c r="F2" s="564"/>
      <c r="G2" s="564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39"/>
      <c r="AK2" s="539"/>
    </row>
    <row r="3" spans="1:37" ht="13" thickBot="1" x14ac:dyDescent="0.3"/>
    <row r="4" spans="1:37" ht="30" customHeight="1" thickBot="1" x14ac:dyDescent="0.3">
      <c r="A4" s="555" t="s">
        <v>326</v>
      </c>
      <c r="B4" s="621"/>
      <c r="C4" s="621"/>
      <c r="D4" s="621"/>
      <c r="E4" s="621"/>
      <c r="F4" s="621"/>
      <c r="G4" s="621"/>
      <c r="H4" s="621"/>
      <c r="I4" s="621"/>
      <c r="J4" s="621"/>
      <c r="K4" s="621"/>
      <c r="L4" s="621"/>
      <c r="M4" s="621"/>
      <c r="N4" s="621"/>
      <c r="O4" s="621"/>
      <c r="P4" s="621"/>
      <c r="Q4" s="621"/>
      <c r="R4" s="621"/>
      <c r="S4" s="621"/>
      <c r="T4" s="621"/>
      <c r="U4" s="621"/>
      <c r="V4" s="621"/>
      <c r="W4" s="621"/>
      <c r="X4" s="621"/>
      <c r="Y4" s="621"/>
      <c r="Z4" s="621"/>
      <c r="AA4" s="621"/>
      <c r="AB4" s="621"/>
      <c r="AC4" s="621"/>
      <c r="AD4" s="621"/>
      <c r="AE4" s="621"/>
      <c r="AF4" s="621"/>
      <c r="AG4" s="621"/>
      <c r="AH4" s="621"/>
      <c r="AI4" s="621"/>
      <c r="AJ4" s="621"/>
      <c r="AK4" s="621"/>
    </row>
    <row r="5" spans="1:37" ht="20.149999999999999" customHeight="1" outlineLevel="1" thickBot="1" x14ac:dyDescent="0.3">
      <c r="A5" s="547" t="s">
        <v>513</v>
      </c>
      <c r="B5" s="548"/>
      <c r="C5" s="548"/>
      <c r="D5" s="548"/>
      <c r="E5" s="548"/>
      <c r="F5" s="548"/>
      <c r="G5" s="548"/>
      <c r="H5" s="548"/>
      <c r="I5" s="548"/>
      <c r="J5" s="548"/>
      <c r="K5" s="548"/>
      <c r="L5" s="548"/>
      <c r="M5" s="548"/>
      <c r="N5" s="548"/>
      <c r="O5" s="548"/>
      <c r="P5" s="548"/>
      <c r="Q5" s="548"/>
      <c r="R5" s="548"/>
      <c r="S5" s="548"/>
      <c r="T5" s="548"/>
      <c r="U5" s="548"/>
      <c r="V5" s="548"/>
      <c r="W5" s="548"/>
      <c r="X5" s="548"/>
      <c r="Y5" s="548"/>
      <c r="Z5" s="548"/>
      <c r="AA5" s="548"/>
      <c r="AB5" s="548"/>
      <c r="AC5" s="548"/>
      <c r="AD5" s="548"/>
      <c r="AE5" s="548"/>
      <c r="AF5" s="548"/>
      <c r="AG5" s="548"/>
      <c r="AH5" s="548"/>
      <c r="AI5" s="548"/>
      <c r="AJ5" s="548"/>
      <c r="AK5" s="548"/>
    </row>
    <row r="6" spans="1:37" s="14" customFormat="1" ht="20.149999999999999" customHeight="1" outlineLevel="1" thickBot="1" x14ac:dyDescent="0.3">
      <c r="A6" s="1102" t="s">
        <v>152</v>
      </c>
      <c r="B6" s="1102" t="s">
        <v>150</v>
      </c>
      <c r="C6" s="1103" t="s">
        <v>151</v>
      </c>
      <c r="D6" s="1104"/>
      <c r="E6" s="1104"/>
      <c r="F6" s="1104"/>
      <c r="G6" s="1104"/>
      <c r="H6" s="1104"/>
      <c r="I6" s="1104"/>
      <c r="J6" s="1104"/>
      <c r="K6" s="1104"/>
      <c r="L6" s="1104"/>
      <c r="M6" s="1104"/>
      <c r="N6" s="1104"/>
      <c r="O6" s="1104"/>
      <c r="P6" s="1104"/>
      <c r="Q6" s="1104"/>
      <c r="R6" s="1104"/>
      <c r="S6" s="1104"/>
      <c r="T6" s="1104"/>
      <c r="U6" s="1104"/>
      <c r="V6" s="1104"/>
      <c r="W6" s="1104"/>
      <c r="X6" s="1104"/>
      <c r="Y6" s="1104"/>
      <c r="Z6" s="1104"/>
      <c r="AA6" s="1104"/>
      <c r="AB6" s="1104"/>
      <c r="AC6" s="1104"/>
      <c r="AD6" s="1104"/>
      <c r="AE6" s="1104"/>
      <c r="AF6" s="1104"/>
      <c r="AG6" s="1104"/>
      <c r="AH6" s="1104"/>
      <c r="AI6" s="1104"/>
      <c r="AJ6" s="1104"/>
      <c r="AK6" s="1105"/>
    </row>
    <row r="7" spans="1:37" s="14" customFormat="1" ht="20.149999999999999" customHeight="1" outlineLevel="1" thickBot="1" x14ac:dyDescent="0.3">
      <c r="A7" s="1102"/>
      <c r="B7" s="1102"/>
      <c r="C7" s="210">
        <v>1</v>
      </c>
      <c r="D7" s="275">
        <f>C7+1</f>
        <v>2</v>
      </c>
      <c r="E7" s="211">
        <f t="shared" ref="E7:AK7" si="0">D7+1</f>
        <v>3</v>
      </c>
      <c r="F7" s="211">
        <f t="shared" si="0"/>
        <v>4</v>
      </c>
      <c r="G7" s="211">
        <f t="shared" si="0"/>
        <v>5</v>
      </c>
      <c r="H7" s="211">
        <f t="shared" si="0"/>
        <v>6</v>
      </c>
      <c r="I7" s="211">
        <f t="shared" si="0"/>
        <v>7</v>
      </c>
      <c r="J7" s="211">
        <f t="shared" si="0"/>
        <v>8</v>
      </c>
      <c r="K7" s="211">
        <f t="shared" si="0"/>
        <v>9</v>
      </c>
      <c r="L7" s="211">
        <f t="shared" si="0"/>
        <v>10</v>
      </c>
      <c r="M7" s="211">
        <f t="shared" si="0"/>
        <v>11</v>
      </c>
      <c r="N7" s="211">
        <f t="shared" si="0"/>
        <v>12</v>
      </c>
      <c r="O7" s="476">
        <f t="shared" si="0"/>
        <v>13</v>
      </c>
      <c r="P7" s="211">
        <f t="shared" si="0"/>
        <v>14</v>
      </c>
      <c r="Q7" s="211">
        <f t="shared" si="0"/>
        <v>15</v>
      </c>
      <c r="R7" s="211">
        <f t="shared" si="0"/>
        <v>16</v>
      </c>
      <c r="S7" s="211">
        <f t="shared" si="0"/>
        <v>17</v>
      </c>
      <c r="T7" s="211">
        <f t="shared" si="0"/>
        <v>18</v>
      </c>
      <c r="U7" s="211">
        <f t="shared" si="0"/>
        <v>19</v>
      </c>
      <c r="V7" s="211">
        <f t="shared" si="0"/>
        <v>20</v>
      </c>
      <c r="W7" s="211">
        <f t="shared" si="0"/>
        <v>21</v>
      </c>
      <c r="X7" s="211">
        <f t="shared" si="0"/>
        <v>22</v>
      </c>
      <c r="Y7" s="211">
        <f t="shared" si="0"/>
        <v>23</v>
      </c>
      <c r="Z7" s="211">
        <f t="shared" si="0"/>
        <v>24</v>
      </c>
      <c r="AA7" s="476">
        <f t="shared" si="0"/>
        <v>25</v>
      </c>
      <c r="AB7" s="211">
        <f t="shared" si="0"/>
        <v>26</v>
      </c>
      <c r="AC7" s="211">
        <f t="shared" si="0"/>
        <v>27</v>
      </c>
      <c r="AD7" s="211">
        <f t="shared" si="0"/>
        <v>28</v>
      </c>
      <c r="AE7" s="211">
        <f t="shared" si="0"/>
        <v>29</v>
      </c>
      <c r="AF7" s="211">
        <f t="shared" si="0"/>
        <v>30</v>
      </c>
      <c r="AG7" s="211">
        <f t="shared" si="0"/>
        <v>31</v>
      </c>
      <c r="AH7" s="211">
        <f t="shared" si="0"/>
        <v>32</v>
      </c>
      <c r="AI7" s="211">
        <f t="shared" si="0"/>
        <v>33</v>
      </c>
      <c r="AJ7" s="211">
        <f t="shared" si="0"/>
        <v>34</v>
      </c>
      <c r="AK7" s="211">
        <f t="shared" si="0"/>
        <v>35</v>
      </c>
    </row>
    <row r="8" spans="1:37" s="110" customFormat="1" ht="20.149999999999999" customHeight="1" outlineLevel="1" x14ac:dyDescent="0.25">
      <c r="A8" s="71">
        <v>1</v>
      </c>
      <c r="B8" s="76" t="s">
        <v>134</v>
      </c>
      <c r="O8" s="448"/>
      <c r="AA8" s="448"/>
      <c r="AK8" s="449"/>
    </row>
    <row r="9" spans="1:37" s="110" customFormat="1" ht="20.149999999999999" customHeight="1" outlineLevel="1" x14ac:dyDescent="0.25">
      <c r="A9" s="85" t="s">
        <v>74</v>
      </c>
      <c r="B9" s="82" t="s">
        <v>129</v>
      </c>
      <c r="C9" s="450">
        <f>'Custos Diversos'!E164</f>
        <v>1293.6736491271517</v>
      </c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2"/>
      <c r="O9" s="453"/>
      <c r="P9" s="451"/>
      <c r="Q9" s="451"/>
      <c r="R9" s="451"/>
      <c r="S9" s="451"/>
      <c r="T9" s="451"/>
      <c r="U9" s="451"/>
      <c r="V9" s="451"/>
      <c r="W9" s="451"/>
      <c r="X9" s="451"/>
      <c r="Y9" s="451"/>
      <c r="Z9" s="451"/>
      <c r="AA9" s="453"/>
      <c r="AB9" s="451"/>
      <c r="AC9" s="451"/>
      <c r="AD9" s="451"/>
      <c r="AE9" s="451"/>
      <c r="AF9" s="451"/>
      <c r="AG9" s="451"/>
      <c r="AH9" s="451"/>
      <c r="AI9" s="451"/>
      <c r="AJ9" s="451"/>
      <c r="AK9" s="454"/>
    </row>
    <row r="10" spans="1:37" s="110" customFormat="1" ht="20.149999999999999" customHeight="1" outlineLevel="1" x14ac:dyDescent="0.25">
      <c r="A10" s="85" t="s">
        <v>75</v>
      </c>
      <c r="B10" s="82" t="s">
        <v>335</v>
      </c>
      <c r="C10" s="451">
        <f>'Rentabilidade-Cult.Perma.'!AN65</f>
        <v>22500</v>
      </c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2"/>
      <c r="O10" s="453"/>
      <c r="P10" s="451"/>
      <c r="Q10" s="451"/>
      <c r="R10" s="451"/>
      <c r="S10" s="451"/>
      <c r="T10" s="451"/>
      <c r="U10" s="451"/>
      <c r="V10" s="451"/>
      <c r="W10" s="451"/>
      <c r="X10" s="451"/>
      <c r="Y10" s="451"/>
      <c r="Z10" s="451"/>
      <c r="AA10" s="453">
        <f t="shared" ref="AA10:AA17" si="1">O10</f>
        <v>0</v>
      </c>
      <c r="AB10" s="451"/>
      <c r="AC10" s="451"/>
      <c r="AD10" s="451"/>
      <c r="AE10" s="451"/>
      <c r="AF10" s="451"/>
      <c r="AG10" s="451"/>
      <c r="AH10" s="451"/>
      <c r="AI10" s="451"/>
      <c r="AJ10" s="451"/>
      <c r="AK10" s="454"/>
    </row>
    <row r="11" spans="1:37" s="110" customFormat="1" ht="20.149999999999999" customHeight="1" outlineLevel="1" x14ac:dyDescent="0.25">
      <c r="A11" s="85" t="s">
        <v>76</v>
      </c>
      <c r="B11" s="82" t="s">
        <v>336</v>
      </c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2"/>
      <c r="O11" s="453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  <c r="AA11" s="453"/>
      <c r="AB11" s="451"/>
      <c r="AC11" s="451"/>
      <c r="AD11" s="451"/>
      <c r="AE11" s="451"/>
      <c r="AF11" s="451"/>
      <c r="AG11" s="451"/>
      <c r="AH11" s="451"/>
      <c r="AI11" s="451"/>
      <c r="AJ11" s="451"/>
      <c r="AK11" s="454"/>
    </row>
    <row r="12" spans="1:37" s="110" customFormat="1" ht="20.149999999999999" customHeight="1" outlineLevel="1" x14ac:dyDescent="0.25">
      <c r="A12" s="85" t="s">
        <v>126</v>
      </c>
      <c r="B12" s="82" t="s">
        <v>130</v>
      </c>
      <c r="C12" s="451">
        <f>'Rentabilidade-Cult.Perma.'!AN70-'Rentabilidade-Cult.Perma.'!AN65</f>
        <v>23438.400000000001</v>
      </c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2"/>
      <c r="O12" s="453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  <c r="AA12" s="453">
        <f t="shared" si="1"/>
        <v>0</v>
      </c>
      <c r="AB12" s="451"/>
      <c r="AC12" s="451"/>
      <c r="AD12" s="451"/>
      <c r="AE12" s="451"/>
      <c r="AF12" s="451"/>
      <c r="AG12" s="451"/>
      <c r="AH12" s="451"/>
      <c r="AI12" s="451"/>
      <c r="AJ12" s="451"/>
      <c r="AK12" s="454"/>
    </row>
    <row r="13" spans="1:37" s="110" customFormat="1" ht="20.149999999999999" customHeight="1" outlineLevel="1" x14ac:dyDescent="0.25">
      <c r="A13" s="736"/>
      <c r="B13" s="415" t="s">
        <v>131</v>
      </c>
      <c r="C13" s="455"/>
      <c r="D13" s="456"/>
      <c r="E13" s="451"/>
      <c r="F13" s="451"/>
      <c r="G13" s="451"/>
      <c r="H13" s="451"/>
      <c r="I13" s="451"/>
      <c r="J13" s="451"/>
      <c r="K13" s="451"/>
      <c r="L13" s="451"/>
      <c r="M13" s="451"/>
      <c r="N13" s="452"/>
      <c r="O13" s="453">
        <f>C13</f>
        <v>0</v>
      </c>
      <c r="P13" s="451"/>
      <c r="Q13" s="451"/>
      <c r="R13" s="451"/>
      <c r="S13" s="451"/>
      <c r="T13" s="451"/>
      <c r="U13" s="451"/>
      <c r="V13" s="451"/>
      <c r="W13" s="451"/>
      <c r="X13" s="451"/>
      <c r="Y13" s="451"/>
      <c r="Z13" s="451"/>
      <c r="AA13" s="453">
        <f t="shared" si="1"/>
        <v>0</v>
      </c>
      <c r="AB13" s="451"/>
      <c r="AC13" s="451"/>
      <c r="AD13" s="451"/>
      <c r="AE13" s="451"/>
      <c r="AF13" s="451"/>
      <c r="AG13" s="451"/>
      <c r="AH13" s="451"/>
      <c r="AI13" s="451"/>
      <c r="AJ13" s="451"/>
      <c r="AK13" s="454"/>
    </row>
    <row r="14" spans="1:37" s="110" customFormat="1" ht="20.149999999999999" customHeight="1" outlineLevel="1" x14ac:dyDescent="0.25">
      <c r="A14" s="85" t="s">
        <v>135</v>
      </c>
      <c r="B14" s="82" t="s">
        <v>142</v>
      </c>
      <c r="C14" s="451">
        <f>'Rentabilidade-Cult.Perma.'!AN23</f>
        <v>28262.630399999998</v>
      </c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2"/>
      <c r="O14" s="453"/>
      <c r="P14" s="451"/>
      <c r="Q14" s="451"/>
      <c r="R14" s="451"/>
      <c r="S14" s="451"/>
      <c r="T14" s="451"/>
      <c r="U14" s="451"/>
      <c r="V14" s="451"/>
      <c r="W14" s="451"/>
      <c r="X14" s="451"/>
      <c r="Y14" s="451"/>
      <c r="Z14" s="451"/>
      <c r="AA14" s="453">
        <f t="shared" si="1"/>
        <v>0</v>
      </c>
      <c r="AB14" s="451"/>
      <c r="AC14" s="451"/>
      <c r="AD14" s="451"/>
      <c r="AE14" s="451"/>
      <c r="AF14" s="451"/>
      <c r="AG14" s="451"/>
      <c r="AH14" s="451"/>
      <c r="AI14" s="451"/>
      <c r="AJ14" s="451"/>
      <c r="AK14" s="454"/>
    </row>
    <row r="15" spans="1:37" s="110" customFormat="1" ht="20.149999999999999" customHeight="1" outlineLevel="1" x14ac:dyDescent="0.25">
      <c r="A15" s="85" t="s">
        <v>157</v>
      </c>
      <c r="B15" s="34" t="s">
        <v>146</v>
      </c>
      <c r="C15" s="451">
        <f>'Rentabilidade-Cult.Perma.'!AN44</f>
        <v>8787</v>
      </c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2"/>
      <c r="O15" s="453"/>
      <c r="P15" s="451"/>
      <c r="Q15" s="451"/>
      <c r="R15" s="451"/>
      <c r="S15" s="451"/>
      <c r="T15" s="451"/>
      <c r="U15" s="451"/>
      <c r="V15" s="451"/>
      <c r="W15" s="451"/>
      <c r="X15" s="451"/>
      <c r="Y15" s="451"/>
      <c r="Z15" s="451"/>
      <c r="AA15" s="453">
        <f t="shared" si="1"/>
        <v>0</v>
      </c>
      <c r="AB15" s="451"/>
      <c r="AC15" s="451"/>
      <c r="AD15" s="451"/>
      <c r="AE15" s="451"/>
      <c r="AF15" s="451"/>
      <c r="AG15" s="451"/>
      <c r="AH15" s="451"/>
      <c r="AI15" s="451"/>
      <c r="AJ15" s="451"/>
      <c r="AK15" s="454"/>
    </row>
    <row r="16" spans="1:37" s="110" customFormat="1" ht="20.149999999999999" customHeight="1" outlineLevel="1" x14ac:dyDescent="0.25">
      <c r="A16" s="85" t="s">
        <v>158</v>
      </c>
      <c r="B16" s="82" t="s">
        <v>143</v>
      </c>
      <c r="C16" s="451">
        <f>'Rentabilidade-Cult.Perma.'!AN60</f>
        <v>7635</v>
      </c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2"/>
      <c r="O16" s="453"/>
      <c r="P16" s="451"/>
      <c r="Q16" s="451"/>
      <c r="R16" s="451"/>
      <c r="S16" s="451"/>
      <c r="T16" s="451"/>
      <c r="U16" s="451"/>
      <c r="V16" s="451"/>
      <c r="W16" s="451"/>
      <c r="X16" s="451"/>
      <c r="Y16" s="451"/>
      <c r="Z16" s="451"/>
      <c r="AA16" s="453">
        <f t="shared" si="1"/>
        <v>0</v>
      </c>
      <c r="AB16" s="451"/>
      <c r="AC16" s="451"/>
      <c r="AD16" s="451"/>
      <c r="AE16" s="451"/>
      <c r="AF16" s="451"/>
      <c r="AG16" s="451"/>
      <c r="AH16" s="451"/>
      <c r="AI16" s="451"/>
      <c r="AJ16" s="451"/>
      <c r="AK16" s="454"/>
    </row>
    <row r="17" spans="1:37" s="110" customFormat="1" ht="20.149999999999999" customHeight="1" outlineLevel="1" x14ac:dyDescent="0.25">
      <c r="A17" s="85" t="s">
        <v>159</v>
      </c>
      <c r="B17" s="34" t="s">
        <v>141</v>
      </c>
      <c r="C17" s="451">
        <f>SUM('Rentabilidade-Cult.Perma.'!AN75:AN82)</f>
        <v>3996.2008214399998</v>
      </c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2"/>
      <c r="O17" s="453"/>
      <c r="P17" s="451"/>
      <c r="Q17" s="451"/>
      <c r="R17" s="451"/>
      <c r="S17" s="451"/>
      <c r="T17" s="451"/>
      <c r="U17" s="451"/>
      <c r="V17" s="451"/>
      <c r="W17" s="451"/>
      <c r="X17" s="451"/>
      <c r="Y17" s="451"/>
      <c r="Z17" s="451"/>
      <c r="AA17" s="453">
        <f t="shared" si="1"/>
        <v>0</v>
      </c>
      <c r="AB17" s="451"/>
      <c r="AC17" s="451"/>
      <c r="AD17" s="451"/>
      <c r="AE17" s="451"/>
      <c r="AF17" s="451"/>
      <c r="AG17" s="451"/>
      <c r="AH17" s="451"/>
      <c r="AI17" s="451"/>
      <c r="AJ17" s="451"/>
      <c r="AK17" s="454"/>
    </row>
    <row r="18" spans="1:37" s="110" customFormat="1" ht="20.149999999999999" customHeight="1" outlineLevel="1" thickBot="1" x14ac:dyDescent="0.3">
      <c r="A18" s="457"/>
      <c r="B18" s="87" t="s">
        <v>148</v>
      </c>
      <c r="C18" s="424">
        <f t="shared" ref="C18:AK18" si="2">SUM(C9:C17)</f>
        <v>95912.904870567145</v>
      </c>
      <c r="D18" s="424">
        <f t="shared" si="2"/>
        <v>0</v>
      </c>
      <c r="E18" s="424">
        <f t="shared" si="2"/>
        <v>0</v>
      </c>
      <c r="F18" s="424">
        <f t="shared" si="2"/>
        <v>0</v>
      </c>
      <c r="G18" s="424">
        <f t="shared" si="2"/>
        <v>0</v>
      </c>
      <c r="H18" s="424">
        <f t="shared" si="2"/>
        <v>0</v>
      </c>
      <c r="I18" s="424">
        <f t="shared" si="2"/>
        <v>0</v>
      </c>
      <c r="J18" s="424">
        <f t="shared" si="2"/>
        <v>0</v>
      </c>
      <c r="K18" s="424">
        <f t="shared" si="2"/>
        <v>0</v>
      </c>
      <c r="L18" s="424">
        <f t="shared" si="2"/>
        <v>0</v>
      </c>
      <c r="M18" s="424">
        <f t="shared" si="2"/>
        <v>0</v>
      </c>
      <c r="N18" s="424">
        <f t="shared" si="2"/>
        <v>0</v>
      </c>
      <c r="O18" s="424">
        <f t="shared" si="2"/>
        <v>0</v>
      </c>
      <c r="P18" s="424">
        <f t="shared" si="2"/>
        <v>0</v>
      </c>
      <c r="Q18" s="424">
        <f t="shared" si="2"/>
        <v>0</v>
      </c>
      <c r="R18" s="424">
        <f t="shared" si="2"/>
        <v>0</v>
      </c>
      <c r="S18" s="424">
        <f t="shared" si="2"/>
        <v>0</v>
      </c>
      <c r="T18" s="424">
        <f t="shared" si="2"/>
        <v>0</v>
      </c>
      <c r="U18" s="424">
        <f t="shared" si="2"/>
        <v>0</v>
      </c>
      <c r="V18" s="424">
        <f t="shared" si="2"/>
        <v>0</v>
      </c>
      <c r="W18" s="424">
        <f t="shared" si="2"/>
        <v>0</v>
      </c>
      <c r="X18" s="424">
        <f t="shared" si="2"/>
        <v>0</v>
      </c>
      <c r="Y18" s="424">
        <f t="shared" si="2"/>
        <v>0</v>
      </c>
      <c r="Z18" s="424">
        <f t="shared" si="2"/>
        <v>0</v>
      </c>
      <c r="AA18" s="424">
        <f t="shared" si="2"/>
        <v>0</v>
      </c>
      <c r="AB18" s="424">
        <f t="shared" si="2"/>
        <v>0</v>
      </c>
      <c r="AC18" s="424">
        <f t="shared" si="2"/>
        <v>0</v>
      </c>
      <c r="AD18" s="424">
        <f t="shared" si="2"/>
        <v>0</v>
      </c>
      <c r="AE18" s="424">
        <f t="shared" si="2"/>
        <v>0</v>
      </c>
      <c r="AF18" s="424">
        <f t="shared" si="2"/>
        <v>0</v>
      </c>
      <c r="AG18" s="424">
        <f t="shared" si="2"/>
        <v>0</v>
      </c>
      <c r="AH18" s="424">
        <f t="shared" si="2"/>
        <v>0</v>
      </c>
      <c r="AI18" s="424">
        <f t="shared" si="2"/>
        <v>0</v>
      </c>
      <c r="AJ18" s="424">
        <f t="shared" si="2"/>
        <v>0</v>
      </c>
      <c r="AK18" s="427">
        <f t="shared" si="2"/>
        <v>0</v>
      </c>
    </row>
    <row r="19" spans="1:37" s="110" customFormat="1" ht="20.149999999999999" customHeight="1" outlineLevel="1" thickBot="1" x14ac:dyDescent="0.3">
      <c r="A19" s="38"/>
      <c r="C19" s="458"/>
      <c r="D19" s="458"/>
      <c r="E19" s="458"/>
      <c r="F19" s="458"/>
      <c r="G19" s="458"/>
      <c r="H19" s="458"/>
      <c r="I19" s="458"/>
      <c r="J19" s="458"/>
      <c r="K19" s="458"/>
      <c r="L19" s="458"/>
      <c r="M19" s="458"/>
      <c r="N19" s="458"/>
      <c r="O19" s="459"/>
      <c r="P19" s="458"/>
      <c r="Q19" s="458"/>
      <c r="R19" s="458"/>
      <c r="S19" s="458"/>
      <c r="T19" s="458"/>
      <c r="U19" s="458"/>
      <c r="V19" s="458"/>
      <c r="W19" s="458"/>
      <c r="X19" s="458"/>
      <c r="Y19" s="458"/>
      <c r="Z19" s="458"/>
      <c r="AA19" s="459"/>
      <c r="AB19" s="458"/>
      <c r="AC19" s="458"/>
      <c r="AD19" s="458"/>
      <c r="AE19" s="458"/>
      <c r="AF19" s="458"/>
      <c r="AG19" s="458"/>
      <c r="AH19" s="458"/>
      <c r="AI19" s="458"/>
      <c r="AJ19" s="458"/>
      <c r="AK19" s="458"/>
    </row>
    <row r="20" spans="1:37" s="110" customFormat="1" ht="20.149999999999999" customHeight="1" outlineLevel="1" x14ac:dyDescent="0.25">
      <c r="A20" s="71">
        <v>2</v>
      </c>
      <c r="B20" s="76" t="s">
        <v>136</v>
      </c>
      <c r="C20" s="460"/>
      <c r="D20" s="460"/>
      <c r="E20" s="460"/>
      <c r="F20" s="460"/>
      <c r="G20" s="460"/>
      <c r="H20" s="460"/>
      <c r="I20" s="460"/>
      <c r="J20" s="460"/>
      <c r="K20" s="460"/>
      <c r="L20" s="460"/>
      <c r="M20" s="460"/>
      <c r="N20" s="460"/>
      <c r="O20" s="461"/>
      <c r="P20" s="460"/>
      <c r="Q20" s="460"/>
      <c r="R20" s="460"/>
      <c r="S20" s="460"/>
      <c r="T20" s="460"/>
      <c r="U20" s="460"/>
      <c r="V20" s="460"/>
      <c r="W20" s="460"/>
      <c r="X20" s="460"/>
      <c r="Y20" s="460"/>
      <c r="Z20" s="460"/>
      <c r="AA20" s="461"/>
      <c r="AB20" s="460"/>
      <c r="AC20" s="460"/>
      <c r="AD20" s="460"/>
      <c r="AE20" s="460"/>
      <c r="AF20" s="460"/>
      <c r="AG20" s="460"/>
      <c r="AH20" s="460"/>
      <c r="AI20" s="460"/>
      <c r="AJ20" s="460"/>
      <c r="AK20" s="462"/>
    </row>
    <row r="21" spans="1:37" s="110" customFormat="1" ht="20.149999999999999" customHeight="1" outlineLevel="1" x14ac:dyDescent="0.25">
      <c r="A21" s="85" t="s">
        <v>137</v>
      </c>
      <c r="B21" s="82" t="s">
        <v>142</v>
      </c>
      <c r="C21" s="451"/>
      <c r="D21" s="451">
        <f>'Rentabilidade-Cult.Perma.'!AO23</f>
        <v>16388.242399999999</v>
      </c>
      <c r="E21" s="451">
        <f>'Rentabilidade-Cult.Perma.'!AP23</f>
        <v>16378.492399999999</v>
      </c>
      <c r="F21" s="451">
        <f>'Rentabilidade-Cult.Perma.'!AQ23</f>
        <v>16378.492399999999</v>
      </c>
      <c r="G21" s="451">
        <f>'Rentabilidade-Cult.Perma.'!AR23</f>
        <v>14951.649199999998</v>
      </c>
      <c r="H21" s="451">
        <f>'Rentabilidade-Cult.Perma.'!AS23</f>
        <v>14951.649199999998</v>
      </c>
      <c r="I21" s="451">
        <f>'Rentabilidade-Cult.Perma.'!AT23</f>
        <v>14951.649199999998</v>
      </c>
      <c r="J21" s="456">
        <f>'Rentabilidade-Cult.Perma.'!AU23</f>
        <v>14951.649199999998</v>
      </c>
      <c r="K21" s="456">
        <f>'Rentabilidade-Cult.Perma.'!AV23</f>
        <v>14951.649199999998</v>
      </c>
      <c r="L21" s="456">
        <f>'Rentabilidade-Cult.Perma.'!AW23</f>
        <v>14951.649199999998</v>
      </c>
      <c r="M21" s="456">
        <f>'Rentabilidade-Cult.Perma.'!AX23</f>
        <v>14951.649199999998</v>
      </c>
      <c r="N21" s="733">
        <f>'Rentabilidade-Cult.Perma.'!AY23</f>
        <v>14951.649199999998</v>
      </c>
      <c r="O21" s="734">
        <f>'Rentabilidade-Cult.Perma.'!AZ23</f>
        <v>28262.630399999998</v>
      </c>
      <c r="P21" s="456">
        <f>'Rentabilidade-Cult.Perma.'!BA23</f>
        <v>16388.242399999999</v>
      </c>
      <c r="Q21" s="456">
        <f>'Rentabilidade-Cult.Perma.'!BB23</f>
        <v>16378.492399999999</v>
      </c>
      <c r="R21" s="456">
        <f>'Rentabilidade-Cult.Perma.'!BC23</f>
        <v>16378.492399999999</v>
      </c>
      <c r="S21" s="456">
        <f>'Rentabilidade-Cult.Perma.'!BD23</f>
        <v>14951.649199999998</v>
      </c>
      <c r="T21" s="456">
        <f>'Rentabilidade-Cult.Perma.'!BE23</f>
        <v>14951.649199999998</v>
      </c>
      <c r="U21" s="456">
        <f>'Rentabilidade-Cult.Perma.'!BF23</f>
        <v>14951.649199999998</v>
      </c>
      <c r="V21" s="456">
        <f>'Rentabilidade-Cult.Perma.'!BG23</f>
        <v>14951.649199999998</v>
      </c>
      <c r="W21" s="456">
        <f>'Rentabilidade-Cult.Perma.'!BH23</f>
        <v>14951.649199999998</v>
      </c>
      <c r="X21" s="456">
        <f>'Rentabilidade-Cult.Perma.'!BI23</f>
        <v>14951.649199999998</v>
      </c>
      <c r="Y21" s="456">
        <f>'Rentabilidade-Cult.Perma.'!BJ23</f>
        <v>14951.649199999998</v>
      </c>
      <c r="Z21" s="456">
        <f>'Rentabilidade-Cult.Perma.'!BK23</f>
        <v>14951.649199999998</v>
      </c>
      <c r="AA21" s="734">
        <f>'Rentabilidade-Cult.Perma.'!BL23</f>
        <v>28262.630399999998</v>
      </c>
      <c r="AB21" s="456">
        <f>'Rentabilidade-Cult.Perma.'!BM23</f>
        <v>16388.242399999999</v>
      </c>
      <c r="AC21" s="456">
        <f>'Rentabilidade-Cult.Perma.'!BN23</f>
        <v>16378.492399999999</v>
      </c>
      <c r="AD21" s="456">
        <f>'Rentabilidade-Cult.Perma.'!BO23</f>
        <v>16378.492399999999</v>
      </c>
      <c r="AE21" s="456">
        <f>'Rentabilidade-Cult.Perma.'!BP23</f>
        <v>14951.649199999998</v>
      </c>
      <c r="AF21" s="456">
        <f>'Rentabilidade-Cult.Perma.'!BQ23</f>
        <v>14951.649199999998</v>
      </c>
      <c r="AG21" s="456">
        <f>'Rentabilidade-Cult.Perma.'!BR23</f>
        <v>14951.649199999998</v>
      </c>
      <c r="AH21" s="456">
        <f>'Rentabilidade-Cult.Perma.'!BS23</f>
        <v>14951.649199999998</v>
      </c>
      <c r="AI21" s="456">
        <f>'Rentabilidade-Cult.Perma.'!BT23</f>
        <v>14951.649199999998</v>
      </c>
      <c r="AJ21" s="456">
        <f>'Rentabilidade-Cult.Perma.'!BU23</f>
        <v>14951.649199999998</v>
      </c>
      <c r="AK21" s="735">
        <f>'Rentabilidade-Cult.Perma.'!BV23</f>
        <v>14951.649199999998</v>
      </c>
    </row>
    <row r="22" spans="1:37" s="110" customFormat="1" ht="20.149999999999999" customHeight="1" outlineLevel="1" x14ac:dyDescent="0.25">
      <c r="A22" s="85" t="s">
        <v>138</v>
      </c>
      <c r="B22" s="34" t="s">
        <v>146</v>
      </c>
      <c r="C22" s="451"/>
      <c r="D22" s="451">
        <f>'Rentabilidade-Cult.Perma.'!AO44</f>
        <v>19308</v>
      </c>
      <c r="E22" s="451">
        <f>'Rentabilidade-Cult.Perma.'!AP44</f>
        <v>18342.3125</v>
      </c>
      <c r="F22" s="451">
        <f>'Rentabilidade-Cult.Perma.'!AQ44</f>
        <v>17434.625</v>
      </c>
      <c r="G22" s="451">
        <f>'Rentabilidade-Cult.Perma.'!AR44</f>
        <v>17434.625</v>
      </c>
      <c r="H22" s="451">
        <f>'Rentabilidade-Cult.Perma.'!AS44</f>
        <v>17434.625</v>
      </c>
      <c r="I22" s="451">
        <f>'Rentabilidade-Cult.Perma.'!AT44</f>
        <v>16526.9375</v>
      </c>
      <c r="J22" s="451">
        <f>'Rentabilidade-Cult.Perma.'!AU44</f>
        <v>16526.9375</v>
      </c>
      <c r="K22" s="451">
        <f>'Rentabilidade-Cult.Perma.'!AV44</f>
        <v>13803.875</v>
      </c>
      <c r="L22" s="451">
        <f>'Rentabilidade-Cult.Perma.'!AW44</f>
        <v>12896.1875</v>
      </c>
      <c r="M22" s="451">
        <f>'Rentabilidade-Cult.Perma.'!AX44</f>
        <v>12896.1875</v>
      </c>
      <c r="N22" s="452">
        <f>'Rentabilidade-Cult.Perma.'!AY44</f>
        <v>11988.5</v>
      </c>
      <c r="O22" s="453">
        <f>'Rentabilidade-Cult.Perma.'!AZ44</f>
        <v>8787</v>
      </c>
      <c r="P22" s="451">
        <f>'Rentabilidade-Cult.Perma.'!BA44</f>
        <v>19308</v>
      </c>
      <c r="Q22" s="451">
        <f>'Rentabilidade-Cult.Perma.'!BB44</f>
        <v>18342.3125</v>
      </c>
      <c r="R22" s="451">
        <f>'Rentabilidade-Cult.Perma.'!BC44</f>
        <v>17434.625</v>
      </c>
      <c r="S22" s="451">
        <f>'Rentabilidade-Cult.Perma.'!BD44</f>
        <v>17434.625</v>
      </c>
      <c r="T22" s="451">
        <f>'Rentabilidade-Cult.Perma.'!BE44</f>
        <v>17434.625</v>
      </c>
      <c r="U22" s="451">
        <f>'Rentabilidade-Cult.Perma.'!BF44</f>
        <v>16526.9375</v>
      </c>
      <c r="V22" s="451">
        <f>'Rentabilidade-Cult.Perma.'!BG44</f>
        <v>16526.9375</v>
      </c>
      <c r="W22" s="451">
        <f>'Rentabilidade-Cult.Perma.'!BH44</f>
        <v>13803.875</v>
      </c>
      <c r="X22" s="451">
        <f>'Rentabilidade-Cult.Perma.'!BI44</f>
        <v>12896.1875</v>
      </c>
      <c r="Y22" s="451">
        <f>'Rentabilidade-Cult.Perma.'!BJ44</f>
        <v>12896.1875</v>
      </c>
      <c r="Z22" s="451">
        <f>'Rentabilidade-Cult.Perma.'!BK44</f>
        <v>11988.5</v>
      </c>
      <c r="AA22" s="453">
        <f>'Rentabilidade-Cult.Perma.'!BL44</f>
        <v>8787</v>
      </c>
      <c r="AB22" s="451">
        <f>'Rentabilidade-Cult.Perma.'!BM44</f>
        <v>19308</v>
      </c>
      <c r="AC22" s="451">
        <f>'Rentabilidade-Cult.Perma.'!BN44</f>
        <v>18342.3125</v>
      </c>
      <c r="AD22" s="451">
        <f>'Rentabilidade-Cult.Perma.'!BO44</f>
        <v>17434.625</v>
      </c>
      <c r="AE22" s="451">
        <f>'Rentabilidade-Cult.Perma.'!BP44</f>
        <v>17434.625</v>
      </c>
      <c r="AF22" s="451">
        <f>'Rentabilidade-Cult.Perma.'!BQ44</f>
        <v>17434.625</v>
      </c>
      <c r="AG22" s="451">
        <f>'Rentabilidade-Cult.Perma.'!BR44</f>
        <v>16526.9375</v>
      </c>
      <c r="AH22" s="451">
        <f>'Rentabilidade-Cult.Perma.'!BS44</f>
        <v>16526.9375</v>
      </c>
      <c r="AI22" s="451">
        <f>'Rentabilidade-Cult.Perma.'!BT44</f>
        <v>13803.875</v>
      </c>
      <c r="AJ22" s="451">
        <f>'Rentabilidade-Cult.Perma.'!BU44</f>
        <v>12896.1875</v>
      </c>
      <c r="AK22" s="454">
        <f>'Rentabilidade-Cult.Perma.'!BV44</f>
        <v>12896.1875</v>
      </c>
    </row>
    <row r="23" spans="1:37" s="110" customFormat="1" ht="20.149999999999999" customHeight="1" outlineLevel="1" x14ac:dyDescent="0.25">
      <c r="A23" s="85" t="s">
        <v>139</v>
      </c>
      <c r="B23" s="82" t="s">
        <v>143</v>
      </c>
      <c r="C23" s="451"/>
      <c r="D23" s="451">
        <f>'Rentabilidade-Cult.Perma.'!AO60</f>
        <v>3425</v>
      </c>
      <c r="E23" s="451">
        <f>'Rentabilidade-Cult.Perma.'!AP60</f>
        <v>2862.5</v>
      </c>
      <c r="F23" s="451">
        <f>'Rentabilidade-Cult.Perma.'!AQ60</f>
        <v>2800</v>
      </c>
      <c r="G23" s="451">
        <f>'Rentabilidade-Cult.Perma.'!AR60</f>
        <v>2862.5</v>
      </c>
      <c r="H23" s="451">
        <f>'Rentabilidade-Cult.Perma.'!AS60</f>
        <v>2800</v>
      </c>
      <c r="I23" s="451">
        <f>'Rentabilidade-Cult.Perma.'!AT60</f>
        <v>2862.5</v>
      </c>
      <c r="J23" s="451">
        <f>'Rentabilidade-Cult.Perma.'!AU60</f>
        <v>2800</v>
      </c>
      <c r="K23" s="451">
        <f>'Rentabilidade-Cult.Perma.'!AV60</f>
        <v>2862.5</v>
      </c>
      <c r="L23" s="451">
        <f>'Rentabilidade-Cult.Perma.'!AW60</f>
        <v>2800</v>
      </c>
      <c r="M23" s="451">
        <f>'Rentabilidade-Cult.Perma.'!AX60</f>
        <v>2862.5</v>
      </c>
      <c r="N23" s="452">
        <f>'Rentabilidade-Cult.Perma.'!AY60</f>
        <v>2800</v>
      </c>
      <c r="O23" s="453">
        <f>'Rentabilidade-Cult.Perma.'!AZ60</f>
        <v>12659</v>
      </c>
      <c r="P23" s="451">
        <f>'Rentabilidade-Cult.Perma.'!BA60</f>
        <v>3425</v>
      </c>
      <c r="Q23" s="451">
        <f>'Rentabilidade-Cult.Perma.'!BB60</f>
        <v>2862.5</v>
      </c>
      <c r="R23" s="451">
        <f>'Rentabilidade-Cult.Perma.'!BC60</f>
        <v>2800</v>
      </c>
      <c r="S23" s="451">
        <f>'Rentabilidade-Cult.Perma.'!BD60</f>
        <v>2862.5</v>
      </c>
      <c r="T23" s="451">
        <f>'Rentabilidade-Cult.Perma.'!BE60</f>
        <v>2800</v>
      </c>
      <c r="U23" s="451">
        <f>'Rentabilidade-Cult.Perma.'!BF60</f>
        <v>2862.5</v>
      </c>
      <c r="V23" s="451">
        <f>'Rentabilidade-Cult.Perma.'!BG60</f>
        <v>2800</v>
      </c>
      <c r="W23" s="451">
        <f>'Rentabilidade-Cult.Perma.'!BH60</f>
        <v>2862.5</v>
      </c>
      <c r="X23" s="451">
        <f>'Rentabilidade-Cult.Perma.'!BI60</f>
        <v>2800</v>
      </c>
      <c r="Y23" s="451">
        <f>'Rentabilidade-Cult.Perma.'!BJ60</f>
        <v>2862.5</v>
      </c>
      <c r="Z23" s="451">
        <f>'Rentabilidade-Cult.Perma.'!BK60</f>
        <v>2800</v>
      </c>
      <c r="AA23" s="453">
        <f>'Rentabilidade-Cult.Perma.'!BL60</f>
        <v>12659</v>
      </c>
      <c r="AB23" s="451">
        <f>'Rentabilidade-Cult.Perma.'!BM60</f>
        <v>3425</v>
      </c>
      <c r="AC23" s="451">
        <f>'Rentabilidade-Cult.Perma.'!BN60</f>
        <v>2862.5</v>
      </c>
      <c r="AD23" s="451">
        <f>'Rentabilidade-Cult.Perma.'!BO60</f>
        <v>2800</v>
      </c>
      <c r="AE23" s="451">
        <f>'Rentabilidade-Cult.Perma.'!BP60</f>
        <v>2862.5</v>
      </c>
      <c r="AF23" s="451">
        <f>'Rentabilidade-Cult.Perma.'!BQ60</f>
        <v>2800</v>
      </c>
      <c r="AG23" s="451">
        <f>'Rentabilidade-Cult.Perma.'!BR60</f>
        <v>2862.5</v>
      </c>
      <c r="AH23" s="451">
        <f>'Rentabilidade-Cult.Perma.'!BS60</f>
        <v>2800</v>
      </c>
      <c r="AI23" s="451">
        <f>'Rentabilidade-Cult.Perma.'!BT60</f>
        <v>2862.5</v>
      </c>
      <c r="AJ23" s="451">
        <f>'Rentabilidade-Cult.Perma.'!BU60</f>
        <v>2800</v>
      </c>
      <c r="AK23" s="454">
        <f>'Rentabilidade-Cult.Perma.'!BV60</f>
        <v>2862.5</v>
      </c>
    </row>
    <row r="24" spans="1:37" s="110" customFormat="1" ht="20.149999999999999" customHeight="1" outlineLevel="1" x14ac:dyDescent="0.25">
      <c r="A24" s="85" t="s">
        <v>140</v>
      </c>
      <c r="B24" s="34" t="s">
        <v>141</v>
      </c>
      <c r="C24" s="451"/>
      <c r="D24" s="451">
        <f>SUM('Rentabilidade-Cult.Perma.'!AO75:AO82)</f>
        <v>4225.8928214400003</v>
      </c>
      <c r="E24" s="451">
        <f>SUM('Rentabilidade-Cult.Perma.'!AP75:AP82)</f>
        <v>4340.7388214399998</v>
      </c>
      <c r="F24" s="451">
        <f>SUM('Rentabilidade-Cult.Perma.'!AQ75:AQ82)</f>
        <v>4340.7388214399998</v>
      </c>
      <c r="G24" s="451">
        <f>SUM('Rentabilidade-Cult.Perma.'!AR75:AR82)</f>
        <v>4455.5848214399994</v>
      </c>
      <c r="H24" s="451">
        <f>SUM('Rentabilidade-Cult.Perma.'!AS75:AS82)</f>
        <v>4455.5848214399994</v>
      </c>
      <c r="I24" s="451">
        <f>SUM('Rentabilidade-Cult.Perma.'!AT75:AT82)</f>
        <v>4685.2768214400003</v>
      </c>
      <c r="J24" s="451">
        <f>SUM('Rentabilidade-Cult.Perma.'!AU75:AU82)</f>
        <v>4685.2768214400003</v>
      </c>
      <c r="K24" s="451">
        <f>SUM('Rentabilidade-Cult.Perma.'!AV75:AV82)</f>
        <v>4685.2768214400003</v>
      </c>
      <c r="L24" s="451">
        <f>SUM('Rentabilidade-Cult.Perma.'!AW75:AW82)</f>
        <v>4685.2768214400003</v>
      </c>
      <c r="M24" s="451">
        <f>SUM('Rentabilidade-Cult.Perma.'!AX75:AX82)</f>
        <v>4685.2768214400003</v>
      </c>
      <c r="N24" s="452">
        <f>SUM('Rentabilidade-Cult.Perma.'!AY75:AY82)</f>
        <v>4685.2768214400003</v>
      </c>
      <c r="O24" s="453">
        <f>SUM('Rentabilidade-Cult.Perma.'!AZ75:AZ82)</f>
        <v>3996.2008214399998</v>
      </c>
      <c r="P24" s="451">
        <f>SUM('Rentabilidade-Cult.Perma.'!BA75:BA82)</f>
        <v>4225.8928214400003</v>
      </c>
      <c r="Q24" s="451">
        <f>SUM('Rentabilidade-Cult.Perma.'!BB75:BB82)</f>
        <v>4340.7388214399998</v>
      </c>
      <c r="R24" s="451">
        <f>SUM('Rentabilidade-Cult.Perma.'!BC75:BC82)</f>
        <v>4340.7388214399998</v>
      </c>
      <c r="S24" s="451">
        <f>SUM('Rentabilidade-Cult.Perma.'!BD75:BD82)</f>
        <v>4455.5848214399994</v>
      </c>
      <c r="T24" s="451">
        <f>SUM('Rentabilidade-Cult.Perma.'!BE75:BE82)</f>
        <v>4455.5848214399994</v>
      </c>
      <c r="U24" s="451">
        <f>SUM('Rentabilidade-Cult.Perma.'!BF75:BF82)</f>
        <v>4685.2768214400003</v>
      </c>
      <c r="V24" s="451">
        <f>SUM('Rentabilidade-Cult.Perma.'!BG75:BG82)</f>
        <v>4685.2768214400003</v>
      </c>
      <c r="W24" s="451">
        <f>SUM('Rentabilidade-Cult.Perma.'!BH75:BH82)</f>
        <v>4685.2768214400003</v>
      </c>
      <c r="X24" s="451">
        <f>SUM('Rentabilidade-Cult.Perma.'!BI75:BI82)</f>
        <v>4685.2768214400003</v>
      </c>
      <c r="Y24" s="451">
        <f>SUM('Rentabilidade-Cult.Perma.'!BJ75:BJ82)</f>
        <v>4685.2768214400003</v>
      </c>
      <c r="Z24" s="451">
        <f>SUM('Rentabilidade-Cult.Perma.'!BK75:BK82)</f>
        <v>4685.2768214400003</v>
      </c>
      <c r="AA24" s="453">
        <f>SUM('Rentabilidade-Cult.Perma.'!BL75:BL82)</f>
        <v>3996.2008214399998</v>
      </c>
      <c r="AB24" s="451">
        <f>SUM('Rentabilidade-Cult.Perma.'!BM75:BM82)</f>
        <v>4225.8928214400003</v>
      </c>
      <c r="AC24" s="451">
        <f>SUM('Rentabilidade-Cult.Perma.'!BN75:BN82)</f>
        <v>4340.7388214399998</v>
      </c>
      <c r="AD24" s="451">
        <f>SUM('Rentabilidade-Cult.Perma.'!BO75:BO82)</f>
        <v>4340.7388214399998</v>
      </c>
      <c r="AE24" s="451">
        <f>SUM('Rentabilidade-Cult.Perma.'!BP75:BP82)</f>
        <v>4455.5848214399994</v>
      </c>
      <c r="AF24" s="451">
        <f>SUM('Rentabilidade-Cult.Perma.'!BQ75:BQ82)</f>
        <v>4455.5848214399994</v>
      </c>
      <c r="AG24" s="451">
        <f>SUM('Rentabilidade-Cult.Perma.'!BR75:BR82)</f>
        <v>4685.2768214400003</v>
      </c>
      <c r="AH24" s="451">
        <f>SUM('Rentabilidade-Cult.Perma.'!BS75:BS82)</f>
        <v>4685.2768214400003</v>
      </c>
      <c r="AI24" s="451">
        <f>SUM('Rentabilidade-Cult.Perma.'!BT75:BT82)</f>
        <v>4685.2768214400003</v>
      </c>
      <c r="AJ24" s="451">
        <f>SUM('Rentabilidade-Cult.Perma.'!BU75:BU82)</f>
        <v>4685.2768214400003</v>
      </c>
      <c r="AK24" s="454">
        <f>SUM('Rentabilidade-Cult.Perma.'!BV75:BV82)</f>
        <v>4685.2768214400003</v>
      </c>
    </row>
    <row r="25" spans="1:37" s="110" customFormat="1" ht="20.149999999999999" customHeight="1" outlineLevel="1" thickBot="1" x14ac:dyDescent="0.3">
      <c r="A25" s="457"/>
      <c r="B25" s="87" t="s">
        <v>149</v>
      </c>
      <c r="C25" s="424">
        <f t="shared" ref="C25:AK25" si="3">SUM(C21:C24)</f>
        <v>0</v>
      </c>
      <c r="D25" s="424">
        <f t="shared" si="3"/>
        <v>43347.135221440003</v>
      </c>
      <c r="E25" s="424">
        <f t="shared" si="3"/>
        <v>41924.043721440001</v>
      </c>
      <c r="F25" s="424">
        <f t="shared" si="3"/>
        <v>40953.856221440001</v>
      </c>
      <c r="G25" s="424">
        <f t="shared" si="3"/>
        <v>39704.359021440003</v>
      </c>
      <c r="H25" s="424">
        <f t="shared" si="3"/>
        <v>39641.859021440003</v>
      </c>
      <c r="I25" s="424">
        <f t="shared" si="3"/>
        <v>39026.363521439998</v>
      </c>
      <c r="J25" s="424">
        <f t="shared" si="3"/>
        <v>38963.863521439998</v>
      </c>
      <c r="K25" s="424">
        <f t="shared" si="3"/>
        <v>36303.301021439998</v>
      </c>
      <c r="L25" s="424">
        <f t="shared" si="3"/>
        <v>35333.113521439998</v>
      </c>
      <c r="M25" s="424">
        <f t="shared" si="3"/>
        <v>35395.613521439998</v>
      </c>
      <c r="N25" s="425">
        <f t="shared" si="3"/>
        <v>34425.426021439998</v>
      </c>
      <c r="O25" s="426">
        <f t="shared" si="3"/>
        <v>53704.831221439992</v>
      </c>
      <c r="P25" s="424">
        <f t="shared" si="3"/>
        <v>43347.135221440003</v>
      </c>
      <c r="Q25" s="424">
        <f t="shared" si="3"/>
        <v>41924.043721440001</v>
      </c>
      <c r="R25" s="424">
        <f t="shared" si="3"/>
        <v>40953.856221440001</v>
      </c>
      <c r="S25" s="424">
        <f t="shared" si="3"/>
        <v>39704.359021440003</v>
      </c>
      <c r="T25" s="424">
        <f t="shared" si="3"/>
        <v>39641.859021440003</v>
      </c>
      <c r="U25" s="424">
        <f t="shared" si="3"/>
        <v>39026.363521439998</v>
      </c>
      <c r="V25" s="424">
        <f t="shared" si="3"/>
        <v>38963.863521439998</v>
      </c>
      <c r="W25" s="424">
        <f t="shared" si="3"/>
        <v>36303.301021439998</v>
      </c>
      <c r="X25" s="424">
        <f t="shared" si="3"/>
        <v>35333.113521439998</v>
      </c>
      <c r="Y25" s="424">
        <f t="shared" si="3"/>
        <v>35395.613521439998</v>
      </c>
      <c r="Z25" s="424">
        <f t="shared" si="3"/>
        <v>34425.426021439998</v>
      </c>
      <c r="AA25" s="426">
        <f t="shared" si="3"/>
        <v>53704.831221439992</v>
      </c>
      <c r="AB25" s="424">
        <f t="shared" si="3"/>
        <v>43347.135221440003</v>
      </c>
      <c r="AC25" s="424">
        <f t="shared" si="3"/>
        <v>41924.043721440001</v>
      </c>
      <c r="AD25" s="424">
        <f t="shared" si="3"/>
        <v>40953.856221440001</v>
      </c>
      <c r="AE25" s="424">
        <f t="shared" si="3"/>
        <v>39704.359021440003</v>
      </c>
      <c r="AF25" s="424">
        <f t="shared" si="3"/>
        <v>39641.859021440003</v>
      </c>
      <c r="AG25" s="424">
        <f t="shared" si="3"/>
        <v>39026.363521439998</v>
      </c>
      <c r="AH25" s="424">
        <f t="shared" si="3"/>
        <v>38963.863521439998</v>
      </c>
      <c r="AI25" s="424">
        <f t="shared" si="3"/>
        <v>36303.301021439998</v>
      </c>
      <c r="AJ25" s="424">
        <f t="shared" si="3"/>
        <v>35333.113521439998</v>
      </c>
      <c r="AK25" s="427">
        <f t="shared" si="3"/>
        <v>35395.613521439998</v>
      </c>
    </row>
    <row r="26" spans="1:37" s="110" customFormat="1" ht="20.149999999999999" customHeight="1" outlineLevel="1" thickBot="1" x14ac:dyDescent="0.3">
      <c r="A26" s="38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  <c r="O26" s="463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  <c r="AA26" s="463"/>
      <c r="AB26" s="439"/>
      <c r="AC26" s="439"/>
      <c r="AD26" s="439"/>
      <c r="AE26" s="439"/>
      <c r="AF26" s="439"/>
      <c r="AG26" s="439"/>
      <c r="AH26" s="439"/>
      <c r="AI26" s="439"/>
      <c r="AJ26" s="439"/>
      <c r="AK26" s="439"/>
    </row>
    <row r="27" spans="1:37" s="110" customFormat="1" ht="20.149999999999999" customHeight="1" outlineLevel="1" x14ac:dyDescent="0.25">
      <c r="A27" s="428">
        <v>3</v>
      </c>
      <c r="B27" s="97" t="s">
        <v>144</v>
      </c>
      <c r="C27" s="460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461"/>
      <c r="P27" s="460"/>
      <c r="Q27" s="460"/>
      <c r="R27" s="460"/>
      <c r="S27" s="460"/>
      <c r="T27" s="460"/>
      <c r="U27" s="460"/>
      <c r="V27" s="460"/>
      <c r="W27" s="460"/>
      <c r="X27" s="460"/>
      <c r="Y27" s="460"/>
      <c r="Z27" s="460"/>
      <c r="AA27" s="461"/>
      <c r="AB27" s="460"/>
      <c r="AC27" s="460"/>
      <c r="AD27" s="460"/>
      <c r="AE27" s="460"/>
      <c r="AF27" s="460"/>
      <c r="AG27" s="460"/>
      <c r="AH27" s="460"/>
      <c r="AI27" s="460"/>
      <c r="AJ27" s="460"/>
      <c r="AK27" s="462"/>
    </row>
    <row r="28" spans="1:37" s="110" customFormat="1" ht="20.149999999999999" customHeight="1" outlineLevel="1" x14ac:dyDescent="0.25">
      <c r="A28" s="429" t="s">
        <v>147</v>
      </c>
      <c r="B28" s="22" t="s">
        <v>145</v>
      </c>
      <c r="C28" s="451">
        <f>'Rentabilidade-Cult.Perma.'!AN90</f>
        <v>0</v>
      </c>
      <c r="D28" s="974">
        <f>'Rentabilidade-Cult.Perma.'!AO90</f>
        <v>97760</v>
      </c>
      <c r="E28" s="451">
        <f>'Rentabilidade-Cult.Perma.'!AP90</f>
        <v>91650</v>
      </c>
      <c r="F28" s="451">
        <f>'Rentabilidade-Cult.Perma.'!AQ90</f>
        <v>85540</v>
      </c>
      <c r="G28" s="451">
        <f>'Rentabilidade-Cult.Perma.'!AR90</f>
        <v>85540</v>
      </c>
      <c r="H28" s="451">
        <f>'Rentabilidade-Cult.Perma.'!AS90</f>
        <v>85540</v>
      </c>
      <c r="I28" s="451">
        <f>'Rentabilidade-Cult.Perma.'!AT90</f>
        <v>79430</v>
      </c>
      <c r="J28" s="451">
        <f>'Rentabilidade-Cult.Perma.'!AU90</f>
        <v>79430</v>
      </c>
      <c r="K28" s="451">
        <f>'Rentabilidade-Cult.Perma.'!AV90</f>
        <v>61100</v>
      </c>
      <c r="L28" s="451">
        <f>'Rentabilidade-Cult.Perma.'!AW90</f>
        <v>54989.999999999993</v>
      </c>
      <c r="M28" s="451">
        <f>'Rentabilidade-Cult.Perma.'!AX90</f>
        <v>54989.999999999993</v>
      </c>
      <c r="N28" s="452">
        <f>'Rentabilidade-Cult.Perma.'!AY90</f>
        <v>48880</v>
      </c>
      <c r="O28" s="453">
        <f>'Rentabilidade-Cult.Perma.'!AZ90</f>
        <v>0</v>
      </c>
      <c r="P28" s="451">
        <f>'Rentabilidade-Cult.Perma.'!BA90</f>
        <v>97760</v>
      </c>
      <c r="Q28" s="451">
        <f>'Rentabilidade-Cult.Perma.'!BB90</f>
        <v>91650</v>
      </c>
      <c r="R28" s="451">
        <f>'Rentabilidade-Cult.Perma.'!BC90</f>
        <v>85540</v>
      </c>
      <c r="S28" s="451">
        <f>'Rentabilidade-Cult.Perma.'!BD90</f>
        <v>85540</v>
      </c>
      <c r="T28" s="451">
        <f>'Rentabilidade-Cult.Perma.'!BE90</f>
        <v>85540</v>
      </c>
      <c r="U28" s="451">
        <f>'Rentabilidade-Cult.Perma.'!BF90</f>
        <v>79430</v>
      </c>
      <c r="V28" s="451">
        <f>'Rentabilidade-Cult.Perma.'!BG90</f>
        <v>79430</v>
      </c>
      <c r="W28" s="451">
        <f>'Rentabilidade-Cult.Perma.'!BH90</f>
        <v>61100</v>
      </c>
      <c r="X28" s="451">
        <f>'Rentabilidade-Cult.Perma.'!BI90</f>
        <v>54989.999999999993</v>
      </c>
      <c r="Y28" s="451">
        <f>'Rentabilidade-Cult.Perma.'!BJ90</f>
        <v>54989.999999999993</v>
      </c>
      <c r="Z28" s="451">
        <f>'Rentabilidade-Cult.Perma.'!BK90</f>
        <v>48880</v>
      </c>
      <c r="AA28" s="453">
        <f>'Rentabilidade-Cult.Perma.'!BL90</f>
        <v>0</v>
      </c>
      <c r="AB28" s="451">
        <f>'Rentabilidade-Cult.Perma.'!BM90</f>
        <v>97760</v>
      </c>
      <c r="AC28" s="451">
        <f>'Rentabilidade-Cult.Perma.'!BN90</f>
        <v>91650</v>
      </c>
      <c r="AD28" s="451">
        <f>'Rentabilidade-Cult.Perma.'!BO90</f>
        <v>85540</v>
      </c>
      <c r="AE28" s="451">
        <f>'Rentabilidade-Cult.Perma.'!BP90</f>
        <v>85540</v>
      </c>
      <c r="AF28" s="451">
        <f>'Rentabilidade-Cult.Perma.'!BQ90</f>
        <v>85540</v>
      </c>
      <c r="AG28" s="451">
        <f>'Rentabilidade-Cult.Perma.'!BR90</f>
        <v>79430</v>
      </c>
      <c r="AH28" s="451">
        <f>'Rentabilidade-Cult.Perma.'!BS90</f>
        <v>79430</v>
      </c>
      <c r="AI28" s="451">
        <f>'Rentabilidade-Cult.Perma.'!BT90</f>
        <v>61100</v>
      </c>
      <c r="AJ28" s="451">
        <f>'Rentabilidade-Cult.Perma.'!BU90</f>
        <v>54989.999999999993</v>
      </c>
      <c r="AK28" s="454">
        <f>'Rentabilidade-Cult.Perma.'!BV90</f>
        <v>54989.999999999993</v>
      </c>
    </row>
    <row r="29" spans="1:37" s="110" customFormat="1" ht="20.149999999999999" customHeight="1" outlineLevel="1" thickBot="1" x14ac:dyDescent="0.3">
      <c r="A29" s="457"/>
      <c r="B29" s="102" t="s">
        <v>153</v>
      </c>
      <c r="C29" s="424">
        <f t="shared" ref="C29:AK29" si="4">SUM(C28:C28)</f>
        <v>0</v>
      </c>
      <c r="D29" s="424">
        <f t="shared" si="4"/>
        <v>97760</v>
      </c>
      <c r="E29" s="424">
        <f t="shared" si="4"/>
        <v>91650</v>
      </c>
      <c r="F29" s="424">
        <f t="shared" si="4"/>
        <v>85540</v>
      </c>
      <c r="G29" s="424">
        <f t="shared" si="4"/>
        <v>85540</v>
      </c>
      <c r="H29" s="424">
        <f t="shared" si="4"/>
        <v>85540</v>
      </c>
      <c r="I29" s="424">
        <f t="shared" si="4"/>
        <v>79430</v>
      </c>
      <c r="J29" s="424">
        <f t="shared" si="4"/>
        <v>79430</v>
      </c>
      <c r="K29" s="424">
        <f t="shared" si="4"/>
        <v>61100</v>
      </c>
      <c r="L29" s="424">
        <f t="shared" si="4"/>
        <v>54989.999999999993</v>
      </c>
      <c r="M29" s="424">
        <f t="shared" si="4"/>
        <v>54989.999999999993</v>
      </c>
      <c r="N29" s="425">
        <f t="shared" si="4"/>
        <v>48880</v>
      </c>
      <c r="O29" s="426">
        <f t="shared" si="4"/>
        <v>0</v>
      </c>
      <c r="P29" s="424">
        <f t="shared" si="4"/>
        <v>97760</v>
      </c>
      <c r="Q29" s="424">
        <f t="shared" si="4"/>
        <v>91650</v>
      </c>
      <c r="R29" s="424">
        <f t="shared" si="4"/>
        <v>85540</v>
      </c>
      <c r="S29" s="424">
        <f t="shared" si="4"/>
        <v>85540</v>
      </c>
      <c r="T29" s="424">
        <f t="shared" si="4"/>
        <v>85540</v>
      </c>
      <c r="U29" s="424">
        <f t="shared" si="4"/>
        <v>79430</v>
      </c>
      <c r="V29" s="424">
        <f t="shared" si="4"/>
        <v>79430</v>
      </c>
      <c r="W29" s="424">
        <f t="shared" si="4"/>
        <v>61100</v>
      </c>
      <c r="X29" s="424">
        <f t="shared" si="4"/>
        <v>54989.999999999993</v>
      </c>
      <c r="Y29" s="424">
        <f t="shared" si="4"/>
        <v>54989.999999999993</v>
      </c>
      <c r="Z29" s="424">
        <f t="shared" si="4"/>
        <v>48880</v>
      </c>
      <c r="AA29" s="426">
        <f t="shared" si="4"/>
        <v>0</v>
      </c>
      <c r="AB29" s="424">
        <f t="shared" si="4"/>
        <v>97760</v>
      </c>
      <c r="AC29" s="424">
        <f t="shared" si="4"/>
        <v>91650</v>
      </c>
      <c r="AD29" s="424">
        <f t="shared" si="4"/>
        <v>85540</v>
      </c>
      <c r="AE29" s="424">
        <f t="shared" si="4"/>
        <v>85540</v>
      </c>
      <c r="AF29" s="424">
        <f t="shared" si="4"/>
        <v>85540</v>
      </c>
      <c r="AG29" s="424">
        <f t="shared" si="4"/>
        <v>79430</v>
      </c>
      <c r="AH29" s="424">
        <f t="shared" si="4"/>
        <v>79430</v>
      </c>
      <c r="AI29" s="424">
        <f t="shared" si="4"/>
        <v>61100</v>
      </c>
      <c r="AJ29" s="424">
        <f t="shared" si="4"/>
        <v>54989.999999999993</v>
      </c>
      <c r="AK29" s="427">
        <f t="shared" si="4"/>
        <v>54989.999999999993</v>
      </c>
    </row>
    <row r="30" spans="1:37" s="110" customFormat="1" ht="20.149999999999999" customHeight="1" outlineLevel="1" thickBot="1" x14ac:dyDescent="0.3">
      <c r="A30" s="38"/>
      <c r="C30" s="464"/>
      <c r="D30" s="464"/>
      <c r="E30" s="464"/>
      <c r="F30" s="464"/>
      <c r="G30" s="464"/>
      <c r="H30" s="464"/>
      <c r="I30" s="464"/>
      <c r="J30" s="464"/>
      <c r="K30" s="464"/>
      <c r="L30" s="464"/>
      <c r="M30" s="458"/>
      <c r="N30" s="458"/>
      <c r="O30" s="459"/>
      <c r="P30" s="458"/>
      <c r="Q30" s="458"/>
      <c r="R30" s="458"/>
      <c r="S30" s="458"/>
      <c r="T30" s="458"/>
      <c r="U30" s="458"/>
      <c r="V30" s="458"/>
      <c r="W30" s="458"/>
      <c r="X30" s="458"/>
      <c r="Y30" s="458"/>
      <c r="Z30" s="458"/>
      <c r="AA30" s="459"/>
      <c r="AB30" s="458"/>
      <c r="AC30" s="458"/>
      <c r="AD30" s="458"/>
      <c r="AE30" s="458"/>
      <c r="AF30" s="458"/>
      <c r="AG30" s="458"/>
      <c r="AH30" s="458"/>
      <c r="AI30" s="458"/>
      <c r="AJ30" s="458"/>
      <c r="AK30" s="458"/>
    </row>
    <row r="31" spans="1:37" s="110" customFormat="1" ht="20.149999999999999" customHeight="1" outlineLevel="1" thickBot="1" x14ac:dyDescent="0.3">
      <c r="A31" s="70">
        <v>4</v>
      </c>
      <c r="B31" s="104" t="s">
        <v>156</v>
      </c>
      <c r="C31" s="431">
        <f t="shared" ref="C31:AK31" si="5">C29-C25-C18</f>
        <v>-95912.904870567145</v>
      </c>
      <c r="D31" s="431">
        <f t="shared" si="5"/>
        <v>54412.864778559997</v>
      </c>
      <c r="E31" s="431">
        <f t="shared" si="5"/>
        <v>49725.956278559999</v>
      </c>
      <c r="F31" s="431">
        <f t="shared" si="5"/>
        <v>44586.143778559999</v>
      </c>
      <c r="G31" s="431">
        <f t="shared" si="5"/>
        <v>45835.640978559997</v>
      </c>
      <c r="H31" s="431">
        <f t="shared" si="5"/>
        <v>45898.140978559997</v>
      </c>
      <c r="I31" s="431">
        <f t="shared" si="5"/>
        <v>40403.636478560002</v>
      </c>
      <c r="J31" s="431">
        <f t="shared" si="5"/>
        <v>40466.136478560002</v>
      </c>
      <c r="K31" s="431">
        <f t="shared" si="5"/>
        <v>24796.698978560002</v>
      </c>
      <c r="L31" s="431">
        <f t="shared" si="5"/>
        <v>19656.886478559994</v>
      </c>
      <c r="M31" s="431">
        <f t="shared" si="5"/>
        <v>19594.386478559994</v>
      </c>
      <c r="N31" s="432">
        <f t="shared" si="5"/>
        <v>14454.573978560002</v>
      </c>
      <c r="O31" s="433">
        <f t="shared" si="5"/>
        <v>-53704.831221439992</v>
      </c>
      <c r="P31" s="431">
        <f t="shared" si="5"/>
        <v>54412.864778559997</v>
      </c>
      <c r="Q31" s="431">
        <f t="shared" si="5"/>
        <v>49725.956278559999</v>
      </c>
      <c r="R31" s="431">
        <f t="shared" si="5"/>
        <v>44586.143778559999</v>
      </c>
      <c r="S31" s="431">
        <f t="shared" si="5"/>
        <v>45835.640978559997</v>
      </c>
      <c r="T31" s="431">
        <f t="shared" si="5"/>
        <v>45898.140978559997</v>
      </c>
      <c r="U31" s="431">
        <f t="shared" si="5"/>
        <v>40403.636478560002</v>
      </c>
      <c r="V31" s="431">
        <f t="shared" si="5"/>
        <v>40466.136478560002</v>
      </c>
      <c r="W31" s="431">
        <f t="shared" si="5"/>
        <v>24796.698978560002</v>
      </c>
      <c r="X31" s="431">
        <f t="shared" si="5"/>
        <v>19656.886478559994</v>
      </c>
      <c r="Y31" s="431">
        <f t="shared" si="5"/>
        <v>19594.386478559994</v>
      </c>
      <c r="Z31" s="431">
        <f t="shared" si="5"/>
        <v>14454.573978560002</v>
      </c>
      <c r="AA31" s="433">
        <f t="shared" si="5"/>
        <v>-53704.831221439992</v>
      </c>
      <c r="AB31" s="431">
        <f t="shared" si="5"/>
        <v>54412.864778559997</v>
      </c>
      <c r="AC31" s="431">
        <f t="shared" si="5"/>
        <v>49725.956278559999</v>
      </c>
      <c r="AD31" s="431">
        <f t="shared" si="5"/>
        <v>44586.143778559999</v>
      </c>
      <c r="AE31" s="431">
        <f t="shared" si="5"/>
        <v>45835.640978559997</v>
      </c>
      <c r="AF31" s="431">
        <f t="shared" si="5"/>
        <v>45898.140978559997</v>
      </c>
      <c r="AG31" s="431">
        <f t="shared" si="5"/>
        <v>40403.636478560002</v>
      </c>
      <c r="AH31" s="431">
        <f t="shared" si="5"/>
        <v>40466.136478560002</v>
      </c>
      <c r="AI31" s="431">
        <f t="shared" si="5"/>
        <v>24796.698978560002</v>
      </c>
      <c r="AJ31" s="431">
        <f t="shared" si="5"/>
        <v>19656.886478559994</v>
      </c>
      <c r="AK31" s="434">
        <f t="shared" si="5"/>
        <v>19594.386478559994</v>
      </c>
    </row>
    <row r="32" spans="1:37" s="110" customFormat="1" ht="20.149999999999999" customHeight="1" outlineLevel="1" thickBot="1" x14ac:dyDescent="0.3"/>
    <row r="33" spans="1:37" s="110" customFormat="1" ht="20.149999999999999" customHeight="1" outlineLevel="1" thickBot="1" x14ac:dyDescent="0.3">
      <c r="A33" s="70">
        <v>5</v>
      </c>
      <c r="B33" s="104" t="s">
        <v>160</v>
      </c>
      <c r="C33" s="435">
        <f>C31</f>
        <v>-95912.904870567145</v>
      </c>
      <c r="D33" s="435">
        <f t="shared" ref="D33:AK33" si="6">C33+D31</f>
        <v>-41500.040092007148</v>
      </c>
      <c r="E33" s="435">
        <f t="shared" si="6"/>
        <v>8225.9161865528513</v>
      </c>
      <c r="F33" s="435">
        <f t="shared" si="6"/>
        <v>52812.05996511285</v>
      </c>
      <c r="G33" s="435">
        <f t="shared" si="6"/>
        <v>98647.700943672855</v>
      </c>
      <c r="H33" s="435">
        <f t="shared" si="6"/>
        <v>144545.84192223285</v>
      </c>
      <c r="I33" s="435">
        <f t="shared" si="6"/>
        <v>184949.47840079287</v>
      </c>
      <c r="J33" s="435">
        <f t="shared" si="6"/>
        <v>225415.61487935286</v>
      </c>
      <c r="K33" s="435">
        <f t="shared" si="6"/>
        <v>250212.31385791284</v>
      </c>
      <c r="L33" s="435">
        <f t="shared" si="6"/>
        <v>269869.20033647283</v>
      </c>
      <c r="M33" s="435">
        <f t="shared" si="6"/>
        <v>289463.58681503282</v>
      </c>
      <c r="N33" s="436">
        <f t="shared" si="6"/>
        <v>303918.1607935928</v>
      </c>
      <c r="O33" s="437">
        <f t="shared" si="6"/>
        <v>250213.32957215281</v>
      </c>
      <c r="P33" s="435">
        <f t="shared" si="6"/>
        <v>304626.19435071282</v>
      </c>
      <c r="Q33" s="435">
        <f t="shared" si="6"/>
        <v>354352.1506292728</v>
      </c>
      <c r="R33" s="435">
        <f t="shared" si="6"/>
        <v>398938.29440783279</v>
      </c>
      <c r="S33" s="435">
        <f t="shared" si="6"/>
        <v>444773.93538639275</v>
      </c>
      <c r="T33" s="435">
        <f t="shared" si="6"/>
        <v>490672.07636495272</v>
      </c>
      <c r="U33" s="435">
        <f t="shared" si="6"/>
        <v>531075.71284351277</v>
      </c>
      <c r="V33" s="435">
        <f t="shared" si="6"/>
        <v>571541.84932207281</v>
      </c>
      <c r="W33" s="435">
        <f t="shared" si="6"/>
        <v>596338.54830063286</v>
      </c>
      <c r="X33" s="435">
        <f t="shared" si="6"/>
        <v>615995.4347791929</v>
      </c>
      <c r="Y33" s="435">
        <f t="shared" si="6"/>
        <v>635589.82125775295</v>
      </c>
      <c r="Z33" s="435">
        <f t="shared" si="6"/>
        <v>650044.39523631299</v>
      </c>
      <c r="AA33" s="437">
        <f t="shared" si="6"/>
        <v>596339.564014873</v>
      </c>
      <c r="AB33" s="435">
        <f t="shared" si="6"/>
        <v>650752.42879343301</v>
      </c>
      <c r="AC33" s="435">
        <f t="shared" si="6"/>
        <v>700478.38507199299</v>
      </c>
      <c r="AD33" s="435">
        <f t="shared" si="6"/>
        <v>745064.52885055298</v>
      </c>
      <c r="AE33" s="435">
        <f t="shared" si="6"/>
        <v>790900.16982911294</v>
      </c>
      <c r="AF33" s="435">
        <f t="shared" si="6"/>
        <v>836798.31080767291</v>
      </c>
      <c r="AG33" s="435">
        <f t="shared" si="6"/>
        <v>877201.94728623296</v>
      </c>
      <c r="AH33" s="435">
        <f t="shared" si="6"/>
        <v>917668.083764793</v>
      </c>
      <c r="AI33" s="435">
        <f t="shared" si="6"/>
        <v>942464.78274335305</v>
      </c>
      <c r="AJ33" s="435">
        <f t="shared" si="6"/>
        <v>962121.66922191309</v>
      </c>
      <c r="AK33" s="438">
        <f t="shared" si="6"/>
        <v>981716.05570047314</v>
      </c>
    </row>
    <row r="34" spans="1:37" s="110" customFormat="1" ht="20.149999999999999" customHeight="1" outlineLevel="1" x14ac:dyDescent="0.25">
      <c r="A34" s="38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</row>
    <row r="35" spans="1:37" s="110" customFormat="1" ht="20.149999999999999" customHeight="1" outlineLevel="1" x14ac:dyDescent="0.25">
      <c r="C35" s="115" t="s">
        <v>512</v>
      </c>
      <c r="D35" s="116">
        <f>AK33/AK7</f>
        <v>28049.030162870662</v>
      </c>
      <c r="E35" s="440" t="s">
        <v>317</v>
      </c>
      <c r="J35" s="439"/>
      <c r="V35" s="439"/>
      <c r="AK35" s="465"/>
    </row>
    <row r="36" spans="1:37" ht="13" outlineLevel="1" thickBot="1" x14ac:dyDescent="0.3">
      <c r="A36" s="1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spans="1:37" ht="30" customHeight="1" thickBot="1" x14ac:dyDescent="0.3">
      <c r="A37" s="555" t="s">
        <v>376</v>
      </c>
      <c r="B37" s="621"/>
      <c r="C37" s="621"/>
      <c r="D37" s="621"/>
      <c r="E37" s="621"/>
      <c r="F37" s="621"/>
      <c r="G37" s="621"/>
      <c r="H37" s="621"/>
      <c r="I37" s="621"/>
      <c r="J37" s="621"/>
      <c r="K37" s="621"/>
      <c r="L37" s="621"/>
      <c r="M37" s="621"/>
      <c r="N37" s="621"/>
      <c r="O37" s="621"/>
      <c r="P37" s="621"/>
      <c r="Q37" s="621"/>
      <c r="R37" s="621"/>
      <c r="S37" s="621"/>
      <c r="T37" s="621"/>
      <c r="U37" s="621"/>
      <c r="V37" s="621"/>
      <c r="W37" s="621"/>
      <c r="X37" s="621"/>
      <c r="Y37" s="621"/>
      <c r="Z37" s="621"/>
      <c r="AA37" s="621"/>
      <c r="AB37" s="621"/>
      <c r="AC37" s="621"/>
      <c r="AD37" s="621"/>
      <c r="AE37" s="621"/>
      <c r="AF37" s="621"/>
      <c r="AG37" s="621"/>
      <c r="AH37" s="621"/>
      <c r="AI37" s="621"/>
      <c r="AJ37" s="621"/>
      <c r="AK37" s="621"/>
    </row>
    <row r="38" spans="1:37" ht="20.149999999999999" customHeight="1" outlineLevel="1" thickBot="1" x14ac:dyDescent="0.3">
      <c r="A38" s="547" t="s">
        <v>513</v>
      </c>
      <c r="B38" s="548"/>
      <c r="C38" s="548"/>
      <c r="D38" s="548"/>
      <c r="E38" s="548"/>
      <c r="F38" s="548"/>
      <c r="G38" s="548"/>
      <c r="H38" s="548"/>
      <c r="I38" s="548"/>
      <c r="J38" s="548"/>
      <c r="K38" s="548"/>
      <c r="L38" s="548"/>
      <c r="M38" s="548"/>
      <c r="N38" s="548"/>
      <c r="O38" s="548"/>
      <c r="P38" s="548"/>
      <c r="Q38" s="548"/>
      <c r="R38" s="548"/>
      <c r="S38" s="548"/>
      <c r="T38" s="548"/>
      <c r="U38" s="548"/>
      <c r="V38" s="548"/>
      <c r="W38" s="548"/>
      <c r="X38" s="548"/>
      <c r="Y38" s="548"/>
      <c r="Z38" s="548"/>
      <c r="AA38" s="548"/>
      <c r="AB38" s="548"/>
      <c r="AC38" s="548"/>
      <c r="AD38" s="548"/>
      <c r="AE38" s="548"/>
      <c r="AF38" s="548"/>
      <c r="AG38" s="548"/>
      <c r="AH38" s="548"/>
      <c r="AI38" s="548"/>
      <c r="AJ38" s="548"/>
      <c r="AK38" s="548"/>
    </row>
    <row r="39" spans="1:37" s="14" customFormat="1" ht="20.149999999999999" customHeight="1" outlineLevel="1" thickBot="1" x14ac:dyDescent="0.3">
      <c r="A39" s="1102" t="s">
        <v>152</v>
      </c>
      <c r="B39" s="1102" t="s">
        <v>150</v>
      </c>
      <c r="C39" s="1103" t="s">
        <v>151</v>
      </c>
      <c r="D39" s="1104"/>
      <c r="E39" s="1104"/>
      <c r="F39" s="1104"/>
      <c r="G39" s="1104"/>
      <c r="H39" s="1104"/>
      <c r="I39" s="1104"/>
      <c r="J39" s="1104"/>
      <c r="K39" s="1104"/>
      <c r="L39" s="1104"/>
      <c r="M39" s="1104"/>
      <c r="N39" s="1104"/>
      <c r="O39" s="1104"/>
      <c r="P39" s="1104"/>
      <c r="Q39" s="1104"/>
      <c r="R39" s="1104"/>
      <c r="S39" s="1104"/>
      <c r="T39" s="1104"/>
      <c r="U39" s="1104"/>
      <c r="V39" s="1104"/>
      <c r="W39" s="1104"/>
      <c r="X39" s="1104"/>
      <c r="Y39" s="1104"/>
      <c r="Z39" s="1104"/>
      <c r="AA39" s="1104"/>
      <c r="AB39" s="1104"/>
      <c r="AC39" s="1104"/>
      <c r="AD39" s="1104"/>
      <c r="AE39" s="1104"/>
      <c r="AF39" s="1104"/>
      <c r="AG39" s="1104"/>
      <c r="AH39" s="1104"/>
      <c r="AI39" s="1104"/>
      <c r="AJ39" s="1104"/>
      <c r="AK39" s="1105"/>
    </row>
    <row r="40" spans="1:37" s="14" customFormat="1" ht="20.149999999999999" customHeight="1" outlineLevel="1" thickBot="1" x14ac:dyDescent="0.3">
      <c r="A40" s="1102"/>
      <c r="B40" s="1102"/>
      <c r="C40" s="210">
        <v>1</v>
      </c>
      <c r="D40" s="275">
        <f t="shared" ref="D40:AK40" si="7">C40+1</f>
        <v>2</v>
      </c>
      <c r="E40" s="211">
        <f t="shared" si="7"/>
        <v>3</v>
      </c>
      <c r="F40" s="211">
        <f t="shared" si="7"/>
        <v>4</v>
      </c>
      <c r="G40" s="211">
        <f t="shared" si="7"/>
        <v>5</v>
      </c>
      <c r="H40" s="211">
        <f t="shared" si="7"/>
        <v>6</v>
      </c>
      <c r="I40" s="211">
        <f t="shared" si="7"/>
        <v>7</v>
      </c>
      <c r="J40" s="211">
        <f t="shared" si="7"/>
        <v>8</v>
      </c>
      <c r="K40" s="211">
        <f t="shared" si="7"/>
        <v>9</v>
      </c>
      <c r="L40" s="211">
        <f t="shared" si="7"/>
        <v>10</v>
      </c>
      <c r="M40" s="211">
        <f t="shared" si="7"/>
        <v>11</v>
      </c>
      <c r="N40" s="211">
        <f t="shared" si="7"/>
        <v>12</v>
      </c>
      <c r="O40" s="476">
        <f t="shared" si="7"/>
        <v>13</v>
      </c>
      <c r="P40" s="211">
        <f t="shared" si="7"/>
        <v>14</v>
      </c>
      <c r="Q40" s="211">
        <f t="shared" si="7"/>
        <v>15</v>
      </c>
      <c r="R40" s="211">
        <f t="shared" si="7"/>
        <v>16</v>
      </c>
      <c r="S40" s="211">
        <f t="shared" si="7"/>
        <v>17</v>
      </c>
      <c r="T40" s="211">
        <f t="shared" si="7"/>
        <v>18</v>
      </c>
      <c r="U40" s="211">
        <f t="shared" si="7"/>
        <v>19</v>
      </c>
      <c r="V40" s="211">
        <f t="shared" si="7"/>
        <v>20</v>
      </c>
      <c r="W40" s="211">
        <f t="shared" si="7"/>
        <v>21</v>
      </c>
      <c r="X40" s="211">
        <f t="shared" si="7"/>
        <v>22</v>
      </c>
      <c r="Y40" s="211">
        <f t="shared" si="7"/>
        <v>23</v>
      </c>
      <c r="Z40" s="211">
        <f t="shared" si="7"/>
        <v>24</v>
      </c>
      <c r="AA40" s="476">
        <f t="shared" si="7"/>
        <v>25</v>
      </c>
      <c r="AB40" s="211">
        <f t="shared" si="7"/>
        <v>26</v>
      </c>
      <c r="AC40" s="211">
        <f t="shared" si="7"/>
        <v>27</v>
      </c>
      <c r="AD40" s="211">
        <f t="shared" si="7"/>
        <v>28</v>
      </c>
      <c r="AE40" s="211">
        <f t="shared" si="7"/>
        <v>29</v>
      </c>
      <c r="AF40" s="211">
        <f t="shared" si="7"/>
        <v>30</v>
      </c>
      <c r="AG40" s="211">
        <f t="shared" si="7"/>
        <v>31</v>
      </c>
      <c r="AH40" s="211">
        <f t="shared" si="7"/>
        <v>32</v>
      </c>
      <c r="AI40" s="211">
        <f t="shared" si="7"/>
        <v>33</v>
      </c>
      <c r="AJ40" s="211">
        <f t="shared" si="7"/>
        <v>34</v>
      </c>
      <c r="AK40" s="211">
        <f t="shared" si="7"/>
        <v>35</v>
      </c>
    </row>
    <row r="41" spans="1:37" ht="20.149999999999999" customHeight="1" outlineLevel="1" x14ac:dyDescent="0.25">
      <c r="A41" s="71">
        <v>1</v>
      </c>
      <c r="B41" s="76" t="s">
        <v>134</v>
      </c>
      <c r="O41" s="442"/>
      <c r="AA41" s="442"/>
      <c r="AK41" s="77"/>
    </row>
    <row r="42" spans="1:37" ht="20.149999999999999" customHeight="1" outlineLevel="1" x14ac:dyDescent="0.25">
      <c r="A42" s="48" t="s">
        <v>74</v>
      </c>
      <c r="B42" s="78" t="s">
        <v>129</v>
      </c>
      <c r="C42" s="59">
        <f>'Custos Diversos'!E164</f>
        <v>1293.6736491271517</v>
      </c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412"/>
      <c r="O42" s="413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413"/>
      <c r="AB42" s="227"/>
      <c r="AC42" s="227"/>
      <c r="AD42" s="227"/>
      <c r="AE42" s="227"/>
      <c r="AF42" s="227"/>
      <c r="AG42" s="227"/>
      <c r="AH42" s="227"/>
      <c r="AI42" s="227"/>
      <c r="AJ42" s="227"/>
      <c r="AK42" s="414"/>
    </row>
    <row r="43" spans="1:37" ht="20.149999999999999" customHeight="1" outlineLevel="1" x14ac:dyDescent="0.25">
      <c r="A43" s="48" t="s">
        <v>75</v>
      </c>
      <c r="B43" s="82" t="s">
        <v>335</v>
      </c>
      <c r="C43" s="227">
        <f>'Rentabilidade-Cult.Perma.'!AN157</f>
        <v>22500</v>
      </c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412"/>
      <c r="O43" s="413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413"/>
      <c r="AB43" s="227"/>
      <c r="AC43" s="227"/>
      <c r="AD43" s="227"/>
      <c r="AE43" s="227"/>
      <c r="AF43" s="227"/>
      <c r="AG43" s="227"/>
      <c r="AH43" s="227"/>
      <c r="AI43" s="227"/>
      <c r="AJ43" s="227"/>
      <c r="AK43" s="414"/>
    </row>
    <row r="44" spans="1:37" ht="20.149999999999999" customHeight="1" outlineLevel="1" x14ac:dyDescent="0.25">
      <c r="A44" s="48" t="s">
        <v>76</v>
      </c>
      <c r="B44" s="82" t="s">
        <v>336</v>
      </c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412"/>
      <c r="O44" s="413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413"/>
      <c r="AB44" s="227"/>
      <c r="AC44" s="227"/>
      <c r="AD44" s="227"/>
      <c r="AE44" s="227"/>
      <c r="AF44" s="227"/>
      <c r="AG44" s="227"/>
      <c r="AH44" s="227"/>
      <c r="AI44" s="227"/>
      <c r="AJ44" s="227"/>
      <c r="AK44" s="414"/>
    </row>
    <row r="45" spans="1:37" ht="20.149999999999999" customHeight="1" outlineLevel="1" x14ac:dyDescent="0.25">
      <c r="A45" s="48" t="s">
        <v>126</v>
      </c>
      <c r="B45" s="82" t="s">
        <v>130</v>
      </c>
      <c r="C45" s="227">
        <f>'Rentabilidade-Cult.Perma.'!AN162-'Rentabilidade-Cult.Perma.'!AN157</f>
        <v>23438.400000000001</v>
      </c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412"/>
      <c r="O45" s="413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413"/>
      <c r="AB45" s="227"/>
      <c r="AC45" s="227"/>
      <c r="AD45" s="227"/>
      <c r="AE45" s="227"/>
      <c r="AF45" s="227"/>
      <c r="AG45" s="227"/>
      <c r="AH45" s="227"/>
      <c r="AI45" s="227"/>
      <c r="AJ45" s="227"/>
      <c r="AK45" s="414"/>
    </row>
    <row r="46" spans="1:37" ht="20.149999999999999" customHeight="1" outlineLevel="1" x14ac:dyDescent="0.25">
      <c r="A46" s="737"/>
      <c r="B46" s="415" t="s">
        <v>131</v>
      </c>
      <c r="C46" s="416"/>
      <c r="D46" s="64"/>
      <c r="E46" s="227"/>
      <c r="F46" s="227"/>
      <c r="G46" s="227"/>
      <c r="H46" s="227"/>
      <c r="I46" s="227"/>
      <c r="J46" s="227"/>
      <c r="K46" s="227"/>
      <c r="L46" s="227"/>
      <c r="M46" s="227"/>
      <c r="N46" s="412"/>
      <c r="O46" s="413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413"/>
      <c r="AB46" s="227"/>
      <c r="AC46" s="227"/>
      <c r="AD46" s="227"/>
      <c r="AE46" s="227"/>
      <c r="AF46" s="227"/>
      <c r="AG46" s="227"/>
      <c r="AH46" s="227"/>
      <c r="AI46" s="227"/>
      <c r="AJ46" s="227"/>
      <c r="AK46" s="414"/>
    </row>
    <row r="47" spans="1:37" ht="20.149999999999999" customHeight="1" outlineLevel="1" x14ac:dyDescent="0.25">
      <c r="A47" s="85" t="s">
        <v>135</v>
      </c>
      <c r="B47" s="82" t="s">
        <v>142</v>
      </c>
      <c r="C47" s="227">
        <f>'Rentabilidade-Cult.Perma.'!AN115</f>
        <v>15865.351999999999</v>
      </c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412"/>
      <c r="O47" s="413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413"/>
      <c r="AB47" s="227"/>
      <c r="AC47" s="227"/>
      <c r="AD47" s="227"/>
      <c r="AE47" s="227"/>
      <c r="AF47" s="227"/>
      <c r="AG47" s="227"/>
      <c r="AH47" s="227"/>
      <c r="AI47" s="227"/>
      <c r="AJ47" s="227"/>
      <c r="AK47" s="414"/>
    </row>
    <row r="48" spans="1:37" ht="20.149999999999999" customHeight="1" outlineLevel="1" x14ac:dyDescent="0.25">
      <c r="A48" s="85" t="s">
        <v>157</v>
      </c>
      <c r="B48" s="34" t="s">
        <v>146</v>
      </c>
      <c r="C48" s="227">
        <f>'Rentabilidade-Cult.Perma.'!AN136</f>
        <v>7772</v>
      </c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412"/>
      <c r="O48" s="413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413"/>
      <c r="AB48" s="227"/>
      <c r="AC48" s="227"/>
      <c r="AD48" s="227"/>
      <c r="AE48" s="227"/>
      <c r="AF48" s="227"/>
      <c r="AG48" s="227"/>
      <c r="AH48" s="227"/>
      <c r="AI48" s="227"/>
      <c r="AJ48" s="227"/>
      <c r="AK48" s="414"/>
    </row>
    <row r="49" spans="1:39" ht="20.149999999999999" customHeight="1" outlineLevel="1" x14ac:dyDescent="0.25">
      <c r="A49" s="85" t="s">
        <v>158</v>
      </c>
      <c r="B49" s="82" t="s">
        <v>143</v>
      </c>
      <c r="C49" s="227">
        <f>'Rentabilidade-Cult.Perma.'!AN152</f>
        <v>7635</v>
      </c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412"/>
      <c r="O49" s="413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413"/>
      <c r="AB49" s="227"/>
      <c r="AC49" s="227"/>
      <c r="AD49" s="227"/>
      <c r="AE49" s="227"/>
      <c r="AF49" s="227"/>
      <c r="AG49" s="227"/>
      <c r="AH49" s="227"/>
      <c r="AI49" s="227"/>
      <c r="AJ49" s="227"/>
      <c r="AK49" s="414"/>
    </row>
    <row r="50" spans="1:39" ht="20.149999999999999" customHeight="1" outlineLevel="1" x14ac:dyDescent="0.25">
      <c r="A50" s="85" t="s">
        <v>159</v>
      </c>
      <c r="B50" s="34" t="s">
        <v>141</v>
      </c>
      <c r="C50" s="227">
        <f>SUM('Rentabilidade-Cult.Perma.'!AN167:AN174)</f>
        <v>3996.2008214399998</v>
      </c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412"/>
      <c r="O50" s="413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413"/>
      <c r="AB50" s="227"/>
      <c r="AC50" s="227"/>
      <c r="AD50" s="227"/>
      <c r="AE50" s="227"/>
      <c r="AF50" s="227"/>
      <c r="AG50" s="227"/>
      <c r="AH50" s="227"/>
      <c r="AI50" s="227"/>
      <c r="AJ50" s="227"/>
      <c r="AK50" s="414"/>
    </row>
    <row r="51" spans="1:39" ht="20.149999999999999" customHeight="1" outlineLevel="1" thickBot="1" x14ac:dyDescent="0.3">
      <c r="A51" s="96"/>
      <c r="B51" s="87" t="s">
        <v>148</v>
      </c>
      <c r="C51" s="417">
        <f>SUM(C42:C50)</f>
        <v>82500.626470567149</v>
      </c>
      <c r="D51" s="417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  <c r="AI51" s="417"/>
      <c r="AJ51" s="417"/>
      <c r="AK51" s="418"/>
    </row>
    <row r="52" spans="1:39" ht="20.149999999999999" customHeight="1" outlineLevel="1" thickBot="1" x14ac:dyDescent="0.3">
      <c r="A52" s="14"/>
      <c r="C52" s="419"/>
      <c r="D52" s="419"/>
      <c r="E52" s="419"/>
      <c r="F52" s="419"/>
      <c r="G52" s="419"/>
      <c r="H52" s="419"/>
      <c r="I52" s="419"/>
      <c r="J52" s="419"/>
      <c r="K52" s="419"/>
      <c r="L52" s="419"/>
      <c r="M52" s="419"/>
      <c r="N52" s="419"/>
      <c r="O52" s="420"/>
      <c r="P52" s="419"/>
      <c r="Q52" s="419"/>
      <c r="R52" s="419"/>
      <c r="S52" s="419"/>
      <c r="T52" s="419"/>
      <c r="U52" s="419"/>
      <c r="V52" s="419"/>
      <c r="W52" s="419"/>
      <c r="X52" s="419"/>
      <c r="Y52" s="419"/>
      <c r="Z52" s="419"/>
      <c r="AA52" s="420"/>
      <c r="AB52" s="419"/>
      <c r="AC52" s="419"/>
      <c r="AD52" s="419"/>
      <c r="AE52" s="419"/>
      <c r="AF52" s="419"/>
      <c r="AG52" s="419"/>
      <c r="AH52" s="419"/>
      <c r="AI52" s="419"/>
      <c r="AJ52" s="419"/>
      <c r="AK52" s="419"/>
    </row>
    <row r="53" spans="1:39" ht="20.149999999999999" customHeight="1" outlineLevel="1" x14ac:dyDescent="0.25">
      <c r="A53" s="71">
        <v>2</v>
      </c>
      <c r="B53" s="76" t="s">
        <v>136</v>
      </c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  <c r="N53" s="421"/>
      <c r="O53" s="422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2"/>
      <c r="AB53" s="421"/>
      <c r="AC53" s="421"/>
      <c r="AD53" s="421"/>
      <c r="AE53" s="421"/>
      <c r="AF53" s="421"/>
      <c r="AG53" s="421"/>
      <c r="AH53" s="421"/>
      <c r="AI53" s="421"/>
      <c r="AJ53" s="421"/>
      <c r="AK53" s="423"/>
    </row>
    <row r="54" spans="1:39" ht="20.149999999999999" customHeight="1" outlineLevel="1" x14ac:dyDescent="0.25">
      <c r="A54" s="48" t="s">
        <v>137</v>
      </c>
      <c r="B54" s="82" t="s">
        <v>142</v>
      </c>
      <c r="C54" s="227"/>
      <c r="D54" s="227">
        <f>'Rentabilidade-Cult.Perma.'!AO115</f>
        <v>10060.412</v>
      </c>
      <c r="E54" s="227">
        <f>'Rentabilidade-Cult.Perma.'!AP115</f>
        <v>10050.662</v>
      </c>
      <c r="F54" s="227">
        <f>'Rentabilidade-Cult.Perma.'!AQ115</f>
        <v>10050.662</v>
      </c>
      <c r="G54" s="227">
        <f>'Rentabilidade-Cult.Perma.'!AR115</f>
        <v>9338.8459999999995</v>
      </c>
      <c r="H54" s="227">
        <f>'Rentabilidade-Cult.Perma.'!AS115</f>
        <v>9338.8459999999995</v>
      </c>
      <c r="I54" s="227">
        <f>'Rentabilidade-Cult.Perma.'!AT115</f>
        <v>9338.8459999999995</v>
      </c>
      <c r="J54" s="67">
        <f>'Rentabilidade-Cult.Perma.'!AU115</f>
        <v>9338.8459999999995</v>
      </c>
      <c r="K54" s="67">
        <f>'Rentabilidade-Cult.Perma.'!AV115</f>
        <v>9338.8459999999995</v>
      </c>
      <c r="L54" s="67">
        <f>'Rentabilidade-Cult.Perma.'!AW115</f>
        <v>9338.8459999999995</v>
      </c>
      <c r="M54" s="67">
        <f>'Rentabilidade-Cult.Perma.'!AX115</f>
        <v>9338.8459999999995</v>
      </c>
      <c r="N54" s="68">
        <f>'Rentabilidade-Cult.Perma.'!AY115</f>
        <v>9338.8459999999995</v>
      </c>
      <c r="O54" s="447">
        <f>'Rentabilidade-Cult.Perma.'!AZ115</f>
        <v>15865.351999999999</v>
      </c>
      <c r="P54" s="67">
        <f>'Rentabilidade-Cult.Perma.'!BA115</f>
        <v>10060.412</v>
      </c>
      <c r="Q54" s="67">
        <f>'Rentabilidade-Cult.Perma.'!BB115</f>
        <v>10050.662</v>
      </c>
      <c r="R54" s="67">
        <f>'Rentabilidade-Cult.Perma.'!BC115</f>
        <v>10050.662</v>
      </c>
      <c r="S54" s="67">
        <f>'Rentabilidade-Cult.Perma.'!BD115</f>
        <v>9338.8459999999995</v>
      </c>
      <c r="T54" s="67">
        <f>'Rentabilidade-Cult.Perma.'!BE115</f>
        <v>9338.8459999999995</v>
      </c>
      <c r="U54" s="67">
        <f>'Rentabilidade-Cult.Perma.'!BF115</f>
        <v>9338.8459999999995</v>
      </c>
      <c r="V54" s="67">
        <f>'Rentabilidade-Cult.Perma.'!BG115</f>
        <v>9338.8459999999995</v>
      </c>
      <c r="W54" s="67">
        <f>'Rentabilidade-Cult.Perma.'!BH115</f>
        <v>9338.8459999999995</v>
      </c>
      <c r="X54" s="67">
        <f>'Rentabilidade-Cult.Perma.'!BI115</f>
        <v>9338.8459999999995</v>
      </c>
      <c r="Y54" s="67">
        <f>'Rentabilidade-Cult.Perma.'!BJ115</f>
        <v>9338.8459999999995</v>
      </c>
      <c r="Z54" s="67">
        <f>'Rentabilidade-Cult.Perma.'!BK115</f>
        <v>9338.8459999999995</v>
      </c>
      <c r="AA54" s="447">
        <f>'Rentabilidade-Cult.Perma.'!BL115</f>
        <v>15865.351999999999</v>
      </c>
      <c r="AB54" s="67">
        <f>'Rentabilidade-Cult.Perma.'!BM115</f>
        <v>10060.412</v>
      </c>
      <c r="AC54" s="67">
        <f>'Rentabilidade-Cult.Perma.'!BN115</f>
        <v>10050.662</v>
      </c>
      <c r="AD54" s="67">
        <f>'Rentabilidade-Cult.Perma.'!BO115</f>
        <v>10050.662</v>
      </c>
      <c r="AE54" s="67">
        <f>'Rentabilidade-Cult.Perma.'!BP115</f>
        <v>9338.8459999999995</v>
      </c>
      <c r="AF54" s="67">
        <f>'Rentabilidade-Cult.Perma.'!BQ115</f>
        <v>9338.8459999999995</v>
      </c>
      <c r="AG54" s="67">
        <f>'Rentabilidade-Cult.Perma.'!BR115</f>
        <v>9338.8459999999995</v>
      </c>
      <c r="AH54" s="67">
        <f>'Rentabilidade-Cult.Perma.'!BS115</f>
        <v>9338.8459999999995</v>
      </c>
      <c r="AI54" s="67">
        <f>'Rentabilidade-Cult.Perma.'!BT115</f>
        <v>9338.8459999999995</v>
      </c>
      <c r="AJ54" s="67">
        <f>'Rentabilidade-Cult.Perma.'!BU115</f>
        <v>9338.8459999999995</v>
      </c>
      <c r="AK54" s="69">
        <f>'Rentabilidade-Cult.Perma.'!BV115</f>
        <v>9338.8459999999995</v>
      </c>
    </row>
    <row r="55" spans="1:39" ht="20.149999999999999" customHeight="1" outlineLevel="1" x14ac:dyDescent="0.25">
      <c r="A55" s="48" t="s">
        <v>138</v>
      </c>
      <c r="B55" s="34" t="s">
        <v>146</v>
      </c>
      <c r="C55" s="227"/>
      <c r="D55" s="227">
        <f>'Rentabilidade-Cult.Perma.'!AO136</f>
        <v>11679.5625</v>
      </c>
      <c r="E55" s="227">
        <f>'Rentabilidade-Cult.Perma.'!AP136</f>
        <v>11080.8125</v>
      </c>
      <c r="F55" s="227">
        <f>'Rentabilidade-Cult.Perma.'!AQ136</f>
        <v>10540.0625</v>
      </c>
      <c r="G55" s="227">
        <f>'Rentabilidade-Cult.Perma.'!AR136</f>
        <v>10173.125</v>
      </c>
      <c r="H55" s="227">
        <f>'Rentabilidade-Cult.Perma.'!AS136</f>
        <v>9806.1875</v>
      </c>
      <c r="I55" s="227">
        <f>'Rentabilidade-Cult.Perma.'!AT136</f>
        <v>9265.4375</v>
      </c>
      <c r="J55" s="227">
        <f>'Rentabilidade-Cult.Perma.'!AU136</f>
        <v>9265.4375</v>
      </c>
      <c r="K55" s="227">
        <f>'Rentabilidade-Cult.Perma.'!AV136</f>
        <v>9265.4375</v>
      </c>
      <c r="L55" s="227">
        <f>'Rentabilidade-Cult.Perma.'!AW136</f>
        <v>9265.4375</v>
      </c>
      <c r="M55" s="227">
        <f>'Rentabilidade-Cult.Perma.'!AX136</f>
        <v>8357.75</v>
      </c>
      <c r="N55" s="412">
        <f>'Rentabilidade-Cult.Perma.'!AY136</f>
        <v>7990.8125</v>
      </c>
      <c r="O55" s="413">
        <f>'Rentabilidade-Cult.Perma.'!AZ136</f>
        <v>7772</v>
      </c>
      <c r="P55" s="227">
        <f>'Rentabilidade-Cult.Perma.'!BA136</f>
        <v>11679.5625</v>
      </c>
      <c r="Q55" s="227">
        <f>'Rentabilidade-Cult.Perma.'!BB136</f>
        <v>11080.8125</v>
      </c>
      <c r="R55" s="227">
        <f>'Rentabilidade-Cult.Perma.'!BC136</f>
        <v>10540.0625</v>
      </c>
      <c r="S55" s="227">
        <f>'Rentabilidade-Cult.Perma.'!BD136</f>
        <v>10173.125</v>
      </c>
      <c r="T55" s="227">
        <f>'Rentabilidade-Cult.Perma.'!BE136</f>
        <v>9806.1875</v>
      </c>
      <c r="U55" s="227">
        <f>'Rentabilidade-Cult.Perma.'!BF136</f>
        <v>9265.4375</v>
      </c>
      <c r="V55" s="227">
        <f>'Rentabilidade-Cult.Perma.'!BG136</f>
        <v>9265.4375</v>
      </c>
      <c r="W55" s="227">
        <f>'Rentabilidade-Cult.Perma.'!BH136</f>
        <v>9265.4375</v>
      </c>
      <c r="X55" s="227">
        <f>'Rentabilidade-Cult.Perma.'!BI136</f>
        <v>9265.4375</v>
      </c>
      <c r="Y55" s="227">
        <f>'Rentabilidade-Cult.Perma.'!BJ136</f>
        <v>8357.75</v>
      </c>
      <c r="Z55" s="227">
        <f>'Rentabilidade-Cult.Perma.'!BK136</f>
        <v>7990.8125</v>
      </c>
      <c r="AA55" s="413">
        <f>'Rentabilidade-Cult.Perma.'!BL136</f>
        <v>7772</v>
      </c>
      <c r="AB55" s="227">
        <f>'Rentabilidade-Cult.Perma.'!BM136</f>
        <v>11679.5625</v>
      </c>
      <c r="AC55" s="227">
        <f>'Rentabilidade-Cult.Perma.'!BN136</f>
        <v>11080.8125</v>
      </c>
      <c r="AD55" s="227">
        <f>'Rentabilidade-Cult.Perma.'!BO136</f>
        <v>10540.0625</v>
      </c>
      <c r="AE55" s="227">
        <f>'Rentabilidade-Cult.Perma.'!BP136</f>
        <v>10173.125</v>
      </c>
      <c r="AF55" s="227">
        <f>'Rentabilidade-Cult.Perma.'!BQ136</f>
        <v>9806.1875</v>
      </c>
      <c r="AG55" s="227">
        <f>'Rentabilidade-Cult.Perma.'!BR136</f>
        <v>9265.4375</v>
      </c>
      <c r="AH55" s="227">
        <f>'Rentabilidade-Cult.Perma.'!BS136</f>
        <v>9265.4375</v>
      </c>
      <c r="AI55" s="227">
        <f>'Rentabilidade-Cult.Perma.'!BT136</f>
        <v>9265.4375</v>
      </c>
      <c r="AJ55" s="227">
        <f>'Rentabilidade-Cult.Perma.'!BU136</f>
        <v>9265.4375</v>
      </c>
      <c r="AK55" s="414">
        <f>'Rentabilidade-Cult.Perma.'!BV136</f>
        <v>8357.75</v>
      </c>
    </row>
    <row r="56" spans="1:39" ht="20.149999999999999" customHeight="1" outlineLevel="1" x14ac:dyDescent="0.25">
      <c r="A56" s="48" t="s">
        <v>139</v>
      </c>
      <c r="B56" s="82" t="s">
        <v>143</v>
      </c>
      <c r="C56" s="227"/>
      <c r="D56" s="227">
        <f>'Rentabilidade-Cult.Perma.'!AO152</f>
        <v>3425</v>
      </c>
      <c r="E56" s="227">
        <f>'Rentabilidade-Cult.Perma.'!AP152</f>
        <v>2862.5</v>
      </c>
      <c r="F56" s="227">
        <f>'Rentabilidade-Cult.Perma.'!AQ152</f>
        <v>2800</v>
      </c>
      <c r="G56" s="227">
        <f>'Rentabilidade-Cult.Perma.'!AR152</f>
        <v>2862.5</v>
      </c>
      <c r="H56" s="227">
        <f>'Rentabilidade-Cult.Perma.'!AS152</f>
        <v>2800</v>
      </c>
      <c r="I56" s="227">
        <f>'Rentabilidade-Cult.Perma.'!AT152</f>
        <v>2862.5</v>
      </c>
      <c r="J56" s="227">
        <f>'Rentabilidade-Cult.Perma.'!AU152</f>
        <v>2800</v>
      </c>
      <c r="K56" s="227">
        <f>'Rentabilidade-Cult.Perma.'!AV152</f>
        <v>2862.5</v>
      </c>
      <c r="L56" s="227">
        <f>'Rentabilidade-Cult.Perma.'!AW152</f>
        <v>2800</v>
      </c>
      <c r="M56" s="227">
        <f>'Rentabilidade-Cult.Perma.'!AX152</f>
        <v>2862.5</v>
      </c>
      <c r="N56" s="412">
        <f>'Rentabilidade-Cult.Perma.'!AY152</f>
        <v>2800</v>
      </c>
      <c r="O56" s="413">
        <f>'Rentabilidade-Cult.Perma.'!AZ152</f>
        <v>12659</v>
      </c>
      <c r="P56" s="227">
        <f>'Rentabilidade-Cult.Perma.'!BA152</f>
        <v>3425</v>
      </c>
      <c r="Q56" s="227">
        <f>'Rentabilidade-Cult.Perma.'!BB152</f>
        <v>2862.5</v>
      </c>
      <c r="R56" s="227">
        <f>'Rentabilidade-Cult.Perma.'!BC152</f>
        <v>2800</v>
      </c>
      <c r="S56" s="227">
        <f>'Rentabilidade-Cult.Perma.'!BD152</f>
        <v>2862.5</v>
      </c>
      <c r="T56" s="227">
        <f>'Rentabilidade-Cult.Perma.'!BE152</f>
        <v>2800</v>
      </c>
      <c r="U56" s="227">
        <f>'Rentabilidade-Cult.Perma.'!BF152</f>
        <v>2862.5</v>
      </c>
      <c r="V56" s="227">
        <f>'Rentabilidade-Cult.Perma.'!BG152</f>
        <v>2800</v>
      </c>
      <c r="W56" s="227">
        <f>'Rentabilidade-Cult.Perma.'!BH152</f>
        <v>2862.5</v>
      </c>
      <c r="X56" s="227">
        <f>'Rentabilidade-Cult.Perma.'!BI152</f>
        <v>2800</v>
      </c>
      <c r="Y56" s="227">
        <f>'Rentabilidade-Cult.Perma.'!BJ152</f>
        <v>2862.5</v>
      </c>
      <c r="Z56" s="227">
        <f>'Rentabilidade-Cult.Perma.'!BK152</f>
        <v>2800</v>
      </c>
      <c r="AA56" s="413">
        <f>'Rentabilidade-Cult.Perma.'!BL152</f>
        <v>12659</v>
      </c>
      <c r="AB56" s="227">
        <f>'Rentabilidade-Cult.Perma.'!BM152</f>
        <v>3425</v>
      </c>
      <c r="AC56" s="227">
        <f>'Rentabilidade-Cult.Perma.'!BN152</f>
        <v>2862.5</v>
      </c>
      <c r="AD56" s="227">
        <f>'Rentabilidade-Cult.Perma.'!BO152</f>
        <v>2800</v>
      </c>
      <c r="AE56" s="227">
        <f>'Rentabilidade-Cult.Perma.'!BP152</f>
        <v>2862.5</v>
      </c>
      <c r="AF56" s="227">
        <f>'Rentabilidade-Cult.Perma.'!BQ152</f>
        <v>2800</v>
      </c>
      <c r="AG56" s="227">
        <f>'Rentabilidade-Cult.Perma.'!BR152</f>
        <v>2862.5</v>
      </c>
      <c r="AH56" s="227">
        <f>'Rentabilidade-Cult.Perma.'!BS152</f>
        <v>2800</v>
      </c>
      <c r="AI56" s="227">
        <f>'Rentabilidade-Cult.Perma.'!BT152</f>
        <v>2862.5</v>
      </c>
      <c r="AJ56" s="227">
        <f>'Rentabilidade-Cult.Perma.'!BU152</f>
        <v>2800</v>
      </c>
      <c r="AK56" s="414">
        <f>'Rentabilidade-Cult.Perma.'!BV152</f>
        <v>2862.5</v>
      </c>
    </row>
    <row r="57" spans="1:39" ht="20.149999999999999" customHeight="1" outlineLevel="1" x14ac:dyDescent="0.25">
      <c r="A57" s="48" t="s">
        <v>140</v>
      </c>
      <c r="B57" s="34" t="s">
        <v>141</v>
      </c>
      <c r="C57" s="227"/>
      <c r="D57" s="227">
        <f>SUM('Rentabilidade-Cult.Perma.'!AO167:AO174)</f>
        <v>4225.8928214400003</v>
      </c>
      <c r="E57" s="227">
        <f>SUM('Rentabilidade-Cult.Perma.'!AP167:AP174)</f>
        <v>4340.7388214399998</v>
      </c>
      <c r="F57" s="227">
        <f>SUM('Rentabilidade-Cult.Perma.'!AQ167:AQ174)</f>
        <v>4340.7388214399998</v>
      </c>
      <c r="G57" s="227">
        <f>SUM('Rentabilidade-Cult.Perma.'!AR167:AR174)</f>
        <v>4455.5848214399994</v>
      </c>
      <c r="H57" s="227">
        <f>SUM('Rentabilidade-Cult.Perma.'!AS167:AS174)</f>
        <v>4455.5848214399994</v>
      </c>
      <c r="I57" s="227">
        <f>SUM('Rentabilidade-Cult.Perma.'!AT167:AT174)</f>
        <v>4685.2768214400003</v>
      </c>
      <c r="J57" s="227">
        <f>SUM('Rentabilidade-Cult.Perma.'!AU167:AU174)</f>
        <v>4685.2768214400003</v>
      </c>
      <c r="K57" s="227">
        <f>SUM('Rentabilidade-Cult.Perma.'!AV167:AV174)</f>
        <v>4685.2768214400003</v>
      </c>
      <c r="L57" s="227">
        <f>SUM('Rentabilidade-Cult.Perma.'!AW167:AW174)</f>
        <v>4685.2768214400003</v>
      </c>
      <c r="M57" s="227">
        <f>SUM('Rentabilidade-Cult.Perma.'!AX167:AX174)</f>
        <v>4685.2768214400003</v>
      </c>
      <c r="N57" s="412">
        <f>SUM('Rentabilidade-Cult.Perma.'!AY167:AY174)</f>
        <v>4685.2768214400003</v>
      </c>
      <c r="O57" s="413">
        <f>SUM('Rentabilidade-Cult.Perma.'!AZ167:AZ174)</f>
        <v>3996.2008214399998</v>
      </c>
      <c r="P57" s="227">
        <f>SUM('Rentabilidade-Cult.Perma.'!BA167:BA174)</f>
        <v>4225.8928214400003</v>
      </c>
      <c r="Q57" s="227">
        <f>SUM('Rentabilidade-Cult.Perma.'!BB167:BB174)</f>
        <v>4340.7388214399998</v>
      </c>
      <c r="R57" s="227">
        <f>SUM('Rentabilidade-Cult.Perma.'!BC167:BC174)</f>
        <v>4340.7388214399998</v>
      </c>
      <c r="S57" s="227">
        <f>SUM('Rentabilidade-Cult.Perma.'!BD167:BD174)</f>
        <v>4455.5848214399994</v>
      </c>
      <c r="T57" s="227">
        <f>SUM('Rentabilidade-Cult.Perma.'!BE167:BE174)</f>
        <v>4455.5848214399994</v>
      </c>
      <c r="U57" s="227">
        <f>SUM('Rentabilidade-Cult.Perma.'!BF167:BF174)</f>
        <v>4685.2768214400003</v>
      </c>
      <c r="V57" s="227">
        <f>SUM('Rentabilidade-Cult.Perma.'!BG167:BG174)</f>
        <v>4685.2768214400003</v>
      </c>
      <c r="W57" s="227">
        <f>SUM('Rentabilidade-Cult.Perma.'!BH167:BH174)</f>
        <v>4685.2768214400003</v>
      </c>
      <c r="X57" s="227">
        <f>SUM('Rentabilidade-Cult.Perma.'!BI167:BI174)</f>
        <v>4685.2768214400003</v>
      </c>
      <c r="Y57" s="227">
        <f>SUM('Rentabilidade-Cult.Perma.'!BJ167:BJ174)</f>
        <v>4685.2768214400003</v>
      </c>
      <c r="Z57" s="227">
        <f>SUM('Rentabilidade-Cult.Perma.'!BK167:BK174)</f>
        <v>4685.2768214400003</v>
      </c>
      <c r="AA57" s="413">
        <f>SUM('Rentabilidade-Cult.Perma.'!BL167:BL174)</f>
        <v>3996.2008214399998</v>
      </c>
      <c r="AB57" s="227">
        <f>SUM('Rentabilidade-Cult.Perma.'!BM167:BM174)</f>
        <v>4225.8928214400003</v>
      </c>
      <c r="AC57" s="227">
        <f>SUM('Rentabilidade-Cult.Perma.'!BN167:BN174)</f>
        <v>4340.7388214399998</v>
      </c>
      <c r="AD57" s="227">
        <f>SUM('Rentabilidade-Cult.Perma.'!BO167:BO174)</f>
        <v>4340.7388214399998</v>
      </c>
      <c r="AE57" s="227">
        <f>SUM('Rentabilidade-Cult.Perma.'!BP167:BP174)</f>
        <v>4455.5848214399994</v>
      </c>
      <c r="AF57" s="227">
        <f>SUM('Rentabilidade-Cult.Perma.'!BQ167:BQ174)</f>
        <v>4455.5848214399994</v>
      </c>
      <c r="AG57" s="227">
        <f>SUM('Rentabilidade-Cult.Perma.'!BR167:BR174)</f>
        <v>4685.2768214400003</v>
      </c>
      <c r="AH57" s="227">
        <f>SUM('Rentabilidade-Cult.Perma.'!BS167:BS174)</f>
        <v>4685.2768214400003</v>
      </c>
      <c r="AI57" s="227">
        <f>SUM('Rentabilidade-Cult.Perma.'!BT167:BT174)</f>
        <v>4685.2768214400003</v>
      </c>
      <c r="AJ57" s="227">
        <f>SUM('Rentabilidade-Cult.Perma.'!BU167:BU174)</f>
        <v>4685.2768214400003</v>
      </c>
      <c r="AK57" s="414">
        <f>SUM('Rentabilidade-Cult.Perma.'!BV167:BV174)</f>
        <v>4685.2768214400003</v>
      </c>
    </row>
    <row r="58" spans="1:39" ht="20.149999999999999" customHeight="1" outlineLevel="1" thickBot="1" x14ac:dyDescent="0.3">
      <c r="A58" s="96"/>
      <c r="B58" s="87" t="s">
        <v>149</v>
      </c>
      <c r="C58" s="424">
        <f t="shared" ref="C58:AK58" si="8">SUM(C54:C57)</f>
        <v>0</v>
      </c>
      <c r="D58" s="424">
        <f t="shared" si="8"/>
        <v>29390.867321440001</v>
      </c>
      <c r="E58" s="424">
        <f t="shared" si="8"/>
        <v>28334.713321440002</v>
      </c>
      <c r="F58" s="424">
        <f t="shared" si="8"/>
        <v>27731.463321440002</v>
      </c>
      <c r="G58" s="424">
        <f t="shared" si="8"/>
        <v>26830.055821439997</v>
      </c>
      <c r="H58" s="424">
        <f t="shared" si="8"/>
        <v>26400.618321439997</v>
      </c>
      <c r="I58" s="424">
        <f t="shared" si="8"/>
        <v>26152.060321439996</v>
      </c>
      <c r="J58" s="424">
        <f t="shared" si="8"/>
        <v>26089.560321439996</v>
      </c>
      <c r="K58" s="424">
        <f t="shared" si="8"/>
        <v>26152.060321439996</v>
      </c>
      <c r="L58" s="424">
        <f t="shared" si="8"/>
        <v>26089.560321439996</v>
      </c>
      <c r="M58" s="424">
        <f t="shared" si="8"/>
        <v>25244.372821439996</v>
      </c>
      <c r="N58" s="425">
        <f t="shared" si="8"/>
        <v>24814.935321439996</v>
      </c>
      <c r="O58" s="426">
        <f t="shared" si="8"/>
        <v>40292.552821439996</v>
      </c>
      <c r="P58" s="424">
        <f t="shared" si="8"/>
        <v>29390.867321440001</v>
      </c>
      <c r="Q58" s="424">
        <f t="shared" si="8"/>
        <v>28334.713321440002</v>
      </c>
      <c r="R58" s="424">
        <f t="shared" si="8"/>
        <v>27731.463321440002</v>
      </c>
      <c r="S58" s="424">
        <f t="shared" si="8"/>
        <v>26830.055821439997</v>
      </c>
      <c r="T58" s="424">
        <f t="shared" si="8"/>
        <v>26400.618321439997</v>
      </c>
      <c r="U58" s="424">
        <f t="shared" si="8"/>
        <v>26152.060321439996</v>
      </c>
      <c r="V58" s="424">
        <f t="shared" si="8"/>
        <v>26089.560321439996</v>
      </c>
      <c r="W58" s="424">
        <f t="shared" si="8"/>
        <v>26152.060321439996</v>
      </c>
      <c r="X58" s="424">
        <f t="shared" si="8"/>
        <v>26089.560321439996</v>
      </c>
      <c r="Y58" s="424">
        <f t="shared" si="8"/>
        <v>25244.372821439996</v>
      </c>
      <c r="Z58" s="424">
        <f t="shared" si="8"/>
        <v>24814.935321439996</v>
      </c>
      <c r="AA58" s="426">
        <f t="shared" si="8"/>
        <v>40292.552821439996</v>
      </c>
      <c r="AB58" s="424">
        <f t="shared" si="8"/>
        <v>29390.867321440001</v>
      </c>
      <c r="AC58" s="424">
        <f t="shared" si="8"/>
        <v>28334.713321440002</v>
      </c>
      <c r="AD58" s="424">
        <f t="shared" si="8"/>
        <v>27731.463321440002</v>
      </c>
      <c r="AE58" s="424">
        <f t="shared" si="8"/>
        <v>26830.055821439997</v>
      </c>
      <c r="AF58" s="424">
        <f t="shared" si="8"/>
        <v>26400.618321439997</v>
      </c>
      <c r="AG58" s="424">
        <f t="shared" si="8"/>
        <v>26152.060321439996</v>
      </c>
      <c r="AH58" s="424">
        <f t="shared" si="8"/>
        <v>26089.560321439996</v>
      </c>
      <c r="AI58" s="424">
        <f t="shared" si="8"/>
        <v>26152.060321439996</v>
      </c>
      <c r="AJ58" s="424">
        <f t="shared" si="8"/>
        <v>26089.560321439996</v>
      </c>
      <c r="AK58" s="427">
        <f t="shared" si="8"/>
        <v>25244.372821439996</v>
      </c>
    </row>
    <row r="59" spans="1:39" ht="20.149999999999999" customHeight="1" outlineLevel="1" thickBot="1" x14ac:dyDescent="0.3">
      <c r="A59" s="14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9" ht="20.149999999999999" customHeight="1" outlineLevel="1" x14ac:dyDescent="0.25">
      <c r="A60" s="428">
        <v>3</v>
      </c>
      <c r="B60" s="97" t="s">
        <v>144</v>
      </c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2"/>
      <c r="P60" s="421"/>
      <c r="Q60" s="421"/>
      <c r="R60" s="421"/>
      <c r="S60" s="421"/>
      <c r="T60" s="421"/>
      <c r="U60" s="421"/>
      <c r="V60" s="421"/>
      <c r="W60" s="421"/>
      <c r="X60" s="421"/>
      <c r="Y60" s="421"/>
      <c r="Z60" s="421"/>
      <c r="AA60" s="422"/>
      <c r="AB60" s="421"/>
      <c r="AC60" s="421"/>
      <c r="AD60" s="421"/>
      <c r="AE60" s="421"/>
      <c r="AF60" s="421"/>
      <c r="AG60" s="421"/>
      <c r="AH60" s="421"/>
      <c r="AI60" s="421"/>
      <c r="AJ60" s="421"/>
      <c r="AK60" s="423"/>
    </row>
    <row r="61" spans="1:39" ht="20.149999999999999" customHeight="1" outlineLevel="1" x14ac:dyDescent="0.25">
      <c r="A61" s="429" t="s">
        <v>147</v>
      </c>
      <c r="B61" s="22" t="s">
        <v>155</v>
      </c>
      <c r="C61" s="227">
        <f>'Rentabilidade-Cult.Perma.'!AN182</f>
        <v>0</v>
      </c>
      <c r="D61" s="227">
        <f>'Rentabilidade-Cult.Perma.'!AO182</f>
        <v>82110</v>
      </c>
      <c r="E61" s="227">
        <f>'Rentabilidade-Cult.Perma.'!AP182</f>
        <v>75670</v>
      </c>
      <c r="F61" s="227">
        <f>'Rentabilidade-Cult.Perma.'!AQ182</f>
        <v>69230</v>
      </c>
      <c r="G61" s="227">
        <f>'Rentabilidade-Cult.Perma.'!AR182</f>
        <v>64860</v>
      </c>
      <c r="H61" s="227">
        <f>'Rentabilidade-Cult.Perma.'!AS182</f>
        <v>60490</v>
      </c>
      <c r="I61" s="227">
        <f>'Rentabilidade-Cult.Perma.'!AT182</f>
        <v>54050</v>
      </c>
      <c r="J61" s="227">
        <f>'Rentabilidade-Cult.Perma.'!AU182</f>
        <v>54050</v>
      </c>
      <c r="K61" s="227">
        <f>'Rentabilidade-Cult.Perma.'!AV182</f>
        <v>54050</v>
      </c>
      <c r="L61" s="227">
        <f>'Rentabilidade-Cult.Perma.'!AW182</f>
        <v>54050</v>
      </c>
      <c r="M61" s="227">
        <f>'Rentabilidade-Cult.Perma.'!AX182</f>
        <v>43240</v>
      </c>
      <c r="N61" s="412">
        <f>'Rentabilidade-Cult.Perma.'!AY182</f>
        <v>38870</v>
      </c>
      <c r="O61" s="413">
        <f>'Rentabilidade-Cult.Perma.'!AZ182</f>
        <v>0</v>
      </c>
      <c r="P61" s="227">
        <f>'Rentabilidade-Cult.Perma.'!BA182</f>
        <v>86480</v>
      </c>
      <c r="Q61" s="227">
        <f>'Rentabilidade-Cult.Perma.'!BB182</f>
        <v>75670</v>
      </c>
      <c r="R61" s="227">
        <f>'Rentabilidade-Cult.Perma.'!BC182</f>
        <v>69230</v>
      </c>
      <c r="S61" s="227">
        <f>'Rentabilidade-Cult.Perma.'!BD182</f>
        <v>64860</v>
      </c>
      <c r="T61" s="227">
        <f>'Rentabilidade-Cult.Perma.'!BE182</f>
        <v>60490</v>
      </c>
      <c r="U61" s="227">
        <f>'Rentabilidade-Cult.Perma.'!BF182</f>
        <v>60490</v>
      </c>
      <c r="V61" s="227">
        <f>'Rentabilidade-Cult.Perma.'!BG182</f>
        <v>60490</v>
      </c>
      <c r="W61" s="227">
        <f>'Rentabilidade-Cult.Perma.'!BH182</f>
        <v>60490</v>
      </c>
      <c r="X61" s="227">
        <f>'Rentabilidade-Cult.Perma.'!BI182</f>
        <v>56120</v>
      </c>
      <c r="Y61" s="227">
        <f>'Rentabilidade-Cult.Perma.'!BJ182</f>
        <v>56120</v>
      </c>
      <c r="Z61" s="227">
        <f>'Rentabilidade-Cult.Perma.'!BK182</f>
        <v>51980</v>
      </c>
      <c r="AA61" s="413">
        <f>'Rentabilidade-Cult.Perma.'!BL182</f>
        <v>0</v>
      </c>
      <c r="AB61" s="227">
        <f>'Rentabilidade-Cult.Perma.'!BM182</f>
        <v>86480</v>
      </c>
      <c r="AC61" s="227">
        <f>'Rentabilidade-Cult.Perma.'!BN182</f>
        <v>75670</v>
      </c>
      <c r="AD61" s="227">
        <f>'Rentabilidade-Cult.Perma.'!BO182</f>
        <v>69230</v>
      </c>
      <c r="AE61" s="227">
        <f>'Rentabilidade-Cult.Perma.'!BP182</f>
        <v>64860</v>
      </c>
      <c r="AF61" s="227">
        <f>'Rentabilidade-Cult.Perma.'!BQ182</f>
        <v>60490</v>
      </c>
      <c r="AG61" s="227">
        <f>'Rentabilidade-Cult.Perma.'!BR182</f>
        <v>60490</v>
      </c>
      <c r="AH61" s="227">
        <f>'Rentabilidade-Cult.Perma.'!BS182</f>
        <v>60490</v>
      </c>
      <c r="AI61" s="227">
        <f>'Rentabilidade-Cult.Perma.'!BT182</f>
        <v>60490</v>
      </c>
      <c r="AJ61" s="227">
        <f>'Rentabilidade-Cult.Perma.'!BU182</f>
        <v>56120</v>
      </c>
      <c r="AK61" s="414">
        <f>'Rentabilidade-Cult.Perma.'!BV182</f>
        <v>56120</v>
      </c>
    </row>
    <row r="62" spans="1:39" ht="20.149999999999999" customHeight="1" outlineLevel="1" thickBot="1" x14ac:dyDescent="0.3">
      <c r="A62" s="96"/>
      <c r="B62" s="102" t="s">
        <v>153</v>
      </c>
      <c r="C62" s="424">
        <f t="shared" ref="C62:AK62" si="9">SUM(C61:C61)</f>
        <v>0</v>
      </c>
      <c r="D62" s="424">
        <f t="shared" si="9"/>
        <v>82110</v>
      </c>
      <c r="E62" s="424">
        <f t="shared" si="9"/>
        <v>75670</v>
      </c>
      <c r="F62" s="424">
        <f t="shared" si="9"/>
        <v>69230</v>
      </c>
      <c r="G62" s="424">
        <f t="shared" si="9"/>
        <v>64860</v>
      </c>
      <c r="H62" s="424">
        <f t="shared" si="9"/>
        <v>60490</v>
      </c>
      <c r="I62" s="424">
        <f t="shared" si="9"/>
        <v>54050</v>
      </c>
      <c r="J62" s="424">
        <f t="shared" si="9"/>
        <v>54050</v>
      </c>
      <c r="K62" s="424">
        <f t="shared" si="9"/>
        <v>54050</v>
      </c>
      <c r="L62" s="424">
        <f t="shared" si="9"/>
        <v>54050</v>
      </c>
      <c r="M62" s="424">
        <f t="shared" si="9"/>
        <v>43240</v>
      </c>
      <c r="N62" s="425">
        <f t="shared" si="9"/>
        <v>38870</v>
      </c>
      <c r="O62" s="426">
        <f t="shared" si="9"/>
        <v>0</v>
      </c>
      <c r="P62" s="424">
        <f t="shared" si="9"/>
        <v>86480</v>
      </c>
      <c r="Q62" s="424">
        <f t="shared" si="9"/>
        <v>75670</v>
      </c>
      <c r="R62" s="424">
        <f t="shared" si="9"/>
        <v>69230</v>
      </c>
      <c r="S62" s="424">
        <f t="shared" si="9"/>
        <v>64860</v>
      </c>
      <c r="T62" s="424">
        <f t="shared" si="9"/>
        <v>60490</v>
      </c>
      <c r="U62" s="424">
        <f t="shared" si="9"/>
        <v>60490</v>
      </c>
      <c r="V62" s="424">
        <f t="shared" si="9"/>
        <v>60490</v>
      </c>
      <c r="W62" s="424">
        <f t="shared" si="9"/>
        <v>60490</v>
      </c>
      <c r="X62" s="424">
        <f t="shared" si="9"/>
        <v>56120</v>
      </c>
      <c r="Y62" s="424">
        <f t="shared" si="9"/>
        <v>56120</v>
      </c>
      <c r="Z62" s="424">
        <f t="shared" si="9"/>
        <v>51980</v>
      </c>
      <c r="AA62" s="426">
        <f t="shared" si="9"/>
        <v>0</v>
      </c>
      <c r="AB62" s="424">
        <f t="shared" si="9"/>
        <v>86480</v>
      </c>
      <c r="AC62" s="424">
        <f t="shared" si="9"/>
        <v>75670</v>
      </c>
      <c r="AD62" s="424">
        <f t="shared" si="9"/>
        <v>69230</v>
      </c>
      <c r="AE62" s="424">
        <f t="shared" si="9"/>
        <v>64860</v>
      </c>
      <c r="AF62" s="424">
        <f t="shared" si="9"/>
        <v>60490</v>
      </c>
      <c r="AG62" s="424">
        <f t="shared" si="9"/>
        <v>60490</v>
      </c>
      <c r="AH62" s="424">
        <f t="shared" si="9"/>
        <v>60490</v>
      </c>
      <c r="AI62" s="424">
        <f t="shared" si="9"/>
        <v>60490</v>
      </c>
      <c r="AJ62" s="424">
        <f t="shared" si="9"/>
        <v>56120</v>
      </c>
      <c r="AK62" s="427">
        <f t="shared" si="9"/>
        <v>56120</v>
      </c>
    </row>
    <row r="63" spans="1:39" ht="20.149999999999999" customHeight="1" outlineLevel="1" thickBot="1" x14ac:dyDescent="0.3">
      <c r="A63" s="14"/>
      <c r="C63" s="430"/>
      <c r="D63" s="430"/>
      <c r="E63" s="430"/>
      <c r="F63" s="430"/>
      <c r="G63" s="430"/>
      <c r="H63" s="430"/>
      <c r="I63" s="430"/>
      <c r="J63" s="430"/>
      <c r="K63" s="430"/>
      <c r="L63" s="430"/>
      <c r="M63" s="430"/>
      <c r="N63" s="430"/>
      <c r="O63" s="430"/>
      <c r="P63" s="430"/>
      <c r="Q63" s="430"/>
      <c r="R63" s="430"/>
      <c r="S63" s="430"/>
      <c r="T63" s="430"/>
      <c r="U63" s="430"/>
      <c r="V63" s="430"/>
      <c r="W63" s="430"/>
      <c r="X63" s="430"/>
      <c r="Y63" s="430"/>
      <c r="Z63" s="430"/>
      <c r="AA63" s="430"/>
      <c r="AB63" s="430"/>
      <c r="AC63" s="430"/>
      <c r="AD63" s="430"/>
      <c r="AE63" s="430"/>
      <c r="AF63" s="430"/>
      <c r="AG63" s="430"/>
      <c r="AH63" s="430"/>
      <c r="AI63" s="430"/>
      <c r="AJ63" s="430"/>
      <c r="AK63" s="430"/>
      <c r="AM63" s="764">
        <f>AK63/35</f>
        <v>0</v>
      </c>
    </row>
    <row r="64" spans="1:39" ht="20.149999999999999" customHeight="1" outlineLevel="1" thickBot="1" x14ac:dyDescent="0.3">
      <c r="A64" s="70">
        <v>4</v>
      </c>
      <c r="B64" s="104" t="s">
        <v>156</v>
      </c>
      <c r="C64" s="105">
        <f t="shared" ref="C64:AK64" si="10">C62-C58-C51</f>
        <v>-82500.626470567149</v>
      </c>
      <c r="D64" s="431">
        <f t="shared" si="10"/>
        <v>52719.132678559996</v>
      </c>
      <c r="E64" s="431">
        <f t="shared" si="10"/>
        <v>47335.286678559998</v>
      </c>
      <c r="F64" s="431">
        <f t="shared" si="10"/>
        <v>41498.536678559998</v>
      </c>
      <c r="G64" s="431">
        <f t="shared" si="10"/>
        <v>38029.944178560007</v>
      </c>
      <c r="H64" s="431">
        <f t="shared" si="10"/>
        <v>34089.381678560007</v>
      </c>
      <c r="I64" s="431">
        <f t="shared" si="10"/>
        <v>27897.939678560004</v>
      </c>
      <c r="J64" s="431">
        <f t="shared" si="10"/>
        <v>27960.439678560004</v>
      </c>
      <c r="K64" s="431">
        <f t="shared" si="10"/>
        <v>27897.939678560004</v>
      </c>
      <c r="L64" s="431">
        <f t="shared" si="10"/>
        <v>27960.439678560004</v>
      </c>
      <c r="M64" s="431">
        <f t="shared" si="10"/>
        <v>17995.627178560004</v>
      </c>
      <c r="N64" s="432">
        <f t="shared" si="10"/>
        <v>14055.064678560004</v>
      </c>
      <c r="O64" s="433">
        <f t="shared" si="10"/>
        <v>-40292.552821439996</v>
      </c>
      <c r="P64" s="431">
        <f t="shared" si="10"/>
        <v>57089.132678559996</v>
      </c>
      <c r="Q64" s="431">
        <f t="shared" si="10"/>
        <v>47335.286678559998</v>
      </c>
      <c r="R64" s="431">
        <f t="shared" si="10"/>
        <v>41498.536678559998</v>
      </c>
      <c r="S64" s="431">
        <f t="shared" si="10"/>
        <v>38029.944178560007</v>
      </c>
      <c r="T64" s="431">
        <f t="shared" si="10"/>
        <v>34089.381678560007</v>
      </c>
      <c r="U64" s="431">
        <f t="shared" si="10"/>
        <v>34337.939678560004</v>
      </c>
      <c r="V64" s="431">
        <f t="shared" si="10"/>
        <v>34400.439678560004</v>
      </c>
      <c r="W64" s="431">
        <f t="shared" si="10"/>
        <v>34337.939678560004</v>
      </c>
      <c r="X64" s="431">
        <f t="shared" si="10"/>
        <v>30030.439678560004</v>
      </c>
      <c r="Y64" s="431">
        <f t="shared" si="10"/>
        <v>30875.627178560004</v>
      </c>
      <c r="Z64" s="431">
        <f t="shared" si="10"/>
        <v>27165.064678560004</v>
      </c>
      <c r="AA64" s="433">
        <f t="shared" si="10"/>
        <v>-40292.552821439996</v>
      </c>
      <c r="AB64" s="431">
        <f t="shared" si="10"/>
        <v>57089.132678559996</v>
      </c>
      <c r="AC64" s="431">
        <f t="shared" si="10"/>
        <v>47335.286678559998</v>
      </c>
      <c r="AD64" s="431">
        <f t="shared" si="10"/>
        <v>41498.536678559998</v>
      </c>
      <c r="AE64" s="431">
        <f t="shared" si="10"/>
        <v>38029.944178560007</v>
      </c>
      <c r="AF64" s="431">
        <f t="shared" si="10"/>
        <v>34089.381678560007</v>
      </c>
      <c r="AG64" s="431">
        <f t="shared" si="10"/>
        <v>34337.939678560004</v>
      </c>
      <c r="AH64" s="431">
        <f t="shared" si="10"/>
        <v>34400.439678560004</v>
      </c>
      <c r="AI64" s="431">
        <f t="shared" si="10"/>
        <v>34337.939678560004</v>
      </c>
      <c r="AJ64" s="431">
        <f t="shared" si="10"/>
        <v>30030.439678560004</v>
      </c>
      <c r="AK64" s="434">
        <f t="shared" si="10"/>
        <v>30875.627178560004</v>
      </c>
    </row>
    <row r="65" spans="1:37" ht="20.149999999999999" customHeight="1" outlineLevel="1" thickBot="1" x14ac:dyDescent="0.3"/>
    <row r="66" spans="1:37" ht="20.149999999999999" customHeight="1" outlineLevel="1" thickBot="1" x14ac:dyDescent="0.3">
      <c r="A66" s="70">
        <v>5</v>
      </c>
      <c r="B66" s="104" t="s">
        <v>160</v>
      </c>
      <c r="C66" s="435">
        <f>C64</f>
        <v>-82500.626470567149</v>
      </c>
      <c r="D66" s="435">
        <f t="shared" ref="D66:AK66" si="11">C66+D64</f>
        <v>-29781.493792007153</v>
      </c>
      <c r="E66" s="435">
        <f t="shared" si="11"/>
        <v>17553.792886552845</v>
      </c>
      <c r="F66" s="435">
        <f t="shared" si="11"/>
        <v>59052.329565112843</v>
      </c>
      <c r="G66" s="435">
        <f t="shared" si="11"/>
        <v>97082.273743672849</v>
      </c>
      <c r="H66" s="435">
        <f t="shared" si="11"/>
        <v>131171.65542223287</v>
      </c>
      <c r="I66" s="435">
        <f t="shared" si="11"/>
        <v>159069.59510079288</v>
      </c>
      <c r="J66" s="435">
        <f t="shared" si="11"/>
        <v>187030.03477935289</v>
      </c>
      <c r="K66" s="435">
        <f t="shared" si="11"/>
        <v>214927.9744579129</v>
      </c>
      <c r="L66" s="435">
        <f t="shared" si="11"/>
        <v>242888.41413647291</v>
      </c>
      <c r="M66" s="435">
        <f t="shared" si="11"/>
        <v>260884.04131503293</v>
      </c>
      <c r="N66" s="436">
        <f t="shared" si="11"/>
        <v>274939.10599359294</v>
      </c>
      <c r="O66" s="437">
        <f t="shared" si="11"/>
        <v>234646.55317215296</v>
      </c>
      <c r="P66" s="435">
        <f t="shared" si="11"/>
        <v>291735.68585071294</v>
      </c>
      <c r="Q66" s="435">
        <f t="shared" si="11"/>
        <v>339070.97252927296</v>
      </c>
      <c r="R66" s="435">
        <f t="shared" si="11"/>
        <v>380569.50920783298</v>
      </c>
      <c r="S66" s="435">
        <f t="shared" si="11"/>
        <v>418599.45338639297</v>
      </c>
      <c r="T66" s="435">
        <f t="shared" si="11"/>
        <v>452688.83506495296</v>
      </c>
      <c r="U66" s="435">
        <f t="shared" si="11"/>
        <v>487026.77474351297</v>
      </c>
      <c r="V66" s="435">
        <f t="shared" si="11"/>
        <v>521427.21442207298</v>
      </c>
      <c r="W66" s="435">
        <f t="shared" si="11"/>
        <v>555765.15410063299</v>
      </c>
      <c r="X66" s="435">
        <f t="shared" si="11"/>
        <v>585795.593779193</v>
      </c>
      <c r="Y66" s="435">
        <f t="shared" si="11"/>
        <v>616671.22095775302</v>
      </c>
      <c r="Z66" s="435">
        <f t="shared" si="11"/>
        <v>643836.28563631303</v>
      </c>
      <c r="AA66" s="437">
        <f t="shared" si="11"/>
        <v>603543.73281487299</v>
      </c>
      <c r="AB66" s="435">
        <f t="shared" si="11"/>
        <v>660632.86549343297</v>
      </c>
      <c r="AC66" s="435">
        <f t="shared" si="11"/>
        <v>707968.15217199293</v>
      </c>
      <c r="AD66" s="435">
        <f t="shared" si="11"/>
        <v>749466.68885055289</v>
      </c>
      <c r="AE66" s="435">
        <f t="shared" si="11"/>
        <v>787496.63302911294</v>
      </c>
      <c r="AF66" s="435">
        <f t="shared" si="11"/>
        <v>821586.01470767299</v>
      </c>
      <c r="AG66" s="435">
        <f t="shared" si="11"/>
        <v>855923.954386233</v>
      </c>
      <c r="AH66" s="435">
        <f t="shared" si="11"/>
        <v>890324.39406479301</v>
      </c>
      <c r="AI66" s="435">
        <f t="shared" si="11"/>
        <v>924662.33374335303</v>
      </c>
      <c r="AJ66" s="435">
        <f t="shared" si="11"/>
        <v>954692.77342191304</v>
      </c>
      <c r="AK66" s="438">
        <f t="shared" si="11"/>
        <v>985568.40060047305</v>
      </c>
    </row>
    <row r="67" spans="1:37" ht="20.149999999999999" customHeight="1" outlineLevel="1" x14ac:dyDescent="0.25">
      <c r="A67" s="14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spans="1:37" ht="20.149999999999999" customHeight="1" outlineLevel="1" x14ac:dyDescent="0.25">
      <c r="C68" s="115" t="s">
        <v>512</v>
      </c>
      <c r="D68" s="116">
        <f>AK66/AK40</f>
        <v>28159.097160013516</v>
      </c>
      <c r="E68" s="440" t="s">
        <v>317</v>
      </c>
      <c r="J68" s="16"/>
      <c r="V68" s="16"/>
      <c r="AK68" s="441"/>
    </row>
    <row r="69" spans="1:37" ht="13" outlineLevel="1" thickBot="1" x14ac:dyDescent="0.3"/>
    <row r="70" spans="1:37" ht="30" customHeight="1" thickBot="1" x14ac:dyDescent="0.3">
      <c r="A70" s="555" t="s">
        <v>163</v>
      </c>
      <c r="B70" s="621"/>
      <c r="C70" s="621"/>
      <c r="D70" s="621"/>
      <c r="E70" s="621"/>
      <c r="F70" s="621"/>
      <c r="G70" s="621"/>
      <c r="H70" s="621"/>
      <c r="I70" s="621"/>
      <c r="J70" s="621"/>
      <c r="K70" s="621"/>
      <c r="L70" s="621"/>
      <c r="M70" s="621"/>
      <c r="N70" s="621"/>
      <c r="O70" s="621"/>
      <c r="P70" s="621"/>
      <c r="Q70" s="621"/>
      <c r="R70" s="621"/>
      <c r="S70" s="621"/>
      <c r="T70" s="621"/>
      <c r="U70" s="621"/>
      <c r="V70" s="621"/>
      <c r="W70" s="621"/>
      <c r="X70" s="621"/>
      <c r="Y70" s="621"/>
      <c r="Z70" s="621"/>
      <c r="AA70" s="621"/>
      <c r="AB70" s="621"/>
      <c r="AC70" s="621"/>
      <c r="AD70" s="621"/>
      <c r="AE70" s="621"/>
      <c r="AF70" s="621"/>
      <c r="AG70" s="621"/>
      <c r="AH70" s="621"/>
      <c r="AI70" s="621"/>
      <c r="AJ70" s="621"/>
      <c r="AK70" s="621"/>
    </row>
    <row r="71" spans="1:37" ht="20.149999999999999" customHeight="1" outlineLevel="1" thickBot="1" x14ac:dyDescent="0.3">
      <c r="A71" s="547" t="s">
        <v>513</v>
      </c>
      <c r="B71" s="548"/>
      <c r="C71" s="548"/>
      <c r="D71" s="548"/>
      <c r="E71" s="548"/>
      <c r="F71" s="548"/>
      <c r="G71" s="548"/>
      <c r="H71" s="548"/>
      <c r="I71" s="548"/>
      <c r="J71" s="548"/>
      <c r="K71" s="548"/>
      <c r="L71" s="548"/>
      <c r="M71" s="548"/>
      <c r="N71" s="548"/>
      <c r="O71" s="548"/>
      <c r="P71" s="548"/>
      <c r="Q71" s="548"/>
      <c r="R71" s="548"/>
      <c r="S71" s="548"/>
      <c r="T71" s="548"/>
      <c r="U71" s="548"/>
      <c r="V71" s="548"/>
      <c r="W71" s="548"/>
      <c r="X71" s="548"/>
      <c r="Y71" s="548"/>
      <c r="Z71" s="548"/>
      <c r="AA71" s="548"/>
      <c r="AB71" s="548"/>
      <c r="AC71" s="548"/>
      <c r="AD71" s="548"/>
      <c r="AE71" s="548"/>
      <c r="AF71" s="548"/>
      <c r="AG71" s="548"/>
      <c r="AH71" s="548"/>
      <c r="AI71" s="548"/>
      <c r="AJ71" s="548"/>
      <c r="AK71" s="548"/>
    </row>
    <row r="72" spans="1:37" s="14" customFormat="1" ht="20.149999999999999" customHeight="1" outlineLevel="1" thickBot="1" x14ac:dyDescent="0.3">
      <c r="A72" s="1102" t="s">
        <v>152</v>
      </c>
      <c r="B72" s="1102" t="s">
        <v>150</v>
      </c>
      <c r="C72" s="1103" t="s">
        <v>151</v>
      </c>
      <c r="D72" s="1104"/>
      <c r="E72" s="1104"/>
      <c r="F72" s="1104"/>
      <c r="G72" s="1104"/>
      <c r="H72" s="1104"/>
      <c r="I72" s="1104"/>
      <c r="J72" s="1104"/>
      <c r="K72" s="1104"/>
      <c r="L72" s="1104"/>
      <c r="M72" s="1104"/>
      <c r="N72" s="1104"/>
      <c r="O72" s="1104"/>
      <c r="P72" s="1104"/>
      <c r="Q72" s="1104"/>
      <c r="R72" s="1104"/>
      <c r="S72" s="1104"/>
      <c r="T72" s="1104"/>
      <c r="U72" s="1104"/>
      <c r="V72" s="1104"/>
      <c r="W72" s="1104"/>
      <c r="X72" s="1104"/>
      <c r="Y72" s="1104"/>
      <c r="Z72" s="1104"/>
      <c r="AA72" s="1104"/>
      <c r="AB72" s="1104"/>
      <c r="AC72" s="1104"/>
      <c r="AD72" s="1104"/>
      <c r="AE72" s="1104"/>
      <c r="AF72" s="1104"/>
      <c r="AG72" s="1104"/>
      <c r="AH72" s="1104"/>
      <c r="AI72" s="1104"/>
      <c r="AJ72" s="1104"/>
      <c r="AK72" s="1105"/>
    </row>
    <row r="73" spans="1:37" s="14" customFormat="1" ht="20.149999999999999" customHeight="1" outlineLevel="1" thickBot="1" x14ac:dyDescent="0.3">
      <c r="A73" s="1102"/>
      <c r="B73" s="1102"/>
      <c r="C73" s="210">
        <v>1</v>
      </c>
      <c r="D73" s="275">
        <f t="shared" ref="D73:AK73" si="12">C73+1</f>
        <v>2</v>
      </c>
      <c r="E73" s="211">
        <f t="shared" si="12"/>
        <v>3</v>
      </c>
      <c r="F73" s="211">
        <f t="shared" si="12"/>
        <v>4</v>
      </c>
      <c r="G73" s="211">
        <f t="shared" si="12"/>
        <v>5</v>
      </c>
      <c r="H73" s="211">
        <f t="shared" si="12"/>
        <v>6</v>
      </c>
      <c r="I73" s="211">
        <f t="shared" si="12"/>
        <v>7</v>
      </c>
      <c r="J73" s="211">
        <f t="shared" si="12"/>
        <v>8</v>
      </c>
      <c r="K73" s="211">
        <f t="shared" si="12"/>
        <v>9</v>
      </c>
      <c r="L73" s="211">
        <f t="shared" si="12"/>
        <v>10</v>
      </c>
      <c r="M73" s="211">
        <f t="shared" si="12"/>
        <v>11</v>
      </c>
      <c r="N73" s="211">
        <f t="shared" si="12"/>
        <v>12</v>
      </c>
      <c r="O73" s="211">
        <f t="shared" si="12"/>
        <v>13</v>
      </c>
      <c r="P73" s="211">
        <f t="shared" si="12"/>
        <v>14</v>
      </c>
      <c r="Q73" s="211">
        <f t="shared" si="12"/>
        <v>15</v>
      </c>
      <c r="R73" s="211">
        <f t="shared" si="12"/>
        <v>16</v>
      </c>
      <c r="S73" s="211">
        <f t="shared" si="12"/>
        <v>17</v>
      </c>
      <c r="T73" s="211">
        <f t="shared" si="12"/>
        <v>18</v>
      </c>
      <c r="U73" s="476">
        <f t="shared" si="12"/>
        <v>19</v>
      </c>
      <c r="V73" s="211">
        <f t="shared" si="12"/>
        <v>20</v>
      </c>
      <c r="W73" s="211">
        <f t="shared" si="12"/>
        <v>21</v>
      </c>
      <c r="X73" s="211">
        <f t="shared" si="12"/>
        <v>22</v>
      </c>
      <c r="Y73" s="211">
        <f t="shared" si="12"/>
        <v>23</v>
      </c>
      <c r="Z73" s="211">
        <f t="shared" si="12"/>
        <v>24</v>
      </c>
      <c r="AA73" s="211">
        <f t="shared" si="12"/>
        <v>25</v>
      </c>
      <c r="AB73" s="211">
        <f t="shared" si="12"/>
        <v>26</v>
      </c>
      <c r="AC73" s="211">
        <f t="shared" si="12"/>
        <v>27</v>
      </c>
      <c r="AD73" s="211">
        <f t="shared" si="12"/>
        <v>28</v>
      </c>
      <c r="AE73" s="211">
        <f t="shared" si="12"/>
        <v>29</v>
      </c>
      <c r="AF73" s="211">
        <f t="shared" si="12"/>
        <v>30</v>
      </c>
      <c r="AG73" s="211">
        <f t="shared" si="12"/>
        <v>31</v>
      </c>
      <c r="AH73" s="211">
        <f t="shared" si="12"/>
        <v>32</v>
      </c>
      <c r="AI73" s="211">
        <f t="shared" si="12"/>
        <v>33</v>
      </c>
      <c r="AJ73" s="211">
        <f t="shared" si="12"/>
        <v>34</v>
      </c>
      <c r="AK73" s="211">
        <f t="shared" si="12"/>
        <v>35</v>
      </c>
    </row>
    <row r="74" spans="1:37" ht="20.149999999999999" customHeight="1" outlineLevel="1" x14ac:dyDescent="0.25">
      <c r="A74" s="71">
        <v>1</v>
      </c>
      <c r="B74" s="76" t="s">
        <v>134</v>
      </c>
      <c r="U74" s="442"/>
    </row>
    <row r="75" spans="1:37" ht="20.149999999999999" customHeight="1" outlineLevel="1" x14ac:dyDescent="0.25">
      <c r="A75" s="48" t="s">
        <v>74</v>
      </c>
      <c r="B75" s="78" t="s">
        <v>129</v>
      </c>
      <c r="C75" s="59">
        <f>'Custos Diversos'!E164</f>
        <v>1293.6736491271517</v>
      </c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412"/>
      <c r="U75" s="413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</row>
    <row r="76" spans="1:37" ht="20.149999999999999" customHeight="1" outlineLevel="1" x14ac:dyDescent="0.25">
      <c r="A76" s="48" t="s">
        <v>75</v>
      </c>
      <c r="B76" s="82" t="s">
        <v>335</v>
      </c>
      <c r="C76" s="227">
        <f>'Rentabilidade-Cult.Perma.'!AN248</f>
        <v>22000</v>
      </c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412"/>
      <c r="U76" s="413"/>
      <c r="V76" s="227"/>
      <c r="W76" s="227"/>
      <c r="X76" s="227"/>
      <c r="Y76" s="227"/>
      <c r="Z76" s="227"/>
      <c r="AA76" s="227"/>
      <c r="AB76" s="227"/>
      <c r="AC76" s="227"/>
      <c r="AD76" s="227"/>
      <c r="AE76" s="227"/>
      <c r="AF76" s="227"/>
      <c r="AG76" s="227"/>
      <c r="AH76" s="227"/>
      <c r="AI76" s="227"/>
      <c r="AJ76" s="227"/>
      <c r="AK76" s="227"/>
    </row>
    <row r="77" spans="1:37" ht="20.149999999999999" customHeight="1" outlineLevel="1" x14ac:dyDescent="0.25">
      <c r="A77" s="48" t="s">
        <v>76</v>
      </c>
      <c r="B77" s="82" t="s">
        <v>336</v>
      </c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412"/>
      <c r="U77" s="413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</row>
    <row r="78" spans="1:37" ht="20.149999999999999" customHeight="1" outlineLevel="1" x14ac:dyDescent="0.25">
      <c r="A78" s="48" t="s">
        <v>126</v>
      </c>
      <c r="B78" s="82" t="s">
        <v>130</v>
      </c>
      <c r="C78" s="227">
        <f>'Rentabilidade-Cult.Perma.'!AN252-'Rentabilidade-Cult.Perma.'!AN248</f>
        <v>12763.400000000001</v>
      </c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412"/>
      <c r="U78" s="413"/>
      <c r="V78" s="227"/>
      <c r="W78" s="227"/>
      <c r="X78" s="227"/>
      <c r="Y78" s="227"/>
      <c r="Z78" s="227"/>
      <c r="AA78" s="227"/>
      <c r="AB78" s="227"/>
      <c r="AC78" s="227"/>
      <c r="AD78" s="227"/>
      <c r="AE78" s="227"/>
      <c r="AF78" s="227"/>
      <c r="AG78" s="227"/>
      <c r="AH78" s="227"/>
      <c r="AI78" s="227"/>
      <c r="AJ78" s="227"/>
      <c r="AK78" s="227"/>
    </row>
    <row r="79" spans="1:37" ht="20.149999999999999" customHeight="1" outlineLevel="1" x14ac:dyDescent="0.25">
      <c r="A79" s="737"/>
      <c r="B79" s="83" t="s">
        <v>228</v>
      </c>
      <c r="C79" s="416"/>
      <c r="D79" s="6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412"/>
      <c r="U79" s="413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</row>
    <row r="80" spans="1:37" ht="20.149999999999999" customHeight="1" outlineLevel="1" x14ac:dyDescent="0.25">
      <c r="A80" s="85" t="s">
        <v>135</v>
      </c>
      <c r="B80" s="82" t="s">
        <v>142</v>
      </c>
      <c r="C80" s="227">
        <f>'Rentabilidade-Cult.Perma.'!AN210</f>
        <v>22309.4</v>
      </c>
      <c r="D80" s="227">
        <f>'Rentabilidade-Cult.Perma.'!AO210</f>
        <v>7465.152</v>
      </c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412"/>
      <c r="U80" s="413"/>
      <c r="V80" s="227"/>
      <c r="W80" s="227"/>
      <c r="X80" s="227"/>
      <c r="Y80" s="227"/>
      <c r="Z80" s="227"/>
      <c r="AA80" s="227"/>
      <c r="AB80" s="227"/>
      <c r="AC80" s="227"/>
      <c r="AD80" s="227"/>
      <c r="AE80" s="227"/>
      <c r="AF80" s="227"/>
      <c r="AG80" s="227"/>
      <c r="AH80" s="227"/>
      <c r="AI80" s="227"/>
      <c r="AJ80" s="227"/>
      <c r="AK80" s="227"/>
    </row>
    <row r="81" spans="1:37" ht="20.149999999999999" customHeight="1" outlineLevel="1" x14ac:dyDescent="0.25">
      <c r="A81" s="85" t="s">
        <v>157</v>
      </c>
      <c r="B81" s="34" t="s">
        <v>146</v>
      </c>
      <c r="C81" s="227">
        <f>'Rentabilidade-Cult.Perma.'!AN227</f>
        <v>4420</v>
      </c>
      <c r="D81" s="227">
        <f>'Rentabilidade-Cult.Perma.'!AO227</f>
        <v>1836</v>
      </c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412"/>
      <c r="U81" s="413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</row>
    <row r="82" spans="1:37" ht="20.149999999999999" customHeight="1" outlineLevel="1" x14ac:dyDescent="0.25">
      <c r="A82" s="85" t="s">
        <v>158</v>
      </c>
      <c r="B82" s="82" t="s">
        <v>143</v>
      </c>
      <c r="C82" s="227">
        <f>'Rentabilidade-Cult.Perma.'!AN243</f>
        <v>7550</v>
      </c>
      <c r="D82" s="227">
        <f>'Rentabilidade-Cult.Perma.'!AO243</f>
        <v>4250</v>
      </c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412"/>
      <c r="U82" s="413"/>
      <c r="V82" s="227"/>
      <c r="W82" s="227"/>
      <c r="X82" s="227"/>
      <c r="Y82" s="227"/>
      <c r="Z82" s="227"/>
      <c r="AA82" s="227"/>
      <c r="AB82" s="227"/>
      <c r="AC82" s="227"/>
      <c r="AD82" s="227"/>
      <c r="AE82" s="227"/>
      <c r="AF82" s="227"/>
      <c r="AG82" s="227"/>
      <c r="AH82" s="227"/>
      <c r="AI82" s="227"/>
      <c r="AJ82" s="227"/>
      <c r="AK82" s="227"/>
    </row>
    <row r="83" spans="1:37" ht="20.149999999999999" customHeight="1" outlineLevel="1" x14ac:dyDescent="0.25">
      <c r="A83" s="85" t="s">
        <v>159</v>
      </c>
      <c r="B83" s="34" t="s">
        <v>141</v>
      </c>
      <c r="C83" s="227">
        <f>SUM('Rentabilidade-Cult.Perma.'!AN257:AN265)</f>
        <v>4417.3258214399993</v>
      </c>
      <c r="D83" s="227">
        <f>SUM('Rentabilidade-Cult.Perma.'!AO257:AO265)</f>
        <v>4591.1428214400003</v>
      </c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412"/>
      <c r="U83" s="413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</row>
    <row r="84" spans="1:37" ht="20.149999999999999" customHeight="1" outlineLevel="1" thickBot="1" x14ac:dyDescent="0.3">
      <c r="A84" s="96"/>
      <c r="B84" s="87" t="s">
        <v>148</v>
      </c>
      <c r="C84" s="443">
        <f>SUM(C75:C83)</f>
        <v>74753.799470567144</v>
      </c>
      <c r="D84" s="443">
        <f>SUM(D75:D83)</f>
        <v>18142.294821440002</v>
      </c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412"/>
      <c r="U84" s="413"/>
      <c r="V84" s="227"/>
      <c r="W84" s="227"/>
      <c r="X84" s="227"/>
      <c r="Y84" s="227"/>
      <c r="Z84" s="227"/>
      <c r="AA84" s="227"/>
      <c r="AB84" s="227"/>
      <c r="AC84" s="227"/>
      <c r="AD84" s="227"/>
      <c r="AE84" s="227"/>
      <c r="AF84" s="227"/>
      <c r="AG84" s="227"/>
      <c r="AH84" s="227"/>
      <c r="AI84" s="227"/>
      <c r="AJ84" s="227"/>
      <c r="AK84" s="227"/>
    </row>
    <row r="85" spans="1:37" ht="20.149999999999999" customHeight="1" outlineLevel="1" thickBot="1" x14ac:dyDescent="0.3">
      <c r="A85" s="14"/>
      <c r="C85" s="419"/>
      <c r="D85" s="419"/>
      <c r="E85" s="419"/>
      <c r="F85" s="419"/>
      <c r="G85" s="419"/>
      <c r="H85" s="419"/>
      <c r="I85" s="419"/>
      <c r="J85" s="419"/>
      <c r="K85" s="419"/>
      <c r="L85" s="419"/>
      <c r="M85" s="419"/>
      <c r="N85" s="419"/>
      <c r="O85" s="419"/>
      <c r="P85" s="419"/>
      <c r="Q85" s="419"/>
      <c r="R85" s="419"/>
      <c r="S85" s="419"/>
      <c r="T85" s="419"/>
      <c r="U85" s="420"/>
      <c r="V85" s="419"/>
      <c r="W85" s="419"/>
      <c r="X85" s="419"/>
      <c r="Y85" s="419"/>
      <c r="Z85" s="419"/>
      <c r="AA85" s="419"/>
      <c r="AB85" s="419"/>
      <c r="AC85" s="419"/>
      <c r="AD85" s="419"/>
      <c r="AE85" s="419"/>
      <c r="AF85" s="419"/>
      <c r="AG85" s="419"/>
      <c r="AH85" s="419"/>
      <c r="AI85" s="419"/>
      <c r="AJ85" s="419"/>
      <c r="AK85" s="419"/>
    </row>
    <row r="86" spans="1:37" ht="20.149999999999999" customHeight="1" outlineLevel="1" x14ac:dyDescent="0.25">
      <c r="A86" s="71">
        <v>2</v>
      </c>
      <c r="B86" s="76" t="s">
        <v>136</v>
      </c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2"/>
      <c r="V86" s="421"/>
      <c r="W86" s="421"/>
      <c r="X86" s="421"/>
      <c r="Y86" s="421"/>
      <c r="Z86" s="421"/>
      <c r="AA86" s="421"/>
      <c r="AB86" s="421"/>
      <c r="AC86" s="421"/>
      <c r="AD86" s="421"/>
      <c r="AE86" s="421"/>
      <c r="AF86" s="421"/>
      <c r="AG86" s="421"/>
      <c r="AH86" s="421"/>
      <c r="AI86" s="421"/>
      <c r="AJ86" s="421"/>
      <c r="AK86" s="423"/>
    </row>
    <row r="87" spans="1:37" ht="20.149999999999999" customHeight="1" outlineLevel="1" x14ac:dyDescent="0.25">
      <c r="A87" s="48" t="s">
        <v>137</v>
      </c>
      <c r="B87" s="82" t="s">
        <v>142</v>
      </c>
      <c r="C87" s="227"/>
      <c r="D87" s="227"/>
      <c r="E87" s="227">
        <f>'Rentabilidade-Cult.Perma.'!AP210</f>
        <v>12222.24</v>
      </c>
      <c r="F87" s="227">
        <f>'Rentabilidade-Cult.Perma.'!AQ210</f>
        <v>15257.852000000001</v>
      </c>
      <c r="G87" s="227">
        <f>'Rentabilidade-Cult.Perma.'!AR210</f>
        <v>17315.004000000001</v>
      </c>
      <c r="H87" s="227">
        <f>'Rentabilidade-Cult.Perma.'!AS210</f>
        <v>19658.468000000001</v>
      </c>
      <c r="I87" s="227">
        <f>'Rentabilidade-Cult.Perma.'!AT210</f>
        <v>20282.372000000003</v>
      </c>
      <c r="J87" s="67">
        <f>'Rentabilidade-Cult.Perma.'!AU210</f>
        <v>20282.372000000003</v>
      </c>
      <c r="K87" s="67">
        <f>'Rentabilidade-Cult.Perma.'!AV210</f>
        <v>20282.372000000003</v>
      </c>
      <c r="L87" s="67">
        <f>'Rentabilidade-Cult.Perma.'!AW210</f>
        <v>20282.372000000003</v>
      </c>
      <c r="M87" s="67">
        <f>'Rentabilidade-Cult.Perma.'!AX210</f>
        <v>20282.372000000003</v>
      </c>
      <c r="N87" s="67">
        <f>'Rentabilidade-Cult.Perma.'!AY210</f>
        <v>20282.372000000003</v>
      </c>
      <c r="O87" s="67">
        <f>'Rentabilidade-Cult.Perma.'!AZ210</f>
        <v>20282.372000000003</v>
      </c>
      <c r="P87" s="67">
        <f>'Rentabilidade-Cult.Perma.'!BA210</f>
        <v>20282.372000000003</v>
      </c>
      <c r="Q87" s="67">
        <f>'Rentabilidade-Cult.Perma.'!BB210</f>
        <v>20282.372000000003</v>
      </c>
      <c r="R87" s="67">
        <f>'Rentabilidade-Cult.Perma.'!BC210</f>
        <v>20282.372000000003</v>
      </c>
      <c r="S87" s="67">
        <f>'Rentabilidade-Cult.Perma.'!BD210</f>
        <v>20282.372000000003</v>
      </c>
      <c r="T87" s="68">
        <f>'Rentabilidade-Cult.Perma.'!BE210</f>
        <v>20282.372000000003</v>
      </c>
      <c r="U87" s="447">
        <f>'Rentabilidade-Cult.Perma.'!BF210</f>
        <v>22309.4</v>
      </c>
      <c r="V87" s="67">
        <f>'Rentabilidade-Cult.Perma.'!BG210</f>
        <v>7465.152</v>
      </c>
      <c r="W87" s="67">
        <f>'Rentabilidade-Cult.Perma.'!BH210</f>
        <v>12222.24</v>
      </c>
      <c r="X87" s="67">
        <f>'Rentabilidade-Cult.Perma.'!BI210</f>
        <v>15257.852000000001</v>
      </c>
      <c r="Y87" s="67">
        <f>'Rentabilidade-Cult.Perma.'!BJ210</f>
        <v>17315.004000000001</v>
      </c>
      <c r="Z87" s="67">
        <f>'Rentabilidade-Cult.Perma.'!BK210</f>
        <v>19658.468000000001</v>
      </c>
      <c r="AA87" s="67">
        <f>'Rentabilidade-Cult.Perma.'!BL210</f>
        <v>20282.372000000003</v>
      </c>
      <c r="AB87" s="67">
        <f>'Rentabilidade-Cult.Perma.'!BM210</f>
        <v>20282.372000000003</v>
      </c>
      <c r="AC87" s="67">
        <f>'Rentabilidade-Cult.Perma.'!BN210</f>
        <v>20282.372000000003</v>
      </c>
      <c r="AD87" s="67">
        <f>'Rentabilidade-Cult.Perma.'!BO210</f>
        <v>20282.372000000003</v>
      </c>
      <c r="AE87" s="67">
        <f>'Rentabilidade-Cult.Perma.'!BP210</f>
        <v>20282.372000000003</v>
      </c>
      <c r="AF87" s="67">
        <f>'Rentabilidade-Cult.Perma.'!BQ210</f>
        <v>20282.372000000003</v>
      </c>
      <c r="AG87" s="67">
        <f>'Rentabilidade-Cult.Perma.'!BR210</f>
        <v>20282.372000000003</v>
      </c>
      <c r="AH87" s="67">
        <f>'Rentabilidade-Cult.Perma.'!BS210</f>
        <v>20282.372000000003</v>
      </c>
      <c r="AI87" s="67">
        <f>'Rentabilidade-Cult.Perma.'!BT210</f>
        <v>20282.372000000003</v>
      </c>
      <c r="AJ87" s="67">
        <f>'Rentabilidade-Cult.Perma.'!BU210</f>
        <v>20282.372000000003</v>
      </c>
      <c r="AK87" s="69">
        <f>'Rentabilidade-Cult.Perma.'!BV210</f>
        <v>20282.372000000003</v>
      </c>
    </row>
    <row r="88" spans="1:37" ht="20.149999999999999" customHeight="1" outlineLevel="1" x14ac:dyDescent="0.25">
      <c r="A88" s="48" t="s">
        <v>138</v>
      </c>
      <c r="B88" s="34" t="s">
        <v>146</v>
      </c>
      <c r="C88" s="227"/>
      <c r="D88" s="227"/>
      <c r="E88" s="227">
        <f>'Rentabilidade-Cult.Perma.'!AP227</f>
        <v>4370.875</v>
      </c>
      <c r="F88" s="227">
        <f>'Rentabilidade-Cult.Perma.'!AQ227</f>
        <v>4952</v>
      </c>
      <c r="G88" s="227">
        <f>'Rentabilidade-Cult.Perma.'!AR227</f>
        <v>6977</v>
      </c>
      <c r="H88" s="227">
        <f>'Rentabilidade-Cult.Perma.'!AS227</f>
        <v>7490</v>
      </c>
      <c r="I88" s="227">
        <f>'Rentabilidade-Cult.Perma.'!AT227</f>
        <v>8759</v>
      </c>
      <c r="J88" s="227">
        <f>'Rentabilidade-Cult.Perma.'!AU227</f>
        <v>10028</v>
      </c>
      <c r="K88" s="227">
        <f>'Rentabilidade-Cult.Perma.'!AV227</f>
        <v>10028</v>
      </c>
      <c r="L88" s="227">
        <f>'Rentabilidade-Cult.Perma.'!AW227</f>
        <v>10028</v>
      </c>
      <c r="M88" s="227">
        <f>'Rentabilidade-Cult.Perma.'!AX227</f>
        <v>8759</v>
      </c>
      <c r="N88" s="227">
        <f>'Rentabilidade-Cult.Perma.'!AY227</f>
        <v>9515</v>
      </c>
      <c r="O88" s="227">
        <f>'Rentabilidade-Cult.Perma.'!AZ227</f>
        <v>8759</v>
      </c>
      <c r="P88" s="227">
        <f>'Rentabilidade-Cult.Perma.'!BA227</f>
        <v>8759</v>
      </c>
      <c r="Q88" s="227">
        <f>'Rentabilidade-Cult.Perma.'!BB227</f>
        <v>8759</v>
      </c>
      <c r="R88" s="227">
        <f>'Rentabilidade-Cult.Perma.'!BC227</f>
        <v>7490</v>
      </c>
      <c r="S88" s="227">
        <f>'Rentabilidade-Cult.Perma.'!BD227</f>
        <v>7490</v>
      </c>
      <c r="T88" s="412">
        <f>'Rentabilidade-Cult.Perma.'!BE227</f>
        <v>6977</v>
      </c>
      <c r="U88" s="413">
        <f>'Rentabilidade-Cult.Perma.'!BF227</f>
        <v>4420</v>
      </c>
      <c r="V88" s="227">
        <f>'Rentabilidade-Cult.Perma.'!BG227</f>
        <v>1836</v>
      </c>
      <c r="W88" s="227">
        <f>'Rentabilidade-Cult.Perma.'!BH227</f>
        <v>4370.875</v>
      </c>
      <c r="X88" s="227">
        <f>'Rentabilidade-Cult.Perma.'!BI227</f>
        <v>4952</v>
      </c>
      <c r="Y88" s="227">
        <f>'Rentabilidade-Cult.Perma.'!BJ227</f>
        <v>6977</v>
      </c>
      <c r="Z88" s="227">
        <f>'Rentabilidade-Cult.Perma.'!BK227</f>
        <v>7490</v>
      </c>
      <c r="AA88" s="227">
        <f>'Rentabilidade-Cult.Perma.'!BL227</f>
        <v>8759</v>
      </c>
      <c r="AB88" s="227">
        <f>'Rentabilidade-Cult.Perma.'!BM227</f>
        <v>10028</v>
      </c>
      <c r="AC88" s="227">
        <f>'Rentabilidade-Cult.Perma.'!BN227</f>
        <v>10028</v>
      </c>
      <c r="AD88" s="227">
        <f>'Rentabilidade-Cult.Perma.'!BO227</f>
        <v>10028</v>
      </c>
      <c r="AE88" s="227">
        <f>'Rentabilidade-Cult.Perma.'!BP227</f>
        <v>8759</v>
      </c>
      <c r="AF88" s="227">
        <f>'Rentabilidade-Cult.Perma.'!BQ227</f>
        <v>9515</v>
      </c>
      <c r="AG88" s="227">
        <f>'Rentabilidade-Cult.Perma.'!BR227</f>
        <v>8759</v>
      </c>
      <c r="AH88" s="227">
        <f>'Rentabilidade-Cult.Perma.'!BS227</f>
        <v>8759</v>
      </c>
      <c r="AI88" s="227">
        <f>'Rentabilidade-Cult.Perma.'!BT227</f>
        <v>8759</v>
      </c>
      <c r="AJ88" s="227">
        <f>'Rentabilidade-Cult.Perma.'!BU227</f>
        <v>7490</v>
      </c>
      <c r="AK88" s="414">
        <f>'Rentabilidade-Cult.Perma.'!BV227</f>
        <v>7490</v>
      </c>
    </row>
    <row r="89" spans="1:37" ht="20.149999999999999" customHeight="1" outlineLevel="1" x14ac:dyDescent="0.25">
      <c r="A89" s="48" t="s">
        <v>139</v>
      </c>
      <c r="B89" s="82" t="s">
        <v>143</v>
      </c>
      <c r="C89" s="227"/>
      <c r="D89" s="227"/>
      <c r="E89" s="227">
        <f>'Rentabilidade-Cult.Perma.'!AP243</f>
        <v>5712.5</v>
      </c>
      <c r="F89" s="227">
        <f>'Rentabilidade-Cult.Perma.'!AQ243</f>
        <v>6100</v>
      </c>
      <c r="G89" s="227">
        <f>'Rentabilidade-Cult.Perma.'!AR243</f>
        <v>6612.5</v>
      </c>
      <c r="H89" s="227">
        <f>'Rentabilidade-Cult.Perma.'!AS243</f>
        <v>6550</v>
      </c>
      <c r="I89" s="227">
        <f>'Rentabilidade-Cult.Perma.'!AT243</f>
        <v>6612.5</v>
      </c>
      <c r="J89" s="227">
        <f>'Rentabilidade-Cult.Perma.'!AU243</f>
        <v>6550</v>
      </c>
      <c r="K89" s="227">
        <f>'Rentabilidade-Cult.Perma.'!AV243</f>
        <v>6612.5</v>
      </c>
      <c r="L89" s="227">
        <f>'Rentabilidade-Cult.Perma.'!AW243</f>
        <v>6550</v>
      </c>
      <c r="M89" s="227">
        <f>'Rentabilidade-Cult.Perma.'!AX243</f>
        <v>6612.5</v>
      </c>
      <c r="N89" s="227">
        <f>'Rentabilidade-Cult.Perma.'!AY243</f>
        <v>6550</v>
      </c>
      <c r="O89" s="227">
        <f>'Rentabilidade-Cult.Perma.'!AZ243</f>
        <v>6612.5</v>
      </c>
      <c r="P89" s="227">
        <f>'Rentabilidade-Cult.Perma.'!BA243</f>
        <v>6550</v>
      </c>
      <c r="Q89" s="227">
        <f>'Rentabilidade-Cult.Perma.'!BB243</f>
        <v>6612.5</v>
      </c>
      <c r="R89" s="227">
        <f>'Rentabilidade-Cult.Perma.'!BC243</f>
        <v>6550</v>
      </c>
      <c r="S89" s="227">
        <f>'Rentabilidade-Cult.Perma.'!BD243</f>
        <v>6612.5</v>
      </c>
      <c r="T89" s="412">
        <f>'Rentabilidade-Cult.Perma.'!BE243</f>
        <v>6550</v>
      </c>
      <c r="U89" s="413">
        <f>'Rentabilidade-Cult.Perma.'!BF243</f>
        <v>11316</v>
      </c>
      <c r="V89" s="227">
        <f>'Rentabilidade-Cult.Perma.'!BG243</f>
        <v>4250</v>
      </c>
      <c r="W89" s="227">
        <f>'Rentabilidade-Cult.Perma.'!BH243</f>
        <v>5712.5</v>
      </c>
      <c r="X89" s="227">
        <f>'Rentabilidade-Cult.Perma.'!BI243</f>
        <v>6100</v>
      </c>
      <c r="Y89" s="227">
        <f>'Rentabilidade-Cult.Perma.'!BJ243</f>
        <v>6612.5</v>
      </c>
      <c r="Z89" s="227">
        <f>'Rentabilidade-Cult.Perma.'!BK243</f>
        <v>6550</v>
      </c>
      <c r="AA89" s="227">
        <f>'Rentabilidade-Cult.Perma.'!BL243</f>
        <v>6612.5</v>
      </c>
      <c r="AB89" s="227">
        <f>'Rentabilidade-Cult.Perma.'!BM243</f>
        <v>6550</v>
      </c>
      <c r="AC89" s="227">
        <f>'Rentabilidade-Cult.Perma.'!BN243</f>
        <v>6612.5</v>
      </c>
      <c r="AD89" s="227">
        <f>'Rentabilidade-Cult.Perma.'!BO243</f>
        <v>6550</v>
      </c>
      <c r="AE89" s="227">
        <f>'Rentabilidade-Cult.Perma.'!BP243</f>
        <v>6612.5</v>
      </c>
      <c r="AF89" s="227">
        <f>'Rentabilidade-Cult.Perma.'!BQ243</f>
        <v>6550</v>
      </c>
      <c r="AG89" s="227">
        <f>'Rentabilidade-Cult.Perma.'!BR243</f>
        <v>6612.5</v>
      </c>
      <c r="AH89" s="227">
        <f>'Rentabilidade-Cult.Perma.'!BS243</f>
        <v>6550</v>
      </c>
      <c r="AI89" s="227">
        <f>'Rentabilidade-Cult.Perma.'!BT243</f>
        <v>6612.5</v>
      </c>
      <c r="AJ89" s="227">
        <f>'Rentabilidade-Cult.Perma.'!BU243</f>
        <v>6550</v>
      </c>
      <c r="AK89" s="414">
        <f>'Rentabilidade-Cult.Perma.'!BV243</f>
        <v>6612.5</v>
      </c>
    </row>
    <row r="90" spans="1:37" ht="20.149999999999999" customHeight="1" outlineLevel="1" x14ac:dyDescent="0.25">
      <c r="A90" s="48" t="s">
        <v>140</v>
      </c>
      <c r="B90" s="34" t="s">
        <v>141</v>
      </c>
      <c r="C90" s="227"/>
      <c r="D90" s="227"/>
      <c r="E90" s="227">
        <f>SUM('Rentabilidade-Cult.Perma.'!AP257:AP265)</f>
        <v>12178.05132144</v>
      </c>
      <c r="F90" s="227">
        <f>SUM('Rentabilidade-Cult.Perma.'!AQ257:AQ265)</f>
        <v>14078.05132144</v>
      </c>
      <c r="G90" s="227">
        <f>SUM('Rentabilidade-Cult.Perma.'!AR257:AR265)</f>
        <v>21664.959821439999</v>
      </c>
      <c r="H90" s="227">
        <f>SUM('Rentabilidade-Cult.Perma.'!AS257:AS265)</f>
        <v>23564.959821439999</v>
      </c>
      <c r="I90" s="227">
        <f>SUM('Rentabilidade-Cult.Perma.'!AT257:AT265)</f>
        <v>28438.776821439998</v>
      </c>
      <c r="J90" s="227">
        <f>SUM('Rentabilidade-Cult.Perma.'!AU257:AU265)</f>
        <v>33138.776821439998</v>
      </c>
      <c r="K90" s="227">
        <f>SUM('Rentabilidade-Cult.Perma.'!AV257:AV265)</f>
        <v>33138.776821439998</v>
      </c>
      <c r="L90" s="227">
        <f>SUM('Rentabilidade-Cult.Perma.'!AW257:AW265)</f>
        <v>33138.776821439998</v>
      </c>
      <c r="M90" s="227">
        <f>SUM('Rentabilidade-Cult.Perma.'!AX257:AX265)</f>
        <v>28438.776821439998</v>
      </c>
      <c r="N90" s="227">
        <f>SUM('Rentabilidade-Cult.Perma.'!AY257:AY265)</f>
        <v>31238.776821439998</v>
      </c>
      <c r="O90" s="227">
        <f>SUM('Rentabilidade-Cult.Perma.'!AZ257:AZ265)</f>
        <v>28438.776821439998</v>
      </c>
      <c r="P90" s="227">
        <f>SUM('Rentabilidade-Cult.Perma.'!BA257:BA265)</f>
        <v>28438.776821439998</v>
      </c>
      <c r="Q90" s="227">
        <f>SUM('Rentabilidade-Cult.Perma.'!BB257:BB265)</f>
        <v>28438.776821439998</v>
      </c>
      <c r="R90" s="227">
        <f>SUM('Rentabilidade-Cult.Perma.'!BC257:BC265)</f>
        <v>23738.776821439998</v>
      </c>
      <c r="S90" s="227">
        <f>SUM('Rentabilidade-Cult.Perma.'!BD257:BD265)</f>
        <v>23738.776821439998</v>
      </c>
      <c r="T90" s="412">
        <f>SUM('Rentabilidade-Cult.Perma.'!BE257:BE265)</f>
        <v>21838.776821439998</v>
      </c>
      <c r="U90" s="413">
        <f>SUM('Rentabilidade-Cult.Perma.'!BF257:BF265)</f>
        <v>4417.3258214399993</v>
      </c>
      <c r="V90" s="227">
        <f>SUM('Rentabilidade-Cult.Perma.'!BG257:BG265)</f>
        <v>4591.1428214400003</v>
      </c>
      <c r="W90" s="227">
        <f>SUM('Rentabilidade-Cult.Perma.'!BH257:BH265)</f>
        <v>12178.05132144</v>
      </c>
      <c r="X90" s="227">
        <f>SUM('Rentabilidade-Cult.Perma.'!BI257:BI265)</f>
        <v>14078.05132144</v>
      </c>
      <c r="Y90" s="227">
        <f>SUM('Rentabilidade-Cult.Perma.'!BJ257:BJ265)</f>
        <v>21664.959821439999</v>
      </c>
      <c r="Z90" s="227">
        <f>SUM('Rentabilidade-Cult.Perma.'!BK257:BK265)</f>
        <v>23564.959821439999</v>
      </c>
      <c r="AA90" s="227">
        <f>SUM('Rentabilidade-Cult.Perma.'!BL257:BL265)</f>
        <v>28438.776821439998</v>
      </c>
      <c r="AB90" s="227">
        <f>SUM('Rentabilidade-Cult.Perma.'!BM257:BM265)</f>
        <v>33138.776821439998</v>
      </c>
      <c r="AC90" s="227">
        <f>SUM('Rentabilidade-Cult.Perma.'!BN257:BN265)</f>
        <v>33138.776821439998</v>
      </c>
      <c r="AD90" s="227">
        <f>SUM('Rentabilidade-Cult.Perma.'!BO257:BO265)</f>
        <v>33138.776821439998</v>
      </c>
      <c r="AE90" s="227">
        <f>SUM('Rentabilidade-Cult.Perma.'!BP257:BP265)</f>
        <v>28438.776821439998</v>
      </c>
      <c r="AF90" s="227">
        <f>SUM('Rentabilidade-Cult.Perma.'!BQ257:BQ265)</f>
        <v>31238.776821439998</v>
      </c>
      <c r="AG90" s="227">
        <f>SUM('Rentabilidade-Cult.Perma.'!BR257:BR265)</f>
        <v>28438.776821439998</v>
      </c>
      <c r="AH90" s="227">
        <f>SUM('Rentabilidade-Cult.Perma.'!BS257:BS265)</f>
        <v>28438.776821439998</v>
      </c>
      <c r="AI90" s="227">
        <f>SUM('Rentabilidade-Cult.Perma.'!BT257:BT265)</f>
        <v>28438.776821439998</v>
      </c>
      <c r="AJ90" s="227">
        <f>SUM('Rentabilidade-Cult.Perma.'!BU257:BU265)</f>
        <v>23738.776821439998</v>
      </c>
      <c r="AK90" s="414">
        <f>SUM('Rentabilidade-Cult.Perma.'!BV257:BV265)</f>
        <v>23738.776821439998</v>
      </c>
    </row>
    <row r="91" spans="1:37" ht="20.149999999999999" customHeight="1" outlineLevel="1" thickBot="1" x14ac:dyDescent="0.3">
      <c r="A91" s="96"/>
      <c r="B91" s="87" t="s">
        <v>149</v>
      </c>
      <c r="C91" s="424">
        <f t="shared" ref="C91:AK91" si="13">SUM(C87:C90)</f>
        <v>0</v>
      </c>
      <c r="D91" s="424">
        <f t="shared" si="13"/>
        <v>0</v>
      </c>
      <c r="E91" s="424">
        <f t="shared" si="13"/>
        <v>34483.666321439996</v>
      </c>
      <c r="F91" s="424">
        <f t="shared" si="13"/>
        <v>40387.903321439997</v>
      </c>
      <c r="G91" s="424">
        <f t="shared" si="13"/>
        <v>52569.463821440004</v>
      </c>
      <c r="H91" s="424">
        <f t="shared" si="13"/>
        <v>57263.427821439996</v>
      </c>
      <c r="I91" s="424">
        <f t="shared" si="13"/>
        <v>64092.648821440001</v>
      </c>
      <c r="J91" s="424">
        <f t="shared" si="13"/>
        <v>69999.148821440001</v>
      </c>
      <c r="K91" s="424">
        <f t="shared" si="13"/>
        <v>70061.648821440001</v>
      </c>
      <c r="L91" s="424">
        <f t="shared" si="13"/>
        <v>69999.148821440001</v>
      </c>
      <c r="M91" s="424">
        <f t="shared" si="13"/>
        <v>64092.648821440001</v>
      </c>
      <c r="N91" s="424">
        <f t="shared" si="13"/>
        <v>67586.148821440001</v>
      </c>
      <c r="O91" s="424">
        <f t="shared" si="13"/>
        <v>64092.648821440001</v>
      </c>
      <c r="P91" s="424">
        <f t="shared" si="13"/>
        <v>64030.148821440001</v>
      </c>
      <c r="Q91" s="424">
        <f t="shared" si="13"/>
        <v>64092.648821440001</v>
      </c>
      <c r="R91" s="424">
        <f t="shared" si="13"/>
        <v>58061.148821440001</v>
      </c>
      <c r="S91" s="424">
        <f t="shared" si="13"/>
        <v>58123.648821440001</v>
      </c>
      <c r="T91" s="425">
        <f t="shared" si="13"/>
        <v>55648.148821440001</v>
      </c>
      <c r="U91" s="426">
        <f t="shared" si="13"/>
        <v>42462.725821439999</v>
      </c>
      <c r="V91" s="424">
        <f t="shared" si="13"/>
        <v>18142.294821440002</v>
      </c>
      <c r="W91" s="424">
        <f t="shared" si="13"/>
        <v>34483.666321439996</v>
      </c>
      <c r="X91" s="424">
        <f t="shared" si="13"/>
        <v>40387.903321439997</v>
      </c>
      <c r="Y91" s="424">
        <f t="shared" si="13"/>
        <v>52569.463821440004</v>
      </c>
      <c r="Z91" s="424">
        <f t="shared" si="13"/>
        <v>57263.427821439996</v>
      </c>
      <c r="AA91" s="424">
        <f t="shared" si="13"/>
        <v>64092.648821440001</v>
      </c>
      <c r="AB91" s="424">
        <f t="shared" si="13"/>
        <v>69999.148821440001</v>
      </c>
      <c r="AC91" s="424">
        <f t="shared" si="13"/>
        <v>70061.648821440001</v>
      </c>
      <c r="AD91" s="424">
        <f t="shared" si="13"/>
        <v>69999.148821440001</v>
      </c>
      <c r="AE91" s="424">
        <f t="shared" si="13"/>
        <v>64092.648821440001</v>
      </c>
      <c r="AF91" s="424">
        <f t="shared" si="13"/>
        <v>67586.148821440001</v>
      </c>
      <c r="AG91" s="424">
        <f t="shared" si="13"/>
        <v>64092.648821440001</v>
      </c>
      <c r="AH91" s="424">
        <f t="shared" si="13"/>
        <v>64030.148821440001</v>
      </c>
      <c r="AI91" s="424">
        <f t="shared" si="13"/>
        <v>64092.648821440001</v>
      </c>
      <c r="AJ91" s="424">
        <f t="shared" si="13"/>
        <v>58061.148821440001</v>
      </c>
      <c r="AK91" s="427">
        <f t="shared" si="13"/>
        <v>58123.648821440001</v>
      </c>
    </row>
    <row r="92" spans="1:37" ht="20.149999999999999" customHeight="1" outlineLevel="1" thickBot="1" x14ac:dyDescent="0.3">
      <c r="A92" s="14"/>
      <c r="C92" s="419"/>
      <c r="D92" s="419"/>
      <c r="E92" s="419"/>
      <c r="F92" s="419"/>
      <c r="G92" s="419"/>
      <c r="H92" s="419"/>
      <c r="I92" s="419"/>
      <c r="J92" s="419"/>
      <c r="K92" s="419"/>
      <c r="L92" s="419"/>
      <c r="M92" s="419"/>
      <c r="N92" s="419"/>
      <c r="O92" s="419"/>
      <c r="P92" s="419"/>
      <c r="Q92" s="419"/>
      <c r="R92" s="419"/>
      <c r="S92" s="419"/>
      <c r="T92" s="419"/>
      <c r="U92" s="420"/>
      <c r="V92" s="419"/>
      <c r="W92" s="419"/>
      <c r="X92" s="419"/>
      <c r="Y92" s="419"/>
      <c r="Z92" s="419"/>
      <c r="AA92" s="419"/>
      <c r="AB92" s="419"/>
      <c r="AC92" s="419"/>
      <c r="AD92" s="419"/>
      <c r="AE92" s="419"/>
      <c r="AF92" s="419"/>
      <c r="AG92" s="419"/>
      <c r="AH92" s="419"/>
      <c r="AI92" s="419"/>
      <c r="AJ92" s="419"/>
      <c r="AK92" s="419"/>
    </row>
    <row r="93" spans="1:37" ht="20.149999999999999" customHeight="1" outlineLevel="1" x14ac:dyDescent="0.25">
      <c r="A93" s="42">
        <v>3</v>
      </c>
      <c r="B93" s="97" t="s">
        <v>144</v>
      </c>
      <c r="C93" s="421"/>
      <c r="D93" s="421"/>
      <c r="E93" s="421"/>
      <c r="F93" s="421"/>
      <c r="G93" s="421"/>
      <c r="H93" s="421"/>
      <c r="I93" s="421"/>
      <c r="J93" s="421"/>
      <c r="K93" s="421"/>
      <c r="L93" s="421"/>
      <c r="M93" s="421"/>
      <c r="N93" s="421"/>
      <c r="O93" s="421"/>
      <c r="P93" s="421"/>
      <c r="Q93" s="421"/>
      <c r="R93" s="421"/>
      <c r="S93" s="421"/>
      <c r="T93" s="421"/>
      <c r="U93" s="422"/>
      <c r="V93" s="421"/>
      <c r="W93" s="421"/>
      <c r="X93" s="421"/>
      <c r="Y93" s="421"/>
      <c r="Z93" s="421"/>
      <c r="AA93" s="421"/>
      <c r="AB93" s="421"/>
      <c r="AC93" s="421"/>
      <c r="AD93" s="421"/>
      <c r="AE93" s="421"/>
      <c r="AF93" s="421"/>
      <c r="AG93" s="421"/>
      <c r="AH93" s="421"/>
      <c r="AI93" s="421"/>
      <c r="AJ93" s="421"/>
      <c r="AK93" s="423"/>
    </row>
    <row r="94" spans="1:37" ht="20.149999999999999" customHeight="1" outlineLevel="1" x14ac:dyDescent="0.25">
      <c r="A94" s="47" t="s">
        <v>147</v>
      </c>
      <c r="B94" s="22" t="s">
        <v>222</v>
      </c>
      <c r="C94" s="227">
        <f>'Rentabilidade-Cult.Perma.'!AN273</f>
        <v>0</v>
      </c>
      <c r="D94" s="227">
        <f>'Rentabilidade-Cult.Perma.'!AO273</f>
        <v>0</v>
      </c>
      <c r="E94" s="227">
        <f>'Rentabilidade-Cult.Perma.'!AP273</f>
        <v>34500</v>
      </c>
      <c r="F94" s="227">
        <f>'Rentabilidade-Cult.Perma.'!AQ273</f>
        <v>43240</v>
      </c>
      <c r="G94" s="227">
        <f>'Rentabilidade-Cult.Perma.'!AR273</f>
        <v>77740</v>
      </c>
      <c r="H94" s="227">
        <f>'Rentabilidade-Cult.Perma.'!AS273</f>
        <v>86480</v>
      </c>
      <c r="I94" s="227">
        <f>'Rentabilidade-Cult.Perma.'!AT273</f>
        <v>108100</v>
      </c>
      <c r="J94" s="227">
        <f>'Rentabilidade-Cult.Perma.'!AU273</f>
        <v>129720</v>
      </c>
      <c r="K94" s="227">
        <f>'Rentabilidade-Cult.Perma.'!AV273</f>
        <v>129720</v>
      </c>
      <c r="L94" s="227">
        <f>'Rentabilidade-Cult.Perma.'!AW273</f>
        <v>129720</v>
      </c>
      <c r="M94" s="227">
        <f>'Rentabilidade-Cult.Perma.'!AX273</f>
        <v>108100</v>
      </c>
      <c r="N94" s="227">
        <f>'Rentabilidade-Cult.Perma.'!AY273</f>
        <v>120980</v>
      </c>
      <c r="O94" s="227">
        <f>'Rentabilidade-Cult.Perma.'!AZ273</f>
        <v>108100</v>
      </c>
      <c r="P94" s="227">
        <f>'Rentabilidade-Cult.Perma.'!BA273</f>
        <v>108100</v>
      </c>
      <c r="Q94" s="227">
        <f>'Rentabilidade-Cult.Perma.'!BB273</f>
        <v>108100</v>
      </c>
      <c r="R94" s="227">
        <f>'Rentabilidade-Cult.Perma.'!BC273</f>
        <v>86480</v>
      </c>
      <c r="S94" s="227">
        <f>'Rentabilidade-Cult.Perma.'!BD273</f>
        <v>86480</v>
      </c>
      <c r="T94" s="412">
        <f>'Rentabilidade-Cult.Perma.'!BE273</f>
        <v>77740</v>
      </c>
      <c r="U94" s="413">
        <f>'Rentabilidade-Cult.Perma.'!BF273</f>
        <v>0</v>
      </c>
      <c r="V94" s="227">
        <f>'Rentabilidade-Cult.Perma.'!BG273</f>
        <v>0</v>
      </c>
      <c r="W94" s="227">
        <f>'Rentabilidade-Cult.Perma.'!BH273</f>
        <v>34500</v>
      </c>
      <c r="X94" s="227">
        <f>'Rentabilidade-Cult.Perma.'!BI273</f>
        <v>43240</v>
      </c>
      <c r="Y94" s="227">
        <f>'Rentabilidade-Cult.Perma.'!BJ273</f>
        <v>77740</v>
      </c>
      <c r="Z94" s="227">
        <f>'Rentabilidade-Cult.Perma.'!BK273</f>
        <v>86480</v>
      </c>
      <c r="AA94" s="227">
        <f>'Rentabilidade-Cult.Perma.'!BL273</f>
        <v>108100</v>
      </c>
      <c r="AB94" s="227">
        <f>'Rentabilidade-Cult.Perma.'!BM273</f>
        <v>129720</v>
      </c>
      <c r="AC94" s="227">
        <f>'Rentabilidade-Cult.Perma.'!BN273</f>
        <v>129720</v>
      </c>
      <c r="AD94" s="227">
        <f>'Rentabilidade-Cult.Perma.'!BO273</f>
        <v>129720</v>
      </c>
      <c r="AE94" s="227">
        <f>'Rentabilidade-Cult.Perma.'!BP273</f>
        <v>108100</v>
      </c>
      <c r="AF94" s="227">
        <f>'Rentabilidade-Cult.Perma.'!BQ273</f>
        <v>120980</v>
      </c>
      <c r="AG94" s="227">
        <f>'Rentabilidade-Cult.Perma.'!BR273</f>
        <v>108100</v>
      </c>
      <c r="AH94" s="227">
        <f>'Rentabilidade-Cult.Perma.'!BS273</f>
        <v>108100</v>
      </c>
      <c r="AI94" s="227">
        <f>'Rentabilidade-Cult.Perma.'!BT273</f>
        <v>108100</v>
      </c>
      <c r="AJ94" s="227">
        <f>'Rentabilidade-Cult.Perma.'!BU273</f>
        <v>86480</v>
      </c>
      <c r="AK94" s="414">
        <f>'Rentabilidade-Cult.Perma.'!BV273</f>
        <v>86480</v>
      </c>
    </row>
    <row r="95" spans="1:37" ht="20.149999999999999" customHeight="1" outlineLevel="1" thickBot="1" x14ac:dyDescent="0.3">
      <c r="A95" s="52"/>
      <c r="B95" s="102" t="s">
        <v>153</v>
      </c>
      <c r="C95" s="424">
        <f t="shared" ref="C95:AK95" si="14">SUM(C94:C94)</f>
        <v>0</v>
      </c>
      <c r="D95" s="424">
        <f t="shared" si="14"/>
        <v>0</v>
      </c>
      <c r="E95" s="424">
        <f t="shared" si="14"/>
        <v>34500</v>
      </c>
      <c r="F95" s="424">
        <f t="shared" si="14"/>
        <v>43240</v>
      </c>
      <c r="G95" s="424">
        <f t="shared" si="14"/>
        <v>77740</v>
      </c>
      <c r="H95" s="424">
        <f t="shared" si="14"/>
        <v>86480</v>
      </c>
      <c r="I95" s="424">
        <f t="shared" si="14"/>
        <v>108100</v>
      </c>
      <c r="J95" s="424">
        <f t="shared" si="14"/>
        <v>129720</v>
      </c>
      <c r="K95" s="424">
        <f t="shared" si="14"/>
        <v>129720</v>
      </c>
      <c r="L95" s="424">
        <f t="shared" si="14"/>
        <v>129720</v>
      </c>
      <c r="M95" s="424">
        <f t="shared" si="14"/>
        <v>108100</v>
      </c>
      <c r="N95" s="424">
        <f t="shared" si="14"/>
        <v>120980</v>
      </c>
      <c r="O95" s="424">
        <f t="shared" si="14"/>
        <v>108100</v>
      </c>
      <c r="P95" s="424">
        <f t="shared" si="14"/>
        <v>108100</v>
      </c>
      <c r="Q95" s="424">
        <f t="shared" si="14"/>
        <v>108100</v>
      </c>
      <c r="R95" s="424">
        <f t="shared" si="14"/>
        <v>86480</v>
      </c>
      <c r="S95" s="424">
        <f t="shared" si="14"/>
        <v>86480</v>
      </c>
      <c r="T95" s="425">
        <f t="shared" si="14"/>
        <v>77740</v>
      </c>
      <c r="U95" s="426">
        <f t="shared" si="14"/>
        <v>0</v>
      </c>
      <c r="V95" s="424">
        <f t="shared" si="14"/>
        <v>0</v>
      </c>
      <c r="W95" s="424">
        <f t="shared" si="14"/>
        <v>34500</v>
      </c>
      <c r="X95" s="424">
        <f t="shared" si="14"/>
        <v>43240</v>
      </c>
      <c r="Y95" s="424">
        <f t="shared" si="14"/>
        <v>77740</v>
      </c>
      <c r="Z95" s="424">
        <f t="shared" si="14"/>
        <v>86480</v>
      </c>
      <c r="AA95" s="424">
        <f t="shared" si="14"/>
        <v>108100</v>
      </c>
      <c r="AB95" s="424">
        <f t="shared" si="14"/>
        <v>129720</v>
      </c>
      <c r="AC95" s="424">
        <f t="shared" si="14"/>
        <v>129720</v>
      </c>
      <c r="AD95" s="424">
        <f t="shared" si="14"/>
        <v>129720</v>
      </c>
      <c r="AE95" s="424">
        <f t="shared" si="14"/>
        <v>108100</v>
      </c>
      <c r="AF95" s="424">
        <f t="shared" si="14"/>
        <v>120980</v>
      </c>
      <c r="AG95" s="424">
        <f t="shared" si="14"/>
        <v>108100</v>
      </c>
      <c r="AH95" s="424">
        <f t="shared" si="14"/>
        <v>108100</v>
      </c>
      <c r="AI95" s="424">
        <f t="shared" si="14"/>
        <v>108100</v>
      </c>
      <c r="AJ95" s="424">
        <f t="shared" si="14"/>
        <v>86480</v>
      </c>
      <c r="AK95" s="427">
        <f t="shared" si="14"/>
        <v>86480</v>
      </c>
    </row>
    <row r="96" spans="1:37" ht="20.149999999999999" customHeight="1" outlineLevel="1" thickBot="1" x14ac:dyDescent="0.3"/>
    <row r="97" spans="1:37" ht="20.149999999999999" customHeight="1" outlineLevel="1" thickBot="1" x14ac:dyDescent="0.3">
      <c r="A97" s="70">
        <v>4</v>
      </c>
      <c r="B97" s="104" t="s">
        <v>156</v>
      </c>
      <c r="C97" s="431">
        <f t="shared" ref="C97:AK97" si="15">C95-C91-C84</f>
        <v>-74753.799470567144</v>
      </c>
      <c r="D97" s="431">
        <f t="shared" si="15"/>
        <v>-18142.294821440002</v>
      </c>
      <c r="E97" s="431">
        <f t="shared" si="15"/>
        <v>16.333678560004046</v>
      </c>
      <c r="F97" s="431">
        <f t="shared" si="15"/>
        <v>2852.0966785600031</v>
      </c>
      <c r="G97" s="431">
        <f t="shared" si="15"/>
        <v>25170.536178559996</v>
      </c>
      <c r="H97" s="431">
        <f t="shared" si="15"/>
        <v>29216.572178560004</v>
      </c>
      <c r="I97" s="431">
        <f t="shared" si="15"/>
        <v>44007.351178559999</v>
      </c>
      <c r="J97" s="431">
        <f t="shared" si="15"/>
        <v>59720.851178559999</v>
      </c>
      <c r="K97" s="431">
        <f t="shared" si="15"/>
        <v>59658.351178559999</v>
      </c>
      <c r="L97" s="431">
        <f t="shared" si="15"/>
        <v>59720.851178559999</v>
      </c>
      <c r="M97" s="431">
        <f t="shared" si="15"/>
        <v>44007.351178559999</v>
      </c>
      <c r="N97" s="431">
        <f t="shared" si="15"/>
        <v>53393.851178559999</v>
      </c>
      <c r="O97" s="431">
        <f t="shared" si="15"/>
        <v>44007.351178559999</v>
      </c>
      <c r="P97" s="431">
        <f t="shared" si="15"/>
        <v>44069.851178559999</v>
      </c>
      <c r="Q97" s="431">
        <f t="shared" si="15"/>
        <v>44007.351178559999</v>
      </c>
      <c r="R97" s="431">
        <f t="shared" si="15"/>
        <v>28418.851178559999</v>
      </c>
      <c r="S97" s="431">
        <f t="shared" si="15"/>
        <v>28356.351178559999</v>
      </c>
      <c r="T97" s="432">
        <f t="shared" si="15"/>
        <v>22091.851178559999</v>
      </c>
      <c r="U97" s="433">
        <f t="shared" si="15"/>
        <v>-42462.725821439999</v>
      </c>
      <c r="V97" s="431">
        <f t="shared" si="15"/>
        <v>-18142.294821440002</v>
      </c>
      <c r="W97" s="431">
        <f t="shared" si="15"/>
        <v>16.333678560004046</v>
      </c>
      <c r="X97" s="431">
        <f t="shared" si="15"/>
        <v>2852.0966785600031</v>
      </c>
      <c r="Y97" s="431">
        <f t="shared" si="15"/>
        <v>25170.536178559996</v>
      </c>
      <c r="Z97" s="431">
        <f t="shared" si="15"/>
        <v>29216.572178560004</v>
      </c>
      <c r="AA97" s="431">
        <f t="shared" si="15"/>
        <v>44007.351178559999</v>
      </c>
      <c r="AB97" s="431">
        <f t="shared" si="15"/>
        <v>59720.851178559999</v>
      </c>
      <c r="AC97" s="431">
        <f t="shared" si="15"/>
        <v>59658.351178559999</v>
      </c>
      <c r="AD97" s="431">
        <f t="shared" si="15"/>
        <v>59720.851178559999</v>
      </c>
      <c r="AE97" s="431">
        <f t="shared" si="15"/>
        <v>44007.351178559999</v>
      </c>
      <c r="AF97" s="431">
        <f t="shared" si="15"/>
        <v>53393.851178559999</v>
      </c>
      <c r="AG97" s="431">
        <f t="shared" si="15"/>
        <v>44007.351178559999</v>
      </c>
      <c r="AH97" s="431">
        <f t="shared" si="15"/>
        <v>44069.851178559999</v>
      </c>
      <c r="AI97" s="431">
        <f t="shared" si="15"/>
        <v>44007.351178559999</v>
      </c>
      <c r="AJ97" s="431">
        <f t="shared" si="15"/>
        <v>28418.851178559999</v>
      </c>
      <c r="AK97" s="434">
        <f t="shared" si="15"/>
        <v>28356.351178559999</v>
      </c>
    </row>
    <row r="98" spans="1:37" ht="20.149999999999999" customHeight="1" outlineLevel="1" thickBot="1" x14ac:dyDescent="0.3">
      <c r="A98" s="14"/>
      <c r="C98" s="430"/>
      <c r="D98" s="430"/>
      <c r="E98" s="430"/>
      <c r="F98" s="430"/>
      <c r="G98" s="430"/>
      <c r="H98" s="430"/>
      <c r="I98" s="430"/>
      <c r="J98" s="430"/>
      <c r="K98" s="430"/>
      <c r="L98" s="430"/>
      <c r="M98" s="419"/>
      <c r="N98" s="419"/>
      <c r="O98" s="419"/>
      <c r="P98" s="419"/>
      <c r="Q98" s="419"/>
      <c r="R98" s="419"/>
      <c r="S98" s="419"/>
      <c r="T98" s="419"/>
      <c r="U98" s="420"/>
      <c r="V98" s="419"/>
      <c r="W98" s="419"/>
      <c r="X98" s="419"/>
      <c r="Y98" s="419"/>
      <c r="Z98" s="419"/>
      <c r="AA98" s="419"/>
      <c r="AB98" s="419"/>
      <c r="AC98" s="419"/>
      <c r="AD98" s="419"/>
      <c r="AE98" s="419"/>
      <c r="AF98" s="419"/>
      <c r="AG98" s="419"/>
      <c r="AH98" s="419"/>
      <c r="AI98" s="419"/>
      <c r="AJ98" s="419"/>
      <c r="AK98" s="419"/>
    </row>
    <row r="99" spans="1:37" ht="20.149999999999999" customHeight="1" outlineLevel="1" thickBot="1" x14ac:dyDescent="0.3">
      <c r="A99" s="70">
        <v>5</v>
      </c>
      <c r="B99" s="104" t="s">
        <v>160</v>
      </c>
      <c r="C99" s="435">
        <f>C97</f>
        <v>-74753.799470567144</v>
      </c>
      <c r="D99" s="435">
        <f t="shared" ref="D99:AK99" si="16">C99+D97</f>
        <v>-92896.094292007154</v>
      </c>
      <c r="E99" s="435">
        <f t="shared" si="16"/>
        <v>-92879.760613447143</v>
      </c>
      <c r="F99" s="435">
        <f t="shared" si="16"/>
        <v>-90027.663934887139</v>
      </c>
      <c r="G99" s="435">
        <f t="shared" si="16"/>
        <v>-64857.127756327143</v>
      </c>
      <c r="H99" s="435">
        <f t="shared" si="16"/>
        <v>-35640.55557776714</v>
      </c>
      <c r="I99" s="435">
        <f t="shared" si="16"/>
        <v>8366.7956007928587</v>
      </c>
      <c r="J99" s="435">
        <f t="shared" si="16"/>
        <v>68087.646779352857</v>
      </c>
      <c r="K99" s="435">
        <f t="shared" si="16"/>
        <v>127745.99795791286</v>
      </c>
      <c r="L99" s="435">
        <f t="shared" si="16"/>
        <v>187466.84913647285</v>
      </c>
      <c r="M99" s="435">
        <f t="shared" si="16"/>
        <v>231474.20031503285</v>
      </c>
      <c r="N99" s="435">
        <f t="shared" si="16"/>
        <v>284868.05149359285</v>
      </c>
      <c r="O99" s="435">
        <f t="shared" si="16"/>
        <v>328875.40267215285</v>
      </c>
      <c r="P99" s="435">
        <f t="shared" si="16"/>
        <v>372945.25385071285</v>
      </c>
      <c r="Q99" s="435">
        <f t="shared" si="16"/>
        <v>416952.60502927285</v>
      </c>
      <c r="R99" s="435">
        <f t="shared" si="16"/>
        <v>445371.45620783285</v>
      </c>
      <c r="S99" s="435">
        <f t="shared" si="16"/>
        <v>473727.80738639284</v>
      </c>
      <c r="T99" s="436">
        <f t="shared" si="16"/>
        <v>495819.65856495284</v>
      </c>
      <c r="U99" s="437">
        <f t="shared" si="16"/>
        <v>453356.93274351285</v>
      </c>
      <c r="V99" s="435">
        <f t="shared" si="16"/>
        <v>435214.63792207284</v>
      </c>
      <c r="W99" s="435">
        <f t="shared" si="16"/>
        <v>435230.97160063282</v>
      </c>
      <c r="X99" s="435">
        <f t="shared" si="16"/>
        <v>438083.06827919284</v>
      </c>
      <c r="Y99" s="435">
        <f t="shared" si="16"/>
        <v>463253.60445775284</v>
      </c>
      <c r="Z99" s="435">
        <f t="shared" si="16"/>
        <v>492470.17663631286</v>
      </c>
      <c r="AA99" s="435">
        <f t="shared" si="16"/>
        <v>536477.5278148728</v>
      </c>
      <c r="AB99" s="435">
        <f t="shared" si="16"/>
        <v>596198.37899343274</v>
      </c>
      <c r="AC99" s="435">
        <f t="shared" si="16"/>
        <v>655856.73017199268</v>
      </c>
      <c r="AD99" s="435">
        <f t="shared" si="16"/>
        <v>715577.58135055262</v>
      </c>
      <c r="AE99" s="435">
        <f t="shared" si="16"/>
        <v>759584.93252911256</v>
      </c>
      <c r="AF99" s="435">
        <f t="shared" si="16"/>
        <v>812978.7837076725</v>
      </c>
      <c r="AG99" s="435">
        <f t="shared" si="16"/>
        <v>856986.13488623244</v>
      </c>
      <c r="AH99" s="435">
        <f t="shared" si="16"/>
        <v>901055.98606479238</v>
      </c>
      <c r="AI99" s="435">
        <f t="shared" si="16"/>
        <v>945063.33724335232</v>
      </c>
      <c r="AJ99" s="435">
        <f t="shared" si="16"/>
        <v>973482.18842191226</v>
      </c>
      <c r="AK99" s="438">
        <f t="shared" si="16"/>
        <v>1001838.5396004722</v>
      </c>
    </row>
    <row r="100" spans="1:37" ht="20.149999999999999" customHeight="1" outlineLevel="1" x14ac:dyDescent="0.25">
      <c r="A100" s="14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37" ht="20.149999999999999" customHeight="1" outlineLevel="1" x14ac:dyDescent="0.25">
      <c r="C101" s="115" t="s">
        <v>512</v>
      </c>
      <c r="D101" s="116">
        <f>AK99/35</f>
        <v>28623.958274299206</v>
      </c>
      <c r="E101" s="440" t="s">
        <v>317</v>
      </c>
      <c r="J101" s="16"/>
      <c r="V101" s="16"/>
    </row>
    <row r="102" spans="1:37" ht="13" outlineLevel="1" thickBot="1" x14ac:dyDescent="0.3"/>
    <row r="103" spans="1:37" ht="30" customHeight="1" thickBot="1" x14ac:dyDescent="0.3">
      <c r="A103" s="555" t="s">
        <v>162</v>
      </c>
      <c r="B103" s="621"/>
      <c r="C103" s="621"/>
      <c r="D103" s="621"/>
      <c r="E103" s="621"/>
      <c r="F103" s="621"/>
      <c r="G103" s="621"/>
      <c r="H103" s="621"/>
      <c r="I103" s="621"/>
      <c r="J103" s="621"/>
      <c r="K103" s="621"/>
      <c r="L103" s="621"/>
      <c r="M103" s="621"/>
      <c r="N103" s="621"/>
      <c r="O103" s="621"/>
      <c r="P103" s="621"/>
      <c r="Q103" s="621"/>
      <c r="R103" s="621"/>
      <c r="S103" s="621"/>
      <c r="T103" s="621"/>
      <c r="U103" s="621"/>
      <c r="V103" s="621"/>
      <c r="W103" s="621"/>
      <c r="X103" s="621"/>
      <c r="Y103" s="621"/>
      <c r="Z103" s="621"/>
      <c r="AA103" s="621"/>
      <c r="AB103" s="621"/>
      <c r="AC103" s="621"/>
      <c r="AD103" s="621"/>
      <c r="AE103" s="621"/>
      <c r="AF103" s="621"/>
      <c r="AG103" s="621"/>
      <c r="AH103" s="621"/>
      <c r="AI103" s="621"/>
      <c r="AJ103" s="621"/>
      <c r="AK103" s="621"/>
    </row>
    <row r="104" spans="1:37" ht="20.149999999999999" customHeight="1" outlineLevel="1" thickBot="1" x14ac:dyDescent="0.3">
      <c r="A104" s="547" t="s">
        <v>513</v>
      </c>
      <c r="B104" s="548"/>
      <c r="C104" s="548"/>
      <c r="D104" s="548"/>
      <c r="E104" s="548"/>
      <c r="F104" s="548"/>
      <c r="G104" s="548"/>
      <c r="H104" s="548"/>
      <c r="I104" s="548"/>
      <c r="J104" s="548"/>
      <c r="K104" s="548"/>
      <c r="L104" s="548"/>
      <c r="M104" s="548"/>
      <c r="N104" s="548"/>
      <c r="O104" s="548"/>
      <c r="P104" s="548"/>
      <c r="Q104" s="548"/>
      <c r="R104" s="548"/>
      <c r="S104" s="548"/>
      <c r="T104" s="548"/>
      <c r="U104" s="548"/>
      <c r="V104" s="548"/>
      <c r="W104" s="548"/>
      <c r="X104" s="548"/>
      <c r="Y104" s="548"/>
      <c r="Z104" s="548"/>
      <c r="AA104" s="548"/>
      <c r="AB104" s="548"/>
      <c r="AC104" s="548"/>
      <c r="AD104" s="548"/>
      <c r="AE104" s="548"/>
      <c r="AF104" s="548"/>
      <c r="AG104" s="548"/>
      <c r="AH104" s="548"/>
      <c r="AI104" s="548"/>
      <c r="AJ104" s="548"/>
      <c r="AK104" s="548"/>
    </row>
    <row r="105" spans="1:37" s="14" customFormat="1" ht="20.149999999999999" customHeight="1" outlineLevel="1" thickBot="1" x14ac:dyDescent="0.3">
      <c r="A105" s="1102" t="s">
        <v>152</v>
      </c>
      <c r="B105" s="1102" t="s">
        <v>150</v>
      </c>
      <c r="C105" s="1103" t="s">
        <v>151</v>
      </c>
      <c r="D105" s="1104"/>
      <c r="E105" s="1104"/>
      <c r="F105" s="1104"/>
      <c r="G105" s="1104"/>
      <c r="H105" s="1104"/>
      <c r="I105" s="1104"/>
      <c r="J105" s="1104"/>
      <c r="K105" s="1104"/>
      <c r="L105" s="1104"/>
      <c r="M105" s="1104"/>
      <c r="N105" s="1104"/>
      <c r="O105" s="1104"/>
      <c r="P105" s="1104"/>
      <c r="Q105" s="1104"/>
      <c r="R105" s="1104"/>
      <c r="S105" s="1104"/>
      <c r="T105" s="1104"/>
      <c r="U105" s="1104"/>
      <c r="V105" s="1104"/>
      <c r="W105" s="1104"/>
      <c r="X105" s="1104"/>
      <c r="Y105" s="1104"/>
      <c r="Z105" s="1104"/>
      <c r="AA105" s="1104"/>
      <c r="AB105" s="1104"/>
      <c r="AC105" s="1104"/>
      <c r="AD105" s="1104"/>
      <c r="AE105" s="1104"/>
      <c r="AF105" s="1104"/>
      <c r="AG105" s="1104"/>
      <c r="AH105" s="1104"/>
      <c r="AI105" s="1104"/>
      <c r="AJ105" s="1104"/>
      <c r="AK105" s="1105"/>
    </row>
    <row r="106" spans="1:37" s="14" customFormat="1" ht="20.149999999999999" customHeight="1" outlineLevel="1" thickBot="1" x14ac:dyDescent="0.3">
      <c r="A106" s="1102"/>
      <c r="B106" s="1102"/>
      <c r="C106" s="210">
        <v>1</v>
      </c>
      <c r="D106" s="275">
        <f t="shared" ref="D106:AK106" si="17">C106+1</f>
        <v>2</v>
      </c>
      <c r="E106" s="211">
        <f t="shared" si="17"/>
        <v>3</v>
      </c>
      <c r="F106" s="211">
        <f t="shared" si="17"/>
        <v>4</v>
      </c>
      <c r="G106" s="211">
        <f t="shared" si="17"/>
        <v>5</v>
      </c>
      <c r="H106" s="211">
        <f t="shared" si="17"/>
        <v>6</v>
      </c>
      <c r="I106" s="211">
        <f t="shared" si="17"/>
        <v>7</v>
      </c>
      <c r="J106" s="211">
        <f t="shared" si="17"/>
        <v>8</v>
      </c>
      <c r="K106" s="211">
        <f t="shared" si="17"/>
        <v>9</v>
      </c>
      <c r="L106" s="211">
        <f t="shared" si="17"/>
        <v>10</v>
      </c>
      <c r="M106" s="211">
        <f t="shared" si="17"/>
        <v>11</v>
      </c>
      <c r="N106" s="211">
        <f t="shared" si="17"/>
        <v>12</v>
      </c>
      <c r="O106" s="211">
        <f t="shared" si="17"/>
        <v>13</v>
      </c>
      <c r="P106" s="211">
        <f t="shared" si="17"/>
        <v>14</v>
      </c>
      <c r="Q106" s="211">
        <f t="shared" si="17"/>
        <v>15</v>
      </c>
      <c r="R106" s="211">
        <f t="shared" si="17"/>
        <v>16</v>
      </c>
      <c r="S106" s="211">
        <f t="shared" si="17"/>
        <v>17</v>
      </c>
      <c r="T106" s="211">
        <f t="shared" si="17"/>
        <v>18</v>
      </c>
      <c r="U106" s="476">
        <f t="shared" si="17"/>
        <v>19</v>
      </c>
      <c r="V106" s="211">
        <f t="shared" si="17"/>
        <v>20</v>
      </c>
      <c r="W106" s="211">
        <f t="shared" si="17"/>
        <v>21</v>
      </c>
      <c r="X106" s="211">
        <f t="shared" si="17"/>
        <v>22</v>
      </c>
      <c r="Y106" s="211">
        <f t="shared" si="17"/>
        <v>23</v>
      </c>
      <c r="Z106" s="211">
        <f t="shared" si="17"/>
        <v>24</v>
      </c>
      <c r="AA106" s="211">
        <f t="shared" si="17"/>
        <v>25</v>
      </c>
      <c r="AB106" s="211">
        <f t="shared" si="17"/>
        <v>26</v>
      </c>
      <c r="AC106" s="211">
        <f t="shared" si="17"/>
        <v>27</v>
      </c>
      <c r="AD106" s="211">
        <f t="shared" si="17"/>
        <v>28</v>
      </c>
      <c r="AE106" s="211">
        <f t="shared" si="17"/>
        <v>29</v>
      </c>
      <c r="AF106" s="211">
        <f t="shared" si="17"/>
        <v>30</v>
      </c>
      <c r="AG106" s="211">
        <f t="shared" si="17"/>
        <v>31</v>
      </c>
      <c r="AH106" s="211">
        <f t="shared" si="17"/>
        <v>32</v>
      </c>
      <c r="AI106" s="211">
        <f t="shared" si="17"/>
        <v>33</v>
      </c>
      <c r="AJ106" s="211">
        <f t="shared" si="17"/>
        <v>34</v>
      </c>
      <c r="AK106" s="211">
        <f t="shared" si="17"/>
        <v>35</v>
      </c>
    </row>
    <row r="107" spans="1:37" ht="20.149999999999999" customHeight="1" outlineLevel="1" x14ac:dyDescent="0.25">
      <c r="A107" s="71">
        <v>1</v>
      </c>
      <c r="B107" s="76" t="s">
        <v>134</v>
      </c>
      <c r="U107" s="442"/>
      <c r="AK107" s="77"/>
    </row>
    <row r="108" spans="1:37" ht="20.149999999999999" customHeight="1" outlineLevel="1" x14ac:dyDescent="0.25">
      <c r="A108" s="48" t="s">
        <v>74</v>
      </c>
      <c r="B108" s="78" t="s">
        <v>129</v>
      </c>
      <c r="C108" s="59">
        <f>'Custos Diversos'!E164</f>
        <v>1293.6736491271517</v>
      </c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412"/>
      <c r="U108" s="413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414"/>
    </row>
    <row r="109" spans="1:37" ht="20.149999999999999" customHeight="1" outlineLevel="1" x14ac:dyDescent="0.25">
      <c r="A109" s="48" t="s">
        <v>75</v>
      </c>
      <c r="B109" s="82" t="s">
        <v>335</v>
      </c>
      <c r="C109" s="227">
        <f>'Rentabilidade-Cult.Perma.'!AN339</f>
        <v>20000</v>
      </c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412"/>
      <c r="U109" s="413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414"/>
    </row>
    <row r="110" spans="1:37" ht="20.149999999999999" customHeight="1" outlineLevel="1" x14ac:dyDescent="0.25">
      <c r="A110" s="48" t="s">
        <v>76</v>
      </c>
      <c r="B110" s="82" t="s">
        <v>336</v>
      </c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412"/>
      <c r="U110" s="413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414"/>
    </row>
    <row r="111" spans="1:37" ht="20.149999999999999" customHeight="1" outlineLevel="1" x14ac:dyDescent="0.25">
      <c r="A111" s="48" t="s">
        <v>126</v>
      </c>
      <c r="B111" s="82" t="s">
        <v>130</v>
      </c>
      <c r="C111" s="227">
        <f>'Rentabilidade-Cult.Perma.'!AN342-'Rentabilidade-Cult.Perma.'!AN339</f>
        <v>4263.4000000000015</v>
      </c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412"/>
      <c r="U111" s="413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414"/>
    </row>
    <row r="112" spans="1:37" ht="20.149999999999999" customHeight="1" outlineLevel="1" x14ac:dyDescent="0.25">
      <c r="A112" s="737"/>
      <c r="B112" s="83" t="s">
        <v>228</v>
      </c>
      <c r="C112" s="416"/>
      <c r="D112" s="64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412"/>
      <c r="U112" s="413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414"/>
    </row>
    <row r="113" spans="1:37" ht="20.149999999999999" customHeight="1" outlineLevel="1" x14ac:dyDescent="0.25">
      <c r="A113" s="85" t="s">
        <v>135</v>
      </c>
      <c r="B113" s="82" t="s">
        <v>142</v>
      </c>
      <c r="C113" s="227">
        <f>'Rentabilidade-Cult.Perma.'!AN301</f>
        <v>11708.224999999999</v>
      </c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412"/>
      <c r="U113" s="413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414"/>
    </row>
    <row r="114" spans="1:37" ht="20.149999999999999" customHeight="1" outlineLevel="1" x14ac:dyDescent="0.25">
      <c r="A114" s="85" t="s">
        <v>157</v>
      </c>
      <c r="B114" s="34" t="s">
        <v>146</v>
      </c>
      <c r="C114" s="227">
        <f>'Rentabilidade-Cult.Perma.'!AN318</f>
        <v>4828</v>
      </c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412"/>
      <c r="U114" s="413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414"/>
    </row>
    <row r="115" spans="1:37" ht="20.149999999999999" customHeight="1" outlineLevel="1" x14ac:dyDescent="0.25">
      <c r="A115" s="85" t="s">
        <v>158</v>
      </c>
      <c r="B115" s="82" t="s">
        <v>143</v>
      </c>
      <c r="C115" s="227">
        <f>'Rentabilidade-Cult.Perma.'!AN334</f>
        <v>7550</v>
      </c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412"/>
      <c r="U115" s="413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414"/>
    </row>
    <row r="116" spans="1:37" ht="20.149999999999999" customHeight="1" outlineLevel="1" x14ac:dyDescent="0.25">
      <c r="A116" s="85" t="s">
        <v>159</v>
      </c>
      <c r="B116" s="34" t="s">
        <v>141</v>
      </c>
      <c r="C116" s="227">
        <f>SUM('Rentabilidade-Cult.Perma.'!AN347:AN354)</f>
        <v>4410.8258214399993</v>
      </c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412"/>
      <c r="U116" s="413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414"/>
    </row>
    <row r="117" spans="1:37" ht="20.149999999999999" customHeight="1" outlineLevel="1" thickBot="1" x14ac:dyDescent="0.3">
      <c r="A117" s="96"/>
      <c r="B117" s="87" t="s">
        <v>148</v>
      </c>
      <c r="C117" s="424">
        <f>SUM(C108:C116)</f>
        <v>54054.124470567149</v>
      </c>
      <c r="D117" s="424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444"/>
      <c r="U117" s="445"/>
      <c r="V117" s="228"/>
      <c r="W117" s="228"/>
      <c r="X117" s="228"/>
      <c r="Y117" s="228"/>
      <c r="Z117" s="228"/>
      <c r="AA117" s="228"/>
      <c r="AB117" s="228"/>
      <c r="AC117" s="228"/>
      <c r="AD117" s="228"/>
      <c r="AE117" s="228"/>
      <c r="AF117" s="228"/>
      <c r="AG117" s="228"/>
      <c r="AH117" s="228"/>
      <c r="AI117" s="228"/>
      <c r="AJ117" s="228"/>
      <c r="AK117" s="446"/>
    </row>
    <row r="118" spans="1:37" ht="20.149999999999999" customHeight="1" outlineLevel="1" thickBot="1" x14ac:dyDescent="0.3">
      <c r="A118" s="14"/>
      <c r="C118" s="419"/>
      <c r="D118" s="419"/>
      <c r="E118" s="419"/>
      <c r="F118" s="419"/>
      <c r="G118" s="419"/>
      <c r="H118" s="419"/>
      <c r="I118" s="419"/>
      <c r="J118" s="419"/>
      <c r="K118" s="419"/>
      <c r="L118" s="419"/>
      <c r="M118" s="419"/>
      <c r="N118" s="419"/>
      <c r="O118" s="419"/>
      <c r="P118" s="419"/>
      <c r="Q118" s="419"/>
      <c r="R118" s="419"/>
      <c r="S118" s="419"/>
      <c r="T118" s="419"/>
      <c r="U118" s="420"/>
      <c r="V118" s="419"/>
      <c r="W118" s="419"/>
      <c r="X118" s="419"/>
      <c r="Y118" s="419"/>
      <c r="Z118" s="419"/>
      <c r="AA118" s="419"/>
      <c r="AB118" s="419"/>
      <c r="AC118" s="419"/>
      <c r="AD118" s="419"/>
      <c r="AE118" s="419"/>
      <c r="AF118" s="419"/>
      <c r="AG118" s="419"/>
      <c r="AH118" s="419"/>
      <c r="AI118" s="419"/>
      <c r="AJ118" s="419"/>
      <c r="AK118" s="419"/>
    </row>
    <row r="119" spans="1:37" ht="20.149999999999999" customHeight="1" outlineLevel="1" x14ac:dyDescent="0.25">
      <c r="A119" s="71">
        <v>2</v>
      </c>
      <c r="B119" s="76" t="s">
        <v>136</v>
      </c>
      <c r="C119" s="421"/>
      <c r="D119" s="421"/>
      <c r="E119" s="421"/>
      <c r="F119" s="421"/>
      <c r="G119" s="421"/>
      <c r="H119" s="421"/>
      <c r="I119" s="421"/>
      <c r="J119" s="421"/>
      <c r="K119" s="421"/>
      <c r="L119" s="421"/>
      <c r="M119" s="421"/>
      <c r="N119" s="421"/>
      <c r="O119" s="421"/>
      <c r="P119" s="421"/>
      <c r="Q119" s="421"/>
      <c r="R119" s="421"/>
      <c r="S119" s="421"/>
      <c r="T119" s="421"/>
      <c r="U119" s="422"/>
      <c r="V119" s="421"/>
      <c r="W119" s="421"/>
      <c r="X119" s="421"/>
      <c r="Y119" s="421"/>
      <c r="Z119" s="421"/>
      <c r="AA119" s="421"/>
      <c r="AB119" s="421"/>
      <c r="AC119" s="421"/>
      <c r="AD119" s="421"/>
      <c r="AE119" s="421"/>
      <c r="AF119" s="421"/>
      <c r="AG119" s="421"/>
      <c r="AH119" s="421"/>
      <c r="AI119" s="421"/>
      <c r="AJ119" s="421"/>
      <c r="AK119" s="423"/>
    </row>
    <row r="120" spans="1:37" ht="20.149999999999999" customHeight="1" outlineLevel="1" x14ac:dyDescent="0.25">
      <c r="A120" s="48" t="s">
        <v>137</v>
      </c>
      <c r="B120" s="82" t="s">
        <v>142</v>
      </c>
      <c r="C120" s="227"/>
      <c r="D120" s="227">
        <f>'Rentabilidade-Cult.Perma.'!AO301</f>
        <v>6491.5</v>
      </c>
      <c r="E120" s="227">
        <f>'Rentabilidade-Cult.Perma.'!AP301</f>
        <v>8963.5</v>
      </c>
      <c r="F120" s="227">
        <f>'Rentabilidade-Cult.Perma.'!AQ301</f>
        <v>12119.7</v>
      </c>
      <c r="G120" s="227">
        <f>'Rentabilidade-Cult.Perma.'!AR301</f>
        <v>15126.4</v>
      </c>
      <c r="H120" s="227">
        <f>'Rentabilidade-Cult.Perma.'!AS301</f>
        <v>17036.8</v>
      </c>
      <c r="I120" s="227">
        <f>'Rentabilidade-Cult.Perma.'!AT301</f>
        <v>17372.2</v>
      </c>
      <c r="J120" s="67">
        <f>'Rentabilidade-Cult.Perma.'!AU301</f>
        <v>17372.2</v>
      </c>
      <c r="K120" s="67">
        <f>'Rentabilidade-Cult.Perma.'!AV301</f>
        <v>17372.2</v>
      </c>
      <c r="L120" s="67">
        <f>'Rentabilidade-Cult.Perma.'!AW301</f>
        <v>17372.2</v>
      </c>
      <c r="M120" s="67">
        <f>'Rentabilidade-Cult.Perma.'!AX301</f>
        <v>17372.2</v>
      </c>
      <c r="N120" s="67">
        <f>'Rentabilidade-Cult.Perma.'!AY301</f>
        <v>17372.2</v>
      </c>
      <c r="O120" s="67">
        <f>'Rentabilidade-Cult.Perma.'!AZ301</f>
        <v>17372.2</v>
      </c>
      <c r="P120" s="67">
        <f>'Rentabilidade-Cult.Perma.'!BA301</f>
        <v>17372.2</v>
      </c>
      <c r="Q120" s="67">
        <f>'Rentabilidade-Cult.Perma.'!BB301</f>
        <v>17372.2</v>
      </c>
      <c r="R120" s="67">
        <f>'Rentabilidade-Cult.Perma.'!BC301</f>
        <v>17372.2</v>
      </c>
      <c r="S120" s="67">
        <f>'Rentabilidade-Cult.Perma.'!BD301</f>
        <v>17372.2</v>
      </c>
      <c r="T120" s="68">
        <f>'Rentabilidade-Cult.Perma.'!BE301</f>
        <v>17372.2</v>
      </c>
      <c r="U120" s="447">
        <f>'Rentabilidade-Cult.Perma.'!BF301</f>
        <v>11708.224999999999</v>
      </c>
      <c r="V120" s="67">
        <f>'Rentabilidade-Cult.Perma.'!BG301</f>
        <v>6491.5</v>
      </c>
      <c r="W120" s="67">
        <f>'Rentabilidade-Cult.Perma.'!BH301</f>
        <v>8963.5</v>
      </c>
      <c r="X120" s="67">
        <f>'Rentabilidade-Cult.Perma.'!BI301</f>
        <v>12119.7</v>
      </c>
      <c r="Y120" s="67">
        <f>'Rentabilidade-Cult.Perma.'!BJ301</f>
        <v>15126.4</v>
      </c>
      <c r="Z120" s="67">
        <f>'Rentabilidade-Cult.Perma.'!BK301</f>
        <v>17036.8</v>
      </c>
      <c r="AA120" s="67">
        <f>'Rentabilidade-Cult.Perma.'!BL301</f>
        <v>17372.2</v>
      </c>
      <c r="AB120" s="67">
        <f>'Rentabilidade-Cult.Perma.'!BM301</f>
        <v>17372.2</v>
      </c>
      <c r="AC120" s="67">
        <f>'Rentabilidade-Cult.Perma.'!BN301</f>
        <v>17372.2</v>
      </c>
      <c r="AD120" s="67">
        <f>'Rentabilidade-Cult.Perma.'!BO301</f>
        <v>17372.2</v>
      </c>
      <c r="AE120" s="67">
        <f>'Rentabilidade-Cult.Perma.'!BP301</f>
        <v>17372.2</v>
      </c>
      <c r="AF120" s="67">
        <f>'Rentabilidade-Cult.Perma.'!BQ301</f>
        <v>17372.2</v>
      </c>
      <c r="AG120" s="67">
        <f>'Rentabilidade-Cult.Perma.'!BR301</f>
        <v>17372.2</v>
      </c>
      <c r="AH120" s="67">
        <f>'Rentabilidade-Cult.Perma.'!BS301</f>
        <v>17372.2</v>
      </c>
      <c r="AI120" s="67">
        <f>'Rentabilidade-Cult.Perma.'!BT301</f>
        <v>17372.2</v>
      </c>
      <c r="AJ120" s="67">
        <f>'Rentabilidade-Cult.Perma.'!BU301</f>
        <v>17372.2</v>
      </c>
      <c r="AK120" s="69">
        <f>'Rentabilidade-Cult.Perma.'!BV301</f>
        <v>17372.2</v>
      </c>
    </row>
    <row r="121" spans="1:37" ht="20.149999999999999" customHeight="1" outlineLevel="1" x14ac:dyDescent="0.25">
      <c r="A121" s="48" t="s">
        <v>138</v>
      </c>
      <c r="B121" s="34" t="s">
        <v>146</v>
      </c>
      <c r="C121" s="227"/>
      <c r="D121" s="227">
        <f>'Rentabilidade-Cult.Perma.'!AO318</f>
        <v>4274</v>
      </c>
      <c r="E121" s="227">
        <f>'Rentabilidade-Cult.Perma.'!AP318</f>
        <v>7593.25</v>
      </c>
      <c r="F121" s="227">
        <f>'Rentabilidade-Cult.Perma.'!AQ318</f>
        <v>7824.5</v>
      </c>
      <c r="G121" s="227">
        <f>'Rentabilidade-Cult.Perma.'!AR318</f>
        <v>10488.875</v>
      </c>
      <c r="H121" s="227">
        <f>'Rentabilidade-Cult.Perma.'!AS318</f>
        <v>9637</v>
      </c>
      <c r="I121" s="227">
        <f>'Rentabilidade-Cult.Perma.'!AT318</f>
        <v>8785.125</v>
      </c>
      <c r="J121" s="227">
        <f>'Rentabilidade-Cult.Perma.'!AU318</f>
        <v>8785.125</v>
      </c>
      <c r="K121" s="227">
        <f>'Rentabilidade-Cult.Perma.'!AV318</f>
        <v>8785.125</v>
      </c>
      <c r="L121" s="227">
        <f>'Rentabilidade-Cult.Perma.'!AW318</f>
        <v>7933.25</v>
      </c>
      <c r="M121" s="227">
        <f>'Rentabilidade-Cult.Perma.'!AX318</f>
        <v>7933.25</v>
      </c>
      <c r="N121" s="227">
        <f>'Rentabilidade-Cult.Perma.'!AY318</f>
        <v>7933.25</v>
      </c>
      <c r="O121" s="227">
        <f>'Rentabilidade-Cult.Perma.'!AZ318</f>
        <v>7588.875</v>
      </c>
      <c r="P121" s="227">
        <f>'Rentabilidade-Cult.Perma.'!BA318</f>
        <v>7588.875</v>
      </c>
      <c r="Q121" s="227">
        <f>'Rentabilidade-Cult.Perma.'!BB318</f>
        <v>7588.875</v>
      </c>
      <c r="R121" s="227">
        <f>'Rentabilidade-Cult.Perma.'!BC318</f>
        <v>7081.375</v>
      </c>
      <c r="S121" s="227">
        <f>'Rentabilidade-Cult.Perma.'!BD318</f>
        <v>7081.375</v>
      </c>
      <c r="T121" s="412">
        <f>'Rentabilidade-Cult.Perma.'!BE318</f>
        <v>6229.5</v>
      </c>
      <c r="U121" s="413">
        <f>'Rentabilidade-Cult.Perma.'!BF318</f>
        <v>4828</v>
      </c>
      <c r="V121" s="227">
        <f>'Rentabilidade-Cult.Perma.'!BG318</f>
        <v>4274</v>
      </c>
      <c r="W121" s="227">
        <f>'Rentabilidade-Cult.Perma.'!BH318</f>
        <v>7593.25</v>
      </c>
      <c r="X121" s="227">
        <f>'Rentabilidade-Cult.Perma.'!BI318</f>
        <v>7824.5</v>
      </c>
      <c r="Y121" s="227">
        <f>'Rentabilidade-Cult.Perma.'!BJ318</f>
        <v>10488.875</v>
      </c>
      <c r="Z121" s="227">
        <f>'Rentabilidade-Cult.Perma.'!BK318</f>
        <v>9637</v>
      </c>
      <c r="AA121" s="227">
        <f>'Rentabilidade-Cult.Perma.'!BL318</f>
        <v>8785.125</v>
      </c>
      <c r="AB121" s="227">
        <f>'Rentabilidade-Cult.Perma.'!BM318</f>
        <v>8785.125</v>
      </c>
      <c r="AC121" s="227">
        <f>'Rentabilidade-Cult.Perma.'!BN318</f>
        <v>8785.125</v>
      </c>
      <c r="AD121" s="227">
        <f>'Rentabilidade-Cult.Perma.'!BO318</f>
        <v>7933.25</v>
      </c>
      <c r="AE121" s="227">
        <f>'Rentabilidade-Cult.Perma.'!BP318</f>
        <v>7933.25</v>
      </c>
      <c r="AF121" s="227">
        <f>'Rentabilidade-Cult.Perma.'!BQ318</f>
        <v>7933.25</v>
      </c>
      <c r="AG121" s="227">
        <f>'Rentabilidade-Cult.Perma.'!BR318</f>
        <v>7588.875</v>
      </c>
      <c r="AH121" s="227">
        <f>'Rentabilidade-Cult.Perma.'!BS318</f>
        <v>7588.875</v>
      </c>
      <c r="AI121" s="227">
        <f>'Rentabilidade-Cult.Perma.'!BT318</f>
        <v>7588.875</v>
      </c>
      <c r="AJ121" s="227">
        <f>'Rentabilidade-Cult.Perma.'!BU318</f>
        <v>7081.375</v>
      </c>
      <c r="AK121" s="414">
        <f>'Rentabilidade-Cult.Perma.'!BV318</f>
        <v>7081.375</v>
      </c>
    </row>
    <row r="122" spans="1:37" ht="20.149999999999999" customHeight="1" outlineLevel="1" x14ac:dyDescent="0.25">
      <c r="A122" s="48" t="s">
        <v>139</v>
      </c>
      <c r="B122" s="82" t="s">
        <v>143</v>
      </c>
      <c r="C122" s="227"/>
      <c r="D122" s="227">
        <f>'Rentabilidade-Cult.Perma.'!AO334</f>
        <v>4250</v>
      </c>
      <c r="E122" s="227">
        <f>'Rentabilidade-Cult.Perma.'!AP334</f>
        <v>5712.5</v>
      </c>
      <c r="F122" s="227">
        <f>'Rentabilidade-Cult.Perma.'!AQ334</f>
        <v>6100</v>
      </c>
      <c r="G122" s="227">
        <f>'Rentabilidade-Cult.Perma.'!AR334</f>
        <v>6612.5</v>
      </c>
      <c r="H122" s="227">
        <f>'Rentabilidade-Cult.Perma.'!AS334</f>
        <v>6550</v>
      </c>
      <c r="I122" s="227">
        <f>'Rentabilidade-Cult.Perma.'!AT334</f>
        <v>6612.5</v>
      </c>
      <c r="J122" s="227">
        <f>'Rentabilidade-Cult.Perma.'!AU334</f>
        <v>6550</v>
      </c>
      <c r="K122" s="227">
        <f>'Rentabilidade-Cult.Perma.'!AV334</f>
        <v>6612.5</v>
      </c>
      <c r="L122" s="227">
        <f>'Rentabilidade-Cult.Perma.'!AW334</f>
        <v>6550</v>
      </c>
      <c r="M122" s="227">
        <f>'Rentabilidade-Cult.Perma.'!AX334</f>
        <v>6612.5</v>
      </c>
      <c r="N122" s="227">
        <f>'Rentabilidade-Cult.Perma.'!AY334</f>
        <v>6550</v>
      </c>
      <c r="O122" s="227">
        <f>'Rentabilidade-Cult.Perma.'!AZ334</f>
        <v>6612.5</v>
      </c>
      <c r="P122" s="227">
        <f>'Rentabilidade-Cult.Perma.'!BA334</f>
        <v>6550</v>
      </c>
      <c r="Q122" s="227">
        <f>'Rentabilidade-Cult.Perma.'!BB334</f>
        <v>6612.5</v>
      </c>
      <c r="R122" s="227">
        <f>'Rentabilidade-Cult.Perma.'!BC334</f>
        <v>6550</v>
      </c>
      <c r="S122" s="227">
        <f>'Rentabilidade-Cult.Perma.'!BD334</f>
        <v>6612.5</v>
      </c>
      <c r="T122" s="412">
        <f>'Rentabilidade-Cult.Perma.'!BE334</f>
        <v>6550</v>
      </c>
      <c r="U122" s="413">
        <f>'Rentabilidade-Cult.Perma.'!BF334</f>
        <v>11566</v>
      </c>
      <c r="V122" s="227">
        <f>'Rentabilidade-Cult.Perma.'!BG334</f>
        <v>4250</v>
      </c>
      <c r="W122" s="227">
        <f>'Rentabilidade-Cult.Perma.'!BH334</f>
        <v>5712.5</v>
      </c>
      <c r="X122" s="227">
        <f>'Rentabilidade-Cult.Perma.'!BI334</f>
        <v>6100</v>
      </c>
      <c r="Y122" s="227">
        <f>'Rentabilidade-Cult.Perma.'!BJ334</f>
        <v>6612.5</v>
      </c>
      <c r="Z122" s="227">
        <f>'Rentabilidade-Cult.Perma.'!BK334</f>
        <v>6550</v>
      </c>
      <c r="AA122" s="227">
        <f>'Rentabilidade-Cult.Perma.'!BL334</f>
        <v>6612.5</v>
      </c>
      <c r="AB122" s="227">
        <f>'Rentabilidade-Cult.Perma.'!BM334</f>
        <v>6550</v>
      </c>
      <c r="AC122" s="227">
        <f>'Rentabilidade-Cult.Perma.'!BN334</f>
        <v>6612.5</v>
      </c>
      <c r="AD122" s="227">
        <f>'Rentabilidade-Cult.Perma.'!BO334</f>
        <v>6550</v>
      </c>
      <c r="AE122" s="227">
        <f>'Rentabilidade-Cult.Perma.'!BP334</f>
        <v>6612.5</v>
      </c>
      <c r="AF122" s="227">
        <f>'Rentabilidade-Cult.Perma.'!BQ334</f>
        <v>6550</v>
      </c>
      <c r="AG122" s="227">
        <f>'Rentabilidade-Cult.Perma.'!BR334</f>
        <v>6612.5</v>
      </c>
      <c r="AH122" s="227">
        <f>'Rentabilidade-Cult.Perma.'!BS334</f>
        <v>6550</v>
      </c>
      <c r="AI122" s="227">
        <f>'Rentabilidade-Cult.Perma.'!BT334</f>
        <v>6612.5</v>
      </c>
      <c r="AJ122" s="227">
        <f>'Rentabilidade-Cult.Perma.'!BU334</f>
        <v>6550</v>
      </c>
      <c r="AK122" s="414">
        <f>'Rentabilidade-Cult.Perma.'!BV334</f>
        <v>6612.5</v>
      </c>
    </row>
    <row r="123" spans="1:37" ht="20.149999999999999" customHeight="1" outlineLevel="1" x14ac:dyDescent="0.25">
      <c r="A123" s="48" t="s">
        <v>140</v>
      </c>
      <c r="B123" s="34" t="s">
        <v>141</v>
      </c>
      <c r="C123" s="227"/>
      <c r="D123" s="227">
        <f>SUM('Rentabilidade-Cult.Perma.'!AO347:AO354)</f>
        <v>4532.1428214400003</v>
      </c>
      <c r="E123" s="227">
        <f>SUM('Rentabilidade-Cult.Perma.'!AP347:AP354)</f>
        <v>4592.8013214399998</v>
      </c>
      <c r="F123" s="227">
        <f>SUM('Rentabilidade-Cult.Perma.'!AQ347:AQ354)</f>
        <v>4592.8013214399998</v>
      </c>
      <c r="G123" s="227">
        <f>SUM('Rentabilidade-Cult.Perma.'!AR347:AR354)</f>
        <v>4653.4598214399994</v>
      </c>
      <c r="H123" s="227">
        <f>SUM('Rentabilidade-Cult.Perma.'!AS347:AS354)</f>
        <v>4653.4598214399994</v>
      </c>
      <c r="I123" s="227">
        <f>SUM('Rentabilidade-Cult.Perma.'!AT347:AT354)</f>
        <v>4774.7768214400003</v>
      </c>
      <c r="J123" s="227">
        <f>SUM('Rentabilidade-Cult.Perma.'!AU347:AU354)</f>
        <v>4774.7768214400003</v>
      </c>
      <c r="K123" s="227">
        <f>SUM('Rentabilidade-Cult.Perma.'!AV347:AV354)</f>
        <v>4774.7768214400003</v>
      </c>
      <c r="L123" s="227">
        <f>SUM('Rentabilidade-Cult.Perma.'!AW347:AW354)</f>
        <v>4774.7768214400003</v>
      </c>
      <c r="M123" s="227">
        <f>SUM('Rentabilidade-Cult.Perma.'!AX347:AX354)</f>
        <v>4774.7768214400003</v>
      </c>
      <c r="N123" s="227">
        <f>SUM('Rentabilidade-Cult.Perma.'!AY347:AY354)</f>
        <v>4774.7768214400003</v>
      </c>
      <c r="O123" s="227">
        <f>SUM('Rentabilidade-Cult.Perma.'!AZ347:AZ354)</f>
        <v>4774.7768214400003</v>
      </c>
      <c r="P123" s="227">
        <f>SUM('Rentabilidade-Cult.Perma.'!BA347:BA354)</f>
        <v>4774.7768214400003</v>
      </c>
      <c r="Q123" s="227">
        <f>SUM('Rentabilidade-Cult.Perma.'!BB347:BB354)</f>
        <v>4774.7768214400003</v>
      </c>
      <c r="R123" s="227">
        <f>SUM('Rentabilidade-Cult.Perma.'!BC347:BC354)</f>
        <v>4774.7768214400003</v>
      </c>
      <c r="S123" s="227">
        <f>SUM('Rentabilidade-Cult.Perma.'!BD347:BD354)</f>
        <v>4774.7768214400003</v>
      </c>
      <c r="T123" s="412">
        <f>SUM('Rentabilidade-Cult.Perma.'!BE347:BE354)</f>
        <v>4774.7768214400003</v>
      </c>
      <c r="U123" s="413">
        <f>SUM('Rentabilidade-Cult.Perma.'!BF347:BF354)</f>
        <v>4410.8258214399993</v>
      </c>
      <c r="V123" s="227">
        <f>SUM('Rentabilidade-Cult.Perma.'!BG347:BG354)</f>
        <v>4532.1428214400003</v>
      </c>
      <c r="W123" s="227">
        <f>SUM('Rentabilidade-Cult.Perma.'!BH347:BH354)</f>
        <v>4592.8013214399998</v>
      </c>
      <c r="X123" s="227">
        <f>SUM('Rentabilidade-Cult.Perma.'!BI347:BI354)</f>
        <v>4592.8013214399998</v>
      </c>
      <c r="Y123" s="227">
        <f>SUM('Rentabilidade-Cult.Perma.'!BJ347:BJ354)</f>
        <v>4653.4598214399994</v>
      </c>
      <c r="Z123" s="227">
        <f>SUM('Rentabilidade-Cult.Perma.'!BK347:BK354)</f>
        <v>4653.4598214399994</v>
      </c>
      <c r="AA123" s="227">
        <f>SUM('Rentabilidade-Cult.Perma.'!BL347:BL354)</f>
        <v>4774.7768214400003</v>
      </c>
      <c r="AB123" s="227">
        <f>SUM('Rentabilidade-Cult.Perma.'!BM347:BM354)</f>
        <v>4774.7768214400003</v>
      </c>
      <c r="AC123" s="227">
        <f>SUM('Rentabilidade-Cult.Perma.'!BN347:BN354)</f>
        <v>4774.7768214400003</v>
      </c>
      <c r="AD123" s="227">
        <f>SUM('Rentabilidade-Cult.Perma.'!BO347:BO354)</f>
        <v>4774.7768214400003</v>
      </c>
      <c r="AE123" s="227">
        <f>SUM('Rentabilidade-Cult.Perma.'!BP347:BP354)</f>
        <v>4774.7768214400003</v>
      </c>
      <c r="AF123" s="227">
        <f>SUM('Rentabilidade-Cult.Perma.'!BQ347:BQ354)</f>
        <v>4774.7768214400003</v>
      </c>
      <c r="AG123" s="227">
        <f>SUM('Rentabilidade-Cult.Perma.'!BR347:BR354)</f>
        <v>4774.7768214400003</v>
      </c>
      <c r="AH123" s="227">
        <f>SUM('Rentabilidade-Cult.Perma.'!BS347:BS354)</f>
        <v>4774.7768214400003</v>
      </c>
      <c r="AI123" s="227">
        <f>SUM('Rentabilidade-Cult.Perma.'!BT347:BT354)</f>
        <v>4774.7768214400003</v>
      </c>
      <c r="AJ123" s="227">
        <f>SUM('Rentabilidade-Cult.Perma.'!BU347:BU354)</f>
        <v>4774.7768214400003</v>
      </c>
      <c r="AK123" s="414">
        <f>SUM('Rentabilidade-Cult.Perma.'!BV347:BV354)</f>
        <v>4774.7768214400003</v>
      </c>
    </row>
    <row r="124" spans="1:37" ht="20.149999999999999" customHeight="1" outlineLevel="1" thickBot="1" x14ac:dyDescent="0.3">
      <c r="A124" s="96"/>
      <c r="B124" s="87" t="s">
        <v>149</v>
      </c>
      <c r="C124" s="424">
        <f t="shared" ref="C124:AK124" si="18">SUM(C120:C123)</f>
        <v>0</v>
      </c>
      <c r="D124" s="424">
        <f t="shared" si="18"/>
        <v>19547.64282144</v>
      </c>
      <c r="E124" s="424">
        <f t="shared" si="18"/>
        <v>26862.051321439998</v>
      </c>
      <c r="F124" s="424">
        <f t="shared" si="18"/>
        <v>30637.001321440002</v>
      </c>
      <c r="G124" s="424">
        <f t="shared" si="18"/>
        <v>36881.234821439997</v>
      </c>
      <c r="H124" s="424">
        <f t="shared" si="18"/>
        <v>37877.259821440006</v>
      </c>
      <c r="I124" s="424">
        <f t="shared" si="18"/>
        <v>37544.601821439996</v>
      </c>
      <c r="J124" s="424">
        <f t="shared" si="18"/>
        <v>37482.101821440003</v>
      </c>
      <c r="K124" s="424">
        <f t="shared" si="18"/>
        <v>37544.601821439996</v>
      </c>
      <c r="L124" s="424">
        <f t="shared" si="18"/>
        <v>36630.226821440003</v>
      </c>
      <c r="M124" s="424">
        <f t="shared" si="18"/>
        <v>36692.726821440003</v>
      </c>
      <c r="N124" s="424">
        <f t="shared" si="18"/>
        <v>36630.226821440003</v>
      </c>
      <c r="O124" s="424">
        <f t="shared" si="18"/>
        <v>36348.351821440003</v>
      </c>
      <c r="P124" s="424">
        <f t="shared" si="18"/>
        <v>36285.851821440003</v>
      </c>
      <c r="Q124" s="424">
        <f t="shared" si="18"/>
        <v>36348.351821440003</v>
      </c>
      <c r="R124" s="424">
        <f t="shared" si="18"/>
        <v>35778.351821440003</v>
      </c>
      <c r="S124" s="424">
        <f t="shared" si="18"/>
        <v>35840.851821440003</v>
      </c>
      <c r="T124" s="425">
        <f t="shared" si="18"/>
        <v>34926.476821440003</v>
      </c>
      <c r="U124" s="426">
        <f t="shared" si="18"/>
        <v>32513.050821439996</v>
      </c>
      <c r="V124" s="424">
        <f t="shared" si="18"/>
        <v>19547.64282144</v>
      </c>
      <c r="W124" s="424">
        <f t="shared" si="18"/>
        <v>26862.051321439998</v>
      </c>
      <c r="X124" s="424">
        <f t="shared" si="18"/>
        <v>30637.001321440002</v>
      </c>
      <c r="Y124" s="424">
        <f t="shared" si="18"/>
        <v>36881.234821439997</v>
      </c>
      <c r="Z124" s="424">
        <f t="shared" si="18"/>
        <v>37877.259821440006</v>
      </c>
      <c r="AA124" s="424">
        <f t="shared" si="18"/>
        <v>37544.601821439996</v>
      </c>
      <c r="AB124" s="424">
        <f t="shared" si="18"/>
        <v>37482.101821440003</v>
      </c>
      <c r="AC124" s="424">
        <f t="shared" si="18"/>
        <v>37544.601821439996</v>
      </c>
      <c r="AD124" s="424">
        <f t="shared" si="18"/>
        <v>36630.226821440003</v>
      </c>
      <c r="AE124" s="424">
        <f t="shared" si="18"/>
        <v>36692.726821440003</v>
      </c>
      <c r="AF124" s="424">
        <f t="shared" si="18"/>
        <v>36630.226821440003</v>
      </c>
      <c r="AG124" s="424">
        <f t="shared" si="18"/>
        <v>36348.351821440003</v>
      </c>
      <c r="AH124" s="424">
        <f t="shared" si="18"/>
        <v>36285.851821440003</v>
      </c>
      <c r="AI124" s="424">
        <f t="shared" si="18"/>
        <v>36348.351821440003</v>
      </c>
      <c r="AJ124" s="424">
        <f t="shared" si="18"/>
        <v>35778.351821440003</v>
      </c>
      <c r="AK124" s="427">
        <f t="shared" si="18"/>
        <v>35840.851821440003</v>
      </c>
    </row>
    <row r="125" spans="1:37" ht="20.149999999999999" customHeight="1" outlineLevel="1" thickBot="1" x14ac:dyDescent="0.3">
      <c r="A125" s="14"/>
      <c r="C125" s="419"/>
      <c r="D125" s="419"/>
      <c r="E125" s="419"/>
      <c r="F125" s="419"/>
      <c r="G125" s="419"/>
      <c r="H125" s="419"/>
      <c r="I125" s="419"/>
      <c r="J125" s="419"/>
      <c r="K125" s="419"/>
      <c r="L125" s="419"/>
      <c r="M125" s="419"/>
      <c r="N125" s="419"/>
      <c r="O125" s="419"/>
      <c r="P125" s="419"/>
      <c r="Q125" s="419"/>
      <c r="R125" s="419"/>
      <c r="S125" s="419"/>
      <c r="T125" s="419"/>
      <c r="U125" s="420"/>
      <c r="V125" s="419"/>
      <c r="W125" s="419"/>
      <c r="X125" s="419"/>
      <c r="Y125" s="419"/>
      <c r="Z125" s="419"/>
      <c r="AA125" s="419"/>
      <c r="AB125" s="419"/>
      <c r="AC125" s="419"/>
      <c r="AD125" s="419"/>
      <c r="AE125" s="419"/>
      <c r="AF125" s="419"/>
      <c r="AG125" s="419"/>
      <c r="AH125" s="419"/>
      <c r="AI125" s="419"/>
      <c r="AJ125" s="419"/>
      <c r="AK125" s="419"/>
    </row>
    <row r="126" spans="1:37" ht="20.149999999999999" customHeight="1" outlineLevel="1" x14ac:dyDescent="0.25">
      <c r="A126" s="428">
        <v>3</v>
      </c>
      <c r="B126" s="97" t="s">
        <v>144</v>
      </c>
      <c r="C126" s="421"/>
      <c r="D126" s="421"/>
      <c r="E126" s="421"/>
      <c r="F126" s="421"/>
      <c r="G126" s="421"/>
      <c r="H126" s="421"/>
      <c r="I126" s="421"/>
      <c r="J126" s="421"/>
      <c r="K126" s="421"/>
      <c r="L126" s="421"/>
      <c r="M126" s="421"/>
      <c r="N126" s="421"/>
      <c r="O126" s="421"/>
      <c r="P126" s="421"/>
      <c r="Q126" s="421"/>
      <c r="R126" s="421"/>
      <c r="S126" s="421"/>
      <c r="T126" s="421"/>
      <c r="U126" s="422"/>
      <c r="V126" s="421"/>
      <c r="W126" s="421"/>
      <c r="X126" s="421"/>
      <c r="Y126" s="421"/>
      <c r="Z126" s="421"/>
      <c r="AA126" s="421"/>
      <c r="AB126" s="421"/>
      <c r="AC126" s="421"/>
      <c r="AD126" s="421"/>
      <c r="AE126" s="421"/>
      <c r="AF126" s="421"/>
      <c r="AG126" s="421"/>
      <c r="AH126" s="421"/>
      <c r="AI126" s="421"/>
      <c r="AJ126" s="421"/>
      <c r="AK126" s="423"/>
    </row>
    <row r="127" spans="1:37" ht="20.149999999999999" customHeight="1" outlineLevel="1" x14ac:dyDescent="0.25">
      <c r="A127" s="429" t="s">
        <v>147</v>
      </c>
      <c r="B127" s="22" t="s">
        <v>221</v>
      </c>
      <c r="C127" s="227">
        <f>'Rentabilidade-Cult.Perma.'!AN361</f>
        <v>0</v>
      </c>
      <c r="D127" s="227">
        <f>'Rentabilidade-Cult.Perma.'!AO361</f>
        <v>6720</v>
      </c>
      <c r="E127" s="227">
        <f>'Rentabilidade-Cult.Perma.'!AP361</f>
        <v>33840</v>
      </c>
      <c r="F127" s="227">
        <f>'Rentabilidade-Cult.Perma.'!AQ361</f>
        <v>49680</v>
      </c>
      <c r="G127" s="227">
        <f>'Rentabilidade-Cult.Perma.'!AR361</f>
        <v>101520</v>
      </c>
      <c r="H127" s="227">
        <f>'Rentabilidade-Cult.Perma.'!AS361</f>
        <v>90240</v>
      </c>
      <c r="I127" s="227">
        <f>'Rentabilidade-Cult.Perma.'!AT361</f>
        <v>78960</v>
      </c>
      <c r="J127" s="227">
        <f>'Rentabilidade-Cult.Perma.'!AU361</f>
        <v>78960</v>
      </c>
      <c r="K127" s="227">
        <f>'Rentabilidade-Cult.Perma.'!AV361</f>
        <v>78960</v>
      </c>
      <c r="L127" s="227">
        <f>'Rentabilidade-Cult.Perma.'!AW361</f>
        <v>67680</v>
      </c>
      <c r="M127" s="227">
        <f>'Rentabilidade-Cult.Perma.'!AX361</f>
        <v>67680</v>
      </c>
      <c r="N127" s="227">
        <f>'Rentabilidade-Cult.Perma.'!AY361</f>
        <v>67680</v>
      </c>
      <c r="O127" s="227">
        <f>'Rentabilidade-Cult.Perma.'!AZ361</f>
        <v>63120</v>
      </c>
      <c r="P127" s="227">
        <f>'Rentabilidade-Cult.Perma.'!BA361</f>
        <v>63120</v>
      </c>
      <c r="Q127" s="227">
        <f>'Rentabilidade-Cult.Perma.'!BB361</f>
        <v>63120</v>
      </c>
      <c r="R127" s="227">
        <f>'Rentabilidade-Cult.Perma.'!BC361</f>
        <v>56400</v>
      </c>
      <c r="S127" s="227">
        <f>'Rentabilidade-Cult.Perma.'!BD361</f>
        <v>56400</v>
      </c>
      <c r="T127" s="412">
        <f>'Rentabilidade-Cult.Perma.'!BE361</f>
        <v>45120</v>
      </c>
      <c r="U127" s="413">
        <f>'Rentabilidade-Cult.Perma.'!BF361</f>
        <v>0</v>
      </c>
      <c r="V127" s="227">
        <f>'Rentabilidade-Cult.Perma.'!BG361</f>
        <v>6720</v>
      </c>
      <c r="W127" s="227">
        <f>'Rentabilidade-Cult.Perma.'!BH361</f>
        <v>33840</v>
      </c>
      <c r="X127" s="227">
        <f>'Rentabilidade-Cult.Perma.'!BI361</f>
        <v>49680</v>
      </c>
      <c r="Y127" s="227">
        <f>'Rentabilidade-Cult.Perma.'!BJ361</f>
        <v>101520</v>
      </c>
      <c r="Z127" s="227">
        <f>'Rentabilidade-Cult.Perma.'!BK361</f>
        <v>90240</v>
      </c>
      <c r="AA127" s="227">
        <f>'Rentabilidade-Cult.Perma.'!BL361</f>
        <v>78960</v>
      </c>
      <c r="AB127" s="227">
        <f>'Rentabilidade-Cult.Perma.'!BM361</f>
        <v>78960</v>
      </c>
      <c r="AC127" s="227">
        <f>'Rentabilidade-Cult.Perma.'!BN361</f>
        <v>78960</v>
      </c>
      <c r="AD127" s="227">
        <f>'Rentabilidade-Cult.Perma.'!BO361</f>
        <v>67680</v>
      </c>
      <c r="AE127" s="227">
        <f>'Rentabilidade-Cult.Perma.'!BP361</f>
        <v>67680</v>
      </c>
      <c r="AF127" s="227">
        <f>'Rentabilidade-Cult.Perma.'!BQ361</f>
        <v>67680</v>
      </c>
      <c r="AG127" s="227">
        <f>'Rentabilidade-Cult.Perma.'!BR361</f>
        <v>63120</v>
      </c>
      <c r="AH127" s="227">
        <f>'Rentabilidade-Cult.Perma.'!BS361</f>
        <v>63120</v>
      </c>
      <c r="AI127" s="227">
        <f>'Rentabilidade-Cult.Perma.'!BT361</f>
        <v>63120</v>
      </c>
      <c r="AJ127" s="227">
        <f>'Rentabilidade-Cult.Perma.'!BU361</f>
        <v>56400</v>
      </c>
      <c r="AK127" s="414">
        <f>'Rentabilidade-Cult.Perma.'!BV361</f>
        <v>56400</v>
      </c>
    </row>
    <row r="128" spans="1:37" ht="20.149999999999999" customHeight="1" outlineLevel="1" thickBot="1" x14ac:dyDescent="0.3">
      <c r="A128" s="96"/>
      <c r="B128" s="102" t="s">
        <v>153</v>
      </c>
      <c r="C128" s="424">
        <f t="shared" ref="C128:AK128" si="19">SUM(C127:C127)</f>
        <v>0</v>
      </c>
      <c r="D128" s="424">
        <f t="shared" si="19"/>
        <v>6720</v>
      </c>
      <c r="E128" s="424">
        <f t="shared" si="19"/>
        <v>33840</v>
      </c>
      <c r="F128" s="424">
        <f t="shared" si="19"/>
        <v>49680</v>
      </c>
      <c r="G128" s="424">
        <f t="shared" si="19"/>
        <v>101520</v>
      </c>
      <c r="H128" s="424">
        <f t="shared" si="19"/>
        <v>90240</v>
      </c>
      <c r="I128" s="424">
        <f t="shared" si="19"/>
        <v>78960</v>
      </c>
      <c r="J128" s="424">
        <f t="shared" si="19"/>
        <v>78960</v>
      </c>
      <c r="K128" s="424">
        <f t="shared" si="19"/>
        <v>78960</v>
      </c>
      <c r="L128" s="424">
        <f t="shared" si="19"/>
        <v>67680</v>
      </c>
      <c r="M128" s="424">
        <f t="shared" si="19"/>
        <v>67680</v>
      </c>
      <c r="N128" s="424">
        <f t="shared" si="19"/>
        <v>67680</v>
      </c>
      <c r="O128" s="424">
        <f t="shared" si="19"/>
        <v>63120</v>
      </c>
      <c r="P128" s="424">
        <f t="shared" si="19"/>
        <v>63120</v>
      </c>
      <c r="Q128" s="424">
        <f t="shared" si="19"/>
        <v>63120</v>
      </c>
      <c r="R128" s="424">
        <f t="shared" si="19"/>
        <v>56400</v>
      </c>
      <c r="S128" s="424">
        <f t="shared" si="19"/>
        <v>56400</v>
      </c>
      <c r="T128" s="425">
        <f t="shared" si="19"/>
        <v>45120</v>
      </c>
      <c r="U128" s="426">
        <f t="shared" si="19"/>
        <v>0</v>
      </c>
      <c r="V128" s="424">
        <f t="shared" si="19"/>
        <v>6720</v>
      </c>
      <c r="W128" s="424">
        <f t="shared" si="19"/>
        <v>33840</v>
      </c>
      <c r="X128" s="424">
        <f t="shared" si="19"/>
        <v>49680</v>
      </c>
      <c r="Y128" s="424">
        <f t="shared" si="19"/>
        <v>101520</v>
      </c>
      <c r="Z128" s="424">
        <f t="shared" si="19"/>
        <v>90240</v>
      </c>
      <c r="AA128" s="424">
        <f t="shared" si="19"/>
        <v>78960</v>
      </c>
      <c r="AB128" s="424">
        <f t="shared" si="19"/>
        <v>78960</v>
      </c>
      <c r="AC128" s="424">
        <f t="shared" si="19"/>
        <v>78960</v>
      </c>
      <c r="AD128" s="424">
        <f t="shared" si="19"/>
        <v>67680</v>
      </c>
      <c r="AE128" s="424">
        <f t="shared" si="19"/>
        <v>67680</v>
      </c>
      <c r="AF128" s="424">
        <f t="shared" si="19"/>
        <v>67680</v>
      </c>
      <c r="AG128" s="424">
        <f t="shared" si="19"/>
        <v>63120</v>
      </c>
      <c r="AH128" s="424">
        <f t="shared" si="19"/>
        <v>63120</v>
      </c>
      <c r="AI128" s="424">
        <f t="shared" si="19"/>
        <v>63120</v>
      </c>
      <c r="AJ128" s="424">
        <f t="shared" si="19"/>
        <v>56400</v>
      </c>
      <c r="AK128" s="427">
        <f t="shared" si="19"/>
        <v>56400</v>
      </c>
    </row>
    <row r="129" spans="1:37" ht="20.149999999999999" customHeight="1" outlineLevel="1" thickBot="1" x14ac:dyDescent="0.3"/>
    <row r="130" spans="1:37" ht="20.149999999999999" customHeight="1" outlineLevel="1" thickBot="1" x14ac:dyDescent="0.3">
      <c r="A130" s="70">
        <v>4</v>
      </c>
      <c r="B130" s="104" t="s">
        <v>156</v>
      </c>
      <c r="C130" s="431">
        <f t="shared" ref="C130:AK130" si="20">C128-C124-C117</f>
        <v>-54054.124470567149</v>
      </c>
      <c r="D130" s="431">
        <f t="shared" si="20"/>
        <v>-12827.64282144</v>
      </c>
      <c r="E130" s="431">
        <f t="shared" si="20"/>
        <v>6977.948678560002</v>
      </c>
      <c r="F130" s="431">
        <f t="shared" si="20"/>
        <v>19042.998678559998</v>
      </c>
      <c r="G130" s="431">
        <f t="shared" si="20"/>
        <v>64638.765178560003</v>
      </c>
      <c r="H130" s="431">
        <f t="shared" si="20"/>
        <v>52362.740178559994</v>
      </c>
      <c r="I130" s="431">
        <f t="shared" si="20"/>
        <v>41415.398178560004</v>
      </c>
      <c r="J130" s="431">
        <f t="shared" si="20"/>
        <v>41477.898178559997</v>
      </c>
      <c r="K130" s="431">
        <f t="shared" si="20"/>
        <v>41415.398178560004</v>
      </c>
      <c r="L130" s="431">
        <f t="shared" si="20"/>
        <v>31049.773178559997</v>
      </c>
      <c r="M130" s="431">
        <f t="shared" si="20"/>
        <v>30987.273178559997</v>
      </c>
      <c r="N130" s="431">
        <f t="shared" si="20"/>
        <v>31049.773178559997</v>
      </c>
      <c r="O130" s="431">
        <f t="shared" si="20"/>
        <v>26771.648178559997</v>
      </c>
      <c r="P130" s="431">
        <f t="shared" si="20"/>
        <v>26834.148178559997</v>
      </c>
      <c r="Q130" s="431">
        <f t="shared" si="20"/>
        <v>26771.648178559997</v>
      </c>
      <c r="R130" s="431">
        <f t="shared" si="20"/>
        <v>20621.648178559997</v>
      </c>
      <c r="S130" s="431">
        <f t="shared" si="20"/>
        <v>20559.148178559997</v>
      </c>
      <c r="T130" s="432">
        <f t="shared" si="20"/>
        <v>10193.523178559997</v>
      </c>
      <c r="U130" s="433">
        <f t="shared" si="20"/>
        <v>-32513.050821439996</v>
      </c>
      <c r="V130" s="431">
        <f t="shared" si="20"/>
        <v>-12827.64282144</v>
      </c>
      <c r="W130" s="431">
        <f t="shared" si="20"/>
        <v>6977.948678560002</v>
      </c>
      <c r="X130" s="431">
        <f t="shared" si="20"/>
        <v>19042.998678559998</v>
      </c>
      <c r="Y130" s="431">
        <f t="shared" si="20"/>
        <v>64638.765178560003</v>
      </c>
      <c r="Z130" s="431">
        <f t="shared" si="20"/>
        <v>52362.740178559994</v>
      </c>
      <c r="AA130" s="431">
        <f t="shared" si="20"/>
        <v>41415.398178560004</v>
      </c>
      <c r="AB130" s="431">
        <f t="shared" si="20"/>
        <v>41477.898178559997</v>
      </c>
      <c r="AC130" s="431">
        <f t="shared" si="20"/>
        <v>41415.398178560004</v>
      </c>
      <c r="AD130" s="431">
        <f t="shared" si="20"/>
        <v>31049.773178559997</v>
      </c>
      <c r="AE130" s="431">
        <f t="shared" si="20"/>
        <v>30987.273178559997</v>
      </c>
      <c r="AF130" s="431">
        <f t="shared" si="20"/>
        <v>31049.773178559997</v>
      </c>
      <c r="AG130" s="431">
        <f t="shared" si="20"/>
        <v>26771.648178559997</v>
      </c>
      <c r="AH130" s="431">
        <f t="shared" si="20"/>
        <v>26834.148178559997</v>
      </c>
      <c r="AI130" s="431">
        <f t="shared" si="20"/>
        <v>26771.648178559997</v>
      </c>
      <c r="AJ130" s="431">
        <f t="shared" si="20"/>
        <v>20621.648178559997</v>
      </c>
      <c r="AK130" s="434">
        <f t="shared" si="20"/>
        <v>20559.148178559997</v>
      </c>
    </row>
    <row r="131" spans="1:37" ht="20.149999999999999" customHeight="1" outlineLevel="1" thickBot="1" x14ac:dyDescent="0.3">
      <c r="A131" s="14"/>
      <c r="C131" s="430"/>
      <c r="D131" s="430"/>
      <c r="E131" s="430"/>
      <c r="F131" s="430"/>
      <c r="G131" s="430"/>
      <c r="H131" s="430"/>
      <c r="I131" s="430"/>
      <c r="J131" s="430"/>
      <c r="K131" s="430"/>
      <c r="L131" s="430"/>
      <c r="M131" s="419"/>
      <c r="N131" s="419"/>
      <c r="O131" s="419"/>
      <c r="P131" s="419"/>
      <c r="Q131" s="419"/>
      <c r="R131" s="419"/>
      <c r="S131" s="419"/>
      <c r="T131" s="419"/>
      <c r="U131" s="420"/>
      <c r="V131" s="419"/>
      <c r="W131" s="419"/>
      <c r="X131" s="419"/>
      <c r="Y131" s="419"/>
      <c r="Z131" s="419"/>
      <c r="AA131" s="419"/>
      <c r="AB131" s="419"/>
      <c r="AC131" s="419"/>
      <c r="AD131" s="419"/>
      <c r="AE131" s="419"/>
      <c r="AF131" s="419"/>
      <c r="AG131" s="419"/>
      <c r="AH131" s="419"/>
      <c r="AI131" s="419"/>
      <c r="AJ131" s="419"/>
      <c r="AK131" s="419"/>
    </row>
    <row r="132" spans="1:37" ht="20.149999999999999" customHeight="1" outlineLevel="1" thickBot="1" x14ac:dyDescent="0.3">
      <c r="A132" s="70">
        <v>5</v>
      </c>
      <c r="B132" s="104" t="s">
        <v>160</v>
      </c>
      <c r="C132" s="435">
        <f>C130</f>
        <v>-54054.124470567149</v>
      </c>
      <c r="D132" s="435">
        <f t="shared" ref="D132:AK132" si="21">C132+D130</f>
        <v>-66881.767292007149</v>
      </c>
      <c r="E132" s="435">
        <f t="shared" si="21"/>
        <v>-59903.818613447147</v>
      </c>
      <c r="F132" s="435">
        <f t="shared" si="21"/>
        <v>-40860.819934887149</v>
      </c>
      <c r="G132" s="435">
        <f t="shared" si="21"/>
        <v>23777.945243672853</v>
      </c>
      <c r="H132" s="435">
        <f t="shared" si="21"/>
        <v>76140.68542223284</v>
      </c>
      <c r="I132" s="435">
        <f t="shared" si="21"/>
        <v>117556.08360079284</v>
      </c>
      <c r="J132" s="435">
        <f t="shared" si="21"/>
        <v>159033.98177935285</v>
      </c>
      <c r="K132" s="435">
        <f t="shared" si="21"/>
        <v>200449.37995791284</v>
      </c>
      <c r="L132" s="435">
        <f t="shared" si="21"/>
        <v>231499.15313647283</v>
      </c>
      <c r="M132" s="435">
        <f t="shared" si="21"/>
        <v>262486.42631503282</v>
      </c>
      <c r="N132" s="435">
        <f t="shared" si="21"/>
        <v>293536.19949359284</v>
      </c>
      <c r="O132" s="435">
        <f t="shared" si="21"/>
        <v>320307.84767215286</v>
      </c>
      <c r="P132" s="435">
        <f t="shared" si="21"/>
        <v>347141.99585071288</v>
      </c>
      <c r="Q132" s="435">
        <f t="shared" si="21"/>
        <v>373913.64402927289</v>
      </c>
      <c r="R132" s="435">
        <f t="shared" si="21"/>
        <v>394535.29220783291</v>
      </c>
      <c r="S132" s="435">
        <f t="shared" si="21"/>
        <v>415094.44038639293</v>
      </c>
      <c r="T132" s="436">
        <f t="shared" si="21"/>
        <v>425287.96356495295</v>
      </c>
      <c r="U132" s="437">
        <f t="shared" si="21"/>
        <v>392774.91274351295</v>
      </c>
      <c r="V132" s="435">
        <f t="shared" si="21"/>
        <v>379947.26992207294</v>
      </c>
      <c r="W132" s="435">
        <f t="shared" si="21"/>
        <v>386925.21860063297</v>
      </c>
      <c r="X132" s="435">
        <f t="shared" si="21"/>
        <v>405968.21727919299</v>
      </c>
      <c r="Y132" s="435">
        <f t="shared" si="21"/>
        <v>470606.98245775298</v>
      </c>
      <c r="Z132" s="435">
        <f t="shared" si="21"/>
        <v>522969.72263631294</v>
      </c>
      <c r="AA132" s="435">
        <f t="shared" si="21"/>
        <v>564385.12081487291</v>
      </c>
      <c r="AB132" s="435">
        <f t="shared" si="21"/>
        <v>605863.01899343287</v>
      </c>
      <c r="AC132" s="435">
        <f t="shared" si="21"/>
        <v>647278.41717199283</v>
      </c>
      <c r="AD132" s="435">
        <f t="shared" si="21"/>
        <v>678328.19035055279</v>
      </c>
      <c r="AE132" s="435">
        <f t="shared" si="21"/>
        <v>709315.46352911275</v>
      </c>
      <c r="AF132" s="435">
        <f t="shared" si="21"/>
        <v>740365.23670767271</v>
      </c>
      <c r="AG132" s="435">
        <f t="shared" si="21"/>
        <v>767136.88488623267</v>
      </c>
      <c r="AH132" s="435">
        <f t="shared" si="21"/>
        <v>793971.03306479263</v>
      </c>
      <c r="AI132" s="435">
        <f t="shared" si="21"/>
        <v>820742.68124335259</v>
      </c>
      <c r="AJ132" s="435">
        <f t="shared" si="21"/>
        <v>841364.32942191255</v>
      </c>
      <c r="AK132" s="438">
        <f t="shared" si="21"/>
        <v>861923.47760047251</v>
      </c>
    </row>
    <row r="133" spans="1:37" ht="20.149999999999999" customHeight="1" outlineLevel="1" x14ac:dyDescent="0.25">
      <c r="A133" s="14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</row>
    <row r="134" spans="1:37" ht="20.149999999999999" customHeight="1" outlineLevel="1" x14ac:dyDescent="0.25">
      <c r="C134" s="115" t="s">
        <v>512</v>
      </c>
      <c r="D134" s="116">
        <f>AK132/AK106</f>
        <v>24626.385074299214</v>
      </c>
      <c r="E134" s="440" t="s">
        <v>317</v>
      </c>
      <c r="J134" s="16"/>
      <c r="V134" s="16"/>
    </row>
    <row r="135" spans="1:37" ht="13" outlineLevel="1" thickBot="1" x14ac:dyDescent="0.3"/>
    <row r="136" spans="1:37" ht="30" customHeight="1" thickBot="1" x14ac:dyDescent="0.3">
      <c r="A136" s="555" t="s">
        <v>245</v>
      </c>
      <c r="B136" s="621"/>
      <c r="C136" s="621"/>
      <c r="D136" s="621"/>
      <c r="E136" s="621"/>
      <c r="F136" s="621"/>
      <c r="G136" s="621"/>
      <c r="H136" s="621"/>
      <c r="I136" s="621"/>
      <c r="J136" s="621"/>
      <c r="K136" s="621"/>
      <c r="L136" s="621"/>
      <c r="M136" s="621"/>
      <c r="N136" s="621"/>
      <c r="O136" s="621"/>
      <c r="P136" s="621"/>
      <c r="Q136" s="621"/>
      <c r="R136" s="621"/>
      <c r="S136" s="621"/>
      <c r="T136" s="621"/>
      <c r="U136" s="621"/>
      <c r="V136" s="621"/>
      <c r="W136" s="621"/>
      <c r="X136" s="621"/>
      <c r="Y136" s="621"/>
      <c r="Z136" s="621"/>
      <c r="AA136" s="621"/>
      <c r="AB136" s="621"/>
      <c r="AC136" s="621"/>
      <c r="AD136" s="621"/>
      <c r="AE136" s="621"/>
      <c r="AF136" s="621"/>
      <c r="AG136" s="621"/>
      <c r="AH136" s="621"/>
      <c r="AI136" s="621"/>
      <c r="AJ136" s="621"/>
      <c r="AK136" s="621"/>
    </row>
    <row r="137" spans="1:37" s="110" customFormat="1" ht="20.149999999999999" customHeight="1" outlineLevel="1" thickBot="1" x14ac:dyDescent="0.3">
      <c r="A137" s="547" t="s">
        <v>513</v>
      </c>
      <c r="B137" s="548"/>
      <c r="C137" s="548"/>
      <c r="D137" s="548"/>
      <c r="E137" s="548"/>
      <c r="F137" s="548"/>
      <c r="G137" s="548"/>
      <c r="H137" s="548"/>
      <c r="I137" s="548"/>
      <c r="J137" s="548"/>
      <c r="K137" s="548"/>
      <c r="L137" s="548"/>
      <c r="M137" s="548"/>
      <c r="N137" s="548"/>
      <c r="O137" s="548"/>
      <c r="P137" s="548"/>
      <c r="Q137" s="548"/>
      <c r="R137" s="548"/>
      <c r="S137" s="548"/>
      <c r="T137" s="548"/>
      <c r="U137" s="548"/>
      <c r="V137" s="548"/>
      <c r="W137" s="548"/>
      <c r="X137" s="548"/>
      <c r="Y137" s="548"/>
      <c r="Z137" s="548"/>
      <c r="AA137" s="548"/>
      <c r="AB137" s="548"/>
      <c r="AC137" s="548"/>
      <c r="AD137" s="548"/>
      <c r="AE137" s="548"/>
      <c r="AF137" s="548"/>
      <c r="AG137" s="548"/>
      <c r="AH137" s="548"/>
      <c r="AI137" s="548"/>
      <c r="AJ137" s="548"/>
      <c r="AK137" s="548"/>
    </row>
    <row r="138" spans="1:37" s="38" customFormat="1" ht="20.149999999999999" customHeight="1" outlineLevel="1" thickBot="1" x14ac:dyDescent="0.3">
      <c r="A138" s="1102" t="s">
        <v>152</v>
      </c>
      <c r="B138" s="1102" t="s">
        <v>150</v>
      </c>
      <c r="C138" s="1103" t="s">
        <v>151</v>
      </c>
      <c r="D138" s="1104"/>
      <c r="E138" s="1104"/>
      <c r="F138" s="1104"/>
      <c r="G138" s="1104"/>
      <c r="H138" s="1104"/>
      <c r="I138" s="1104"/>
      <c r="J138" s="1104"/>
      <c r="K138" s="1104"/>
      <c r="L138" s="1104"/>
      <c r="M138" s="1104"/>
      <c r="N138" s="1104"/>
      <c r="O138" s="1104"/>
      <c r="P138" s="1104"/>
      <c r="Q138" s="1104"/>
      <c r="R138" s="1104"/>
      <c r="S138" s="1104"/>
      <c r="T138" s="1104"/>
      <c r="U138" s="1104"/>
      <c r="V138" s="1104"/>
      <c r="W138" s="1104"/>
      <c r="X138" s="1104"/>
      <c r="Y138" s="1104"/>
      <c r="Z138" s="1104"/>
      <c r="AA138" s="1104"/>
      <c r="AB138" s="1104"/>
      <c r="AC138" s="1104"/>
      <c r="AD138" s="1104"/>
      <c r="AE138" s="1104"/>
      <c r="AF138" s="1104"/>
      <c r="AG138" s="1104"/>
      <c r="AH138" s="1104"/>
      <c r="AI138" s="1104"/>
      <c r="AJ138" s="1104"/>
      <c r="AK138" s="1105"/>
    </row>
    <row r="139" spans="1:37" s="38" customFormat="1" ht="20.149999999999999" customHeight="1" outlineLevel="1" thickBot="1" x14ac:dyDescent="0.3">
      <c r="A139" s="1102"/>
      <c r="B139" s="1102"/>
      <c r="C139" s="210">
        <v>1</v>
      </c>
      <c r="D139" s="275">
        <f t="shared" ref="D139:AJ139" si="22">C139+1</f>
        <v>2</v>
      </c>
      <c r="E139" s="211">
        <f t="shared" si="22"/>
        <v>3</v>
      </c>
      <c r="F139" s="211">
        <f t="shared" si="22"/>
        <v>4</v>
      </c>
      <c r="G139" s="211">
        <f t="shared" si="22"/>
        <v>5</v>
      </c>
      <c r="H139" s="211">
        <f t="shared" si="22"/>
        <v>6</v>
      </c>
      <c r="I139" s="211">
        <f t="shared" si="22"/>
        <v>7</v>
      </c>
      <c r="J139" s="211">
        <f t="shared" si="22"/>
        <v>8</v>
      </c>
      <c r="K139" s="211">
        <f t="shared" si="22"/>
        <v>9</v>
      </c>
      <c r="L139" s="211">
        <f t="shared" si="22"/>
        <v>10</v>
      </c>
      <c r="M139" s="211">
        <f t="shared" si="22"/>
        <v>11</v>
      </c>
      <c r="N139" s="211">
        <f t="shared" si="22"/>
        <v>12</v>
      </c>
      <c r="O139" s="211">
        <f t="shared" si="22"/>
        <v>13</v>
      </c>
      <c r="P139" s="211">
        <f t="shared" si="22"/>
        <v>14</v>
      </c>
      <c r="Q139" s="211">
        <f t="shared" si="22"/>
        <v>15</v>
      </c>
      <c r="R139" s="211">
        <f t="shared" si="22"/>
        <v>16</v>
      </c>
      <c r="S139" s="211">
        <f t="shared" si="22"/>
        <v>17</v>
      </c>
      <c r="T139" s="211">
        <f t="shared" si="22"/>
        <v>18</v>
      </c>
      <c r="U139" s="211">
        <f t="shared" si="22"/>
        <v>19</v>
      </c>
      <c r="V139" s="211">
        <f t="shared" si="22"/>
        <v>20</v>
      </c>
      <c r="W139" s="211">
        <f t="shared" si="22"/>
        <v>21</v>
      </c>
      <c r="X139" s="211">
        <f t="shared" si="22"/>
        <v>22</v>
      </c>
      <c r="Y139" s="211">
        <f t="shared" si="22"/>
        <v>23</v>
      </c>
      <c r="Z139" s="211">
        <f t="shared" si="22"/>
        <v>24</v>
      </c>
      <c r="AA139" s="211">
        <f t="shared" si="22"/>
        <v>25</v>
      </c>
      <c r="AB139" s="211">
        <f t="shared" si="22"/>
        <v>26</v>
      </c>
      <c r="AC139" s="211">
        <f t="shared" si="22"/>
        <v>27</v>
      </c>
      <c r="AD139" s="211">
        <f t="shared" si="22"/>
        <v>28</v>
      </c>
      <c r="AE139" s="211">
        <f t="shared" si="22"/>
        <v>29</v>
      </c>
      <c r="AF139" s="211">
        <f t="shared" si="22"/>
        <v>30</v>
      </c>
      <c r="AG139" s="211">
        <f t="shared" si="22"/>
        <v>31</v>
      </c>
      <c r="AH139" s="211">
        <f t="shared" si="22"/>
        <v>32</v>
      </c>
      <c r="AI139" s="211">
        <f t="shared" si="22"/>
        <v>33</v>
      </c>
      <c r="AJ139" s="211">
        <f t="shared" si="22"/>
        <v>34</v>
      </c>
      <c r="AK139" s="211">
        <v>35</v>
      </c>
    </row>
    <row r="140" spans="1:37" s="110" customFormat="1" ht="20.149999999999999" customHeight="1" outlineLevel="1" x14ac:dyDescent="0.25">
      <c r="A140" s="71">
        <v>1</v>
      </c>
      <c r="B140" s="76" t="s">
        <v>134</v>
      </c>
      <c r="AK140" s="449"/>
    </row>
    <row r="141" spans="1:37" s="110" customFormat="1" ht="20.149999999999999" customHeight="1" outlineLevel="1" x14ac:dyDescent="0.25">
      <c r="A141" s="85" t="s">
        <v>74</v>
      </c>
      <c r="B141" s="82" t="s">
        <v>129</v>
      </c>
      <c r="C141" s="450">
        <f>'Custos Diversos'!E164</f>
        <v>1293.6736491271517</v>
      </c>
      <c r="D141" s="450"/>
      <c r="E141" s="450"/>
      <c r="F141" s="450"/>
      <c r="G141" s="450"/>
      <c r="H141" s="450"/>
      <c r="I141" s="450"/>
      <c r="J141" s="450"/>
      <c r="K141" s="450"/>
      <c r="L141" s="450"/>
      <c r="M141" s="450"/>
      <c r="N141" s="450"/>
      <c r="O141" s="450"/>
      <c r="P141" s="450"/>
      <c r="Q141" s="450"/>
      <c r="R141" s="450"/>
      <c r="S141" s="450"/>
      <c r="T141" s="450"/>
      <c r="U141" s="450"/>
      <c r="V141" s="450"/>
      <c r="W141" s="450"/>
      <c r="X141" s="450"/>
      <c r="Y141" s="450"/>
      <c r="Z141" s="450"/>
      <c r="AA141" s="450"/>
      <c r="AB141" s="450"/>
      <c r="AC141" s="450"/>
      <c r="AD141" s="450"/>
      <c r="AE141" s="450"/>
      <c r="AF141" s="450"/>
      <c r="AG141" s="450"/>
      <c r="AH141" s="450"/>
      <c r="AI141" s="450"/>
      <c r="AJ141" s="450"/>
      <c r="AK141" s="664"/>
    </row>
    <row r="142" spans="1:37" s="110" customFormat="1" ht="20.149999999999999" customHeight="1" outlineLevel="1" x14ac:dyDescent="0.25">
      <c r="A142" s="85" t="s">
        <v>75</v>
      </c>
      <c r="B142" s="82" t="s">
        <v>335</v>
      </c>
      <c r="C142" s="450"/>
      <c r="D142" s="450"/>
      <c r="E142" s="450"/>
      <c r="F142" s="450"/>
      <c r="G142" s="450"/>
      <c r="H142" s="450"/>
      <c r="I142" s="450"/>
      <c r="J142" s="450"/>
      <c r="K142" s="450"/>
      <c r="L142" s="450"/>
      <c r="M142" s="450"/>
      <c r="N142" s="450"/>
      <c r="O142" s="450"/>
      <c r="P142" s="450"/>
      <c r="Q142" s="450"/>
      <c r="R142" s="450"/>
      <c r="S142" s="450"/>
      <c r="T142" s="450"/>
      <c r="U142" s="450"/>
      <c r="V142" s="450"/>
      <c r="W142" s="450"/>
      <c r="X142" s="450"/>
      <c r="Y142" s="450"/>
      <c r="Z142" s="450"/>
      <c r="AA142" s="450"/>
      <c r="AB142" s="450"/>
      <c r="AC142" s="450"/>
      <c r="AD142" s="450"/>
      <c r="AE142" s="450"/>
      <c r="AF142" s="450"/>
      <c r="AG142" s="450"/>
      <c r="AH142" s="450"/>
      <c r="AI142" s="450"/>
      <c r="AJ142" s="450"/>
      <c r="AK142" s="664"/>
    </row>
    <row r="143" spans="1:37" s="110" customFormat="1" ht="20.149999999999999" customHeight="1" outlineLevel="1" x14ac:dyDescent="0.25">
      <c r="A143" s="85" t="s">
        <v>76</v>
      </c>
      <c r="B143" s="82" t="s">
        <v>336</v>
      </c>
      <c r="C143" s="450">
        <f>'Rentabilidade-Cult.Perma.'!AN421</f>
        <v>18500</v>
      </c>
      <c r="D143" s="450"/>
      <c r="E143" s="450"/>
      <c r="F143" s="450"/>
      <c r="G143" s="450"/>
      <c r="H143" s="450"/>
      <c r="I143" s="450"/>
      <c r="J143" s="450"/>
      <c r="K143" s="450"/>
      <c r="L143" s="450"/>
      <c r="M143" s="450"/>
      <c r="N143" s="450"/>
      <c r="O143" s="450"/>
      <c r="P143" s="450"/>
      <c r="Q143" s="450"/>
      <c r="R143" s="450"/>
      <c r="S143" s="450"/>
      <c r="T143" s="450"/>
      <c r="U143" s="450"/>
      <c r="V143" s="450"/>
      <c r="W143" s="450"/>
      <c r="X143" s="450"/>
      <c r="Y143" s="450"/>
      <c r="Z143" s="450"/>
      <c r="AA143" s="450"/>
      <c r="AB143" s="450"/>
      <c r="AC143" s="450"/>
      <c r="AD143" s="450"/>
      <c r="AE143" s="450"/>
      <c r="AF143" s="450"/>
      <c r="AG143" s="450"/>
      <c r="AH143" s="450"/>
      <c r="AI143" s="450"/>
      <c r="AJ143" s="450"/>
      <c r="AK143" s="664"/>
    </row>
    <row r="144" spans="1:37" s="110" customFormat="1" ht="20.149999999999999" customHeight="1" outlineLevel="1" x14ac:dyDescent="0.25">
      <c r="A144" s="85" t="s">
        <v>126</v>
      </c>
      <c r="B144" s="82" t="s">
        <v>130</v>
      </c>
      <c r="C144" s="450">
        <f>'Rentabilidade-Cult.Perma.'!AN424-'Rentabilidade-Cult.Perma.'!AN421</f>
        <v>3197.5</v>
      </c>
      <c r="D144" s="450"/>
      <c r="E144" s="450"/>
      <c r="F144" s="450"/>
      <c r="G144" s="450"/>
      <c r="H144" s="450"/>
      <c r="I144" s="450"/>
      <c r="J144" s="450"/>
      <c r="K144" s="450"/>
      <c r="L144" s="450"/>
      <c r="M144" s="450"/>
      <c r="N144" s="450"/>
      <c r="O144" s="450"/>
      <c r="P144" s="450"/>
      <c r="Q144" s="450"/>
      <c r="R144" s="450"/>
      <c r="S144" s="450"/>
      <c r="T144" s="450"/>
      <c r="U144" s="450"/>
      <c r="V144" s="450"/>
      <c r="W144" s="450"/>
      <c r="X144" s="450"/>
      <c r="Y144" s="450"/>
      <c r="Z144" s="450"/>
      <c r="AA144" s="450"/>
      <c r="AB144" s="450"/>
      <c r="AC144" s="450"/>
      <c r="AD144" s="450"/>
      <c r="AE144" s="450"/>
      <c r="AF144" s="450"/>
      <c r="AG144" s="450"/>
      <c r="AH144" s="450"/>
      <c r="AI144" s="450"/>
      <c r="AJ144" s="450"/>
      <c r="AK144" s="664"/>
    </row>
    <row r="145" spans="1:37" s="110" customFormat="1" ht="20.149999999999999" customHeight="1" outlineLevel="1" thickBot="1" x14ac:dyDescent="0.3">
      <c r="A145" s="457"/>
      <c r="B145" s="87" t="s">
        <v>148</v>
      </c>
      <c r="C145" s="466">
        <f>SUM(C141:C144)</f>
        <v>22991.173649127151</v>
      </c>
      <c r="D145" s="617"/>
      <c r="E145" s="617"/>
      <c r="F145" s="617"/>
      <c r="G145" s="617"/>
      <c r="H145" s="617"/>
      <c r="I145" s="617"/>
      <c r="J145" s="617"/>
      <c r="K145" s="617"/>
      <c r="L145" s="617"/>
      <c r="M145" s="617"/>
      <c r="N145" s="617"/>
      <c r="O145" s="617"/>
      <c r="P145" s="617"/>
      <c r="Q145" s="617"/>
      <c r="R145" s="617"/>
      <c r="S145" s="617"/>
      <c r="T145" s="617"/>
      <c r="U145" s="617"/>
      <c r="V145" s="617"/>
      <c r="W145" s="617"/>
      <c r="X145" s="617"/>
      <c r="Y145" s="617"/>
      <c r="Z145" s="617"/>
      <c r="AA145" s="617"/>
      <c r="AB145" s="617"/>
      <c r="AC145" s="617"/>
      <c r="AD145" s="617"/>
      <c r="AE145" s="617"/>
      <c r="AF145" s="617"/>
      <c r="AG145" s="617"/>
      <c r="AH145" s="617"/>
      <c r="AI145" s="617"/>
      <c r="AJ145" s="617"/>
      <c r="AK145" s="665"/>
    </row>
    <row r="146" spans="1:37" s="110" customFormat="1" ht="20.149999999999999" customHeight="1" outlineLevel="1" thickBot="1" x14ac:dyDescent="0.3">
      <c r="A146" s="38"/>
      <c r="C146" s="666"/>
      <c r="D146" s="1085"/>
      <c r="E146" s="666"/>
      <c r="F146" s="666"/>
      <c r="G146" s="666"/>
      <c r="H146" s="666"/>
      <c r="I146" s="666"/>
      <c r="J146" s="666"/>
      <c r="K146" s="666"/>
      <c r="L146" s="666"/>
      <c r="M146" s="666"/>
      <c r="N146" s="666"/>
      <c r="O146" s="666"/>
      <c r="P146" s="666"/>
      <c r="Q146" s="666"/>
      <c r="R146" s="666"/>
      <c r="S146" s="666"/>
      <c r="T146" s="666"/>
      <c r="U146" s="666"/>
      <c r="V146" s="666"/>
      <c r="W146" s="666"/>
      <c r="X146" s="666"/>
      <c r="Y146" s="666"/>
      <c r="Z146" s="666"/>
      <c r="AA146" s="666"/>
      <c r="AB146" s="666"/>
      <c r="AC146" s="666"/>
      <c r="AD146" s="666"/>
      <c r="AE146" s="666"/>
      <c r="AF146" s="666"/>
      <c r="AG146" s="666"/>
      <c r="AH146" s="666"/>
      <c r="AI146" s="666"/>
      <c r="AJ146" s="666"/>
      <c r="AK146" s="666"/>
    </row>
    <row r="147" spans="1:37" s="110" customFormat="1" ht="20.149999999999999" customHeight="1" outlineLevel="1" x14ac:dyDescent="0.25">
      <c r="A147" s="428">
        <v>2</v>
      </c>
      <c r="B147" s="97" t="s">
        <v>136</v>
      </c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  <c r="Z147" s="667"/>
      <c r="AA147" s="667"/>
      <c r="AB147" s="667"/>
      <c r="AC147" s="667"/>
      <c r="AD147" s="667"/>
      <c r="AE147" s="667"/>
      <c r="AF147" s="667"/>
      <c r="AG147" s="667"/>
      <c r="AH147" s="667"/>
      <c r="AI147" s="667"/>
      <c r="AJ147" s="667"/>
      <c r="AK147" s="668"/>
    </row>
    <row r="148" spans="1:37" s="110" customFormat="1" ht="20.149999999999999" customHeight="1" outlineLevel="1" x14ac:dyDescent="0.25">
      <c r="A148" s="429" t="s">
        <v>137</v>
      </c>
      <c r="B148" s="22" t="s">
        <v>142</v>
      </c>
      <c r="C148" s="450">
        <f>'Rentabilidade-Cult.Perma.'!AN387</f>
        <v>11882.5</v>
      </c>
      <c r="D148" s="450">
        <f>'Rentabilidade-Cult.Perma.'!AO387</f>
        <v>4490.5</v>
      </c>
      <c r="E148" s="450">
        <f>'Rentabilidade-Cult.Perma.'!AP387</f>
        <v>4490.5</v>
      </c>
      <c r="F148" s="450">
        <f>'Rentabilidade-Cult.Perma.'!AQ387</f>
        <v>4490.5</v>
      </c>
      <c r="G148" s="450">
        <f>'Rentabilidade-Cult.Perma.'!AR387</f>
        <v>4490.5</v>
      </c>
      <c r="H148" s="450">
        <f>'Rentabilidade-Cult.Perma.'!AS387</f>
        <v>4490.5</v>
      </c>
      <c r="I148" s="450">
        <f>'Rentabilidade-Cult.Perma.'!AT387</f>
        <v>4490.5</v>
      </c>
      <c r="J148" s="450">
        <f>'Rentabilidade-Cult.Perma.'!AU387</f>
        <v>4490.5</v>
      </c>
      <c r="K148" s="450">
        <f>'Rentabilidade-Cult.Perma.'!AV387</f>
        <v>4490.5</v>
      </c>
      <c r="L148" s="450">
        <f>'Rentabilidade-Cult.Perma.'!AW387</f>
        <v>4490.5</v>
      </c>
      <c r="M148" s="450">
        <f>'Rentabilidade-Cult.Perma.'!AX387</f>
        <v>11882.5</v>
      </c>
      <c r="N148" s="450">
        <f>'Rentabilidade-Cult.Perma.'!AY387</f>
        <v>4490.5</v>
      </c>
      <c r="O148" s="450">
        <f>'Rentabilidade-Cult.Perma.'!AZ387</f>
        <v>4490.5</v>
      </c>
      <c r="P148" s="450">
        <f>'Rentabilidade-Cult.Perma.'!BA387</f>
        <v>4490.5</v>
      </c>
      <c r="Q148" s="450">
        <f>'Rentabilidade-Cult.Perma.'!BB387</f>
        <v>4490.5</v>
      </c>
      <c r="R148" s="450">
        <f>'Rentabilidade-Cult.Perma.'!BC387</f>
        <v>4490.5</v>
      </c>
      <c r="S148" s="450">
        <f>'Rentabilidade-Cult.Perma.'!BD387</f>
        <v>4490.5</v>
      </c>
      <c r="T148" s="450">
        <f>'Rentabilidade-Cult.Perma.'!BE387</f>
        <v>4490.5</v>
      </c>
      <c r="U148" s="450">
        <f>'Rentabilidade-Cult.Perma.'!BF387</f>
        <v>4490.5</v>
      </c>
      <c r="V148" s="450">
        <f>'Rentabilidade-Cult.Perma.'!BG387</f>
        <v>4490.5</v>
      </c>
      <c r="W148" s="450">
        <f>'Rentabilidade-Cult.Perma.'!BH387</f>
        <v>11882.5</v>
      </c>
      <c r="X148" s="450">
        <f>'Rentabilidade-Cult.Perma.'!BI387</f>
        <v>4490.5</v>
      </c>
      <c r="Y148" s="450">
        <f>'Rentabilidade-Cult.Perma.'!BJ387</f>
        <v>4490.5</v>
      </c>
      <c r="Z148" s="450">
        <f>'Rentabilidade-Cult.Perma.'!BK387</f>
        <v>4490.5</v>
      </c>
      <c r="AA148" s="450">
        <f>'Rentabilidade-Cult.Perma.'!BL387</f>
        <v>4490.5</v>
      </c>
      <c r="AB148" s="450">
        <f>'Rentabilidade-Cult.Perma.'!BM387</f>
        <v>4490.5</v>
      </c>
      <c r="AC148" s="450">
        <f>'Rentabilidade-Cult.Perma.'!BN387</f>
        <v>4490.5</v>
      </c>
      <c r="AD148" s="450">
        <f>'Rentabilidade-Cult.Perma.'!BO387</f>
        <v>4490.5</v>
      </c>
      <c r="AE148" s="450">
        <f>'Rentabilidade-Cult.Perma.'!BP387</f>
        <v>4490.5</v>
      </c>
      <c r="AF148" s="450">
        <f>'Rentabilidade-Cult.Perma.'!BQ387</f>
        <v>4490.5</v>
      </c>
      <c r="AG148" s="450">
        <f>'Rentabilidade-Cult.Perma.'!BR387</f>
        <v>11882.5</v>
      </c>
      <c r="AH148" s="450">
        <f>'Rentabilidade-Cult.Perma.'!BS387</f>
        <v>4490.5</v>
      </c>
      <c r="AI148" s="450">
        <f>'Rentabilidade-Cult.Perma.'!BT387</f>
        <v>4490.5</v>
      </c>
      <c r="AJ148" s="450">
        <f>'Rentabilidade-Cult.Perma.'!BU387</f>
        <v>4490.5</v>
      </c>
      <c r="AK148" s="664">
        <f>'Rentabilidade-Cult.Perma.'!BV387</f>
        <v>4490.5</v>
      </c>
    </row>
    <row r="149" spans="1:37" s="110" customFormat="1" ht="20.149999999999999" customHeight="1" outlineLevel="1" x14ac:dyDescent="0.25">
      <c r="A149" s="429" t="s">
        <v>138</v>
      </c>
      <c r="B149" s="66" t="s">
        <v>146</v>
      </c>
      <c r="C149" s="450">
        <f>'Rentabilidade-Cult.Perma.'!AN399</f>
        <v>1542.3</v>
      </c>
      <c r="D149" s="450">
        <f>'Rentabilidade-Cult.Perma.'!AO399</f>
        <v>1749</v>
      </c>
      <c r="E149" s="450">
        <f>'Rentabilidade-Cult.Perma.'!AP399</f>
        <v>1749</v>
      </c>
      <c r="F149" s="450">
        <f>'Rentabilidade-Cult.Perma.'!AQ399</f>
        <v>1749</v>
      </c>
      <c r="G149" s="450">
        <f>'Rentabilidade-Cult.Perma.'!AR399</f>
        <v>1749</v>
      </c>
      <c r="H149" s="450">
        <f>'Rentabilidade-Cult.Perma.'!AS399</f>
        <v>1749</v>
      </c>
      <c r="I149" s="450">
        <f>'Rentabilidade-Cult.Perma.'!AT399</f>
        <v>1749</v>
      </c>
      <c r="J149" s="450">
        <f>'Rentabilidade-Cult.Perma.'!AU399</f>
        <v>1749</v>
      </c>
      <c r="K149" s="450">
        <f>'Rentabilidade-Cult.Perma.'!AV399</f>
        <v>1749</v>
      </c>
      <c r="L149" s="450">
        <f>'Rentabilidade-Cult.Perma.'!AW399</f>
        <v>1749</v>
      </c>
      <c r="M149" s="450">
        <f>'Rentabilidade-Cult.Perma.'!AX399</f>
        <v>1542.3</v>
      </c>
      <c r="N149" s="450">
        <f>'Rentabilidade-Cult.Perma.'!AY399</f>
        <v>1749</v>
      </c>
      <c r="O149" s="450">
        <f>'Rentabilidade-Cult.Perma.'!AZ399</f>
        <v>1749</v>
      </c>
      <c r="P149" s="450">
        <f>'Rentabilidade-Cult.Perma.'!BA399</f>
        <v>1749</v>
      </c>
      <c r="Q149" s="450">
        <f>'Rentabilidade-Cult.Perma.'!BB399</f>
        <v>1749</v>
      </c>
      <c r="R149" s="450">
        <f>'Rentabilidade-Cult.Perma.'!BC399</f>
        <v>1749</v>
      </c>
      <c r="S149" s="450">
        <f>'Rentabilidade-Cult.Perma.'!BD399</f>
        <v>1749</v>
      </c>
      <c r="T149" s="450">
        <f>'Rentabilidade-Cult.Perma.'!BE399</f>
        <v>1749</v>
      </c>
      <c r="U149" s="450">
        <f>'Rentabilidade-Cult.Perma.'!BF399</f>
        <v>1749</v>
      </c>
      <c r="V149" s="450">
        <f>'Rentabilidade-Cult.Perma.'!BG399</f>
        <v>1749</v>
      </c>
      <c r="W149" s="450">
        <f>'Rentabilidade-Cult.Perma.'!BH399</f>
        <v>1542.3</v>
      </c>
      <c r="X149" s="450">
        <f>'Rentabilidade-Cult.Perma.'!BI399</f>
        <v>1749</v>
      </c>
      <c r="Y149" s="450">
        <f>'Rentabilidade-Cult.Perma.'!BJ399</f>
        <v>1749</v>
      </c>
      <c r="Z149" s="450">
        <f>'Rentabilidade-Cult.Perma.'!BK399</f>
        <v>1749</v>
      </c>
      <c r="AA149" s="450">
        <f>'Rentabilidade-Cult.Perma.'!BL399</f>
        <v>1749</v>
      </c>
      <c r="AB149" s="450">
        <f>'Rentabilidade-Cult.Perma.'!BM399</f>
        <v>1749</v>
      </c>
      <c r="AC149" s="450">
        <f>'Rentabilidade-Cult.Perma.'!BN399</f>
        <v>1749</v>
      </c>
      <c r="AD149" s="450">
        <f>'Rentabilidade-Cult.Perma.'!BO399</f>
        <v>1749</v>
      </c>
      <c r="AE149" s="450">
        <f>'Rentabilidade-Cult.Perma.'!BP399</f>
        <v>1749</v>
      </c>
      <c r="AF149" s="450">
        <f>'Rentabilidade-Cult.Perma.'!BQ399</f>
        <v>1749</v>
      </c>
      <c r="AG149" s="450">
        <f>'Rentabilidade-Cult.Perma.'!BR399</f>
        <v>1542.3</v>
      </c>
      <c r="AH149" s="450">
        <f>'Rentabilidade-Cult.Perma.'!BS399</f>
        <v>1749</v>
      </c>
      <c r="AI149" s="450">
        <f>'Rentabilidade-Cult.Perma.'!BT399</f>
        <v>1749</v>
      </c>
      <c r="AJ149" s="450">
        <f>'Rentabilidade-Cult.Perma.'!BU399</f>
        <v>1749</v>
      </c>
      <c r="AK149" s="664">
        <f>'Rentabilidade-Cult.Perma.'!BV399</f>
        <v>1749</v>
      </c>
    </row>
    <row r="150" spans="1:37" s="110" customFormat="1" ht="20.149999999999999" customHeight="1" outlineLevel="1" x14ac:dyDescent="0.25">
      <c r="A150" s="429" t="s">
        <v>139</v>
      </c>
      <c r="B150" s="22" t="s">
        <v>143</v>
      </c>
      <c r="C150" s="450">
        <f>'Rentabilidade-Cult.Perma.'!AN416</f>
        <v>11370</v>
      </c>
      <c r="D150" s="450">
        <f>'Rentabilidade-Cult.Perma.'!AO416</f>
        <v>7235</v>
      </c>
      <c r="E150" s="450">
        <f>'Rentabilidade-Cult.Perma.'!AP416</f>
        <v>7235</v>
      </c>
      <c r="F150" s="450">
        <f>'Rentabilidade-Cult.Perma.'!AQ416</f>
        <v>7235</v>
      </c>
      <c r="G150" s="450">
        <f>'Rentabilidade-Cult.Perma.'!AR416</f>
        <v>6825</v>
      </c>
      <c r="H150" s="450">
        <f>'Rentabilidade-Cult.Perma.'!AS416</f>
        <v>6825</v>
      </c>
      <c r="I150" s="450">
        <f>'Rentabilidade-Cult.Perma.'!AT416</f>
        <v>6825</v>
      </c>
      <c r="J150" s="450">
        <f>'Rentabilidade-Cult.Perma.'!AU416</f>
        <v>6415</v>
      </c>
      <c r="K150" s="450">
        <f>'Rentabilidade-Cult.Perma.'!AV416</f>
        <v>6415</v>
      </c>
      <c r="L150" s="450">
        <f>'Rentabilidade-Cult.Perma.'!AW416</f>
        <v>6415</v>
      </c>
      <c r="M150" s="450">
        <f>'Rentabilidade-Cult.Perma.'!AX416</f>
        <v>11370</v>
      </c>
      <c r="N150" s="450">
        <f>'Rentabilidade-Cult.Perma.'!AY416</f>
        <v>7235</v>
      </c>
      <c r="O150" s="450">
        <f>'Rentabilidade-Cult.Perma.'!AZ416</f>
        <v>7235</v>
      </c>
      <c r="P150" s="450">
        <f>'Rentabilidade-Cult.Perma.'!BA416</f>
        <v>7235</v>
      </c>
      <c r="Q150" s="450">
        <f>'Rentabilidade-Cult.Perma.'!BB416</f>
        <v>6825</v>
      </c>
      <c r="R150" s="450">
        <f>'Rentabilidade-Cult.Perma.'!BC416</f>
        <v>6825</v>
      </c>
      <c r="S150" s="450">
        <f>'Rentabilidade-Cult.Perma.'!BD416</f>
        <v>6825</v>
      </c>
      <c r="T150" s="450">
        <f>'Rentabilidade-Cult.Perma.'!BE416</f>
        <v>6415</v>
      </c>
      <c r="U150" s="450">
        <f>'Rentabilidade-Cult.Perma.'!BF416</f>
        <v>6415</v>
      </c>
      <c r="V150" s="450">
        <f>'Rentabilidade-Cult.Perma.'!BG416</f>
        <v>6415</v>
      </c>
      <c r="W150" s="450">
        <f>'Rentabilidade-Cult.Perma.'!BH416</f>
        <v>11370</v>
      </c>
      <c r="X150" s="450">
        <f>'Rentabilidade-Cult.Perma.'!BI416</f>
        <v>7235</v>
      </c>
      <c r="Y150" s="450">
        <f>'Rentabilidade-Cult.Perma.'!BJ416</f>
        <v>7235</v>
      </c>
      <c r="Z150" s="450">
        <f>'Rentabilidade-Cult.Perma.'!BK416</f>
        <v>7235</v>
      </c>
      <c r="AA150" s="450">
        <f>'Rentabilidade-Cult.Perma.'!BL416</f>
        <v>6825</v>
      </c>
      <c r="AB150" s="450">
        <f>'Rentabilidade-Cult.Perma.'!BM416</f>
        <v>6825</v>
      </c>
      <c r="AC150" s="450">
        <f>'Rentabilidade-Cult.Perma.'!BN416</f>
        <v>6825</v>
      </c>
      <c r="AD150" s="450">
        <f>'Rentabilidade-Cult.Perma.'!BO416</f>
        <v>6415</v>
      </c>
      <c r="AE150" s="450">
        <f>'Rentabilidade-Cult.Perma.'!BP416</f>
        <v>6415</v>
      </c>
      <c r="AF150" s="450">
        <f>'Rentabilidade-Cult.Perma.'!BQ416</f>
        <v>6415</v>
      </c>
      <c r="AG150" s="450">
        <f>'Rentabilidade-Cult.Perma.'!BR416</f>
        <v>11370</v>
      </c>
      <c r="AH150" s="450">
        <f>'Rentabilidade-Cult.Perma.'!BS416</f>
        <v>7235</v>
      </c>
      <c r="AI150" s="450">
        <f>'Rentabilidade-Cult.Perma.'!BT416</f>
        <v>7235</v>
      </c>
      <c r="AJ150" s="450">
        <f>'Rentabilidade-Cult.Perma.'!BU416</f>
        <v>7235</v>
      </c>
      <c r="AK150" s="664">
        <f>'Rentabilidade-Cult.Perma.'!BV416</f>
        <v>6825</v>
      </c>
    </row>
    <row r="151" spans="1:37" s="110" customFormat="1" ht="20.149999999999999" customHeight="1" outlineLevel="1" x14ac:dyDescent="0.25">
      <c r="A151" s="429" t="s">
        <v>140</v>
      </c>
      <c r="B151" s="66" t="s">
        <v>141</v>
      </c>
      <c r="C151" s="450">
        <f>SUM('Rentabilidade-Cult.Perma.'!AN429:AN436)</f>
        <v>2463.6902323815825</v>
      </c>
      <c r="D151" s="450">
        <f>SUM('Rentabilidade-Cult.Perma.'!AO429:AO436)</f>
        <v>2554.6777323815822</v>
      </c>
      <c r="E151" s="450">
        <f>SUM('Rentabilidade-Cult.Perma.'!AP429:AP436)</f>
        <v>2844.7723868615826</v>
      </c>
      <c r="F151" s="450">
        <f>SUM('Rentabilidade-Cult.Perma.'!AQ429:AQ436)</f>
        <v>2844.7723868615826</v>
      </c>
      <c r="G151" s="450">
        <f>SUM('Rentabilidade-Cult.Perma.'!AR429:AR436)</f>
        <v>3134.8670413415825</v>
      </c>
      <c r="H151" s="450">
        <f>SUM('Rentabilidade-Cult.Perma.'!AS429:AS436)</f>
        <v>3134.8670413415825</v>
      </c>
      <c r="I151" s="450">
        <f>SUM('Rentabilidade-Cult.Perma.'!AT429:AT436)</f>
        <v>3134.8670413415825</v>
      </c>
      <c r="J151" s="450">
        <f>SUM('Rentabilidade-Cult.Perma.'!AU429:AU436)</f>
        <v>3134.8670413415825</v>
      </c>
      <c r="K151" s="450">
        <f>SUM('Rentabilidade-Cult.Perma.'!AV429:AV436)</f>
        <v>3715.0563503015828</v>
      </c>
      <c r="L151" s="450">
        <f>SUM('Rentabilidade-Cult.Perma.'!AW429:AW436)</f>
        <v>3715.0563503015828</v>
      </c>
      <c r="M151" s="450">
        <f>SUM('Rentabilidade-Cult.Perma.'!AX429:AX436)</f>
        <v>2463.6902323815825</v>
      </c>
      <c r="N151" s="450">
        <f>SUM('Rentabilidade-Cult.Perma.'!AY429:AY436)</f>
        <v>2554.6777323815822</v>
      </c>
      <c r="O151" s="450">
        <f>SUM('Rentabilidade-Cult.Perma.'!AZ429:AZ436)</f>
        <v>2844.7723868615826</v>
      </c>
      <c r="P151" s="450">
        <f>SUM('Rentabilidade-Cult.Perma.'!BA429:BA436)</f>
        <v>2844.7723868615826</v>
      </c>
      <c r="Q151" s="450">
        <f>SUM('Rentabilidade-Cult.Perma.'!BB429:BB436)</f>
        <v>3134.8670413415825</v>
      </c>
      <c r="R151" s="450">
        <f>SUM('Rentabilidade-Cult.Perma.'!BC429:BC436)</f>
        <v>3134.8670413415825</v>
      </c>
      <c r="S151" s="450">
        <f>SUM('Rentabilidade-Cult.Perma.'!BD429:BD436)</f>
        <v>3134.8670413415825</v>
      </c>
      <c r="T151" s="450">
        <f>SUM('Rentabilidade-Cult.Perma.'!BE429:BE436)</f>
        <v>3134.8670413415825</v>
      </c>
      <c r="U151" s="450">
        <f>SUM('Rentabilidade-Cult.Perma.'!BF429:BF436)</f>
        <v>3715.0563503015828</v>
      </c>
      <c r="V151" s="450">
        <f>SUM('Rentabilidade-Cult.Perma.'!BG429:BG436)</f>
        <v>3715.0563503015828</v>
      </c>
      <c r="W151" s="450">
        <f>SUM('Rentabilidade-Cult.Perma.'!BH429:BH436)</f>
        <v>2463.6902323815825</v>
      </c>
      <c r="X151" s="450">
        <f>SUM('Rentabilidade-Cult.Perma.'!BI429:BI436)</f>
        <v>2554.6777323815822</v>
      </c>
      <c r="Y151" s="450">
        <f>SUM('Rentabilidade-Cult.Perma.'!BJ429:BJ436)</f>
        <v>2844.7723868615826</v>
      </c>
      <c r="Z151" s="450">
        <f>SUM('Rentabilidade-Cult.Perma.'!BK429:BK436)</f>
        <v>2844.7723868615826</v>
      </c>
      <c r="AA151" s="450">
        <f>SUM('Rentabilidade-Cult.Perma.'!BL429:BL436)</f>
        <v>3134.8670413415825</v>
      </c>
      <c r="AB151" s="450">
        <f>SUM('Rentabilidade-Cult.Perma.'!BM429:BM436)</f>
        <v>3134.8670413415825</v>
      </c>
      <c r="AC151" s="450">
        <f>SUM('Rentabilidade-Cult.Perma.'!BN429:BN436)</f>
        <v>3134.8670413415825</v>
      </c>
      <c r="AD151" s="450">
        <f>SUM('Rentabilidade-Cult.Perma.'!BO429:BO436)</f>
        <v>3134.8670413415825</v>
      </c>
      <c r="AE151" s="450">
        <f>SUM('Rentabilidade-Cult.Perma.'!BP429:BP436)</f>
        <v>3715.0563503015828</v>
      </c>
      <c r="AF151" s="450">
        <f>SUM('Rentabilidade-Cult.Perma.'!BQ429:BQ436)</f>
        <v>3715.0563503015828</v>
      </c>
      <c r="AG151" s="450">
        <f>SUM('Rentabilidade-Cult.Perma.'!BR429:BR436)</f>
        <v>2463.6902323815825</v>
      </c>
      <c r="AH151" s="450">
        <f>SUM('Rentabilidade-Cult.Perma.'!BS429:BS436)</f>
        <v>2554.6777323815822</v>
      </c>
      <c r="AI151" s="450">
        <f>SUM('Rentabilidade-Cult.Perma.'!BT429:BT436)</f>
        <v>2844.7723868615826</v>
      </c>
      <c r="AJ151" s="450">
        <f>SUM('Rentabilidade-Cult.Perma.'!BU429:BU436)</f>
        <v>2844.7723868615826</v>
      </c>
      <c r="AK151" s="664">
        <f>SUM('Rentabilidade-Cult.Perma.'!BV429:BV436)</f>
        <v>3134.8670413415825</v>
      </c>
    </row>
    <row r="152" spans="1:37" s="110" customFormat="1" ht="20.149999999999999" customHeight="1" outlineLevel="1" thickBot="1" x14ac:dyDescent="0.3">
      <c r="A152" s="457"/>
      <c r="B152" s="102" t="s">
        <v>149</v>
      </c>
      <c r="C152" s="466">
        <f t="shared" ref="C152:AK152" si="23">SUM(C148:C151)</f>
        <v>27258.49023238158</v>
      </c>
      <c r="D152" s="466">
        <f t="shared" si="23"/>
        <v>16029.177732381582</v>
      </c>
      <c r="E152" s="466">
        <f t="shared" si="23"/>
        <v>16319.272386861583</v>
      </c>
      <c r="F152" s="466">
        <f t="shared" si="23"/>
        <v>16319.272386861583</v>
      </c>
      <c r="G152" s="466">
        <f t="shared" si="23"/>
        <v>16199.367041341582</v>
      </c>
      <c r="H152" s="466">
        <f t="shared" si="23"/>
        <v>16199.367041341582</v>
      </c>
      <c r="I152" s="466">
        <f t="shared" si="23"/>
        <v>16199.367041341582</v>
      </c>
      <c r="J152" s="466">
        <f t="shared" si="23"/>
        <v>15789.367041341582</v>
      </c>
      <c r="K152" s="466">
        <f t="shared" si="23"/>
        <v>16369.556350301584</v>
      </c>
      <c r="L152" s="466">
        <f t="shared" si="23"/>
        <v>16369.556350301584</v>
      </c>
      <c r="M152" s="466">
        <f t="shared" si="23"/>
        <v>27258.49023238158</v>
      </c>
      <c r="N152" s="466">
        <f t="shared" si="23"/>
        <v>16029.177732381582</v>
      </c>
      <c r="O152" s="466">
        <f t="shared" si="23"/>
        <v>16319.272386861583</v>
      </c>
      <c r="P152" s="466">
        <f t="shared" si="23"/>
        <v>16319.272386861583</v>
      </c>
      <c r="Q152" s="466">
        <f t="shared" si="23"/>
        <v>16199.367041341582</v>
      </c>
      <c r="R152" s="466">
        <f t="shared" si="23"/>
        <v>16199.367041341582</v>
      </c>
      <c r="S152" s="466">
        <f t="shared" si="23"/>
        <v>16199.367041341582</v>
      </c>
      <c r="T152" s="466">
        <f t="shared" si="23"/>
        <v>15789.367041341582</v>
      </c>
      <c r="U152" s="466">
        <f t="shared" si="23"/>
        <v>16369.556350301584</v>
      </c>
      <c r="V152" s="466">
        <f t="shared" si="23"/>
        <v>16369.556350301584</v>
      </c>
      <c r="W152" s="466">
        <f t="shared" si="23"/>
        <v>27258.49023238158</v>
      </c>
      <c r="X152" s="466">
        <f t="shared" si="23"/>
        <v>16029.177732381582</v>
      </c>
      <c r="Y152" s="466">
        <f t="shared" si="23"/>
        <v>16319.272386861583</v>
      </c>
      <c r="Z152" s="466">
        <f t="shared" si="23"/>
        <v>16319.272386861583</v>
      </c>
      <c r="AA152" s="466">
        <f t="shared" si="23"/>
        <v>16199.367041341582</v>
      </c>
      <c r="AB152" s="466">
        <f t="shared" si="23"/>
        <v>16199.367041341582</v>
      </c>
      <c r="AC152" s="466">
        <f t="shared" si="23"/>
        <v>16199.367041341582</v>
      </c>
      <c r="AD152" s="466">
        <f t="shared" si="23"/>
        <v>15789.367041341582</v>
      </c>
      <c r="AE152" s="466">
        <f t="shared" si="23"/>
        <v>16369.556350301584</v>
      </c>
      <c r="AF152" s="466">
        <f t="shared" si="23"/>
        <v>16369.556350301584</v>
      </c>
      <c r="AG152" s="466">
        <f t="shared" si="23"/>
        <v>27258.49023238158</v>
      </c>
      <c r="AH152" s="466">
        <f t="shared" si="23"/>
        <v>16029.177732381582</v>
      </c>
      <c r="AI152" s="466">
        <f t="shared" si="23"/>
        <v>16319.272386861583</v>
      </c>
      <c r="AJ152" s="466">
        <f t="shared" si="23"/>
        <v>16319.272386861583</v>
      </c>
      <c r="AK152" s="470">
        <f t="shared" si="23"/>
        <v>16199.367041341582</v>
      </c>
    </row>
    <row r="153" spans="1:37" s="110" customFormat="1" ht="20.149999999999999" customHeight="1" outlineLevel="1" thickBot="1" x14ac:dyDescent="0.3">
      <c r="A153" s="38"/>
      <c r="C153" s="666"/>
      <c r="D153" s="666"/>
      <c r="E153" s="666"/>
      <c r="F153" s="666"/>
      <c r="G153" s="666"/>
      <c r="H153" s="666"/>
      <c r="I153" s="666"/>
      <c r="J153" s="666"/>
      <c r="K153" s="666"/>
      <c r="L153" s="666"/>
      <c r="M153" s="666"/>
      <c r="N153" s="666"/>
      <c r="O153" s="666"/>
      <c r="P153" s="666"/>
      <c r="Q153" s="666"/>
      <c r="R153" s="666"/>
      <c r="S153" s="666"/>
      <c r="T153" s="666"/>
      <c r="U153" s="666"/>
      <c r="V153" s="666"/>
      <c r="W153" s="666"/>
      <c r="X153" s="666"/>
      <c r="Y153" s="666"/>
      <c r="Z153" s="666"/>
      <c r="AA153" s="666"/>
      <c r="AB153" s="666"/>
      <c r="AC153" s="666"/>
      <c r="AD153" s="666"/>
      <c r="AE153" s="666"/>
      <c r="AF153" s="666"/>
      <c r="AG153" s="666"/>
      <c r="AH153" s="666"/>
      <c r="AI153" s="666"/>
      <c r="AJ153" s="666"/>
      <c r="AK153" s="666"/>
    </row>
    <row r="154" spans="1:37" s="110" customFormat="1" ht="20.149999999999999" customHeight="1" outlineLevel="1" x14ac:dyDescent="0.25">
      <c r="A154" s="428">
        <v>3</v>
      </c>
      <c r="B154" s="97" t="s">
        <v>144</v>
      </c>
      <c r="C154" s="667"/>
      <c r="D154" s="667"/>
      <c r="E154" s="667"/>
      <c r="F154" s="667"/>
      <c r="G154" s="667"/>
      <c r="H154" s="667"/>
      <c r="I154" s="667"/>
      <c r="J154" s="667"/>
      <c r="K154" s="667"/>
      <c r="L154" s="667"/>
      <c r="M154" s="667"/>
      <c r="N154" s="667"/>
      <c r="O154" s="667"/>
      <c r="P154" s="667"/>
      <c r="Q154" s="667"/>
      <c r="R154" s="667"/>
      <c r="S154" s="667"/>
      <c r="T154" s="667"/>
      <c r="U154" s="667"/>
      <c r="V154" s="667"/>
      <c r="W154" s="667"/>
      <c r="X154" s="667"/>
      <c r="Y154" s="667"/>
      <c r="Z154" s="667"/>
      <c r="AA154" s="667"/>
      <c r="AB154" s="667"/>
      <c r="AC154" s="667"/>
      <c r="AD154" s="667"/>
      <c r="AE154" s="667"/>
      <c r="AF154" s="667"/>
      <c r="AG154" s="667"/>
      <c r="AH154" s="667"/>
      <c r="AI154" s="667"/>
      <c r="AJ154" s="667"/>
      <c r="AK154" s="668"/>
    </row>
    <row r="155" spans="1:37" s="110" customFormat="1" ht="20.149999999999999" customHeight="1" outlineLevel="1" x14ac:dyDescent="0.25">
      <c r="A155" s="429" t="s">
        <v>147</v>
      </c>
      <c r="B155" s="22" t="s">
        <v>313</v>
      </c>
      <c r="C155" s="450">
        <f>'Rentabilidade-Cult.Perma.'!AN443</f>
        <v>28800</v>
      </c>
      <c r="D155" s="450">
        <f>'Rentabilidade-Cult.Perma.'!AO443</f>
        <v>26880</v>
      </c>
      <c r="E155" s="450">
        <f>'Rentabilidade-Cult.Perma.'!AP443</f>
        <v>26880</v>
      </c>
      <c r="F155" s="450">
        <f>'Rentabilidade-Cult.Perma.'!AQ443</f>
        <v>26880</v>
      </c>
      <c r="G155" s="450">
        <f>'Rentabilidade-Cult.Perma.'!AR443</f>
        <v>24960</v>
      </c>
      <c r="H155" s="450">
        <f>'Rentabilidade-Cult.Perma.'!AS443</f>
        <v>24960</v>
      </c>
      <c r="I155" s="450">
        <f>'Rentabilidade-Cult.Perma.'!AT443</f>
        <v>24960</v>
      </c>
      <c r="J155" s="450">
        <f>'Rentabilidade-Cult.Perma.'!AU443</f>
        <v>23040</v>
      </c>
      <c r="K155" s="450">
        <f>'Rentabilidade-Cult.Perma.'!AV443</f>
        <v>23040</v>
      </c>
      <c r="L155" s="450">
        <f>'Rentabilidade-Cult.Perma.'!AW443</f>
        <v>23040</v>
      </c>
      <c r="M155" s="450">
        <f>'Rentabilidade-Cult.Perma.'!AX443</f>
        <v>28800</v>
      </c>
      <c r="N155" s="450">
        <f>'Rentabilidade-Cult.Perma.'!AY443</f>
        <v>26880</v>
      </c>
      <c r="O155" s="450">
        <f>'Rentabilidade-Cult.Perma.'!AZ443</f>
        <v>26880</v>
      </c>
      <c r="P155" s="450">
        <f>'Rentabilidade-Cult.Perma.'!BA443</f>
        <v>26880</v>
      </c>
      <c r="Q155" s="450">
        <f>'Rentabilidade-Cult.Perma.'!BB443</f>
        <v>24960</v>
      </c>
      <c r="R155" s="450">
        <f>'Rentabilidade-Cult.Perma.'!BC443</f>
        <v>24960</v>
      </c>
      <c r="S155" s="450">
        <f>'Rentabilidade-Cult.Perma.'!BD443</f>
        <v>24960</v>
      </c>
      <c r="T155" s="450">
        <f>'Rentabilidade-Cult.Perma.'!BE443</f>
        <v>23040</v>
      </c>
      <c r="U155" s="450">
        <f>'Rentabilidade-Cult.Perma.'!BF443</f>
        <v>23040</v>
      </c>
      <c r="V155" s="450">
        <f>'Rentabilidade-Cult.Perma.'!BG443</f>
        <v>23040</v>
      </c>
      <c r="W155" s="450">
        <f>'Rentabilidade-Cult.Perma.'!BH443</f>
        <v>28800</v>
      </c>
      <c r="X155" s="450">
        <f>'Rentabilidade-Cult.Perma.'!BI443</f>
        <v>26880</v>
      </c>
      <c r="Y155" s="450">
        <f>'Rentabilidade-Cult.Perma.'!BJ443</f>
        <v>26880</v>
      </c>
      <c r="Z155" s="450">
        <f>'Rentabilidade-Cult.Perma.'!BK443</f>
        <v>26880</v>
      </c>
      <c r="AA155" s="450">
        <f>'Rentabilidade-Cult.Perma.'!BL443</f>
        <v>24960</v>
      </c>
      <c r="AB155" s="450">
        <f>'Rentabilidade-Cult.Perma.'!BM443</f>
        <v>24960</v>
      </c>
      <c r="AC155" s="450">
        <f>'Rentabilidade-Cult.Perma.'!BN443</f>
        <v>24960</v>
      </c>
      <c r="AD155" s="450">
        <f>'Rentabilidade-Cult.Perma.'!BO443</f>
        <v>23040</v>
      </c>
      <c r="AE155" s="450">
        <f>'Rentabilidade-Cult.Perma.'!BP443</f>
        <v>23040</v>
      </c>
      <c r="AF155" s="450">
        <f>'Rentabilidade-Cult.Perma.'!BQ443</f>
        <v>23040</v>
      </c>
      <c r="AG155" s="450">
        <f>'Rentabilidade-Cult.Perma.'!BR443</f>
        <v>28800</v>
      </c>
      <c r="AH155" s="450">
        <f>'Rentabilidade-Cult.Perma.'!BS443</f>
        <v>26880</v>
      </c>
      <c r="AI155" s="450">
        <f>'Rentabilidade-Cult.Perma.'!BT443</f>
        <v>26880</v>
      </c>
      <c r="AJ155" s="450">
        <f>'Rentabilidade-Cult.Perma.'!BU443</f>
        <v>26880</v>
      </c>
      <c r="AK155" s="664">
        <f>'Rentabilidade-Cult.Perma.'!BV443</f>
        <v>24960</v>
      </c>
    </row>
    <row r="156" spans="1:37" s="110" customFormat="1" ht="20.149999999999999" customHeight="1" outlineLevel="1" thickBot="1" x14ac:dyDescent="0.3">
      <c r="A156" s="457"/>
      <c r="B156" s="102" t="s">
        <v>153</v>
      </c>
      <c r="C156" s="466">
        <f t="shared" ref="C156:AK156" si="24">SUM(C155:C155)</f>
        <v>28800</v>
      </c>
      <c r="D156" s="466">
        <f t="shared" si="24"/>
        <v>26880</v>
      </c>
      <c r="E156" s="466">
        <f t="shared" si="24"/>
        <v>26880</v>
      </c>
      <c r="F156" s="466">
        <f t="shared" si="24"/>
        <v>26880</v>
      </c>
      <c r="G156" s="466">
        <f t="shared" si="24"/>
        <v>24960</v>
      </c>
      <c r="H156" s="466">
        <f t="shared" si="24"/>
        <v>24960</v>
      </c>
      <c r="I156" s="466">
        <f t="shared" si="24"/>
        <v>24960</v>
      </c>
      <c r="J156" s="466">
        <f t="shared" si="24"/>
        <v>23040</v>
      </c>
      <c r="K156" s="466">
        <f t="shared" si="24"/>
        <v>23040</v>
      </c>
      <c r="L156" s="466">
        <f t="shared" si="24"/>
        <v>23040</v>
      </c>
      <c r="M156" s="466">
        <f t="shared" si="24"/>
        <v>28800</v>
      </c>
      <c r="N156" s="466">
        <f t="shared" si="24"/>
        <v>26880</v>
      </c>
      <c r="O156" s="466">
        <f t="shared" si="24"/>
        <v>26880</v>
      </c>
      <c r="P156" s="466">
        <f t="shared" si="24"/>
        <v>26880</v>
      </c>
      <c r="Q156" s="466">
        <f t="shared" si="24"/>
        <v>24960</v>
      </c>
      <c r="R156" s="466">
        <f t="shared" si="24"/>
        <v>24960</v>
      </c>
      <c r="S156" s="466">
        <f t="shared" si="24"/>
        <v>24960</v>
      </c>
      <c r="T156" s="466">
        <f t="shared" si="24"/>
        <v>23040</v>
      </c>
      <c r="U156" s="466">
        <f t="shared" si="24"/>
        <v>23040</v>
      </c>
      <c r="V156" s="466">
        <f t="shared" si="24"/>
        <v>23040</v>
      </c>
      <c r="W156" s="466">
        <f t="shared" si="24"/>
        <v>28800</v>
      </c>
      <c r="X156" s="466">
        <f t="shared" si="24"/>
        <v>26880</v>
      </c>
      <c r="Y156" s="466">
        <f t="shared" si="24"/>
        <v>26880</v>
      </c>
      <c r="Z156" s="466">
        <f t="shared" si="24"/>
        <v>26880</v>
      </c>
      <c r="AA156" s="466">
        <f t="shared" si="24"/>
        <v>24960</v>
      </c>
      <c r="AB156" s="466">
        <f t="shared" si="24"/>
        <v>24960</v>
      </c>
      <c r="AC156" s="466">
        <f t="shared" si="24"/>
        <v>24960</v>
      </c>
      <c r="AD156" s="466">
        <f t="shared" si="24"/>
        <v>23040</v>
      </c>
      <c r="AE156" s="466">
        <f t="shared" si="24"/>
        <v>23040</v>
      </c>
      <c r="AF156" s="466">
        <f t="shared" si="24"/>
        <v>23040</v>
      </c>
      <c r="AG156" s="466">
        <f t="shared" si="24"/>
        <v>28800</v>
      </c>
      <c r="AH156" s="466">
        <f t="shared" si="24"/>
        <v>26880</v>
      </c>
      <c r="AI156" s="466">
        <f t="shared" si="24"/>
        <v>26880</v>
      </c>
      <c r="AJ156" s="466">
        <f t="shared" si="24"/>
        <v>26880</v>
      </c>
      <c r="AK156" s="470">
        <f t="shared" si="24"/>
        <v>24960</v>
      </c>
    </row>
    <row r="157" spans="1:37" s="110" customFormat="1" ht="20.149999999999999" customHeight="1" outlineLevel="1" thickBot="1" x14ac:dyDescent="0.3">
      <c r="A157" s="38"/>
      <c r="C157" s="669"/>
      <c r="D157" s="669"/>
      <c r="E157" s="669"/>
      <c r="F157" s="669"/>
      <c r="G157" s="669"/>
      <c r="H157" s="669"/>
      <c r="I157" s="669"/>
      <c r="J157" s="669"/>
      <c r="K157" s="669"/>
      <c r="L157" s="669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  <c r="AH157" s="666"/>
      <c r="AI157" s="666"/>
      <c r="AJ157" s="666"/>
      <c r="AK157" s="666"/>
    </row>
    <row r="158" spans="1:37" s="110" customFormat="1" ht="20.149999999999999" customHeight="1" outlineLevel="1" thickBot="1" x14ac:dyDescent="0.3">
      <c r="A158" s="70">
        <v>4</v>
      </c>
      <c r="B158" s="104" t="s">
        <v>156</v>
      </c>
      <c r="C158" s="472">
        <f t="shared" ref="C158:AK158" si="25">C156-C152-C145</f>
        <v>-21449.663881508732</v>
      </c>
      <c r="D158" s="472">
        <f t="shared" si="25"/>
        <v>10850.822267618418</v>
      </c>
      <c r="E158" s="472">
        <f t="shared" si="25"/>
        <v>10560.727613138417</v>
      </c>
      <c r="F158" s="472">
        <f t="shared" si="25"/>
        <v>10560.727613138417</v>
      </c>
      <c r="G158" s="472">
        <f t="shared" si="25"/>
        <v>8760.6329586584179</v>
      </c>
      <c r="H158" s="472">
        <f t="shared" si="25"/>
        <v>8760.6329586584179</v>
      </c>
      <c r="I158" s="472">
        <f t="shared" si="25"/>
        <v>8760.6329586584179</v>
      </c>
      <c r="J158" s="472">
        <f t="shared" si="25"/>
        <v>7250.6329586584179</v>
      </c>
      <c r="K158" s="472">
        <f t="shared" si="25"/>
        <v>6670.4436496984163</v>
      </c>
      <c r="L158" s="472">
        <f t="shared" si="25"/>
        <v>6670.4436496984163</v>
      </c>
      <c r="M158" s="472">
        <f t="shared" si="25"/>
        <v>1541.5097676184196</v>
      </c>
      <c r="N158" s="472">
        <f t="shared" si="25"/>
        <v>10850.822267618418</v>
      </c>
      <c r="O158" s="472">
        <f t="shared" si="25"/>
        <v>10560.727613138417</v>
      </c>
      <c r="P158" s="472">
        <f t="shared" si="25"/>
        <v>10560.727613138417</v>
      </c>
      <c r="Q158" s="472">
        <f t="shared" si="25"/>
        <v>8760.6329586584179</v>
      </c>
      <c r="R158" s="472">
        <f t="shared" si="25"/>
        <v>8760.6329586584179</v>
      </c>
      <c r="S158" s="472">
        <f t="shared" si="25"/>
        <v>8760.6329586584179</v>
      </c>
      <c r="T158" s="472">
        <f t="shared" si="25"/>
        <v>7250.6329586584179</v>
      </c>
      <c r="U158" s="472">
        <f t="shared" si="25"/>
        <v>6670.4436496984163</v>
      </c>
      <c r="V158" s="472">
        <f t="shared" si="25"/>
        <v>6670.4436496984163</v>
      </c>
      <c r="W158" s="472">
        <f t="shared" si="25"/>
        <v>1541.5097676184196</v>
      </c>
      <c r="X158" s="472">
        <f t="shared" si="25"/>
        <v>10850.822267618418</v>
      </c>
      <c r="Y158" s="472">
        <f t="shared" si="25"/>
        <v>10560.727613138417</v>
      </c>
      <c r="Z158" s="472">
        <f t="shared" si="25"/>
        <v>10560.727613138417</v>
      </c>
      <c r="AA158" s="472">
        <f t="shared" si="25"/>
        <v>8760.6329586584179</v>
      </c>
      <c r="AB158" s="472">
        <f t="shared" si="25"/>
        <v>8760.6329586584179</v>
      </c>
      <c r="AC158" s="472">
        <f t="shared" si="25"/>
        <v>8760.6329586584179</v>
      </c>
      <c r="AD158" s="472">
        <f t="shared" si="25"/>
        <v>7250.6329586584179</v>
      </c>
      <c r="AE158" s="472">
        <f t="shared" si="25"/>
        <v>6670.4436496984163</v>
      </c>
      <c r="AF158" s="472">
        <f t="shared" si="25"/>
        <v>6670.4436496984163</v>
      </c>
      <c r="AG158" s="472">
        <f t="shared" si="25"/>
        <v>1541.5097676184196</v>
      </c>
      <c r="AH158" s="472">
        <f t="shared" si="25"/>
        <v>10850.822267618418</v>
      </c>
      <c r="AI158" s="472">
        <f t="shared" si="25"/>
        <v>10560.727613138417</v>
      </c>
      <c r="AJ158" s="472">
        <f t="shared" si="25"/>
        <v>10560.727613138417</v>
      </c>
      <c r="AK158" s="473">
        <f t="shared" si="25"/>
        <v>8760.6329586584179</v>
      </c>
    </row>
    <row r="159" spans="1:37" s="110" customFormat="1" ht="20.149999999999999" customHeight="1" outlineLevel="1" thickBot="1" x14ac:dyDescent="0.3">
      <c r="A159" s="38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  <c r="AH159" s="666"/>
      <c r="AI159" s="666"/>
      <c r="AJ159" s="666"/>
      <c r="AK159" s="666"/>
    </row>
    <row r="160" spans="1:37" s="110" customFormat="1" ht="20.149999999999999" customHeight="1" outlineLevel="1" thickBot="1" x14ac:dyDescent="0.3">
      <c r="A160" s="70">
        <v>5</v>
      </c>
      <c r="B160" s="104" t="s">
        <v>160</v>
      </c>
      <c r="C160" s="474">
        <f>C158</f>
        <v>-21449.663881508732</v>
      </c>
      <c r="D160" s="474">
        <f t="shared" ref="D160:AK160" si="26">C160+D158</f>
        <v>-10598.841613890314</v>
      </c>
      <c r="E160" s="474">
        <f t="shared" si="26"/>
        <v>-38.114000751897038</v>
      </c>
      <c r="F160" s="474">
        <f t="shared" si="26"/>
        <v>10522.61361238652</v>
      </c>
      <c r="G160" s="474">
        <f t="shared" si="26"/>
        <v>19283.24657104494</v>
      </c>
      <c r="H160" s="474">
        <f t="shared" si="26"/>
        <v>28043.879529703358</v>
      </c>
      <c r="I160" s="474">
        <f t="shared" si="26"/>
        <v>36804.512488361775</v>
      </c>
      <c r="J160" s="474">
        <f t="shared" si="26"/>
        <v>44055.145447020193</v>
      </c>
      <c r="K160" s="474">
        <f t="shared" si="26"/>
        <v>50725.589096718613</v>
      </c>
      <c r="L160" s="474">
        <f t="shared" si="26"/>
        <v>57396.032746417026</v>
      </c>
      <c r="M160" s="474">
        <f t="shared" si="26"/>
        <v>58937.542514035449</v>
      </c>
      <c r="N160" s="474">
        <f t="shared" si="26"/>
        <v>69788.364781653872</v>
      </c>
      <c r="O160" s="474">
        <f t="shared" si="26"/>
        <v>80349.092394792286</v>
      </c>
      <c r="P160" s="474">
        <f t="shared" si="26"/>
        <v>90909.820007930699</v>
      </c>
      <c r="Q160" s="474">
        <f t="shared" si="26"/>
        <v>99670.452966589117</v>
      </c>
      <c r="R160" s="474">
        <f t="shared" si="26"/>
        <v>108431.08592524753</v>
      </c>
      <c r="S160" s="474">
        <f t="shared" si="26"/>
        <v>117191.71888390595</v>
      </c>
      <c r="T160" s="474">
        <f t="shared" si="26"/>
        <v>124442.35184256437</v>
      </c>
      <c r="U160" s="474">
        <f t="shared" si="26"/>
        <v>131112.79549226278</v>
      </c>
      <c r="V160" s="474">
        <f t="shared" si="26"/>
        <v>137783.23914196121</v>
      </c>
      <c r="W160" s="474">
        <f t="shared" si="26"/>
        <v>139324.74890957962</v>
      </c>
      <c r="X160" s="474">
        <f t="shared" si="26"/>
        <v>150175.57117719803</v>
      </c>
      <c r="Y160" s="474">
        <f t="shared" si="26"/>
        <v>160736.29879033644</v>
      </c>
      <c r="Z160" s="474">
        <f t="shared" si="26"/>
        <v>171297.02640347485</v>
      </c>
      <c r="AA160" s="474">
        <f t="shared" si="26"/>
        <v>180057.65936213327</v>
      </c>
      <c r="AB160" s="474">
        <f t="shared" si="26"/>
        <v>188818.29232079169</v>
      </c>
      <c r="AC160" s="474">
        <f t="shared" si="26"/>
        <v>197578.92527945011</v>
      </c>
      <c r="AD160" s="474">
        <f t="shared" si="26"/>
        <v>204829.55823810853</v>
      </c>
      <c r="AE160" s="474">
        <f t="shared" si="26"/>
        <v>211500.00188780695</v>
      </c>
      <c r="AF160" s="474">
        <f t="shared" si="26"/>
        <v>218170.44553750538</v>
      </c>
      <c r="AG160" s="474">
        <f t="shared" si="26"/>
        <v>219711.95530512379</v>
      </c>
      <c r="AH160" s="474">
        <f t="shared" si="26"/>
        <v>230562.7775727422</v>
      </c>
      <c r="AI160" s="474">
        <f t="shared" si="26"/>
        <v>241123.50518588061</v>
      </c>
      <c r="AJ160" s="474">
        <f t="shared" si="26"/>
        <v>251684.23279901902</v>
      </c>
      <c r="AK160" s="475">
        <f t="shared" si="26"/>
        <v>260444.86575767744</v>
      </c>
    </row>
    <row r="161" spans="3:5" s="110" customFormat="1" ht="20.149999999999999" customHeight="1" outlineLevel="1" x14ac:dyDescent="0.25"/>
    <row r="162" spans="3:5" s="110" customFormat="1" ht="20.149999999999999" customHeight="1" outlineLevel="1" x14ac:dyDescent="0.25">
      <c r="C162" s="115" t="s">
        <v>512</v>
      </c>
      <c r="D162" s="116">
        <f>AK160/AK139</f>
        <v>7441.2818787907845</v>
      </c>
      <c r="E162" s="439" t="s">
        <v>317</v>
      </c>
    </row>
  </sheetData>
  <mergeCells count="15">
    <mergeCell ref="A138:A139"/>
    <mergeCell ref="B138:B139"/>
    <mergeCell ref="C138:AK138"/>
    <mergeCell ref="A72:A73"/>
    <mergeCell ref="B72:B73"/>
    <mergeCell ref="C72:AK72"/>
    <mergeCell ref="A105:A106"/>
    <mergeCell ref="B105:B106"/>
    <mergeCell ref="C105:AK105"/>
    <mergeCell ref="B6:B7"/>
    <mergeCell ref="A6:A7"/>
    <mergeCell ref="C6:AK6"/>
    <mergeCell ref="A39:A40"/>
    <mergeCell ref="B39:B40"/>
    <mergeCell ref="C39:AK39"/>
  </mergeCells>
  <phoneticPr fontId="36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398C-C8FC-4989-9001-CD69D77D0F3E}">
  <sheetPr>
    <tabColor theme="6" tint="0.59999389629810485"/>
    <outlinePr summaryBelow="0"/>
  </sheetPr>
  <dimension ref="A1:BV116"/>
  <sheetViews>
    <sheetView showGridLines="0" zoomScale="70" zoomScaleNormal="70" workbookViewId="0">
      <selection activeCell="D116" sqref="D116"/>
    </sheetView>
  </sheetViews>
  <sheetFormatPr defaultColWidth="0" defaultRowHeight="12.5" outlineLevelRow="1" x14ac:dyDescent="0.25"/>
  <cols>
    <col min="1" max="1" width="9.1796875" style="6" customWidth="1"/>
    <col min="2" max="2" width="58.453125" style="6" customWidth="1"/>
    <col min="3" max="37" width="11.7265625" style="6" customWidth="1"/>
    <col min="38" max="16384" width="0" style="6" hidden="1"/>
  </cols>
  <sheetData>
    <row r="1" spans="1:74" ht="13" thickBot="1" x14ac:dyDescent="0.3"/>
    <row r="2" spans="1:74" s="564" customFormat="1" ht="40" customHeight="1" thickBot="1" x14ac:dyDescent="0.3">
      <c r="A2" s="538" t="s">
        <v>559</v>
      </c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39"/>
      <c r="AK2" s="539"/>
      <c r="AL2" s="539"/>
      <c r="AM2" s="539"/>
    </row>
    <row r="3" spans="1:74" ht="13" thickBot="1" x14ac:dyDescent="0.3"/>
    <row r="4" spans="1:74" s="563" customFormat="1" ht="30" customHeight="1" thickBot="1" x14ac:dyDescent="0.3">
      <c r="A4" s="555" t="s">
        <v>260</v>
      </c>
      <c r="B4" s="621"/>
      <c r="C4" s="621"/>
      <c r="D4" s="621"/>
      <c r="E4" s="621"/>
      <c r="F4" s="621"/>
      <c r="G4" s="621"/>
      <c r="H4" s="621"/>
      <c r="I4" s="621"/>
      <c r="J4" s="621"/>
      <c r="K4" s="621"/>
      <c r="L4" s="621"/>
      <c r="M4" s="621"/>
      <c r="N4" s="621"/>
      <c r="O4" s="621"/>
      <c r="P4" s="621"/>
      <c r="Q4" s="621"/>
      <c r="R4" s="621"/>
      <c r="S4" s="621"/>
      <c r="T4" s="621"/>
      <c r="U4" s="621"/>
      <c r="V4" s="621"/>
      <c r="W4" s="621"/>
      <c r="X4" s="621"/>
      <c r="Y4" s="621"/>
      <c r="Z4" s="621"/>
      <c r="AA4" s="621"/>
      <c r="AB4" s="621"/>
      <c r="AC4" s="621"/>
      <c r="AD4" s="621"/>
      <c r="AE4" s="621"/>
      <c r="AF4" s="621"/>
      <c r="AG4" s="621"/>
      <c r="AH4" s="621"/>
      <c r="AI4" s="621"/>
      <c r="AJ4" s="621"/>
      <c r="AK4" s="621"/>
      <c r="AL4" s="621"/>
      <c r="AM4" s="621"/>
      <c r="AN4" s="621"/>
      <c r="AO4" s="621"/>
      <c r="AP4" s="621"/>
      <c r="AQ4" s="621"/>
      <c r="AR4" s="621"/>
      <c r="AS4" s="621"/>
      <c r="AT4" s="621"/>
      <c r="AU4" s="621"/>
    </row>
    <row r="5" spans="1:74" s="550" customFormat="1" ht="20.149999999999999" customHeight="1" outlineLevel="1" thickBot="1" x14ac:dyDescent="0.3">
      <c r="A5" s="547" t="s">
        <v>513</v>
      </c>
      <c r="B5" s="548"/>
      <c r="C5" s="548"/>
      <c r="D5" s="548"/>
      <c r="E5" s="548"/>
      <c r="F5" s="548"/>
      <c r="G5" s="548"/>
      <c r="H5" s="548"/>
      <c r="I5" s="548"/>
      <c r="J5" s="548"/>
      <c r="K5" s="548"/>
      <c r="L5" s="548"/>
      <c r="M5" s="548"/>
      <c r="N5" s="548"/>
      <c r="O5" s="548"/>
      <c r="P5" s="548"/>
      <c r="Q5" s="548"/>
      <c r="R5" s="548"/>
      <c r="S5" s="548"/>
      <c r="T5" s="548"/>
      <c r="U5" s="548"/>
      <c r="V5" s="548"/>
      <c r="W5" s="548"/>
      <c r="X5" s="548"/>
      <c r="Y5" s="548"/>
      <c r="Z5" s="548"/>
      <c r="AA5" s="548"/>
      <c r="AB5" s="548"/>
      <c r="AC5" s="548"/>
      <c r="AD5" s="548"/>
      <c r="AE5" s="548"/>
      <c r="AF5" s="548"/>
      <c r="AG5" s="548"/>
      <c r="AH5" s="548"/>
      <c r="AI5" s="548"/>
      <c r="AJ5" s="548"/>
      <c r="AK5" s="548"/>
      <c r="AL5" s="548"/>
      <c r="AM5" s="548"/>
      <c r="AN5" s="549"/>
    </row>
    <row r="6" spans="1:74" s="14" customFormat="1" ht="20.149999999999999" customHeight="1" outlineLevel="1" thickBot="1" x14ac:dyDescent="0.3">
      <c r="A6" s="1102" t="s">
        <v>152</v>
      </c>
      <c r="B6" s="1102" t="s">
        <v>150</v>
      </c>
      <c r="C6" s="1103" t="s">
        <v>151</v>
      </c>
      <c r="D6" s="1104"/>
      <c r="E6" s="1104"/>
      <c r="F6" s="1104"/>
      <c r="G6" s="1104"/>
      <c r="H6" s="1104"/>
      <c r="I6" s="1104"/>
      <c r="J6" s="1104"/>
      <c r="K6" s="1104"/>
      <c r="L6" s="1104"/>
      <c r="M6" s="1104"/>
      <c r="N6" s="1104"/>
      <c r="O6" s="1104"/>
      <c r="P6" s="1104"/>
      <c r="Q6" s="1104"/>
      <c r="R6" s="1104"/>
      <c r="S6" s="1104"/>
      <c r="T6" s="1104"/>
      <c r="U6" s="1104"/>
      <c r="V6" s="1104"/>
      <c r="W6" s="1104"/>
      <c r="X6" s="1104"/>
      <c r="Y6" s="1104"/>
      <c r="Z6" s="1104"/>
      <c r="AA6" s="1104"/>
      <c r="AB6" s="1104"/>
      <c r="AC6" s="1104"/>
      <c r="AD6" s="1104"/>
      <c r="AE6" s="1104"/>
      <c r="AF6" s="1104"/>
      <c r="AG6" s="1104"/>
      <c r="AH6" s="1104"/>
      <c r="AI6" s="1104"/>
      <c r="AJ6" s="1104"/>
      <c r="AK6" s="1105"/>
      <c r="AL6" s="210"/>
      <c r="AM6" s="354"/>
      <c r="AN6" s="1102"/>
      <c r="AO6" s="1102"/>
      <c r="AP6" s="1102"/>
      <c r="AQ6" s="1102"/>
      <c r="AR6" s="1102"/>
      <c r="AS6" s="1102"/>
      <c r="AT6" s="1102"/>
      <c r="AU6" s="1102"/>
      <c r="AV6" s="1102"/>
      <c r="AW6" s="1102"/>
      <c r="AX6" s="1102"/>
      <c r="AY6" s="1102"/>
      <c r="AZ6" s="1102"/>
      <c r="BA6" s="1102"/>
      <c r="BB6" s="1102"/>
      <c r="BC6" s="1102"/>
      <c r="BD6" s="1102"/>
      <c r="BE6" s="1102"/>
      <c r="BF6" s="1102"/>
      <c r="BG6" s="1102"/>
      <c r="BH6" s="1102"/>
      <c r="BI6" s="1102"/>
      <c r="BJ6" s="1102"/>
      <c r="BK6" s="1102"/>
      <c r="BL6" s="1102"/>
      <c r="BM6" s="1102"/>
      <c r="BN6" s="1102"/>
      <c r="BO6" s="1102"/>
      <c r="BP6" s="1102"/>
      <c r="BQ6" s="1102"/>
      <c r="BR6" s="1102"/>
      <c r="BS6" s="1102"/>
      <c r="BT6" s="1102"/>
      <c r="BU6" s="1102"/>
      <c r="BV6" s="1102"/>
    </row>
    <row r="7" spans="1:74" s="14" customFormat="1" ht="20.149999999999999" customHeight="1" outlineLevel="1" thickBot="1" x14ac:dyDescent="0.3">
      <c r="A7" s="1102"/>
      <c r="B7" s="1102"/>
      <c r="C7" s="210">
        <v>1</v>
      </c>
      <c r="D7" s="275">
        <f>C7+1</f>
        <v>2</v>
      </c>
      <c r="E7" s="211">
        <f t="shared" ref="E7:V7" si="0">D7+1</f>
        <v>3</v>
      </c>
      <c r="F7" s="211">
        <f t="shared" si="0"/>
        <v>4</v>
      </c>
      <c r="G7" s="211">
        <f t="shared" si="0"/>
        <v>5</v>
      </c>
      <c r="H7" s="211">
        <f t="shared" si="0"/>
        <v>6</v>
      </c>
      <c r="I7" s="211">
        <f t="shared" si="0"/>
        <v>7</v>
      </c>
      <c r="J7" s="211">
        <f t="shared" si="0"/>
        <v>8</v>
      </c>
      <c r="K7" s="211">
        <f t="shared" si="0"/>
        <v>9</v>
      </c>
      <c r="L7" s="211">
        <f t="shared" si="0"/>
        <v>10</v>
      </c>
      <c r="M7" s="211">
        <f t="shared" si="0"/>
        <v>11</v>
      </c>
      <c r="N7" s="211">
        <f t="shared" si="0"/>
        <v>12</v>
      </c>
      <c r="O7" s="211">
        <f t="shared" si="0"/>
        <v>13</v>
      </c>
      <c r="P7" s="211">
        <f t="shared" si="0"/>
        <v>14</v>
      </c>
      <c r="Q7" s="211">
        <f t="shared" si="0"/>
        <v>15</v>
      </c>
      <c r="R7" s="211">
        <f t="shared" si="0"/>
        <v>16</v>
      </c>
      <c r="S7" s="211">
        <f t="shared" si="0"/>
        <v>17</v>
      </c>
      <c r="T7" s="211">
        <f t="shared" si="0"/>
        <v>18</v>
      </c>
      <c r="U7" s="211">
        <f t="shared" si="0"/>
        <v>19</v>
      </c>
      <c r="V7" s="211">
        <f t="shared" si="0"/>
        <v>20</v>
      </c>
      <c r="W7" s="211">
        <f t="shared" ref="W7:AJ7" si="1">V7+1</f>
        <v>21</v>
      </c>
      <c r="X7" s="211">
        <f t="shared" si="1"/>
        <v>22</v>
      </c>
      <c r="Y7" s="211">
        <f t="shared" si="1"/>
        <v>23</v>
      </c>
      <c r="Z7" s="211">
        <f t="shared" si="1"/>
        <v>24</v>
      </c>
      <c r="AA7" s="211">
        <f t="shared" si="1"/>
        <v>25</v>
      </c>
      <c r="AB7" s="211">
        <f t="shared" si="1"/>
        <v>26</v>
      </c>
      <c r="AC7" s="211">
        <f t="shared" si="1"/>
        <v>27</v>
      </c>
      <c r="AD7" s="211">
        <f t="shared" si="1"/>
        <v>28</v>
      </c>
      <c r="AE7" s="211">
        <f t="shared" si="1"/>
        <v>29</v>
      </c>
      <c r="AF7" s="211">
        <f t="shared" si="1"/>
        <v>30</v>
      </c>
      <c r="AG7" s="211">
        <f t="shared" si="1"/>
        <v>31</v>
      </c>
      <c r="AH7" s="211">
        <f t="shared" si="1"/>
        <v>32</v>
      </c>
      <c r="AI7" s="211">
        <f t="shared" si="1"/>
        <v>33</v>
      </c>
      <c r="AJ7" s="211">
        <f t="shared" si="1"/>
        <v>34</v>
      </c>
      <c r="AK7" s="211">
        <v>35</v>
      </c>
      <c r="AL7" s="212"/>
      <c r="AM7" s="355"/>
      <c r="AN7" s="275"/>
      <c r="AO7" s="211"/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1"/>
      <c r="BL7" s="211"/>
      <c r="BM7" s="211"/>
      <c r="BN7" s="211"/>
      <c r="BO7" s="211"/>
      <c r="BP7" s="211"/>
      <c r="BQ7" s="211"/>
      <c r="BR7" s="211"/>
      <c r="BS7" s="211"/>
      <c r="BT7" s="211"/>
      <c r="BU7" s="211"/>
      <c r="BV7" s="212"/>
    </row>
    <row r="8" spans="1:74" ht="20.149999999999999" customHeight="1" outlineLevel="1" x14ac:dyDescent="0.25">
      <c r="A8" s="71">
        <v>1</v>
      </c>
      <c r="B8" s="483" t="s">
        <v>134</v>
      </c>
      <c r="C8" s="319"/>
      <c r="D8" s="319"/>
      <c r="E8" s="319"/>
      <c r="F8" s="319"/>
      <c r="G8" s="319"/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319"/>
      <c r="AH8" s="319"/>
      <c r="AI8" s="319"/>
      <c r="AJ8" s="319"/>
      <c r="AK8" s="673"/>
    </row>
    <row r="9" spans="1:74" ht="20.149999999999999" customHeight="1" outlineLevel="1" x14ac:dyDescent="0.25">
      <c r="A9" s="48" t="s">
        <v>74</v>
      </c>
      <c r="B9" s="126" t="s">
        <v>129</v>
      </c>
      <c r="C9" s="1068">
        <f>'Custos Diversos'!E165</f>
        <v>646.83682456357587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62"/>
    </row>
    <row r="10" spans="1:74" ht="20.149999999999999" customHeight="1" outlineLevel="1" x14ac:dyDescent="0.25">
      <c r="A10" s="48" t="s">
        <v>75</v>
      </c>
      <c r="B10" s="120" t="s">
        <v>335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62"/>
    </row>
    <row r="11" spans="1:74" ht="20.149999999999999" customHeight="1" outlineLevel="1" x14ac:dyDescent="0.25">
      <c r="A11" s="48" t="s">
        <v>76</v>
      </c>
      <c r="B11" s="120" t="s">
        <v>336</v>
      </c>
      <c r="C11" s="1068">
        <f>'Rentabilidade-Cult.Temp.'!E42</f>
        <v>9250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62"/>
    </row>
    <row r="12" spans="1:74" ht="20.149999999999999" customHeight="1" outlineLevel="1" x14ac:dyDescent="0.25">
      <c r="A12" s="48" t="s">
        <v>126</v>
      </c>
      <c r="B12" s="120" t="s">
        <v>130</v>
      </c>
      <c r="C12" s="1068">
        <f>'Rentabilidade-Cult.Temp.'!E45-'Rentabilidade-Cult.Temp.'!E42</f>
        <v>1598.75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62"/>
    </row>
    <row r="13" spans="1:74" ht="20.149999999999999" customHeight="1" outlineLevel="1" thickBot="1" x14ac:dyDescent="0.3">
      <c r="A13" s="50"/>
      <c r="B13" s="181" t="s">
        <v>148</v>
      </c>
      <c r="C13" s="466">
        <f>SUM(C9:C12)</f>
        <v>11495.586824563576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3"/>
    </row>
    <row r="14" spans="1:74" ht="20.149999999999999" customHeight="1" outlineLevel="1" thickBot="1" x14ac:dyDescent="0.3">
      <c r="A14" s="14"/>
      <c r="C14" s="467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67"/>
      <c r="Q14" s="467"/>
      <c r="R14" s="467"/>
      <c r="S14" s="467"/>
      <c r="T14" s="467"/>
      <c r="U14" s="467"/>
      <c r="V14" s="467"/>
      <c r="W14" s="467"/>
      <c r="X14" s="467"/>
      <c r="Y14" s="467"/>
      <c r="Z14" s="467"/>
      <c r="AA14" s="467"/>
      <c r="AB14" s="467"/>
      <c r="AC14" s="467"/>
      <c r="AD14" s="467"/>
      <c r="AE14" s="467"/>
      <c r="AF14" s="467"/>
      <c r="AG14" s="467"/>
      <c r="AH14" s="467"/>
      <c r="AI14" s="467"/>
      <c r="AJ14" s="467"/>
      <c r="AK14" s="467"/>
    </row>
    <row r="15" spans="1:74" ht="20.149999999999999" customHeight="1" outlineLevel="1" x14ac:dyDescent="0.25">
      <c r="A15" s="71">
        <v>2</v>
      </c>
      <c r="B15" s="483" t="s">
        <v>136</v>
      </c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674"/>
      <c r="O15" s="674"/>
      <c r="P15" s="674"/>
      <c r="Q15" s="674"/>
      <c r="R15" s="674"/>
      <c r="S15" s="674"/>
      <c r="T15" s="674"/>
      <c r="U15" s="674"/>
      <c r="V15" s="674"/>
      <c r="W15" s="674"/>
      <c r="X15" s="674"/>
      <c r="Y15" s="674"/>
      <c r="Z15" s="674"/>
      <c r="AA15" s="674"/>
      <c r="AB15" s="674"/>
      <c r="AC15" s="674"/>
      <c r="AD15" s="674"/>
      <c r="AE15" s="674"/>
      <c r="AF15" s="674"/>
      <c r="AG15" s="674"/>
      <c r="AH15" s="674"/>
      <c r="AI15" s="674"/>
      <c r="AJ15" s="674"/>
      <c r="AK15" s="675"/>
    </row>
    <row r="16" spans="1:74" ht="20.149999999999999" customHeight="1" outlineLevel="1" x14ac:dyDescent="0.25">
      <c r="A16" s="48" t="s">
        <v>137</v>
      </c>
      <c r="B16" s="120" t="s">
        <v>142</v>
      </c>
      <c r="C16" s="59">
        <f>'Rentabilidade-Cult.Temp.'!E19</f>
        <v>3075</v>
      </c>
      <c r="D16" s="59">
        <f>C16</f>
        <v>3075</v>
      </c>
      <c r="E16" s="59">
        <f t="shared" ref="E16:V16" si="2">D16</f>
        <v>3075</v>
      </c>
      <c r="F16" s="59">
        <f t="shared" si="2"/>
        <v>3075</v>
      </c>
      <c r="G16" s="59">
        <f t="shared" si="2"/>
        <v>3075</v>
      </c>
      <c r="H16" s="59">
        <f t="shared" si="2"/>
        <v>3075</v>
      </c>
      <c r="I16" s="59">
        <f t="shared" si="2"/>
        <v>3075</v>
      </c>
      <c r="J16" s="59">
        <f t="shared" si="2"/>
        <v>3075</v>
      </c>
      <c r="K16" s="59">
        <f t="shared" si="2"/>
        <v>3075</v>
      </c>
      <c r="L16" s="59">
        <f t="shared" si="2"/>
        <v>3075</v>
      </c>
      <c r="M16" s="59">
        <f t="shared" si="2"/>
        <v>3075</v>
      </c>
      <c r="N16" s="59">
        <f t="shared" si="2"/>
        <v>3075</v>
      </c>
      <c r="O16" s="59">
        <f t="shared" si="2"/>
        <v>3075</v>
      </c>
      <c r="P16" s="59">
        <f t="shared" si="2"/>
        <v>3075</v>
      </c>
      <c r="Q16" s="59">
        <f t="shared" si="2"/>
        <v>3075</v>
      </c>
      <c r="R16" s="59">
        <f t="shared" si="2"/>
        <v>3075</v>
      </c>
      <c r="S16" s="59">
        <f t="shared" si="2"/>
        <v>3075</v>
      </c>
      <c r="T16" s="59">
        <f t="shared" si="2"/>
        <v>3075</v>
      </c>
      <c r="U16" s="59">
        <f t="shared" si="2"/>
        <v>3075</v>
      </c>
      <c r="V16" s="59">
        <f t="shared" si="2"/>
        <v>3075</v>
      </c>
      <c r="W16" s="59">
        <f t="shared" ref="W16:AK16" si="3">V16</f>
        <v>3075</v>
      </c>
      <c r="X16" s="59">
        <f t="shared" si="3"/>
        <v>3075</v>
      </c>
      <c r="Y16" s="59">
        <f t="shared" si="3"/>
        <v>3075</v>
      </c>
      <c r="Z16" s="59">
        <f t="shared" si="3"/>
        <v>3075</v>
      </c>
      <c r="AA16" s="59">
        <f t="shared" si="3"/>
        <v>3075</v>
      </c>
      <c r="AB16" s="59">
        <f t="shared" si="3"/>
        <v>3075</v>
      </c>
      <c r="AC16" s="59">
        <f t="shared" si="3"/>
        <v>3075</v>
      </c>
      <c r="AD16" s="59">
        <f t="shared" si="3"/>
        <v>3075</v>
      </c>
      <c r="AE16" s="59">
        <f t="shared" si="3"/>
        <v>3075</v>
      </c>
      <c r="AF16" s="59">
        <f t="shared" si="3"/>
        <v>3075</v>
      </c>
      <c r="AG16" s="59">
        <f t="shared" si="3"/>
        <v>3075</v>
      </c>
      <c r="AH16" s="59">
        <f t="shared" si="3"/>
        <v>3075</v>
      </c>
      <c r="AI16" s="59">
        <f t="shared" si="3"/>
        <v>3075</v>
      </c>
      <c r="AJ16" s="59">
        <f t="shared" si="3"/>
        <v>3075</v>
      </c>
      <c r="AK16" s="62">
        <f t="shared" si="3"/>
        <v>3075</v>
      </c>
    </row>
    <row r="17" spans="1:37" ht="20.149999999999999" customHeight="1" outlineLevel="1" x14ac:dyDescent="0.25">
      <c r="A17" s="48" t="s">
        <v>138</v>
      </c>
      <c r="B17" s="33" t="s">
        <v>146</v>
      </c>
      <c r="C17" s="59">
        <f>'Rentabilidade-Cult.Temp.'!E26</f>
        <v>795</v>
      </c>
      <c r="D17" s="59">
        <f>C17</f>
        <v>795</v>
      </c>
      <c r="E17" s="59">
        <f t="shared" ref="E17:V17" si="4">D17</f>
        <v>795</v>
      </c>
      <c r="F17" s="59">
        <f t="shared" si="4"/>
        <v>795</v>
      </c>
      <c r="G17" s="59">
        <f t="shared" si="4"/>
        <v>795</v>
      </c>
      <c r="H17" s="59">
        <f t="shared" si="4"/>
        <v>795</v>
      </c>
      <c r="I17" s="59">
        <f t="shared" si="4"/>
        <v>795</v>
      </c>
      <c r="J17" s="59">
        <f t="shared" si="4"/>
        <v>795</v>
      </c>
      <c r="K17" s="59">
        <f t="shared" si="4"/>
        <v>795</v>
      </c>
      <c r="L17" s="59">
        <f t="shared" si="4"/>
        <v>795</v>
      </c>
      <c r="M17" s="59">
        <f t="shared" si="4"/>
        <v>795</v>
      </c>
      <c r="N17" s="59">
        <f t="shared" si="4"/>
        <v>795</v>
      </c>
      <c r="O17" s="59">
        <f t="shared" si="4"/>
        <v>795</v>
      </c>
      <c r="P17" s="59">
        <f t="shared" si="4"/>
        <v>795</v>
      </c>
      <c r="Q17" s="59">
        <f t="shared" si="4"/>
        <v>795</v>
      </c>
      <c r="R17" s="59">
        <f t="shared" si="4"/>
        <v>795</v>
      </c>
      <c r="S17" s="59">
        <f t="shared" si="4"/>
        <v>795</v>
      </c>
      <c r="T17" s="59">
        <f t="shared" si="4"/>
        <v>795</v>
      </c>
      <c r="U17" s="59">
        <f t="shared" si="4"/>
        <v>795</v>
      </c>
      <c r="V17" s="59">
        <f t="shared" si="4"/>
        <v>795</v>
      </c>
      <c r="W17" s="59">
        <f t="shared" ref="W17:AK17" si="5">V17</f>
        <v>795</v>
      </c>
      <c r="X17" s="59">
        <f t="shared" si="5"/>
        <v>795</v>
      </c>
      <c r="Y17" s="59">
        <f t="shared" si="5"/>
        <v>795</v>
      </c>
      <c r="Z17" s="59">
        <f t="shared" si="5"/>
        <v>795</v>
      </c>
      <c r="AA17" s="59">
        <f t="shared" si="5"/>
        <v>795</v>
      </c>
      <c r="AB17" s="59">
        <f t="shared" si="5"/>
        <v>795</v>
      </c>
      <c r="AC17" s="59">
        <f t="shared" si="5"/>
        <v>795</v>
      </c>
      <c r="AD17" s="59">
        <f t="shared" si="5"/>
        <v>795</v>
      </c>
      <c r="AE17" s="59">
        <f t="shared" si="5"/>
        <v>795</v>
      </c>
      <c r="AF17" s="59">
        <f t="shared" si="5"/>
        <v>795</v>
      </c>
      <c r="AG17" s="59">
        <f t="shared" si="5"/>
        <v>795</v>
      </c>
      <c r="AH17" s="59">
        <f t="shared" si="5"/>
        <v>795</v>
      </c>
      <c r="AI17" s="59">
        <f t="shared" si="5"/>
        <v>795</v>
      </c>
      <c r="AJ17" s="59">
        <f t="shared" si="5"/>
        <v>795</v>
      </c>
      <c r="AK17" s="62">
        <f t="shared" si="5"/>
        <v>795</v>
      </c>
    </row>
    <row r="18" spans="1:37" ht="20.149999999999999" customHeight="1" outlineLevel="1" x14ac:dyDescent="0.25">
      <c r="A18" s="48" t="s">
        <v>139</v>
      </c>
      <c r="B18" s="120" t="s">
        <v>143</v>
      </c>
      <c r="C18" s="59">
        <f>'Rentabilidade-Cult.Temp.'!E38</f>
        <v>2042.5</v>
      </c>
      <c r="D18" s="59">
        <f>C18</f>
        <v>2042.5</v>
      </c>
      <c r="E18" s="59">
        <f t="shared" ref="E18:V18" si="6">D18</f>
        <v>2042.5</v>
      </c>
      <c r="F18" s="59">
        <f t="shared" si="6"/>
        <v>2042.5</v>
      </c>
      <c r="G18" s="59">
        <f t="shared" si="6"/>
        <v>2042.5</v>
      </c>
      <c r="H18" s="59">
        <f t="shared" si="6"/>
        <v>2042.5</v>
      </c>
      <c r="I18" s="59">
        <f t="shared" si="6"/>
        <v>2042.5</v>
      </c>
      <c r="J18" s="59">
        <f t="shared" si="6"/>
        <v>2042.5</v>
      </c>
      <c r="K18" s="59">
        <f t="shared" si="6"/>
        <v>2042.5</v>
      </c>
      <c r="L18" s="59">
        <f t="shared" si="6"/>
        <v>2042.5</v>
      </c>
      <c r="M18" s="59">
        <f t="shared" si="6"/>
        <v>2042.5</v>
      </c>
      <c r="N18" s="59">
        <f t="shared" si="6"/>
        <v>2042.5</v>
      </c>
      <c r="O18" s="59">
        <f t="shared" si="6"/>
        <v>2042.5</v>
      </c>
      <c r="P18" s="59">
        <f t="shared" si="6"/>
        <v>2042.5</v>
      </c>
      <c r="Q18" s="59">
        <f t="shared" si="6"/>
        <v>2042.5</v>
      </c>
      <c r="R18" s="59">
        <f t="shared" si="6"/>
        <v>2042.5</v>
      </c>
      <c r="S18" s="59">
        <f t="shared" si="6"/>
        <v>2042.5</v>
      </c>
      <c r="T18" s="59">
        <f t="shared" si="6"/>
        <v>2042.5</v>
      </c>
      <c r="U18" s="59">
        <f t="shared" si="6"/>
        <v>2042.5</v>
      </c>
      <c r="V18" s="59">
        <f t="shared" si="6"/>
        <v>2042.5</v>
      </c>
      <c r="W18" s="59">
        <f t="shared" ref="W18:AK18" si="7">V18</f>
        <v>2042.5</v>
      </c>
      <c r="X18" s="59">
        <f t="shared" si="7"/>
        <v>2042.5</v>
      </c>
      <c r="Y18" s="59">
        <f t="shared" si="7"/>
        <v>2042.5</v>
      </c>
      <c r="Z18" s="59">
        <f t="shared" si="7"/>
        <v>2042.5</v>
      </c>
      <c r="AA18" s="59">
        <f t="shared" si="7"/>
        <v>2042.5</v>
      </c>
      <c r="AB18" s="59">
        <f t="shared" si="7"/>
        <v>2042.5</v>
      </c>
      <c r="AC18" s="59">
        <f t="shared" si="7"/>
        <v>2042.5</v>
      </c>
      <c r="AD18" s="59">
        <f t="shared" si="7"/>
        <v>2042.5</v>
      </c>
      <c r="AE18" s="59">
        <f t="shared" si="7"/>
        <v>2042.5</v>
      </c>
      <c r="AF18" s="59">
        <f t="shared" si="7"/>
        <v>2042.5</v>
      </c>
      <c r="AG18" s="59">
        <f t="shared" si="7"/>
        <v>2042.5</v>
      </c>
      <c r="AH18" s="59">
        <f t="shared" si="7"/>
        <v>2042.5</v>
      </c>
      <c r="AI18" s="59">
        <f t="shared" si="7"/>
        <v>2042.5</v>
      </c>
      <c r="AJ18" s="59">
        <f t="shared" si="7"/>
        <v>2042.5</v>
      </c>
      <c r="AK18" s="62">
        <f t="shared" si="7"/>
        <v>2042.5</v>
      </c>
    </row>
    <row r="19" spans="1:37" ht="20.149999999999999" customHeight="1" outlineLevel="1" x14ac:dyDescent="0.25">
      <c r="A19" s="48" t="s">
        <v>140</v>
      </c>
      <c r="B19" s="33" t="s">
        <v>141</v>
      </c>
      <c r="C19" s="59">
        <f>SUM('Rentabilidade-Cult.Temp.'!E50:E58)</f>
        <v>1324.8979890160454</v>
      </c>
      <c r="D19" s="59">
        <f>C19</f>
        <v>1324.8979890160454</v>
      </c>
      <c r="E19" s="59">
        <f>D19</f>
        <v>1324.8979890160454</v>
      </c>
      <c r="F19" s="59">
        <f t="shared" ref="F19:V19" si="8">E19</f>
        <v>1324.8979890160454</v>
      </c>
      <c r="G19" s="59">
        <f t="shared" si="8"/>
        <v>1324.8979890160454</v>
      </c>
      <c r="H19" s="59">
        <f t="shared" si="8"/>
        <v>1324.8979890160454</v>
      </c>
      <c r="I19" s="59">
        <f t="shared" si="8"/>
        <v>1324.8979890160454</v>
      </c>
      <c r="J19" s="59">
        <f t="shared" si="8"/>
        <v>1324.8979890160454</v>
      </c>
      <c r="K19" s="59">
        <f t="shared" si="8"/>
        <v>1324.8979890160454</v>
      </c>
      <c r="L19" s="59">
        <f t="shared" si="8"/>
        <v>1324.8979890160454</v>
      </c>
      <c r="M19" s="59">
        <f t="shared" si="8"/>
        <v>1324.8979890160454</v>
      </c>
      <c r="N19" s="59">
        <f t="shared" si="8"/>
        <v>1324.8979890160454</v>
      </c>
      <c r="O19" s="59">
        <f t="shared" si="8"/>
        <v>1324.8979890160454</v>
      </c>
      <c r="P19" s="59">
        <f t="shared" si="8"/>
        <v>1324.8979890160454</v>
      </c>
      <c r="Q19" s="59">
        <f t="shared" si="8"/>
        <v>1324.8979890160454</v>
      </c>
      <c r="R19" s="59">
        <f t="shared" si="8"/>
        <v>1324.8979890160454</v>
      </c>
      <c r="S19" s="59">
        <f t="shared" si="8"/>
        <v>1324.8979890160454</v>
      </c>
      <c r="T19" s="59">
        <f t="shared" si="8"/>
        <v>1324.8979890160454</v>
      </c>
      <c r="U19" s="59">
        <f t="shared" si="8"/>
        <v>1324.8979890160454</v>
      </c>
      <c r="V19" s="59">
        <f t="shared" si="8"/>
        <v>1324.8979890160454</v>
      </c>
      <c r="W19" s="59">
        <f t="shared" ref="W19:AK19" si="9">V19</f>
        <v>1324.8979890160454</v>
      </c>
      <c r="X19" s="59">
        <f t="shared" si="9"/>
        <v>1324.8979890160454</v>
      </c>
      <c r="Y19" s="59">
        <f t="shared" si="9"/>
        <v>1324.8979890160454</v>
      </c>
      <c r="Z19" s="59">
        <f t="shared" si="9"/>
        <v>1324.8979890160454</v>
      </c>
      <c r="AA19" s="59">
        <f t="shared" si="9"/>
        <v>1324.8979890160454</v>
      </c>
      <c r="AB19" s="59">
        <f t="shared" si="9"/>
        <v>1324.8979890160454</v>
      </c>
      <c r="AC19" s="59">
        <f t="shared" si="9"/>
        <v>1324.8979890160454</v>
      </c>
      <c r="AD19" s="59">
        <f t="shared" si="9"/>
        <v>1324.8979890160454</v>
      </c>
      <c r="AE19" s="59">
        <f t="shared" si="9"/>
        <v>1324.8979890160454</v>
      </c>
      <c r="AF19" s="59">
        <f t="shared" si="9"/>
        <v>1324.8979890160454</v>
      </c>
      <c r="AG19" s="59">
        <f t="shared" si="9"/>
        <v>1324.8979890160454</v>
      </c>
      <c r="AH19" s="59">
        <f t="shared" si="9"/>
        <v>1324.8979890160454</v>
      </c>
      <c r="AI19" s="59">
        <f t="shared" si="9"/>
        <v>1324.8979890160454</v>
      </c>
      <c r="AJ19" s="59">
        <f t="shared" si="9"/>
        <v>1324.8979890160454</v>
      </c>
      <c r="AK19" s="62">
        <f t="shared" si="9"/>
        <v>1324.8979890160454</v>
      </c>
    </row>
    <row r="20" spans="1:37" ht="20.149999999999999" customHeight="1" outlineLevel="1" thickBot="1" x14ac:dyDescent="0.3">
      <c r="A20" s="50"/>
      <c r="B20" s="181" t="s">
        <v>149</v>
      </c>
      <c r="C20" s="466">
        <f t="shared" ref="C20:AK20" si="10">SUM(C16:C19)</f>
        <v>7237.3979890160454</v>
      </c>
      <c r="D20" s="466">
        <f t="shared" si="10"/>
        <v>7237.3979890160454</v>
      </c>
      <c r="E20" s="466">
        <f t="shared" si="10"/>
        <v>7237.3979890160454</v>
      </c>
      <c r="F20" s="466">
        <f t="shared" si="10"/>
        <v>7237.3979890160454</v>
      </c>
      <c r="G20" s="466">
        <f t="shared" si="10"/>
        <v>7237.3979890160454</v>
      </c>
      <c r="H20" s="466">
        <f t="shared" si="10"/>
        <v>7237.3979890160454</v>
      </c>
      <c r="I20" s="466">
        <f t="shared" si="10"/>
        <v>7237.3979890160454</v>
      </c>
      <c r="J20" s="466">
        <f t="shared" si="10"/>
        <v>7237.3979890160454</v>
      </c>
      <c r="K20" s="466">
        <f t="shared" si="10"/>
        <v>7237.3979890160454</v>
      </c>
      <c r="L20" s="466">
        <f t="shared" si="10"/>
        <v>7237.3979890160454</v>
      </c>
      <c r="M20" s="466">
        <f t="shared" si="10"/>
        <v>7237.3979890160454</v>
      </c>
      <c r="N20" s="466">
        <f t="shared" si="10"/>
        <v>7237.3979890160454</v>
      </c>
      <c r="O20" s="466">
        <f t="shared" si="10"/>
        <v>7237.3979890160454</v>
      </c>
      <c r="P20" s="466">
        <f t="shared" si="10"/>
        <v>7237.3979890160454</v>
      </c>
      <c r="Q20" s="466">
        <f t="shared" si="10"/>
        <v>7237.3979890160454</v>
      </c>
      <c r="R20" s="466">
        <f t="shared" si="10"/>
        <v>7237.3979890160454</v>
      </c>
      <c r="S20" s="466">
        <f t="shared" si="10"/>
        <v>7237.3979890160454</v>
      </c>
      <c r="T20" s="466">
        <f t="shared" si="10"/>
        <v>7237.3979890160454</v>
      </c>
      <c r="U20" s="466">
        <f t="shared" si="10"/>
        <v>7237.3979890160454</v>
      </c>
      <c r="V20" s="466">
        <f t="shared" si="10"/>
        <v>7237.3979890160454</v>
      </c>
      <c r="W20" s="466">
        <f t="shared" si="10"/>
        <v>7237.3979890160454</v>
      </c>
      <c r="X20" s="466">
        <f t="shared" si="10"/>
        <v>7237.3979890160454</v>
      </c>
      <c r="Y20" s="466">
        <f t="shared" si="10"/>
        <v>7237.3979890160454</v>
      </c>
      <c r="Z20" s="466">
        <f t="shared" si="10"/>
        <v>7237.3979890160454</v>
      </c>
      <c r="AA20" s="466">
        <f t="shared" si="10"/>
        <v>7237.3979890160454</v>
      </c>
      <c r="AB20" s="466">
        <f t="shared" si="10"/>
        <v>7237.3979890160454</v>
      </c>
      <c r="AC20" s="466">
        <f t="shared" si="10"/>
        <v>7237.3979890160454</v>
      </c>
      <c r="AD20" s="466">
        <f t="shared" si="10"/>
        <v>7237.3979890160454</v>
      </c>
      <c r="AE20" s="466">
        <f t="shared" si="10"/>
        <v>7237.3979890160454</v>
      </c>
      <c r="AF20" s="466">
        <f t="shared" si="10"/>
        <v>7237.3979890160454</v>
      </c>
      <c r="AG20" s="466">
        <f t="shared" si="10"/>
        <v>7237.3979890160454</v>
      </c>
      <c r="AH20" s="466">
        <f t="shared" si="10"/>
        <v>7237.3979890160454</v>
      </c>
      <c r="AI20" s="466">
        <f t="shared" si="10"/>
        <v>7237.3979890160454</v>
      </c>
      <c r="AJ20" s="466">
        <f t="shared" si="10"/>
        <v>7237.3979890160454</v>
      </c>
      <c r="AK20" s="470">
        <f t="shared" si="10"/>
        <v>7237.3979890160454</v>
      </c>
    </row>
    <row r="21" spans="1:37" ht="20.149999999999999" customHeight="1" outlineLevel="1" thickBot="1" x14ac:dyDescent="0.3">
      <c r="A21" s="14"/>
      <c r="C21" s="467">
        <f>C20-7129</f>
        <v>108.39798901604536</v>
      </c>
      <c r="D21" s="467"/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67"/>
      <c r="R21" s="467"/>
      <c r="S21" s="467"/>
      <c r="T21" s="467"/>
      <c r="U21" s="467"/>
      <c r="V21" s="467"/>
      <c r="W21" s="467"/>
      <c r="X21" s="467"/>
      <c r="Y21" s="467"/>
      <c r="Z21" s="467"/>
      <c r="AA21" s="467"/>
      <c r="AB21" s="467"/>
      <c r="AC21" s="467"/>
      <c r="AD21" s="467"/>
      <c r="AE21" s="467"/>
      <c r="AF21" s="467"/>
      <c r="AG21" s="467"/>
      <c r="AH21" s="467"/>
      <c r="AI21" s="467"/>
      <c r="AJ21" s="467"/>
      <c r="AK21" s="467"/>
    </row>
    <row r="22" spans="1:37" ht="20.149999999999999" customHeight="1" outlineLevel="1" x14ac:dyDescent="0.25">
      <c r="A22" s="71">
        <v>3</v>
      </c>
      <c r="B22" s="483" t="s">
        <v>144</v>
      </c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  <c r="O22" s="674"/>
      <c r="P22" s="674"/>
      <c r="Q22" s="674"/>
      <c r="R22" s="674"/>
      <c r="S22" s="674"/>
      <c r="T22" s="674"/>
      <c r="U22" s="674"/>
      <c r="V22" s="674"/>
      <c r="W22" s="674"/>
      <c r="X22" s="674"/>
      <c r="Y22" s="674"/>
      <c r="Z22" s="674"/>
      <c r="AA22" s="674"/>
      <c r="AB22" s="674"/>
      <c r="AC22" s="674"/>
      <c r="AD22" s="674"/>
      <c r="AE22" s="674"/>
      <c r="AF22" s="674"/>
      <c r="AG22" s="674"/>
      <c r="AH22" s="674"/>
      <c r="AI22" s="674"/>
      <c r="AJ22" s="674"/>
      <c r="AK22" s="675"/>
    </row>
    <row r="23" spans="1:37" ht="20.149999999999999" customHeight="1" outlineLevel="1" x14ac:dyDescent="0.25">
      <c r="A23" s="85" t="s">
        <v>147</v>
      </c>
      <c r="B23" s="120" t="s">
        <v>268</v>
      </c>
      <c r="C23" s="59">
        <f>'Rentabilidade-Cult.Temp.'!E64</f>
        <v>14442.000000000002</v>
      </c>
      <c r="D23" s="59">
        <f>C23</f>
        <v>14442.000000000002</v>
      </c>
      <c r="E23" s="59">
        <f t="shared" ref="E23:V23" si="11">D23</f>
        <v>14442.000000000002</v>
      </c>
      <c r="F23" s="59">
        <f t="shared" si="11"/>
        <v>14442.000000000002</v>
      </c>
      <c r="G23" s="59">
        <f t="shared" si="11"/>
        <v>14442.000000000002</v>
      </c>
      <c r="H23" s="59">
        <f t="shared" si="11"/>
        <v>14442.000000000002</v>
      </c>
      <c r="I23" s="59">
        <f t="shared" si="11"/>
        <v>14442.000000000002</v>
      </c>
      <c r="J23" s="59">
        <f t="shared" si="11"/>
        <v>14442.000000000002</v>
      </c>
      <c r="K23" s="59">
        <f t="shared" si="11"/>
        <v>14442.000000000002</v>
      </c>
      <c r="L23" s="59">
        <f t="shared" si="11"/>
        <v>14442.000000000002</v>
      </c>
      <c r="M23" s="59">
        <f t="shared" si="11"/>
        <v>14442.000000000002</v>
      </c>
      <c r="N23" s="59">
        <f t="shared" si="11"/>
        <v>14442.000000000002</v>
      </c>
      <c r="O23" s="59">
        <f t="shared" si="11"/>
        <v>14442.000000000002</v>
      </c>
      <c r="P23" s="59">
        <f t="shared" si="11"/>
        <v>14442.000000000002</v>
      </c>
      <c r="Q23" s="59">
        <f t="shared" si="11"/>
        <v>14442.000000000002</v>
      </c>
      <c r="R23" s="59">
        <f t="shared" si="11"/>
        <v>14442.000000000002</v>
      </c>
      <c r="S23" s="59">
        <f t="shared" si="11"/>
        <v>14442.000000000002</v>
      </c>
      <c r="T23" s="59">
        <f t="shared" si="11"/>
        <v>14442.000000000002</v>
      </c>
      <c r="U23" s="59">
        <f t="shared" si="11"/>
        <v>14442.000000000002</v>
      </c>
      <c r="V23" s="59">
        <f t="shared" si="11"/>
        <v>14442.000000000002</v>
      </c>
      <c r="W23" s="59">
        <f t="shared" ref="W23:AK23" si="12">V23</f>
        <v>14442.000000000002</v>
      </c>
      <c r="X23" s="59">
        <f t="shared" si="12"/>
        <v>14442.000000000002</v>
      </c>
      <c r="Y23" s="59">
        <f t="shared" si="12"/>
        <v>14442.000000000002</v>
      </c>
      <c r="Z23" s="59">
        <f t="shared" si="12"/>
        <v>14442.000000000002</v>
      </c>
      <c r="AA23" s="59">
        <f t="shared" si="12"/>
        <v>14442.000000000002</v>
      </c>
      <c r="AB23" s="59">
        <f t="shared" si="12"/>
        <v>14442.000000000002</v>
      </c>
      <c r="AC23" s="59">
        <f t="shared" si="12"/>
        <v>14442.000000000002</v>
      </c>
      <c r="AD23" s="59">
        <f t="shared" si="12"/>
        <v>14442.000000000002</v>
      </c>
      <c r="AE23" s="59">
        <f t="shared" si="12"/>
        <v>14442.000000000002</v>
      </c>
      <c r="AF23" s="59">
        <f t="shared" si="12"/>
        <v>14442.000000000002</v>
      </c>
      <c r="AG23" s="59">
        <f t="shared" si="12"/>
        <v>14442.000000000002</v>
      </c>
      <c r="AH23" s="59">
        <f t="shared" si="12"/>
        <v>14442.000000000002</v>
      </c>
      <c r="AI23" s="59">
        <f t="shared" si="12"/>
        <v>14442.000000000002</v>
      </c>
      <c r="AJ23" s="59">
        <f t="shared" si="12"/>
        <v>14442.000000000002</v>
      </c>
      <c r="AK23" s="62">
        <f t="shared" si="12"/>
        <v>14442.000000000002</v>
      </c>
    </row>
    <row r="24" spans="1:37" ht="20.149999999999999" customHeight="1" outlineLevel="1" thickBot="1" x14ac:dyDescent="0.3">
      <c r="A24" s="50"/>
      <c r="B24" s="181" t="s">
        <v>153</v>
      </c>
      <c r="C24" s="466">
        <f t="shared" ref="C24:V24" si="13">SUM(C23:C23)</f>
        <v>14442.000000000002</v>
      </c>
      <c r="D24" s="466">
        <f t="shared" si="13"/>
        <v>14442.000000000002</v>
      </c>
      <c r="E24" s="466">
        <f t="shared" si="13"/>
        <v>14442.000000000002</v>
      </c>
      <c r="F24" s="466">
        <f t="shared" si="13"/>
        <v>14442.000000000002</v>
      </c>
      <c r="G24" s="466">
        <f t="shared" si="13"/>
        <v>14442.000000000002</v>
      </c>
      <c r="H24" s="466">
        <f t="shared" si="13"/>
        <v>14442.000000000002</v>
      </c>
      <c r="I24" s="466">
        <f t="shared" si="13"/>
        <v>14442.000000000002</v>
      </c>
      <c r="J24" s="466">
        <f t="shared" si="13"/>
        <v>14442.000000000002</v>
      </c>
      <c r="K24" s="466">
        <f t="shared" si="13"/>
        <v>14442.000000000002</v>
      </c>
      <c r="L24" s="466">
        <f t="shared" si="13"/>
        <v>14442.000000000002</v>
      </c>
      <c r="M24" s="466">
        <f t="shared" si="13"/>
        <v>14442.000000000002</v>
      </c>
      <c r="N24" s="466">
        <f t="shared" si="13"/>
        <v>14442.000000000002</v>
      </c>
      <c r="O24" s="466">
        <f t="shared" si="13"/>
        <v>14442.000000000002</v>
      </c>
      <c r="P24" s="466">
        <f t="shared" si="13"/>
        <v>14442.000000000002</v>
      </c>
      <c r="Q24" s="466">
        <f t="shared" si="13"/>
        <v>14442.000000000002</v>
      </c>
      <c r="R24" s="466">
        <f t="shared" si="13"/>
        <v>14442.000000000002</v>
      </c>
      <c r="S24" s="466">
        <f t="shared" si="13"/>
        <v>14442.000000000002</v>
      </c>
      <c r="T24" s="466">
        <f t="shared" si="13"/>
        <v>14442.000000000002</v>
      </c>
      <c r="U24" s="466">
        <f t="shared" si="13"/>
        <v>14442.000000000002</v>
      </c>
      <c r="V24" s="466">
        <f t="shared" si="13"/>
        <v>14442.000000000002</v>
      </c>
      <c r="W24" s="466">
        <f t="shared" ref="W24:AK24" si="14">SUM(W23:W23)</f>
        <v>14442.000000000002</v>
      </c>
      <c r="X24" s="466">
        <f t="shared" si="14"/>
        <v>14442.000000000002</v>
      </c>
      <c r="Y24" s="466">
        <f t="shared" si="14"/>
        <v>14442.000000000002</v>
      </c>
      <c r="Z24" s="466">
        <f t="shared" si="14"/>
        <v>14442.000000000002</v>
      </c>
      <c r="AA24" s="466">
        <f t="shared" si="14"/>
        <v>14442.000000000002</v>
      </c>
      <c r="AB24" s="466">
        <f t="shared" si="14"/>
        <v>14442.000000000002</v>
      </c>
      <c r="AC24" s="466">
        <f t="shared" si="14"/>
        <v>14442.000000000002</v>
      </c>
      <c r="AD24" s="466">
        <f t="shared" si="14"/>
        <v>14442.000000000002</v>
      </c>
      <c r="AE24" s="466">
        <f t="shared" si="14"/>
        <v>14442.000000000002</v>
      </c>
      <c r="AF24" s="466">
        <f t="shared" si="14"/>
        <v>14442.000000000002</v>
      </c>
      <c r="AG24" s="466">
        <f t="shared" si="14"/>
        <v>14442.000000000002</v>
      </c>
      <c r="AH24" s="466">
        <f t="shared" si="14"/>
        <v>14442.000000000002</v>
      </c>
      <c r="AI24" s="466">
        <f t="shared" si="14"/>
        <v>14442.000000000002</v>
      </c>
      <c r="AJ24" s="466">
        <f t="shared" si="14"/>
        <v>14442.000000000002</v>
      </c>
      <c r="AK24" s="470">
        <f t="shared" si="14"/>
        <v>14442.000000000002</v>
      </c>
    </row>
    <row r="25" spans="1:37" ht="20.149999999999999" customHeight="1" outlineLevel="1" thickBot="1" x14ac:dyDescent="0.3">
      <c r="A25" s="14"/>
      <c r="C25" s="471"/>
      <c r="D25" s="471"/>
      <c r="E25" s="471"/>
      <c r="F25" s="471"/>
      <c r="G25" s="471"/>
      <c r="H25" s="471"/>
      <c r="I25" s="471"/>
      <c r="J25" s="471"/>
      <c r="K25" s="471"/>
      <c r="L25" s="471"/>
      <c r="M25" s="467"/>
      <c r="N25" s="467"/>
      <c r="O25" s="467"/>
      <c r="P25" s="467"/>
      <c r="Q25" s="467"/>
      <c r="R25" s="467"/>
      <c r="S25" s="467"/>
      <c r="T25" s="467"/>
      <c r="U25" s="467"/>
      <c r="V25" s="467"/>
      <c r="W25" s="467"/>
      <c r="X25" s="467"/>
      <c r="Y25" s="467"/>
      <c r="Z25" s="467"/>
      <c r="AA25" s="467"/>
      <c r="AB25" s="467"/>
      <c r="AC25" s="467"/>
      <c r="AD25" s="467"/>
      <c r="AE25" s="467"/>
      <c r="AF25" s="467"/>
      <c r="AG25" s="467"/>
      <c r="AH25" s="467"/>
      <c r="AI25" s="467"/>
      <c r="AJ25" s="467"/>
      <c r="AK25" s="467"/>
    </row>
    <row r="26" spans="1:37" ht="20.149999999999999" customHeight="1" outlineLevel="1" thickBot="1" x14ac:dyDescent="0.3">
      <c r="A26" s="491">
        <v>4</v>
      </c>
      <c r="B26" s="325" t="s">
        <v>156</v>
      </c>
      <c r="C26" s="472">
        <f t="shared" ref="C26:AK26" si="15">C24-C20-C13</f>
        <v>-4290.9848135796192</v>
      </c>
      <c r="D26" s="472">
        <f t="shared" si="15"/>
        <v>7204.6020109839565</v>
      </c>
      <c r="E26" s="472">
        <f t="shared" si="15"/>
        <v>7204.6020109839565</v>
      </c>
      <c r="F26" s="472">
        <f t="shared" si="15"/>
        <v>7204.6020109839565</v>
      </c>
      <c r="G26" s="472">
        <f t="shared" si="15"/>
        <v>7204.6020109839565</v>
      </c>
      <c r="H26" s="472">
        <f t="shared" si="15"/>
        <v>7204.6020109839565</v>
      </c>
      <c r="I26" s="472">
        <f t="shared" si="15"/>
        <v>7204.6020109839565</v>
      </c>
      <c r="J26" s="472">
        <f t="shared" si="15"/>
        <v>7204.6020109839565</v>
      </c>
      <c r="K26" s="472">
        <f t="shared" si="15"/>
        <v>7204.6020109839565</v>
      </c>
      <c r="L26" s="472">
        <f t="shared" si="15"/>
        <v>7204.6020109839565</v>
      </c>
      <c r="M26" s="472">
        <f t="shared" si="15"/>
        <v>7204.6020109839565</v>
      </c>
      <c r="N26" s="472">
        <f t="shared" si="15"/>
        <v>7204.6020109839565</v>
      </c>
      <c r="O26" s="472">
        <f t="shared" si="15"/>
        <v>7204.6020109839565</v>
      </c>
      <c r="P26" s="472">
        <f t="shared" si="15"/>
        <v>7204.6020109839565</v>
      </c>
      <c r="Q26" s="472">
        <f t="shared" si="15"/>
        <v>7204.6020109839565</v>
      </c>
      <c r="R26" s="472">
        <f t="shared" si="15"/>
        <v>7204.6020109839565</v>
      </c>
      <c r="S26" s="472">
        <f t="shared" si="15"/>
        <v>7204.6020109839565</v>
      </c>
      <c r="T26" s="472">
        <f t="shared" si="15"/>
        <v>7204.6020109839565</v>
      </c>
      <c r="U26" s="472">
        <f t="shared" si="15"/>
        <v>7204.6020109839565</v>
      </c>
      <c r="V26" s="472">
        <f t="shared" si="15"/>
        <v>7204.6020109839565</v>
      </c>
      <c r="W26" s="472">
        <f t="shared" si="15"/>
        <v>7204.6020109839565</v>
      </c>
      <c r="X26" s="472">
        <f t="shared" si="15"/>
        <v>7204.6020109839565</v>
      </c>
      <c r="Y26" s="472">
        <f t="shared" si="15"/>
        <v>7204.6020109839565</v>
      </c>
      <c r="Z26" s="472">
        <f t="shared" si="15"/>
        <v>7204.6020109839565</v>
      </c>
      <c r="AA26" s="472">
        <f t="shared" si="15"/>
        <v>7204.6020109839565</v>
      </c>
      <c r="AB26" s="472">
        <f t="shared" si="15"/>
        <v>7204.6020109839565</v>
      </c>
      <c r="AC26" s="472">
        <f t="shared" si="15"/>
        <v>7204.6020109839565</v>
      </c>
      <c r="AD26" s="472">
        <f t="shared" si="15"/>
        <v>7204.6020109839565</v>
      </c>
      <c r="AE26" s="472">
        <f t="shared" si="15"/>
        <v>7204.6020109839565</v>
      </c>
      <c r="AF26" s="472">
        <f t="shared" si="15"/>
        <v>7204.6020109839565</v>
      </c>
      <c r="AG26" s="472">
        <f t="shared" si="15"/>
        <v>7204.6020109839565</v>
      </c>
      <c r="AH26" s="472">
        <f t="shared" si="15"/>
        <v>7204.6020109839565</v>
      </c>
      <c r="AI26" s="472">
        <f t="shared" si="15"/>
        <v>7204.6020109839565</v>
      </c>
      <c r="AJ26" s="472">
        <f t="shared" si="15"/>
        <v>7204.6020109839565</v>
      </c>
      <c r="AK26" s="473">
        <f t="shared" si="15"/>
        <v>7204.6020109839565</v>
      </c>
    </row>
    <row r="27" spans="1:37" ht="20.149999999999999" customHeight="1" outlineLevel="1" thickBot="1" x14ac:dyDescent="0.3">
      <c r="A27" s="14"/>
      <c r="C27" s="471"/>
      <c r="D27" s="471"/>
      <c r="E27" s="471"/>
      <c r="F27" s="471"/>
      <c r="G27" s="471"/>
      <c r="H27" s="471"/>
      <c r="I27" s="471"/>
      <c r="J27" s="471"/>
      <c r="K27" s="471"/>
      <c r="L27" s="471"/>
      <c r="M27" s="467"/>
      <c r="N27" s="467"/>
      <c r="O27" s="467"/>
      <c r="P27" s="467"/>
      <c r="Q27" s="467"/>
      <c r="R27" s="467"/>
      <c r="S27" s="467"/>
      <c r="T27" s="467"/>
      <c r="U27" s="467"/>
      <c r="V27" s="467"/>
      <c r="W27" s="467"/>
      <c r="X27" s="467"/>
      <c r="Y27" s="467"/>
      <c r="Z27" s="467"/>
      <c r="AA27" s="467"/>
      <c r="AB27" s="467"/>
      <c r="AC27" s="467"/>
      <c r="AD27" s="467"/>
      <c r="AE27" s="467"/>
      <c r="AF27" s="467"/>
      <c r="AG27" s="467"/>
      <c r="AH27" s="467"/>
      <c r="AI27" s="467"/>
      <c r="AJ27" s="467"/>
      <c r="AK27" s="467"/>
    </row>
    <row r="28" spans="1:37" ht="20.149999999999999" customHeight="1" outlineLevel="1" thickBot="1" x14ac:dyDescent="0.3">
      <c r="A28" s="491">
        <v>5</v>
      </c>
      <c r="B28" s="325" t="s">
        <v>160</v>
      </c>
      <c r="C28" s="474">
        <f>C26</f>
        <v>-4290.9848135796192</v>
      </c>
      <c r="D28" s="474">
        <f>C28+D26</f>
        <v>2913.6171974043373</v>
      </c>
      <c r="E28" s="474">
        <f t="shared" ref="E28:V28" si="16">D28+E26</f>
        <v>10118.219208388295</v>
      </c>
      <c r="F28" s="474">
        <f t="shared" si="16"/>
        <v>17322.82121937225</v>
      </c>
      <c r="G28" s="474">
        <f t="shared" si="16"/>
        <v>24527.423230356206</v>
      </c>
      <c r="H28" s="474">
        <f t="shared" si="16"/>
        <v>31732.025241340161</v>
      </c>
      <c r="I28" s="474">
        <f t="shared" si="16"/>
        <v>38936.62725232412</v>
      </c>
      <c r="J28" s="474">
        <f t="shared" si="16"/>
        <v>46141.22926330808</v>
      </c>
      <c r="K28" s="474">
        <f t="shared" si="16"/>
        <v>53345.831274292039</v>
      </c>
      <c r="L28" s="474">
        <f t="shared" si="16"/>
        <v>60550.433285275998</v>
      </c>
      <c r="M28" s="474">
        <f t="shared" si="16"/>
        <v>67755.035296259957</v>
      </c>
      <c r="N28" s="474">
        <f t="shared" si="16"/>
        <v>74959.637307243916</v>
      </c>
      <c r="O28" s="474">
        <f t="shared" si="16"/>
        <v>82164.239318227876</v>
      </c>
      <c r="P28" s="474">
        <f t="shared" si="16"/>
        <v>89368.841329211835</v>
      </c>
      <c r="Q28" s="474">
        <f t="shared" si="16"/>
        <v>96573.443340195794</v>
      </c>
      <c r="R28" s="474">
        <f t="shared" si="16"/>
        <v>103778.04535117975</v>
      </c>
      <c r="S28" s="474">
        <f t="shared" si="16"/>
        <v>110982.64736216371</v>
      </c>
      <c r="T28" s="474">
        <f t="shared" si="16"/>
        <v>118187.24937314767</v>
      </c>
      <c r="U28" s="474">
        <f t="shared" si="16"/>
        <v>125391.85138413163</v>
      </c>
      <c r="V28" s="474">
        <f t="shared" si="16"/>
        <v>132596.45339511559</v>
      </c>
      <c r="W28" s="474">
        <f t="shared" ref="W28:AJ28" si="17">V28+W26</f>
        <v>139801.05540609953</v>
      </c>
      <c r="X28" s="474">
        <f t="shared" si="17"/>
        <v>147005.65741708348</v>
      </c>
      <c r="Y28" s="474">
        <f t="shared" si="17"/>
        <v>154210.25942806742</v>
      </c>
      <c r="Z28" s="474">
        <f t="shared" si="17"/>
        <v>161414.86143905137</v>
      </c>
      <c r="AA28" s="474">
        <f t="shared" si="17"/>
        <v>168619.46345003531</v>
      </c>
      <c r="AB28" s="474">
        <f t="shared" si="17"/>
        <v>175824.06546101926</v>
      </c>
      <c r="AC28" s="474">
        <f t="shared" si="17"/>
        <v>183028.6674720032</v>
      </c>
      <c r="AD28" s="474">
        <f t="shared" si="17"/>
        <v>190233.26948298715</v>
      </c>
      <c r="AE28" s="474">
        <f t="shared" si="17"/>
        <v>197437.87149397109</v>
      </c>
      <c r="AF28" s="474">
        <f t="shared" si="17"/>
        <v>204642.47350495504</v>
      </c>
      <c r="AG28" s="474">
        <f t="shared" si="17"/>
        <v>211847.07551593898</v>
      </c>
      <c r="AH28" s="474">
        <f t="shared" si="17"/>
        <v>219051.67752692293</v>
      </c>
      <c r="AI28" s="474">
        <f t="shared" si="17"/>
        <v>226256.27953790687</v>
      </c>
      <c r="AJ28" s="474">
        <f t="shared" si="17"/>
        <v>233460.88154889081</v>
      </c>
      <c r="AK28" s="475">
        <f>AJ28+AK26</f>
        <v>240665.48355987476</v>
      </c>
    </row>
    <row r="29" spans="1:37" ht="20.149999999999999" customHeight="1" outlineLevel="1" x14ac:dyDescent="0.25">
      <c r="A29" s="1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37" ht="20.149999999999999" customHeight="1" outlineLevel="1" x14ac:dyDescent="0.25">
      <c r="A30" s="14"/>
      <c r="C30" s="439" t="s">
        <v>512</v>
      </c>
      <c r="D30" s="116">
        <f>AK28/AK7</f>
        <v>6876.1566731392786</v>
      </c>
      <c r="E30" s="439" t="s">
        <v>317</v>
      </c>
      <c r="F30" s="16"/>
      <c r="G30" s="16"/>
      <c r="H30" s="16"/>
      <c r="I30" s="16"/>
      <c r="J30" s="16"/>
      <c r="K30" s="16"/>
      <c r="L30" s="16"/>
      <c r="M30" s="16"/>
    </row>
    <row r="31" spans="1:37" ht="13" outlineLevel="1" thickBot="1" x14ac:dyDescent="0.3">
      <c r="A31" s="1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37" s="563" customFormat="1" ht="30" customHeight="1" thickBot="1" x14ac:dyDescent="0.3">
      <c r="A32" s="555" t="s">
        <v>248</v>
      </c>
      <c r="B32" s="621"/>
      <c r="C32" s="621"/>
      <c r="D32" s="621"/>
      <c r="E32" s="621"/>
      <c r="F32" s="621"/>
      <c r="G32" s="621"/>
      <c r="H32" s="621"/>
      <c r="I32" s="621"/>
      <c r="J32" s="621"/>
      <c r="K32" s="621"/>
      <c r="L32" s="621"/>
      <c r="M32" s="621"/>
      <c r="N32" s="621"/>
      <c r="O32" s="621"/>
      <c r="P32" s="621"/>
      <c r="Q32" s="621"/>
      <c r="R32" s="621"/>
      <c r="S32" s="621"/>
      <c r="T32" s="621"/>
      <c r="U32" s="621"/>
      <c r="V32" s="621"/>
      <c r="W32" s="621"/>
      <c r="X32" s="621"/>
      <c r="Y32" s="621"/>
      <c r="Z32" s="621"/>
      <c r="AA32" s="621"/>
      <c r="AB32" s="621"/>
      <c r="AC32" s="621"/>
      <c r="AD32" s="621"/>
      <c r="AE32" s="621"/>
      <c r="AF32" s="621"/>
      <c r="AG32" s="621"/>
      <c r="AH32" s="621"/>
      <c r="AI32" s="621"/>
      <c r="AJ32" s="621"/>
      <c r="AK32" s="621"/>
    </row>
    <row r="33" spans="1:74" s="550" customFormat="1" ht="20.149999999999999" customHeight="1" outlineLevel="1" thickBot="1" x14ac:dyDescent="0.3">
      <c r="A33" s="547" t="s">
        <v>513</v>
      </c>
      <c r="B33" s="548"/>
      <c r="C33" s="548"/>
      <c r="D33" s="548"/>
      <c r="E33" s="548"/>
      <c r="F33" s="548"/>
      <c r="G33" s="548"/>
      <c r="H33" s="548"/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Y33" s="548"/>
      <c r="Z33" s="548"/>
      <c r="AA33" s="548"/>
      <c r="AB33" s="548"/>
      <c r="AC33" s="548"/>
      <c r="AD33" s="548"/>
      <c r="AE33" s="548"/>
      <c r="AF33" s="548"/>
      <c r="AG33" s="548"/>
      <c r="AH33" s="548"/>
      <c r="AI33" s="548"/>
      <c r="AJ33" s="548"/>
      <c r="AK33" s="548"/>
      <c r="AL33" s="548"/>
      <c r="AM33" s="548"/>
      <c r="AN33" s="549"/>
    </row>
    <row r="34" spans="1:74" s="14" customFormat="1" ht="20.149999999999999" customHeight="1" outlineLevel="1" thickBot="1" x14ac:dyDescent="0.3">
      <c r="A34" s="1102" t="s">
        <v>152</v>
      </c>
      <c r="B34" s="1102" t="s">
        <v>150</v>
      </c>
      <c r="C34" s="1103" t="s">
        <v>151</v>
      </c>
      <c r="D34" s="1104"/>
      <c r="E34" s="1104"/>
      <c r="F34" s="1104"/>
      <c r="G34" s="1104"/>
      <c r="H34" s="1104"/>
      <c r="I34" s="1104"/>
      <c r="J34" s="1104"/>
      <c r="K34" s="1104"/>
      <c r="L34" s="1104"/>
      <c r="M34" s="1104"/>
      <c r="N34" s="1104"/>
      <c r="O34" s="1104"/>
      <c r="P34" s="1104"/>
      <c r="Q34" s="1104"/>
      <c r="R34" s="1104"/>
      <c r="S34" s="1104"/>
      <c r="T34" s="1104"/>
      <c r="U34" s="1104"/>
      <c r="V34" s="1104"/>
      <c r="W34" s="1104"/>
      <c r="X34" s="1104"/>
      <c r="Y34" s="1104"/>
      <c r="Z34" s="1104"/>
      <c r="AA34" s="1104"/>
      <c r="AB34" s="1104"/>
      <c r="AC34" s="1104"/>
      <c r="AD34" s="1104"/>
      <c r="AE34" s="1104"/>
      <c r="AF34" s="1104"/>
      <c r="AG34" s="1104"/>
      <c r="AH34" s="1104"/>
      <c r="AI34" s="1104"/>
      <c r="AJ34" s="1104"/>
      <c r="AK34" s="1105"/>
      <c r="AL34" s="210"/>
      <c r="AM34" s="354"/>
      <c r="AN34" s="1102"/>
      <c r="AO34" s="1102"/>
      <c r="AP34" s="1102"/>
      <c r="AQ34" s="1102"/>
      <c r="AR34" s="1102"/>
      <c r="AS34" s="1102"/>
      <c r="AT34" s="1102"/>
      <c r="AU34" s="1102"/>
      <c r="AV34" s="1102"/>
      <c r="AW34" s="1102"/>
      <c r="AX34" s="1102"/>
      <c r="AY34" s="1102"/>
      <c r="AZ34" s="1102"/>
      <c r="BA34" s="1102"/>
      <c r="BB34" s="1102"/>
      <c r="BC34" s="1102"/>
      <c r="BD34" s="1102"/>
      <c r="BE34" s="1102"/>
      <c r="BF34" s="1102"/>
      <c r="BG34" s="1102"/>
      <c r="BH34" s="1102"/>
      <c r="BI34" s="1102"/>
      <c r="BJ34" s="1102"/>
      <c r="BK34" s="1102"/>
      <c r="BL34" s="1102"/>
      <c r="BM34" s="1102"/>
      <c r="BN34" s="1102"/>
      <c r="BO34" s="1102"/>
      <c r="BP34" s="1102"/>
      <c r="BQ34" s="1102"/>
      <c r="BR34" s="1102"/>
      <c r="BS34" s="1102"/>
      <c r="BT34" s="1102"/>
      <c r="BU34" s="1102"/>
      <c r="BV34" s="1102"/>
    </row>
    <row r="35" spans="1:74" s="14" customFormat="1" ht="20.149999999999999" customHeight="1" outlineLevel="1" thickBot="1" x14ac:dyDescent="0.3">
      <c r="A35" s="1102"/>
      <c r="B35" s="1102"/>
      <c r="C35" s="210">
        <v>1</v>
      </c>
      <c r="D35" s="275">
        <f t="shared" ref="D35:AJ35" si="18">C35+1</f>
        <v>2</v>
      </c>
      <c r="E35" s="211">
        <f t="shared" si="18"/>
        <v>3</v>
      </c>
      <c r="F35" s="211">
        <f t="shared" si="18"/>
        <v>4</v>
      </c>
      <c r="G35" s="211">
        <f t="shared" si="18"/>
        <v>5</v>
      </c>
      <c r="H35" s="211">
        <f t="shared" si="18"/>
        <v>6</v>
      </c>
      <c r="I35" s="211">
        <f t="shared" si="18"/>
        <v>7</v>
      </c>
      <c r="J35" s="211">
        <f t="shared" si="18"/>
        <v>8</v>
      </c>
      <c r="K35" s="211">
        <f t="shared" si="18"/>
        <v>9</v>
      </c>
      <c r="L35" s="211">
        <f t="shared" si="18"/>
        <v>10</v>
      </c>
      <c r="M35" s="211">
        <f t="shared" si="18"/>
        <v>11</v>
      </c>
      <c r="N35" s="211">
        <f t="shared" si="18"/>
        <v>12</v>
      </c>
      <c r="O35" s="211">
        <f t="shared" si="18"/>
        <v>13</v>
      </c>
      <c r="P35" s="211">
        <f t="shared" si="18"/>
        <v>14</v>
      </c>
      <c r="Q35" s="211">
        <f t="shared" si="18"/>
        <v>15</v>
      </c>
      <c r="R35" s="211">
        <f t="shared" si="18"/>
        <v>16</v>
      </c>
      <c r="S35" s="211">
        <f t="shared" si="18"/>
        <v>17</v>
      </c>
      <c r="T35" s="211">
        <f t="shared" si="18"/>
        <v>18</v>
      </c>
      <c r="U35" s="211">
        <f t="shared" si="18"/>
        <v>19</v>
      </c>
      <c r="V35" s="211">
        <f t="shared" si="18"/>
        <v>20</v>
      </c>
      <c r="W35" s="211">
        <f t="shared" si="18"/>
        <v>21</v>
      </c>
      <c r="X35" s="211">
        <f t="shared" si="18"/>
        <v>22</v>
      </c>
      <c r="Y35" s="211">
        <f t="shared" si="18"/>
        <v>23</v>
      </c>
      <c r="Z35" s="211">
        <f t="shared" si="18"/>
        <v>24</v>
      </c>
      <c r="AA35" s="211">
        <f t="shared" si="18"/>
        <v>25</v>
      </c>
      <c r="AB35" s="211">
        <f t="shared" si="18"/>
        <v>26</v>
      </c>
      <c r="AC35" s="211">
        <f t="shared" si="18"/>
        <v>27</v>
      </c>
      <c r="AD35" s="211">
        <f t="shared" si="18"/>
        <v>28</v>
      </c>
      <c r="AE35" s="211">
        <f t="shared" si="18"/>
        <v>29</v>
      </c>
      <c r="AF35" s="211">
        <f t="shared" si="18"/>
        <v>30</v>
      </c>
      <c r="AG35" s="211">
        <f t="shared" si="18"/>
        <v>31</v>
      </c>
      <c r="AH35" s="211">
        <f t="shared" si="18"/>
        <v>32</v>
      </c>
      <c r="AI35" s="211">
        <f t="shared" si="18"/>
        <v>33</v>
      </c>
      <c r="AJ35" s="211">
        <f t="shared" si="18"/>
        <v>34</v>
      </c>
      <c r="AK35" s="211">
        <v>35</v>
      </c>
      <c r="AL35" s="212"/>
      <c r="AM35" s="355"/>
      <c r="AN35" s="275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  <c r="BM35" s="211"/>
      <c r="BN35" s="211"/>
      <c r="BO35" s="211"/>
      <c r="BP35" s="211"/>
      <c r="BQ35" s="211"/>
      <c r="BR35" s="211"/>
      <c r="BS35" s="211"/>
      <c r="BT35" s="211"/>
      <c r="BU35" s="211"/>
      <c r="BV35" s="212"/>
    </row>
    <row r="36" spans="1:74" ht="20.149999999999999" customHeight="1" outlineLevel="1" x14ac:dyDescent="0.25">
      <c r="A36" s="71">
        <v>1</v>
      </c>
      <c r="B36" s="76" t="s">
        <v>134</v>
      </c>
      <c r="AK36" s="77"/>
    </row>
    <row r="37" spans="1:74" ht="20.149999999999999" customHeight="1" outlineLevel="1" x14ac:dyDescent="0.25">
      <c r="A37" s="48" t="s">
        <v>74</v>
      </c>
      <c r="B37" s="78" t="s">
        <v>129</v>
      </c>
      <c r="C37" s="59">
        <f>'Custos Diversos'!E165</f>
        <v>646.83682456357587</v>
      </c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62"/>
    </row>
    <row r="38" spans="1:74" ht="20.149999999999999" customHeight="1" outlineLevel="1" x14ac:dyDescent="0.25">
      <c r="A38" s="48" t="s">
        <v>75</v>
      </c>
      <c r="B38" s="82" t="s">
        <v>335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62"/>
    </row>
    <row r="39" spans="1:74" ht="20.149999999999999" customHeight="1" outlineLevel="1" x14ac:dyDescent="0.25">
      <c r="A39" s="48" t="s">
        <v>76</v>
      </c>
      <c r="B39" s="82" t="s">
        <v>336</v>
      </c>
      <c r="C39" s="59">
        <f>'Rentabilidade-Cult.Temp.'!G42</f>
        <v>9250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62"/>
    </row>
    <row r="40" spans="1:74" ht="20.149999999999999" customHeight="1" outlineLevel="1" x14ac:dyDescent="0.25">
      <c r="A40" s="48" t="s">
        <v>126</v>
      </c>
      <c r="B40" s="82" t="s">
        <v>130</v>
      </c>
      <c r="C40" s="59">
        <f>'Rentabilidade-Cult.Temp.'!G45-'Rentabilidade-Cult.Temp.'!G42</f>
        <v>1598.75</v>
      </c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62"/>
    </row>
    <row r="41" spans="1:74" ht="20.149999999999999" customHeight="1" outlineLevel="1" thickBot="1" x14ac:dyDescent="0.3">
      <c r="A41" s="96"/>
      <c r="B41" s="87" t="s">
        <v>148</v>
      </c>
      <c r="C41" s="466">
        <f>SUM(C37:C40)</f>
        <v>11495.586824563576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3"/>
    </row>
    <row r="42" spans="1:74" ht="20.149999999999999" customHeight="1" outlineLevel="1" thickBot="1" x14ac:dyDescent="0.3">
      <c r="A42" s="14"/>
      <c r="C42" s="467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67"/>
      <c r="Z42" s="467"/>
      <c r="AA42" s="467"/>
      <c r="AB42" s="467"/>
      <c r="AC42" s="467"/>
      <c r="AD42" s="467"/>
      <c r="AE42" s="467"/>
      <c r="AF42" s="467"/>
      <c r="AG42" s="467"/>
      <c r="AH42" s="467"/>
      <c r="AI42" s="467"/>
      <c r="AJ42" s="467"/>
      <c r="AK42" s="467"/>
    </row>
    <row r="43" spans="1:74" ht="20.149999999999999" customHeight="1" outlineLevel="1" x14ac:dyDescent="0.25">
      <c r="A43" s="428">
        <v>2</v>
      </c>
      <c r="B43" s="97" t="s">
        <v>136</v>
      </c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9"/>
    </row>
    <row r="44" spans="1:74" ht="20.149999999999999" customHeight="1" outlineLevel="1" x14ac:dyDescent="0.25">
      <c r="A44" s="276" t="s">
        <v>137</v>
      </c>
      <c r="B44" s="22" t="s">
        <v>142</v>
      </c>
      <c r="C44" s="59">
        <f>'Rentabilidade-Cult.Temp.'!G19</f>
        <v>3587.5</v>
      </c>
      <c r="D44" s="59">
        <f t="shared" ref="D44:AK44" si="19">C44</f>
        <v>3587.5</v>
      </c>
      <c r="E44" s="59">
        <f t="shared" si="19"/>
        <v>3587.5</v>
      </c>
      <c r="F44" s="59">
        <f t="shared" si="19"/>
        <v>3587.5</v>
      </c>
      <c r="G44" s="59">
        <f t="shared" si="19"/>
        <v>3587.5</v>
      </c>
      <c r="H44" s="59">
        <f t="shared" si="19"/>
        <v>3587.5</v>
      </c>
      <c r="I44" s="59">
        <f t="shared" si="19"/>
        <v>3587.5</v>
      </c>
      <c r="J44" s="59">
        <f t="shared" si="19"/>
        <v>3587.5</v>
      </c>
      <c r="K44" s="59">
        <f t="shared" si="19"/>
        <v>3587.5</v>
      </c>
      <c r="L44" s="59">
        <f t="shared" si="19"/>
        <v>3587.5</v>
      </c>
      <c r="M44" s="59">
        <f t="shared" si="19"/>
        <v>3587.5</v>
      </c>
      <c r="N44" s="59">
        <f t="shared" si="19"/>
        <v>3587.5</v>
      </c>
      <c r="O44" s="59">
        <f t="shared" si="19"/>
        <v>3587.5</v>
      </c>
      <c r="P44" s="59">
        <f t="shared" si="19"/>
        <v>3587.5</v>
      </c>
      <c r="Q44" s="59">
        <f t="shared" si="19"/>
        <v>3587.5</v>
      </c>
      <c r="R44" s="59">
        <f t="shared" si="19"/>
        <v>3587.5</v>
      </c>
      <c r="S44" s="59">
        <f t="shared" si="19"/>
        <v>3587.5</v>
      </c>
      <c r="T44" s="59">
        <f t="shared" si="19"/>
        <v>3587.5</v>
      </c>
      <c r="U44" s="59">
        <f t="shared" si="19"/>
        <v>3587.5</v>
      </c>
      <c r="V44" s="59">
        <f t="shared" si="19"/>
        <v>3587.5</v>
      </c>
      <c r="W44" s="59">
        <f t="shared" si="19"/>
        <v>3587.5</v>
      </c>
      <c r="X44" s="59">
        <f t="shared" si="19"/>
        <v>3587.5</v>
      </c>
      <c r="Y44" s="59">
        <f t="shared" si="19"/>
        <v>3587.5</v>
      </c>
      <c r="Z44" s="59">
        <f t="shared" si="19"/>
        <v>3587.5</v>
      </c>
      <c r="AA44" s="59">
        <f t="shared" si="19"/>
        <v>3587.5</v>
      </c>
      <c r="AB44" s="59">
        <f t="shared" si="19"/>
        <v>3587.5</v>
      </c>
      <c r="AC44" s="59">
        <f t="shared" si="19"/>
        <v>3587.5</v>
      </c>
      <c r="AD44" s="59">
        <f t="shared" si="19"/>
        <v>3587.5</v>
      </c>
      <c r="AE44" s="59">
        <f t="shared" si="19"/>
        <v>3587.5</v>
      </c>
      <c r="AF44" s="59">
        <f t="shared" si="19"/>
        <v>3587.5</v>
      </c>
      <c r="AG44" s="59">
        <f t="shared" si="19"/>
        <v>3587.5</v>
      </c>
      <c r="AH44" s="59">
        <f t="shared" si="19"/>
        <v>3587.5</v>
      </c>
      <c r="AI44" s="59">
        <f t="shared" si="19"/>
        <v>3587.5</v>
      </c>
      <c r="AJ44" s="59">
        <f t="shared" si="19"/>
        <v>3587.5</v>
      </c>
      <c r="AK44" s="62">
        <f t="shared" si="19"/>
        <v>3587.5</v>
      </c>
    </row>
    <row r="45" spans="1:74" ht="20.149999999999999" customHeight="1" outlineLevel="1" x14ac:dyDescent="0.25">
      <c r="A45" s="276" t="s">
        <v>138</v>
      </c>
      <c r="B45" s="66" t="s">
        <v>146</v>
      </c>
      <c r="C45" s="59">
        <f>'Rentabilidade-Cult.Temp.'!G26</f>
        <v>683.7</v>
      </c>
      <c r="D45" s="59">
        <f t="shared" ref="D45:AK45" si="20">C45</f>
        <v>683.7</v>
      </c>
      <c r="E45" s="59">
        <f t="shared" si="20"/>
        <v>683.7</v>
      </c>
      <c r="F45" s="59">
        <f t="shared" si="20"/>
        <v>683.7</v>
      </c>
      <c r="G45" s="59">
        <f t="shared" si="20"/>
        <v>683.7</v>
      </c>
      <c r="H45" s="59">
        <f t="shared" si="20"/>
        <v>683.7</v>
      </c>
      <c r="I45" s="59">
        <f t="shared" si="20"/>
        <v>683.7</v>
      </c>
      <c r="J45" s="59">
        <f t="shared" si="20"/>
        <v>683.7</v>
      </c>
      <c r="K45" s="59">
        <f t="shared" si="20"/>
        <v>683.7</v>
      </c>
      <c r="L45" s="59">
        <f t="shared" si="20"/>
        <v>683.7</v>
      </c>
      <c r="M45" s="59">
        <f t="shared" si="20"/>
        <v>683.7</v>
      </c>
      <c r="N45" s="59">
        <f t="shared" si="20"/>
        <v>683.7</v>
      </c>
      <c r="O45" s="59">
        <f t="shared" si="20"/>
        <v>683.7</v>
      </c>
      <c r="P45" s="59">
        <f t="shared" si="20"/>
        <v>683.7</v>
      </c>
      <c r="Q45" s="59">
        <f t="shared" si="20"/>
        <v>683.7</v>
      </c>
      <c r="R45" s="59">
        <f t="shared" si="20"/>
        <v>683.7</v>
      </c>
      <c r="S45" s="59">
        <f t="shared" si="20"/>
        <v>683.7</v>
      </c>
      <c r="T45" s="59">
        <f t="shared" si="20"/>
        <v>683.7</v>
      </c>
      <c r="U45" s="59">
        <f t="shared" si="20"/>
        <v>683.7</v>
      </c>
      <c r="V45" s="59">
        <f t="shared" si="20"/>
        <v>683.7</v>
      </c>
      <c r="W45" s="59">
        <f t="shared" si="20"/>
        <v>683.7</v>
      </c>
      <c r="X45" s="59">
        <f t="shared" si="20"/>
        <v>683.7</v>
      </c>
      <c r="Y45" s="59">
        <f t="shared" si="20"/>
        <v>683.7</v>
      </c>
      <c r="Z45" s="59">
        <f t="shared" si="20"/>
        <v>683.7</v>
      </c>
      <c r="AA45" s="59">
        <f t="shared" si="20"/>
        <v>683.7</v>
      </c>
      <c r="AB45" s="59">
        <f t="shared" si="20"/>
        <v>683.7</v>
      </c>
      <c r="AC45" s="59">
        <f t="shared" si="20"/>
        <v>683.7</v>
      </c>
      <c r="AD45" s="59">
        <f t="shared" si="20"/>
        <v>683.7</v>
      </c>
      <c r="AE45" s="59">
        <f t="shared" si="20"/>
        <v>683.7</v>
      </c>
      <c r="AF45" s="59">
        <f t="shared" si="20"/>
        <v>683.7</v>
      </c>
      <c r="AG45" s="59">
        <f t="shared" si="20"/>
        <v>683.7</v>
      </c>
      <c r="AH45" s="59">
        <f t="shared" si="20"/>
        <v>683.7</v>
      </c>
      <c r="AI45" s="59">
        <f t="shared" si="20"/>
        <v>683.7</v>
      </c>
      <c r="AJ45" s="59">
        <f t="shared" si="20"/>
        <v>683.7</v>
      </c>
      <c r="AK45" s="62">
        <f t="shared" si="20"/>
        <v>683.7</v>
      </c>
    </row>
    <row r="46" spans="1:74" ht="20.149999999999999" customHeight="1" outlineLevel="1" x14ac:dyDescent="0.25">
      <c r="A46" s="276" t="s">
        <v>139</v>
      </c>
      <c r="B46" s="22" t="s">
        <v>143</v>
      </c>
      <c r="C46" s="59">
        <f>'Rentabilidade-Cult.Temp.'!G38</f>
        <v>1410</v>
      </c>
      <c r="D46" s="59">
        <f t="shared" ref="D46:AK46" si="21">C46</f>
        <v>1410</v>
      </c>
      <c r="E46" s="59">
        <f t="shared" si="21"/>
        <v>1410</v>
      </c>
      <c r="F46" s="59">
        <f t="shared" si="21"/>
        <v>1410</v>
      </c>
      <c r="G46" s="59">
        <f t="shared" si="21"/>
        <v>1410</v>
      </c>
      <c r="H46" s="59">
        <f t="shared" si="21"/>
        <v>1410</v>
      </c>
      <c r="I46" s="59">
        <f t="shared" si="21"/>
        <v>1410</v>
      </c>
      <c r="J46" s="59">
        <f t="shared" si="21"/>
        <v>1410</v>
      </c>
      <c r="K46" s="59">
        <f t="shared" si="21"/>
        <v>1410</v>
      </c>
      <c r="L46" s="59">
        <f t="shared" si="21"/>
        <v>1410</v>
      </c>
      <c r="M46" s="59">
        <f t="shared" si="21"/>
        <v>1410</v>
      </c>
      <c r="N46" s="59">
        <f t="shared" si="21"/>
        <v>1410</v>
      </c>
      <c r="O46" s="59">
        <f t="shared" si="21"/>
        <v>1410</v>
      </c>
      <c r="P46" s="59">
        <f t="shared" si="21"/>
        <v>1410</v>
      </c>
      <c r="Q46" s="59">
        <f t="shared" si="21"/>
        <v>1410</v>
      </c>
      <c r="R46" s="59">
        <f t="shared" si="21"/>
        <v>1410</v>
      </c>
      <c r="S46" s="59">
        <f t="shared" si="21"/>
        <v>1410</v>
      </c>
      <c r="T46" s="59">
        <f t="shared" si="21"/>
        <v>1410</v>
      </c>
      <c r="U46" s="59">
        <f t="shared" si="21"/>
        <v>1410</v>
      </c>
      <c r="V46" s="59">
        <f t="shared" si="21"/>
        <v>1410</v>
      </c>
      <c r="W46" s="59">
        <f t="shared" si="21"/>
        <v>1410</v>
      </c>
      <c r="X46" s="59">
        <f t="shared" si="21"/>
        <v>1410</v>
      </c>
      <c r="Y46" s="59">
        <f t="shared" si="21"/>
        <v>1410</v>
      </c>
      <c r="Z46" s="59">
        <f t="shared" si="21"/>
        <v>1410</v>
      </c>
      <c r="AA46" s="59">
        <f t="shared" si="21"/>
        <v>1410</v>
      </c>
      <c r="AB46" s="59">
        <f t="shared" si="21"/>
        <v>1410</v>
      </c>
      <c r="AC46" s="59">
        <f t="shared" si="21"/>
        <v>1410</v>
      </c>
      <c r="AD46" s="59">
        <f t="shared" si="21"/>
        <v>1410</v>
      </c>
      <c r="AE46" s="59">
        <f t="shared" si="21"/>
        <v>1410</v>
      </c>
      <c r="AF46" s="59">
        <f t="shared" si="21"/>
        <v>1410</v>
      </c>
      <c r="AG46" s="59">
        <f t="shared" si="21"/>
        <v>1410</v>
      </c>
      <c r="AH46" s="59">
        <f t="shared" si="21"/>
        <v>1410</v>
      </c>
      <c r="AI46" s="59">
        <f t="shared" si="21"/>
        <v>1410</v>
      </c>
      <c r="AJ46" s="59">
        <f t="shared" si="21"/>
        <v>1410</v>
      </c>
      <c r="AK46" s="62">
        <f t="shared" si="21"/>
        <v>1410</v>
      </c>
    </row>
    <row r="47" spans="1:74" ht="20.149999999999999" customHeight="1" outlineLevel="1" x14ac:dyDescent="0.25">
      <c r="A47" s="276" t="s">
        <v>140</v>
      </c>
      <c r="B47" s="66" t="s">
        <v>141</v>
      </c>
      <c r="C47" s="59">
        <f>SUM('Rentabilidade-Cult.Temp.'!G50:G58)</f>
        <v>1339.6989449822265</v>
      </c>
      <c r="D47" s="59">
        <f t="shared" ref="D47:AK47" si="22">C47</f>
        <v>1339.6989449822265</v>
      </c>
      <c r="E47" s="59">
        <f t="shared" si="22"/>
        <v>1339.6989449822265</v>
      </c>
      <c r="F47" s="59">
        <f t="shared" si="22"/>
        <v>1339.6989449822265</v>
      </c>
      <c r="G47" s="59">
        <f t="shared" si="22"/>
        <v>1339.6989449822265</v>
      </c>
      <c r="H47" s="59">
        <f t="shared" si="22"/>
        <v>1339.6989449822265</v>
      </c>
      <c r="I47" s="59">
        <f t="shared" si="22"/>
        <v>1339.6989449822265</v>
      </c>
      <c r="J47" s="59">
        <f t="shared" si="22"/>
        <v>1339.6989449822265</v>
      </c>
      <c r="K47" s="59">
        <f t="shared" si="22"/>
        <v>1339.6989449822265</v>
      </c>
      <c r="L47" s="59">
        <f t="shared" si="22"/>
        <v>1339.6989449822265</v>
      </c>
      <c r="M47" s="59">
        <f t="shared" si="22"/>
        <v>1339.6989449822265</v>
      </c>
      <c r="N47" s="59">
        <f t="shared" si="22"/>
        <v>1339.6989449822265</v>
      </c>
      <c r="O47" s="59">
        <f t="shared" si="22"/>
        <v>1339.6989449822265</v>
      </c>
      <c r="P47" s="59">
        <f t="shared" si="22"/>
        <v>1339.6989449822265</v>
      </c>
      <c r="Q47" s="59">
        <f t="shared" si="22"/>
        <v>1339.6989449822265</v>
      </c>
      <c r="R47" s="59">
        <f t="shared" si="22"/>
        <v>1339.6989449822265</v>
      </c>
      <c r="S47" s="59">
        <f t="shared" si="22"/>
        <v>1339.6989449822265</v>
      </c>
      <c r="T47" s="59">
        <f t="shared" si="22"/>
        <v>1339.6989449822265</v>
      </c>
      <c r="U47" s="59">
        <f t="shared" si="22"/>
        <v>1339.6989449822265</v>
      </c>
      <c r="V47" s="59">
        <f t="shared" si="22"/>
        <v>1339.6989449822265</v>
      </c>
      <c r="W47" s="59">
        <f t="shared" si="22"/>
        <v>1339.6989449822265</v>
      </c>
      <c r="X47" s="59">
        <f t="shared" si="22"/>
        <v>1339.6989449822265</v>
      </c>
      <c r="Y47" s="59">
        <f t="shared" si="22"/>
        <v>1339.6989449822265</v>
      </c>
      <c r="Z47" s="59">
        <f t="shared" si="22"/>
        <v>1339.6989449822265</v>
      </c>
      <c r="AA47" s="59">
        <f t="shared" si="22"/>
        <v>1339.6989449822265</v>
      </c>
      <c r="AB47" s="59">
        <f t="shared" si="22"/>
        <v>1339.6989449822265</v>
      </c>
      <c r="AC47" s="59">
        <f t="shared" si="22"/>
        <v>1339.6989449822265</v>
      </c>
      <c r="AD47" s="59">
        <f t="shared" si="22"/>
        <v>1339.6989449822265</v>
      </c>
      <c r="AE47" s="59">
        <f t="shared" si="22"/>
        <v>1339.6989449822265</v>
      </c>
      <c r="AF47" s="59">
        <f t="shared" si="22"/>
        <v>1339.6989449822265</v>
      </c>
      <c r="AG47" s="59">
        <f t="shared" si="22"/>
        <v>1339.6989449822265</v>
      </c>
      <c r="AH47" s="59">
        <f t="shared" si="22"/>
        <v>1339.6989449822265</v>
      </c>
      <c r="AI47" s="59">
        <f t="shared" si="22"/>
        <v>1339.6989449822265</v>
      </c>
      <c r="AJ47" s="59">
        <f t="shared" si="22"/>
        <v>1339.6989449822265</v>
      </c>
      <c r="AK47" s="62">
        <f t="shared" si="22"/>
        <v>1339.6989449822265</v>
      </c>
    </row>
    <row r="48" spans="1:74" ht="20.149999999999999" customHeight="1" outlineLevel="1" thickBot="1" x14ac:dyDescent="0.3">
      <c r="A48" s="96"/>
      <c r="B48" s="102" t="s">
        <v>149</v>
      </c>
      <c r="C48" s="466">
        <f>SUM(C44:C47)</f>
        <v>7020.8989449822266</v>
      </c>
      <c r="D48" s="466">
        <f t="shared" ref="D48:AK48" si="23">SUM(D44:D47)</f>
        <v>7020.8989449822266</v>
      </c>
      <c r="E48" s="466">
        <f t="shared" si="23"/>
        <v>7020.8989449822266</v>
      </c>
      <c r="F48" s="466">
        <f t="shared" si="23"/>
        <v>7020.8989449822266</v>
      </c>
      <c r="G48" s="466">
        <f t="shared" si="23"/>
        <v>7020.8989449822266</v>
      </c>
      <c r="H48" s="466">
        <f t="shared" si="23"/>
        <v>7020.8989449822266</v>
      </c>
      <c r="I48" s="466">
        <f t="shared" si="23"/>
        <v>7020.8989449822266</v>
      </c>
      <c r="J48" s="466">
        <f t="shared" si="23"/>
        <v>7020.8989449822266</v>
      </c>
      <c r="K48" s="466">
        <f t="shared" si="23"/>
        <v>7020.8989449822266</v>
      </c>
      <c r="L48" s="466">
        <f t="shared" si="23"/>
        <v>7020.8989449822266</v>
      </c>
      <c r="M48" s="466">
        <f t="shared" si="23"/>
        <v>7020.8989449822266</v>
      </c>
      <c r="N48" s="466">
        <f t="shared" si="23"/>
        <v>7020.8989449822266</v>
      </c>
      <c r="O48" s="466">
        <f t="shared" si="23"/>
        <v>7020.8989449822266</v>
      </c>
      <c r="P48" s="466">
        <f t="shared" si="23"/>
        <v>7020.8989449822266</v>
      </c>
      <c r="Q48" s="466">
        <f t="shared" si="23"/>
        <v>7020.8989449822266</v>
      </c>
      <c r="R48" s="466">
        <f t="shared" si="23"/>
        <v>7020.8989449822266</v>
      </c>
      <c r="S48" s="466">
        <f t="shared" si="23"/>
        <v>7020.8989449822266</v>
      </c>
      <c r="T48" s="466">
        <f t="shared" si="23"/>
        <v>7020.8989449822266</v>
      </c>
      <c r="U48" s="466">
        <f t="shared" si="23"/>
        <v>7020.8989449822266</v>
      </c>
      <c r="V48" s="466">
        <f t="shared" si="23"/>
        <v>7020.8989449822266</v>
      </c>
      <c r="W48" s="466">
        <f t="shared" si="23"/>
        <v>7020.8989449822266</v>
      </c>
      <c r="X48" s="466">
        <f t="shared" si="23"/>
        <v>7020.8989449822266</v>
      </c>
      <c r="Y48" s="466">
        <f t="shared" si="23"/>
        <v>7020.8989449822266</v>
      </c>
      <c r="Z48" s="466">
        <f t="shared" si="23"/>
        <v>7020.8989449822266</v>
      </c>
      <c r="AA48" s="466">
        <f t="shared" si="23"/>
        <v>7020.8989449822266</v>
      </c>
      <c r="AB48" s="466">
        <f t="shared" si="23"/>
        <v>7020.8989449822266</v>
      </c>
      <c r="AC48" s="466">
        <f t="shared" si="23"/>
        <v>7020.8989449822266</v>
      </c>
      <c r="AD48" s="466">
        <f t="shared" si="23"/>
        <v>7020.8989449822266</v>
      </c>
      <c r="AE48" s="466">
        <f t="shared" si="23"/>
        <v>7020.8989449822266</v>
      </c>
      <c r="AF48" s="466">
        <f t="shared" si="23"/>
        <v>7020.8989449822266</v>
      </c>
      <c r="AG48" s="466">
        <f t="shared" si="23"/>
        <v>7020.8989449822266</v>
      </c>
      <c r="AH48" s="466">
        <f t="shared" si="23"/>
        <v>7020.8989449822266</v>
      </c>
      <c r="AI48" s="466">
        <f t="shared" si="23"/>
        <v>7020.8989449822266</v>
      </c>
      <c r="AJ48" s="466">
        <f t="shared" si="23"/>
        <v>7020.8989449822266</v>
      </c>
      <c r="AK48" s="470">
        <f t="shared" si="23"/>
        <v>7020.8989449822266</v>
      </c>
    </row>
    <row r="49" spans="1:74" ht="20.149999999999999" customHeight="1" outlineLevel="1" thickBot="1" x14ac:dyDescent="0.3"/>
    <row r="50" spans="1:74" ht="20.149999999999999" customHeight="1" outlineLevel="1" x14ac:dyDescent="0.25">
      <c r="A50" s="428">
        <v>3</v>
      </c>
      <c r="B50" s="97" t="s">
        <v>144</v>
      </c>
      <c r="C50" s="468"/>
      <c r="D50" s="468"/>
      <c r="E50" s="468"/>
      <c r="F50" s="468"/>
      <c r="G50" s="468"/>
      <c r="H50" s="468"/>
      <c r="I50" s="468"/>
      <c r="J50" s="468"/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9"/>
    </row>
    <row r="51" spans="1:74" ht="20.149999999999999" customHeight="1" outlineLevel="1" x14ac:dyDescent="0.25">
      <c r="A51" s="429" t="s">
        <v>147</v>
      </c>
      <c r="B51" s="22" t="s">
        <v>274</v>
      </c>
      <c r="C51" s="59">
        <f>'Rentabilidade-Cult.Temp.'!G64</f>
        <v>16355.999999999998</v>
      </c>
      <c r="D51" s="59">
        <f t="shared" ref="D51:AK51" si="24">C51</f>
        <v>16355.999999999998</v>
      </c>
      <c r="E51" s="59">
        <f t="shared" si="24"/>
        <v>16355.999999999998</v>
      </c>
      <c r="F51" s="59">
        <f t="shared" si="24"/>
        <v>16355.999999999998</v>
      </c>
      <c r="G51" s="59">
        <f t="shared" si="24"/>
        <v>16355.999999999998</v>
      </c>
      <c r="H51" s="59">
        <f t="shared" si="24"/>
        <v>16355.999999999998</v>
      </c>
      <c r="I51" s="59">
        <f t="shared" si="24"/>
        <v>16355.999999999998</v>
      </c>
      <c r="J51" s="59">
        <f t="shared" si="24"/>
        <v>16355.999999999998</v>
      </c>
      <c r="K51" s="59">
        <f t="shared" si="24"/>
        <v>16355.999999999998</v>
      </c>
      <c r="L51" s="59">
        <f t="shared" si="24"/>
        <v>16355.999999999998</v>
      </c>
      <c r="M51" s="59">
        <f t="shared" si="24"/>
        <v>16355.999999999998</v>
      </c>
      <c r="N51" s="59">
        <f t="shared" si="24"/>
        <v>16355.999999999998</v>
      </c>
      <c r="O51" s="59">
        <f t="shared" si="24"/>
        <v>16355.999999999998</v>
      </c>
      <c r="P51" s="59">
        <f t="shared" si="24"/>
        <v>16355.999999999998</v>
      </c>
      <c r="Q51" s="59">
        <f t="shared" si="24"/>
        <v>16355.999999999998</v>
      </c>
      <c r="R51" s="59">
        <f t="shared" si="24"/>
        <v>16355.999999999998</v>
      </c>
      <c r="S51" s="59">
        <f t="shared" si="24"/>
        <v>16355.999999999998</v>
      </c>
      <c r="T51" s="59">
        <f t="shared" si="24"/>
        <v>16355.999999999998</v>
      </c>
      <c r="U51" s="59">
        <f t="shared" si="24"/>
        <v>16355.999999999998</v>
      </c>
      <c r="V51" s="59">
        <f t="shared" si="24"/>
        <v>16355.999999999998</v>
      </c>
      <c r="W51" s="59">
        <f t="shared" si="24"/>
        <v>16355.999999999998</v>
      </c>
      <c r="X51" s="59">
        <f t="shared" si="24"/>
        <v>16355.999999999998</v>
      </c>
      <c r="Y51" s="59">
        <f t="shared" si="24"/>
        <v>16355.999999999998</v>
      </c>
      <c r="Z51" s="59">
        <f t="shared" si="24"/>
        <v>16355.999999999998</v>
      </c>
      <c r="AA51" s="59">
        <f t="shared" si="24"/>
        <v>16355.999999999998</v>
      </c>
      <c r="AB51" s="59">
        <f t="shared" si="24"/>
        <v>16355.999999999998</v>
      </c>
      <c r="AC51" s="59">
        <f t="shared" si="24"/>
        <v>16355.999999999998</v>
      </c>
      <c r="AD51" s="59">
        <f t="shared" si="24"/>
        <v>16355.999999999998</v>
      </c>
      <c r="AE51" s="59">
        <f t="shared" si="24"/>
        <v>16355.999999999998</v>
      </c>
      <c r="AF51" s="59">
        <f t="shared" si="24"/>
        <v>16355.999999999998</v>
      </c>
      <c r="AG51" s="59">
        <f t="shared" si="24"/>
        <v>16355.999999999998</v>
      </c>
      <c r="AH51" s="59">
        <f t="shared" si="24"/>
        <v>16355.999999999998</v>
      </c>
      <c r="AI51" s="59">
        <f t="shared" si="24"/>
        <v>16355.999999999998</v>
      </c>
      <c r="AJ51" s="59">
        <f t="shared" si="24"/>
        <v>16355.999999999998</v>
      </c>
      <c r="AK51" s="62">
        <f t="shared" si="24"/>
        <v>16355.999999999998</v>
      </c>
    </row>
    <row r="52" spans="1:74" ht="20.149999999999999" customHeight="1" outlineLevel="1" thickBot="1" x14ac:dyDescent="0.3">
      <c r="A52" s="96"/>
      <c r="B52" s="102" t="s">
        <v>153</v>
      </c>
      <c r="C52" s="466">
        <f t="shared" ref="C52:AK52" si="25">SUM(C51:C51)</f>
        <v>16355.999999999998</v>
      </c>
      <c r="D52" s="466">
        <f t="shared" si="25"/>
        <v>16355.999999999998</v>
      </c>
      <c r="E52" s="466">
        <f t="shared" si="25"/>
        <v>16355.999999999998</v>
      </c>
      <c r="F52" s="466">
        <f t="shared" si="25"/>
        <v>16355.999999999998</v>
      </c>
      <c r="G52" s="466">
        <f t="shared" si="25"/>
        <v>16355.999999999998</v>
      </c>
      <c r="H52" s="466">
        <f t="shared" si="25"/>
        <v>16355.999999999998</v>
      </c>
      <c r="I52" s="466">
        <f t="shared" si="25"/>
        <v>16355.999999999998</v>
      </c>
      <c r="J52" s="466">
        <f t="shared" si="25"/>
        <v>16355.999999999998</v>
      </c>
      <c r="K52" s="466">
        <f t="shared" si="25"/>
        <v>16355.999999999998</v>
      </c>
      <c r="L52" s="466">
        <f t="shared" si="25"/>
        <v>16355.999999999998</v>
      </c>
      <c r="M52" s="466">
        <f t="shared" si="25"/>
        <v>16355.999999999998</v>
      </c>
      <c r="N52" s="466">
        <f t="shared" si="25"/>
        <v>16355.999999999998</v>
      </c>
      <c r="O52" s="466">
        <f t="shared" si="25"/>
        <v>16355.999999999998</v>
      </c>
      <c r="P52" s="466">
        <f t="shared" si="25"/>
        <v>16355.999999999998</v>
      </c>
      <c r="Q52" s="466">
        <f t="shared" si="25"/>
        <v>16355.999999999998</v>
      </c>
      <c r="R52" s="466">
        <f t="shared" si="25"/>
        <v>16355.999999999998</v>
      </c>
      <c r="S52" s="466">
        <f t="shared" si="25"/>
        <v>16355.999999999998</v>
      </c>
      <c r="T52" s="466">
        <f t="shared" si="25"/>
        <v>16355.999999999998</v>
      </c>
      <c r="U52" s="466">
        <f t="shared" si="25"/>
        <v>16355.999999999998</v>
      </c>
      <c r="V52" s="466">
        <f t="shared" si="25"/>
        <v>16355.999999999998</v>
      </c>
      <c r="W52" s="466">
        <f t="shared" si="25"/>
        <v>16355.999999999998</v>
      </c>
      <c r="X52" s="466">
        <f t="shared" si="25"/>
        <v>16355.999999999998</v>
      </c>
      <c r="Y52" s="466">
        <f t="shared" si="25"/>
        <v>16355.999999999998</v>
      </c>
      <c r="Z52" s="466">
        <f t="shared" si="25"/>
        <v>16355.999999999998</v>
      </c>
      <c r="AA52" s="466">
        <f t="shared" si="25"/>
        <v>16355.999999999998</v>
      </c>
      <c r="AB52" s="466">
        <f t="shared" si="25"/>
        <v>16355.999999999998</v>
      </c>
      <c r="AC52" s="466">
        <f t="shared" si="25"/>
        <v>16355.999999999998</v>
      </c>
      <c r="AD52" s="466">
        <f t="shared" si="25"/>
        <v>16355.999999999998</v>
      </c>
      <c r="AE52" s="466">
        <f t="shared" si="25"/>
        <v>16355.999999999998</v>
      </c>
      <c r="AF52" s="466">
        <f t="shared" si="25"/>
        <v>16355.999999999998</v>
      </c>
      <c r="AG52" s="466">
        <f t="shared" si="25"/>
        <v>16355.999999999998</v>
      </c>
      <c r="AH52" s="466">
        <f t="shared" si="25"/>
        <v>16355.999999999998</v>
      </c>
      <c r="AI52" s="466">
        <f t="shared" si="25"/>
        <v>16355.999999999998</v>
      </c>
      <c r="AJ52" s="466">
        <f t="shared" si="25"/>
        <v>16355.999999999998</v>
      </c>
      <c r="AK52" s="470">
        <f t="shared" si="25"/>
        <v>16355.999999999998</v>
      </c>
    </row>
    <row r="53" spans="1:74" ht="20.149999999999999" customHeight="1" outlineLevel="1" thickBot="1" x14ac:dyDescent="0.3">
      <c r="A53" s="14"/>
      <c r="C53" s="471"/>
      <c r="D53" s="471"/>
      <c r="E53" s="471"/>
      <c r="F53" s="471"/>
      <c r="G53" s="471"/>
      <c r="H53" s="471"/>
      <c r="I53" s="471"/>
      <c r="J53" s="471"/>
      <c r="K53" s="471"/>
      <c r="L53" s="471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  <c r="Y53" s="467"/>
      <c r="Z53" s="467"/>
      <c r="AA53" s="467"/>
      <c r="AB53" s="467"/>
      <c r="AC53" s="467"/>
      <c r="AD53" s="467"/>
      <c r="AE53" s="467"/>
      <c r="AF53" s="467"/>
      <c r="AG53" s="467"/>
      <c r="AH53" s="467"/>
      <c r="AI53" s="467"/>
      <c r="AJ53" s="467"/>
      <c r="AK53" s="467"/>
    </row>
    <row r="54" spans="1:74" ht="20.149999999999999" customHeight="1" outlineLevel="1" thickBot="1" x14ac:dyDescent="0.3">
      <c r="A54" s="70">
        <v>4</v>
      </c>
      <c r="B54" s="104" t="s">
        <v>156</v>
      </c>
      <c r="C54" s="472">
        <f t="shared" ref="C54:AK54" si="26">C52-C48-C41</f>
        <v>-2160.4857695458049</v>
      </c>
      <c r="D54" s="472">
        <f t="shared" si="26"/>
        <v>9335.1010550177707</v>
      </c>
      <c r="E54" s="472">
        <f t="shared" si="26"/>
        <v>9335.1010550177707</v>
      </c>
      <c r="F54" s="472">
        <f t="shared" si="26"/>
        <v>9335.1010550177707</v>
      </c>
      <c r="G54" s="472">
        <f t="shared" si="26"/>
        <v>9335.1010550177707</v>
      </c>
      <c r="H54" s="472">
        <f t="shared" si="26"/>
        <v>9335.1010550177707</v>
      </c>
      <c r="I54" s="472">
        <f t="shared" si="26"/>
        <v>9335.1010550177707</v>
      </c>
      <c r="J54" s="472">
        <f t="shared" si="26"/>
        <v>9335.1010550177707</v>
      </c>
      <c r="K54" s="472">
        <f t="shared" si="26"/>
        <v>9335.1010550177707</v>
      </c>
      <c r="L54" s="472">
        <f t="shared" si="26"/>
        <v>9335.1010550177707</v>
      </c>
      <c r="M54" s="472">
        <f t="shared" si="26"/>
        <v>9335.1010550177707</v>
      </c>
      <c r="N54" s="472">
        <f t="shared" si="26"/>
        <v>9335.1010550177707</v>
      </c>
      <c r="O54" s="472">
        <f t="shared" si="26"/>
        <v>9335.1010550177707</v>
      </c>
      <c r="P54" s="472">
        <f t="shared" si="26"/>
        <v>9335.1010550177707</v>
      </c>
      <c r="Q54" s="472">
        <f t="shared" si="26"/>
        <v>9335.1010550177707</v>
      </c>
      <c r="R54" s="472">
        <f t="shared" si="26"/>
        <v>9335.1010550177707</v>
      </c>
      <c r="S54" s="472">
        <f t="shared" si="26"/>
        <v>9335.1010550177707</v>
      </c>
      <c r="T54" s="472">
        <f t="shared" si="26"/>
        <v>9335.1010550177707</v>
      </c>
      <c r="U54" s="472">
        <f t="shared" si="26"/>
        <v>9335.1010550177707</v>
      </c>
      <c r="V54" s="472">
        <f t="shared" si="26"/>
        <v>9335.1010550177707</v>
      </c>
      <c r="W54" s="472">
        <f t="shared" si="26"/>
        <v>9335.1010550177707</v>
      </c>
      <c r="X54" s="472">
        <f t="shared" si="26"/>
        <v>9335.1010550177707</v>
      </c>
      <c r="Y54" s="472">
        <f t="shared" si="26"/>
        <v>9335.1010550177707</v>
      </c>
      <c r="Z54" s="472">
        <f t="shared" si="26"/>
        <v>9335.1010550177707</v>
      </c>
      <c r="AA54" s="472">
        <f t="shared" si="26"/>
        <v>9335.1010550177707</v>
      </c>
      <c r="AB54" s="472">
        <f t="shared" si="26"/>
        <v>9335.1010550177707</v>
      </c>
      <c r="AC54" s="472">
        <f t="shared" si="26"/>
        <v>9335.1010550177707</v>
      </c>
      <c r="AD54" s="472">
        <f t="shared" si="26"/>
        <v>9335.1010550177707</v>
      </c>
      <c r="AE54" s="472">
        <f t="shared" si="26"/>
        <v>9335.1010550177707</v>
      </c>
      <c r="AF54" s="472">
        <f t="shared" si="26"/>
        <v>9335.1010550177707</v>
      </c>
      <c r="AG54" s="472">
        <f t="shared" si="26"/>
        <v>9335.1010550177707</v>
      </c>
      <c r="AH54" s="472">
        <f t="shared" si="26"/>
        <v>9335.1010550177707</v>
      </c>
      <c r="AI54" s="472">
        <f t="shared" si="26"/>
        <v>9335.1010550177707</v>
      </c>
      <c r="AJ54" s="472">
        <f t="shared" si="26"/>
        <v>9335.1010550177707</v>
      </c>
      <c r="AK54" s="473">
        <f t="shared" si="26"/>
        <v>9335.1010550177707</v>
      </c>
    </row>
    <row r="55" spans="1:74" ht="20.149999999999999" customHeight="1" outlineLevel="1" thickBot="1" x14ac:dyDescent="0.3">
      <c r="A55" s="14"/>
      <c r="C55" s="471"/>
      <c r="D55" s="471"/>
      <c r="E55" s="471"/>
      <c r="F55" s="471"/>
      <c r="G55" s="471"/>
      <c r="H55" s="471"/>
      <c r="I55" s="471"/>
      <c r="J55" s="471"/>
      <c r="K55" s="471"/>
      <c r="L55" s="471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  <c r="Y55" s="467"/>
      <c r="Z55" s="467"/>
      <c r="AA55" s="467"/>
      <c r="AB55" s="467"/>
      <c r="AC55" s="467"/>
      <c r="AD55" s="467"/>
      <c r="AE55" s="467"/>
      <c r="AF55" s="467"/>
      <c r="AG55" s="467"/>
      <c r="AH55" s="467"/>
      <c r="AI55" s="467"/>
      <c r="AJ55" s="467"/>
      <c r="AK55" s="467"/>
    </row>
    <row r="56" spans="1:74" ht="20.149999999999999" customHeight="1" outlineLevel="1" thickBot="1" x14ac:dyDescent="0.3">
      <c r="A56" s="70">
        <v>5</v>
      </c>
      <c r="B56" s="104" t="s">
        <v>160</v>
      </c>
      <c r="C56" s="474">
        <f>C54</f>
        <v>-2160.4857695458049</v>
      </c>
      <c r="D56" s="474">
        <f t="shared" ref="D56:AK56" si="27">C56+D54</f>
        <v>7174.6152854719658</v>
      </c>
      <c r="E56" s="474">
        <f t="shared" si="27"/>
        <v>16509.716340489736</v>
      </c>
      <c r="F56" s="474">
        <f t="shared" si="27"/>
        <v>25844.817395507507</v>
      </c>
      <c r="G56" s="474">
        <f t="shared" si="27"/>
        <v>35179.918450525278</v>
      </c>
      <c r="H56" s="474">
        <f t="shared" si="27"/>
        <v>44515.019505543052</v>
      </c>
      <c r="I56" s="474">
        <f t="shared" si="27"/>
        <v>53850.120560560827</v>
      </c>
      <c r="J56" s="474">
        <f t="shared" si="27"/>
        <v>63185.221615578601</v>
      </c>
      <c r="K56" s="474">
        <f t="shared" si="27"/>
        <v>72520.322670596375</v>
      </c>
      <c r="L56" s="474">
        <f t="shared" si="27"/>
        <v>81855.42372561415</v>
      </c>
      <c r="M56" s="474">
        <f t="shared" si="27"/>
        <v>91190.524780631924</v>
      </c>
      <c r="N56" s="474">
        <f t="shared" si="27"/>
        <v>100525.6258356497</v>
      </c>
      <c r="O56" s="474">
        <f t="shared" si="27"/>
        <v>109860.72689066747</v>
      </c>
      <c r="P56" s="474">
        <f t="shared" si="27"/>
        <v>119195.82794568525</v>
      </c>
      <c r="Q56" s="474">
        <f t="shared" si="27"/>
        <v>128530.92900070302</v>
      </c>
      <c r="R56" s="474">
        <f t="shared" si="27"/>
        <v>137866.0300557208</v>
      </c>
      <c r="S56" s="474">
        <f t="shared" si="27"/>
        <v>147201.13111073856</v>
      </c>
      <c r="T56" s="474">
        <f t="shared" si="27"/>
        <v>156536.23216575632</v>
      </c>
      <c r="U56" s="474">
        <f t="shared" si="27"/>
        <v>165871.33322077408</v>
      </c>
      <c r="V56" s="474">
        <f t="shared" si="27"/>
        <v>175206.43427579183</v>
      </c>
      <c r="W56" s="474">
        <f t="shared" si="27"/>
        <v>184541.53533080959</v>
      </c>
      <c r="X56" s="474">
        <f t="shared" si="27"/>
        <v>193876.63638582735</v>
      </c>
      <c r="Y56" s="474">
        <f t="shared" si="27"/>
        <v>203211.73744084511</v>
      </c>
      <c r="Z56" s="474">
        <f t="shared" si="27"/>
        <v>212546.83849586287</v>
      </c>
      <c r="AA56" s="474">
        <f t="shared" si="27"/>
        <v>221881.93955088063</v>
      </c>
      <c r="AB56" s="474">
        <f t="shared" si="27"/>
        <v>231217.04060589839</v>
      </c>
      <c r="AC56" s="474">
        <f t="shared" si="27"/>
        <v>240552.14166091615</v>
      </c>
      <c r="AD56" s="474">
        <f t="shared" si="27"/>
        <v>249887.24271593391</v>
      </c>
      <c r="AE56" s="474">
        <f t="shared" si="27"/>
        <v>259222.34377095167</v>
      </c>
      <c r="AF56" s="474">
        <f t="shared" si="27"/>
        <v>268557.44482596946</v>
      </c>
      <c r="AG56" s="474">
        <f t="shared" si="27"/>
        <v>277892.54588098725</v>
      </c>
      <c r="AH56" s="474">
        <f t="shared" si="27"/>
        <v>287227.64693600504</v>
      </c>
      <c r="AI56" s="474">
        <f t="shared" si="27"/>
        <v>296562.74799102283</v>
      </c>
      <c r="AJ56" s="474">
        <f t="shared" si="27"/>
        <v>305897.84904604062</v>
      </c>
      <c r="AK56" s="475">
        <f t="shared" si="27"/>
        <v>315232.95010105841</v>
      </c>
    </row>
    <row r="57" spans="1:74" ht="20.149999999999999" customHeight="1" outlineLevel="1" x14ac:dyDescent="0.25">
      <c r="A57" s="14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74" ht="20.149999999999999" customHeight="1" outlineLevel="1" x14ac:dyDescent="0.25">
      <c r="A58" s="14"/>
      <c r="C58" s="439" t="s">
        <v>512</v>
      </c>
      <c r="D58" s="116">
        <f>AK56/AK35</f>
        <v>9006.6557171730965</v>
      </c>
      <c r="E58" s="439" t="s">
        <v>317</v>
      </c>
      <c r="F58" s="16"/>
      <c r="G58" s="16"/>
      <c r="H58" s="16"/>
      <c r="I58" s="16"/>
      <c r="J58" s="16"/>
      <c r="K58" s="16"/>
      <c r="L58" s="16"/>
      <c r="M58" s="16"/>
    </row>
    <row r="59" spans="1:74" ht="13" outlineLevel="1" thickBot="1" x14ac:dyDescent="0.3">
      <c r="A59" s="14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74" s="563" customFormat="1" ht="30" customHeight="1" thickBot="1" x14ac:dyDescent="0.3">
      <c r="A60" s="555" t="s">
        <v>261</v>
      </c>
      <c r="B60" s="621"/>
      <c r="C60" s="621"/>
      <c r="D60" s="621"/>
      <c r="E60" s="621"/>
      <c r="F60" s="621"/>
      <c r="G60" s="621"/>
      <c r="H60" s="621"/>
      <c r="I60" s="621"/>
      <c r="J60" s="621"/>
      <c r="K60" s="621"/>
      <c r="L60" s="621"/>
      <c r="M60" s="621"/>
      <c r="N60" s="621"/>
      <c r="O60" s="621"/>
      <c r="P60" s="621"/>
      <c r="Q60" s="621"/>
      <c r="R60" s="621"/>
      <c r="S60" s="621"/>
      <c r="T60" s="621"/>
      <c r="U60" s="621"/>
      <c r="V60" s="621"/>
      <c r="W60" s="621"/>
      <c r="X60" s="621"/>
      <c r="Y60" s="621"/>
      <c r="Z60" s="621"/>
      <c r="AA60" s="621"/>
      <c r="AB60" s="621"/>
      <c r="AC60" s="621"/>
      <c r="AD60" s="621"/>
      <c r="AE60" s="621"/>
      <c r="AF60" s="621"/>
      <c r="AG60" s="621"/>
      <c r="AH60" s="621"/>
      <c r="AI60" s="621"/>
      <c r="AJ60" s="621"/>
      <c r="AK60" s="621"/>
      <c r="AL60" s="621"/>
      <c r="AM60" s="621"/>
      <c r="AN60" s="621"/>
      <c r="AO60" s="621"/>
      <c r="AP60" s="621"/>
      <c r="AQ60" s="621"/>
      <c r="AR60" s="621"/>
      <c r="AS60" s="621"/>
      <c r="AT60" s="621"/>
      <c r="AU60" s="621"/>
    </row>
    <row r="61" spans="1:74" s="550" customFormat="1" ht="20.149999999999999" customHeight="1" outlineLevel="1" thickBot="1" x14ac:dyDescent="0.3">
      <c r="A61" s="547" t="s">
        <v>513</v>
      </c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8"/>
      <c r="R61" s="548"/>
      <c r="S61" s="548"/>
      <c r="T61" s="548"/>
      <c r="U61" s="548"/>
      <c r="V61" s="548"/>
      <c r="W61" s="548"/>
      <c r="X61" s="548"/>
      <c r="Y61" s="548"/>
      <c r="Z61" s="548"/>
      <c r="AA61" s="548"/>
      <c r="AB61" s="548"/>
      <c r="AC61" s="548"/>
      <c r="AD61" s="548"/>
      <c r="AE61" s="548"/>
      <c r="AF61" s="548"/>
      <c r="AG61" s="548"/>
      <c r="AH61" s="548"/>
      <c r="AI61" s="548"/>
      <c r="AJ61" s="548"/>
      <c r="AK61" s="548"/>
      <c r="AL61" s="548"/>
      <c r="AM61" s="548"/>
      <c r="AN61" s="549"/>
    </row>
    <row r="62" spans="1:74" s="14" customFormat="1" ht="20.149999999999999" customHeight="1" outlineLevel="1" thickBot="1" x14ac:dyDescent="0.3">
      <c r="A62" s="1102" t="s">
        <v>152</v>
      </c>
      <c r="B62" s="1102" t="s">
        <v>150</v>
      </c>
      <c r="C62" s="1103" t="s">
        <v>151</v>
      </c>
      <c r="D62" s="1104"/>
      <c r="E62" s="1104"/>
      <c r="F62" s="1104"/>
      <c r="G62" s="1104"/>
      <c r="H62" s="1104"/>
      <c r="I62" s="1104"/>
      <c r="J62" s="1104"/>
      <c r="K62" s="1104"/>
      <c r="L62" s="1104"/>
      <c r="M62" s="1104"/>
      <c r="N62" s="1104"/>
      <c r="O62" s="1104"/>
      <c r="P62" s="1104"/>
      <c r="Q62" s="1104"/>
      <c r="R62" s="1104"/>
      <c r="S62" s="1104"/>
      <c r="T62" s="1104"/>
      <c r="U62" s="1104"/>
      <c r="V62" s="1104"/>
      <c r="W62" s="1104"/>
      <c r="X62" s="1104"/>
      <c r="Y62" s="1104"/>
      <c r="Z62" s="1104"/>
      <c r="AA62" s="1104"/>
      <c r="AB62" s="1104"/>
      <c r="AC62" s="1104"/>
      <c r="AD62" s="1104"/>
      <c r="AE62" s="1104"/>
      <c r="AF62" s="1104"/>
      <c r="AG62" s="1104"/>
      <c r="AH62" s="1104"/>
      <c r="AI62" s="1104"/>
      <c r="AJ62" s="1104"/>
      <c r="AK62" s="1105"/>
      <c r="AL62" s="210"/>
      <c r="AM62" s="354"/>
      <c r="AN62" s="1102"/>
      <c r="AO62" s="1102"/>
      <c r="AP62" s="1102"/>
      <c r="AQ62" s="1102"/>
      <c r="AR62" s="1102"/>
      <c r="AS62" s="1102"/>
      <c r="AT62" s="1102"/>
      <c r="AU62" s="1102"/>
      <c r="AV62" s="1102"/>
      <c r="AW62" s="1102"/>
      <c r="AX62" s="1102"/>
      <c r="AY62" s="1102"/>
      <c r="AZ62" s="1102"/>
      <c r="BA62" s="1102"/>
      <c r="BB62" s="1102"/>
      <c r="BC62" s="1102"/>
      <c r="BD62" s="1102"/>
      <c r="BE62" s="1102"/>
      <c r="BF62" s="1102"/>
      <c r="BG62" s="1102"/>
      <c r="BH62" s="1102"/>
      <c r="BI62" s="1102"/>
      <c r="BJ62" s="1102"/>
      <c r="BK62" s="1102"/>
      <c r="BL62" s="1102"/>
      <c r="BM62" s="1102"/>
      <c r="BN62" s="1102"/>
      <c r="BO62" s="1102"/>
      <c r="BP62" s="1102"/>
      <c r="BQ62" s="1102"/>
      <c r="BR62" s="1102"/>
      <c r="BS62" s="1102"/>
      <c r="BT62" s="1102"/>
      <c r="BU62" s="1102"/>
      <c r="BV62" s="1102"/>
    </row>
    <row r="63" spans="1:74" s="14" customFormat="1" ht="20.149999999999999" customHeight="1" outlineLevel="1" thickBot="1" x14ac:dyDescent="0.3">
      <c r="A63" s="1102"/>
      <c r="B63" s="1102"/>
      <c r="C63" s="210">
        <v>1</v>
      </c>
      <c r="D63" s="275">
        <f t="shared" ref="D63:AJ63" si="28">C63+1</f>
        <v>2</v>
      </c>
      <c r="E63" s="211">
        <f t="shared" si="28"/>
        <v>3</v>
      </c>
      <c r="F63" s="211">
        <f t="shared" si="28"/>
        <v>4</v>
      </c>
      <c r="G63" s="211">
        <f t="shared" si="28"/>
        <v>5</v>
      </c>
      <c r="H63" s="211">
        <f t="shared" si="28"/>
        <v>6</v>
      </c>
      <c r="I63" s="211">
        <f t="shared" si="28"/>
        <v>7</v>
      </c>
      <c r="J63" s="211">
        <f t="shared" si="28"/>
        <v>8</v>
      </c>
      <c r="K63" s="211">
        <f t="shared" si="28"/>
        <v>9</v>
      </c>
      <c r="L63" s="211">
        <f t="shared" si="28"/>
        <v>10</v>
      </c>
      <c r="M63" s="211">
        <f t="shared" si="28"/>
        <v>11</v>
      </c>
      <c r="N63" s="211">
        <f t="shared" si="28"/>
        <v>12</v>
      </c>
      <c r="O63" s="211">
        <f t="shared" si="28"/>
        <v>13</v>
      </c>
      <c r="P63" s="211">
        <f t="shared" si="28"/>
        <v>14</v>
      </c>
      <c r="Q63" s="211">
        <f t="shared" si="28"/>
        <v>15</v>
      </c>
      <c r="R63" s="211">
        <f t="shared" si="28"/>
        <v>16</v>
      </c>
      <c r="S63" s="211">
        <f t="shared" si="28"/>
        <v>17</v>
      </c>
      <c r="T63" s="211">
        <f t="shared" si="28"/>
        <v>18</v>
      </c>
      <c r="U63" s="211">
        <f t="shared" si="28"/>
        <v>19</v>
      </c>
      <c r="V63" s="211">
        <f t="shared" si="28"/>
        <v>20</v>
      </c>
      <c r="W63" s="211">
        <f t="shared" si="28"/>
        <v>21</v>
      </c>
      <c r="X63" s="211">
        <f t="shared" si="28"/>
        <v>22</v>
      </c>
      <c r="Y63" s="211">
        <f t="shared" si="28"/>
        <v>23</v>
      </c>
      <c r="Z63" s="211">
        <f t="shared" si="28"/>
        <v>24</v>
      </c>
      <c r="AA63" s="211">
        <f t="shared" si="28"/>
        <v>25</v>
      </c>
      <c r="AB63" s="211">
        <f t="shared" si="28"/>
        <v>26</v>
      </c>
      <c r="AC63" s="211">
        <f t="shared" si="28"/>
        <v>27</v>
      </c>
      <c r="AD63" s="211">
        <f t="shared" si="28"/>
        <v>28</v>
      </c>
      <c r="AE63" s="211">
        <f t="shared" si="28"/>
        <v>29</v>
      </c>
      <c r="AF63" s="211">
        <f t="shared" si="28"/>
        <v>30</v>
      </c>
      <c r="AG63" s="211">
        <f t="shared" si="28"/>
        <v>31</v>
      </c>
      <c r="AH63" s="211">
        <f t="shared" si="28"/>
        <v>32</v>
      </c>
      <c r="AI63" s="211">
        <f t="shared" si="28"/>
        <v>33</v>
      </c>
      <c r="AJ63" s="211">
        <f t="shared" si="28"/>
        <v>34</v>
      </c>
      <c r="AK63" s="211">
        <v>35</v>
      </c>
      <c r="AL63" s="212"/>
      <c r="AM63" s="355"/>
      <c r="AN63" s="275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211"/>
      <c r="BJ63" s="211"/>
      <c r="BK63" s="211"/>
      <c r="BL63" s="211"/>
      <c r="BM63" s="211"/>
      <c r="BN63" s="211"/>
      <c r="BO63" s="211"/>
      <c r="BP63" s="211"/>
      <c r="BQ63" s="211"/>
      <c r="BR63" s="211"/>
      <c r="BS63" s="211"/>
      <c r="BT63" s="211"/>
      <c r="BU63" s="211"/>
      <c r="BV63" s="212"/>
    </row>
    <row r="64" spans="1:74" ht="20.149999999999999" customHeight="1" outlineLevel="1" x14ac:dyDescent="0.25">
      <c r="A64" s="71">
        <v>1</v>
      </c>
      <c r="B64" s="76" t="s">
        <v>134</v>
      </c>
      <c r="AK64" s="77"/>
    </row>
    <row r="65" spans="1:37" ht="20.149999999999999" customHeight="1" outlineLevel="1" x14ac:dyDescent="0.25">
      <c r="A65" s="48" t="s">
        <v>74</v>
      </c>
      <c r="B65" s="78" t="s">
        <v>129</v>
      </c>
      <c r="C65" s="59">
        <f>'Custos Diversos'!E165</f>
        <v>646.83682456357587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62"/>
    </row>
    <row r="66" spans="1:37" ht="20.149999999999999" customHeight="1" outlineLevel="1" x14ac:dyDescent="0.25">
      <c r="A66" s="48" t="s">
        <v>75</v>
      </c>
      <c r="B66" s="82" t="s">
        <v>335</v>
      </c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62"/>
    </row>
    <row r="67" spans="1:37" ht="20.149999999999999" customHeight="1" outlineLevel="1" x14ac:dyDescent="0.25">
      <c r="A67" s="48" t="s">
        <v>76</v>
      </c>
      <c r="B67" s="82" t="s">
        <v>336</v>
      </c>
      <c r="C67" s="59">
        <f>'Rentabilidade-Cult.Temp.'!I42</f>
        <v>9250</v>
      </c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62"/>
    </row>
    <row r="68" spans="1:37" ht="20.149999999999999" customHeight="1" outlineLevel="1" x14ac:dyDescent="0.25">
      <c r="A68" s="48" t="s">
        <v>126</v>
      </c>
      <c r="B68" s="82" t="s">
        <v>130</v>
      </c>
      <c r="C68" s="59">
        <f>'Rentabilidade-Cult.Temp.'!I45-'Rentabilidade-Cult.Temp.'!I42</f>
        <v>1598.75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62"/>
    </row>
    <row r="69" spans="1:37" ht="20.149999999999999" customHeight="1" outlineLevel="1" thickBot="1" x14ac:dyDescent="0.3">
      <c r="A69" s="96"/>
      <c r="B69" s="87" t="s">
        <v>148</v>
      </c>
      <c r="C69" s="466">
        <f>SUM(C65:C68)</f>
        <v>11495.586824563576</v>
      </c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3"/>
    </row>
    <row r="70" spans="1:37" ht="20.149999999999999" customHeight="1" outlineLevel="1" thickBot="1" x14ac:dyDescent="0.3">
      <c r="A70" s="14"/>
      <c r="C70" s="467"/>
      <c r="D70" s="467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67"/>
      <c r="X70" s="467"/>
      <c r="Y70" s="467"/>
      <c r="Z70" s="467"/>
      <c r="AA70" s="467"/>
      <c r="AB70" s="467"/>
      <c r="AC70" s="467"/>
      <c r="AD70" s="467"/>
      <c r="AE70" s="467"/>
      <c r="AF70" s="467"/>
      <c r="AG70" s="467"/>
      <c r="AH70" s="467"/>
      <c r="AI70" s="467"/>
      <c r="AJ70" s="467"/>
      <c r="AK70" s="467"/>
    </row>
    <row r="71" spans="1:37" ht="20.149999999999999" customHeight="1" outlineLevel="1" x14ac:dyDescent="0.25">
      <c r="A71" s="428">
        <v>2</v>
      </c>
      <c r="B71" s="97" t="s">
        <v>136</v>
      </c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  <c r="AK71" s="469"/>
    </row>
    <row r="72" spans="1:37" ht="20.149999999999999" customHeight="1" outlineLevel="1" x14ac:dyDescent="0.25">
      <c r="A72" s="276" t="s">
        <v>137</v>
      </c>
      <c r="B72" s="22" t="s">
        <v>142</v>
      </c>
      <c r="C72" s="59">
        <f>'Rentabilidade-Cult.Temp.'!I19</f>
        <v>4335</v>
      </c>
      <c r="D72" s="59">
        <f t="shared" ref="D72:AK72" si="29">C72</f>
        <v>4335</v>
      </c>
      <c r="E72" s="59">
        <f t="shared" si="29"/>
        <v>4335</v>
      </c>
      <c r="F72" s="59">
        <f t="shared" si="29"/>
        <v>4335</v>
      </c>
      <c r="G72" s="59">
        <f t="shared" si="29"/>
        <v>4335</v>
      </c>
      <c r="H72" s="59">
        <f t="shared" si="29"/>
        <v>4335</v>
      </c>
      <c r="I72" s="59">
        <f t="shared" si="29"/>
        <v>4335</v>
      </c>
      <c r="J72" s="59">
        <f t="shared" si="29"/>
        <v>4335</v>
      </c>
      <c r="K72" s="59">
        <f t="shared" si="29"/>
        <v>4335</v>
      </c>
      <c r="L72" s="59">
        <f t="shared" si="29"/>
        <v>4335</v>
      </c>
      <c r="M72" s="59">
        <f t="shared" si="29"/>
        <v>4335</v>
      </c>
      <c r="N72" s="59">
        <f t="shared" si="29"/>
        <v>4335</v>
      </c>
      <c r="O72" s="59">
        <f t="shared" si="29"/>
        <v>4335</v>
      </c>
      <c r="P72" s="59">
        <f t="shared" si="29"/>
        <v>4335</v>
      </c>
      <c r="Q72" s="59">
        <f t="shared" si="29"/>
        <v>4335</v>
      </c>
      <c r="R72" s="59">
        <f t="shared" si="29"/>
        <v>4335</v>
      </c>
      <c r="S72" s="59">
        <f t="shared" si="29"/>
        <v>4335</v>
      </c>
      <c r="T72" s="59">
        <f t="shared" si="29"/>
        <v>4335</v>
      </c>
      <c r="U72" s="59">
        <f t="shared" si="29"/>
        <v>4335</v>
      </c>
      <c r="V72" s="59">
        <f t="shared" si="29"/>
        <v>4335</v>
      </c>
      <c r="W72" s="59">
        <f t="shared" si="29"/>
        <v>4335</v>
      </c>
      <c r="X72" s="59">
        <f t="shared" si="29"/>
        <v>4335</v>
      </c>
      <c r="Y72" s="59">
        <f t="shared" si="29"/>
        <v>4335</v>
      </c>
      <c r="Z72" s="59">
        <f t="shared" si="29"/>
        <v>4335</v>
      </c>
      <c r="AA72" s="59">
        <f t="shared" si="29"/>
        <v>4335</v>
      </c>
      <c r="AB72" s="59">
        <f t="shared" si="29"/>
        <v>4335</v>
      </c>
      <c r="AC72" s="59">
        <f t="shared" si="29"/>
        <v>4335</v>
      </c>
      <c r="AD72" s="59">
        <f t="shared" si="29"/>
        <v>4335</v>
      </c>
      <c r="AE72" s="59">
        <f t="shared" si="29"/>
        <v>4335</v>
      </c>
      <c r="AF72" s="59">
        <f t="shared" si="29"/>
        <v>4335</v>
      </c>
      <c r="AG72" s="59">
        <f t="shared" si="29"/>
        <v>4335</v>
      </c>
      <c r="AH72" s="59">
        <f t="shared" si="29"/>
        <v>4335</v>
      </c>
      <c r="AI72" s="59">
        <f t="shared" si="29"/>
        <v>4335</v>
      </c>
      <c r="AJ72" s="59">
        <f t="shared" si="29"/>
        <v>4335</v>
      </c>
      <c r="AK72" s="62">
        <f t="shared" si="29"/>
        <v>4335</v>
      </c>
    </row>
    <row r="73" spans="1:37" ht="20.149999999999999" customHeight="1" outlineLevel="1" x14ac:dyDescent="0.25">
      <c r="A73" s="276" t="s">
        <v>138</v>
      </c>
      <c r="B73" s="66" t="s">
        <v>146</v>
      </c>
      <c r="C73" s="59">
        <f>'Rentabilidade-Cult.Temp.'!I26</f>
        <v>795</v>
      </c>
      <c r="D73" s="59">
        <f t="shared" ref="D73:AK73" si="30">C73</f>
        <v>795</v>
      </c>
      <c r="E73" s="59">
        <f t="shared" si="30"/>
        <v>795</v>
      </c>
      <c r="F73" s="59">
        <f t="shared" si="30"/>
        <v>795</v>
      </c>
      <c r="G73" s="59">
        <f t="shared" si="30"/>
        <v>795</v>
      </c>
      <c r="H73" s="59">
        <f t="shared" si="30"/>
        <v>795</v>
      </c>
      <c r="I73" s="59">
        <f t="shared" si="30"/>
        <v>795</v>
      </c>
      <c r="J73" s="59">
        <f t="shared" si="30"/>
        <v>795</v>
      </c>
      <c r="K73" s="59">
        <f t="shared" si="30"/>
        <v>795</v>
      </c>
      <c r="L73" s="59">
        <f t="shared" si="30"/>
        <v>795</v>
      </c>
      <c r="M73" s="59">
        <f t="shared" si="30"/>
        <v>795</v>
      </c>
      <c r="N73" s="59">
        <f t="shared" si="30"/>
        <v>795</v>
      </c>
      <c r="O73" s="59">
        <f t="shared" si="30"/>
        <v>795</v>
      </c>
      <c r="P73" s="59">
        <f t="shared" si="30"/>
        <v>795</v>
      </c>
      <c r="Q73" s="59">
        <f t="shared" si="30"/>
        <v>795</v>
      </c>
      <c r="R73" s="59">
        <f t="shared" si="30"/>
        <v>795</v>
      </c>
      <c r="S73" s="59">
        <f t="shared" si="30"/>
        <v>795</v>
      </c>
      <c r="T73" s="59">
        <f t="shared" si="30"/>
        <v>795</v>
      </c>
      <c r="U73" s="59">
        <f t="shared" si="30"/>
        <v>795</v>
      </c>
      <c r="V73" s="59">
        <f t="shared" si="30"/>
        <v>795</v>
      </c>
      <c r="W73" s="59">
        <f t="shared" si="30"/>
        <v>795</v>
      </c>
      <c r="X73" s="59">
        <f t="shared" si="30"/>
        <v>795</v>
      </c>
      <c r="Y73" s="59">
        <f t="shared" si="30"/>
        <v>795</v>
      </c>
      <c r="Z73" s="59">
        <f t="shared" si="30"/>
        <v>795</v>
      </c>
      <c r="AA73" s="59">
        <f t="shared" si="30"/>
        <v>795</v>
      </c>
      <c r="AB73" s="59">
        <f t="shared" si="30"/>
        <v>795</v>
      </c>
      <c r="AC73" s="59">
        <f t="shared" si="30"/>
        <v>795</v>
      </c>
      <c r="AD73" s="59">
        <f t="shared" si="30"/>
        <v>795</v>
      </c>
      <c r="AE73" s="59">
        <f t="shared" si="30"/>
        <v>795</v>
      </c>
      <c r="AF73" s="59">
        <f t="shared" si="30"/>
        <v>795</v>
      </c>
      <c r="AG73" s="59">
        <f t="shared" si="30"/>
        <v>795</v>
      </c>
      <c r="AH73" s="59">
        <f t="shared" si="30"/>
        <v>795</v>
      </c>
      <c r="AI73" s="59">
        <f t="shared" si="30"/>
        <v>795</v>
      </c>
      <c r="AJ73" s="59">
        <f t="shared" si="30"/>
        <v>795</v>
      </c>
      <c r="AK73" s="62">
        <f t="shared" si="30"/>
        <v>795</v>
      </c>
    </row>
    <row r="74" spans="1:37" ht="20.149999999999999" customHeight="1" outlineLevel="1" x14ac:dyDescent="0.25">
      <c r="A74" s="276" t="s">
        <v>139</v>
      </c>
      <c r="B74" s="22" t="s">
        <v>345</v>
      </c>
      <c r="C74" s="59">
        <f>'Rentabilidade-Cult.Temp.'!I38</f>
        <v>2127.5</v>
      </c>
      <c r="D74" s="59">
        <f t="shared" ref="D74:AK74" si="31">C74</f>
        <v>2127.5</v>
      </c>
      <c r="E74" s="59">
        <f t="shared" si="31"/>
        <v>2127.5</v>
      </c>
      <c r="F74" s="59">
        <f t="shared" si="31"/>
        <v>2127.5</v>
      </c>
      <c r="G74" s="59">
        <f t="shared" si="31"/>
        <v>2127.5</v>
      </c>
      <c r="H74" s="59">
        <f t="shared" si="31"/>
        <v>2127.5</v>
      </c>
      <c r="I74" s="59">
        <f t="shared" si="31"/>
        <v>2127.5</v>
      </c>
      <c r="J74" s="59">
        <f t="shared" si="31"/>
        <v>2127.5</v>
      </c>
      <c r="K74" s="59">
        <f t="shared" si="31"/>
        <v>2127.5</v>
      </c>
      <c r="L74" s="59">
        <f t="shared" si="31"/>
        <v>2127.5</v>
      </c>
      <c r="M74" s="59">
        <f t="shared" si="31"/>
        <v>2127.5</v>
      </c>
      <c r="N74" s="59">
        <f t="shared" si="31"/>
        <v>2127.5</v>
      </c>
      <c r="O74" s="59">
        <f t="shared" si="31"/>
        <v>2127.5</v>
      </c>
      <c r="P74" s="59">
        <f t="shared" si="31"/>
        <v>2127.5</v>
      </c>
      <c r="Q74" s="59">
        <f t="shared" si="31"/>
        <v>2127.5</v>
      </c>
      <c r="R74" s="59">
        <f t="shared" si="31"/>
        <v>2127.5</v>
      </c>
      <c r="S74" s="59">
        <f t="shared" si="31"/>
        <v>2127.5</v>
      </c>
      <c r="T74" s="59">
        <f t="shared" si="31"/>
        <v>2127.5</v>
      </c>
      <c r="U74" s="59">
        <f t="shared" si="31"/>
        <v>2127.5</v>
      </c>
      <c r="V74" s="59">
        <f t="shared" si="31"/>
        <v>2127.5</v>
      </c>
      <c r="W74" s="59">
        <f t="shared" si="31"/>
        <v>2127.5</v>
      </c>
      <c r="X74" s="59">
        <f t="shared" si="31"/>
        <v>2127.5</v>
      </c>
      <c r="Y74" s="59">
        <f t="shared" si="31"/>
        <v>2127.5</v>
      </c>
      <c r="Z74" s="59">
        <f t="shared" si="31"/>
        <v>2127.5</v>
      </c>
      <c r="AA74" s="59">
        <f t="shared" si="31"/>
        <v>2127.5</v>
      </c>
      <c r="AB74" s="59">
        <f t="shared" si="31"/>
        <v>2127.5</v>
      </c>
      <c r="AC74" s="59">
        <f t="shared" si="31"/>
        <v>2127.5</v>
      </c>
      <c r="AD74" s="59">
        <f t="shared" si="31"/>
        <v>2127.5</v>
      </c>
      <c r="AE74" s="59">
        <f t="shared" si="31"/>
        <v>2127.5</v>
      </c>
      <c r="AF74" s="59">
        <f t="shared" si="31"/>
        <v>2127.5</v>
      </c>
      <c r="AG74" s="59">
        <f t="shared" si="31"/>
        <v>2127.5</v>
      </c>
      <c r="AH74" s="59">
        <f t="shared" si="31"/>
        <v>2127.5</v>
      </c>
      <c r="AI74" s="59">
        <f t="shared" si="31"/>
        <v>2127.5</v>
      </c>
      <c r="AJ74" s="59">
        <f t="shared" si="31"/>
        <v>2127.5</v>
      </c>
      <c r="AK74" s="62">
        <f t="shared" si="31"/>
        <v>2127.5</v>
      </c>
    </row>
    <row r="75" spans="1:37" ht="20.149999999999999" customHeight="1" outlineLevel="1" x14ac:dyDescent="0.25">
      <c r="A75" s="276" t="s">
        <v>140</v>
      </c>
      <c r="B75" s="66" t="s">
        <v>141</v>
      </c>
      <c r="C75" s="59">
        <f>SUM('Rentabilidade-Cult.Temp.'!I50:I58)</f>
        <v>1542.2673433918835</v>
      </c>
      <c r="D75" s="59">
        <f t="shared" ref="D75:AK75" si="32">C75</f>
        <v>1542.2673433918835</v>
      </c>
      <c r="E75" s="59">
        <f t="shared" si="32"/>
        <v>1542.2673433918835</v>
      </c>
      <c r="F75" s="59">
        <f t="shared" si="32"/>
        <v>1542.2673433918835</v>
      </c>
      <c r="G75" s="59">
        <f t="shared" si="32"/>
        <v>1542.2673433918835</v>
      </c>
      <c r="H75" s="59">
        <f t="shared" si="32"/>
        <v>1542.2673433918835</v>
      </c>
      <c r="I75" s="59">
        <f t="shared" si="32"/>
        <v>1542.2673433918835</v>
      </c>
      <c r="J75" s="59">
        <f t="shared" si="32"/>
        <v>1542.2673433918835</v>
      </c>
      <c r="K75" s="59">
        <f t="shared" si="32"/>
        <v>1542.2673433918835</v>
      </c>
      <c r="L75" s="59">
        <f t="shared" si="32"/>
        <v>1542.2673433918835</v>
      </c>
      <c r="M75" s="59">
        <f t="shared" si="32"/>
        <v>1542.2673433918835</v>
      </c>
      <c r="N75" s="59">
        <f t="shared" si="32"/>
        <v>1542.2673433918835</v>
      </c>
      <c r="O75" s="59">
        <f t="shared" si="32"/>
        <v>1542.2673433918835</v>
      </c>
      <c r="P75" s="59">
        <f t="shared" si="32"/>
        <v>1542.2673433918835</v>
      </c>
      <c r="Q75" s="59">
        <f t="shared" si="32"/>
        <v>1542.2673433918835</v>
      </c>
      <c r="R75" s="59">
        <f t="shared" si="32"/>
        <v>1542.2673433918835</v>
      </c>
      <c r="S75" s="59">
        <f t="shared" si="32"/>
        <v>1542.2673433918835</v>
      </c>
      <c r="T75" s="59">
        <f t="shared" si="32"/>
        <v>1542.2673433918835</v>
      </c>
      <c r="U75" s="59">
        <f t="shared" si="32"/>
        <v>1542.2673433918835</v>
      </c>
      <c r="V75" s="59">
        <f t="shared" si="32"/>
        <v>1542.2673433918835</v>
      </c>
      <c r="W75" s="59">
        <f t="shared" si="32"/>
        <v>1542.2673433918835</v>
      </c>
      <c r="X75" s="59">
        <f t="shared" si="32"/>
        <v>1542.2673433918835</v>
      </c>
      <c r="Y75" s="59">
        <f t="shared" si="32"/>
        <v>1542.2673433918835</v>
      </c>
      <c r="Z75" s="59">
        <f t="shared" si="32"/>
        <v>1542.2673433918835</v>
      </c>
      <c r="AA75" s="59">
        <f t="shared" si="32"/>
        <v>1542.2673433918835</v>
      </c>
      <c r="AB75" s="59">
        <f t="shared" si="32"/>
        <v>1542.2673433918835</v>
      </c>
      <c r="AC75" s="59">
        <f t="shared" si="32"/>
        <v>1542.2673433918835</v>
      </c>
      <c r="AD75" s="59">
        <f t="shared" si="32"/>
        <v>1542.2673433918835</v>
      </c>
      <c r="AE75" s="59">
        <f t="shared" si="32"/>
        <v>1542.2673433918835</v>
      </c>
      <c r="AF75" s="59">
        <f t="shared" si="32"/>
        <v>1542.2673433918835</v>
      </c>
      <c r="AG75" s="59">
        <f t="shared" si="32"/>
        <v>1542.2673433918835</v>
      </c>
      <c r="AH75" s="59">
        <f t="shared" si="32"/>
        <v>1542.2673433918835</v>
      </c>
      <c r="AI75" s="59">
        <f t="shared" si="32"/>
        <v>1542.2673433918835</v>
      </c>
      <c r="AJ75" s="59">
        <f t="shared" si="32"/>
        <v>1542.2673433918835</v>
      </c>
      <c r="AK75" s="62">
        <f t="shared" si="32"/>
        <v>1542.2673433918835</v>
      </c>
    </row>
    <row r="76" spans="1:37" ht="20.149999999999999" customHeight="1" outlineLevel="1" thickBot="1" x14ac:dyDescent="0.3">
      <c r="A76" s="96"/>
      <c r="B76" s="102" t="s">
        <v>149</v>
      </c>
      <c r="C76" s="466">
        <f t="shared" ref="C76:AK76" si="33">SUM(C72:C75)</f>
        <v>8799.7673433918826</v>
      </c>
      <c r="D76" s="466">
        <f t="shared" si="33"/>
        <v>8799.7673433918826</v>
      </c>
      <c r="E76" s="466">
        <f t="shared" si="33"/>
        <v>8799.7673433918826</v>
      </c>
      <c r="F76" s="466">
        <f t="shared" si="33"/>
        <v>8799.7673433918826</v>
      </c>
      <c r="G76" s="466">
        <f t="shared" si="33"/>
        <v>8799.7673433918826</v>
      </c>
      <c r="H76" s="466">
        <f t="shared" si="33"/>
        <v>8799.7673433918826</v>
      </c>
      <c r="I76" s="466">
        <f t="shared" si="33"/>
        <v>8799.7673433918826</v>
      </c>
      <c r="J76" s="466">
        <f t="shared" si="33"/>
        <v>8799.7673433918826</v>
      </c>
      <c r="K76" s="466">
        <f t="shared" si="33"/>
        <v>8799.7673433918826</v>
      </c>
      <c r="L76" s="466">
        <f t="shared" si="33"/>
        <v>8799.7673433918826</v>
      </c>
      <c r="M76" s="466">
        <f t="shared" si="33"/>
        <v>8799.7673433918826</v>
      </c>
      <c r="N76" s="466">
        <f t="shared" si="33"/>
        <v>8799.7673433918826</v>
      </c>
      <c r="O76" s="466">
        <f t="shared" si="33"/>
        <v>8799.7673433918826</v>
      </c>
      <c r="P76" s="466">
        <f t="shared" si="33"/>
        <v>8799.7673433918826</v>
      </c>
      <c r="Q76" s="466">
        <f t="shared" si="33"/>
        <v>8799.7673433918826</v>
      </c>
      <c r="R76" s="466">
        <f t="shared" si="33"/>
        <v>8799.7673433918826</v>
      </c>
      <c r="S76" s="466">
        <f t="shared" si="33"/>
        <v>8799.7673433918826</v>
      </c>
      <c r="T76" s="466">
        <f t="shared" si="33"/>
        <v>8799.7673433918826</v>
      </c>
      <c r="U76" s="466">
        <f t="shared" si="33"/>
        <v>8799.7673433918826</v>
      </c>
      <c r="V76" s="466">
        <f t="shared" si="33"/>
        <v>8799.7673433918826</v>
      </c>
      <c r="W76" s="466">
        <f t="shared" si="33"/>
        <v>8799.7673433918826</v>
      </c>
      <c r="X76" s="466">
        <f t="shared" si="33"/>
        <v>8799.7673433918826</v>
      </c>
      <c r="Y76" s="466">
        <f t="shared" si="33"/>
        <v>8799.7673433918826</v>
      </c>
      <c r="Z76" s="466">
        <f t="shared" si="33"/>
        <v>8799.7673433918826</v>
      </c>
      <c r="AA76" s="466">
        <f t="shared" si="33"/>
        <v>8799.7673433918826</v>
      </c>
      <c r="AB76" s="466">
        <f t="shared" si="33"/>
        <v>8799.7673433918826</v>
      </c>
      <c r="AC76" s="466">
        <f t="shared" si="33"/>
        <v>8799.7673433918826</v>
      </c>
      <c r="AD76" s="466">
        <f t="shared" si="33"/>
        <v>8799.7673433918826</v>
      </c>
      <c r="AE76" s="466">
        <f t="shared" si="33"/>
        <v>8799.7673433918826</v>
      </c>
      <c r="AF76" s="466">
        <f t="shared" si="33"/>
        <v>8799.7673433918826</v>
      </c>
      <c r="AG76" s="466">
        <f t="shared" si="33"/>
        <v>8799.7673433918826</v>
      </c>
      <c r="AH76" s="466">
        <f t="shared" si="33"/>
        <v>8799.7673433918826</v>
      </c>
      <c r="AI76" s="466">
        <f t="shared" si="33"/>
        <v>8799.7673433918826</v>
      </c>
      <c r="AJ76" s="466">
        <f t="shared" si="33"/>
        <v>8799.7673433918826</v>
      </c>
      <c r="AK76" s="470">
        <f t="shared" si="33"/>
        <v>8799.7673433918826</v>
      </c>
    </row>
    <row r="77" spans="1:37" ht="20.149999999999999" customHeight="1" outlineLevel="1" thickBot="1" x14ac:dyDescent="0.3">
      <c r="A77" s="14"/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67"/>
      <c r="X77" s="467"/>
      <c r="Y77" s="467"/>
      <c r="Z77" s="467"/>
      <c r="AA77" s="467"/>
      <c r="AB77" s="467"/>
      <c r="AC77" s="467"/>
      <c r="AD77" s="467"/>
      <c r="AE77" s="467"/>
      <c r="AF77" s="467"/>
      <c r="AG77" s="467"/>
      <c r="AH77" s="467"/>
      <c r="AI77" s="467"/>
      <c r="AJ77" s="467"/>
      <c r="AK77" s="467"/>
    </row>
    <row r="78" spans="1:37" ht="20.149999999999999" customHeight="1" outlineLevel="1" x14ac:dyDescent="0.25">
      <c r="A78" s="428">
        <v>3</v>
      </c>
      <c r="B78" s="97" t="s">
        <v>144</v>
      </c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  <c r="AH78" s="468"/>
      <c r="AI78" s="468"/>
      <c r="AJ78" s="468"/>
      <c r="AK78" s="469"/>
    </row>
    <row r="79" spans="1:37" ht="20.149999999999999" customHeight="1" outlineLevel="1" x14ac:dyDescent="0.25">
      <c r="A79" s="429" t="s">
        <v>147</v>
      </c>
      <c r="B79" s="22" t="s">
        <v>272</v>
      </c>
      <c r="C79" s="676">
        <f>'Rentabilidade-Cult.Temp.'!I64</f>
        <v>16080.000000000002</v>
      </c>
      <c r="D79" s="59">
        <f t="shared" ref="D79:AK79" si="34">C79</f>
        <v>16080.000000000002</v>
      </c>
      <c r="E79" s="59">
        <f t="shared" si="34"/>
        <v>16080.000000000002</v>
      </c>
      <c r="F79" s="59">
        <f t="shared" si="34"/>
        <v>16080.000000000002</v>
      </c>
      <c r="G79" s="59">
        <f t="shared" si="34"/>
        <v>16080.000000000002</v>
      </c>
      <c r="H79" s="59">
        <f t="shared" si="34"/>
        <v>16080.000000000002</v>
      </c>
      <c r="I79" s="59">
        <f t="shared" si="34"/>
        <v>16080.000000000002</v>
      </c>
      <c r="J79" s="59">
        <f t="shared" si="34"/>
        <v>16080.000000000002</v>
      </c>
      <c r="K79" s="59">
        <f t="shared" si="34"/>
        <v>16080.000000000002</v>
      </c>
      <c r="L79" s="59">
        <f t="shared" si="34"/>
        <v>16080.000000000002</v>
      </c>
      <c r="M79" s="59">
        <f t="shared" si="34"/>
        <v>16080.000000000002</v>
      </c>
      <c r="N79" s="59">
        <f t="shared" si="34"/>
        <v>16080.000000000002</v>
      </c>
      <c r="O79" s="59">
        <f t="shared" si="34"/>
        <v>16080.000000000002</v>
      </c>
      <c r="P79" s="59">
        <f t="shared" si="34"/>
        <v>16080.000000000002</v>
      </c>
      <c r="Q79" s="59">
        <f t="shared" si="34"/>
        <v>16080.000000000002</v>
      </c>
      <c r="R79" s="59">
        <f t="shared" si="34"/>
        <v>16080.000000000002</v>
      </c>
      <c r="S79" s="59">
        <f t="shared" si="34"/>
        <v>16080.000000000002</v>
      </c>
      <c r="T79" s="59">
        <f t="shared" si="34"/>
        <v>16080.000000000002</v>
      </c>
      <c r="U79" s="59">
        <f t="shared" si="34"/>
        <v>16080.000000000002</v>
      </c>
      <c r="V79" s="59">
        <f t="shared" si="34"/>
        <v>16080.000000000002</v>
      </c>
      <c r="W79" s="59">
        <f t="shared" si="34"/>
        <v>16080.000000000002</v>
      </c>
      <c r="X79" s="59">
        <f t="shared" si="34"/>
        <v>16080.000000000002</v>
      </c>
      <c r="Y79" s="59">
        <f t="shared" si="34"/>
        <v>16080.000000000002</v>
      </c>
      <c r="Z79" s="59">
        <f t="shared" si="34"/>
        <v>16080.000000000002</v>
      </c>
      <c r="AA79" s="59">
        <f t="shared" si="34"/>
        <v>16080.000000000002</v>
      </c>
      <c r="AB79" s="59">
        <f t="shared" si="34"/>
        <v>16080.000000000002</v>
      </c>
      <c r="AC79" s="59">
        <f t="shared" si="34"/>
        <v>16080.000000000002</v>
      </c>
      <c r="AD79" s="59">
        <f t="shared" si="34"/>
        <v>16080.000000000002</v>
      </c>
      <c r="AE79" s="59">
        <f t="shared" si="34"/>
        <v>16080.000000000002</v>
      </c>
      <c r="AF79" s="59">
        <f t="shared" si="34"/>
        <v>16080.000000000002</v>
      </c>
      <c r="AG79" s="59">
        <f t="shared" si="34"/>
        <v>16080.000000000002</v>
      </c>
      <c r="AH79" s="59">
        <f t="shared" si="34"/>
        <v>16080.000000000002</v>
      </c>
      <c r="AI79" s="59">
        <f t="shared" si="34"/>
        <v>16080.000000000002</v>
      </c>
      <c r="AJ79" s="59">
        <f t="shared" si="34"/>
        <v>16080.000000000002</v>
      </c>
      <c r="AK79" s="62">
        <f t="shared" si="34"/>
        <v>16080.000000000002</v>
      </c>
    </row>
    <row r="80" spans="1:37" ht="20.149999999999999" customHeight="1" outlineLevel="1" thickBot="1" x14ac:dyDescent="0.3">
      <c r="A80" s="96"/>
      <c r="B80" s="102" t="s">
        <v>153</v>
      </c>
      <c r="C80" s="466">
        <f t="shared" ref="C80:AK80" si="35">SUM(C79:C79)</f>
        <v>16080.000000000002</v>
      </c>
      <c r="D80" s="466">
        <f t="shared" si="35"/>
        <v>16080.000000000002</v>
      </c>
      <c r="E80" s="466">
        <f t="shared" si="35"/>
        <v>16080.000000000002</v>
      </c>
      <c r="F80" s="466">
        <f t="shared" si="35"/>
        <v>16080.000000000002</v>
      </c>
      <c r="G80" s="466">
        <f t="shared" si="35"/>
        <v>16080.000000000002</v>
      </c>
      <c r="H80" s="466">
        <f t="shared" si="35"/>
        <v>16080.000000000002</v>
      </c>
      <c r="I80" s="466">
        <f t="shared" si="35"/>
        <v>16080.000000000002</v>
      </c>
      <c r="J80" s="466">
        <f t="shared" si="35"/>
        <v>16080.000000000002</v>
      </c>
      <c r="K80" s="466">
        <f t="shared" si="35"/>
        <v>16080.000000000002</v>
      </c>
      <c r="L80" s="466">
        <f t="shared" si="35"/>
        <v>16080.000000000002</v>
      </c>
      <c r="M80" s="466">
        <f t="shared" si="35"/>
        <v>16080.000000000002</v>
      </c>
      <c r="N80" s="466">
        <f t="shared" si="35"/>
        <v>16080.000000000002</v>
      </c>
      <c r="O80" s="466">
        <f t="shared" si="35"/>
        <v>16080.000000000002</v>
      </c>
      <c r="P80" s="466">
        <f t="shared" si="35"/>
        <v>16080.000000000002</v>
      </c>
      <c r="Q80" s="466">
        <f t="shared" si="35"/>
        <v>16080.000000000002</v>
      </c>
      <c r="R80" s="466">
        <f t="shared" si="35"/>
        <v>16080.000000000002</v>
      </c>
      <c r="S80" s="466">
        <f t="shared" si="35"/>
        <v>16080.000000000002</v>
      </c>
      <c r="T80" s="466">
        <f t="shared" si="35"/>
        <v>16080.000000000002</v>
      </c>
      <c r="U80" s="466">
        <f t="shared" si="35"/>
        <v>16080.000000000002</v>
      </c>
      <c r="V80" s="466">
        <f t="shared" si="35"/>
        <v>16080.000000000002</v>
      </c>
      <c r="W80" s="466">
        <f t="shared" si="35"/>
        <v>16080.000000000002</v>
      </c>
      <c r="X80" s="466">
        <f t="shared" si="35"/>
        <v>16080.000000000002</v>
      </c>
      <c r="Y80" s="466">
        <f t="shared" si="35"/>
        <v>16080.000000000002</v>
      </c>
      <c r="Z80" s="466">
        <f t="shared" si="35"/>
        <v>16080.000000000002</v>
      </c>
      <c r="AA80" s="466">
        <f t="shared" si="35"/>
        <v>16080.000000000002</v>
      </c>
      <c r="AB80" s="466">
        <f t="shared" si="35"/>
        <v>16080.000000000002</v>
      </c>
      <c r="AC80" s="466">
        <f t="shared" si="35"/>
        <v>16080.000000000002</v>
      </c>
      <c r="AD80" s="466">
        <f t="shared" si="35"/>
        <v>16080.000000000002</v>
      </c>
      <c r="AE80" s="466">
        <f t="shared" si="35"/>
        <v>16080.000000000002</v>
      </c>
      <c r="AF80" s="466">
        <f t="shared" si="35"/>
        <v>16080.000000000002</v>
      </c>
      <c r="AG80" s="466">
        <f t="shared" si="35"/>
        <v>16080.000000000002</v>
      </c>
      <c r="AH80" s="466">
        <f t="shared" si="35"/>
        <v>16080.000000000002</v>
      </c>
      <c r="AI80" s="466">
        <f t="shared" si="35"/>
        <v>16080.000000000002</v>
      </c>
      <c r="AJ80" s="466">
        <f t="shared" si="35"/>
        <v>16080.000000000002</v>
      </c>
      <c r="AK80" s="470">
        <f t="shared" si="35"/>
        <v>16080.000000000002</v>
      </c>
    </row>
    <row r="81" spans="1:74" ht="20.149999999999999" customHeight="1" outlineLevel="1" thickBot="1" x14ac:dyDescent="0.3"/>
    <row r="82" spans="1:74" ht="20.149999999999999" customHeight="1" outlineLevel="1" thickBot="1" x14ac:dyDescent="0.3">
      <c r="A82" s="70">
        <v>4</v>
      </c>
      <c r="B82" s="104" t="s">
        <v>156</v>
      </c>
      <c r="C82" s="472">
        <f t="shared" ref="C82:AK82" si="36">C80-C76-C69</f>
        <v>-4215.3541679554564</v>
      </c>
      <c r="D82" s="472">
        <f t="shared" si="36"/>
        <v>7280.2326566081192</v>
      </c>
      <c r="E82" s="472">
        <f t="shared" si="36"/>
        <v>7280.2326566081192</v>
      </c>
      <c r="F82" s="472">
        <f t="shared" si="36"/>
        <v>7280.2326566081192</v>
      </c>
      <c r="G82" s="472">
        <f t="shared" si="36"/>
        <v>7280.2326566081192</v>
      </c>
      <c r="H82" s="472">
        <f t="shared" si="36"/>
        <v>7280.2326566081192</v>
      </c>
      <c r="I82" s="472">
        <f t="shared" si="36"/>
        <v>7280.2326566081192</v>
      </c>
      <c r="J82" s="472">
        <f t="shared" si="36"/>
        <v>7280.2326566081192</v>
      </c>
      <c r="K82" s="472">
        <f t="shared" si="36"/>
        <v>7280.2326566081192</v>
      </c>
      <c r="L82" s="472">
        <f t="shared" si="36"/>
        <v>7280.2326566081192</v>
      </c>
      <c r="M82" s="472">
        <f t="shared" si="36"/>
        <v>7280.2326566081192</v>
      </c>
      <c r="N82" s="472">
        <f t="shared" si="36"/>
        <v>7280.2326566081192</v>
      </c>
      <c r="O82" s="472">
        <f t="shared" si="36"/>
        <v>7280.2326566081192</v>
      </c>
      <c r="P82" s="472">
        <f t="shared" si="36"/>
        <v>7280.2326566081192</v>
      </c>
      <c r="Q82" s="472">
        <f t="shared" si="36"/>
        <v>7280.2326566081192</v>
      </c>
      <c r="R82" s="472">
        <f t="shared" si="36"/>
        <v>7280.2326566081192</v>
      </c>
      <c r="S82" s="472">
        <f t="shared" si="36"/>
        <v>7280.2326566081192</v>
      </c>
      <c r="T82" s="472">
        <f t="shared" si="36"/>
        <v>7280.2326566081192</v>
      </c>
      <c r="U82" s="472">
        <f t="shared" si="36"/>
        <v>7280.2326566081192</v>
      </c>
      <c r="V82" s="472">
        <f t="shared" si="36"/>
        <v>7280.2326566081192</v>
      </c>
      <c r="W82" s="472">
        <f t="shared" si="36"/>
        <v>7280.2326566081192</v>
      </c>
      <c r="X82" s="472">
        <f t="shared" si="36"/>
        <v>7280.2326566081192</v>
      </c>
      <c r="Y82" s="472">
        <f t="shared" si="36"/>
        <v>7280.2326566081192</v>
      </c>
      <c r="Z82" s="472">
        <f t="shared" si="36"/>
        <v>7280.2326566081192</v>
      </c>
      <c r="AA82" s="472">
        <f t="shared" si="36"/>
        <v>7280.2326566081192</v>
      </c>
      <c r="AB82" s="472">
        <f t="shared" si="36"/>
        <v>7280.2326566081192</v>
      </c>
      <c r="AC82" s="472">
        <f t="shared" si="36"/>
        <v>7280.2326566081192</v>
      </c>
      <c r="AD82" s="472">
        <f t="shared" si="36"/>
        <v>7280.2326566081192</v>
      </c>
      <c r="AE82" s="472">
        <f t="shared" si="36"/>
        <v>7280.2326566081192</v>
      </c>
      <c r="AF82" s="472">
        <f t="shared" si="36"/>
        <v>7280.2326566081192</v>
      </c>
      <c r="AG82" s="472">
        <f t="shared" si="36"/>
        <v>7280.2326566081192</v>
      </c>
      <c r="AH82" s="472">
        <f t="shared" si="36"/>
        <v>7280.2326566081192</v>
      </c>
      <c r="AI82" s="472">
        <f t="shared" si="36"/>
        <v>7280.2326566081192</v>
      </c>
      <c r="AJ82" s="472">
        <f t="shared" si="36"/>
        <v>7280.2326566081192</v>
      </c>
      <c r="AK82" s="473">
        <f t="shared" si="36"/>
        <v>7280.2326566081192</v>
      </c>
    </row>
    <row r="83" spans="1:74" ht="20.149999999999999" customHeight="1" outlineLevel="1" thickBot="1" x14ac:dyDescent="0.3">
      <c r="A83" s="14"/>
      <c r="C83" s="471"/>
      <c r="D83" s="471"/>
      <c r="E83" s="471"/>
      <c r="F83" s="471"/>
      <c r="G83" s="471"/>
      <c r="H83" s="471"/>
      <c r="I83" s="471"/>
      <c r="J83" s="471"/>
      <c r="K83" s="471"/>
      <c r="L83" s="471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67"/>
      <c r="X83" s="467"/>
      <c r="Y83" s="467"/>
      <c r="Z83" s="467"/>
      <c r="AA83" s="467"/>
      <c r="AB83" s="467"/>
      <c r="AC83" s="467"/>
      <c r="AD83" s="467"/>
      <c r="AE83" s="467"/>
      <c r="AF83" s="467"/>
      <c r="AG83" s="467"/>
      <c r="AH83" s="467"/>
      <c r="AI83" s="467"/>
      <c r="AJ83" s="467"/>
      <c r="AK83" s="467"/>
    </row>
    <row r="84" spans="1:74" ht="20.149999999999999" customHeight="1" outlineLevel="1" thickBot="1" x14ac:dyDescent="0.3">
      <c r="A84" s="70">
        <v>5</v>
      </c>
      <c r="B84" s="104" t="s">
        <v>160</v>
      </c>
      <c r="C84" s="474">
        <f>C82</f>
        <v>-4215.3541679554564</v>
      </c>
      <c r="D84" s="474">
        <f t="shared" ref="D84:AK84" si="37">C84+D82</f>
        <v>3064.8784886526628</v>
      </c>
      <c r="E84" s="474">
        <f t="shared" si="37"/>
        <v>10345.111145260782</v>
      </c>
      <c r="F84" s="474">
        <f t="shared" si="37"/>
        <v>17625.343801868901</v>
      </c>
      <c r="G84" s="474">
        <f t="shared" si="37"/>
        <v>24905.576458477022</v>
      </c>
      <c r="H84" s="474">
        <f t="shared" si="37"/>
        <v>32185.80911508514</v>
      </c>
      <c r="I84" s="474">
        <f t="shared" si="37"/>
        <v>39466.041771693257</v>
      </c>
      <c r="J84" s="474">
        <f t="shared" si="37"/>
        <v>46746.274428301374</v>
      </c>
      <c r="K84" s="474">
        <f t="shared" si="37"/>
        <v>54026.507084909492</v>
      </c>
      <c r="L84" s="474">
        <f t="shared" si="37"/>
        <v>61306.739741517609</v>
      </c>
      <c r="M84" s="474">
        <f t="shared" si="37"/>
        <v>68586.972398125727</v>
      </c>
      <c r="N84" s="474">
        <f t="shared" si="37"/>
        <v>75867.205054733844</v>
      </c>
      <c r="O84" s="474">
        <f t="shared" si="37"/>
        <v>83147.437711341961</v>
      </c>
      <c r="P84" s="474">
        <f t="shared" si="37"/>
        <v>90427.670367950079</v>
      </c>
      <c r="Q84" s="474">
        <f t="shared" si="37"/>
        <v>97707.903024558196</v>
      </c>
      <c r="R84" s="474">
        <f t="shared" si="37"/>
        <v>104988.13568116631</v>
      </c>
      <c r="S84" s="474">
        <f t="shared" si="37"/>
        <v>112268.36833777443</v>
      </c>
      <c r="T84" s="474">
        <f t="shared" si="37"/>
        <v>119548.60099438255</v>
      </c>
      <c r="U84" s="474">
        <f t="shared" si="37"/>
        <v>126828.83365099067</v>
      </c>
      <c r="V84" s="474">
        <f t="shared" si="37"/>
        <v>134109.06630759878</v>
      </c>
      <c r="W84" s="474">
        <f t="shared" si="37"/>
        <v>141389.29896420692</v>
      </c>
      <c r="X84" s="474">
        <f t="shared" si="37"/>
        <v>148669.53162081505</v>
      </c>
      <c r="Y84" s="474">
        <f t="shared" si="37"/>
        <v>155949.76427742318</v>
      </c>
      <c r="Z84" s="474">
        <f t="shared" si="37"/>
        <v>163229.99693403131</v>
      </c>
      <c r="AA84" s="474">
        <f t="shared" si="37"/>
        <v>170510.22959063944</v>
      </c>
      <c r="AB84" s="474">
        <f t="shared" si="37"/>
        <v>177790.46224724757</v>
      </c>
      <c r="AC84" s="474">
        <f t="shared" si="37"/>
        <v>185070.69490385571</v>
      </c>
      <c r="AD84" s="474">
        <f t="shared" si="37"/>
        <v>192350.92756046384</v>
      </c>
      <c r="AE84" s="474">
        <f t="shared" si="37"/>
        <v>199631.16021707197</v>
      </c>
      <c r="AF84" s="474">
        <f t="shared" si="37"/>
        <v>206911.3928736801</v>
      </c>
      <c r="AG84" s="474">
        <f t="shared" si="37"/>
        <v>214191.62553028823</v>
      </c>
      <c r="AH84" s="474">
        <f t="shared" si="37"/>
        <v>221471.85818689637</v>
      </c>
      <c r="AI84" s="474">
        <f t="shared" si="37"/>
        <v>228752.0908435045</v>
      </c>
      <c r="AJ84" s="474">
        <f t="shared" si="37"/>
        <v>236032.32350011263</v>
      </c>
      <c r="AK84" s="475">
        <f t="shared" si="37"/>
        <v>243312.55615672076</v>
      </c>
    </row>
    <row r="85" spans="1:74" ht="20.149999999999999" customHeight="1" outlineLevel="1" x14ac:dyDescent="0.25">
      <c r="A85" s="14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 spans="1:74" ht="20.149999999999999" customHeight="1" outlineLevel="1" x14ac:dyDescent="0.25">
      <c r="A86" s="14"/>
      <c r="C86" s="439" t="s">
        <v>512</v>
      </c>
      <c r="D86" s="116">
        <f>AK84/AK63</f>
        <v>6951.7873187634505</v>
      </c>
      <c r="E86" s="439" t="s">
        <v>317</v>
      </c>
      <c r="F86" s="16"/>
      <c r="G86" s="16"/>
      <c r="H86" s="16"/>
      <c r="I86" s="16"/>
      <c r="J86" s="16"/>
      <c r="K86" s="16"/>
      <c r="L86" s="16"/>
      <c r="M86" s="16"/>
    </row>
    <row r="87" spans="1:74" ht="13" outlineLevel="1" thickBot="1" x14ac:dyDescent="0.3">
      <c r="A87" s="14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 spans="1:74" s="563" customFormat="1" ht="30" customHeight="1" thickBot="1" x14ac:dyDescent="0.3">
      <c r="A88" s="555" t="s">
        <v>327</v>
      </c>
      <c r="B88" s="621"/>
      <c r="C88" s="621"/>
      <c r="D88" s="621"/>
      <c r="E88" s="621"/>
      <c r="F88" s="621"/>
      <c r="G88" s="621"/>
      <c r="H88" s="621"/>
      <c r="I88" s="621"/>
      <c r="J88" s="621"/>
      <c r="K88" s="621"/>
      <c r="L88" s="621"/>
      <c r="M88" s="621"/>
      <c r="N88" s="621"/>
      <c r="O88" s="621"/>
      <c r="P88" s="621"/>
      <c r="Q88" s="621"/>
      <c r="R88" s="621"/>
      <c r="S88" s="621"/>
      <c r="T88" s="621"/>
      <c r="U88" s="621"/>
      <c r="V88" s="621"/>
      <c r="W88" s="621"/>
      <c r="X88" s="621"/>
      <c r="Y88" s="621"/>
      <c r="Z88" s="621"/>
      <c r="AA88" s="621"/>
      <c r="AB88" s="621"/>
      <c r="AC88" s="621"/>
      <c r="AD88" s="621"/>
      <c r="AE88" s="621"/>
      <c r="AF88" s="621"/>
      <c r="AG88" s="621"/>
      <c r="AH88" s="621"/>
      <c r="AI88" s="621"/>
      <c r="AJ88" s="621"/>
      <c r="AK88" s="621"/>
      <c r="AL88" s="621"/>
      <c r="AM88" s="621"/>
      <c r="AN88" s="621"/>
      <c r="AO88" s="621"/>
      <c r="AP88" s="621"/>
      <c r="AQ88" s="621"/>
      <c r="AR88" s="621"/>
      <c r="AS88" s="621"/>
      <c r="AT88" s="621"/>
      <c r="AU88" s="621"/>
    </row>
    <row r="89" spans="1:74" s="550" customFormat="1" ht="20.149999999999999" customHeight="1" outlineLevel="1" thickBot="1" x14ac:dyDescent="0.3">
      <c r="A89" s="547" t="s">
        <v>513</v>
      </c>
      <c r="B89" s="548"/>
      <c r="C89" s="548"/>
      <c r="D89" s="548"/>
      <c r="E89" s="548"/>
      <c r="F89" s="548"/>
      <c r="G89" s="548"/>
      <c r="H89" s="548"/>
      <c r="I89" s="548"/>
      <c r="J89" s="548"/>
      <c r="K89" s="548"/>
      <c r="L89" s="548"/>
      <c r="M89" s="548"/>
      <c r="N89" s="548"/>
      <c r="O89" s="548"/>
      <c r="P89" s="548"/>
      <c r="Q89" s="548"/>
      <c r="R89" s="548"/>
      <c r="S89" s="548"/>
      <c r="T89" s="548"/>
      <c r="U89" s="548"/>
      <c r="V89" s="548"/>
      <c r="W89" s="548"/>
      <c r="X89" s="548"/>
      <c r="Y89" s="548"/>
      <c r="Z89" s="548"/>
      <c r="AA89" s="548"/>
      <c r="AB89" s="548"/>
      <c r="AC89" s="548"/>
      <c r="AD89" s="548"/>
      <c r="AE89" s="548"/>
      <c r="AF89" s="548"/>
      <c r="AG89" s="548"/>
      <c r="AH89" s="548"/>
      <c r="AI89" s="548"/>
      <c r="AJ89" s="548"/>
      <c r="AK89" s="548"/>
      <c r="AL89" s="548"/>
      <c r="AM89" s="548"/>
      <c r="AN89" s="549"/>
    </row>
    <row r="90" spans="1:74" s="14" customFormat="1" ht="20.149999999999999" customHeight="1" outlineLevel="1" thickBot="1" x14ac:dyDescent="0.3">
      <c r="A90" s="1102" t="s">
        <v>152</v>
      </c>
      <c r="B90" s="1102" t="s">
        <v>150</v>
      </c>
      <c r="C90" s="1103" t="s">
        <v>151</v>
      </c>
      <c r="D90" s="1104"/>
      <c r="E90" s="1104"/>
      <c r="F90" s="1104"/>
      <c r="G90" s="1104"/>
      <c r="H90" s="1104"/>
      <c r="I90" s="1104"/>
      <c r="J90" s="1104"/>
      <c r="K90" s="1104"/>
      <c r="L90" s="1104"/>
      <c r="M90" s="1104"/>
      <c r="N90" s="1104"/>
      <c r="O90" s="1104"/>
      <c r="P90" s="1104"/>
      <c r="Q90" s="1104"/>
      <c r="R90" s="1104"/>
      <c r="S90" s="1104"/>
      <c r="T90" s="1104"/>
      <c r="U90" s="1104"/>
      <c r="V90" s="1104"/>
      <c r="W90" s="1104"/>
      <c r="X90" s="1104"/>
      <c r="Y90" s="1104"/>
      <c r="Z90" s="1104"/>
      <c r="AA90" s="1104"/>
      <c r="AB90" s="1104"/>
      <c r="AC90" s="1104"/>
      <c r="AD90" s="1104"/>
      <c r="AE90" s="1104"/>
      <c r="AF90" s="1104"/>
      <c r="AG90" s="1104"/>
      <c r="AH90" s="1104"/>
      <c r="AI90" s="1104"/>
      <c r="AJ90" s="1104"/>
      <c r="AK90" s="1105"/>
      <c r="AL90" s="210"/>
      <c r="AM90" s="354"/>
      <c r="AN90" s="1102"/>
      <c r="AO90" s="1102"/>
      <c r="AP90" s="1102"/>
      <c r="AQ90" s="1102"/>
      <c r="AR90" s="1102"/>
      <c r="AS90" s="1102"/>
      <c r="AT90" s="1102"/>
      <c r="AU90" s="1102"/>
      <c r="AV90" s="1102"/>
      <c r="AW90" s="1102"/>
      <c r="AX90" s="1102"/>
      <c r="AY90" s="1102"/>
      <c r="AZ90" s="1102"/>
      <c r="BA90" s="1102"/>
      <c r="BB90" s="1102"/>
      <c r="BC90" s="1102"/>
      <c r="BD90" s="1102"/>
      <c r="BE90" s="1102"/>
      <c r="BF90" s="1102"/>
      <c r="BG90" s="1102"/>
      <c r="BH90" s="1102"/>
      <c r="BI90" s="1102"/>
      <c r="BJ90" s="1102"/>
      <c r="BK90" s="1102"/>
      <c r="BL90" s="1102"/>
      <c r="BM90" s="1102"/>
      <c r="BN90" s="1102"/>
      <c r="BO90" s="1102"/>
      <c r="BP90" s="1102"/>
      <c r="BQ90" s="1102"/>
      <c r="BR90" s="1102"/>
      <c r="BS90" s="1102"/>
      <c r="BT90" s="1102"/>
      <c r="BU90" s="1102"/>
      <c r="BV90" s="1102"/>
    </row>
    <row r="91" spans="1:74" s="14" customFormat="1" ht="20.149999999999999" customHeight="1" outlineLevel="1" thickBot="1" x14ac:dyDescent="0.3">
      <c r="A91" s="1102"/>
      <c r="B91" s="1102"/>
      <c r="C91" s="210">
        <v>1</v>
      </c>
      <c r="D91" s="275">
        <f t="shared" ref="D91:AJ91" si="38">C91+1</f>
        <v>2</v>
      </c>
      <c r="E91" s="211">
        <f t="shared" si="38"/>
        <v>3</v>
      </c>
      <c r="F91" s="211">
        <f t="shared" si="38"/>
        <v>4</v>
      </c>
      <c r="G91" s="211">
        <f t="shared" si="38"/>
        <v>5</v>
      </c>
      <c r="H91" s="211">
        <f t="shared" si="38"/>
        <v>6</v>
      </c>
      <c r="I91" s="211">
        <f t="shared" si="38"/>
        <v>7</v>
      </c>
      <c r="J91" s="211">
        <f t="shared" si="38"/>
        <v>8</v>
      </c>
      <c r="K91" s="211">
        <f t="shared" si="38"/>
        <v>9</v>
      </c>
      <c r="L91" s="211">
        <f t="shared" si="38"/>
        <v>10</v>
      </c>
      <c r="M91" s="211">
        <f t="shared" si="38"/>
        <v>11</v>
      </c>
      <c r="N91" s="211">
        <f t="shared" si="38"/>
        <v>12</v>
      </c>
      <c r="O91" s="211">
        <f t="shared" si="38"/>
        <v>13</v>
      </c>
      <c r="P91" s="211">
        <f t="shared" si="38"/>
        <v>14</v>
      </c>
      <c r="Q91" s="211">
        <f t="shared" si="38"/>
        <v>15</v>
      </c>
      <c r="R91" s="211">
        <f t="shared" si="38"/>
        <v>16</v>
      </c>
      <c r="S91" s="211">
        <f t="shared" si="38"/>
        <v>17</v>
      </c>
      <c r="T91" s="211">
        <f t="shared" si="38"/>
        <v>18</v>
      </c>
      <c r="U91" s="211">
        <f t="shared" si="38"/>
        <v>19</v>
      </c>
      <c r="V91" s="211">
        <f t="shared" si="38"/>
        <v>20</v>
      </c>
      <c r="W91" s="211">
        <f t="shared" si="38"/>
        <v>21</v>
      </c>
      <c r="X91" s="211">
        <f t="shared" si="38"/>
        <v>22</v>
      </c>
      <c r="Y91" s="211">
        <f t="shared" si="38"/>
        <v>23</v>
      </c>
      <c r="Z91" s="211">
        <f t="shared" si="38"/>
        <v>24</v>
      </c>
      <c r="AA91" s="211">
        <f t="shared" si="38"/>
        <v>25</v>
      </c>
      <c r="AB91" s="211">
        <f t="shared" si="38"/>
        <v>26</v>
      </c>
      <c r="AC91" s="211">
        <f t="shared" si="38"/>
        <v>27</v>
      </c>
      <c r="AD91" s="211">
        <f t="shared" si="38"/>
        <v>28</v>
      </c>
      <c r="AE91" s="211">
        <f t="shared" si="38"/>
        <v>29</v>
      </c>
      <c r="AF91" s="211">
        <f t="shared" si="38"/>
        <v>30</v>
      </c>
      <c r="AG91" s="211">
        <f t="shared" si="38"/>
        <v>31</v>
      </c>
      <c r="AH91" s="211">
        <f t="shared" si="38"/>
        <v>32</v>
      </c>
      <c r="AI91" s="211">
        <f t="shared" si="38"/>
        <v>33</v>
      </c>
      <c r="AJ91" s="211">
        <f t="shared" si="38"/>
        <v>34</v>
      </c>
      <c r="AK91" s="211">
        <v>35</v>
      </c>
      <c r="AL91" s="212"/>
      <c r="AM91" s="355"/>
      <c r="AN91" s="275"/>
      <c r="AO91" s="211"/>
      <c r="AP91" s="211"/>
      <c r="AQ91" s="211"/>
      <c r="AR91" s="211"/>
      <c r="AS91" s="211"/>
      <c r="AT91" s="211"/>
      <c r="AU91" s="211"/>
      <c r="AV91" s="211"/>
      <c r="AW91" s="211"/>
      <c r="AX91" s="211"/>
      <c r="AY91" s="211"/>
      <c r="AZ91" s="211"/>
      <c r="BA91" s="211"/>
      <c r="BB91" s="211"/>
      <c r="BC91" s="211"/>
      <c r="BD91" s="211"/>
      <c r="BE91" s="211"/>
      <c r="BF91" s="211"/>
      <c r="BG91" s="211"/>
      <c r="BH91" s="211"/>
      <c r="BI91" s="211"/>
      <c r="BJ91" s="211"/>
      <c r="BK91" s="211"/>
      <c r="BL91" s="211"/>
      <c r="BM91" s="211"/>
      <c r="BN91" s="211"/>
      <c r="BO91" s="211"/>
      <c r="BP91" s="211"/>
      <c r="BQ91" s="211"/>
      <c r="BR91" s="211"/>
      <c r="BS91" s="211"/>
      <c r="BT91" s="211"/>
      <c r="BU91" s="211"/>
      <c r="BV91" s="212"/>
    </row>
    <row r="92" spans="1:74" ht="20.149999999999999" customHeight="1" outlineLevel="1" x14ac:dyDescent="0.25">
      <c r="A92" s="71">
        <v>1</v>
      </c>
      <c r="B92" s="76" t="s">
        <v>134</v>
      </c>
      <c r="AK92" s="77"/>
    </row>
    <row r="93" spans="1:74" ht="20.149999999999999" customHeight="1" outlineLevel="1" x14ac:dyDescent="0.25">
      <c r="A93" s="48" t="s">
        <v>74</v>
      </c>
      <c r="B93" s="78" t="s">
        <v>129</v>
      </c>
      <c r="C93" s="59">
        <f>'Custos Diversos'!E165</f>
        <v>646.83682456357587</v>
      </c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62"/>
    </row>
    <row r="94" spans="1:74" ht="20.149999999999999" customHeight="1" outlineLevel="1" x14ac:dyDescent="0.25">
      <c r="A94" s="48" t="s">
        <v>75</v>
      </c>
      <c r="B94" s="82" t="s">
        <v>335</v>
      </c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62"/>
    </row>
    <row r="95" spans="1:74" ht="20.149999999999999" customHeight="1" outlineLevel="1" x14ac:dyDescent="0.25">
      <c r="A95" s="48" t="s">
        <v>76</v>
      </c>
      <c r="B95" s="82" t="s">
        <v>336</v>
      </c>
      <c r="C95" s="59">
        <f>'Rentabilidade-Cult.Temp.'!K42</f>
        <v>9250</v>
      </c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62"/>
    </row>
    <row r="96" spans="1:74" ht="20.149999999999999" customHeight="1" outlineLevel="1" x14ac:dyDescent="0.25">
      <c r="A96" s="48" t="s">
        <v>126</v>
      </c>
      <c r="B96" s="82" t="s">
        <v>130</v>
      </c>
      <c r="C96" s="59">
        <f>'Rentabilidade-Cult.Temp.'!K45-'Rentabilidade-Cult.Temp.'!K42</f>
        <v>1598.75</v>
      </c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62"/>
    </row>
    <row r="97" spans="1:37" ht="20.149999999999999" customHeight="1" outlineLevel="1" thickBot="1" x14ac:dyDescent="0.3">
      <c r="A97" s="96"/>
      <c r="B97" s="87" t="s">
        <v>148</v>
      </c>
      <c r="C97" s="466">
        <f>SUM(C93:C96)</f>
        <v>11495.586824563576</v>
      </c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3"/>
    </row>
    <row r="98" spans="1:37" ht="20.149999999999999" customHeight="1" outlineLevel="1" thickBot="1" x14ac:dyDescent="0.3">
      <c r="A98" s="14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  <c r="AA98" s="467"/>
      <c r="AB98" s="467"/>
      <c r="AC98" s="467"/>
      <c r="AD98" s="467"/>
      <c r="AE98" s="467"/>
      <c r="AF98" s="467"/>
      <c r="AG98" s="467"/>
      <c r="AH98" s="467"/>
      <c r="AI98" s="467"/>
      <c r="AJ98" s="467"/>
      <c r="AK98" s="467"/>
    </row>
    <row r="99" spans="1:37" ht="20.149999999999999" customHeight="1" outlineLevel="1" x14ac:dyDescent="0.25">
      <c r="A99" s="428">
        <v>2</v>
      </c>
      <c r="B99" s="97" t="s">
        <v>136</v>
      </c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  <c r="AK99" s="469"/>
    </row>
    <row r="100" spans="1:37" ht="20.149999999999999" customHeight="1" outlineLevel="1" x14ac:dyDescent="0.25">
      <c r="A100" s="276" t="s">
        <v>137</v>
      </c>
      <c r="B100" s="22" t="s">
        <v>142</v>
      </c>
      <c r="C100" s="59">
        <f>'Rentabilidade-Cult.Temp.'!K19</f>
        <v>3847.5</v>
      </c>
      <c r="D100" s="59">
        <f t="shared" ref="D100:AK100" si="39">C100</f>
        <v>3847.5</v>
      </c>
      <c r="E100" s="59">
        <f t="shared" si="39"/>
        <v>3847.5</v>
      </c>
      <c r="F100" s="59">
        <f t="shared" si="39"/>
        <v>3847.5</v>
      </c>
      <c r="G100" s="59">
        <f t="shared" si="39"/>
        <v>3847.5</v>
      </c>
      <c r="H100" s="59">
        <f t="shared" si="39"/>
        <v>3847.5</v>
      </c>
      <c r="I100" s="59">
        <f t="shared" si="39"/>
        <v>3847.5</v>
      </c>
      <c r="J100" s="59">
        <f t="shared" si="39"/>
        <v>3847.5</v>
      </c>
      <c r="K100" s="59">
        <f t="shared" si="39"/>
        <v>3847.5</v>
      </c>
      <c r="L100" s="59">
        <f t="shared" si="39"/>
        <v>3847.5</v>
      </c>
      <c r="M100" s="59">
        <f t="shared" si="39"/>
        <v>3847.5</v>
      </c>
      <c r="N100" s="59">
        <f t="shared" si="39"/>
        <v>3847.5</v>
      </c>
      <c r="O100" s="59">
        <f t="shared" si="39"/>
        <v>3847.5</v>
      </c>
      <c r="P100" s="59">
        <f t="shared" si="39"/>
        <v>3847.5</v>
      </c>
      <c r="Q100" s="59">
        <f t="shared" si="39"/>
        <v>3847.5</v>
      </c>
      <c r="R100" s="59">
        <f t="shared" si="39"/>
        <v>3847.5</v>
      </c>
      <c r="S100" s="59">
        <f t="shared" si="39"/>
        <v>3847.5</v>
      </c>
      <c r="T100" s="59">
        <f t="shared" si="39"/>
        <v>3847.5</v>
      </c>
      <c r="U100" s="59">
        <f t="shared" si="39"/>
        <v>3847.5</v>
      </c>
      <c r="V100" s="59">
        <f t="shared" si="39"/>
        <v>3847.5</v>
      </c>
      <c r="W100" s="59">
        <f t="shared" si="39"/>
        <v>3847.5</v>
      </c>
      <c r="X100" s="59">
        <f t="shared" si="39"/>
        <v>3847.5</v>
      </c>
      <c r="Y100" s="59">
        <f t="shared" si="39"/>
        <v>3847.5</v>
      </c>
      <c r="Z100" s="59">
        <f t="shared" si="39"/>
        <v>3847.5</v>
      </c>
      <c r="AA100" s="59">
        <f t="shared" si="39"/>
        <v>3847.5</v>
      </c>
      <c r="AB100" s="59">
        <f t="shared" si="39"/>
        <v>3847.5</v>
      </c>
      <c r="AC100" s="59">
        <f t="shared" si="39"/>
        <v>3847.5</v>
      </c>
      <c r="AD100" s="59">
        <f t="shared" si="39"/>
        <v>3847.5</v>
      </c>
      <c r="AE100" s="59">
        <f t="shared" si="39"/>
        <v>3847.5</v>
      </c>
      <c r="AF100" s="59">
        <f t="shared" si="39"/>
        <v>3847.5</v>
      </c>
      <c r="AG100" s="59">
        <f t="shared" si="39"/>
        <v>3847.5</v>
      </c>
      <c r="AH100" s="59">
        <f t="shared" si="39"/>
        <v>3847.5</v>
      </c>
      <c r="AI100" s="59">
        <f t="shared" si="39"/>
        <v>3847.5</v>
      </c>
      <c r="AJ100" s="59">
        <f t="shared" si="39"/>
        <v>3847.5</v>
      </c>
      <c r="AK100" s="62">
        <f t="shared" si="39"/>
        <v>3847.5</v>
      </c>
    </row>
    <row r="101" spans="1:37" ht="20.149999999999999" customHeight="1" outlineLevel="1" x14ac:dyDescent="0.25">
      <c r="A101" s="276" t="s">
        <v>138</v>
      </c>
      <c r="B101" s="66" t="s">
        <v>146</v>
      </c>
      <c r="C101" s="59">
        <f>'Rentabilidade-Cult.Temp.'!K26</f>
        <v>795</v>
      </c>
      <c r="D101" s="59">
        <f t="shared" ref="D101:AK101" si="40">C101</f>
        <v>795</v>
      </c>
      <c r="E101" s="59">
        <f t="shared" si="40"/>
        <v>795</v>
      </c>
      <c r="F101" s="59">
        <f t="shared" si="40"/>
        <v>795</v>
      </c>
      <c r="G101" s="59">
        <f t="shared" si="40"/>
        <v>795</v>
      </c>
      <c r="H101" s="59">
        <f t="shared" si="40"/>
        <v>795</v>
      </c>
      <c r="I101" s="59">
        <f t="shared" si="40"/>
        <v>795</v>
      </c>
      <c r="J101" s="59">
        <f t="shared" si="40"/>
        <v>795</v>
      </c>
      <c r="K101" s="59">
        <f t="shared" si="40"/>
        <v>795</v>
      </c>
      <c r="L101" s="59">
        <f t="shared" si="40"/>
        <v>795</v>
      </c>
      <c r="M101" s="59">
        <f t="shared" si="40"/>
        <v>795</v>
      </c>
      <c r="N101" s="59">
        <f t="shared" si="40"/>
        <v>795</v>
      </c>
      <c r="O101" s="59">
        <f t="shared" si="40"/>
        <v>795</v>
      </c>
      <c r="P101" s="59">
        <f t="shared" si="40"/>
        <v>795</v>
      </c>
      <c r="Q101" s="59">
        <f t="shared" si="40"/>
        <v>795</v>
      </c>
      <c r="R101" s="59">
        <f t="shared" si="40"/>
        <v>795</v>
      </c>
      <c r="S101" s="59">
        <f t="shared" si="40"/>
        <v>795</v>
      </c>
      <c r="T101" s="59">
        <f t="shared" si="40"/>
        <v>795</v>
      </c>
      <c r="U101" s="59">
        <f t="shared" si="40"/>
        <v>795</v>
      </c>
      <c r="V101" s="59">
        <f t="shared" si="40"/>
        <v>795</v>
      </c>
      <c r="W101" s="59">
        <f t="shared" si="40"/>
        <v>795</v>
      </c>
      <c r="X101" s="59">
        <f t="shared" si="40"/>
        <v>795</v>
      </c>
      <c r="Y101" s="59">
        <f t="shared" si="40"/>
        <v>795</v>
      </c>
      <c r="Z101" s="59">
        <f t="shared" si="40"/>
        <v>795</v>
      </c>
      <c r="AA101" s="59">
        <f t="shared" si="40"/>
        <v>795</v>
      </c>
      <c r="AB101" s="59">
        <f t="shared" si="40"/>
        <v>795</v>
      </c>
      <c r="AC101" s="59">
        <f t="shared" si="40"/>
        <v>795</v>
      </c>
      <c r="AD101" s="59">
        <f t="shared" si="40"/>
        <v>795</v>
      </c>
      <c r="AE101" s="59">
        <f t="shared" si="40"/>
        <v>795</v>
      </c>
      <c r="AF101" s="59">
        <f t="shared" si="40"/>
        <v>795</v>
      </c>
      <c r="AG101" s="59">
        <f t="shared" si="40"/>
        <v>795</v>
      </c>
      <c r="AH101" s="59">
        <f t="shared" si="40"/>
        <v>795</v>
      </c>
      <c r="AI101" s="59">
        <f t="shared" si="40"/>
        <v>795</v>
      </c>
      <c r="AJ101" s="59">
        <f t="shared" si="40"/>
        <v>795</v>
      </c>
      <c r="AK101" s="62">
        <f t="shared" si="40"/>
        <v>795</v>
      </c>
    </row>
    <row r="102" spans="1:37" ht="20.149999999999999" customHeight="1" outlineLevel="1" x14ac:dyDescent="0.25">
      <c r="A102" s="276" t="s">
        <v>139</v>
      </c>
      <c r="B102" s="22" t="s">
        <v>143</v>
      </c>
      <c r="C102" s="59">
        <f>'Rentabilidade-Cult.Temp.'!K38</f>
        <v>1570</v>
      </c>
      <c r="D102" s="59">
        <f t="shared" ref="D102:AK102" si="41">C102</f>
        <v>1570</v>
      </c>
      <c r="E102" s="59">
        <f t="shared" si="41"/>
        <v>1570</v>
      </c>
      <c r="F102" s="59">
        <f t="shared" si="41"/>
        <v>1570</v>
      </c>
      <c r="G102" s="59">
        <f t="shared" si="41"/>
        <v>1570</v>
      </c>
      <c r="H102" s="59">
        <f t="shared" si="41"/>
        <v>1570</v>
      </c>
      <c r="I102" s="59">
        <f t="shared" si="41"/>
        <v>1570</v>
      </c>
      <c r="J102" s="59">
        <f t="shared" si="41"/>
        <v>1570</v>
      </c>
      <c r="K102" s="59">
        <f t="shared" si="41"/>
        <v>1570</v>
      </c>
      <c r="L102" s="59">
        <f t="shared" si="41"/>
        <v>1570</v>
      </c>
      <c r="M102" s="59">
        <f t="shared" si="41"/>
        <v>1570</v>
      </c>
      <c r="N102" s="59">
        <f t="shared" si="41"/>
        <v>1570</v>
      </c>
      <c r="O102" s="59">
        <f t="shared" si="41"/>
        <v>1570</v>
      </c>
      <c r="P102" s="59">
        <f t="shared" si="41"/>
        <v>1570</v>
      </c>
      <c r="Q102" s="59">
        <f t="shared" si="41"/>
        <v>1570</v>
      </c>
      <c r="R102" s="59">
        <f t="shared" si="41"/>
        <v>1570</v>
      </c>
      <c r="S102" s="59">
        <f t="shared" si="41"/>
        <v>1570</v>
      </c>
      <c r="T102" s="59">
        <f t="shared" si="41"/>
        <v>1570</v>
      </c>
      <c r="U102" s="59">
        <f t="shared" si="41"/>
        <v>1570</v>
      </c>
      <c r="V102" s="59">
        <f t="shared" si="41"/>
        <v>1570</v>
      </c>
      <c r="W102" s="59">
        <f t="shared" si="41"/>
        <v>1570</v>
      </c>
      <c r="X102" s="59">
        <f t="shared" si="41"/>
        <v>1570</v>
      </c>
      <c r="Y102" s="59">
        <f t="shared" si="41"/>
        <v>1570</v>
      </c>
      <c r="Z102" s="59">
        <f t="shared" si="41"/>
        <v>1570</v>
      </c>
      <c r="AA102" s="59">
        <f t="shared" si="41"/>
        <v>1570</v>
      </c>
      <c r="AB102" s="59">
        <f t="shared" si="41"/>
        <v>1570</v>
      </c>
      <c r="AC102" s="59">
        <f t="shared" si="41"/>
        <v>1570</v>
      </c>
      <c r="AD102" s="59">
        <f t="shared" si="41"/>
        <v>1570</v>
      </c>
      <c r="AE102" s="59">
        <f t="shared" si="41"/>
        <v>1570</v>
      </c>
      <c r="AF102" s="59">
        <f t="shared" si="41"/>
        <v>1570</v>
      </c>
      <c r="AG102" s="59">
        <f t="shared" si="41"/>
        <v>1570</v>
      </c>
      <c r="AH102" s="59">
        <f t="shared" si="41"/>
        <v>1570</v>
      </c>
      <c r="AI102" s="59">
        <f t="shared" si="41"/>
        <v>1570</v>
      </c>
      <c r="AJ102" s="59">
        <f t="shared" si="41"/>
        <v>1570</v>
      </c>
      <c r="AK102" s="62">
        <f t="shared" si="41"/>
        <v>1570</v>
      </c>
    </row>
    <row r="103" spans="1:37" ht="20.149999999999999" customHeight="1" outlineLevel="1" x14ac:dyDescent="0.25">
      <c r="A103" s="276" t="s">
        <v>140</v>
      </c>
      <c r="B103" s="66" t="s">
        <v>141</v>
      </c>
      <c r="C103" s="59">
        <f>SUM('Rentabilidade-Cult.Temp.'!K50:K58)</f>
        <v>1591.7576599276185</v>
      </c>
      <c r="D103" s="59">
        <f t="shared" ref="D103:AK103" si="42">C103</f>
        <v>1591.7576599276185</v>
      </c>
      <c r="E103" s="59">
        <f t="shared" si="42"/>
        <v>1591.7576599276185</v>
      </c>
      <c r="F103" s="59">
        <f t="shared" si="42"/>
        <v>1591.7576599276185</v>
      </c>
      <c r="G103" s="59">
        <f t="shared" si="42"/>
        <v>1591.7576599276185</v>
      </c>
      <c r="H103" s="59">
        <f t="shared" si="42"/>
        <v>1591.7576599276185</v>
      </c>
      <c r="I103" s="59">
        <f t="shared" si="42"/>
        <v>1591.7576599276185</v>
      </c>
      <c r="J103" s="59">
        <f t="shared" si="42"/>
        <v>1591.7576599276185</v>
      </c>
      <c r="K103" s="59">
        <f t="shared" si="42"/>
        <v>1591.7576599276185</v>
      </c>
      <c r="L103" s="59">
        <f t="shared" si="42"/>
        <v>1591.7576599276185</v>
      </c>
      <c r="M103" s="59">
        <f t="shared" si="42"/>
        <v>1591.7576599276185</v>
      </c>
      <c r="N103" s="59">
        <f t="shared" si="42"/>
        <v>1591.7576599276185</v>
      </c>
      <c r="O103" s="59">
        <f t="shared" si="42"/>
        <v>1591.7576599276185</v>
      </c>
      <c r="P103" s="59">
        <f t="shared" si="42"/>
        <v>1591.7576599276185</v>
      </c>
      <c r="Q103" s="59">
        <f t="shared" si="42"/>
        <v>1591.7576599276185</v>
      </c>
      <c r="R103" s="59">
        <f t="shared" si="42"/>
        <v>1591.7576599276185</v>
      </c>
      <c r="S103" s="59">
        <f t="shared" si="42"/>
        <v>1591.7576599276185</v>
      </c>
      <c r="T103" s="59">
        <f t="shared" si="42"/>
        <v>1591.7576599276185</v>
      </c>
      <c r="U103" s="59">
        <f t="shared" si="42"/>
        <v>1591.7576599276185</v>
      </c>
      <c r="V103" s="59">
        <f t="shared" si="42"/>
        <v>1591.7576599276185</v>
      </c>
      <c r="W103" s="59">
        <f t="shared" si="42"/>
        <v>1591.7576599276185</v>
      </c>
      <c r="X103" s="59">
        <f t="shared" si="42"/>
        <v>1591.7576599276185</v>
      </c>
      <c r="Y103" s="59">
        <f t="shared" si="42"/>
        <v>1591.7576599276185</v>
      </c>
      <c r="Z103" s="59">
        <f t="shared" si="42"/>
        <v>1591.7576599276185</v>
      </c>
      <c r="AA103" s="59">
        <f t="shared" si="42"/>
        <v>1591.7576599276185</v>
      </c>
      <c r="AB103" s="59">
        <f t="shared" si="42"/>
        <v>1591.7576599276185</v>
      </c>
      <c r="AC103" s="59">
        <f t="shared" si="42"/>
        <v>1591.7576599276185</v>
      </c>
      <c r="AD103" s="59">
        <f t="shared" si="42"/>
        <v>1591.7576599276185</v>
      </c>
      <c r="AE103" s="59">
        <f t="shared" si="42"/>
        <v>1591.7576599276185</v>
      </c>
      <c r="AF103" s="59">
        <f t="shared" si="42"/>
        <v>1591.7576599276185</v>
      </c>
      <c r="AG103" s="59">
        <f t="shared" si="42"/>
        <v>1591.7576599276185</v>
      </c>
      <c r="AH103" s="59">
        <f t="shared" si="42"/>
        <v>1591.7576599276185</v>
      </c>
      <c r="AI103" s="59">
        <f t="shared" si="42"/>
        <v>1591.7576599276185</v>
      </c>
      <c r="AJ103" s="59">
        <f t="shared" si="42"/>
        <v>1591.7576599276185</v>
      </c>
      <c r="AK103" s="62">
        <f t="shared" si="42"/>
        <v>1591.7576599276185</v>
      </c>
    </row>
    <row r="104" spans="1:37" ht="20.149999999999999" customHeight="1" outlineLevel="1" thickBot="1" x14ac:dyDescent="0.3">
      <c r="A104" s="96"/>
      <c r="B104" s="102" t="s">
        <v>149</v>
      </c>
      <c r="C104" s="466">
        <f t="shared" ref="C104:AK104" si="43">SUM(C100:C103)</f>
        <v>7804.2576599276181</v>
      </c>
      <c r="D104" s="466">
        <f t="shared" si="43"/>
        <v>7804.2576599276181</v>
      </c>
      <c r="E104" s="466">
        <f t="shared" si="43"/>
        <v>7804.2576599276181</v>
      </c>
      <c r="F104" s="466">
        <f t="shared" si="43"/>
        <v>7804.2576599276181</v>
      </c>
      <c r="G104" s="466">
        <f t="shared" si="43"/>
        <v>7804.2576599276181</v>
      </c>
      <c r="H104" s="466">
        <f t="shared" si="43"/>
        <v>7804.2576599276181</v>
      </c>
      <c r="I104" s="466">
        <f t="shared" si="43"/>
        <v>7804.2576599276181</v>
      </c>
      <c r="J104" s="466">
        <f t="shared" si="43"/>
        <v>7804.2576599276181</v>
      </c>
      <c r="K104" s="466">
        <f t="shared" si="43"/>
        <v>7804.2576599276181</v>
      </c>
      <c r="L104" s="466">
        <f t="shared" si="43"/>
        <v>7804.2576599276181</v>
      </c>
      <c r="M104" s="466">
        <f t="shared" si="43"/>
        <v>7804.2576599276181</v>
      </c>
      <c r="N104" s="466">
        <f t="shared" si="43"/>
        <v>7804.2576599276181</v>
      </c>
      <c r="O104" s="466">
        <f t="shared" si="43"/>
        <v>7804.2576599276181</v>
      </c>
      <c r="P104" s="466">
        <f t="shared" si="43"/>
        <v>7804.2576599276181</v>
      </c>
      <c r="Q104" s="466">
        <f t="shared" si="43"/>
        <v>7804.2576599276181</v>
      </c>
      <c r="R104" s="466">
        <f t="shared" si="43"/>
        <v>7804.2576599276181</v>
      </c>
      <c r="S104" s="466">
        <f t="shared" si="43"/>
        <v>7804.2576599276181</v>
      </c>
      <c r="T104" s="466">
        <f t="shared" si="43"/>
        <v>7804.2576599276181</v>
      </c>
      <c r="U104" s="466">
        <f t="shared" si="43"/>
        <v>7804.2576599276181</v>
      </c>
      <c r="V104" s="466">
        <f t="shared" si="43"/>
        <v>7804.2576599276181</v>
      </c>
      <c r="W104" s="466">
        <f t="shared" si="43"/>
        <v>7804.2576599276181</v>
      </c>
      <c r="X104" s="466">
        <f t="shared" si="43"/>
        <v>7804.2576599276181</v>
      </c>
      <c r="Y104" s="466">
        <f t="shared" si="43"/>
        <v>7804.2576599276181</v>
      </c>
      <c r="Z104" s="466">
        <f t="shared" si="43"/>
        <v>7804.2576599276181</v>
      </c>
      <c r="AA104" s="466">
        <f t="shared" si="43"/>
        <v>7804.2576599276181</v>
      </c>
      <c r="AB104" s="466">
        <f t="shared" si="43"/>
        <v>7804.2576599276181</v>
      </c>
      <c r="AC104" s="466">
        <f t="shared" si="43"/>
        <v>7804.2576599276181</v>
      </c>
      <c r="AD104" s="466">
        <f t="shared" si="43"/>
        <v>7804.2576599276181</v>
      </c>
      <c r="AE104" s="466">
        <f t="shared" si="43"/>
        <v>7804.2576599276181</v>
      </c>
      <c r="AF104" s="466">
        <f t="shared" si="43"/>
        <v>7804.2576599276181</v>
      </c>
      <c r="AG104" s="466">
        <f t="shared" si="43"/>
        <v>7804.2576599276181</v>
      </c>
      <c r="AH104" s="466">
        <f t="shared" si="43"/>
        <v>7804.2576599276181</v>
      </c>
      <c r="AI104" s="466">
        <f t="shared" si="43"/>
        <v>7804.2576599276181</v>
      </c>
      <c r="AJ104" s="466">
        <f t="shared" si="43"/>
        <v>7804.2576599276181</v>
      </c>
      <c r="AK104" s="470">
        <f t="shared" si="43"/>
        <v>7804.2576599276181</v>
      </c>
    </row>
    <row r="105" spans="1:37" ht="20.149999999999999" customHeight="1" outlineLevel="1" thickBot="1" x14ac:dyDescent="0.3">
      <c r="A105" s="14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7"/>
      <c r="W105" s="467"/>
      <c r="X105" s="467"/>
      <c r="Y105" s="467"/>
      <c r="Z105" s="467"/>
      <c r="AA105" s="467"/>
      <c r="AB105" s="467"/>
      <c r="AC105" s="467"/>
      <c r="AD105" s="467"/>
      <c r="AE105" s="467"/>
      <c r="AF105" s="467"/>
      <c r="AG105" s="467"/>
      <c r="AH105" s="467"/>
      <c r="AI105" s="467"/>
      <c r="AJ105" s="467"/>
      <c r="AK105" s="467"/>
    </row>
    <row r="106" spans="1:37" ht="20.149999999999999" customHeight="1" outlineLevel="1" x14ac:dyDescent="0.25">
      <c r="A106" s="428">
        <v>3</v>
      </c>
      <c r="B106" s="97" t="s">
        <v>144</v>
      </c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8"/>
      <c r="AJ106" s="468"/>
      <c r="AK106" s="469"/>
    </row>
    <row r="107" spans="1:37" ht="20.149999999999999" customHeight="1" outlineLevel="1" x14ac:dyDescent="0.25">
      <c r="A107" s="429" t="s">
        <v>147</v>
      </c>
      <c r="B107" s="22" t="s">
        <v>271</v>
      </c>
      <c r="C107" s="59">
        <f>'Rentabilidade-Cult.Temp.'!K64</f>
        <v>14804.999999999998</v>
      </c>
      <c r="D107" s="59">
        <f t="shared" ref="D107:AK107" si="44">C107</f>
        <v>14804.999999999998</v>
      </c>
      <c r="E107" s="59">
        <f t="shared" si="44"/>
        <v>14804.999999999998</v>
      </c>
      <c r="F107" s="59">
        <f t="shared" si="44"/>
        <v>14804.999999999998</v>
      </c>
      <c r="G107" s="59">
        <f t="shared" si="44"/>
        <v>14804.999999999998</v>
      </c>
      <c r="H107" s="59">
        <f t="shared" si="44"/>
        <v>14804.999999999998</v>
      </c>
      <c r="I107" s="59">
        <f t="shared" si="44"/>
        <v>14804.999999999998</v>
      </c>
      <c r="J107" s="59">
        <f t="shared" si="44"/>
        <v>14804.999999999998</v>
      </c>
      <c r="K107" s="59">
        <f t="shared" si="44"/>
        <v>14804.999999999998</v>
      </c>
      <c r="L107" s="59">
        <f t="shared" si="44"/>
        <v>14804.999999999998</v>
      </c>
      <c r="M107" s="59">
        <f t="shared" si="44"/>
        <v>14804.999999999998</v>
      </c>
      <c r="N107" s="59">
        <f t="shared" si="44"/>
        <v>14804.999999999998</v>
      </c>
      <c r="O107" s="59">
        <f t="shared" si="44"/>
        <v>14804.999999999998</v>
      </c>
      <c r="P107" s="59">
        <f t="shared" si="44"/>
        <v>14804.999999999998</v>
      </c>
      <c r="Q107" s="59">
        <f t="shared" si="44"/>
        <v>14804.999999999998</v>
      </c>
      <c r="R107" s="59">
        <f t="shared" si="44"/>
        <v>14804.999999999998</v>
      </c>
      <c r="S107" s="59">
        <f t="shared" si="44"/>
        <v>14804.999999999998</v>
      </c>
      <c r="T107" s="59">
        <f t="shared" si="44"/>
        <v>14804.999999999998</v>
      </c>
      <c r="U107" s="59">
        <f t="shared" si="44"/>
        <v>14804.999999999998</v>
      </c>
      <c r="V107" s="59">
        <f t="shared" si="44"/>
        <v>14804.999999999998</v>
      </c>
      <c r="W107" s="59">
        <f t="shared" si="44"/>
        <v>14804.999999999998</v>
      </c>
      <c r="X107" s="59">
        <f t="shared" si="44"/>
        <v>14804.999999999998</v>
      </c>
      <c r="Y107" s="59">
        <f t="shared" si="44"/>
        <v>14804.999999999998</v>
      </c>
      <c r="Z107" s="59">
        <f t="shared" si="44"/>
        <v>14804.999999999998</v>
      </c>
      <c r="AA107" s="59">
        <f t="shared" si="44"/>
        <v>14804.999999999998</v>
      </c>
      <c r="AB107" s="59">
        <f t="shared" si="44"/>
        <v>14804.999999999998</v>
      </c>
      <c r="AC107" s="59">
        <f t="shared" si="44"/>
        <v>14804.999999999998</v>
      </c>
      <c r="AD107" s="59">
        <f t="shared" si="44"/>
        <v>14804.999999999998</v>
      </c>
      <c r="AE107" s="59">
        <f t="shared" si="44"/>
        <v>14804.999999999998</v>
      </c>
      <c r="AF107" s="59">
        <f t="shared" si="44"/>
        <v>14804.999999999998</v>
      </c>
      <c r="AG107" s="59">
        <f t="shared" si="44"/>
        <v>14804.999999999998</v>
      </c>
      <c r="AH107" s="59">
        <f t="shared" si="44"/>
        <v>14804.999999999998</v>
      </c>
      <c r="AI107" s="59">
        <f t="shared" si="44"/>
        <v>14804.999999999998</v>
      </c>
      <c r="AJ107" s="59">
        <f t="shared" si="44"/>
        <v>14804.999999999998</v>
      </c>
      <c r="AK107" s="62">
        <f t="shared" si="44"/>
        <v>14804.999999999998</v>
      </c>
    </row>
    <row r="108" spans="1:37" ht="20.149999999999999" customHeight="1" outlineLevel="1" thickBot="1" x14ac:dyDescent="0.3">
      <c r="A108" s="96"/>
      <c r="B108" s="102" t="s">
        <v>153</v>
      </c>
      <c r="C108" s="466">
        <f t="shared" ref="C108:AK108" si="45">SUM(C107:C107)</f>
        <v>14804.999999999998</v>
      </c>
      <c r="D108" s="466">
        <f t="shared" si="45"/>
        <v>14804.999999999998</v>
      </c>
      <c r="E108" s="466">
        <f t="shared" si="45"/>
        <v>14804.999999999998</v>
      </c>
      <c r="F108" s="466">
        <f t="shared" si="45"/>
        <v>14804.999999999998</v>
      </c>
      <c r="G108" s="466">
        <f t="shared" si="45"/>
        <v>14804.999999999998</v>
      </c>
      <c r="H108" s="466">
        <f t="shared" si="45"/>
        <v>14804.999999999998</v>
      </c>
      <c r="I108" s="466">
        <f t="shared" si="45"/>
        <v>14804.999999999998</v>
      </c>
      <c r="J108" s="466">
        <f t="shared" si="45"/>
        <v>14804.999999999998</v>
      </c>
      <c r="K108" s="466">
        <f t="shared" si="45"/>
        <v>14804.999999999998</v>
      </c>
      <c r="L108" s="466">
        <f t="shared" si="45"/>
        <v>14804.999999999998</v>
      </c>
      <c r="M108" s="466">
        <f t="shared" si="45"/>
        <v>14804.999999999998</v>
      </c>
      <c r="N108" s="466">
        <f t="shared" si="45"/>
        <v>14804.999999999998</v>
      </c>
      <c r="O108" s="466">
        <f t="shared" si="45"/>
        <v>14804.999999999998</v>
      </c>
      <c r="P108" s="466">
        <f t="shared" si="45"/>
        <v>14804.999999999998</v>
      </c>
      <c r="Q108" s="466">
        <f t="shared" si="45"/>
        <v>14804.999999999998</v>
      </c>
      <c r="R108" s="466">
        <f t="shared" si="45"/>
        <v>14804.999999999998</v>
      </c>
      <c r="S108" s="466">
        <f t="shared" si="45"/>
        <v>14804.999999999998</v>
      </c>
      <c r="T108" s="466">
        <f t="shared" si="45"/>
        <v>14804.999999999998</v>
      </c>
      <c r="U108" s="466">
        <f t="shared" si="45"/>
        <v>14804.999999999998</v>
      </c>
      <c r="V108" s="466">
        <f t="shared" si="45"/>
        <v>14804.999999999998</v>
      </c>
      <c r="W108" s="466">
        <f t="shared" si="45"/>
        <v>14804.999999999998</v>
      </c>
      <c r="X108" s="466">
        <f t="shared" si="45"/>
        <v>14804.999999999998</v>
      </c>
      <c r="Y108" s="466">
        <f t="shared" si="45"/>
        <v>14804.999999999998</v>
      </c>
      <c r="Z108" s="466">
        <f t="shared" si="45"/>
        <v>14804.999999999998</v>
      </c>
      <c r="AA108" s="466">
        <f t="shared" si="45"/>
        <v>14804.999999999998</v>
      </c>
      <c r="AB108" s="466">
        <f t="shared" si="45"/>
        <v>14804.999999999998</v>
      </c>
      <c r="AC108" s="466">
        <f t="shared" si="45"/>
        <v>14804.999999999998</v>
      </c>
      <c r="AD108" s="466">
        <f t="shared" si="45"/>
        <v>14804.999999999998</v>
      </c>
      <c r="AE108" s="466">
        <f t="shared" si="45"/>
        <v>14804.999999999998</v>
      </c>
      <c r="AF108" s="466">
        <f t="shared" si="45"/>
        <v>14804.999999999998</v>
      </c>
      <c r="AG108" s="466">
        <f t="shared" si="45"/>
        <v>14804.999999999998</v>
      </c>
      <c r="AH108" s="466">
        <f t="shared" si="45"/>
        <v>14804.999999999998</v>
      </c>
      <c r="AI108" s="466">
        <f t="shared" si="45"/>
        <v>14804.999999999998</v>
      </c>
      <c r="AJ108" s="466">
        <f t="shared" si="45"/>
        <v>14804.999999999998</v>
      </c>
      <c r="AK108" s="470">
        <f t="shared" si="45"/>
        <v>14804.999999999998</v>
      </c>
    </row>
    <row r="109" spans="1:37" ht="20.149999999999999" customHeight="1" outlineLevel="1" thickBot="1" x14ac:dyDescent="0.3">
      <c r="A109" s="14"/>
      <c r="C109" s="471"/>
      <c r="D109" s="471"/>
      <c r="E109" s="471"/>
      <c r="F109" s="471"/>
      <c r="G109" s="471"/>
      <c r="H109" s="471"/>
      <c r="I109" s="471"/>
      <c r="J109" s="471"/>
      <c r="K109" s="471"/>
      <c r="L109" s="471"/>
      <c r="M109" s="467"/>
      <c r="N109" s="467"/>
      <c r="O109" s="467"/>
      <c r="P109" s="467"/>
      <c r="Q109" s="467"/>
      <c r="R109" s="467"/>
      <c r="S109" s="467"/>
      <c r="T109" s="467"/>
      <c r="U109" s="467"/>
      <c r="V109" s="467"/>
      <c r="W109" s="467"/>
      <c r="X109" s="467"/>
      <c r="Y109" s="467"/>
      <c r="Z109" s="467"/>
      <c r="AA109" s="467"/>
      <c r="AB109" s="467"/>
      <c r="AC109" s="467"/>
      <c r="AD109" s="467"/>
      <c r="AE109" s="467"/>
      <c r="AF109" s="467"/>
      <c r="AG109" s="467"/>
      <c r="AH109" s="467"/>
      <c r="AI109" s="467"/>
      <c r="AJ109" s="467"/>
      <c r="AK109" s="467"/>
    </row>
    <row r="110" spans="1:37" ht="20.149999999999999" customHeight="1" outlineLevel="1" thickBot="1" x14ac:dyDescent="0.3">
      <c r="A110" s="70">
        <v>4</v>
      </c>
      <c r="B110" s="104" t="s">
        <v>156</v>
      </c>
      <c r="C110" s="472">
        <f t="shared" ref="C110:AK110" si="46">C108-C104-C97</f>
        <v>-4494.8444844911955</v>
      </c>
      <c r="D110" s="472">
        <f t="shared" si="46"/>
        <v>7000.7423400723801</v>
      </c>
      <c r="E110" s="472">
        <f t="shared" si="46"/>
        <v>7000.7423400723801</v>
      </c>
      <c r="F110" s="472">
        <f t="shared" si="46"/>
        <v>7000.7423400723801</v>
      </c>
      <c r="G110" s="472">
        <f t="shared" si="46"/>
        <v>7000.7423400723801</v>
      </c>
      <c r="H110" s="472">
        <f t="shared" si="46"/>
        <v>7000.7423400723801</v>
      </c>
      <c r="I110" s="472">
        <f t="shared" si="46"/>
        <v>7000.7423400723801</v>
      </c>
      <c r="J110" s="472">
        <f t="shared" si="46"/>
        <v>7000.7423400723801</v>
      </c>
      <c r="K110" s="472">
        <f t="shared" si="46"/>
        <v>7000.7423400723801</v>
      </c>
      <c r="L110" s="472">
        <f t="shared" si="46"/>
        <v>7000.7423400723801</v>
      </c>
      <c r="M110" s="472">
        <f t="shared" si="46"/>
        <v>7000.7423400723801</v>
      </c>
      <c r="N110" s="472">
        <f t="shared" si="46"/>
        <v>7000.7423400723801</v>
      </c>
      <c r="O110" s="472">
        <f t="shared" si="46"/>
        <v>7000.7423400723801</v>
      </c>
      <c r="P110" s="472">
        <f t="shared" si="46"/>
        <v>7000.7423400723801</v>
      </c>
      <c r="Q110" s="472">
        <f t="shared" si="46"/>
        <v>7000.7423400723801</v>
      </c>
      <c r="R110" s="472">
        <f t="shared" si="46"/>
        <v>7000.7423400723801</v>
      </c>
      <c r="S110" s="472">
        <f t="shared" si="46"/>
        <v>7000.7423400723801</v>
      </c>
      <c r="T110" s="472">
        <f t="shared" si="46"/>
        <v>7000.7423400723801</v>
      </c>
      <c r="U110" s="472">
        <f t="shared" si="46"/>
        <v>7000.7423400723801</v>
      </c>
      <c r="V110" s="472">
        <f t="shared" si="46"/>
        <v>7000.7423400723801</v>
      </c>
      <c r="W110" s="472">
        <f t="shared" si="46"/>
        <v>7000.7423400723801</v>
      </c>
      <c r="X110" s="472">
        <f t="shared" si="46"/>
        <v>7000.7423400723801</v>
      </c>
      <c r="Y110" s="472">
        <f t="shared" si="46"/>
        <v>7000.7423400723801</v>
      </c>
      <c r="Z110" s="472">
        <f t="shared" si="46"/>
        <v>7000.7423400723801</v>
      </c>
      <c r="AA110" s="472">
        <f t="shared" si="46"/>
        <v>7000.7423400723801</v>
      </c>
      <c r="AB110" s="472">
        <f t="shared" si="46"/>
        <v>7000.7423400723801</v>
      </c>
      <c r="AC110" s="472">
        <f t="shared" si="46"/>
        <v>7000.7423400723801</v>
      </c>
      <c r="AD110" s="472">
        <f t="shared" si="46"/>
        <v>7000.7423400723801</v>
      </c>
      <c r="AE110" s="472">
        <f t="shared" si="46"/>
        <v>7000.7423400723801</v>
      </c>
      <c r="AF110" s="472">
        <f t="shared" si="46"/>
        <v>7000.7423400723801</v>
      </c>
      <c r="AG110" s="472">
        <f t="shared" si="46"/>
        <v>7000.7423400723801</v>
      </c>
      <c r="AH110" s="472">
        <f t="shared" si="46"/>
        <v>7000.7423400723801</v>
      </c>
      <c r="AI110" s="472">
        <f t="shared" si="46"/>
        <v>7000.7423400723801</v>
      </c>
      <c r="AJ110" s="472">
        <f t="shared" si="46"/>
        <v>7000.7423400723801</v>
      </c>
      <c r="AK110" s="473">
        <f t="shared" si="46"/>
        <v>7000.7423400723801</v>
      </c>
    </row>
    <row r="111" spans="1:37" ht="20.149999999999999" customHeight="1" outlineLevel="1" thickBot="1" x14ac:dyDescent="0.3">
      <c r="A111" s="14"/>
      <c r="C111" s="471"/>
      <c r="D111" s="471"/>
      <c r="E111" s="471"/>
      <c r="F111" s="471"/>
      <c r="G111" s="471"/>
      <c r="H111" s="471"/>
      <c r="I111" s="471"/>
      <c r="J111" s="471"/>
      <c r="K111" s="471"/>
      <c r="L111" s="471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67"/>
      <c r="X111" s="467"/>
      <c r="Y111" s="467"/>
      <c r="Z111" s="467"/>
      <c r="AA111" s="467"/>
      <c r="AB111" s="467"/>
      <c r="AC111" s="467"/>
      <c r="AD111" s="467"/>
      <c r="AE111" s="467"/>
      <c r="AF111" s="467"/>
      <c r="AG111" s="467"/>
      <c r="AH111" s="467"/>
      <c r="AI111" s="467"/>
      <c r="AJ111" s="467"/>
      <c r="AK111" s="467"/>
    </row>
    <row r="112" spans="1:37" ht="20.149999999999999" customHeight="1" outlineLevel="1" thickBot="1" x14ac:dyDescent="0.3">
      <c r="A112" s="70">
        <v>5</v>
      </c>
      <c r="B112" s="104" t="s">
        <v>160</v>
      </c>
      <c r="C112" s="474">
        <f>C110</f>
        <v>-4494.8444844911955</v>
      </c>
      <c r="D112" s="474">
        <f t="shared" ref="D112:AK112" si="47">C112+D110</f>
        <v>2505.8978555811846</v>
      </c>
      <c r="E112" s="474">
        <f t="shared" si="47"/>
        <v>9506.6401956535647</v>
      </c>
      <c r="F112" s="474">
        <f t="shared" si="47"/>
        <v>16507.382535725945</v>
      </c>
      <c r="G112" s="474">
        <f t="shared" si="47"/>
        <v>23508.124875798327</v>
      </c>
      <c r="H112" s="474">
        <f t="shared" si="47"/>
        <v>30508.867215870705</v>
      </c>
      <c r="I112" s="474">
        <f t="shared" si="47"/>
        <v>37509.609555943083</v>
      </c>
      <c r="J112" s="474">
        <f t="shared" si="47"/>
        <v>44510.351896015462</v>
      </c>
      <c r="K112" s="474">
        <f t="shared" si="47"/>
        <v>51511.09423608784</v>
      </c>
      <c r="L112" s="474">
        <f t="shared" si="47"/>
        <v>58511.836576160218</v>
      </c>
      <c r="M112" s="474">
        <f t="shared" si="47"/>
        <v>65512.578916232596</v>
      </c>
      <c r="N112" s="474">
        <f t="shared" si="47"/>
        <v>72513.321256304975</v>
      </c>
      <c r="O112" s="474">
        <f t="shared" si="47"/>
        <v>79514.063596377353</v>
      </c>
      <c r="P112" s="474">
        <f t="shared" si="47"/>
        <v>86514.805936449731</v>
      </c>
      <c r="Q112" s="474">
        <f t="shared" si="47"/>
        <v>93515.54827652211</v>
      </c>
      <c r="R112" s="474">
        <f t="shared" si="47"/>
        <v>100516.29061659449</v>
      </c>
      <c r="S112" s="474">
        <f t="shared" si="47"/>
        <v>107517.03295666687</v>
      </c>
      <c r="T112" s="474">
        <f t="shared" si="47"/>
        <v>114517.77529673924</v>
      </c>
      <c r="U112" s="474">
        <f t="shared" si="47"/>
        <v>121518.51763681162</v>
      </c>
      <c r="V112" s="474">
        <f t="shared" si="47"/>
        <v>128519.259976884</v>
      </c>
      <c r="W112" s="474">
        <f t="shared" si="47"/>
        <v>135520.00231695638</v>
      </c>
      <c r="X112" s="474">
        <f t="shared" si="47"/>
        <v>142520.74465702876</v>
      </c>
      <c r="Y112" s="474">
        <f t="shared" si="47"/>
        <v>149521.48699710114</v>
      </c>
      <c r="Z112" s="474">
        <f t="shared" si="47"/>
        <v>156522.22933717351</v>
      </c>
      <c r="AA112" s="474">
        <f t="shared" si="47"/>
        <v>163522.97167724589</v>
      </c>
      <c r="AB112" s="474">
        <f t="shared" si="47"/>
        <v>170523.71401731827</v>
      </c>
      <c r="AC112" s="474">
        <f t="shared" si="47"/>
        <v>177524.45635739065</v>
      </c>
      <c r="AD112" s="474">
        <f t="shared" si="47"/>
        <v>184525.19869746303</v>
      </c>
      <c r="AE112" s="474">
        <f t="shared" si="47"/>
        <v>191525.94103753541</v>
      </c>
      <c r="AF112" s="474">
        <f t="shared" si="47"/>
        <v>198526.68337760778</v>
      </c>
      <c r="AG112" s="474">
        <f t="shared" si="47"/>
        <v>205527.42571768016</v>
      </c>
      <c r="AH112" s="474">
        <f t="shared" si="47"/>
        <v>212528.16805775254</v>
      </c>
      <c r="AI112" s="474">
        <f t="shared" si="47"/>
        <v>219528.91039782492</v>
      </c>
      <c r="AJ112" s="474">
        <f t="shared" si="47"/>
        <v>226529.6527378973</v>
      </c>
      <c r="AK112" s="475">
        <f t="shared" si="47"/>
        <v>233530.39507796968</v>
      </c>
    </row>
    <row r="113" spans="3:5" ht="20.149999999999999" customHeight="1" outlineLevel="1" x14ac:dyDescent="0.25"/>
    <row r="114" spans="3:5" ht="20.149999999999999" customHeight="1" outlineLevel="1" x14ac:dyDescent="0.25">
      <c r="C114" s="439" t="s">
        <v>512</v>
      </c>
      <c r="D114" s="116">
        <f>AK112/AK91</f>
        <v>6672.297002227705</v>
      </c>
      <c r="E114" s="439" t="s">
        <v>317</v>
      </c>
    </row>
    <row r="116" spans="3:5" x14ac:dyDescent="0.25">
      <c r="D116" s="764">
        <f>D86+D58</f>
        <v>15958.443035936547</v>
      </c>
    </row>
  </sheetData>
  <mergeCells count="16">
    <mergeCell ref="AN6:BV6"/>
    <mergeCell ref="AN34:BV34"/>
    <mergeCell ref="AN62:BV62"/>
    <mergeCell ref="AN90:BV90"/>
    <mergeCell ref="A6:A7"/>
    <mergeCell ref="B6:B7"/>
    <mergeCell ref="C6:AK6"/>
    <mergeCell ref="A34:A35"/>
    <mergeCell ref="B34:B35"/>
    <mergeCell ref="C34:AK34"/>
    <mergeCell ref="C62:AK62"/>
    <mergeCell ref="A90:A91"/>
    <mergeCell ref="B90:B91"/>
    <mergeCell ref="C90:AK90"/>
    <mergeCell ref="A62:A63"/>
    <mergeCell ref="B62:B63"/>
  </mergeCells>
  <phoneticPr fontId="36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41DE-794C-49F0-B766-41C68E899F32}">
  <sheetPr>
    <tabColor theme="7" tint="-0.249977111117893"/>
  </sheetPr>
  <dimension ref="A1:H84"/>
  <sheetViews>
    <sheetView zoomScale="80" zoomScaleNormal="80" workbookViewId="0">
      <selection activeCell="G32" sqref="G32"/>
    </sheetView>
  </sheetViews>
  <sheetFormatPr defaultRowHeight="12.5" x14ac:dyDescent="0.25"/>
  <cols>
    <col min="1" max="1" width="36.81640625" customWidth="1"/>
    <col min="2" max="2" width="10.1796875" customWidth="1"/>
    <col min="3" max="3" width="12.453125" bestFit="1" customWidth="1"/>
    <col min="4" max="4" width="16.7265625" customWidth="1"/>
    <col min="5" max="5" width="15.26953125" customWidth="1"/>
    <col min="6" max="6" width="27.7265625" customWidth="1"/>
  </cols>
  <sheetData>
    <row r="1" spans="1:1" x14ac:dyDescent="0.25">
      <c r="A1" s="5" t="s">
        <v>176</v>
      </c>
    </row>
    <row r="4" spans="1:1" ht="13" x14ac:dyDescent="0.3">
      <c r="A4" s="2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10" spans="1:1" x14ac:dyDescent="0.25">
      <c r="A10" t="s">
        <v>30</v>
      </c>
    </row>
    <row r="11" spans="1:1" x14ac:dyDescent="0.25">
      <c r="A11" t="s">
        <v>45</v>
      </c>
    </row>
    <row r="12" spans="1:1" x14ac:dyDescent="0.25">
      <c r="A12" t="s">
        <v>42</v>
      </c>
    </row>
    <row r="13" spans="1:1" x14ac:dyDescent="0.25">
      <c r="A13" s="5" t="s">
        <v>73</v>
      </c>
    </row>
    <row r="14" spans="1:1" x14ac:dyDescent="0.25">
      <c r="A14" t="s">
        <v>44</v>
      </c>
    </row>
    <row r="15" spans="1:1" x14ac:dyDescent="0.25">
      <c r="A15" t="s">
        <v>31</v>
      </c>
    </row>
    <row r="16" spans="1:1" x14ac:dyDescent="0.25">
      <c r="A16" t="s">
        <v>65</v>
      </c>
    </row>
    <row r="17" spans="1:1" x14ac:dyDescent="0.25">
      <c r="A17" t="s">
        <v>41</v>
      </c>
    </row>
    <row r="20" spans="1:1" ht="13" x14ac:dyDescent="0.3">
      <c r="A20" s="2" t="s">
        <v>26</v>
      </c>
    </row>
    <row r="21" spans="1:1" x14ac:dyDescent="0.25">
      <c r="A21" s="31" t="s">
        <v>37</v>
      </c>
    </row>
    <row r="22" spans="1:1" x14ac:dyDescent="0.25">
      <c r="A22" s="31" t="s">
        <v>71</v>
      </c>
    </row>
    <row r="23" spans="1:1" x14ac:dyDescent="0.25">
      <c r="A23" s="31" t="s">
        <v>72</v>
      </c>
    </row>
    <row r="24" spans="1:1" x14ac:dyDescent="0.25">
      <c r="A24" s="31" t="s">
        <v>69</v>
      </c>
    </row>
    <row r="25" spans="1:1" x14ac:dyDescent="0.25">
      <c r="A25" s="31" t="s">
        <v>38</v>
      </c>
    </row>
    <row r="26" spans="1:1" x14ac:dyDescent="0.25">
      <c r="A26" s="31" t="s">
        <v>66</v>
      </c>
    </row>
    <row r="27" spans="1:1" x14ac:dyDescent="0.25">
      <c r="A27" s="31" t="s">
        <v>67</v>
      </c>
    </row>
    <row r="28" spans="1:1" x14ac:dyDescent="0.25">
      <c r="A28" s="43" t="s">
        <v>315</v>
      </c>
    </row>
    <row r="29" spans="1:1" x14ac:dyDescent="0.25">
      <c r="A29" s="31" t="s">
        <v>175</v>
      </c>
    </row>
    <row r="30" spans="1:1" ht="13" x14ac:dyDescent="0.3">
      <c r="A30" s="1" t="s">
        <v>96</v>
      </c>
    </row>
    <row r="32" spans="1:1" x14ac:dyDescent="0.25">
      <c r="A32" t="s">
        <v>22</v>
      </c>
    </row>
    <row r="33" spans="1:1" ht="13" x14ac:dyDescent="0.3">
      <c r="A33" s="2" t="s">
        <v>39</v>
      </c>
    </row>
    <row r="34" spans="1:1" x14ac:dyDescent="0.25">
      <c r="A34" t="s">
        <v>28</v>
      </c>
    </row>
    <row r="35" spans="1:1" x14ac:dyDescent="0.25">
      <c r="A35" t="s">
        <v>36</v>
      </c>
    </row>
    <row r="36" spans="1:1" x14ac:dyDescent="0.25">
      <c r="A36" t="s">
        <v>30</v>
      </c>
    </row>
    <row r="37" spans="1:1" x14ac:dyDescent="0.25">
      <c r="A37" t="s">
        <v>14</v>
      </c>
    </row>
    <row r="38" spans="1:1" x14ac:dyDescent="0.25">
      <c r="A38" t="s">
        <v>42</v>
      </c>
    </row>
    <row r="39" spans="1:1" x14ac:dyDescent="0.25">
      <c r="A39" t="s">
        <v>73</v>
      </c>
    </row>
    <row r="40" spans="1:1" x14ac:dyDescent="0.25">
      <c r="A40" s="4" t="s">
        <v>44</v>
      </c>
    </row>
    <row r="41" spans="1:1" x14ac:dyDescent="0.25">
      <c r="A41" t="s">
        <v>34</v>
      </c>
    </row>
    <row r="42" spans="1:1" x14ac:dyDescent="0.25">
      <c r="A42" t="s">
        <v>65</v>
      </c>
    </row>
    <row r="43" spans="1:1" x14ac:dyDescent="0.25">
      <c r="A43" t="s">
        <v>10</v>
      </c>
    </row>
    <row r="45" spans="1:1" x14ac:dyDescent="0.25">
      <c r="A45" t="s">
        <v>35</v>
      </c>
    </row>
    <row r="46" spans="1:1" x14ac:dyDescent="0.25">
      <c r="A46" t="s">
        <v>28</v>
      </c>
    </row>
    <row r="47" spans="1:1" x14ac:dyDescent="0.25">
      <c r="A47" t="s">
        <v>36</v>
      </c>
    </row>
    <row r="48" spans="1:1" x14ac:dyDescent="0.25">
      <c r="A48" t="s">
        <v>30</v>
      </c>
    </row>
    <row r="49" spans="1:1" x14ac:dyDescent="0.25">
      <c r="A49" t="s">
        <v>14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s="4" t="s">
        <v>44</v>
      </c>
    </row>
    <row r="53" spans="1:1" x14ac:dyDescent="0.25">
      <c r="A53" t="s">
        <v>34</v>
      </c>
    </row>
    <row r="54" spans="1:1" x14ac:dyDescent="0.25">
      <c r="A54" t="s">
        <v>65</v>
      </c>
    </row>
    <row r="55" spans="1:1" x14ac:dyDescent="0.25">
      <c r="A55" t="s">
        <v>10</v>
      </c>
    </row>
    <row r="84" spans="8:8" x14ac:dyDescent="0.25">
      <c r="H84">
        <f>15*30/50</f>
        <v>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5582-8B28-47C5-B781-975CF7316088}">
  <sheetPr>
    <tabColor theme="2" tint="-0.499984740745262"/>
  </sheetPr>
  <dimension ref="A1:A43"/>
  <sheetViews>
    <sheetView topLeftCell="A6" zoomScale="80" zoomScaleNormal="80" workbookViewId="0">
      <selection activeCell="G32" sqref="G32"/>
    </sheetView>
  </sheetViews>
  <sheetFormatPr defaultRowHeight="12.5" x14ac:dyDescent="0.25"/>
  <cols>
    <col min="1" max="1" width="36.81640625" customWidth="1"/>
    <col min="2" max="2" width="10.1796875" customWidth="1"/>
    <col min="3" max="3" width="12.453125" bestFit="1" customWidth="1"/>
    <col min="4" max="4" width="16.7265625" customWidth="1"/>
    <col min="5" max="5" width="15.26953125" customWidth="1"/>
    <col min="6" max="6" width="27.7265625" customWidth="1"/>
  </cols>
  <sheetData>
    <row r="1" spans="1:1" x14ac:dyDescent="0.25">
      <c r="A1" s="5" t="s">
        <v>257</v>
      </c>
    </row>
    <row r="4" spans="1:1" ht="13" x14ac:dyDescent="0.3">
      <c r="A4" s="2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10" spans="1:1" x14ac:dyDescent="0.25">
      <c r="A10" t="s">
        <v>30</v>
      </c>
    </row>
    <row r="11" spans="1:1" x14ac:dyDescent="0.25">
      <c r="A11" t="s">
        <v>45</v>
      </c>
    </row>
    <row r="12" spans="1:1" x14ac:dyDescent="0.25">
      <c r="A12" t="s">
        <v>42</v>
      </c>
    </row>
    <row r="13" spans="1:1" x14ac:dyDescent="0.25">
      <c r="A13" t="s">
        <v>70</v>
      </c>
    </row>
    <row r="14" spans="1:1" x14ac:dyDescent="0.25">
      <c r="A14" t="s">
        <v>44</v>
      </c>
    </row>
    <row r="15" spans="1:1" x14ac:dyDescent="0.25">
      <c r="A15" t="s">
        <v>31</v>
      </c>
    </row>
    <row r="16" spans="1:1" x14ac:dyDescent="0.25">
      <c r="A16" t="s">
        <v>65</v>
      </c>
    </row>
    <row r="17" spans="1:1" x14ac:dyDescent="0.25">
      <c r="A17" t="s">
        <v>41</v>
      </c>
    </row>
    <row r="20" spans="1:1" ht="13" x14ac:dyDescent="0.3">
      <c r="A20" s="2" t="s">
        <v>26</v>
      </c>
    </row>
    <row r="21" spans="1:1" x14ac:dyDescent="0.25">
      <c r="A21" s="31" t="s">
        <v>37</v>
      </c>
    </row>
    <row r="22" spans="1:1" x14ac:dyDescent="0.25">
      <c r="A22" s="31" t="s">
        <v>71</v>
      </c>
    </row>
    <row r="23" spans="1:1" x14ac:dyDescent="0.25">
      <c r="A23" s="31" t="s">
        <v>72</v>
      </c>
    </row>
    <row r="24" spans="1:1" x14ac:dyDescent="0.25">
      <c r="A24" s="31" t="s">
        <v>69</v>
      </c>
    </row>
    <row r="25" spans="1:1" x14ac:dyDescent="0.25">
      <c r="A25" s="31" t="s">
        <v>38</v>
      </c>
    </row>
    <row r="26" spans="1:1" x14ac:dyDescent="0.25">
      <c r="A26" s="31" t="s">
        <v>66</v>
      </c>
    </row>
    <row r="27" spans="1:1" x14ac:dyDescent="0.25">
      <c r="A27" s="31" t="s">
        <v>67</v>
      </c>
    </row>
    <row r="28" spans="1:1" x14ac:dyDescent="0.25">
      <c r="A28" s="31" t="s">
        <v>68</v>
      </c>
    </row>
    <row r="29" spans="1:1" x14ac:dyDescent="0.25">
      <c r="A29" s="31" t="s">
        <v>175</v>
      </c>
    </row>
    <row r="30" spans="1:1" ht="13" x14ac:dyDescent="0.3">
      <c r="A30" s="1" t="s">
        <v>96</v>
      </c>
    </row>
    <row r="32" spans="1:1" x14ac:dyDescent="0.25">
      <c r="A32" t="s">
        <v>22</v>
      </c>
    </row>
    <row r="33" spans="1:1" ht="13" x14ac:dyDescent="0.3">
      <c r="A33" s="2" t="s">
        <v>39</v>
      </c>
    </row>
    <row r="34" spans="1:1" x14ac:dyDescent="0.25">
      <c r="A34" t="s">
        <v>28</v>
      </c>
    </row>
    <row r="35" spans="1:1" x14ac:dyDescent="0.25">
      <c r="A35" t="s">
        <v>36</v>
      </c>
    </row>
    <row r="36" spans="1:1" x14ac:dyDescent="0.25">
      <c r="A36" t="s">
        <v>30</v>
      </c>
    </row>
    <row r="37" spans="1:1" x14ac:dyDescent="0.25">
      <c r="A37" t="s">
        <v>14</v>
      </c>
    </row>
    <row r="38" spans="1:1" x14ac:dyDescent="0.25">
      <c r="A38" t="s">
        <v>42</v>
      </c>
    </row>
    <row r="39" spans="1:1" x14ac:dyDescent="0.25">
      <c r="A39" t="s">
        <v>73</v>
      </c>
    </row>
    <row r="40" spans="1:1" x14ac:dyDescent="0.25">
      <c r="A40" s="4" t="s">
        <v>44</v>
      </c>
    </row>
    <row r="41" spans="1:1" x14ac:dyDescent="0.25">
      <c r="A41" t="s">
        <v>34</v>
      </c>
    </row>
    <row r="42" spans="1:1" x14ac:dyDescent="0.25">
      <c r="A42" t="s">
        <v>65</v>
      </c>
    </row>
    <row r="43" spans="1:1" x14ac:dyDescent="0.25">
      <c r="A43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D743-0EC3-4FC1-8E4A-26EB0AEA5631}">
  <sheetPr>
    <tabColor rgb="FF0070C0"/>
  </sheetPr>
  <dimension ref="A1:A43"/>
  <sheetViews>
    <sheetView topLeftCell="A31" zoomScale="80" zoomScaleNormal="80" workbookViewId="0">
      <selection activeCell="G32" sqref="G32"/>
    </sheetView>
  </sheetViews>
  <sheetFormatPr defaultRowHeight="12.5" x14ac:dyDescent="0.25"/>
  <cols>
    <col min="1" max="1" width="36.81640625" customWidth="1"/>
    <col min="2" max="2" width="10.1796875" customWidth="1"/>
    <col min="3" max="3" width="12.453125" bestFit="1" customWidth="1"/>
    <col min="4" max="4" width="16.7265625" customWidth="1"/>
    <col min="5" max="5" width="15.26953125" customWidth="1"/>
    <col min="6" max="6" width="27.7265625" customWidth="1"/>
  </cols>
  <sheetData>
    <row r="1" spans="1:1" x14ac:dyDescent="0.25">
      <c r="A1" s="5" t="s">
        <v>293</v>
      </c>
    </row>
    <row r="4" spans="1:1" ht="13" x14ac:dyDescent="0.3">
      <c r="A4" s="2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10" spans="1:1" x14ac:dyDescent="0.25">
      <c r="A10" t="s">
        <v>30</v>
      </c>
    </row>
    <row r="11" spans="1:1" x14ac:dyDescent="0.25">
      <c r="A11" t="s">
        <v>45</v>
      </c>
    </row>
    <row r="12" spans="1:1" x14ac:dyDescent="0.25">
      <c r="A12" t="s">
        <v>42</v>
      </c>
    </row>
    <row r="13" spans="1:1" x14ac:dyDescent="0.25">
      <c r="A13" t="s">
        <v>70</v>
      </c>
    </row>
    <row r="14" spans="1:1" x14ac:dyDescent="0.25">
      <c r="A14" t="s">
        <v>44</v>
      </c>
    </row>
    <row r="15" spans="1:1" x14ac:dyDescent="0.25">
      <c r="A15" t="s">
        <v>31</v>
      </c>
    </row>
    <row r="16" spans="1:1" x14ac:dyDescent="0.25">
      <c r="A16" t="s">
        <v>65</v>
      </c>
    </row>
    <row r="17" spans="1:1" x14ac:dyDescent="0.25">
      <c r="A17" t="s">
        <v>41</v>
      </c>
    </row>
    <row r="20" spans="1:1" ht="13" x14ac:dyDescent="0.3">
      <c r="A20" s="2" t="s">
        <v>26</v>
      </c>
    </row>
    <row r="21" spans="1:1" x14ac:dyDescent="0.25">
      <c r="A21" s="31" t="s">
        <v>37</v>
      </c>
    </row>
    <row r="22" spans="1:1" x14ac:dyDescent="0.25">
      <c r="A22" s="31" t="s">
        <v>71</v>
      </c>
    </row>
    <row r="23" spans="1:1" x14ac:dyDescent="0.25">
      <c r="A23" s="31" t="s">
        <v>72</v>
      </c>
    </row>
    <row r="24" spans="1:1" x14ac:dyDescent="0.25">
      <c r="A24" s="31" t="s">
        <v>69</v>
      </c>
    </row>
    <row r="25" spans="1:1" x14ac:dyDescent="0.25">
      <c r="A25" s="31" t="s">
        <v>38</v>
      </c>
    </row>
    <row r="26" spans="1:1" x14ac:dyDescent="0.25">
      <c r="A26" s="31" t="s">
        <v>66</v>
      </c>
    </row>
    <row r="27" spans="1:1" x14ac:dyDescent="0.25">
      <c r="A27" s="31" t="s">
        <v>67</v>
      </c>
    </row>
    <row r="28" spans="1:1" x14ac:dyDescent="0.25">
      <c r="A28" s="31" t="s">
        <v>68</v>
      </c>
    </row>
    <row r="29" spans="1:1" x14ac:dyDescent="0.25">
      <c r="A29" s="31" t="s">
        <v>175</v>
      </c>
    </row>
    <row r="30" spans="1:1" ht="13" x14ac:dyDescent="0.3">
      <c r="A30" s="1" t="s">
        <v>96</v>
      </c>
    </row>
    <row r="32" spans="1:1" x14ac:dyDescent="0.25">
      <c r="A32" t="s">
        <v>22</v>
      </c>
    </row>
    <row r="33" spans="1:1" ht="13" x14ac:dyDescent="0.3">
      <c r="A33" s="2" t="s">
        <v>39</v>
      </c>
    </row>
    <row r="34" spans="1:1" x14ac:dyDescent="0.25">
      <c r="A34" t="s">
        <v>28</v>
      </c>
    </row>
    <row r="35" spans="1:1" x14ac:dyDescent="0.25">
      <c r="A35" t="s">
        <v>36</v>
      </c>
    </row>
    <row r="36" spans="1:1" x14ac:dyDescent="0.25">
      <c r="A36" t="s">
        <v>30</v>
      </c>
    </row>
    <row r="37" spans="1:1" x14ac:dyDescent="0.25">
      <c r="A37" t="s">
        <v>14</v>
      </c>
    </row>
    <row r="38" spans="1:1" x14ac:dyDescent="0.25">
      <c r="A38" t="s">
        <v>42</v>
      </c>
    </row>
    <row r="39" spans="1:1" x14ac:dyDescent="0.25">
      <c r="A39" t="s">
        <v>73</v>
      </c>
    </row>
    <row r="40" spans="1:1" x14ac:dyDescent="0.25">
      <c r="A40" s="4" t="s">
        <v>44</v>
      </c>
    </row>
    <row r="41" spans="1:1" x14ac:dyDescent="0.25">
      <c r="A41" t="s">
        <v>34</v>
      </c>
    </row>
    <row r="42" spans="1:1" x14ac:dyDescent="0.25">
      <c r="A42" t="s">
        <v>65</v>
      </c>
    </row>
    <row r="43" spans="1:1" x14ac:dyDescent="0.25">
      <c r="A43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6AC6-B646-4697-9A03-7825F11208A0}">
  <dimension ref="A12:I28"/>
  <sheetViews>
    <sheetView workbookViewId="0">
      <selection activeCell="I19" sqref="I19"/>
    </sheetView>
  </sheetViews>
  <sheetFormatPr defaultRowHeight="12.5" x14ac:dyDescent="0.25"/>
  <cols>
    <col min="1" max="1" width="34.1796875" customWidth="1"/>
    <col min="6" max="6" width="36.7265625" customWidth="1"/>
    <col min="7" max="7" width="15.1796875" customWidth="1"/>
    <col min="14" max="14" width="18" customWidth="1"/>
  </cols>
  <sheetData>
    <row r="12" spans="1:6" ht="13" x14ac:dyDescent="0.3">
      <c r="A12" s="2" t="s">
        <v>168</v>
      </c>
    </row>
    <row r="14" spans="1:6" x14ac:dyDescent="0.25">
      <c r="F14" s="5" t="s">
        <v>173</v>
      </c>
    </row>
    <row r="15" spans="1:6" x14ac:dyDescent="0.25">
      <c r="A15" s="3" t="s">
        <v>28</v>
      </c>
      <c r="F15" s="5" t="s">
        <v>314</v>
      </c>
    </row>
    <row r="16" spans="1:6" x14ac:dyDescent="0.25">
      <c r="A16" s="32" t="s">
        <v>29</v>
      </c>
    </row>
    <row r="17" spans="1:9" x14ac:dyDescent="0.25">
      <c r="A17" s="3"/>
      <c r="F17" t="s">
        <v>30</v>
      </c>
    </row>
    <row r="18" spans="1:9" x14ac:dyDescent="0.25">
      <c r="A18" s="3"/>
    </row>
    <row r="19" spans="1:9" x14ac:dyDescent="0.25">
      <c r="A19" s="3"/>
    </row>
    <row r="20" spans="1:9" x14ac:dyDescent="0.25">
      <c r="A20" s="3" t="s">
        <v>30</v>
      </c>
    </row>
    <row r="21" spans="1:9" x14ac:dyDescent="0.25">
      <c r="A21" s="3" t="s">
        <v>45</v>
      </c>
    </row>
    <row r="22" spans="1:9" x14ac:dyDescent="0.25">
      <c r="A22" s="3" t="s">
        <v>42</v>
      </c>
      <c r="F22" s="5" t="s">
        <v>169</v>
      </c>
    </row>
    <row r="23" spans="1:9" x14ac:dyDescent="0.25">
      <c r="A23" s="3" t="s">
        <v>70</v>
      </c>
      <c r="F23" t="s">
        <v>32</v>
      </c>
    </row>
    <row r="24" spans="1:9" x14ac:dyDescent="0.25">
      <c r="A24" s="3" t="s">
        <v>44</v>
      </c>
      <c r="F24" t="s">
        <v>33</v>
      </c>
    </row>
    <row r="25" spans="1:9" x14ac:dyDescent="0.25">
      <c r="A25" s="3" t="s">
        <v>31</v>
      </c>
      <c r="F25" t="s">
        <v>10</v>
      </c>
    </row>
    <row r="26" spans="1:9" x14ac:dyDescent="0.25">
      <c r="A26" s="3" t="s">
        <v>65</v>
      </c>
      <c r="F26" t="s">
        <v>34</v>
      </c>
      <c r="I26" s="5" t="s">
        <v>170</v>
      </c>
    </row>
    <row r="27" spans="1:9" x14ac:dyDescent="0.25">
      <c r="A27" s="3" t="s">
        <v>41</v>
      </c>
    </row>
    <row r="28" spans="1:9" x14ac:dyDescent="0.25">
      <c r="A28" s="32" t="s">
        <v>171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4862-685A-4485-A757-5C7659174F86}">
  <sheetPr>
    <tabColor theme="1"/>
  </sheetPr>
  <dimension ref="A1"/>
  <sheetViews>
    <sheetView topLeftCell="XFD1048576" workbookViewId="0">
      <selection sqref="A1:IV65536"/>
    </sheetView>
  </sheetViews>
  <sheetFormatPr defaultColWidth="0" defaultRowHeight="12.75" customHeight="1" zeroHeight="1" x14ac:dyDescent="0.25"/>
  <cols>
    <col min="1" max="16384" width="0" style="117" hidden="1"/>
  </cols>
  <sheetData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EC66-2E5E-48CE-BFD6-D51BBBCB15BE}">
  <sheetPr codeName="Planilha3">
    <tabColor theme="6" tint="0.59999389629810485"/>
    <outlinePr summaryBelow="0" summaryRight="0"/>
  </sheetPr>
  <dimension ref="A1:BV447"/>
  <sheetViews>
    <sheetView showGridLines="0" topLeftCell="A73" zoomScale="64" zoomScaleNormal="70" workbookViewId="0">
      <pane xSplit="3" topLeftCell="BB1" activePane="topRight" state="frozen"/>
      <selection activeCell="AX495" sqref="AX495"/>
      <selection pane="topRight" activeCell="BM88" sqref="BM88:BV88"/>
    </sheetView>
  </sheetViews>
  <sheetFormatPr defaultColWidth="0" defaultRowHeight="12.5" outlineLevelRow="2" outlineLevelCol="1" x14ac:dyDescent="0.25"/>
  <cols>
    <col min="1" max="1" width="36.453125" style="6" bestFit="1" customWidth="1"/>
    <col min="2" max="2" width="11.26953125" style="6" customWidth="1"/>
    <col min="3" max="3" width="13.453125" style="6" customWidth="1"/>
    <col min="4" max="38" width="8.7265625" style="14" customWidth="1" outlineLevel="1"/>
    <col min="39" max="39" width="6.7265625" style="14" customWidth="1" outlineLevel="1"/>
    <col min="40" max="47" width="15.7265625" style="14" customWidth="1"/>
    <col min="48" max="74" width="15.7265625" style="6" customWidth="1"/>
    <col min="75" max="16384" width="0" style="6" hidden="1"/>
  </cols>
  <sheetData>
    <row r="1" spans="1:74" ht="13" thickBot="1" x14ac:dyDescent="0.3"/>
    <row r="2" spans="1:74" s="564" customFormat="1" ht="40" customHeight="1" thickBot="1" x14ac:dyDescent="0.3">
      <c r="A2" s="538" t="s">
        <v>577</v>
      </c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39"/>
      <c r="AK2" s="539"/>
      <c r="AL2" s="539"/>
      <c r="AM2" s="539"/>
    </row>
    <row r="3" spans="1:74" ht="20.5" thickBot="1" x14ac:dyDescent="0.3">
      <c r="A3" s="620"/>
      <c r="D3" s="6"/>
      <c r="E3" s="6"/>
      <c r="F3" s="6"/>
      <c r="G3" s="6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0"/>
      <c r="X3" s="620"/>
      <c r="Y3" s="620"/>
      <c r="Z3" s="620"/>
      <c r="AA3" s="620"/>
      <c r="AB3" s="620"/>
      <c r="AC3" s="620"/>
      <c r="AD3" s="620"/>
      <c r="AE3" s="620"/>
      <c r="AF3" s="620"/>
      <c r="AG3" s="620"/>
      <c r="AH3" s="620"/>
      <c r="AI3" s="620"/>
      <c r="AJ3" s="620"/>
      <c r="AK3" s="620"/>
      <c r="AL3" s="620"/>
      <c r="AM3" s="620"/>
      <c r="AN3" s="6"/>
      <c r="AO3" s="6"/>
      <c r="AP3" s="6"/>
      <c r="AQ3" s="6"/>
      <c r="AR3" s="6"/>
      <c r="AS3" s="6"/>
      <c r="AT3" s="6"/>
      <c r="AU3" s="6"/>
    </row>
    <row r="4" spans="1:74" s="563" customFormat="1" ht="30" customHeight="1" thickBot="1" x14ac:dyDescent="0.3">
      <c r="A4" s="555" t="s">
        <v>326</v>
      </c>
      <c r="B4" s="621"/>
      <c r="C4" s="621"/>
      <c r="D4" s="621"/>
      <c r="E4" s="621"/>
      <c r="F4" s="621"/>
      <c r="G4" s="621"/>
      <c r="H4" s="621"/>
      <c r="I4" s="621"/>
      <c r="J4" s="621"/>
      <c r="K4" s="621"/>
      <c r="L4" s="621"/>
      <c r="M4" s="621"/>
      <c r="N4" s="621"/>
      <c r="O4" s="621"/>
      <c r="P4" s="621"/>
      <c r="Q4" s="621"/>
      <c r="R4" s="621"/>
      <c r="S4" s="621"/>
      <c r="T4" s="621"/>
      <c r="U4" s="621"/>
      <c r="V4" s="621"/>
      <c r="W4" s="621"/>
      <c r="X4" s="621"/>
      <c r="Y4" s="621"/>
      <c r="Z4" s="621"/>
      <c r="AA4" s="621"/>
      <c r="AB4" s="621"/>
      <c r="AC4" s="621"/>
      <c r="AD4" s="621"/>
      <c r="AE4" s="621"/>
      <c r="AF4" s="621"/>
      <c r="AG4" s="621"/>
      <c r="AH4" s="621"/>
      <c r="AI4" s="621"/>
      <c r="AJ4" s="621"/>
      <c r="AK4" s="621"/>
      <c r="AL4" s="621"/>
      <c r="AM4" s="621"/>
      <c r="AN4" s="621"/>
      <c r="AO4" s="621"/>
      <c r="AP4" s="621"/>
      <c r="AQ4" s="621"/>
      <c r="AR4" s="621"/>
      <c r="AS4" s="621"/>
      <c r="AT4" s="621"/>
      <c r="AU4" s="621"/>
    </row>
    <row r="5" spans="1:74" s="123" customFormat="1" ht="27" customHeight="1" outlineLevel="1" thickBot="1" x14ac:dyDescent="0.3">
      <c r="A5" s="1106" t="s">
        <v>52</v>
      </c>
      <c r="B5" s="1106"/>
      <c r="C5" s="1106"/>
      <c r="D5" s="1106"/>
      <c r="E5" s="1106"/>
      <c r="F5" s="1106"/>
      <c r="G5" s="1106"/>
      <c r="H5" s="1106"/>
      <c r="I5" s="1106"/>
      <c r="J5" s="1106"/>
      <c r="K5" s="1106"/>
      <c r="L5" s="1106"/>
      <c r="M5" s="1106"/>
      <c r="N5" s="1106"/>
      <c r="O5" s="1106"/>
      <c r="P5" s="1106"/>
      <c r="Q5" s="1106"/>
      <c r="R5" s="1106"/>
      <c r="S5" s="1106"/>
      <c r="T5" s="1106"/>
      <c r="U5" s="1106"/>
      <c r="V5" s="1106"/>
      <c r="W5" s="1106"/>
      <c r="X5" s="1106"/>
      <c r="Y5" s="1106"/>
      <c r="Z5" s="1106"/>
      <c r="AA5" s="1106"/>
      <c r="AB5" s="1106"/>
      <c r="AC5" s="1106"/>
      <c r="AD5" s="1106"/>
      <c r="AE5" s="1106"/>
      <c r="AF5" s="1106"/>
      <c r="AG5" s="1106"/>
      <c r="AH5" s="1106"/>
      <c r="AI5" s="1106"/>
      <c r="AJ5" s="1106"/>
      <c r="AK5" s="1106"/>
      <c r="AL5" s="1106"/>
      <c r="AM5" s="1106"/>
      <c r="AN5" s="1106"/>
      <c r="AO5" s="1106"/>
      <c r="AP5" s="1106"/>
      <c r="AQ5" s="1106"/>
      <c r="AR5" s="1106"/>
      <c r="AS5" s="1106"/>
      <c r="AT5" s="1106"/>
      <c r="AU5" s="1106"/>
      <c r="AV5" s="1106"/>
      <c r="AW5" s="1106"/>
      <c r="AX5" s="1106"/>
      <c r="AY5" s="1106"/>
      <c r="AZ5" s="1106"/>
      <c r="BA5" s="1106"/>
      <c r="BB5" s="1106"/>
      <c r="BC5" s="1106"/>
      <c r="BD5" s="1106"/>
      <c r="BE5" s="1106"/>
      <c r="BF5" s="1106"/>
      <c r="BG5" s="1106"/>
      <c r="BH5" s="1106"/>
      <c r="BI5" s="1106"/>
      <c r="BJ5" s="1106"/>
      <c r="BK5" s="1106"/>
      <c r="BL5" s="1106"/>
      <c r="BM5" s="1106"/>
      <c r="BN5" s="1106"/>
      <c r="BO5" s="1106"/>
      <c r="BP5" s="1106"/>
      <c r="BQ5" s="1106"/>
      <c r="BR5" s="1106"/>
      <c r="BS5" s="1106"/>
      <c r="BT5" s="1106"/>
      <c r="BU5" s="1106"/>
      <c r="BV5" s="1106"/>
    </row>
    <row r="6" spans="1:74" ht="18" customHeight="1" outlineLevel="2" thickBot="1" x14ac:dyDescent="0.3">
      <c r="A6" s="1102" t="s">
        <v>113</v>
      </c>
      <c r="B6" s="1102" t="s">
        <v>8</v>
      </c>
      <c r="C6" s="1102" t="s">
        <v>100</v>
      </c>
      <c r="D6" s="1102" t="s">
        <v>97</v>
      </c>
      <c r="E6" s="1102"/>
      <c r="F6" s="1102"/>
      <c r="G6" s="1102"/>
      <c r="H6" s="1102"/>
      <c r="I6" s="1102"/>
      <c r="J6" s="1102"/>
      <c r="K6" s="1102"/>
      <c r="L6" s="1102"/>
      <c r="M6" s="1102"/>
      <c r="N6" s="1102"/>
      <c r="O6" s="1102"/>
      <c r="P6" s="1102"/>
      <c r="Q6" s="1102"/>
      <c r="R6" s="1102"/>
      <c r="S6" s="1102"/>
      <c r="T6" s="1102"/>
      <c r="U6" s="1102"/>
      <c r="V6" s="1102"/>
      <c r="W6" s="1102"/>
      <c r="X6" s="1102"/>
      <c r="Y6" s="1102"/>
      <c r="Z6" s="1102"/>
      <c r="AA6" s="1102"/>
      <c r="AB6" s="1102"/>
      <c r="AC6" s="1102"/>
      <c r="AD6" s="1102"/>
      <c r="AE6" s="1102"/>
      <c r="AF6" s="1102"/>
      <c r="AG6" s="1102"/>
      <c r="AH6" s="1102"/>
      <c r="AI6" s="1102"/>
      <c r="AJ6" s="1102"/>
      <c r="AK6" s="1102"/>
      <c r="AL6" s="1102"/>
      <c r="AM6" s="634"/>
      <c r="AN6" s="1102" t="s">
        <v>99</v>
      </c>
      <c r="AO6" s="1102"/>
      <c r="AP6" s="1102"/>
      <c r="AQ6" s="1102"/>
      <c r="AR6" s="1102"/>
      <c r="AS6" s="1102"/>
      <c r="AT6" s="1102"/>
      <c r="AU6" s="1102"/>
      <c r="AV6" s="1102"/>
      <c r="AW6" s="1102"/>
      <c r="AX6" s="1102"/>
      <c r="AY6" s="1102"/>
      <c r="AZ6" s="1102"/>
      <c r="BA6" s="1102"/>
      <c r="BB6" s="1102"/>
      <c r="BC6" s="1102"/>
      <c r="BD6" s="1102"/>
      <c r="BE6" s="1102"/>
      <c r="BF6" s="1102"/>
      <c r="BG6" s="1102"/>
      <c r="BH6" s="1102"/>
      <c r="BI6" s="1102"/>
      <c r="BJ6" s="1102"/>
      <c r="BK6" s="1102"/>
      <c r="BL6" s="1102"/>
      <c r="BM6" s="1102"/>
      <c r="BN6" s="1102"/>
      <c r="BO6" s="1102"/>
      <c r="BP6" s="1102"/>
      <c r="BQ6" s="1102"/>
      <c r="BR6" s="1102"/>
      <c r="BS6" s="1102"/>
      <c r="BT6" s="1102"/>
      <c r="BU6" s="1102"/>
      <c r="BV6" s="1102"/>
    </row>
    <row r="7" spans="1:74" ht="18" customHeight="1" outlineLevel="2" thickBot="1" x14ac:dyDescent="0.3">
      <c r="A7" s="1102"/>
      <c r="B7" s="1102"/>
      <c r="C7" s="1102"/>
      <c r="D7" s="275">
        <v>1</v>
      </c>
      <c r="E7" s="211">
        <v>2</v>
      </c>
      <c r="F7" s="211">
        <v>3</v>
      </c>
      <c r="G7" s="211">
        <v>4</v>
      </c>
      <c r="H7" s="211">
        <v>5</v>
      </c>
      <c r="I7" s="211">
        <v>6</v>
      </c>
      <c r="J7" s="211">
        <v>7</v>
      </c>
      <c r="K7" s="211">
        <v>8</v>
      </c>
      <c r="L7" s="211">
        <v>9</v>
      </c>
      <c r="M7" s="211">
        <v>10</v>
      </c>
      <c r="N7" s="211">
        <v>11</v>
      </c>
      <c r="O7" s="211">
        <v>12</v>
      </c>
      <c r="P7" s="211">
        <v>13</v>
      </c>
      <c r="Q7" s="211">
        <v>14</v>
      </c>
      <c r="R7" s="211">
        <v>15</v>
      </c>
      <c r="S7" s="211">
        <v>16</v>
      </c>
      <c r="T7" s="211">
        <v>17</v>
      </c>
      <c r="U7" s="211">
        <v>18</v>
      </c>
      <c r="V7" s="211">
        <v>19</v>
      </c>
      <c r="W7" s="211">
        <v>20</v>
      </c>
      <c r="X7" s="211">
        <v>21</v>
      </c>
      <c r="Y7" s="211">
        <v>22</v>
      </c>
      <c r="Z7" s="211">
        <v>23</v>
      </c>
      <c r="AA7" s="211">
        <v>24</v>
      </c>
      <c r="AB7" s="211">
        <v>25</v>
      </c>
      <c r="AC7" s="211">
        <v>26</v>
      </c>
      <c r="AD7" s="211">
        <v>27</v>
      </c>
      <c r="AE7" s="211">
        <v>28</v>
      </c>
      <c r="AF7" s="211">
        <v>29</v>
      </c>
      <c r="AG7" s="211">
        <v>30</v>
      </c>
      <c r="AH7" s="211">
        <v>31</v>
      </c>
      <c r="AI7" s="211">
        <v>32</v>
      </c>
      <c r="AJ7" s="211">
        <v>33</v>
      </c>
      <c r="AK7" s="211">
        <v>34</v>
      </c>
      <c r="AL7" s="212">
        <v>35</v>
      </c>
      <c r="AM7" s="635"/>
      <c r="AN7" s="275">
        <v>1</v>
      </c>
      <c r="AO7" s="211">
        <v>2</v>
      </c>
      <c r="AP7" s="211">
        <v>3</v>
      </c>
      <c r="AQ7" s="211">
        <v>4</v>
      </c>
      <c r="AR7" s="211">
        <v>5</v>
      </c>
      <c r="AS7" s="211">
        <v>6</v>
      </c>
      <c r="AT7" s="211">
        <v>7</v>
      </c>
      <c r="AU7" s="211">
        <v>8</v>
      </c>
      <c r="AV7" s="211">
        <v>9</v>
      </c>
      <c r="AW7" s="211">
        <v>10</v>
      </c>
      <c r="AX7" s="211">
        <v>11</v>
      </c>
      <c r="AY7" s="211">
        <v>12</v>
      </c>
      <c r="AZ7" s="211">
        <v>13</v>
      </c>
      <c r="BA7" s="211">
        <v>14</v>
      </c>
      <c r="BB7" s="211">
        <v>15</v>
      </c>
      <c r="BC7" s="211">
        <v>16</v>
      </c>
      <c r="BD7" s="211">
        <v>17</v>
      </c>
      <c r="BE7" s="211">
        <v>18</v>
      </c>
      <c r="BF7" s="211">
        <v>19</v>
      </c>
      <c r="BG7" s="211">
        <v>20</v>
      </c>
      <c r="BH7" s="211">
        <v>21</v>
      </c>
      <c r="BI7" s="211">
        <v>22</v>
      </c>
      <c r="BJ7" s="211">
        <v>23</v>
      </c>
      <c r="BK7" s="211">
        <v>24</v>
      </c>
      <c r="BL7" s="211">
        <v>25</v>
      </c>
      <c r="BM7" s="211">
        <v>26</v>
      </c>
      <c r="BN7" s="211">
        <v>27</v>
      </c>
      <c r="BO7" s="211">
        <v>28</v>
      </c>
      <c r="BP7" s="211">
        <v>29</v>
      </c>
      <c r="BQ7" s="211">
        <v>30</v>
      </c>
      <c r="BR7" s="211">
        <v>31</v>
      </c>
      <c r="BS7" s="211">
        <v>32</v>
      </c>
      <c r="BT7" s="211">
        <v>33</v>
      </c>
      <c r="BU7" s="211">
        <v>34</v>
      </c>
      <c r="BV7" s="212">
        <v>35</v>
      </c>
    </row>
    <row r="8" spans="1:74" ht="20.149999999999999" customHeight="1" outlineLevel="2" x14ac:dyDescent="0.25">
      <c r="A8" s="56" t="str">
        <f>'Quantidade-Cult.Perma.'!A12</f>
        <v>Ácido Bórico</v>
      </c>
      <c r="B8" s="11" t="str">
        <f>'Quantidade-Cult.Perma.'!B12</f>
        <v>KG</v>
      </c>
      <c r="C8" s="279">
        <f>'Quantidade-Cult.Perma.'!D12</f>
        <v>7.5</v>
      </c>
      <c r="D8" s="279">
        <f>'Quantidade-Cult.Perma.'!R12</f>
        <v>133.30000000000001</v>
      </c>
      <c r="E8" s="279">
        <f>'Quantidade-Cult.Perma.'!S12</f>
        <v>159.96</v>
      </c>
      <c r="F8" s="279">
        <f>'Quantidade-Cult.Perma.'!T12</f>
        <v>159.96</v>
      </c>
      <c r="G8" s="279">
        <f>'Quantidade-Cult.Perma.'!U12</f>
        <v>159.96</v>
      </c>
      <c r="H8" s="279">
        <f>'Quantidade-Cult.Perma.'!V12</f>
        <v>159.96</v>
      </c>
      <c r="I8" s="279">
        <f>'Quantidade-Cult.Perma.'!W12</f>
        <v>159.96</v>
      </c>
      <c r="J8" s="279">
        <f>'Quantidade-Cult.Perma.'!X12</f>
        <v>159.96</v>
      </c>
      <c r="K8" s="279">
        <f>'Quantidade-Cult.Perma.'!Y12</f>
        <v>159.96</v>
      </c>
      <c r="L8" s="356">
        <f>'Quantidade-Cult.Perma.'!Z12</f>
        <v>159.96</v>
      </c>
      <c r="M8" s="356">
        <f>'Quantidade-Cult.Perma.'!AA12</f>
        <v>159.96</v>
      </c>
      <c r="N8" s="356">
        <f>'Quantidade-Cult.Perma.'!AB12</f>
        <v>159.96</v>
      </c>
      <c r="O8" s="356">
        <f>'Quantidade-Cult.Perma.'!AC12</f>
        <v>159.96</v>
      </c>
      <c r="P8" s="356">
        <f>D8</f>
        <v>133.30000000000001</v>
      </c>
      <c r="Q8" s="356">
        <f t="shared" ref="Q8:Q22" si="0">E8</f>
        <v>159.96</v>
      </c>
      <c r="R8" s="356">
        <f t="shared" ref="R8:R22" si="1">F8</f>
        <v>159.96</v>
      </c>
      <c r="S8" s="356">
        <f t="shared" ref="S8:S22" si="2">G8</f>
        <v>159.96</v>
      </c>
      <c r="T8" s="356">
        <f t="shared" ref="T8:T22" si="3">H8</f>
        <v>159.96</v>
      </c>
      <c r="U8" s="356">
        <f t="shared" ref="U8:U22" si="4">I8</f>
        <v>159.96</v>
      </c>
      <c r="V8" s="356">
        <f t="shared" ref="V8:V22" si="5">J8</f>
        <v>159.96</v>
      </c>
      <c r="W8" s="356">
        <f t="shared" ref="W8:W22" si="6">K8</f>
        <v>159.96</v>
      </c>
      <c r="X8" s="356">
        <f t="shared" ref="X8:X22" si="7">L8</f>
        <v>159.96</v>
      </c>
      <c r="Y8" s="356">
        <f t="shared" ref="Y8:Y22" si="8">M8</f>
        <v>159.96</v>
      </c>
      <c r="Z8" s="356">
        <f t="shared" ref="Z8:Z22" si="9">N8</f>
        <v>159.96</v>
      </c>
      <c r="AA8" s="356">
        <f t="shared" ref="AA8:AA22" si="10">O8</f>
        <v>159.96</v>
      </c>
      <c r="AB8" s="356">
        <f>D8</f>
        <v>133.30000000000001</v>
      </c>
      <c r="AC8" s="356">
        <f t="shared" ref="AC8:AC22" si="11">E8</f>
        <v>159.96</v>
      </c>
      <c r="AD8" s="356">
        <f t="shared" ref="AD8:AD22" si="12">F8</f>
        <v>159.96</v>
      </c>
      <c r="AE8" s="356">
        <f t="shared" ref="AE8:AE22" si="13">G8</f>
        <v>159.96</v>
      </c>
      <c r="AF8" s="356">
        <f t="shared" ref="AF8:AF22" si="14">H8</f>
        <v>159.96</v>
      </c>
      <c r="AG8" s="356">
        <f t="shared" ref="AG8:AG22" si="15">I8</f>
        <v>159.96</v>
      </c>
      <c r="AH8" s="356">
        <f t="shared" ref="AH8:AH22" si="16">J8</f>
        <v>159.96</v>
      </c>
      <c r="AI8" s="356">
        <f t="shared" ref="AI8:AI22" si="17">K8</f>
        <v>159.96</v>
      </c>
      <c r="AJ8" s="356">
        <f t="shared" ref="AJ8:AJ22" si="18">L8</f>
        <v>159.96</v>
      </c>
      <c r="AK8" s="356">
        <f t="shared" ref="AK8:AK22" si="19">M8</f>
        <v>159.96</v>
      </c>
      <c r="AL8" s="357">
        <f t="shared" ref="AL8:AL22" si="20">N8</f>
        <v>159.96</v>
      </c>
      <c r="AM8" s="636"/>
      <c r="AN8" s="280">
        <f t="shared" ref="AN8:AU8" si="21">$C$8*D8</f>
        <v>999.75000000000011</v>
      </c>
      <c r="AO8" s="281">
        <f t="shared" si="21"/>
        <v>1199.7</v>
      </c>
      <c r="AP8" s="281">
        <f t="shared" si="21"/>
        <v>1199.7</v>
      </c>
      <c r="AQ8" s="281">
        <f t="shared" si="21"/>
        <v>1199.7</v>
      </c>
      <c r="AR8" s="281">
        <f t="shared" si="21"/>
        <v>1199.7</v>
      </c>
      <c r="AS8" s="281">
        <f t="shared" si="21"/>
        <v>1199.7</v>
      </c>
      <c r="AT8" s="281">
        <f t="shared" si="21"/>
        <v>1199.7</v>
      </c>
      <c r="AU8" s="281">
        <f t="shared" si="21"/>
        <v>1199.7</v>
      </c>
      <c r="AV8" s="374">
        <f t="shared" ref="AV8:BV8" si="22">$C$8*L8</f>
        <v>1199.7</v>
      </c>
      <c r="AW8" s="374">
        <f t="shared" si="22"/>
        <v>1199.7</v>
      </c>
      <c r="AX8" s="374">
        <f t="shared" si="22"/>
        <v>1199.7</v>
      </c>
      <c r="AY8" s="374">
        <f t="shared" si="22"/>
        <v>1199.7</v>
      </c>
      <c r="AZ8" s="374">
        <f t="shared" si="22"/>
        <v>999.75000000000011</v>
      </c>
      <c r="BA8" s="374">
        <f t="shared" si="22"/>
        <v>1199.7</v>
      </c>
      <c r="BB8" s="374">
        <f t="shared" si="22"/>
        <v>1199.7</v>
      </c>
      <c r="BC8" s="374">
        <f t="shared" si="22"/>
        <v>1199.7</v>
      </c>
      <c r="BD8" s="374">
        <f t="shared" si="22"/>
        <v>1199.7</v>
      </c>
      <c r="BE8" s="374">
        <f t="shared" si="22"/>
        <v>1199.7</v>
      </c>
      <c r="BF8" s="374">
        <f t="shared" si="22"/>
        <v>1199.7</v>
      </c>
      <c r="BG8" s="374">
        <f t="shared" si="22"/>
        <v>1199.7</v>
      </c>
      <c r="BH8" s="374">
        <f t="shared" si="22"/>
        <v>1199.7</v>
      </c>
      <c r="BI8" s="374">
        <f t="shared" si="22"/>
        <v>1199.7</v>
      </c>
      <c r="BJ8" s="374">
        <f t="shared" si="22"/>
        <v>1199.7</v>
      </c>
      <c r="BK8" s="374">
        <f t="shared" si="22"/>
        <v>1199.7</v>
      </c>
      <c r="BL8" s="374">
        <f t="shared" si="22"/>
        <v>999.75000000000011</v>
      </c>
      <c r="BM8" s="374">
        <f t="shared" si="22"/>
        <v>1199.7</v>
      </c>
      <c r="BN8" s="374">
        <f t="shared" si="22"/>
        <v>1199.7</v>
      </c>
      <c r="BO8" s="374">
        <f t="shared" si="22"/>
        <v>1199.7</v>
      </c>
      <c r="BP8" s="374">
        <f t="shared" si="22"/>
        <v>1199.7</v>
      </c>
      <c r="BQ8" s="374">
        <f t="shared" si="22"/>
        <v>1199.7</v>
      </c>
      <c r="BR8" s="374">
        <f t="shared" si="22"/>
        <v>1199.7</v>
      </c>
      <c r="BS8" s="374">
        <f t="shared" si="22"/>
        <v>1199.7</v>
      </c>
      <c r="BT8" s="374">
        <f t="shared" si="22"/>
        <v>1199.7</v>
      </c>
      <c r="BU8" s="374">
        <f t="shared" si="22"/>
        <v>1199.7</v>
      </c>
      <c r="BV8" s="375">
        <f t="shared" si="22"/>
        <v>1199.7</v>
      </c>
    </row>
    <row r="9" spans="1:74" ht="20.149999999999999" customHeight="1" outlineLevel="2" x14ac:dyDescent="0.25">
      <c r="A9" s="23" t="str">
        <f>'Quantidade-Cult.Perma.'!A13</f>
        <v>Calcário</v>
      </c>
      <c r="B9" s="8" t="str">
        <f>'Quantidade-Cult.Perma.'!B13</f>
        <v>T</v>
      </c>
      <c r="C9" s="284">
        <f>'Quantidade-Cult.Perma.'!D13</f>
        <v>450</v>
      </c>
      <c r="D9" s="284">
        <f>'Quantidade-Cult.Perma.'!R13</f>
        <v>1.3</v>
      </c>
      <c r="E9" s="284">
        <f>'Quantidade-Cult.Perma.'!S13</f>
        <v>1</v>
      </c>
      <c r="F9" s="284">
        <f>'Quantidade-Cult.Perma.'!T13</f>
        <v>1</v>
      </c>
      <c r="G9" s="284">
        <f>'Quantidade-Cult.Perma.'!U13</f>
        <v>1</v>
      </c>
      <c r="H9" s="284">
        <f>'Quantidade-Cult.Perma.'!V13</f>
        <v>1</v>
      </c>
      <c r="I9" s="284">
        <f>'Quantidade-Cult.Perma.'!W13</f>
        <v>1</v>
      </c>
      <c r="J9" s="284">
        <f>'Quantidade-Cult.Perma.'!X13</f>
        <v>1</v>
      </c>
      <c r="K9" s="284">
        <f>'Quantidade-Cult.Perma.'!Y13</f>
        <v>1</v>
      </c>
      <c r="L9" s="358">
        <f>'Quantidade-Cult.Perma.'!Z13</f>
        <v>1</v>
      </c>
      <c r="M9" s="358">
        <f>'Quantidade-Cult.Perma.'!AA13</f>
        <v>1</v>
      </c>
      <c r="N9" s="358">
        <f>'Quantidade-Cult.Perma.'!AB13</f>
        <v>1</v>
      </c>
      <c r="O9" s="358">
        <f>'Quantidade-Cult.Perma.'!AC13</f>
        <v>1</v>
      </c>
      <c r="P9" s="358">
        <f t="shared" ref="P9:P22" si="23">D9</f>
        <v>1.3</v>
      </c>
      <c r="Q9" s="358">
        <f t="shared" si="0"/>
        <v>1</v>
      </c>
      <c r="R9" s="358">
        <f t="shared" si="1"/>
        <v>1</v>
      </c>
      <c r="S9" s="358">
        <f t="shared" si="2"/>
        <v>1</v>
      </c>
      <c r="T9" s="358">
        <f t="shared" si="3"/>
        <v>1</v>
      </c>
      <c r="U9" s="358">
        <f t="shared" si="4"/>
        <v>1</v>
      </c>
      <c r="V9" s="358">
        <f t="shared" si="5"/>
        <v>1</v>
      </c>
      <c r="W9" s="358">
        <f t="shared" si="6"/>
        <v>1</v>
      </c>
      <c r="X9" s="358">
        <f t="shared" si="7"/>
        <v>1</v>
      </c>
      <c r="Y9" s="358">
        <f t="shared" si="8"/>
        <v>1</v>
      </c>
      <c r="Z9" s="358">
        <f t="shared" si="9"/>
        <v>1</v>
      </c>
      <c r="AA9" s="358">
        <f t="shared" si="10"/>
        <v>1</v>
      </c>
      <c r="AB9" s="358">
        <f t="shared" ref="AB9:AB22" si="24">D9</f>
        <v>1.3</v>
      </c>
      <c r="AC9" s="358">
        <f t="shared" si="11"/>
        <v>1</v>
      </c>
      <c r="AD9" s="358">
        <f t="shared" si="12"/>
        <v>1</v>
      </c>
      <c r="AE9" s="358">
        <f t="shared" si="13"/>
        <v>1</v>
      </c>
      <c r="AF9" s="358">
        <f t="shared" si="14"/>
        <v>1</v>
      </c>
      <c r="AG9" s="358">
        <f t="shared" si="15"/>
        <v>1</v>
      </c>
      <c r="AH9" s="358">
        <f t="shared" si="16"/>
        <v>1</v>
      </c>
      <c r="AI9" s="358">
        <f t="shared" si="17"/>
        <v>1</v>
      </c>
      <c r="AJ9" s="358">
        <f t="shared" si="18"/>
        <v>1</v>
      </c>
      <c r="AK9" s="358">
        <f t="shared" si="19"/>
        <v>1</v>
      </c>
      <c r="AL9" s="359">
        <f t="shared" si="20"/>
        <v>1</v>
      </c>
      <c r="AM9" s="636"/>
      <c r="AN9" s="285">
        <f t="shared" ref="AN9:AU9" si="25">$C$9*D9</f>
        <v>585</v>
      </c>
      <c r="AO9" s="286">
        <f t="shared" si="25"/>
        <v>450</v>
      </c>
      <c r="AP9" s="286">
        <f t="shared" si="25"/>
        <v>450</v>
      </c>
      <c r="AQ9" s="286">
        <f t="shared" si="25"/>
        <v>450</v>
      </c>
      <c r="AR9" s="286">
        <f t="shared" si="25"/>
        <v>450</v>
      </c>
      <c r="AS9" s="286">
        <f t="shared" si="25"/>
        <v>450</v>
      </c>
      <c r="AT9" s="286">
        <f t="shared" si="25"/>
        <v>450</v>
      </c>
      <c r="AU9" s="286">
        <f t="shared" si="25"/>
        <v>450</v>
      </c>
      <c r="AV9" s="376">
        <f t="shared" ref="AV9:BV9" si="26">$C$9*L9</f>
        <v>450</v>
      </c>
      <c r="AW9" s="376">
        <f t="shared" si="26"/>
        <v>450</v>
      </c>
      <c r="AX9" s="376">
        <f t="shared" si="26"/>
        <v>450</v>
      </c>
      <c r="AY9" s="376">
        <f t="shared" si="26"/>
        <v>450</v>
      </c>
      <c r="AZ9" s="376">
        <f t="shared" si="26"/>
        <v>585</v>
      </c>
      <c r="BA9" s="376">
        <f t="shared" si="26"/>
        <v>450</v>
      </c>
      <c r="BB9" s="376">
        <f t="shared" si="26"/>
        <v>450</v>
      </c>
      <c r="BC9" s="376">
        <f t="shared" si="26"/>
        <v>450</v>
      </c>
      <c r="BD9" s="376">
        <f t="shared" si="26"/>
        <v>450</v>
      </c>
      <c r="BE9" s="376">
        <f t="shared" si="26"/>
        <v>450</v>
      </c>
      <c r="BF9" s="376">
        <f t="shared" si="26"/>
        <v>450</v>
      </c>
      <c r="BG9" s="376">
        <f t="shared" si="26"/>
        <v>450</v>
      </c>
      <c r="BH9" s="376">
        <f t="shared" si="26"/>
        <v>450</v>
      </c>
      <c r="BI9" s="376">
        <f t="shared" si="26"/>
        <v>450</v>
      </c>
      <c r="BJ9" s="376">
        <f t="shared" si="26"/>
        <v>450</v>
      </c>
      <c r="BK9" s="376">
        <f t="shared" si="26"/>
        <v>450</v>
      </c>
      <c r="BL9" s="376">
        <f t="shared" si="26"/>
        <v>585</v>
      </c>
      <c r="BM9" s="376">
        <f t="shared" si="26"/>
        <v>450</v>
      </c>
      <c r="BN9" s="376">
        <f t="shared" si="26"/>
        <v>450</v>
      </c>
      <c r="BO9" s="376">
        <f t="shared" si="26"/>
        <v>450</v>
      </c>
      <c r="BP9" s="376">
        <f t="shared" si="26"/>
        <v>450</v>
      </c>
      <c r="BQ9" s="376">
        <f t="shared" si="26"/>
        <v>450</v>
      </c>
      <c r="BR9" s="376">
        <f t="shared" si="26"/>
        <v>450</v>
      </c>
      <c r="BS9" s="376">
        <f t="shared" si="26"/>
        <v>450</v>
      </c>
      <c r="BT9" s="376">
        <f t="shared" si="26"/>
        <v>450</v>
      </c>
      <c r="BU9" s="376">
        <f t="shared" si="26"/>
        <v>450</v>
      </c>
      <c r="BV9" s="377">
        <f t="shared" si="26"/>
        <v>450</v>
      </c>
    </row>
    <row r="10" spans="1:74" ht="20.149999999999999" customHeight="1" outlineLevel="2" x14ac:dyDescent="0.25">
      <c r="A10" s="23" t="str">
        <f>'Quantidade-Cult.Perma.'!A14</f>
        <v>Fosfatado</v>
      </c>
      <c r="B10" s="8" t="str">
        <f>'Quantidade-Cult.Perma.'!B14</f>
        <v>T</v>
      </c>
      <c r="C10" s="284">
        <f>'Quantidade-Cult.Perma.'!D14</f>
        <v>2650</v>
      </c>
      <c r="D10" s="284">
        <f>'Quantidade-Cult.Perma.'!R14</f>
        <v>1</v>
      </c>
      <c r="E10" s="284">
        <f>'Quantidade-Cult.Perma.'!S14</f>
        <v>1</v>
      </c>
      <c r="F10" s="284">
        <f>'Quantidade-Cult.Perma.'!T14</f>
        <v>1</v>
      </c>
      <c r="G10" s="284">
        <f>'Quantidade-Cult.Perma.'!U14</f>
        <v>1</v>
      </c>
      <c r="H10" s="284">
        <f>'Quantidade-Cult.Perma.'!V14</f>
        <v>1</v>
      </c>
      <c r="I10" s="284">
        <f>'Quantidade-Cult.Perma.'!W14</f>
        <v>1</v>
      </c>
      <c r="J10" s="284">
        <f>'Quantidade-Cult.Perma.'!X14</f>
        <v>1</v>
      </c>
      <c r="K10" s="284">
        <f>'Quantidade-Cult.Perma.'!Y14</f>
        <v>1</v>
      </c>
      <c r="L10" s="358">
        <f>'Quantidade-Cult.Perma.'!Z14</f>
        <v>1</v>
      </c>
      <c r="M10" s="358">
        <f>'Quantidade-Cult.Perma.'!AA14</f>
        <v>1</v>
      </c>
      <c r="N10" s="358">
        <f>'Quantidade-Cult.Perma.'!AB14</f>
        <v>1</v>
      </c>
      <c r="O10" s="358">
        <f>'Quantidade-Cult.Perma.'!AC14</f>
        <v>1</v>
      </c>
      <c r="P10" s="358">
        <f t="shared" si="23"/>
        <v>1</v>
      </c>
      <c r="Q10" s="358">
        <f t="shared" si="0"/>
        <v>1</v>
      </c>
      <c r="R10" s="358">
        <f t="shared" si="1"/>
        <v>1</v>
      </c>
      <c r="S10" s="358">
        <f t="shared" si="2"/>
        <v>1</v>
      </c>
      <c r="T10" s="358">
        <f t="shared" si="3"/>
        <v>1</v>
      </c>
      <c r="U10" s="358">
        <f t="shared" si="4"/>
        <v>1</v>
      </c>
      <c r="V10" s="358">
        <f t="shared" si="5"/>
        <v>1</v>
      </c>
      <c r="W10" s="358">
        <f t="shared" si="6"/>
        <v>1</v>
      </c>
      <c r="X10" s="358">
        <f t="shared" si="7"/>
        <v>1</v>
      </c>
      <c r="Y10" s="358">
        <f t="shared" si="8"/>
        <v>1</v>
      </c>
      <c r="Z10" s="358">
        <f t="shared" si="9"/>
        <v>1</v>
      </c>
      <c r="AA10" s="358">
        <f t="shared" si="10"/>
        <v>1</v>
      </c>
      <c r="AB10" s="358">
        <f t="shared" si="24"/>
        <v>1</v>
      </c>
      <c r="AC10" s="358">
        <f t="shared" si="11"/>
        <v>1</v>
      </c>
      <c r="AD10" s="358">
        <f t="shared" si="12"/>
        <v>1</v>
      </c>
      <c r="AE10" s="358">
        <f t="shared" si="13"/>
        <v>1</v>
      </c>
      <c r="AF10" s="358">
        <f t="shared" si="14"/>
        <v>1</v>
      </c>
      <c r="AG10" s="358">
        <f t="shared" si="15"/>
        <v>1</v>
      </c>
      <c r="AH10" s="358">
        <f t="shared" si="16"/>
        <v>1</v>
      </c>
      <c r="AI10" s="358">
        <f t="shared" si="17"/>
        <v>1</v>
      </c>
      <c r="AJ10" s="358">
        <f t="shared" si="18"/>
        <v>1</v>
      </c>
      <c r="AK10" s="358">
        <f t="shared" si="19"/>
        <v>1</v>
      </c>
      <c r="AL10" s="359">
        <f t="shared" si="20"/>
        <v>1</v>
      </c>
      <c r="AM10" s="636"/>
      <c r="AN10" s="285">
        <f t="shared" ref="AN10:AU10" si="27">$C$10*D10</f>
        <v>2650</v>
      </c>
      <c r="AO10" s="286">
        <f t="shared" si="27"/>
        <v>2650</v>
      </c>
      <c r="AP10" s="286">
        <f t="shared" si="27"/>
        <v>2650</v>
      </c>
      <c r="AQ10" s="286">
        <f t="shared" si="27"/>
        <v>2650</v>
      </c>
      <c r="AR10" s="286">
        <f t="shared" si="27"/>
        <v>2650</v>
      </c>
      <c r="AS10" s="286">
        <f t="shared" si="27"/>
        <v>2650</v>
      </c>
      <c r="AT10" s="286">
        <f t="shared" si="27"/>
        <v>2650</v>
      </c>
      <c r="AU10" s="286">
        <f t="shared" si="27"/>
        <v>2650</v>
      </c>
      <c r="AV10" s="376">
        <f t="shared" ref="AV10:BV10" si="28">$C$10*L10</f>
        <v>2650</v>
      </c>
      <c r="AW10" s="376">
        <f t="shared" si="28"/>
        <v>2650</v>
      </c>
      <c r="AX10" s="376">
        <f t="shared" si="28"/>
        <v>2650</v>
      </c>
      <c r="AY10" s="376">
        <f t="shared" si="28"/>
        <v>2650</v>
      </c>
      <c r="AZ10" s="376">
        <f t="shared" si="28"/>
        <v>2650</v>
      </c>
      <c r="BA10" s="376">
        <f t="shared" si="28"/>
        <v>2650</v>
      </c>
      <c r="BB10" s="376">
        <f t="shared" si="28"/>
        <v>2650</v>
      </c>
      <c r="BC10" s="376">
        <f t="shared" si="28"/>
        <v>2650</v>
      </c>
      <c r="BD10" s="376">
        <f t="shared" si="28"/>
        <v>2650</v>
      </c>
      <c r="BE10" s="376">
        <f t="shared" si="28"/>
        <v>2650</v>
      </c>
      <c r="BF10" s="376">
        <f t="shared" si="28"/>
        <v>2650</v>
      </c>
      <c r="BG10" s="376">
        <f t="shared" si="28"/>
        <v>2650</v>
      </c>
      <c r="BH10" s="376">
        <f t="shared" si="28"/>
        <v>2650</v>
      </c>
      <c r="BI10" s="376">
        <f t="shared" si="28"/>
        <v>2650</v>
      </c>
      <c r="BJ10" s="376">
        <f t="shared" si="28"/>
        <v>2650</v>
      </c>
      <c r="BK10" s="376">
        <f t="shared" si="28"/>
        <v>2650</v>
      </c>
      <c r="BL10" s="376">
        <f t="shared" si="28"/>
        <v>2650</v>
      </c>
      <c r="BM10" s="376">
        <f t="shared" si="28"/>
        <v>2650</v>
      </c>
      <c r="BN10" s="376">
        <f t="shared" si="28"/>
        <v>2650</v>
      </c>
      <c r="BO10" s="376">
        <f t="shared" si="28"/>
        <v>2650</v>
      </c>
      <c r="BP10" s="376">
        <f t="shared" si="28"/>
        <v>2650</v>
      </c>
      <c r="BQ10" s="376">
        <f t="shared" si="28"/>
        <v>2650</v>
      </c>
      <c r="BR10" s="376">
        <f t="shared" si="28"/>
        <v>2650</v>
      </c>
      <c r="BS10" s="376">
        <f t="shared" si="28"/>
        <v>2650</v>
      </c>
      <c r="BT10" s="376">
        <f t="shared" si="28"/>
        <v>2650</v>
      </c>
      <c r="BU10" s="376">
        <f t="shared" si="28"/>
        <v>2650</v>
      </c>
      <c r="BV10" s="377">
        <f t="shared" si="28"/>
        <v>2650</v>
      </c>
    </row>
    <row r="11" spans="1:74" ht="20.149999999999999" customHeight="1" outlineLevel="2" x14ac:dyDescent="0.25">
      <c r="A11" s="23" t="str">
        <f>'Quantidade-Cult.Perma.'!A15</f>
        <v>Foliar Completo</v>
      </c>
      <c r="B11" s="8" t="str">
        <f>'Quantidade-Cult.Perma.'!B15</f>
        <v>L</v>
      </c>
      <c r="C11" s="284">
        <f>'Quantidade-Cult.Perma.'!D15</f>
        <v>25</v>
      </c>
      <c r="D11" s="284">
        <f>'Quantidade-Cult.Perma.'!R15</f>
        <v>2</v>
      </c>
      <c r="E11" s="284">
        <f>'Quantidade-Cult.Perma.'!S15</f>
        <v>4</v>
      </c>
      <c r="F11" s="284">
        <f>'Quantidade-Cult.Perma.'!T15</f>
        <v>4</v>
      </c>
      <c r="G11" s="284">
        <f>'Quantidade-Cult.Perma.'!U15</f>
        <v>4</v>
      </c>
      <c r="H11" s="284">
        <f>'Quantidade-Cult.Perma.'!V15</f>
        <v>4</v>
      </c>
      <c r="I11" s="284">
        <f>'Quantidade-Cult.Perma.'!W15</f>
        <v>4</v>
      </c>
      <c r="J11" s="284">
        <f>'Quantidade-Cult.Perma.'!X15</f>
        <v>4</v>
      </c>
      <c r="K11" s="284">
        <f>'Quantidade-Cult.Perma.'!Y15</f>
        <v>4</v>
      </c>
      <c r="L11" s="358">
        <f>'Quantidade-Cult.Perma.'!Z15</f>
        <v>4</v>
      </c>
      <c r="M11" s="358">
        <f>'Quantidade-Cult.Perma.'!AA15</f>
        <v>4</v>
      </c>
      <c r="N11" s="358">
        <f>'Quantidade-Cult.Perma.'!AB15</f>
        <v>4</v>
      </c>
      <c r="O11" s="358">
        <f>'Quantidade-Cult.Perma.'!AC15</f>
        <v>4</v>
      </c>
      <c r="P11" s="358">
        <f t="shared" si="23"/>
        <v>2</v>
      </c>
      <c r="Q11" s="358">
        <f t="shared" si="0"/>
        <v>4</v>
      </c>
      <c r="R11" s="358">
        <f t="shared" si="1"/>
        <v>4</v>
      </c>
      <c r="S11" s="358">
        <f t="shared" si="2"/>
        <v>4</v>
      </c>
      <c r="T11" s="358">
        <f t="shared" si="3"/>
        <v>4</v>
      </c>
      <c r="U11" s="358">
        <f t="shared" si="4"/>
        <v>4</v>
      </c>
      <c r="V11" s="358">
        <f t="shared" si="5"/>
        <v>4</v>
      </c>
      <c r="W11" s="358">
        <f t="shared" si="6"/>
        <v>4</v>
      </c>
      <c r="X11" s="358">
        <f t="shared" si="7"/>
        <v>4</v>
      </c>
      <c r="Y11" s="358">
        <f t="shared" si="8"/>
        <v>4</v>
      </c>
      <c r="Z11" s="358">
        <f t="shared" si="9"/>
        <v>4</v>
      </c>
      <c r="AA11" s="358">
        <f t="shared" si="10"/>
        <v>4</v>
      </c>
      <c r="AB11" s="358">
        <f t="shared" si="24"/>
        <v>2</v>
      </c>
      <c r="AC11" s="358">
        <f t="shared" si="11"/>
        <v>4</v>
      </c>
      <c r="AD11" s="358">
        <f t="shared" si="12"/>
        <v>4</v>
      </c>
      <c r="AE11" s="358">
        <f t="shared" si="13"/>
        <v>4</v>
      </c>
      <c r="AF11" s="358">
        <f t="shared" si="14"/>
        <v>4</v>
      </c>
      <c r="AG11" s="358">
        <f t="shared" si="15"/>
        <v>4</v>
      </c>
      <c r="AH11" s="358">
        <f t="shared" si="16"/>
        <v>4</v>
      </c>
      <c r="AI11" s="358">
        <f t="shared" si="17"/>
        <v>4</v>
      </c>
      <c r="AJ11" s="358">
        <f t="shared" si="18"/>
        <v>4</v>
      </c>
      <c r="AK11" s="358">
        <f t="shared" si="19"/>
        <v>4</v>
      </c>
      <c r="AL11" s="359">
        <f t="shared" si="20"/>
        <v>4</v>
      </c>
      <c r="AM11" s="636"/>
      <c r="AN11" s="285">
        <f t="shared" ref="AN11:AU11" si="29">$C$11*D11</f>
        <v>50</v>
      </c>
      <c r="AO11" s="286">
        <f t="shared" si="29"/>
        <v>100</v>
      </c>
      <c r="AP11" s="286">
        <f t="shared" si="29"/>
        <v>100</v>
      </c>
      <c r="AQ11" s="286">
        <f t="shared" si="29"/>
        <v>100</v>
      </c>
      <c r="AR11" s="286">
        <f t="shared" si="29"/>
        <v>100</v>
      </c>
      <c r="AS11" s="286">
        <f t="shared" si="29"/>
        <v>100</v>
      </c>
      <c r="AT11" s="286">
        <f t="shared" si="29"/>
        <v>100</v>
      </c>
      <c r="AU11" s="286">
        <f t="shared" si="29"/>
        <v>100</v>
      </c>
      <c r="AV11" s="376">
        <f t="shared" ref="AV11:BV11" si="30">$C$11*L11</f>
        <v>100</v>
      </c>
      <c r="AW11" s="376">
        <f t="shared" si="30"/>
        <v>100</v>
      </c>
      <c r="AX11" s="376">
        <f t="shared" si="30"/>
        <v>100</v>
      </c>
      <c r="AY11" s="376">
        <f t="shared" si="30"/>
        <v>100</v>
      </c>
      <c r="AZ11" s="376">
        <f t="shared" si="30"/>
        <v>50</v>
      </c>
      <c r="BA11" s="376">
        <f t="shared" si="30"/>
        <v>100</v>
      </c>
      <c r="BB11" s="376">
        <f t="shared" si="30"/>
        <v>100</v>
      </c>
      <c r="BC11" s="376">
        <f t="shared" si="30"/>
        <v>100</v>
      </c>
      <c r="BD11" s="376">
        <f t="shared" si="30"/>
        <v>100</v>
      </c>
      <c r="BE11" s="376">
        <f t="shared" si="30"/>
        <v>100</v>
      </c>
      <c r="BF11" s="376">
        <f t="shared" si="30"/>
        <v>100</v>
      </c>
      <c r="BG11" s="376">
        <f t="shared" si="30"/>
        <v>100</v>
      </c>
      <c r="BH11" s="376">
        <f t="shared" si="30"/>
        <v>100</v>
      </c>
      <c r="BI11" s="376">
        <f t="shared" si="30"/>
        <v>100</v>
      </c>
      <c r="BJ11" s="376">
        <f t="shared" si="30"/>
        <v>100</v>
      </c>
      <c r="BK11" s="376">
        <f t="shared" si="30"/>
        <v>100</v>
      </c>
      <c r="BL11" s="376">
        <f t="shared" si="30"/>
        <v>50</v>
      </c>
      <c r="BM11" s="376">
        <f t="shared" si="30"/>
        <v>100</v>
      </c>
      <c r="BN11" s="376">
        <f t="shared" si="30"/>
        <v>100</v>
      </c>
      <c r="BO11" s="376">
        <f t="shared" si="30"/>
        <v>100</v>
      </c>
      <c r="BP11" s="376">
        <f t="shared" si="30"/>
        <v>100</v>
      </c>
      <c r="BQ11" s="376">
        <f t="shared" si="30"/>
        <v>100</v>
      </c>
      <c r="BR11" s="376">
        <f t="shared" si="30"/>
        <v>100</v>
      </c>
      <c r="BS11" s="376">
        <f t="shared" si="30"/>
        <v>100</v>
      </c>
      <c r="BT11" s="376">
        <f t="shared" si="30"/>
        <v>100</v>
      </c>
      <c r="BU11" s="376">
        <f t="shared" si="30"/>
        <v>100</v>
      </c>
      <c r="BV11" s="377">
        <f t="shared" si="30"/>
        <v>100</v>
      </c>
    </row>
    <row r="12" spans="1:74" ht="20.149999999999999" customHeight="1" outlineLevel="2" x14ac:dyDescent="0.25">
      <c r="A12" s="23" t="str">
        <f>'Quantidade-Cult.Perma.'!A16</f>
        <v>KCL</v>
      </c>
      <c r="B12" s="8" t="str">
        <f>'Quantidade-Cult.Perma.'!B16</f>
        <v>T</v>
      </c>
      <c r="C12" s="284">
        <f>'Quantidade-Cult.Perma.'!D16</f>
        <v>2700</v>
      </c>
      <c r="D12" s="284">
        <f>'Quantidade-Cult.Perma.'!R16</f>
        <v>1.70624</v>
      </c>
      <c r="E12" s="284">
        <f>'Quantidade-Cult.Perma.'!S16</f>
        <v>2.2394400000000001</v>
      </c>
      <c r="F12" s="284">
        <f>'Quantidade-Cult.Perma.'!T16</f>
        <v>2.2394400000000001</v>
      </c>
      <c r="G12" s="284">
        <f>'Quantidade-Cult.Perma.'!U16</f>
        <v>2.2394400000000001</v>
      </c>
      <c r="H12" s="284">
        <f>'Quantidade-Cult.Perma.'!V16</f>
        <v>1.9195199999999999</v>
      </c>
      <c r="I12" s="284">
        <f>'Quantidade-Cult.Perma.'!W16</f>
        <v>1.9195199999999999</v>
      </c>
      <c r="J12" s="284">
        <f>'Quantidade-Cult.Perma.'!X16</f>
        <v>1.9195199999999999</v>
      </c>
      <c r="K12" s="284">
        <f>'Quantidade-Cult.Perma.'!Y16</f>
        <v>1.9195199999999999</v>
      </c>
      <c r="L12" s="358">
        <f>'Quantidade-Cult.Perma.'!Z16</f>
        <v>1.9195199999999999</v>
      </c>
      <c r="M12" s="358">
        <f>'Quantidade-Cult.Perma.'!AA16</f>
        <v>1.9195199999999999</v>
      </c>
      <c r="N12" s="358">
        <f>'Quantidade-Cult.Perma.'!AB16</f>
        <v>1.9195199999999999</v>
      </c>
      <c r="O12" s="358">
        <f>'Quantidade-Cult.Perma.'!AC16</f>
        <v>1.9195199999999999</v>
      </c>
      <c r="P12" s="358">
        <f t="shared" si="23"/>
        <v>1.70624</v>
      </c>
      <c r="Q12" s="358">
        <f t="shared" si="0"/>
        <v>2.2394400000000001</v>
      </c>
      <c r="R12" s="358">
        <f t="shared" si="1"/>
        <v>2.2394400000000001</v>
      </c>
      <c r="S12" s="358">
        <f t="shared" si="2"/>
        <v>2.2394400000000001</v>
      </c>
      <c r="T12" s="358">
        <f t="shared" si="3"/>
        <v>1.9195199999999999</v>
      </c>
      <c r="U12" s="358">
        <f t="shared" si="4"/>
        <v>1.9195199999999999</v>
      </c>
      <c r="V12" s="358">
        <f t="shared" si="5"/>
        <v>1.9195199999999999</v>
      </c>
      <c r="W12" s="358">
        <f t="shared" si="6"/>
        <v>1.9195199999999999</v>
      </c>
      <c r="X12" s="358">
        <f t="shared" si="7"/>
        <v>1.9195199999999999</v>
      </c>
      <c r="Y12" s="358">
        <f t="shared" si="8"/>
        <v>1.9195199999999999</v>
      </c>
      <c r="Z12" s="358">
        <f t="shared" si="9"/>
        <v>1.9195199999999999</v>
      </c>
      <c r="AA12" s="358">
        <f t="shared" si="10"/>
        <v>1.9195199999999999</v>
      </c>
      <c r="AB12" s="358">
        <f t="shared" si="24"/>
        <v>1.70624</v>
      </c>
      <c r="AC12" s="358">
        <f t="shared" si="11"/>
        <v>2.2394400000000001</v>
      </c>
      <c r="AD12" s="358">
        <f t="shared" si="12"/>
        <v>2.2394400000000001</v>
      </c>
      <c r="AE12" s="358">
        <f t="shared" si="13"/>
        <v>2.2394400000000001</v>
      </c>
      <c r="AF12" s="358">
        <f t="shared" si="14"/>
        <v>1.9195199999999999</v>
      </c>
      <c r="AG12" s="358">
        <f t="shared" si="15"/>
        <v>1.9195199999999999</v>
      </c>
      <c r="AH12" s="358">
        <f t="shared" si="16"/>
        <v>1.9195199999999999</v>
      </c>
      <c r="AI12" s="358">
        <f t="shared" si="17"/>
        <v>1.9195199999999999</v>
      </c>
      <c r="AJ12" s="358">
        <f t="shared" si="18"/>
        <v>1.9195199999999999</v>
      </c>
      <c r="AK12" s="358">
        <f t="shared" si="19"/>
        <v>1.9195199999999999</v>
      </c>
      <c r="AL12" s="359">
        <f t="shared" si="20"/>
        <v>1.9195199999999999</v>
      </c>
      <c r="AM12" s="636"/>
      <c r="AN12" s="285">
        <f t="shared" ref="AN12:AU12" si="31">$C$12*D12</f>
        <v>4606.848</v>
      </c>
      <c r="AO12" s="286">
        <f t="shared" si="31"/>
        <v>6046.4880000000003</v>
      </c>
      <c r="AP12" s="286">
        <f t="shared" si="31"/>
        <v>6046.4880000000003</v>
      </c>
      <c r="AQ12" s="286">
        <f t="shared" si="31"/>
        <v>6046.4880000000003</v>
      </c>
      <c r="AR12" s="286">
        <f t="shared" si="31"/>
        <v>5182.7039999999997</v>
      </c>
      <c r="AS12" s="286">
        <f t="shared" si="31"/>
        <v>5182.7039999999997</v>
      </c>
      <c r="AT12" s="286">
        <f t="shared" si="31"/>
        <v>5182.7039999999997</v>
      </c>
      <c r="AU12" s="286">
        <f t="shared" si="31"/>
        <v>5182.7039999999997</v>
      </c>
      <c r="AV12" s="376">
        <f t="shared" ref="AV12:BV12" si="32">$C$12*L12</f>
        <v>5182.7039999999997</v>
      </c>
      <c r="AW12" s="376">
        <f t="shared" si="32"/>
        <v>5182.7039999999997</v>
      </c>
      <c r="AX12" s="376">
        <f t="shared" si="32"/>
        <v>5182.7039999999997</v>
      </c>
      <c r="AY12" s="376">
        <f t="shared" si="32"/>
        <v>5182.7039999999997</v>
      </c>
      <c r="AZ12" s="376">
        <f t="shared" si="32"/>
        <v>4606.848</v>
      </c>
      <c r="BA12" s="376">
        <f t="shared" si="32"/>
        <v>6046.4880000000003</v>
      </c>
      <c r="BB12" s="376">
        <f t="shared" si="32"/>
        <v>6046.4880000000003</v>
      </c>
      <c r="BC12" s="376">
        <f t="shared" si="32"/>
        <v>6046.4880000000003</v>
      </c>
      <c r="BD12" s="376">
        <f t="shared" si="32"/>
        <v>5182.7039999999997</v>
      </c>
      <c r="BE12" s="376">
        <f t="shared" si="32"/>
        <v>5182.7039999999997</v>
      </c>
      <c r="BF12" s="376">
        <f t="shared" si="32"/>
        <v>5182.7039999999997</v>
      </c>
      <c r="BG12" s="376">
        <f t="shared" si="32"/>
        <v>5182.7039999999997</v>
      </c>
      <c r="BH12" s="376">
        <f t="shared" si="32"/>
        <v>5182.7039999999997</v>
      </c>
      <c r="BI12" s="376">
        <f t="shared" si="32"/>
        <v>5182.7039999999997</v>
      </c>
      <c r="BJ12" s="376">
        <f t="shared" si="32"/>
        <v>5182.7039999999997</v>
      </c>
      <c r="BK12" s="376">
        <f t="shared" si="32"/>
        <v>5182.7039999999997</v>
      </c>
      <c r="BL12" s="376">
        <f t="shared" si="32"/>
        <v>4606.848</v>
      </c>
      <c r="BM12" s="376">
        <f t="shared" si="32"/>
        <v>6046.4880000000003</v>
      </c>
      <c r="BN12" s="376">
        <f t="shared" si="32"/>
        <v>6046.4880000000003</v>
      </c>
      <c r="BO12" s="376">
        <f t="shared" si="32"/>
        <v>6046.4880000000003</v>
      </c>
      <c r="BP12" s="376">
        <f t="shared" si="32"/>
        <v>5182.7039999999997</v>
      </c>
      <c r="BQ12" s="376">
        <f t="shared" si="32"/>
        <v>5182.7039999999997</v>
      </c>
      <c r="BR12" s="376">
        <f t="shared" si="32"/>
        <v>5182.7039999999997</v>
      </c>
      <c r="BS12" s="376">
        <f t="shared" si="32"/>
        <v>5182.7039999999997</v>
      </c>
      <c r="BT12" s="376">
        <f t="shared" si="32"/>
        <v>5182.7039999999997</v>
      </c>
      <c r="BU12" s="376">
        <f t="shared" si="32"/>
        <v>5182.7039999999997</v>
      </c>
      <c r="BV12" s="377">
        <f t="shared" si="32"/>
        <v>5182.7039999999997</v>
      </c>
    </row>
    <row r="13" spans="1:74" ht="20.149999999999999" customHeight="1" outlineLevel="2" x14ac:dyDescent="0.25">
      <c r="A13" s="23" t="str">
        <f>'Quantidade-Cult.Perma.'!A17</f>
        <v>Sulfato de Magnésio</v>
      </c>
      <c r="B13" s="8" t="str">
        <f>'Quantidade-Cult.Perma.'!B17</f>
        <v>KG</v>
      </c>
      <c r="C13" s="284">
        <f>'Quantidade-Cult.Perma.'!D17</f>
        <v>1.5</v>
      </c>
      <c r="D13" s="284">
        <f>'Quantidade-Cult.Perma.'!R17</f>
        <v>266.60000000000002</v>
      </c>
      <c r="E13" s="284">
        <f>'Quantidade-Cult.Perma.'!S17</f>
        <v>319.92</v>
      </c>
      <c r="F13" s="284">
        <f>'Quantidade-Cult.Perma.'!T17</f>
        <v>319.92</v>
      </c>
      <c r="G13" s="284">
        <f>'Quantidade-Cult.Perma.'!U17</f>
        <v>319.92</v>
      </c>
      <c r="H13" s="284">
        <f>'Quantidade-Cult.Perma.'!V17</f>
        <v>319.92</v>
      </c>
      <c r="I13" s="284">
        <f>'Quantidade-Cult.Perma.'!W17</f>
        <v>319.92</v>
      </c>
      <c r="J13" s="284">
        <f>'Quantidade-Cult.Perma.'!X17</f>
        <v>319.92</v>
      </c>
      <c r="K13" s="284">
        <f>'Quantidade-Cult.Perma.'!Y17</f>
        <v>319.92</v>
      </c>
      <c r="L13" s="358">
        <f>'Quantidade-Cult.Perma.'!Z17</f>
        <v>319.92</v>
      </c>
      <c r="M13" s="358">
        <f>'Quantidade-Cult.Perma.'!AA17</f>
        <v>319.92</v>
      </c>
      <c r="N13" s="358">
        <f>'Quantidade-Cult.Perma.'!AB17</f>
        <v>319.92</v>
      </c>
      <c r="O13" s="358">
        <f>'Quantidade-Cult.Perma.'!AC17</f>
        <v>319.92</v>
      </c>
      <c r="P13" s="358">
        <f t="shared" si="23"/>
        <v>266.60000000000002</v>
      </c>
      <c r="Q13" s="358">
        <f t="shared" si="0"/>
        <v>319.92</v>
      </c>
      <c r="R13" s="358">
        <f t="shared" si="1"/>
        <v>319.92</v>
      </c>
      <c r="S13" s="358">
        <f t="shared" si="2"/>
        <v>319.92</v>
      </c>
      <c r="T13" s="358">
        <f t="shared" si="3"/>
        <v>319.92</v>
      </c>
      <c r="U13" s="358">
        <f t="shared" si="4"/>
        <v>319.92</v>
      </c>
      <c r="V13" s="358">
        <f t="shared" si="5"/>
        <v>319.92</v>
      </c>
      <c r="W13" s="358">
        <f t="shared" si="6"/>
        <v>319.92</v>
      </c>
      <c r="X13" s="358">
        <f t="shared" si="7"/>
        <v>319.92</v>
      </c>
      <c r="Y13" s="358">
        <f t="shared" si="8"/>
        <v>319.92</v>
      </c>
      <c r="Z13" s="358">
        <f t="shared" si="9"/>
        <v>319.92</v>
      </c>
      <c r="AA13" s="358">
        <f t="shared" si="10"/>
        <v>319.92</v>
      </c>
      <c r="AB13" s="358">
        <f t="shared" si="24"/>
        <v>266.60000000000002</v>
      </c>
      <c r="AC13" s="358">
        <f t="shared" si="11"/>
        <v>319.92</v>
      </c>
      <c r="AD13" s="358">
        <f t="shared" si="12"/>
        <v>319.92</v>
      </c>
      <c r="AE13" s="358">
        <f t="shared" si="13"/>
        <v>319.92</v>
      </c>
      <c r="AF13" s="358">
        <f t="shared" si="14"/>
        <v>319.92</v>
      </c>
      <c r="AG13" s="358">
        <f t="shared" si="15"/>
        <v>319.92</v>
      </c>
      <c r="AH13" s="358">
        <f t="shared" si="16"/>
        <v>319.92</v>
      </c>
      <c r="AI13" s="358">
        <f t="shared" si="17"/>
        <v>319.92</v>
      </c>
      <c r="AJ13" s="358">
        <f t="shared" si="18"/>
        <v>319.92</v>
      </c>
      <c r="AK13" s="358">
        <f t="shared" si="19"/>
        <v>319.92</v>
      </c>
      <c r="AL13" s="359">
        <f t="shared" si="20"/>
        <v>319.92</v>
      </c>
      <c r="AM13" s="636"/>
      <c r="AN13" s="285">
        <f t="shared" ref="AN13:AU13" si="33">$C$13*D13</f>
        <v>399.90000000000003</v>
      </c>
      <c r="AO13" s="286">
        <f t="shared" si="33"/>
        <v>479.88</v>
      </c>
      <c r="AP13" s="286">
        <f t="shared" si="33"/>
        <v>479.88</v>
      </c>
      <c r="AQ13" s="286">
        <f t="shared" si="33"/>
        <v>479.88</v>
      </c>
      <c r="AR13" s="286">
        <f t="shared" si="33"/>
        <v>479.88</v>
      </c>
      <c r="AS13" s="286">
        <f t="shared" si="33"/>
        <v>479.88</v>
      </c>
      <c r="AT13" s="286">
        <f t="shared" si="33"/>
        <v>479.88</v>
      </c>
      <c r="AU13" s="286">
        <f t="shared" si="33"/>
        <v>479.88</v>
      </c>
      <c r="AV13" s="376">
        <f t="shared" ref="AV13:BV13" si="34">$C$13*L13</f>
        <v>479.88</v>
      </c>
      <c r="AW13" s="376">
        <f t="shared" si="34"/>
        <v>479.88</v>
      </c>
      <c r="AX13" s="376">
        <f t="shared" si="34"/>
        <v>479.88</v>
      </c>
      <c r="AY13" s="376">
        <f t="shared" si="34"/>
        <v>479.88</v>
      </c>
      <c r="AZ13" s="376">
        <f t="shared" si="34"/>
        <v>399.90000000000003</v>
      </c>
      <c r="BA13" s="376">
        <f t="shared" si="34"/>
        <v>479.88</v>
      </c>
      <c r="BB13" s="376">
        <f t="shared" si="34"/>
        <v>479.88</v>
      </c>
      <c r="BC13" s="376">
        <f t="shared" si="34"/>
        <v>479.88</v>
      </c>
      <c r="BD13" s="376">
        <f t="shared" si="34"/>
        <v>479.88</v>
      </c>
      <c r="BE13" s="376">
        <f t="shared" si="34"/>
        <v>479.88</v>
      </c>
      <c r="BF13" s="376">
        <f t="shared" si="34"/>
        <v>479.88</v>
      </c>
      <c r="BG13" s="376">
        <f t="shared" si="34"/>
        <v>479.88</v>
      </c>
      <c r="BH13" s="376">
        <f t="shared" si="34"/>
        <v>479.88</v>
      </c>
      <c r="BI13" s="376">
        <f t="shared" si="34"/>
        <v>479.88</v>
      </c>
      <c r="BJ13" s="376">
        <f t="shared" si="34"/>
        <v>479.88</v>
      </c>
      <c r="BK13" s="376">
        <f t="shared" si="34"/>
        <v>479.88</v>
      </c>
      <c r="BL13" s="376">
        <f t="shared" si="34"/>
        <v>399.90000000000003</v>
      </c>
      <c r="BM13" s="376">
        <f t="shared" si="34"/>
        <v>479.88</v>
      </c>
      <c r="BN13" s="376">
        <f t="shared" si="34"/>
        <v>479.88</v>
      </c>
      <c r="BO13" s="376">
        <f t="shared" si="34"/>
        <v>479.88</v>
      </c>
      <c r="BP13" s="376">
        <f t="shared" si="34"/>
        <v>479.88</v>
      </c>
      <c r="BQ13" s="376">
        <f t="shared" si="34"/>
        <v>479.88</v>
      </c>
      <c r="BR13" s="376">
        <f t="shared" si="34"/>
        <v>479.88</v>
      </c>
      <c r="BS13" s="376">
        <f t="shared" si="34"/>
        <v>479.88</v>
      </c>
      <c r="BT13" s="376">
        <f t="shared" si="34"/>
        <v>479.88</v>
      </c>
      <c r="BU13" s="376">
        <f t="shared" si="34"/>
        <v>479.88</v>
      </c>
      <c r="BV13" s="377">
        <f t="shared" si="34"/>
        <v>479.88</v>
      </c>
    </row>
    <row r="14" spans="1:74" ht="20.149999999999999" customHeight="1" outlineLevel="2" x14ac:dyDescent="0.25">
      <c r="A14" s="23" t="str">
        <f>'Quantidade-Cult.Perma.'!A18</f>
        <v>Sulfato de Zinco</v>
      </c>
      <c r="B14" s="8" t="str">
        <f>'Quantidade-Cult.Perma.'!B18</f>
        <v>KG</v>
      </c>
      <c r="C14" s="284">
        <f>'Quantidade-Cult.Perma.'!D18</f>
        <v>6</v>
      </c>
      <c r="D14" s="284">
        <f>'Quantidade-Cult.Perma.'!R18</f>
        <v>133.30000000000001</v>
      </c>
      <c r="E14" s="284">
        <f>'Quantidade-Cult.Perma.'!S18</f>
        <v>159.96</v>
      </c>
      <c r="F14" s="284">
        <f>'Quantidade-Cult.Perma.'!T18</f>
        <v>159.96</v>
      </c>
      <c r="G14" s="284">
        <f>'Quantidade-Cult.Perma.'!U18</f>
        <v>159.96</v>
      </c>
      <c r="H14" s="284">
        <f>'Quantidade-Cult.Perma.'!V18</f>
        <v>159.96</v>
      </c>
      <c r="I14" s="284">
        <f>'Quantidade-Cult.Perma.'!W18</f>
        <v>159.96</v>
      </c>
      <c r="J14" s="284">
        <f>'Quantidade-Cult.Perma.'!X18</f>
        <v>159.96</v>
      </c>
      <c r="K14" s="284">
        <f>'Quantidade-Cult.Perma.'!Y18</f>
        <v>159.96</v>
      </c>
      <c r="L14" s="358">
        <f>'Quantidade-Cult.Perma.'!Z18</f>
        <v>159.96</v>
      </c>
      <c r="M14" s="358">
        <f>'Quantidade-Cult.Perma.'!AA18</f>
        <v>159.96</v>
      </c>
      <c r="N14" s="358">
        <f>'Quantidade-Cult.Perma.'!AB18</f>
        <v>159.96</v>
      </c>
      <c r="O14" s="358">
        <f>'Quantidade-Cult.Perma.'!AC18</f>
        <v>159.96</v>
      </c>
      <c r="P14" s="358">
        <f t="shared" si="23"/>
        <v>133.30000000000001</v>
      </c>
      <c r="Q14" s="358">
        <f t="shared" si="0"/>
        <v>159.96</v>
      </c>
      <c r="R14" s="358">
        <f t="shared" si="1"/>
        <v>159.96</v>
      </c>
      <c r="S14" s="358">
        <f t="shared" si="2"/>
        <v>159.96</v>
      </c>
      <c r="T14" s="358">
        <f t="shared" si="3"/>
        <v>159.96</v>
      </c>
      <c r="U14" s="358">
        <f t="shared" si="4"/>
        <v>159.96</v>
      </c>
      <c r="V14" s="358">
        <f t="shared" si="5"/>
        <v>159.96</v>
      </c>
      <c r="W14" s="358">
        <f t="shared" si="6"/>
        <v>159.96</v>
      </c>
      <c r="X14" s="358">
        <f t="shared" si="7"/>
        <v>159.96</v>
      </c>
      <c r="Y14" s="358">
        <f t="shared" si="8"/>
        <v>159.96</v>
      </c>
      <c r="Z14" s="358">
        <f t="shared" si="9"/>
        <v>159.96</v>
      </c>
      <c r="AA14" s="358">
        <f t="shared" si="10"/>
        <v>159.96</v>
      </c>
      <c r="AB14" s="358">
        <f t="shared" si="24"/>
        <v>133.30000000000001</v>
      </c>
      <c r="AC14" s="358">
        <f t="shared" si="11"/>
        <v>159.96</v>
      </c>
      <c r="AD14" s="358">
        <f t="shared" si="12"/>
        <v>159.96</v>
      </c>
      <c r="AE14" s="358">
        <f t="shared" si="13"/>
        <v>159.96</v>
      </c>
      <c r="AF14" s="358">
        <f t="shared" si="14"/>
        <v>159.96</v>
      </c>
      <c r="AG14" s="358">
        <f t="shared" si="15"/>
        <v>159.96</v>
      </c>
      <c r="AH14" s="358">
        <f t="shared" si="16"/>
        <v>159.96</v>
      </c>
      <c r="AI14" s="358">
        <f t="shared" si="17"/>
        <v>159.96</v>
      </c>
      <c r="AJ14" s="358">
        <f t="shared" si="18"/>
        <v>159.96</v>
      </c>
      <c r="AK14" s="358">
        <f t="shared" si="19"/>
        <v>159.96</v>
      </c>
      <c r="AL14" s="359">
        <f t="shared" si="20"/>
        <v>159.96</v>
      </c>
      <c r="AM14" s="636"/>
      <c r="AN14" s="285">
        <f t="shared" ref="AN14:AU14" si="35">$C$14*D14</f>
        <v>799.80000000000007</v>
      </c>
      <c r="AO14" s="286">
        <f t="shared" si="35"/>
        <v>959.76</v>
      </c>
      <c r="AP14" s="286">
        <f t="shared" si="35"/>
        <v>959.76</v>
      </c>
      <c r="AQ14" s="286">
        <f t="shared" si="35"/>
        <v>959.76</v>
      </c>
      <c r="AR14" s="286">
        <f t="shared" si="35"/>
        <v>959.76</v>
      </c>
      <c r="AS14" s="286">
        <f t="shared" si="35"/>
        <v>959.76</v>
      </c>
      <c r="AT14" s="286">
        <f t="shared" si="35"/>
        <v>959.76</v>
      </c>
      <c r="AU14" s="286">
        <f t="shared" si="35"/>
        <v>959.76</v>
      </c>
      <c r="AV14" s="376">
        <f t="shared" ref="AV14:BV14" si="36">$C$14*L14</f>
        <v>959.76</v>
      </c>
      <c r="AW14" s="376">
        <f t="shared" si="36"/>
        <v>959.76</v>
      </c>
      <c r="AX14" s="376">
        <f t="shared" si="36"/>
        <v>959.76</v>
      </c>
      <c r="AY14" s="376">
        <f t="shared" si="36"/>
        <v>959.76</v>
      </c>
      <c r="AZ14" s="376">
        <f t="shared" si="36"/>
        <v>799.80000000000007</v>
      </c>
      <c r="BA14" s="376">
        <f t="shared" si="36"/>
        <v>959.76</v>
      </c>
      <c r="BB14" s="376">
        <f t="shared" si="36"/>
        <v>959.76</v>
      </c>
      <c r="BC14" s="376">
        <f t="shared" si="36"/>
        <v>959.76</v>
      </c>
      <c r="BD14" s="376">
        <f t="shared" si="36"/>
        <v>959.76</v>
      </c>
      <c r="BE14" s="376">
        <f t="shared" si="36"/>
        <v>959.76</v>
      </c>
      <c r="BF14" s="376">
        <f t="shared" si="36"/>
        <v>959.76</v>
      </c>
      <c r="BG14" s="376">
        <f t="shared" si="36"/>
        <v>959.76</v>
      </c>
      <c r="BH14" s="376">
        <f t="shared" si="36"/>
        <v>959.76</v>
      </c>
      <c r="BI14" s="376">
        <f t="shared" si="36"/>
        <v>959.76</v>
      </c>
      <c r="BJ14" s="376">
        <f t="shared" si="36"/>
        <v>959.76</v>
      </c>
      <c r="BK14" s="376">
        <f t="shared" si="36"/>
        <v>959.76</v>
      </c>
      <c r="BL14" s="376">
        <f t="shared" si="36"/>
        <v>799.80000000000007</v>
      </c>
      <c r="BM14" s="376">
        <f t="shared" si="36"/>
        <v>959.76</v>
      </c>
      <c r="BN14" s="376">
        <f t="shared" si="36"/>
        <v>959.76</v>
      </c>
      <c r="BO14" s="376">
        <f t="shared" si="36"/>
        <v>959.76</v>
      </c>
      <c r="BP14" s="376">
        <f t="shared" si="36"/>
        <v>959.76</v>
      </c>
      <c r="BQ14" s="376">
        <f t="shared" si="36"/>
        <v>959.76</v>
      </c>
      <c r="BR14" s="376">
        <f t="shared" si="36"/>
        <v>959.76</v>
      </c>
      <c r="BS14" s="376">
        <f t="shared" si="36"/>
        <v>959.76</v>
      </c>
      <c r="BT14" s="376">
        <f t="shared" si="36"/>
        <v>959.76</v>
      </c>
      <c r="BU14" s="376">
        <f t="shared" si="36"/>
        <v>959.76</v>
      </c>
      <c r="BV14" s="377">
        <f t="shared" si="36"/>
        <v>959.76</v>
      </c>
    </row>
    <row r="15" spans="1:74" ht="20.149999999999999" customHeight="1" outlineLevel="2" x14ac:dyDescent="0.25">
      <c r="A15" s="23" t="str">
        <f>'Quantidade-Cult.Perma.'!A19</f>
        <v>Esterco de Gado</v>
      </c>
      <c r="B15" s="8" t="str">
        <f>'Quantidade-Cult.Perma.'!B19</f>
        <v>M3</v>
      </c>
      <c r="C15" s="284">
        <f>'Quantidade-Cult.Perma.'!D19</f>
        <v>80</v>
      </c>
      <c r="D15" s="284">
        <f>'Quantidade-Cult.Perma.'!R19</f>
        <v>53.32</v>
      </c>
      <c r="E15" s="284">
        <f>'Quantidade-Cult.Perma.'!S19</f>
        <v>0</v>
      </c>
      <c r="F15" s="284">
        <f>'Quantidade-Cult.Perma.'!T19</f>
        <v>0</v>
      </c>
      <c r="G15" s="284">
        <f>'Quantidade-Cult.Perma.'!U19</f>
        <v>0</v>
      </c>
      <c r="H15" s="284">
        <f>'Quantidade-Cult.Perma.'!V19</f>
        <v>0</v>
      </c>
      <c r="I15" s="284">
        <f>'Quantidade-Cult.Perma.'!W19</f>
        <v>0</v>
      </c>
      <c r="J15" s="284">
        <f>'Quantidade-Cult.Perma.'!X19</f>
        <v>0</v>
      </c>
      <c r="K15" s="284">
        <f>'Quantidade-Cult.Perma.'!Y19</f>
        <v>0</v>
      </c>
      <c r="L15" s="358">
        <f>'Quantidade-Cult.Perma.'!Z19</f>
        <v>0</v>
      </c>
      <c r="M15" s="358">
        <f>'Quantidade-Cult.Perma.'!AA19</f>
        <v>0</v>
      </c>
      <c r="N15" s="358">
        <f>'Quantidade-Cult.Perma.'!AB19</f>
        <v>0</v>
      </c>
      <c r="O15" s="358">
        <f>'Quantidade-Cult.Perma.'!AC19</f>
        <v>0</v>
      </c>
      <c r="P15" s="358">
        <f t="shared" si="23"/>
        <v>53.32</v>
      </c>
      <c r="Q15" s="358">
        <f t="shared" si="0"/>
        <v>0</v>
      </c>
      <c r="R15" s="358">
        <f t="shared" si="1"/>
        <v>0</v>
      </c>
      <c r="S15" s="358">
        <f t="shared" si="2"/>
        <v>0</v>
      </c>
      <c r="T15" s="358">
        <f t="shared" si="3"/>
        <v>0</v>
      </c>
      <c r="U15" s="358">
        <f t="shared" si="4"/>
        <v>0</v>
      </c>
      <c r="V15" s="358">
        <f t="shared" si="5"/>
        <v>0</v>
      </c>
      <c r="W15" s="358">
        <f t="shared" si="6"/>
        <v>0</v>
      </c>
      <c r="X15" s="358">
        <f t="shared" si="7"/>
        <v>0</v>
      </c>
      <c r="Y15" s="358">
        <f t="shared" si="8"/>
        <v>0</v>
      </c>
      <c r="Z15" s="358">
        <f t="shared" si="9"/>
        <v>0</v>
      </c>
      <c r="AA15" s="358">
        <f t="shared" si="10"/>
        <v>0</v>
      </c>
      <c r="AB15" s="358">
        <f t="shared" si="24"/>
        <v>53.32</v>
      </c>
      <c r="AC15" s="358">
        <f t="shared" si="11"/>
        <v>0</v>
      </c>
      <c r="AD15" s="358">
        <f t="shared" si="12"/>
        <v>0</v>
      </c>
      <c r="AE15" s="358">
        <f t="shared" si="13"/>
        <v>0</v>
      </c>
      <c r="AF15" s="358">
        <f t="shared" si="14"/>
        <v>0</v>
      </c>
      <c r="AG15" s="358">
        <f t="shared" si="15"/>
        <v>0</v>
      </c>
      <c r="AH15" s="358">
        <f t="shared" si="16"/>
        <v>0</v>
      </c>
      <c r="AI15" s="358">
        <f t="shared" si="17"/>
        <v>0</v>
      </c>
      <c r="AJ15" s="358">
        <f t="shared" si="18"/>
        <v>0</v>
      </c>
      <c r="AK15" s="358">
        <f t="shared" si="19"/>
        <v>0</v>
      </c>
      <c r="AL15" s="359">
        <f t="shared" si="20"/>
        <v>0</v>
      </c>
      <c r="AM15" s="636"/>
      <c r="AN15" s="285">
        <f t="shared" ref="AN15:AU15" si="37">$C$15*D15</f>
        <v>4265.6000000000004</v>
      </c>
      <c r="AO15" s="286">
        <f t="shared" si="37"/>
        <v>0</v>
      </c>
      <c r="AP15" s="286">
        <f t="shared" si="37"/>
        <v>0</v>
      </c>
      <c r="AQ15" s="286">
        <f t="shared" si="37"/>
        <v>0</v>
      </c>
      <c r="AR15" s="286">
        <f t="shared" si="37"/>
        <v>0</v>
      </c>
      <c r="AS15" s="286">
        <f t="shared" si="37"/>
        <v>0</v>
      </c>
      <c r="AT15" s="286">
        <f t="shared" si="37"/>
        <v>0</v>
      </c>
      <c r="AU15" s="286">
        <f t="shared" si="37"/>
        <v>0</v>
      </c>
      <c r="AV15" s="376">
        <f t="shared" ref="AV15:BV15" si="38">$C$15*L15</f>
        <v>0</v>
      </c>
      <c r="AW15" s="376">
        <f t="shared" si="38"/>
        <v>0</v>
      </c>
      <c r="AX15" s="376">
        <f t="shared" si="38"/>
        <v>0</v>
      </c>
      <c r="AY15" s="376">
        <f t="shared" si="38"/>
        <v>0</v>
      </c>
      <c r="AZ15" s="376">
        <f t="shared" si="38"/>
        <v>4265.6000000000004</v>
      </c>
      <c r="BA15" s="376">
        <f t="shared" si="38"/>
        <v>0</v>
      </c>
      <c r="BB15" s="376">
        <f t="shared" si="38"/>
        <v>0</v>
      </c>
      <c r="BC15" s="376">
        <f t="shared" si="38"/>
        <v>0</v>
      </c>
      <c r="BD15" s="376">
        <f t="shared" si="38"/>
        <v>0</v>
      </c>
      <c r="BE15" s="376">
        <f t="shared" si="38"/>
        <v>0</v>
      </c>
      <c r="BF15" s="376">
        <f t="shared" si="38"/>
        <v>0</v>
      </c>
      <c r="BG15" s="376">
        <f t="shared" si="38"/>
        <v>0</v>
      </c>
      <c r="BH15" s="376">
        <f t="shared" si="38"/>
        <v>0</v>
      </c>
      <c r="BI15" s="376">
        <f t="shared" si="38"/>
        <v>0</v>
      </c>
      <c r="BJ15" s="376">
        <f t="shared" si="38"/>
        <v>0</v>
      </c>
      <c r="BK15" s="376">
        <f t="shared" si="38"/>
        <v>0</v>
      </c>
      <c r="BL15" s="376">
        <f t="shared" si="38"/>
        <v>4265.6000000000004</v>
      </c>
      <c r="BM15" s="376">
        <f t="shared" si="38"/>
        <v>0</v>
      </c>
      <c r="BN15" s="376">
        <f t="shared" si="38"/>
        <v>0</v>
      </c>
      <c r="BO15" s="376">
        <f t="shared" si="38"/>
        <v>0</v>
      </c>
      <c r="BP15" s="376">
        <f t="shared" si="38"/>
        <v>0</v>
      </c>
      <c r="BQ15" s="376">
        <f t="shared" si="38"/>
        <v>0</v>
      </c>
      <c r="BR15" s="376">
        <f t="shared" si="38"/>
        <v>0</v>
      </c>
      <c r="BS15" s="376">
        <f t="shared" si="38"/>
        <v>0</v>
      </c>
      <c r="BT15" s="376">
        <f t="shared" si="38"/>
        <v>0</v>
      </c>
      <c r="BU15" s="376">
        <f t="shared" si="38"/>
        <v>0</v>
      </c>
      <c r="BV15" s="377">
        <f t="shared" si="38"/>
        <v>0</v>
      </c>
    </row>
    <row r="16" spans="1:74" ht="20.149999999999999" customHeight="1" outlineLevel="2" x14ac:dyDescent="0.25">
      <c r="A16" s="23" t="str">
        <f>'Quantidade-Cult.Perma.'!A20</f>
        <v>Nitrato de Amonia</v>
      </c>
      <c r="B16" s="8" t="str">
        <f>'Quantidade-Cult.Perma.'!B20</f>
        <v>T</v>
      </c>
      <c r="C16" s="284">
        <f>'Quantidade-Cult.Perma.'!D20</f>
        <v>2200</v>
      </c>
      <c r="D16" s="284">
        <f>'Quantidade-Cult.Perma.'!R20</f>
        <v>1.364992</v>
      </c>
      <c r="E16" s="284">
        <f>'Quantidade-Cult.Perma.'!S20</f>
        <v>1.791552</v>
      </c>
      <c r="F16" s="284">
        <f>'Quantidade-Cult.Perma.'!T20</f>
        <v>1.791552</v>
      </c>
      <c r="G16" s="284">
        <f>'Quantidade-Cult.Perma.'!U20</f>
        <v>1.791552</v>
      </c>
      <c r="H16" s="284">
        <f>'Quantidade-Cult.Perma.'!V20</f>
        <v>1.5356160000000001</v>
      </c>
      <c r="I16" s="284">
        <f>'Quantidade-Cult.Perma.'!W20</f>
        <v>1.5356160000000001</v>
      </c>
      <c r="J16" s="284">
        <f>'Quantidade-Cult.Perma.'!X20</f>
        <v>1.5356160000000001</v>
      </c>
      <c r="K16" s="284">
        <f>'Quantidade-Cult.Perma.'!Y20</f>
        <v>1.5356160000000001</v>
      </c>
      <c r="L16" s="358">
        <f>'Quantidade-Cult.Perma.'!Z20</f>
        <v>1.5356160000000001</v>
      </c>
      <c r="M16" s="358">
        <f>'Quantidade-Cult.Perma.'!AA20</f>
        <v>1.5356160000000001</v>
      </c>
      <c r="N16" s="358">
        <f>'Quantidade-Cult.Perma.'!AB20</f>
        <v>1.5356160000000001</v>
      </c>
      <c r="O16" s="358">
        <f>'Quantidade-Cult.Perma.'!AC20</f>
        <v>1.5356160000000001</v>
      </c>
      <c r="P16" s="358">
        <f t="shared" si="23"/>
        <v>1.364992</v>
      </c>
      <c r="Q16" s="358">
        <f t="shared" si="0"/>
        <v>1.791552</v>
      </c>
      <c r="R16" s="358">
        <f t="shared" si="1"/>
        <v>1.791552</v>
      </c>
      <c r="S16" s="358">
        <f t="shared" si="2"/>
        <v>1.791552</v>
      </c>
      <c r="T16" s="358">
        <f t="shared" si="3"/>
        <v>1.5356160000000001</v>
      </c>
      <c r="U16" s="358">
        <f t="shared" si="4"/>
        <v>1.5356160000000001</v>
      </c>
      <c r="V16" s="358">
        <f t="shared" si="5"/>
        <v>1.5356160000000001</v>
      </c>
      <c r="W16" s="358">
        <f t="shared" si="6"/>
        <v>1.5356160000000001</v>
      </c>
      <c r="X16" s="358">
        <f t="shared" si="7"/>
        <v>1.5356160000000001</v>
      </c>
      <c r="Y16" s="358">
        <f t="shared" si="8"/>
        <v>1.5356160000000001</v>
      </c>
      <c r="Z16" s="358">
        <f t="shared" si="9"/>
        <v>1.5356160000000001</v>
      </c>
      <c r="AA16" s="358">
        <f t="shared" si="10"/>
        <v>1.5356160000000001</v>
      </c>
      <c r="AB16" s="358">
        <f t="shared" si="24"/>
        <v>1.364992</v>
      </c>
      <c r="AC16" s="358">
        <f t="shared" si="11"/>
        <v>1.791552</v>
      </c>
      <c r="AD16" s="358">
        <f t="shared" si="12"/>
        <v>1.791552</v>
      </c>
      <c r="AE16" s="358">
        <f t="shared" si="13"/>
        <v>1.791552</v>
      </c>
      <c r="AF16" s="358">
        <f t="shared" si="14"/>
        <v>1.5356160000000001</v>
      </c>
      <c r="AG16" s="358">
        <f t="shared" si="15"/>
        <v>1.5356160000000001</v>
      </c>
      <c r="AH16" s="358">
        <f t="shared" si="16"/>
        <v>1.5356160000000001</v>
      </c>
      <c r="AI16" s="358">
        <f t="shared" si="17"/>
        <v>1.5356160000000001</v>
      </c>
      <c r="AJ16" s="358">
        <f t="shared" si="18"/>
        <v>1.5356160000000001</v>
      </c>
      <c r="AK16" s="358">
        <f t="shared" si="19"/>
        <v>1.5356160000000001</v>
      </c>
      <c r="AL16" s="359">
        <f t="shared" si="20"/>
        <v>1.5356160000000001</v>
      </c>
      <c r="AM16" s="636"/>
      <c r="AN16" s="285">
        <f t="shared" ref="AN16:AU16" si="39">$C$16*D16</f>
        <v>3002.9823999999999</v>
      </c>
      <c r="AO16" s="286">
        <f t="shared" si="39"/>
        <v>3941.4144000000001</v>
      </c>
      <c r="AP16" s="286">
        <f t="shared" si="39"/>
        <v>3941.4144000000001</v>
      </c>
      <c r="AQ16" s="286">
        <f t="shared" si="39"/>
        <v>3941.4144000000001</v>
      </c>
      <c r="AR16" s="286">
        <f t="shared" si="39"/>
        <v>3378.3552000000004</v>
      </c>
      <c r="AS16" s="286">
        <f t="shared" si="39"/>
        <v>3378.3552000000004</v>
      </c>
      <c r="AT16" s="286">
        <f t="shared" si="39"/>
        <v>3378.3552000000004</v>
      </c>
      <c r="AU16" s="286">
        <f t="shared" si="39"/>
        <v>3378.3552000000004</v>
      </c>
      <c r="AV16" s="376">
        <f t="shared" ref="AV16:BV16" si="40">$C$16*L16</f>
        <v>3378.3552000000004</v>
      </c>
      <c r="AW16" s="376">
        <f t="shared" si="40"/>
        <v>3378.3552000000004</v>
      </c>
      <c r="AX16" s="376">
        <f t="shared" si="40"/>
        <v>3378.3552000000004</v>
      </c>
      <c r="AY16" s="376">
        <f t="shared" si="40"/>
        <v>3378.3552000000004</v>
      </c>
      <c r="AZ16" s="376">
        <f t="shared" si="40"/>
        <v>3002.9823999999999</v>
      </c>
      <c r="BA16" s="376">
        <f t="shared" si="40"/>
        <v>3941.4144000000001</v>
      </c>
      <c r="BB16" s="376">
        <f t="shared" si="40"/>
        <v>3941.4144000000001</v>
      </c>
      <c r="BC16" s="376">
        <f t="shared" si="40"/>
        <v>3941.4144000000001</v>
      </c>
      <c r="BD16" s="376">
        <f t="shared" si="40"/>
        <v>3378.3552000000004</v>
      </c>
      <c r="BE16" s="376">
        <f t="shared" si="40"/>
        <v>3378.3552000000004</v>
      </c>
      <c r="BF16" s="376">
        <f t="shared" si="40"/>
        <v>3378.3552000000004</v>
      </c>
      <c r="BG16" s="376">
        <f t="shared" si="40"/>
        <v>3378.3552000000004</v>
      </c>
      <c r="BH16" s="376">
        <f t="shared" si="40"/>
        <v>3378.3552000000004</v>
      </c>
      <c r="BI16" s="376">
        <f t="shared" si="40"/>
        <v>3378.3552000000004</v>
      </c>
      <c r="BJ16" s="376">
        <f t="shared" si="40"/>
        <v>3378.3552000000004</v>
      </c>
      <c r="BK16" s="376">
        <f t="shared" si="40"/>
        <v>3378.3552000000004</v>
      </c>
      <c r="BL16" s="376">
        <f t="shared" si="40"/>
        <v>3002.9823999999999</v>
      </c>
      <c r="BM16" s="376">
        <f t="shared" si="40"/>
        <v>3941.4144000000001</v>
      </c>
      <c r="BN16" s="376">
        <f t="shared" si="40"/>
        <v>3941.4144000000001</v>
      </c>
      <c r="BO16" s="376">
        <f t="shared" si="40"/>
        <v>3941.4144000000001</v>
      </c>
      <c r="BP16" s="376">
        <f t="shared" si="40"/>
        <v>3378.3552000000004</v>
      </c>
      <c r="BQ16" s="376">
        <f t="shared" si="40"/>
        <v>3378.3552000000004</v>
      </c>
      <c r="BR16" s="376">
        <f t="shared" si="40"/>
        <v>3378.3552000000004</v>
      </c>
      <c r="BS16" s="376">
        <f t="shared" si="40"/>
        <v>3378.3552000000004</v>
      </c>
      <c r="BT16" s="376">
        <f t="shared" si="40"/>
        <v>3378.3552000000004</v>
      </c>
      <c r="BU16" s="376">
        <f t="shared" si="40"/>
        <v>3378.3552000000004</v>
      </c>
      <c r="BV16" s="377">
        <f t="shared" si="40"/>
        <v>3378.3552000000004</v>
      </c>
    </row>
    <row r="17" spans="1:74" ht="20.149999999999999" customHeight="1" outlineLevel="2" x14ac:dyDescent="0.25">
      <c r="A17" s="23" t="str">
        <f>'Quantidade-Cult.Perma.'!A21</f>
        <v>Fungicida</v>
      </c>
      <c r="B17" s="8" t="str">
        <f>'Quantidade-Cult.Perma.'!B21</f>
        <v>L</v>
      </c>
      <c r="C17" s="284">
        <f>'Quantidade-Cult.Perma.'!D21</f>
        <v>75</v>
      </c>
      <c r="D17" s="284">
        <f>'Quantidade-Cult.Perma.'!R21</f>
        <v>0.5</v>
      </c>
      <c r="E17" s="284">
        <f>'Quantidade-Cult.Perma.'!S21</f>
        <v>2.5</v>
      </c>
      <c r="F17" s="284">
        <f>'Quantidade-Cult.Perma.'!T21</f>
        <v>2.5</v>
      </c>
      <c r="G17" s="284">
        <f>'Quantidade-Cult.Perma.'!U21</f>
        <v>2.5</v>
      </c>
      <c r="H17" s="284">
        <f>'Quantidade-Cult.Perma.'!V21</f>
        <v>2.5</v>
      </c>
      <c r="I17" s="284">
        <f>'Quantidade-Cult.Perma.'!W21</f>
        <v>2.5</v>
      </c>
      <c r="J17" s="284">
        <f>'Quantidade-Cult.Perma.'!X21</f>
        <v>2.5</v>
      </c>
      <c r="K17" s="284">
        <f>'Quantidade-Cult.Perma.'!Y21</f>
        <v>2.5</v>
      </c>
      <c r="L17" s="358">
        <f>'Quantidade-Cult.Perma.'!Z21</f>
        <v>2.5</v>
      </c>
      <c r="M17" s="358">
        <f>'Quantidade-Cult.Perma.'!AA21</f>
        <v>2.5</v>
      </c>
      <c r="N17" s="358">
        <f>'Quantidade-Cult.Perma.'!AB21</f>
        <v>2.5</v>
      </c>
      <c r="O17" s="358">
        <f>'Quantidade-Cult.Perma.'!AC21</f>
        <v>2.5</v>
      </c>
      <c r="P17" s="358">
        <f t="shared" si="23"/>
        <v>0.5</v>
      </c>
      <c r="Q17" s="358">
        <f t="shared" si="0"/>
        <v>2.5</v>
      </c>
      <c r="R17" s="358">
        <f t="shared" si="1"/>
        <v>2.5</v>
      </c>
      <c r="S17" s="358">
        <f t="shared" si="2"/>
        <v>2.5</v>
      </c>
      <c r="T17" s="358">
        <f t="shared" si="3"/>
        <v>2.5</v>
      </c>
      <c r="U17" s="358">
        <f t="shared" si="4"/>
        <v>2.5</v>
      </c>
      <c r="V17" s="358">
        <f t="shared" si="5"/>
        <v>2.5</v>
      </c>
      <c r="W17" s="358">
        <f t="shared" si="6"/>
        <v>2.5</v>
      </c>
      <c r="X17" s="358">
        <f t="shared" si="7"/>
        <v>2.5</v>
      </c>
      <c r="Y17" s="358">
        <f t="shared" si="8"/>
        <v>2.5</v>
      </c>
      <c r="Z17" s="358">
        <f t="shared" si="9"/>
        <v>2.5</v>
      </c>
      <c r="AA17" s="358">
        <f t="shared" si="10"/>
        <v>2.5</v>
      </c>
      <c r="AB17" s="358">
        <f t="shared" si="24"/>
        <v>0.5</v>
      </c>
      <c r="AC17" s="358">
        <f t="shared" si="11"/>
        <v>2.5</v>
      </c>
      <c r="AD17" s="358">
        <f t="shared" si="12"/>
        <v>2.5</v>
      </c>
      <c r="AE17" s="358">
        <f t="shared" si="13"/>
        <v>2.5</v>
      </c>
      <c r="AF17" s="358">
        <f t="shared" si="14"/>
        <v>2.5</v>
      </c>
      <c r="AG17" s="358">
        <f t="shared" si="15"/>
        <v>2.5</v>
      </c>
      <c r="AH17" s="358">
        <f t="shared" si="16"/>
        <v>2.5</v>
      </c>
      <c r="AI17" s="358">
        <f t="shared" si="17"/>
        <v>2.5</v>
      </c>
      <c r="AJ17" s="358">
        <f t="shared" si="18"/>
        <v>2.5</v>
      </c>
      <c r="AK17" s="358">
        <f t="shared" si="19"/>
        <v>2.5</v>
      </c>
      <c r="AL17" s="359">
        <f t="shared" si="20"/>
        <v>2.5</v>
      </c>
      <c r="AM17" s="636"/>
      <c r="AN17" s="285">
        <f t="shared" ref="AN17:AU17" si="41">$C$17*D17</f>
        <v>37.5</v>
      </c>
      <c r="AO17" s="286">
        <f t="shared" si="41"/>
        <v>187.5</v>
      </c>
      <c r="AP17" s="286">
        <f t="shared" si="41"/>
        <v>187.5</v>
      </c>
      <c r="AQ17" s="286">
        <f t="shared" si="41"/>
        <v>187.5</v>
      </c>
      <c r="AR17" s="286">
        <f t="shared" si="41"/>
        <v>187.5</v>
      </c>
      <c r="AS17" s="286">
        <f t="shared" si="41"/>
        <v>187.5</v>
      </c>
      <c r="AT17" s="286">
        <f t="shared" si="41"/>
        <v>187.5</v>
      </c>
      <c r="AU17" s="286">
        <f t="shared" si="41"/>
        <v>187.5</v>
      </c>
      <c r="AV17" s="376">
        <f t="shared" ref="AV17:BV17" si="42">$C$17*L17</f>
        <v>187.5</v>
      </c>
      <c r="AW17" s="376">
        <f t="shared" si="42"/>
        <v>187.5</v>
      </c>
      <c r="AX17" s="376">
        <f t="shared" si="42"/>
        <v>187.5</v>
      </c>
      <c r="AY17" s="376">
        <f t="shared" si="42"/>
        <v>187.5</v>
      </c>
      <c r="AZ17" s="376">
        <f t="shared" si="42"/>
        <v>37.5</v>
      </c>
      <c r="BA17" s="376">
        <f t="shared" si="42"/>
        <v>187.5</v>
      </c>
      <c r="BB17" s="376">
        <f t="shared" si="42"/>
        <v>187.5</v>
      </c>
      <c r="BC17" s="376">
        <f t="shared" si="42"/>
        <v>187.5</v>
      </c>
      <c r="BD17" s="376">
        <f t="shared" si="42"/>
        <v>187.5</v>
      </c>
      <c r="BE17" s="376">
        <f t="shared" si="42"/>
        <v>187.5</v>
      </c>
      <c r="BF17" s="376">
        <f t="shared" si="42"/>
        <v>187.5</v>
      </c>
      <c r="BG17" s="376">
        <f t="shared" si="42"/>
        <v>187.5</v>
      </c>
      <c r="BH17" s="376">
        <f t="shared" si="42"/>
        <v>187.5</v>
      </c>
      <c r="BI17" s="376">
        <f t="shared" si="42"/>
        <v>187.5</v>
      </c>
      <c r="BJ17" s="376">
        <f t="shared" si="42"/>
        <v>187.5</v>
      </c>
      <c r="BK17" s="376">
        <f t="shared" si="42"/>
        <v>187.5</v>
      </c>
      <c r="BL17" s="376">
        <f t="shared" si="42"/>
        <v>37.5</v>
      </c>
      <c r="BM17" s="376">
        <f t="shared" si="42"/>
        <v>187.5</v>
      </c>
      <c r="BN17" s="376">
        <f t="shared" si="42"/>
        <v>187.5</v>
      </c>
      <c r="BO17" s="376">
        <f t="shared" si="42"/>
        <v>187.5</v>
      </c>
      <c r="BP17" s="376">
        <f t="shared" si="42"/>
        <v>187.5</v>
      </c>
      <c r="BQ17" s="376">
        <f t="shared" si="42"/>
        <v>187.5</v>
      </c>
      <c r="BR17" s="376">
        <f t="shared" si="42"/>
        <v>187.5</v>
      </c>
      <c r="BS17" s="376">
        <f t="shared" si="42"/>
        <v>187.5</v>
      </c>
      <c r="BT17" s="376">
        <f t="shared" si="42"/>
        <v>187.5</v>
      </c>
      <c r="BU17" s="376">
        <f t="shared" si="42"/>
        <v>187.5</v>
      </c>
      <c r="BV17" s="377">
        <f t="shared" si="42"/>
        <v>187.5</v>
      </c>
    </row>
    <row r="18" spans="1:74" ht="20.149999999999999" customHeight="1" outlineLevel="2" x14ac:dyDescent="0.25">
      <c r="A18" s="23" t="str">
        <f>'Quantidade-Cult.Perma.'!A22</f>
        <v>Inseticida</v>
      </c>
      <c r="B18" s="8" t="str">
        <f>'Quantidade-Cult.Perma.'!B22</f>
        <v>L</v>
      </c>
      <c r="C18" s="284">
        <f>'Quantidade-Cult.Perma.'!D22</f>
        <v>40</v>
      </c>
      <c r="D18" s="284">
        <f>'Quantidade-Cult.Perma.'!R22</f>
        <v>1</v>
      </c>
      <c r="E18" s="284">
        <f>'Quantidade-Cult.Perma.'!S22</f>
        <v>1</v>
      </c>
      <c r="F18" s="284">
        <f>'Quantidade-Cult.Perma.'!T22</f>
        <v>1</v>
      </c>
      <c r="G18" s="284">
        <f>'Quantidade-Cult.Perma.'!U22</f>
        <v>1</v>
      </c>
      <c r="H18" s="284">
        <f>'Quantidade-Cult.Perma.'!V22</f>
        <v>1</v>
      </c>
      <c r="I18" s="284">
        <f>'Quantidade-Cult.Perma.'!W22</f>
        <v>1</v>
      </c>
      <c r="J18" s="284">
        <f>'Quantidade-Cult.Perma.'!X22</f>
        <v>1</v>
      </c>
      <c r="K18" s="284">
        <f>'Quantidade-Cult.Perma.'!Y22</f>
        <v>1</v>
      </c>
      <c r="L18" s="358">
        <f>'Quantidade-Cult.Perma.'!Z22</f>
        <v>1</v>
      </c>
      <c r="M18" s="358">
        <f>'Quantidade-Cult.Perma.'!AA22</f>
        <v>1</v>
      </c>
      <c r="N18" s="358">
        <f>'Quantidade-Cult.Perma.'!AB22</f>
        <v>1</v>
      </c>
      <c r="O18" s="358">
        <f>'Quantidade-Cult.Perma.'!AC22</f>
        <v>1</v>
      </c>
      <c r="P18" s="358">
        <f t="shared" si="23"/>
        <v>1</v>
      </c>
      <c r="Q18" s="358">
        <f t="shared" si="0"/>
        <v>1</v>
      </c>
      <c r="R18" s="358">
        <f t="shared" si="1"/>
        <v>1</v>
      </c>
      <c r="S18" s="358">
        <f t="shared" si="2"/>
        <v>1</v>
      </c>
      <c r="T18" s="358">
        <f t="shared" si="3"/>
        <v>1</v>
      </c>
      <c r="U18" s="358">
        <f t="shared" si="4"/>
        <v>1</v>
      </c>
      <c r="V18" s="358">
        <f t="shared" si="5"/>
        <v>1</v>
      </c>
      <c r="W18" s="358">
        <f t="shared" si="6"/>
        <v>1</v>
      </c>
      <c r="X18" s="358">
        <f t="shared" si="7"/>
        <v>1</v>
      </c>
      <c r="Y18" s="358">
        <f t="shared" si="8"/>
        <v>1</v>
      </c>
      <c r="Z18" s="358">
        <f t="shared" si="9"/>
        <v>1</v>
      </c>
      <c r="AA18" s="358">
        <f t="shared" si="10"/>
        <v>1</v>
      </c>
      <c r="AB18" s="358">
        <f t="shared" si="24"/>
        <v>1</v>
      </c>
      <c r="AC18" s="358">
        <f t="shared" si="11"/>
        <v>1</v>
      </c>
      <c r="AD18" s="358">
        <f t="shared" si="12"/>
        <v>1</v>
      </c>
      <c r="AE18" s="358">
        <f t="shared" si="13"/>
        <v>1</v>
      </c>
      <c r="AF18" s="358">
        <f t="shared" si="14"/>
        <v>1</v>
      </c>
      <c r="AG18" s="358">
        <f t="shared" si="15"/>
        <v>1</v>
      </c>
      <c r="AH18" s="358">
        <f t="shared" si="16"/>
        <v>1</v>
      </c>
      <c r="AI18" s="358">
        <f t="shared" si="17"/>
        <v>1</v>
      </c>
      <c r="AJ18" s="358">
        <f t="shared" si="18"/>
        <v>1</v>
      </c>
      <c r="AK18" s="358">
        <f t="shared" si="19"/>
        <v>1</v>
      </c>
      <c r="AL18" s="359">
        <f t="shared" si="20"/>
        <v>1</v>
      </c>
      <c r="AM18" s="636"/>
      <c r="AN18" s="285">
        <f t="shared" ref="AN18:AU18" si="43">$C$18*D18</f>
        <v>40</v>
      </c>
      <c r="AO18" s="286">
        <f t="shared" si="43"/>
        <v>40</v>
      </c>
      <c r="AP18" s="286">
        <f t="shared" si="43"/>
        <v>40</v>
      </c>
      <c r="AQ18" s="286">
        <f t="shared" si="43"/>
        <v>40</v>
      </c>
      <c r="AR18" s="286">
        <f t="shared" si="43"/>
        <v>40</v>
      </c>
      <c r="AS18" s="286">
        <f t="shared" si="43"/>
        <v>40</v>
      </c>
      <c r="AT18" s="286">
        <f t="shared" si="43"/>
        <v>40</v>
      </c>
      <c r="AU18" s="286">
        <f t="shared" si="43"/>
        <v>40</v>
      </c>
      <c r="AV18" s="376">
        <f t="shared" ref="AV18:BV18" si="44">$C$18*L18</f>
        <v>40</v>
      </c>
      <c r="AW18" s="376">
        <f t="shared" si="44"/>
        <v>40</v>
      </c>
      <c r="AX18" s="376">
        <f t="shared" si="44"/>
        <v>40</v>
      </c>
      <c r="AY18" s="376">
        <f t="shared" si="44"/>
        <v>40</v>
      </c>
      <c r="AZ18" s="376">
        <f t="shared" si="44"/>
        <v>40</v>
      </c>
      <c r="BA18" s="376">
        <f t="shared" si="44"/>
        <v>40</v>
      </c>
      <c r="BB18" s="376">
        <f t="shared" si="44"/>
        <v>40</v>
      </c>
      <c r="BC18" s="376">
        <f t="shared" si="44"/>
        <v>40</v>
      </c>
      <c r="BD18" s="376">
        <f t="shared" si="44"/>
        <v>40</v>
      </c>
      <c r="BE18" s="376">
        <f t="shared" si="44"/>
        <v>40</v>
      </c>
      <c r="BF18" s="376">
        <f t="shared" si="44"/>
        <v>40</v>
      </c>
      <c r="BG18" s="376">
        <f t="shared" si="44"/>
        <v>40</v>
      </c>
      <c r="BH18" s="376">
        <f t="shared" si="44"/>
        <v>40</v>
      </c>
      <c r="BI18" s="376">
        <f t="shared" si="44"/>
        <v>40</v>
      </c>
      <c r="BJ18" s="376">
        <f t="shared" si="44"/>
        <v>40</v>
      </c>
      <c r="BK18" s="376">
        <f t="shared" si="44"/>
        <v>40</v>
      </c>
      <c r="BL18" s="376">
        <f t="shared" si="44"/>
        <v>40</v>
      </c>
      <c r="BM18" s="376">
        <f t="shared" si="44"/>
        <v>40</v>
      </c>
      <c r="BN18" s="376">
        <f t="shared" si="44"/>
        <v>40</v>
      </c>
      <c r="BO18" s="376">
        <f t="shared" si="44"/>
        <v>40</v>
      </c>
      <c r="BP18" s="376">
        <f t="shared" si="44"/>
        <v>40</v>
      </c>
      <c r="BQ18" s="376">
        <f t="shared" si="44"/>
        <v>40</v>
      </c>
      <c r="BR18" s="376">
        <f t="shared" si="44"/>
        <v>40</v>
      </c>
      <c r="BS18" s="376">
        <f t="shared" si="44"/>
        <v>40</v>
      </c>
      <c r="BT18" s="376">
        <f t="shared" si="44"/>
        <v>40</v>
      </c>
      <c r="BU18" s="376">
        <f t="shared" si="44"/>
        <v>40</v>
      </c>
      <c r="BV18" s="377">
        <f t="shared" si="44"/>
        <v>40</v>
      </c>
    </row>
    <row r="19" spans="1:74" ht="20.149999999999999" customHeight="1" outlineLevel="2" x14ac:dyDescent="0.25">
      <c r="A19" s="23" t="str">
        <f>'Quantidade-Cult.Perma.'!A23</f>
        <v>Espalhante</v>
      </c>
      <c r="B19" s="8" t="str">
        <f>'Quantidade-Cult.Perma.'!B23</f>
        <v>L</v>
      </c>
      <c r="C19" s="284">
        <f>'Quantidade-Cult.Perma.'!D23</f>
        <v>15</v>
      </c>
      <c r="D19" s="284">
        <f>'Quantidade-Cult.Perma.'!R23</f>
        <v>0.25</v>
      </c>
      <c r="E19" s="284">
        <f>'Quantidade-Cult.Perma.'!S23</f>
        <v>0.5</v>
      </c>
      <c r="F19" s="284">
        <f>'Quantidade-Cult.Perma.'!T23</f>
        <v>0.5</v>
      </c>
      <c r="G19" s="284">
        <f>'Quantidade-Cult.Perma.'!U23</f>
        <v>0.5</v>
      </c>
      <c r="H19" s="284">
        <f>'Quantidade-Cult.Perma.'!V23</f>
        <v>0.5</v>
      </c>
      <c r="I19" s="284">
        <f>'Quantidade-Cult.Perma.'!W23</f>
        <v>0.5</v>
      </c>
      <c r="J19" s="284">
        <f>'Quantidade-Cult.Perma.'!X23</f>
        <v>0.5</v>
      </c>
      <c r="K19" s="284">
        <f>'Quantidade-Cult.Perma.'!Y23</f>
        <v>0.5</v>
      </c>
      <c r="L19" s="358">
        <f>'Quantidade-Cult.Perma.'!Z23</f>
        <v>0.5</v>
      </c>
      <c r="M19" s="358">
        <f>'Quantidade-Cult.Perma.'!AA23</f>
        <v>0.5</v>
      </c>
      <c r="N19" s="358">
        <f>'Quantidade-Cult.Perma.'!AB23</f>
        <v>0.5</v>
      </c>
      <c r="O19" s="358">
        <f>'Quantidade-Cult.Perma.'!AC23</f>
        <v>0.5</v>
      </c>
      <c r="P19" s="358">
        <f t="shared" si="23"/>
        <v>0.25</v>
      </c>
      <c r="Q19" s="358">
        <f t="shared" si="0"/>
        <v>0.5</v>
      </c>
      <c r="R19" s="358">
        <f t="shared" si="1"/>
        <v>0.5</v>
      </c>
      <c r="S19" s="358">
        <f t="shared" si="2"/>
        <v>0.5</v>
      </c>
      <c r="T19" s="358">
        <f t="shared" si="3"/>
        <v>0.5</v>
      </c>
      <c r="U19" s="358">
        <f t="shared" si="4"/>
        <v>0.5</v>
      </c>
      <c r="V19" s="358">
        <f t="shared" si="5"/>
        <v>0.5</v>
      </c>
      <c r="W19" s="358">
        <f t="shared" si="6"/>
        <v>0.5</v>
      </c>
      <c r="X19" s="358">
        <f t="shared" si="7"/>
        <v>0.5</v>
      </c>
      <c r="Y19" s="358">
        <f t="shared" si="8"/>
        <v>0.5</v>
      </c>
      <c r="Z19" s="358">
        <f t="shared" si="9"/>
        <v>0.5</v>
      </c>
      <c r="AA19" s="358">
        <f t="shared" si="10"/>
        <v>0.5</v>
      </c>
      <c r="AB19" s="358">
        <f t="shared" si="24"/>
        <v>0.25</v>
      </c>
      <c r="AC19" s="358">
        <f t="shared" si="11"/>
        <v>0.5</v>
      </c>
      <c r="AD19" s="358">
        <f t="shared" si="12"/>
        <v>0.5</v>
      </c>
      <c r="AE19" s="358">
        <f t="shared" si="13"/>
        <v>0.5</v>
      </c>
      <c r="AF19" s="358">
        <f t="shared" si="14"/>
        <v>0.5</v>
      </c>
      <c r="AG19" s="358">
        <f t="shared" si="15"/>
        <v>0.5</v>
      </c>
      <c r="AH19" s="358">
        <f t="shared" si="16"/>
        <v>0.5</v>
      </c>
      <c r="AI19" s="358">
        <f t="shared" si="17"/>
        <v>0.5</v>
      </c>
      <c r="AJ19" s="358">
        <f t="shared" si="18"/>
        <v>0.5</v>
      </c>
      <c r="AK19" s="358">
        <f t="shared" si="19"/>
        <v>0.5</v>
      </c>
      <c r="AL19" s="359">
        <f t="shared" si="20"/>
        <v>0.5</v>
      </c>
      <c r="AM19" s="636"/>
      <c r="AN19" s="285">
        <f>$C$19*D19</f>
        <v>3.75</v>
      </c>
      <c r="AO19" s="286">
        <f t="shared" ref="AO19:AU19" si="45">E19*$C$19</f>
        <v>7.5</v>
      </c>
      <c r="AP19" s="286">
        <f t="shared" si="45"/>
        <v>7.5</v>
      </c>
      <c r="AQ19" s="286">
        <f t="shared" si="45"/>
        <v>7.5</v>
      </c>
      <c r="AR19" s="286">
        <f t="shared" si="45"/>
        <v>7.5</v>
      </c>
      <c r="AS19" s="286">
        <f t="shared" si="45"/>
        <v>7.5</v>
      </c>
      <c r="AT19" s="286">
        <f t="shared" si="45"/>
        <v>7.5</v>
      </c>
      <c r="AU19" s="286">
        <f t="shared" si="45"/>
        <v>7.5</v>
      </c>
      <c r="AV19" s="376">
        <f t="shared" ref="AV19:BV19" si="46">L19*$C$19</f>
        <v>7.5</v>
      </c>
      <c r="AW19" s="376">
        <f t="shared" si="46"/>
        <v>7.5</v>
      </c>
      <c r="AX19" s="376">
        <f t="shared" si="46"/>
        <v>7.5</v>
      </c>
      <c r="AY19" s="376">
        <f t="shared" si="46"/>
        <v>7.5</v>
      </c>
      <c r="AZ19" s="376">
        <f t="shared" si="46"/>
        <v>3.75</v>
      </c>
      <c r="BA19" s="376">
        <f t="shared" si="46"/>
        <v>7.5</v>
      </c>
      <c r="BB19" s="376">
        <f t="shared" si="46"/>
        <v>7.5</v>
      </c>
      <c r="BC19" s="376">
        <f t="shared" si="46"/>
        <v>7.5</v>
      </c>
      <c r="BD19" s="376">
        <f t="shared" si="46"/>
        <v>7.5</v>
      </c>
      <c r="BE19" s="376">
        <f t="shared" si="46"/>
        <v>7.5</v>
      </c>
      <c r="BF19" s="376">
        <f t="shared" si="46"/>
        <v>7.5</v>
      </c>
      <c r="BG19" s="376">
        <f t="shared" si="46"/>
        <v>7.5</v>
      </c>
      <c r="BH19" s="376">
        <f t="shared" si="46"/>
        <v>7.5</v>
      </c>
      <c r="BI19" s="376">
        <f t="shared" si="46"/>
        <v>7.5</v>
      </c>
      <c r="BJ19" s="376">
        <f t="shared" si="46"/>
        <v>7.5</v>
      </c>
      <c r="BK19" s="376">
        <f t="shared" si="46"/>
        <v>7.5</v>
      </c>
      <c r="BL19" s="376">
        <f t="shared" si="46"/>
        <v>3.75</v>
      </c>
      <c r="BM19" s="376">
        <f t="shared" si="46"/>
        <v>7.5</v>
      </c>
      <c r="BN19" s="376">
        <f t="shared" si="46"/>
        <v>7.5</v>
      </c>
      <c r="BO19" s="376">
        <f t="shared" si="46"/>
        <v>7.5</v>
      </c>
      <c r="BP19" s="376">
        <f t="shared" si="46"/>
        <v>7.5</v>
      </c>
      <c r="BQ19" s="376">
        <f t="shared" si="46"/>
        <v>7.5</v>
      </c>
      <c r="BR19" s="376">
        <f t="shared" si="46"/>
        <v>7.5</v>
      </c>
      <c r="BS19" s="376">
        <f t="shared" si="46"/>
        <v>7.5</v>
      </c>
      <c r="BT19" s="376">
        <f t="shared" si="46"/>
        <v>7.5</v>
      </c>
      <c r="BU19" s="376">
        <f t="shared" si="46"/>
        <v>7.5</v>
      </c>
      <c r="BV19" s="377">
        <f t="shared" si="46"/>
        <v>7.5</v>
      </c>
    </row>
    <row r="20" spans="1:74" ht="20.149999999999999" customHeight="1" outlineLevel="2" x14ac:dyDescent="0.25">
      <c r="A20" s="23" t="str">
        <f>'Quantidade-Cult.Perma.'!A24</f>
        <v>Herbicida</v>
      </c>
      <c r="B20" s="8" t="str">
        <f>'Quantidade-Cult.Perma.'!B24</f>
        <v>L</v>
      </c>
      <c r="C20" s="284">
        <f>'Quantidade-Cult.Perma.'!D24</f>
        <v>65</v>
      </c>
      <c r="D20" s="284">
        <f>'Quantidade-Cult.Perma.'!R24</f>
        <v>1.5</v>
      </c>
      <c r="E20" s="284">
        <f>'Quantidade-Cult.Perma.'!S24</f>
        <v>0.4</v>
      </c>
      <c r="F20" s="284">
        <f>'Quantidade-Cult.Perma.'!T24</f>
        <v>0.25</v>
      </c>
      <c r="G20" s="284">
        <f>'Quantidade-Cult.Perma.'!U24</f>
        <v>0.25</v>
      </c>
      <c r="H20" s="284">
        <f>'Quantidade-Cult.Perma.'!V24</f>
        <v>0.25</v>
      </c>
      <c r="I20" s="284">
        <f>'Quantidade-Cult.Perma.'!W24</f>
        <v>0.25</v>
      </c>
      <c r="J20" s="284">
        <f>'Quantidade-Cult.Perma.'!X24</f>
        <v>0.25</v>
      </c>
      <c r="K20" s="284">
        <f>'Quantidade-Cult.Perma.'!Y24</f>
        <v>0.25</v>
      </c>
      <c r="L20" s="358">
        <f>'Quantidade-Cult.Perma.'!Z24</f>
        <v>0.25</v>
      </c>
      <c r="M20" s="358">
        <f>'Quantidade-Cult.Perma.'!AA24</f>
        <v>0.25</v>
      </c>
      <c r="N20" s="358">
        <f>'Quantidade-Cult.Perma.'!AB24</f>
        <v>0.25</v>
      </c>
      <c r="O20" s="358">
        <f>'Quantidade-Cult.Perma.'!AC24</f>
        <v>0.25</v>
      </c>
      <c r="P20" s="358">
        <f t="shared" si="23"/>
        <v>1.5</v>
      </c>
      <c r="Q20" s="358">
        <f t="shared" si="0"/>
        <v>0.4</v>
      </c>
      <c r="R20" s="358">
        <f t="shared" si="1"/>
        <v>0.25</v>
      </c>
      <c r="S20" s="358">
        <f t="shared" si="2"/>
        <v>0.25</v>
      </c>
      <c r="T20" s="358">
        <f t="shared" si="3"/>
        <v>0.25</v>
      </c>
      <c r="U20" s="358">
        <f t="shared" si="4"/>
        <v>0.25</v>
      </c>
      <c r="V20" s="358">
        <f t="shared" si="5"/>
        <v>0.25</v>
      </c>
      <c r="W20" s="358">
        <f t="shared" si="6"/>
        <v>0.25</v>
      </c>
      <c r="X20" s="358">
        <f t="shared" si="7"/>
        <v>0.25</v>
      </c>
      <c r="Y20" s="358">
        <f t="shared" si="8"/>
        <v>0.25</v>
      </c>
      <c r="Z20" s="358">
        <f t="shared" si="9"/>
        <v>0.25</v>
      </c>
      <c r="AA20" s="358">
        <f t="shared" si="10"/>
        <v>0.25</v>
      </c>
      <c r="AB20" s="358">
        <f t="shared" si="24"/>
        <v>1.5</v>
      </c>
      <c r="AC20" s="358">
        <f t="shared" si="11"/>
        <v>0.4</v>
      </c>
      <c r="AD20" s="358">
        <f t="shared" si="12"/>
        <v>0.25</v>
      </c>
      <c r="AE20" s="358">
        <f t="shared" si="13"/>
        <v>0.25</v>
      </c>
      <c r="AF20" s="358">
        <f t="shared" si="14"/>
        <v>0.25</v>
      </c>
      <c r="AG20" s="358">
        <f t="shared" si="15"/>
        <v>0.25</v>
      </c>
      <c r="AH20" s="358">
        <f t="shared" si="16"/>
        <v>0.25</v>
      </c>
      <c r="AI20" s="358">
        <f t="shared" si="17"/>
        <v>0.25</v>
      </c>
      <c r="AJ20" s="358">
        <f t="shared" si="18"/>
        <v>0.25</v>
      </c>
      <c r="AK20" s="358">
        <f t="shared" si="19"/>
        <v>0.25</v>
      </c>
      <c r="AL20" s="359">
        <f t="shared" si="20"/>
        <v>0.25</v>
      </c>
      <c r="AM20" s="636"/>
      <c r="AN20" s="285">
        <f t="shared" ref="AN20:AU20" si="47">$C$20*D20</f>
        <v>97.5</v>
      </c>
      <c r="AO20" s="286">
        <f t="shared" si="47"/>
        <v>26</v>
      </c>
      <c r="AP20" s="286">
        <f t="shared" si="47"/>
        <v>16.25</v>
      </c>
      <c r="AQ20" s="286">
        <f t="shared" si="47"/>
        <v>16.25</v>
      </c>
      <c r="AR20" s="286">
        <f t="shared" si="47"/>
        <v>16.25</v>
      </c>
      <c r="AS20" s="286">
        <f t="shared" si="47"/>
        <v>16.25</v>
      </c>
      <c r="AT20" s="286">
        <f t="shared" si="47"/>
        <v>16.25</v>
      </c>
      <c r="AU20" s="286">
        <f t="shared" si="47"/>
        <v>16.25</v>
      </c>
      <c r="AV20" s="376">
        <f t="shared" ref="AV20:BV20" si="48">$C$20*L20</f>
        <v>16.25</v>
      </c>
      <c r="AW20" s="376">
        <f t="shared" si="48"/>
        <v>16.25</v>
      </c>
      <c r="AX20" s="376">
        <f t="shared" si="48"/>
        <v>16.25</v>
      </c>
      <c r="AY20" s="376">
        <f t="shared" si="48"/>
        <v>16.25</v>
      </c>
      <c r="AZ20" s="376">
        <f t="shared" si="48"/>
        <v>97.5</v>
      </c>
      <c r="BA20" s="376">
        <f t="shared" si="48"/>
        <v>26</v>
      </c>
      <c r="BB20" s="376">
        <f t="shared" si="48"/>
        <v>16.25</v>
      </c>
      <c r="BC20" s="376">
        <f t="shared" si="48"/>
        <v>16.25</v>
      </c>
      <c r="BD20" s="376">
        <f t="shared" si="48"/>
        <v>16.25</v>
      </c>
      <c r="BE20" s="376">
        <f t="shared" si="48"/>
        <v>16.25</v>
      </c>
      <c r="BF20" s="376">
        <f t="shared" si="48"/>
        <v>16.25</v>
      </c>
      <c r="BG20" s="376">
        <f t="shared" si="48"/>
        <v>16.25</v>
      </c>
      <c r="BH20" s="376">
        <f t="shared" si="48"/>
        <v>16.25</v>
      </c>
      <c r="BI20" s="376">
        <f t="shared" si="48"/>
        <v>16.25</v>
      </c>
      <c r="BJ20" s="376">
        <f t="shared" si="48"/>
        <v>16.25</v>
      </c>
      <c r="BK20" s="376">
        <f t="shared" si="48"/>
        <v>16.25</v>
      </c>
      <c r="BL20" s="376">
        <f t="shared" si="48"/>
        <v>97.5</v>
      </c>
      <c r="BM20" s="376">
        <f t="shared" si="48"/>
        <v>26</v>
      </c>
      <c r="BN20" s="376">
        <f t="shared" si="48"/>
        <v>16.25</v>
      </c>
      <c r="BO20" s="376">
        <f t="shared" si="48"/>
        <v>16.25</v>
      </c>
      <c r="BP20" s="376">
        <f t="shared" si="48"/>
        <v>16.25</v>
      </c>
      <c r="BQ20" s="376">
        <f t="shared" si="48"/>
        <v>16.25</v>
      </c>
      <c r="BR20" s="376">
        <f t="shared" si="48"/>
        <v>16.25</v>
      </c>
      <c r="BS20" s="376">
        <f t="shared" si="48"/>
        <v>16.25</v>
      </c>
      <c r="BT20" s="376">
        <f t="shared" si="48"/>
        <v>16.25</v>
      </c>
      <c r="BU20" s="376">
        <f t="shared" si="48"/>
        <v>16.25</v>
      </c>
      <c r="BV20" s="377">
        <f t="shared" si="48"/>
        <v>16.25</v>
      </c>
    </row>
    <row r="21" spans="1:74" ht="20.149999999999999" customHeight="1" outlineLevel="2" x14ac:dyDescent="0.25">
      <c r="A21" s="23" t="str">
        <f>'Quantidade-Cult.Perma.'!A25</f>
        <v>Óleo Mineral</v>
      </c>
      <c r="B21" s="8" t="str">
        <f>'Quantidade-Cult.Perma.'!B25</f>
        <v>L</v>
      </c>
      <c r="C21" s="284">
        <f>'Quantidade-Cult.Perma.'!D25</f>
        <v>10</v>
      </c>
      <c r="D21" s="284">
        <f>'Quantidade-Cult.Perma.'!R25</f>
        <v>6</v>
      </c>
      <c r="E21" s="284">
        <f>'Quantidade-Cult.Perma.'!S25</f>
        <v>30</v>
      </c>
      <c r="F21" s="284">
        <f>'Quantidade-Cult.Perma.'!T25</f>
        <v>30</v>
      </c>
      <c r="G21" s="284">
        <f>'Quantidade-Cult.Perma.'!U25</f>
        <v>30</v>
      </c>
      <c r="H21" s="284">
        <f>'Quantidade-Cult.Perma.'!V25</f>
        <v>30</v>
      </c>
      <c r="I21" s="284">
        <f>'Quantidade-Cult.Perma.'!W25</f>
        <v>30</v>
      </c>
      <c r="J21" s="284">
        <f>'Quantidade-Cult.Perma.'!X25</f>
        <v>30</v>
      </c>
      <c r="K21" s="284">
        <f>'Quantidade-Cult.Perma.'!Y25</f>
        <v>30</v>
      </c>
      <c r="L21" s="358">
        <f>'Quantidade-Cult.Perma.'!Z25</f>
        <v>30</v>
      </c>
      <c r="M21" s="358">
        <f>'Quantidade-Cult.Perma.'!AA25</f>
        <v>30</v>
      </c>
      <c r="N21" s="358">
        <f>'Quantidade-Cult.Perma.'!AB25</f>
        <v>30</v>
      </c>
      <c r="O21" s="358">
        <f>'Quantidade-Cult.Perma.'!AC25</f>
        <v>30</v>
      </c>
      <c r="P21" s="358">
        <f t="shared" si="23"/>
        <v>6</v>
      </c>
      <c r="Q21" s="358">
        <f t="shared" si="0"/>
        <v>30</v>
      </c>
      <c r="R21" s="358">
        <f t="shared" si="1"/>
        <v>30</v>
      </c>
      <c r="S21" s="358">
        <f t="shared" si="2"/>
        <v>30</v>
      </c>
      <c r="T21" s="358">
        <f t="shared" si="3"/>
        <v>30</v>
      </c>
      <c r="U21" s="358">
        <f t="shared" si="4"/>
        <v>30</v>
      </c>
      <c r="V21" s="358">
        <f t="shared" si="5"/>
        <v>30</v>
      </c>
      <c r="W21" s="358">
        <f t="shared" si="6"/>
        <v>30</v>
      </c>
      <c r="X21" s="358">
        <f t="shared" si="7"/>
        <v>30</v>
      </c>
      <c r="Y21" s="358">
        <f t="shared" si="8"/>
        <v>30</v>
      </c>
      <c r="Z21" s="358">
        <f t="shared" si="9"/>
        <v>30</v>
      </c>
      <c r="AA21" s="358">
        <f t="shared" si="10"/>
        <v>30</v>
      </c>
      <c r="AB21" s="358">
        <f t="shared" si="24"/>
        <v>6</v>
      </c>
      <c r="AC21" s="358">
        <f t="shared" si="11"/>
        <v>30</v>
      </c>
      <c r="AD21" s="358">
        <f t="shared" si="12"/>
        <v>30</v>
      </c>
      <c r="AE21" s="358">
        <f t="shared" si="13"/>
        <v>30</v>
      </c>
      <c r="AF21" s="358">
        <f t="shared" si="14"/>
        <v>30</v>
      </c>
      <c r="AG21" s="358">
        <f t="shared" si="15"/>
        <v>30</v>
      </c>
      <c r="AH21" s="358">
        <f t="shared" si="16"/>
        <v>30</v>
      </c>
      <c r="AI21" s="358">
        <f t="shared" si="17"/>
        <v>30</v>
      </c>
      <c r="AJ21" s="358">
        <f t="shared" si="18"/>
        <v>30</v>
      </c>
      <c r="AK21" s="358">
        <f t="shared" si="19"/>
        <v>30</v>
      </c>
      <c r="AL21" s="359">
        <f t="shared" si="20"/>
        <v>30</v>
      </c>
      <c r="AM21" s="636"/>
      <c r="AN21" s="285">
        <f t="shared" ref="AN21:AU21" si="49">$C$21*D21</f>
        <v>60</v>
      </c>
      <c r="AO21" s="286">
        <f t="shared" si="49"/>
        <v>300</v>
      </c>
      <c r="AP21" s="286">
        <f t="shared" si="49"/>
        <v>300</v>
      </c>
      <c r="AQ21" s="286">
        <f t="shared" si="49"/>
        <v>300</v>
      </c>
      <c r="AR21" s="286">
        <f t="shared" si="49"/>
        <v>300</v>
      </c>
      <c r="AS21" s="286">
        <f t="shared" si="49"/>
        <v>300</v>
      </c>
      <c r="AT21" s="286">
        <f t="shared" si="49"/>
        <v>300</v>
      </c>
      <c r="AU21" s="286">
        <f t="shared" si="49"/>
        <v>300</v>
      </c>
      <c r="AV21" s="376">
        <f t="shared" ref="AV21:BV21" si="50">$C$21*L21</f>
        <v>300</v>
      </c>
      <c r="AW21" s="376">
        <f t="shared" si="50"/>
        <v>300</v>
      </c>
      <c r="AX21" s="376">
        <f t="shared" si="50"/>
        <v>300</v>
      </c>
      <c r="AY21" s="376">
        <f t="shared" si="50"/>
        <v>300</v>
      </c>
      <c r="AZ21" s="376">
        <f t="shared" si="50"/>
        <v>60</v>
      </c>
      <c r="BA21" s="376">
        <f t="shared" si="50"/>
        <v>300</v>
      </c>
      <c r="BB21" s="376">
        <f t="shared" si="50"/>
        <v>300</v>
      </c>
      <c r="BC21" s="376">
        <f t="shared" si="50"/>
        <v>300</v>
      </c>
      <c r="BD21" s="376">
        <f t="shared" si="50"/>
        <v>300</v>
      </c>
      <c r="BE21" s="376">
        <f t="shared" si="50"/>
        <v>300</v>
      </c>
      <c r="BF21" s="376">
        <f t="shared" si="50"/>
        <v>300</v>
      </c>
      <c r="BG21" s="376">
        <f t="shared" si="50"/>
        <v>300</v>
      </c>
      <c r="BH21" s="376">
        <f t="shared" si="50"/>
        <v>300</v>
      </c>
      <c r="BI21" s="376">
        <f t="shared" si="50"/>
        <v>300</v>
      </c>
      <c r="BJ21" s="376">
        <f t="shared" si="50"/>
        <v>300</v>
      </c>
      <c r="BK21" s="376">
        <f t="shared" si="50"/>
        <v>300</v>
      </c>
      <c r="BL21" s="376">
        <f t="shared" si="50"/>
        <v>60</v>
      </c>
      <c r="BM21" s="376">
        <f t="shared" si="50"/>
        <v>300</v>
      </c>
      <c r="BN21" s="376">
        <f t="shared" si="50"/>
        <v>300</v>
      </c>
      <c r="BO21" s="376">
        <f t="shared" si="50"/>
        <v>300</v>
      </c>
      <c r="BP21" s="376">
        <f t="shared" si="50"/>
        <v>300</v>
      </c>
      <c r="BQ21" s="376">
        <f t="shared" si="50"/>
        <v>300</v>
      </c>
      <c r="BR21" s="376">
        <f t="shared" si="50"/>
        <v>300</v>
      </c>
      <c r="BS21" s="376">
        <f t="shared" si="50"/>
        <v>300</v>
      </c>
      <c r="BT21" s="376">
        <f t="shared" si="50"/>
        <v>300</v>
      </c>
      <c r="BU21" s="376">
        <f t="shared" si="50"/>
        <v>300</v>
      </c>
      <c r="BV21" s="377">
        <f t="shared" si="50"/>
        <v>300</v>
      </c>
    </row>
    <row r="22" spans="1:74" ht="20.149999999999999" customHeight="1" outlineLevel="2" thickBot="1" x14ac:dyDescent="0.3">
      <c r="A22" s="321" t="str">
        <f>'Quantidade-Cult.Perma.'!A26</f>
        <v>Muda Banana</v>
      </c>
      <c r="B22" s="35" t="str">
        <f>'Quantidade-Cult.Perma.'!B26</f>
        <v>UD</v>
      </c>
      <c r="C22" s="322">
        <f>'Quantidade-Cult.Perma.'!D26</f>
        <v>4</v>
      </c>
      <c r="D22" s="322">
        <f>'Quantidade-Cult.Perma.'!R26</f>
        <v>2666</v>
      </c>
      <c r="E22" s="322">
        <f>'Quantidade-Cult.Perma.'!S26</f>
        <v>0</v>
      </c>
      <c r="F22" s="322">
        <f>'Quantidade-Cult.Perma.'!T26</f>
        <v>0</v>
      </c>
      <c r="G22" s="322">
        <f>'Quantidade-Cult.Perma.'!U26</f>
        <v>0</v>
      </c>
      <c r="H22" s="322">
        <f>'Quantidade-Cult.Perma.'!V26</f>
        <v>0</v>
      </c>
      <c r="I22" s="322">
        <f>'Quantidade-Cult.Perma.'!W26</f>
        <v>0</v>
      </c>
      <c r="J22" s="322">
        <f>'Quantidade-Cult.Perma.'!X26</f>
        <v>0</v>
      </c>
      <c r="K22" s="322">
        <f>'Quantidade-Cult.Perma.'!Y26</f>
        <v>0</v>
      </c>
      <c r="L22" s="360">
        <f>'Quantidade-Cult.Perma.'!Z26</f>
        <v>0</v>
      </c>
      <c r="M22" s="360">
        <f>'Quantidade-Cult.Perma.'!AA26</f>
        <v>0</v>
      </c>
      <c r="N22" s="360">
        <f>'Quantidade-Cult.Perma.'!AB26</f>
        <v>0</v>
      </c>
      <c r="O22" s="360">
        <f>'Quantidade-Cult.Perma.'!AC26</f>
        <v>0</v>
      </c>
      <c r="P22" s="360">
        <f t="shared" si="23"/>
        <v>2666</v>
      </c>
      <c r="Q22" s="360">
        <f t="shared" si="0"/>
        <v>0</v>
      </c>
      <c r="R22" s="360">
        <f t="shared" si="1"/>
        <v>0</v>
      </c>
      <c r="S22" s="360">
        <f t="shared" si="2"/>
        <v>0</v>
      </c>
      <c r="T22" s="360">
        <f t="shared" si="3"/>
        <v>0</v>
      </c>
      <c r="U22" s="360">
        <f t="shared" si="4"/>
        <v>0</v>
      </c>
      <c r="V22" s="360">
        <f t="shared" si="5"/>
        <v>0</v>
      </c>
      <c r="W22" s="360">
        <f t="shared" si="6"/>
        <v>0</v>
      </c>
      <c r="X22" s="360">
        <f t="shared" si="7"/>
        <v>0</v>
      </c>
      <c r="Y22" s="360">
        <f t="shared" si="8"/>
        <v>0</v>
      </c>
      <c r="Z22" s="360">
        <f t="shared" si="9"/>
        <v>0</v>
      </c>
      <c r="AA22" s="360">
        <f t="shared" si="10"/>
        <v>0</v>
      </c>
      <c r="AB22" s="360">
        <f t="shared" si="24"/>
        <v>2666</v>
      </c>
      <c r="AC22" s="360">
        <f t="shared" si="11"/>
        <v>0</v>
      </c>
      <c r="AD22" s="360">
        <f t="shared" si="12"/>
        <v>0</v>
      </c>
      <c r="AE22" s="360">
        <f t="shared" si="13"/>
        <v>0</v>
      </c>
      <c r="AF22" s="360">
        <f t="shared" si="14"/>
        <v>0</v>
      </c>
      <c r="AG22" s="360">
        <f t="shared" si="15"/>
        <v>0</v>
      </c>
      <c r="AH22" s="360">
        <f t="shared" si="16"/>
        <v>0</v>
      </c>
      <c r="AI22" s="360">
        <f t="shared" si="17"/>
        <v>0</v>
      </c>
      <c r="AJ22" s="360">
        <f t="shared" si="18"/>
        <v>0</v>
      </c>
      <c r="AK22" s="360">
        <f t="shared" si="19"/>
        <v>0</v>
      </c>
      <c r="AL22" s="361">
        <f t="shared" si="20"/>
        <v>0</v>
      </c>
      <c r="AM22" s="636"/>
      <c r="AN22" s="323">
        <f t="shared" ref="AN22:AU22" si="51">$C$22*D22</f>
        <v>10664</v>
      </c>
      <c r="AO22" s="324">
        <f t="shared" si="51"/>
        <v>0</v>
      </c>
      <c r="AP22" s="324">
        <f t="shared" si="51"/>
        <v>0</v>
      </c>
      <c r="AQ22" s="324">
        <f t="shared" si="51"/>
        <v>0</v>
      </c>
      <c r="AR22" s="324">
        <f t="shared" si="51"/>
        <v>0</v>
      </c>
      <c r="AS22" s="324">
        <f t="shared" si="51"/>
        <v>0</v>
      </c>
      <c r="AT22" s="324">
        <f t="shared" si="51"/>
        <v>0</v>
      </c>
      <c r="AU22" s="324">
        <f t="shared" si="51"/>
        <v>0</v>
      </c>
      <c r="AV22" s="378">
        <f t="shared" ref="AV22:BV22" si="52">$C$22*L22</f>
        <v>0</v>
      </c>
      <c r="AW22" s="378">
        <f t="shared" si="52"/>
        <v>0</v>
      </c>
      <c r="AX22" s="378">
        <f t="shared" si="52"/>
        <v>0</v>
      </c>
      <c r="AY22" s="378">
        <f t="shared" si="52"/>
        <v>0</v>
      </c>
      <c r="AZ22" s="378">
        <f t="shared" si="52"/>
        <v>10664</v>
      </c>
      <c r="BA22" s="378">
        <f t="shared" si="52"/>
        <v>0</v>
      </c>
      <c r="BB22" s="378">
        <f t="shared" si="52"/>
        <v>0</v>
      </c>
      <c r="BC22" s="378">
        <f t="shared" si="52"/>
        <v>0</v>
      </c>
      <c r="BD22" s="378">
        <f t="shared" si="52"/>
        <v>0</v>
      </c>
      <c r="BE22" s="378">
        <f t="shared" si="52"/>
        <v>0</v>
      </c>
      <c r="BF22" s="378">
        <f t="shared" si="52"/>
        <v>0</v>
      </c>
      <c r="BG22" s="378">
        <f t="shared" si="52"/>
        <v>0</v>
      </c>
      <c r="BH22" s="378">
        <f t="shared" si="52"/>
        <v>0</v>
      </c>
      <c r="BI22" s="378">
        <f t="shared" si="52"/>
        <v>0</v>
      </c>
      <c r="BJ22" s="378">
        <f t="shared" si="52"/>
        <v>0</v>
      </c>
      <c r="BK22" s="378">
        <f t="shared" si="52"/>
        <v>0</v>
      </c>
      <c r="BL22" s="378">
        <f t="shared" si="52"/>
        <v>10664</v>
      </c>
      <c r="BM22" s="378">
        <f t="shared" si="52"/>
        <v>0</v>
      </c>
      <c r="BN22" s="378">
        <f t="shared" si="52"/>
        <v>0</v>
      </c>
      <c r="BO22" s="378">
        <f t="shared" si="52"/>
        <v>0</v>
      </c>
      <c r="BP22" s="378">
        <f t="shared" si="52"/>
        <v>0</v>
      </c>
      <c r="BQ22" s="378">
        <f t="shared" si="52"/>
        <v>0</v>
      </c>
      <c r="BR22" s="378">
        <f t="shared" si="52"/>
        <v>0</v>
      </c>
      <c r="BS22" s="378">
        <f t="shared" si="52"/>
        <v>0</v>
      </c>
      <c r="BT22" s="378">
        <f t="shared" si="52"/>
        <v>0</v>
      </c>
      <c r="BU22" s="378">
        <f t="shared" si="52"/>
        <v>0</v>
      </c>
      <c r="BV22" s="379">
        <f t="shared" si="52"/>
        <v>0</v>
      </c>
    </row>
    <row r="23" spans="1:74" s="408" customFormat="1" ht="20.149999999999999" customHeight="1" outlineLevel="2" thickBot="1" x14ac:dyDescent="0.3">
      <c r="A23" s="1107" t="s">
        <v>101</v>
      </c>
      <c r="B23" s="1108"/>
      <c r="C23" s="1108"/>
      <c r="D23" s="1108"/>
      <c r="E23" s="1108"/>
      <c r="F23" s="1108"/>
      <c r="G23" s="1108"/>
      <c r="H23" s="1108"/>
      <c r="I23" s="1108"/>
      <c r="J23" s="1108"/>
      <c r="K23" s="1108"/>
      <c r="L23" s="1108"/>
      <c r="M23" s="1108"/>
      <c r="N23" s="1108"/>
      <c r="O23" s="1108"/>
      <c r="P23" s="1108"/>
      <c r="Q23" s="1108"/>
      <c r="R23" s="1108"/>
      <c r="S23" s="1108"/>
      <c r="T23" s="1108"/>
      <c r="U23" s="1108"/>
      <c r="V23" s="1108"/>
      <c r="W23" s="1108"/>
      <c r="X23" s="1108"/>
      <c r="Y23" s="1108"/>
      <c r="Z23" s="1108"/>
      <c r="AA23" s="1108"/>
      <c r="AB23" s="1108"/>
      <c r="AC23" s="1108"/>
      <c r="AD23" s="1108"/>
      <c r="AE23" s="1108"/>
      <c r="AF23" s="1108"/>
      <c r="AG23" s="1108"/>
      <c r="AH23" s="1108"/>
      <c r="AI23" s="1108"/>
      <c r="AJ23" s="1108"/>
      <c r="AK23" s="1108"/>
      <c r="AL23" s="1108"/>
      <c r="AM23" s="1108"/>
      <c r="AN23" s="406">
        <f t="shared" ref="AN23:BV23" si="53">SUM(AN8:AN22)</f>
        <v>28262.630399999998</v>
      </c>
      <c r="AO23" s="406">
        <f t="shared" si="53"/>
        <v>16388.242399999999</v>
      </c>
      <c r="AP23" s="406">
        <f t="shared" si="53"/>
        <v>16378.492399999999</v>
      </c>
      <c r="AQ23" s="406">
        <f t="shared" si="53"/>
        <v>16378.492399999999</v>
      </c>
      <c r="AR23" s="406">
        <f t="shared" si="53"/>
        <v>14951.649199999998</v>
      </c>
      <c r="AS23" s="406">
        <f t="shared" si="53"/>
        <v>14951.649199999998</v>
      </c>
      <c r="AT23" s="406">
        <f t="shared" si="53"/>
        <v>14951.649199999998</v>
      </c>
      <c r="AU23" s="406">
        <f t="shared" si="53"/>
        <v>14951.649199999998</v>
      </c>
      <c r="AV23" s="407">
        <f t="shared" si="53"/>
        <v>14951.649199999998</v>
      </c>
      <c r="AW23" s="407">
        <f t="shared" si="53"/>
        <v>14951.649199999998</v>
      </c>
      <c r="AX23" s="407">
        <f t="shared" si="53"/>
        <v>14951.649199999998</v>
      </c>
      <c r="AY23" s="407">
        <f t="shared" si="53"/>
        <v>14951.649199999998</v>
      </c>
      <c r="AZ23" s="407">
        <f t="shared" si="53"/>
        <v>28262.630399999998</v>
      </c>
      <c r="BA23" s="407">
        <f t="shared" si="53"/>
        <v>16388.242399999999</v>
      </c>
      <c r="BB23" s="407">
        <f t="shared" si="53"/>
        <v>16378.492399999999</v>
      </c>
      <c r="BC23" s="407">
        <f t="shared" si="53"/>
        <v>16378.492399999999</v>
      </c>
      <c r="BD23" s="407">
        <f t="shared" si="53"/>
        <v>14951.649199999998</v>
      </c>
      <c r="BE23" s="407">
        <f t="shared" si="53"/>
        <v>14951.649199999998</v>
      </c>
      <c r="BF23" s="407">
        <f t="shared" si="53"/>
        <v>14951.649199999998</v>
      </c>
      <c r="BG23" s="407">
        <f t="shared" si="53"/>
        <v>14951.649199999998</v>
      </c>
      <c r="BH23" s="407">
        <f t="shared" si="53"/>
        <v>14951.649199999998</v>
      </c>
      <c r="BI23" s="407">
        <f t="shared" si="53"/>
        <v>14951.649199999998</v>
      </c>
      <c r="BJ23" s="407">
        <f t="shared" si="53"/>
        <v>14951.649199999998</v>
      </c>
      <c r="BK23" s="407">
        <f t="shared" si="53"/>
        <v>14951.649199999998</v>
      </c>
      <c r="BL23" s="407">
        <f t="shared" si="53"/>
        <v>28262.630399999998</v>
      </c>
      <c r="BM23" s="407">
        <f t="shared" si="53"/>
        <v>16388.242399999999</v>
      </c>
      <c r="BN23" s="407">
        <f t="shared" si="53"/>
        <v>16378.492399999999</v>
      </c>
      <c r="BO23" s="407">
        <f t="shared" si="53"/>
        <v>16378.492399999999</v>
      </c>
      <c r="BP23" s="407">
        <f t="shared" si="53"/>
        <v>14951.649199999998</v>
      </c>
      <c r="BQ23" s="407">
        <f t="shared" si="53"/>
        <v>14951.649199999998</v>
      </c>
      <c r="BR23" s="407">
        <f t="shared" si="53"/>
        <v>14951.649199999998</v>
      </c>
      <c r="BS23" s="407">
        <f t="shared" si="53"/>
        <v>14951.649199999998</v>
      </c>
      <c r="BT23" s="407">
        <f t="shared" si="53"/>
        <v>14951.649199999998</v>
      </c>
      <c r="BU23" s="407">
        <f t="shared" si="53"/>
        <v>14951.649199999998</v>
      </c>
      <c r="BV23" s="407">
        <f t="shared" si="53"/>
        <v>14951.649199999998</v>
      </c>
    </row>
    <row r="24" spans="1:74" ht="13" outlineLevel="2" thickBot="1" x14ac:dyDescent="0.3"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6"/>
      <c r="AN24" s="6"/>
      <c r="AO24" s="6"/>
      <c r="AP24" s="6"/>
      <c r="AQ24" s="6"/>
      <c r="AR24" s="6"/>
      <c r="AS24" s="6"/>
      <c r="AT24" s="6"/>
      <c r="AU24" s="6"/>
    </row>
    <row r="25" spans="1:74" s="123" customFormat="1" ht="27" customHeight="1" outlineLevel="1" thickBot="1" x14ac:dyDescent="0.3">
      <c r="A25" s="1106" t="s">
        <v>53</v>
      </c>
      <c r="B25" s="1106"/>
      <c r="C25" s="1106"/>
      <c r="D25" s="1106"/>
      <c r="E25" s="1106"/>
      <c r="F25" s="1106"/>
      <c r="G25" s="1106"/>
      <c r="H25" s="1106"/>
      <c r="I25" s="1106"/>
      <c r="J25" s="1106"/>
      <c r="K25" s="1106"/>
      <c r="L25" s="1106"/>
      <c r="M25" s="1106"/>
      <c r="N25" s="1106"/>
      <c r="O25" s="1106"/>
      <c r="P25" s="1106"/>
      <c r="Q25" s="1106"/>
      <c r="R25" s="1106"/>
      <c r="S25" s="1106"/>
      <c r="T25" s="1106"/>
      <c r="U25" s="1106"/>
      <c r="V25" s="1106"/>
      <c r="W25" s="1106"/>
      <c r="X25" s="1106"/>
      <c r="Y25" s="1106"/>
      <c r="Z25" s="1106"/>
      <c r="AA25" s="1106"/>
      <c r="AB25" s="1106"/>
      <c r="AC25" s="1106"/>
      <c r="AD25" s="1106"/>
      <c r="AE25" s="1106"/>
      <c r="AF25" s="1106"/>
      <c r="AG25" s="1106"/>
      <c r="AH25" s="1106"/>
      <c r="AI25" s="1106"/>
      <c r="AJ25" s="1106"/>
      <c r="AK25" s="1106"/>
      <c r="AL25" s="1106"/>
      <c r="AM25" s="1106"/>
      <c r="AN25" s="1106"/>
      <c r="AO25" s="1106"/>
      <c r="AP25" s="1106"/>
      <c r="AQ25" s="1106"/>
      <c r="AR25" s="1106"/>
      <c r="AS25" s="1106"/>
      <c r="AT25" s="1106"/>
      <c r="AU25" s="1106"/>
      <c r="AV25" s="1106"/>
      <c r="AW25" s="1106"/>
      <c r="AX25" s="1106"/>
      <c r="AY25" s="1106"/>
      <c r="AZ25" s="1106"/>
      <c r="BA25" s="1106"/>
      <c r="BB25" s="1106"/>
      <c r="BC25" s="1106"/>
      <c r="BD25" s="1106"/>
      <c r="BE25" s="1106"/>
      <c r="BF25" s="1106"/>
      <c r="BG25" s="1106"/>
      <c r="BH25" s="1106"/>
      <c r="BI25" s="1106"/>
      <c r="BJ25" s="1106"/>
      <c r="BK25" s="1106"/>
      <c r="BL25" s="1106"/>
      <c r="BM25" s="1106"/>
      <c r="BN25" s="1106"/>
      <c r="BO25" s="1106"/>
      <c r="BP25" s="1106"/>
      <c r="BQ25" s="1106"/>
      <c r="BR25" s="1106"/>
      <c r="BS25" s="1106"/>
      <c r="BT25" s="1106"/>
      <c r="BU25" s="1106"/>
      <c r="BV25" s="1106"/>
    </row>
    <row r="26" spans="1:74" ht="18" customHeight="1" outlineLevel="2" thickBot="1" x14ac:dyDescent="0.3">
      <c r="A26" s="1102" t="s">
        <v>113</v>
      </c>
      <c r="B26" s="1102" t="s">
        <v>8</v>
      </c>
      <c r="C26" s="1102" t="s">
        <v>100</v>
      </c>
      <c r="D26" s="1102" t="s">
        <v>97</v>
      </c>
      <c r="E26" s="1102"/>
      <c r="F26" s="1102"/>
      <c r="G26" s="1102"/>
      <c r="H26" s="1102"/>
      <c r="I26" s="1102"/>
      <c r="J26" s="1102"/>
      <c r="K26" s="1102"/>
      <c r="L26" s="1102"/>
      <c r="M26" s="1102"/>
      <c r="N26" s="1102"/>
      <c r="O26" s="1102"/>
      <c r="P26" s="1102"/>
      <c r="Q26" s="1102"/>
      <c r="R26" s="1102"/>
      <c r="S26" s="1102"/>
      <c r="T26" s="1102"/>
      <c r="U26" s="1102"/>
      <c r="V26" s="1102"/>
      <c r="W26" s="1102"/>
      <c r="X26" s="1102"/>
      <c r="Y26" s="1102"/>
      <c r="Z26" s="1102"/>
      <c r="AA26" s="1102"/>
      <c r="AB26" s="1102"/>
      <c r="AC26" s="1102"/>
      <c r="AD26" s="1102"/>
      <c r="AE26" s="1102"/>
      <c r="AF26" s="1102"/>
      <c r="AG26" s="1102"/>
      <c r="AH26" s="1102"/>
      <c r="AI26" s="1102"/>
      <c r="AJ26" s="1102"/>
      <c r="AK26" s="1102"/>
      <c r="AL26" s="1102"/>
      <c r="AM26" s="634"/>
      <c r="AN26" s="1102" t="s">
        <v>99</v>
      </c>
      <c r="AO26" s="1102"/>
      <c r="AP26" s="1102"/>
      <c r="AQ26" s="1102"/>
      <c r="AR26" s="1102"/>
      <c r="AS26" s="1102"/>
      <c r="AT26" s="1102"/>
      <c r="AU26" s="1102"/>
      <c r="AV26" s="1102"/>
      <c r="AW26" s="1102"/>
      <c r="AX26" s="1102"/>
      <c r="AY26" s="1102"/>
      <c r="AZ26" s="1102"/>
      <c r="BA26" s="1102"/>
      <c r="BB26" s="1102"/>
      <c r="BC26" s="1102"/>
      <c r="BD26" s="1102"/>
      <c r="BE26" s="1102"/>
      <c r="BF26" s="1102"/>
      <c r="BG26" s="1102"/>
      <c r="BH26" s="1102"/>
      <c r="BI26" s="1102"/>
      <c r="BJ26" s="1102"/>
      <c r="BK26" s="1102"/>
      <c r="BL26" s="1102"/>
      <c r="BM26" s="1102"/>
      <c r="BN26" s="1102"/>
      <c r="BO26" s="1102"/>
      <c r="BP26" s="1102"/>
      <c r="BQ26" s="1102"/>
      <c r="BR26" s="1102"/>
      <c r="BS26" s="1102"/>
      <c r="BT26" s="1102"/>
      <c r="BU26" s="1102"/>
      <c r="BV26" s="1102"/>
    </row>
    <row r="27" spans="1:74" ht="18" customHeight="1" outlineLevel="2" thickBot="1" x14ac:dyDescent="0.3">
      <c r="A27" s="1102"/>
      <c r="B27" s="1102"/>
      <c r="C27" s="1102"/>
      <c r="D27" s="275">
        <v>1</v>
      </c>
      <c r="E27" s="211">
        <v>2</v>
      </c>
      <c r="F27" s="211">
        <v>3</v>
      </c>
      <c r="G27" s="211">
        <v>4</v>
      </c>
      <c r="H27" s="211">
        <v>5</v>
      </c>
      <c r="I27" s="211">
        <v>6</v>
      </c>
      <c r="J27" s="211">
        <v>7</v>
      </c>
      <c r="K27" s="211">
        <v>8</v>
      </c>
      <c r="L27" s="211">
        <v>9</v>
      </c>
      <c r="M27" s="211">
        <v>10</v>
      </c>
      <c r="N27" s="211">
        <v>11</v>
      </c>
      <c r="O27" s="211">
        <v>12</v>
      </c>
      <c r="P27" s="211">
        <v>13</v>
      </c>
      <c r="Q27" s="211">
        <v>14</v>
      </c>
      <c r="R27" s="211">
        <v>15</v>
      </c>
      <c r="S27" s="211">
        <v>16</v>
      </c>
      <c r="T27" s="211">
        <v>17</v>
      </c>
      <c r="U27" s="211">
        <v>18</v>
      </c>
      <c r="V27" s="211">
        <v>19</v>
      </c>
      <c r="W27" s="211">
        <v>20</v>
      </c>
      <c r="X27" s="211">
        <v>21</v>
      </c>
      <c r="Y27" s="211">
        <v>22</v>
      </c>
      <c r="Z27" s="211">
        <v>23</v>
      </c>
      <c r="AA27" s="211">
        <v>24</v>
      </c>
      <c r="AB27" s="211">
        <v>25</v>
      </c>
      <c r="AC27" s="211">
        <v>26</v>
      </c>
      <c r="AD27" s="211">
        <v>27</v>
      </c>
      <c r="AE27" s="211">
        <v>28</v>
      </c>
      <c r="AF27" s="211">
        <v>29</v>
      </c>
      <c r="AG27" s="211">
        <v>30</v>
      </c>
      <c r="AH27" s="211">
        <v>31</v>
      </c>
      <c r="AI27" s="211">
        <v>32</v>
      </c>
      <c r="AJ27" s="211">
        <v>33</v>
      </c>
      <c r="AK27" s="211">
        <v>34</v>
      </c>
      <c r="AL27" s="212">
        <v>35</v>
      </c>
      <c r="AM27" s="635"/>
      <c r="AN27" s="275">
        <v>1</v>
      </c>
      <c r="AO27" s="211">
        <v>2</v>
      </c>
      <c r="AP27" s="211">
        <v>3</v>
      </c>
      <c r="AQ27" s="211">
        <v>4</v>
      </c>
      <c r="AR27" s="211">
        <v>5</v>
      </c>
      <c r="AS27" s="211">
        <v>6</v>
      </c>
      <c r="AT27" s="211">
        <v>7</v>
      </c>
      <c r="AU27" s="211">
        <v>8</v>
      </c>
      <c r="AV27" s="211">
        <v>9</v>
      </c>
      <c r="AW27" s="211">
        <v>10</v>
      </c>
      <c r="AX27" s="211">
        <v>11</v>
      </c>
      <c r="AY27" s="211">
        <v>12</v>
      </c>
      <c r="AZ27" s="211">
        <v>13</v>
      </c>
      <c r="BA27" s="211">
        <v>14</v>
      </c>
      <c r="BB27" s="211">
        <v>15</v>
      </c>
      <c r="BC27" s="211">
        <v>16</v>
      </c>
      <c r="BD27" s="211">
        <v>17</v>
      </c>
      <c r="BE27" s="211">
        <v>18</v>
      </c>
      <c r="BF27" s="211">
        <v>19</v>
      </c>
      <c r="BG27" s="211">
        <v>20</v>
      </c>
      <c r="BH27" s="211">
        <v>21</v>
      </c>
      <c r="BI27" s="211">
        <v>22</v>
      </c>
      <c r="BJ27" s="211">
        <v>23</v>
      </c>
      <c r="BK27" s="211">
        <v>24</v>
      </c>
      <c r="BL27" s="211">
        <v>25</v>
      </c>
      <c r="BM27" s="211">
        <v>26</v>
      </c>
      <c r="BN27" s="211">
        <v>27</v>
      </c>
      <c r="BO27" s="211">
        <v>28</v>
      </c>
      <c r="BP27" s="211">
        <v>29</v>
      </c>
      <c r="BQ27" s="211">
        <v>30</v>
      </c>
      <c r="BR27" s="211">
        <v>31</v>
      </c>
      <c r="BS27" s="211">
        <v>32</v>
      </c>
      <c r="BT27" s="211">
        <v>33</v>
      </c>
      <c r="BU27" s="211">
        <v>34</v>
      </c>
      <c r="BV27" s="212">
        <v>35</v>
      </c>
    </row>
    <row r="28" spans="1:74" ht="20.149999999999999" customHeight="1" outlineLevel="2" x14ac:dyDescent="0.25">
      <c r="A28" s="19" t="s">
        <v>46</v>
      </c>
      <c r="B28" s="10" t="s">
        <v>21</v>
      </c>
      <c r="C28" s="279">
        <f>'Custos Diversos'!$B$21</f>
        <v>145</v>
      </c>
      <c r="D28" s="279">
        <v>15</v>
      </c>
      <c r="E28" s="279"/>
      <c r="F28" s="279"/>
      <c r="G28" s="279"/>
      <c r="H28" s="279"/>
      <c r="I28" s="279"/>
      <c r="J28" s="279"/>
      <c r="K28" s="279"/>
      <c r="L28" s="356"/>
      <c r="M28" s="356"/>
      <c r="N28" s="356"/>
      <c r="O28" s="356"/>
      <c r="P28" s="356">
        <f t="shared" ref="P28:P43" si="54">D28</f>
        <v>15</v>
      </c>
      <c r="Q28" s="356">
        <f t="shared" ref="Q28:Q43" si="55">E28</f>
        <v>0</v>
      </c>
      <c r="R28" s="356">
        <f t="shared" ref="R28:R43" si="56">F28</f>
        <v>0</v>
      </c>
      <c r="S28" s="356">
        <f t="shared" ref="S28:S43" si="57">G28</f>
        <v>0</v>
      </c>
      <c r="T28" s="356">
        <f t="shared" ref="T28:T43" si="58">H28</f>
        <v>0</v>
      </c>
      <c r="U28" s="356">
        <f t="shared" ref="U28:U43" si="59">I28</f>
        <v>0</v>
      </c>
      <c r="V28" s="356">
        <f t="shared" ref="V28:V43" si="60">J28</f>
        <v>0</v>
      </c>
      <c r="W28" s="356">
        <f t="shared" ref="W28:W43" si="61">K28</f>
        <v>0</v>
      </c>
      <c r="X28" s="356">
        <f t="shared" ref="X28:X43" si="62">L28</f>
        <v>0</v>
      </c>
      <c r="Y28" s="356">
        <f t="shared" ref="Y28:Y43" si="63">M28</f>
        <v>0</v>
      </c>
      <c r="Z28" s="356">
        <f t="shared" ref="Z28:Z43" si="64">N28</f>
        <v>0</v>
      </c>
      <c r="AA28" s="356">
        <f t="shared" ref="AA28:AA43" si="65">O28</f>
        <v>0</v>
      </c>
      <c r="AB28" s="356">
        <f t="shared" ref="AB28:AB43" si="66">D28</f>
        <v>15</v>
      </c>
      <c r="AC28" s="356">
        <f t="shared" ref="AC28:AC43" si="67">E28</f>
        <v>0</v>
      </c>
      <c r="AD28" s="356">
        <f t="shared" ref="AD28:AD43" si="68">F28</f>
        <v>0</v>
      </c>
      <c r="AE28" s="356">
        <f t="shared" ref="AE28:AE43" si="69">G28</f>
        <v>0</v>
      </c>
      <c r="AF28" s="356">
        <f t="shared" ref="AF28:AF43" si="70">H28</f>
        <v>0</v>
      </c>
      <c r="AG28" s="356">
        <f t="shared" ref="AG28:AG43" si="71">I28</f>
        <v>0</v>
      </c>
      <c r="AH28" s="356">
        <f t="shared" ref="AH28:AH43" si="72">J28</f>
        <v>0</v>
      </c>
      <c r="AI28" s="356">
        <f t="shared" ref="AI28:AI43" si="73">K28</f>
        <v>0</v>
      </c>
      <c r="AJ28" s="356">
        <f t="shared" ref="AJ28:AJ43" si="74">L28</f>
        <v>0</v>
      </c>
      <c r="AK28" s="356">
        <f t="shared" ref="AK28:AK43" si="75">M28</f>
        <v>0</v>
      </c>
      <c r="AL28" s="357">
        <f t="shared" ref="AL28:AL43" si="76">N28</f>
        <v>0</v>
      </c>
      <c r="AM28" s="636"/>
      <c r="AN28" s="280">
        <f t="shared" ref="AN28:AN36" si="77">$C$28*D28</f>
        <v>2175</v>
      </c>
      <c r="AO28" s="281">
        <f t="shared" ref="AO28:AO36" si="78">$C$28*E28</f>
        <v>0</v>
      </c>
      <c r="AP28" s="281">
        <f t="shared" ref="AP28:AP36" si="79">$C$28*F28</f>
        <v>0</v>
      </c>
      <c r="AQ28" s="281">
        <f t="shared" ref="AQ28:AQ35" si="80">$C$28*G28</f>
        <v>0</v>
      </c>
      <c r="AR28" s="281">
        <f t="shared" ref="AR28:AR36" si="81">$C$28*H28</f>
        <v>0</v>
      </c>
      <c r="AS28" s="281">
        <f t="shared" ref="AS28:AS36" si="82">$C$28*I28</f>
        <v>0</v>
      </c>
      <c r="AT28" s="281">
        <f t="shared" ref="AT28:AT36" si="83">$C$28*J28</f>
        <v>0</v>
      </c>
      <c r="AU28" s="281">
        <f t="shared" ref="AU28:AU36" si="84">$C$28*K28</f>
        <v>0</v>
      </c>
      <c r="AV28" s="374">
        <f t="shared" ref="AV28:AV36" si="85">$C$28*L28</f>
        <v>0</v>
      </c>
      <c r="AW28" s="374">
        <f t="shared" ref="AW28:AW36" si="86">$C$28*M28</f>
        <v>0</v>
      </c>
      <c r="AX28" s="374">
        <f t="shared" ref="AX28:AX36" si="87">$C$28*N28</f>
        <v>0</v>
      </c>
      <c r="AY28" s="374">
        <f t="shared" ref="AY28:AY36" si="88">$C$28*O28</f>
        <v>0</v>
      </c>
      <c r="AZ28" s="374">
        <f t="shared" ref="AZ28:AZ36" si="89">$C$28*P28</f>
        <v>2175</v>
      </c>
      <c r="BA28" s="374">
        <f t="shared" ref="BA28:BA36" si="90">$C$28*Q28</f>
        <v>0</v>
      </c>
      <c r="BB28" s="374">
        <f t="shared" ref="BB28:BB36" si="91">$C$28*R28</f>
        <v>0</v>
      </c>
      <c r="BC28" s="374">
        <f t="shared" ref="BC28:BC36" si="92">$C$28*S28</f>
        <v>0</v>
      </c>
      <c r="BD28" s="374">
        <f t="shared" ref="BD28:BD36" si="93">$C$28*T28</f>
        <v>0</v>
      </c>
      <c r="BE28" s="374">
        <f t="shared" ref="BE28:BE36" si="94">$C$28*U28</f>
        <v>0</v>
      </c>
      <c r="BF28" s="374">
        <f t="shared" ref="BF28:BF36" si="95">$C$28*V28</f>
        <v>0</v>
      </c>
      <c r="BG28" s="374">
        <f t="shared" ref="BG28:BG36" si="96">$C$28*W28</f>
        <v>0</v>
      </c>
      <c r="BH28" s="374">
        <f t="shared" ref="BH28:BH36" si="97">$C$28*X28</f>
        <v>0</v>
      </c>
      <c r="BI28" s="374">
        <f t="shared" ref="BI28:BI36" si="98">$C$28*Y28</f>
        <v>0</v>
      </c>
      <c r="BJ28" s="374">
        <f t="shared" ref="BJ28:BJ36" si="99">$C$28*Z28</f>
        <v>0</v>
      </c>
      <c r="BK28" s="374">
        <f t="shared" ref="BK28:BK36" si="100">$C$28*AA28</f>
        <v>0</v>
      </c>
      <c r="BL28" s="374">
        <f t="shared" ref="BL28:BL36" si="101">$C$28*AB28</f>
        <v>2175</v>
      </c>
      <c r="BM28" s="374">
        <f t="shared" ref="BM28:BM36" si="102">$C$28*AC28</f>
        <v>0</v>
      </c>
      <c r="BN28" s="374">
        <f t="shared" ref="BN28:BN36" si="103">$C$28*AD28</f>
        <v>0</v>
      </c>
      <c r="BO28" s="374">
        <f t="shared" ref="BO28:BO36" si="104">$C$28*AE28</f>
        <v>0</v>
      </c>
      <c r="BP28" s="374">
        <f t="shared" ref="BP28:BP36" si="105">$C$28*AF28</f>
        <v>0</v>
      </c>
      <c r="BQ28" s="374">
        <f t="shared" ref="BQ28:BQ36" si="106">$C$28*AG28</f>
        <v>0</v>
      </c>
      <c r="BR28" s="374">
        <f t="shared" ref="BR28:BR36" si="107">$C$28*AH28</f>
        <v>0</v>
      </c>
      <c r="BS28" s="374">
        <f t="shared" ref="BS28:BS36" si="108">$C$28*AI28</f>
        <v>0</v>
      </c>
      <c r="BT28" s="374">
        <f t="shared" ref="BT28:BT36" si="109">$C$28*AJ28</f>
        <v>0</v>
      </c>
      <c r="BU28" s="374">
        <f t="shared" ref="BU28:BU36" si="110">$C$28*AK28</f>
        <v>0</v>
      </c>
      <c r="BV28" s="375">
        <f t="shared" ref="BV28:BV36" si="111">$C$28*AL28</f>
        <v>0</v>
      </c>
    </row>
    <row r="29" spans="1:74" ht="20.149999999999999" customHeight="1" outlineLevel="2" x14ac:dyDescent="0.25">
      <c r="A29" s="23" t="s">
        <v>15</v>
      </c>
      <c r="B29" s="8" t="s">
        <v>21</v>
      </c>
      <c r="C29" s="284">
        <f>'Custos Diversos'!$B$21</f>
        <v>145</v>
      </c>
      <c r="D29" s="284">
        <v>12</v>
      </c>
      <c r="E29" s="284"/>
      <c r="F29" s="284"/>
      <c r="G29" s="284"/>
      <c r="H29" s="284"/>
      <c r="I29" s="284"/>
      <c r="J29" s="284"/>
      <c r="K29" s="284"/>
      <c r="L29" s="358"/>
      <c r="M29" s="358"/>
      <c r="N29" s="358"/>
      <c r="O29" s="358"/>
      <c r="P29" s="358">
        <f t="shared" si="54"/>
        <v>12</v>
      </c>
      <c r="Q29" s="358">
        <f t="shared" si="55"/>
        <v>0</v>
      </c>
      <c r="R29" s="358">
        <f t="shared" si="56"/>
        <v>0</v>
      </c>
      <c r="S29" s="358">
        <f t="shared" si="57"/>
        <v>0</v>
      </c>
      <c r="T29" s="358">
        <f t="shared" si="58"/>
        <v>0</v>
      </c>
      <c r="U29" s="358">
        <f t="shared" si="59"/>
        <v>0</v>
      </c>
      <c r="V29" s="358">
        <f t="shared" si="60"/>
        <v>0</v>
      </c>
      <c r="W29" s="358">
        <f t="shared" si="61"/>
        <v>0</v>
      </c>
      <c r="X29" s="358">
        <f t="shared" si="62"/>
        <v>0</v>
      </c>
      <c r="Y29" s="358">
        <f t="shared" si="63"/>
        <v>0</v>
      </c>
      <c r="Z29" s="358">
        <f t="shared" si="64"/>
        <v>0</v>
      </c>
      <c r="AA29" s="358">
        <f t="shared" si="65"/>
        <v>0</v>
      </c>
      <c r="AB29" s="358">
        <f t="shared" si="66"/>
        <v>12</v>
      </c>
      <c r="AC29" s="358">
        <f t="shared" si="67"/>
        <v>0</v>
      </c>
      <c r="AD29" s="358">
        <f t="shared" si="68"/>
        <v>0</v>
      </c>
      <c r="AE29" s="358">
        <f t="shared" si="69"/>
        <v>0</v>
      </c>
      <c r="AF29" s="358">
        <f t="shared" si="70"/>
        <v>0</v>
      </c>
      <c r="AG29" s="358">
        <f t="shared" si="71"/>
        <v>0</v>
      </c>
      <c r="AH29" s="358">
        <f t="shared" si="72"/>
        <v>0</v>
      </c>
      <c r="AI29" s="358">
        <f t="shared" si="73"/>
        <v>0</v>
      </c>
      <c r="AJ29" s="358">
        <f t="shared" si="74"/>
        <v>0</v>
      </c>
      <c r="AK29" s="358">
        <f t="shared" si="75"/>
        <v>0</v>
      </c>
      <c r="AL29" s="359">
        <f t="shared" si="76"/>
        <v>0</v>
      </c>
      <c r="AM29" s="636"/>
      <c r="AN29" s="285">
        <f t="shared" si="77"/>
        <v>1740</v>
      </c>
      <c r="AO29" s="286">
        <f t="shared" si="78"/>
        <v>0</v>
      </c>
      <c r="AP29" s="286">
        <f t="shared" si="79"/>
        <v>0</v>
      </c>
      <c r="AQ29" s="286">
        <f t="shared" si="80"/>
        <v>0</v>
      </c>
      <c r="AR29" s="286">
        <f t="shared" si="81"/>
        <v>0</v>
      </c>
      <c r="AS29" s="286">
        <f t="shared" si="82"/>
        <v>0</v>
      </c>
      <c r="AT29" s="286">
        <f t="shared" si="83"/>
        <v>0</v>
      </c>
      <c r="AU29" s="286">
        <f t="shared" si="84"/>
        <v>0</v>
      </c>
      <c r="AV29" s="376">
        <f t="shared" si="85"/>
        <v>0</v>
      </c>
      <c r="AW29" s="376">
        <f t="shared" si="86"/>
        <v>0</v>
      </c>
      <c r="AX29" s="376">
        <f t="shared" si="87"/>
        <v>0</v>
      </c>
      <c r="AY29" s="376">
        <f t="shared" si="88"/>
        <v>0</v>
      </c>
      <c r="AZ29" s="376">
        <f t="shared" si="89"/>
        <v>1740</v>
      </c>
      <c r="BA29" s="376">
        <f t="shared" si="90"/>
        <v>0</v>
      </c>
      <c r="BB29" s="376">
        <f t="shared" si="91"/>
        <v>0</v>
      </c>
      <c r="BC29" s="376">
        <f t="shared" si="92"/>
        <v>0</v>
      </c>
      <c r="BD29" s="376">
        <f t="shared" si="93"/>
        <v>0</v>
      </c>
      <c r="BE29" s="376">
        <f t="shared" si="94"/>
        <v>0</v>
      </c>
      <c r="BF29" s="376">
        <f t="shared" si="95"/>
        <v>0</v>
      </c>
      <c r="BG29" s="376">
        <f t="shared" si="96"/>
        <v>0</v>
      </c>
      <c r="BH29" s="376">
        <f t="shared" si="97"/>
        <v>0</v>
      </c>
      <c r="BI29" s="376">
        <f t="shared" si="98"/>
        <v>0</v>
      </c>
      <c r="BJ29" s="376">
        <f t="shared" si="99"/>
        <v>0</v>
      </c>
      <c r="BK29" s="376">
        <f t="shared" si="100"/>
        <v>0</v>
      </c>
      <c r="BL29" s="376">
        <f t="shared" si="101"/>
        <v>1740</v>
      </c>
      <c r="BM29" s="376">
        <f t="shared" si="102"/>
        <v>0</v>
      </c>
      <c r="BN29" s="376">
        <f t="shared" si="103"/>
        <v>0</v>
      </c>
      <c r="BO29" s="376">
        <f t="shared" si="104"/>
        <v>0</v>
      </c>
      <c r="BP29" s="376">
        <f t="shared" si="105"/>
        <v>0</v>
      </c>
      <c r="BQ29" s="376">
        <f t="shared" si="106"/>
        <v>0</v>
      </c>
      <c r="BR29" s="376">
        <f t="shared" si="107"/>
        <v>0</v>
      </c>
      <c r="BS29" s="376">
        <f t="shared" si="108"/>
        <v>0</v>
      </c>
      <c r="BT29" s="376">
        <f t="shared" si="109"/>
        <v>0</v>
      </c>
      <c r="BU29" s="376">
        <f t="shared" si="110"/>
        <v>0</v>
      </c>
      <c r="BV29" s="377">
        <f t="shared" si="111"/>
        <v>0</v>
      </c>
    </row>
    <row r="30" spans="1:74" ht="20.149999999999999" customHeight="1" outlineLevel="2" x14ac:dyDescent="0.25">
      <c r="A30" s="23" t="s">
        <v>16</v>
      </c>
      <c r="B30" s="8" t="s">
        <v>21</v>
      </c>
      <c r="C30" s="284">
        <f>'Custos Diversos'!$B$21</f>
        <v>145</v>
      </c>
      <c r="D30" s="284">
        <v>8</v>
      </c>
      <c r="E30" s="284"/>
      <c r="F30" s="284"/>
      <c r="G30" s="284"/>
      <c r="H30" s="284"/>
      <c r="I30" s="284"/>
      <c r="J30" s="284"/>
      <c r="K30" s="284"/>
      <c r="L30" s="358"/>
      <c r="M30" s="358"/>
      <c r="N30" s="358"/>
      <c r="O30" s="358"/>
      <c r="P30" s="358">
        <f t="shared" si="54"/>
        <v>8</v>
      </c>
      <c r="Q30" s="358">
        <f t="shared" si="55"/>
        <v>0</v>
      </c>
      <c r="R30" s="358">
        <f t="shared" si="56"/>
        <v>0</v>
      </c>
      <c r="S30" s="358">
        <f t="shared" si="57"/>
        <v>0</v>
      </c>
      <c r="T30" s="358">
        <f t="shared" si="58"/>
        <v>0</v>
      </c>
      <c r="U30" s="358">
        <f t="shared" si="59"/>
        <v>0</v>
      </c>
      <c r="V30" s="358">
        <f t="shared" si="60"/>
        <v>0</v>
      </c>
      <c r="W30" s="358">
        <f t="shared" si="61"/>
        <v>0</v>
      </c>
      <c r="X30" s="358">
        <f t="shared" si="62"/>
        <v>0</v>
      </c>
      <c r="Y30" s="358">
        <f t="shared" si="63"/>
        <v>0</v>
      </c>
      <c r="Z30" s="358">
        <f t="shared" si="64"/>
        <v>0</v>
      </c>
      <c r="AA30" s="358">
        <f t="shared" si="65"/>
        <v>0</v>
      </c>
      <c r="AB30" s="358">
        <f t="shared" si="66"/>
        <v>8</v>
      </c>
      <c r="AC30" s="358">
        <f t="shared" si="67"/>
        <v>0</v>
      </c>
      <c r="AD30" s="358">
        <f t="shared" si="68"/>
        <v>0</v>
      </c>
      <c r="AE30" s="358">
        <f t="shared" si="69"/>
        <v>0</v>
      </c>
      <c r="AF30" s="358">
        <f t="shared" si="70"/>
        <v>0</v>
      </c>
      <c r="AG30" s="358">
        <f t="shared" si="71"/>
        <v>0</v>
      </c>
      <c r="AH30" s="358">
        <f t="shared" si="72"/>
        <v>0</v>
      </c>
      <c r="AI30" s="358">
        <f t="shared" si="73"/>
        <v>0</v>
      </c>
      <c r="AJ30" s="358">
        <f t="shared" si="74"/>
        <v>0</v>
      </c>
      <c r="AK30" s="358">
        <f t="shared" si="75"/>
        <v>0</v>
      </c>
      <c r="AL30" s="359">
        <f t="shared" si="76"/>
        <v>0</v>
      </c>
      <c r="AM30" s="636"/>
      <c r="AN30" s="285">
        <f t="shared" si="77"/>
        <v>1160</v>
      </c>
      <c r="AO30" s="286">
        <f t="shared" si="78"/>
        <v>0</v>
      </c>
      <c r="AP30" s="286">
        <f t="shared" si="79"/>
        <v>0</v>
      </c>
      <c r="AQ30" s="286">
        <f t="shared" si="80"/>
        <v>0</v>
      </c>
      <c r="AR30" s="286">
        <f t="shared" si="81"/>
        <v>0</v>
      </c>
      <c r="AS30" s="286">
        <f t="shared" si="82"/>
        <v>0</v>
      </c>
      <c r="AT30" s="286">
        <f t="shared" si="83"/>
        <v>0</v>
      </c>
      <c r="AU30" s="286">
        <f t="shared" si="84"/>
        <v>0</v>
      </c>
      <c r="AV30" s="376">
        <f t="shared" si="85"/>
        <v>0</v>
      </c>
      <c r="AW30" s="376">
        <f t="shared" si="86"/>
        <v>0</v>
      </c>
      <c r="AX30" s="376">
        <f t="shared" si="87"/>
        <v>0</v>
      </c>
      <c r="AY30" s="376">
        <f t="shared" si="88"/>
        <v>0</v>
      </c>
      <c r="AZ30" s="376">
        <f t="shared" si="89"/>
        <v>1160</v>
      </c>
      <c r="BA30" s="376">
        <f t="shared" si="90"/>
        <v>0</v>
      </c>
      <c r="BB30" s="376">
        <f t="shared" si="91"/>
        <v>0</v>
      </c>
      <c r="BC30" s="376">
        <f t="shared" si="92"/>
        <v>0</v>
      </c>
      <c r="BD30" s="376">
        <f t="shared" si="93"/>
        <v>0</v>
      </c>
      <c r="BE30" s="376">
        <f t="shared" si="94"/>
        <v>0</v>
      </c>
      <c r="BF30" s="376">
        <f t="shared" si="95"/>
        <v>0</v>
      </c>
      <c r="BG30" s="376">
        <f t="shared" si="96"/>
        <v>0</v>
      </c>
      <c r="BH30" s="376">
        <f t="shared" si="97"/>
        <v>0</v>
      </c>
      <c r="BI30" s="376">
        <f t="shared" si="98"/>
        <v>0</v>
      </c>
      <c r="BJ30" s="376">
        <f t="shared" si="99"/>
        <v>0</v>
      </c>
      <c r="BK30" s="376">
        <f t="shared" si="100"/>
        <v>0</v>
      </c>
      <c r="BL30" s="376">
        <f t="shared" si="101"/>
        <v>1160</v>
      </c>
      <c r="BM30" s="376">
        <f t="shared" si="102"/>
        <v>0</v>
      </c>
      <c r="BN30" s="376">
        <f t="shared" si="103"/>
        <v>0</v>
      </c>
      <c r="BO30" s="376">
        <f t="shared" si="104"/>
        <v>0</v>
      </c>
      <c r="BP30" s="376">
        <f t="shared" si="105"/>
        <v>0</v>
      </c>
      <c r="BQ30" s="376">
        <f t="shared" si="106"/>
        <v>0</v>
      </c>
      <c r="BR30" s="376">
        <f t="shared" si="107"/>
        <v>0</v>
      </c>
      <c r="BS30" s="376">
        <f t="shared" si="108"/>
        <v>0</v>
      </c>
      <c r="BT30" s="376">
        <f t="shared" si="109"/>
        <v>0</v>
      </c>
      <c r="BU30" s="376">
        <f t="shared" si="110"/>
        <v>0</v>
      </c>
      <c r="BV30" s="377">
        <f t="shared" si="111"/>
        <v>0</v>
      </c>
    </row>
    <row r="31" spans="1:74" ht="20.149999999999999" customHeight="1" outlineLevel="2" x14ac:dyDescent="0.25">
      <c r="A31" s="23" t="s">
        <v>17</v>
      </c>
      <c r="B31" s="8" t="s">
        <v>21</v>
      </c>
      <c r="C31" s="284">
        <f>'Custos Diversos'!$B$21</f>
        <v>145</v>
      </c>
      <c r="D31" s="284">
        <v>0.5</v>
      </c>
      <c r="E31" s="284">
        <v>0.5</v>
      </c>
      <c r="F31" s="284">
        <v>0.1</v>
      </c>
      <c r="G31" s="284">
        <v>0.1</v>
      </c>
      <c r="H31" s="284">
        <v>0.1</v>
      </c>
      <c r="I31" s="284">
        <v>0.1</v>
      </c>
      <c r="J31" s="284">
        <v>0.1</v>
      </c>
      <c r="K31" s="284">
        <v>0.1</v>
      </c>
      <c r="L31" s="358">
        <v>0.1</v>
      </c>
      <c r="M31" s="358">
        <v>0.1</v>
      </c>
      <c r="N31" s="358">
        <v>0.1</v>
      </c>
      <c r="O31" s="358">
        <v>0.1</v>
      </c>
      <c r="P31" s="358">
        <f t="shared" si="54"/>
        <v>0.5</v>
      </c>
      <c r="Q31" s="358">
        <f t="shared" si="55"/>
        <v>0.5</v>
      </c>
      <c r="R31" s="358">
        <f t="shared" si="56"/>
        <v>0.1</v>
      </c>
      <c r="S31" s="358">
        <f t="shared" si="57"/>
        <v>0.1</v>
      </c>
      <c r="T31" s="358">
        <f t="shared" si="58"/>
        <v>0.1</v>
      </c>
      <c r="U31" s="358">
        <f t="shared" si="59"/>
        <v>0.1</v>
      </c>
      <c r="V31" s="358">
        <f t="shared" si="60"/>
        <v>0.1</v>
      </c>
      <c r="W31" s="358">
        <f t="shared" si="61"/>
        <v>0.1</v>
      </c>
      <c r="X31" s="358">
        <f t="shared" si="62"/>
        <v>0.1</v>
      </c>
      <c r="Y31" s="358">
        <f t="shared" si="63"/>
        <v>0.1</v>
      </c>
      <c r="Z31" s="358">
        <f t="shared" si="64"/>
        <v>0.1</v>
      </c>
      <c r="AA31" s="358">
        <f t="shared" si="65"/>
        <v>0.1</v>
      </c>
      <c r="AB31" s="358">
        <f t="shared" si="66"/>
        <v>0.5</v>
      </c>
      <c r="AC31" s="358">
        <f t="shared" si="67"/>
        <v>0.5</v>
      </c>
      <c r="AD31" s="358">
        <f t="shared" si="68"/>
        <v>0.1</v>
      </c>
      <c r="AE31" s="358">
        <f t="shared" si="69"/>
        <v>0.1</v>
      </c>
      <c r="AF31" s="358">
        <f t="shared" si="70"/>
        <v>0.1</v>
      </c>
      <c r="AG31" s="358">
        <f t="shared" si="71"/>
        <v>0.1</v>
      </c>
      <c r="AH31" s="358">
        <f t="shared" si="72"/>
        <v>0.1</v>
      </c>
      <c r="AI31" s="358">
        <f t="shared" si="73"/>
        <v>0.1</v>
      </c>
      <c r="AJ31" s="358">
        <f t="shared" si="74"/>
        <v>0.1</v>
      </c>
      <c r="AK31" s="358">
        <f t="shared" si="75"/>
        <v>0.1</v>
      </c>
      <c r="AL31" s="359">
        <f t="shared" si="76"/>
        <v>0.1</v>
      </c>
      <c r="AM31" s="636"/>
      <c r="AN31" s="285">
        <f t="shared" si="77"/>
        <v>72.5</v>
      </c>
      <c r="AO31" s="286">
        <f t="shared" si="78"/>
        <v>72.5</v>
      </c>
      <c r="AP31" s="286">
        <f t="shared" si="79"/>
        <v>14.5</v>
      </c>
      <c r="AQ31" s="286">
        <f t="shared" si="80"/>
        <v>14.5</v>
      </c>
      <c r="AR31" s="286">
        <f t="shared" si="81"/>
        <v>14.5</v>
      </c>
      <c r="AS31" s="286">
        <f t="shared" si="82"/>
        <v>14.5</v>
      </c>
      <c r="AT31" s="286">
        <f t="shared" si="83"/>
        <v>14.5</v>
      </c>
      <c r="AU31" s="286">
        <f t="shared" si="84"/>
        <v>14.5</v>
      </c>
      <c r="AV31" s="376">
        <f t="shared" si="85"/>
        <v>14.5</v>
      </c>
      <c r="AW31" s="376">
        <f t="shared" si="86"/>
        <v>14.5</v>
      </c>
      <c r="AX31" s="376">
        <f t="shared" si="87"/>
        <v>14.5</v>
      </c>
      <c r="AY31" s="376">
        <f t="shared" si="88"/>
        <v>14.5</v>
      </c>
      <c r="AZ31" s="376">
        <f t="shared" si="89"/>
        <v>72.5</v>
      </c>
      <c r="BA31" s="376">
        <f t="shared" si="90"/>
        <v>72.5</v>
      </c>
      <c r="BB31" s="376">
        <f t="shared" si="91"/>
        <v>14.5</v>
      </c>
      <c r="BC31" s="376">
        <f t="shared" si="92"/>
        <v>14.5</v>
      </c>
      <c r="BD31" s="376">
        <f t="shared" si="93"/>
        <v>14.5</v>
      </c>
      <c r="BE31" s="376">
        <f t="shared" si="94"/>
        <v>14.5</v>
      </c>
      <c r="BF31" s="376">
        <f t="shared" si="95"/>
        <v>14.5</v>
      </c>
      <c r="BG31" s="376">
        <f t="shared" si="96"/>
        <v>14.5</v>
      </c>
      <c r="BH31" s="376">
        <f t="shared" si="97"/>
        <v>14.5</v>
      </c>
      <c r="BI31" s="376">
        <f t="shared" si="98"/>
        <v>14.5</v>
      </c>
      <c r="BJ31" s="376">
        <f t="shared" si="99"/>
        <v>14.5</v>
      </c>
      <c r="BK31" s="376">
        <f t="shared" si="100"/>
        <v>14.5</v>
      </c>
      <c r="BL31" s="376">
        <f t="shared" si="101"/>
        <v>72.5</v>
      </c>
      <c r="BM31" s="376">
        <f t="shared" si="102"/>
        <v>72.5</v>
      </c>
      <c r="BN31" s="376">
        <f t="shared" si="103"/>
        <v>14.5</v>
      </c>
      <c r="BO31" s="376">
        <f t="shared" si="104"/>
        <v>14.5</v>
      </c>
      <c r="BP31" s="376">
        <f t="shared" si="105"/>
        <v>14.5</v>
      </c>
      <c r="BQ31" s="376">
        <f t="shared" si="106"/>
        <v>14.5</v>
      </c>
      <c r="BR31" s="376">
        <f t="shared" si="107"/>
        <v>14.5</v>
      </c>
      <c r="BS31" s="376">
        <f t="shared" si="108"/>
        <v>14.5</v>
      </c>
      <c r="BT31" s="376">
        <f t="shared" si="109"/>
        <v>14.5</v>
      </c>
      <c r="BU31" s="376">
        <f t="shared" si="110"/>
        <v>14.5</v>
      </c>
      <c r="BV31" s="377">
        <f t="shared" si="111"/>
        <v>14.5</v>
      </c>
    </row>
    <row r="32" spans="1:74" ht="20.149999999999999" customHeight="1" outlineLevel="2" x14ac:dyDescent="0.25">
      <c r="A32" s="23" t="s">
        <v>18</v>
      </c>
      <c r="B32" s="8" t="s">
        <v>21</v>
      </c>
      <c r="C32" s="284">
        <f>'Custos Diversos'!$B$21</f>
        <v>145</v>
      </c>
      <c r="D32" s="284">
        <v>0.1</v>
      </c>
      <c r="E32" s="284">
        <v>0.1</v>
      </c>
      <c r="F32" s="284">
        <v>0.1</v>
      </c>
      <c r="G32" s="284">
        <v>0.1</v>
      </c>
      <c r="H32" s="284">
        <v>0.1</v>
      </c>
      <c r="I32" s="284">
        <v>0.1</v>
      </c>
      <c r="J32" s="284">
        <v>0.1</v>
      </c>
      <c r="K32" s="284">
        <v>0.1</v>
      </c>
      <c r="L32" s="358">
        <v>0.1</v>
      </c>
      <c r="M32" s="358">
        <v>0.1</v>
      </c>
      <c r="N32" s="358">
        <v>0.1</v>
      </c>
      <c r="O32" s="358">
        <v>0.1</v>
      </c>
      <c r="P32" s="358">
        <f t="shared" si="54"/>
        <v>0.1</v>
      </c>
      <c r="Q32" s="358">
        <f t="shared" si="55"/>
        <v>0.1</v>
      </c>
      <c r="R32" s="358">
        <f t="shared" si="56"/>
        <v>0.1</v>
      </c>
      <c r="S32" s="358">
        <f t="shared" si="57"/>
        <v>0.1</v>
      </c>
      <c r="T32" s="358">
        <f t="shared" si="58"/>
        <v>0.1</v>
      </c>
      <c r="U32" s="358">
        <f t="shared" si="59"/>
        <v>0.1</v>
      </c>
      <c r="V32" s="358">
        <f t="shared" si="60"/>
        <v>0.1</v>
      </c>
      <c r="W32" s="358">
        <f t="shared" si="61"/>
        <v>0.1</v>
      </c>
      <c r="X32" s="358">
        <f t="shared" si="62"/>
        <v>0.1</v>
      </c>
      <c r="Y32" s="358">
        <f t="shared" si="63"/>
        <v>0.1</v>
      </c>
      <c r="Z32" s="358">
        <f t="shared" si="64"/>
        <v>0.1</v>
      </c>
      <c r="AA32" s="358">
        <f t="shared" si="65"/>
        <v>0.1</v>
      </c>
      <c r="AB32" s="358">
        <f t="shared" si="66"/>
        <v>0.1</v>
      </c>
      <c r="AC32" s="358">
        <f t="shared" si="67"/>
        <v>0.1</v>
      </c>
      <c r="AD32" s="358">
        <f t="shared" si="68"/>
        <v>0.1</v>
      </c>
      <c r="AE32" s="358">
        <f t="shared" si="69"/>
        <v>0.1</v>
      </c>
      <c r="AF32" s="358">
        <f t="shared" si="70"/>
        <v>0.1</v>
      </c>
      <c r="AG32" s="358">
        <f t="shared" si="71"/>
        <v>0.1</v>
      </c>
      <c r="AH32" s="358">
        <f t="shared" si="72"/>
        <v>0.1</v>
      </c>
      <c r="AI32" s="358">
        <f t="shared" si="73"/>
        <v>0.1</v>
      </c>
      <c r="AJ32" s="358">
        <f t="shared" si="74"/>
        <v>0.1</v>
      </c>
      <c r="AK32" s="358">
        <f t="shared" si="75"/>
        <v>0.1</v>
      </c>
      <c r="AL32" s="359">
        <f t="shared" si="76"/>
        <v>0.1</v>
      </c>
      <c r="AM32" s="636"/>
      <c r="AN32" s="285">
        <f t="shared" si="77"/>
        <v>14.5</v>
      </c>
      <c r="AO32" s="286">
        <f t="shared" si="78"/>
        <v>14.5</v>
      </c>
      <c r="AP32" s="286">
        <f t="shared" si="79"/>
        <v>14.5</v>
      </c>
      <c r="AQ32" s="286">
        <f t="shared" si="80"/>
        <v>14.5</v>
      </c>
      <c r="AR32" s="286">
        <f t="shared" si="81"/>
        <v>14.5</v>
      </c>
      <c r="AS32" s="286">
        <f t="shared" si="82"/>
        <v>14.5</v>
      </c>
      <c r="AT32" s="286">
        <f t="shared" si="83"/>
        <v>14.5</v>
      </c>
      <c r="AU32" s="286">
        <f t="shared" si="84"/>
        <v>14.5</v>
      </c>
      <c r="AV32" s="376">
        <f t="shared" si="85"/>
        <v>14.5</v>
      </c>
      <c r="AW32" s="376">
        <f t="shared" si="86"/>
        <v>14.5</v>
      </c>
      <c r="AX32" s="376">
        <f t="shared" si="87"/>
        <v>14.5</v>
      </c>
      <c r="AY32" s="376">
        <f t="shared" si="88"/>
        <v>14.5</v>
      </c>
      <c r="AZ32" s="376">
        <f t="shared" si="89"/>
        <v>14.5</v>
      </c>
      <c r="BA32" s="376">
        <f t="shared" si="90"/>
        <v>14.5</v>
      </c>
      <c r="BB32" s="376">
        <f t="shared" si="91"/>
        <v>14.5</v>
      </c>
      <c r="BC32" s="376">
        <f t="shared" si="92"/>
        <v>14.5</v>
      </c>
      <c r="BD32" s="376">
        <f t="shared" si="93"/>
        <v>14.5</v>
      </c>
      <c r="BE32" s="376">
        <f t="shared" si="94"/>
        <v>14.5</v>
      </c>
      <c r="BF32" s="376">
        <f t="shared" si="95"/>
        <v>14.5</v>
      </c>
      <c r="BG32" s="376">
        <f t="shared" si="96"/>
        <v>14.5</v>
      </c>
      <c r="BH32" s="376">
        <f t="shared" si="97"/>
        <v>14.5</v>
      </c>
      <c r="BI32" s="376">
        <f t="shared" si="98"/>
        <v>14.5</v>
      </c>
      <c r="BJ32" s="376">
        <f t="shared" si="99"/>
        <v>14.5</v>
      </c>
      <c r="BK32" s="376">
        <f t="shared" si="100"/>
        <v>14.5</v>
      </c>
      <c r="BL32" s="376">
        <f t="shared" si="101"/>
        <v>14.5</v>
      </c>
      <c r="BM32" s="376">
        <f t="shared" si="102"/>
        <v>14.5</v>
      </c>
      <c r="BN32" s="376">
        <f t="shared" si="103"/>
        <v>14.5</v>
      </c>
      <c r="BO32" s="376">
        <f t="shared" si="104"/>
        <v>14.5</v>
      </c>
      <c r="BP32" s="376">
        <f t="shared" si="105"/>
        <v>14.5</v>
      </c>
      <c r="BQ32" s="376">
        <f t="shared" si="106"/>
        <v>14.5</v>
      </c>
      <c r="BR32" s="376">
        <f t="shared" si="107"/>
        <v>14.5</v>
      </c>
      <c r="BS32" s="376">
        <f t="shared" si="108"/>
        <v>14.5</v>
      </c>
      <c r="BT32" s="376">
        <f t="shared" si="109"/>
        <v>14.5</v>
      </c>
      <c r="BU32" s="376">
        <f t="shared" si="110"/>
        <v>14.5</v>
      </c>
      <c r="BV32" s="377">
        <f t="shared" si="111"/>
        <v>14.5</v>
      </c>
    </row>
    <row r="33" spans="1:74" ht="20.149999999999999" customHeight="1" outlineLevel="2" x14ac:dyDescent="0.25">
      <c r="A33" s="20" t="s">
        <v>47</v>
      </c>
      <c r="B33" s="8" t="s">
        <v>21</v>
      </c>
      <c r="C33" s="284">
        <f>'Custos Diversos'!$B$21</f>
        <v>145</v>
      </c>
      <c r="D33" s="284">
        <v>0.5</v>
      </c>
      <c r="E33" s="284">
        <v>0.5</v>
      </c>
      <c r="F33" s="284">
        <v>0.5</v>
      </c>
      <c r="G33" s="284">
        <v>0.5</v>
      </c>
      <c r="H33" s="284">
        <v>0.5</v>
      </c>
      <c r="I33" s="284">
        <v>0.5</v>
      </c>
      <c r="J33" s="284">
        <v>0.5</v>
      </c>
      <c r="K33" s="284">
        <v>0.5</v>
      </c>
      <c r="L33" s="358">
        <v>0.5</v>
      </c>
      <c r="M33" s="358">
        <v>0.5</v>
      </c>
      <c r="N33" s="358">
        <v>0.5</v>
      </c>
      <c r="O33" s="358">
        <v>0.5</v>
      </c>
      <c r="P33" s="358">
        <f t="shared" si="54"/>
        <v>0.5</v>
      </c>
      <c r="Q33" s="358">
        <f t="shared" si="55"/>
        <v>0.5</v>
      </c>
      <c r="R33" s="358">
        <f t="shared" si="56"/>
        <v>0.5</v>
      </c>
      <c r="S33" s="358">
        <f t="shared" si="57"/>
        <v>0.5</v>
      </c>
      <c r="T33" s="358">
        <f t="shared" si="58"/>
        <v>0.5</v>
      </c>
      <c r="U33" s="358">
        <f t="shared" si="59"/>
        <v>0.5</v>
      </c>
      <c r="V33" s="358">
        <f t="shared" si="60"/>
        <v>0.5</v>
      </c>
      <c r="W33" s="358">
        <f t="shared" si="61"/>
        <v>0.5</v>
      </c>
      <c r="X33" s="358">
        <f t="shared" si="62"/>
        <v>0.5</v>
      </c>
      <c r="Y33" s="358">
        <f t="shared" si="63"/>
        <v>0.5</v>
      </c>
      <c r="Z33" s="358">
        <f t="shared" si="64"/>
        <v>0.5</v>
      </c>
      <c r="AA33" s="358">
        <f t="shared" si="65"/>
        <v>0.5</v>
      </c>
      <c r="AB33" s="358">
        <f t="shared" si="66"/>
        <v>0.5</v>
      </c>
      <c r="AC33" s="358">
        <f t="shared" si="67"/>
        <v>0.5</v>
      </c>
      <c r="AD33" s="358">
        <f t="shared" si="68"/>
        <v>0.5</v>
      </c>
      <c r="AE33" s="358">
        <f t="shared" si="69"/>
        <v>0.5</v>
      </c>
      <c r="AF33" s="358">
        <f t="shared" si="70"/>
        <v>0.5</v>
      </c>
      <c r="AG33" s="358">
        <f t="shared" si="71"/>
        <v>0.5</v>
      </c>
      <c r="AH33" s="358">
        <f t="shared" si="72"/>
        <v>0.5</v>
      </c>
      <c r="AI33" s="358">
        <f t="shared" si="73"/>
        <v>0.5</v>
      </c>
      <c r="AJ33" s="358">
        <f t="shared" si="74"/>
        <v>0.5</v>
      </c>
      <c r="AK33" s="358">
        <f t="shared" si="75"/>
        <v>0.5</v>
      </c>
      <c r="AL33" s="359">
        <f t="shared" si="76"/>
        <v>0.5</v>
      </c>
      <c r="AM33" s="636"/>
      <c r="AN33" s="285">
        <f t="shared" si="77"/>
        <v>72.5</v>
      </c>
      <c r="AO33" s="286">
        <f t="shared" si="78"/>
        <v>72.5</v>
      </c>
      <c r="AP33" s="286">
        <f t="shared" si="79"/>
        <v>72.5</v>
      </c>
      <c r="AQ33" s="286">
        <f t="shared" si="80"/>
        <v>72.5</v>
      </c>
      <c r="AR33" s="286">
        <f t="shared" si="81"/>
        <v>72.5</v>
      </c>
      <c r="AS33" s="286">
        <f t="shared" si="82"/>
        <v>72.5</v>
      </c>
      <c r="AT33" s="286">
        <f t="shared" si="83"/>
        <v>72.5</v>
      </c>
      <c r="AU33" s="286">
        <f t="shared" si="84"/>
        <v>72.5</v>
      </c>
      <c r="AV33" s="376">
        <f t="shared" si="85"/>
        <v>72.5</v>
      </c>
      <c r="AW33" s="376">
        <f t="shared" si="86"/>
        <v>72.5</v>
      </c>
      <c r="AX33" s="376">
        <f t="shared" si="87"/>
        <v>72.5</v>
      </c>
      <c r="AY33" s="376">
        <f t="shared" si="88"/>
        <v>72.5</v>
      </c>
      <c r="AZ33" s="376">
        <f t="shared" si="89"/>
        <v>72.5</v>
      </c>
      <c r="BA33" s="376">
        <f t="shared" si="90"/>
        <v>72.5</v>
      </c>
      <c r="BB33" s="376">
        <f t="shared" si="91"/>
        <v>72.5</v>
      </c>
      <c r="BC33" s="376">
        <f t="shared" si="92"/>
        <v>72.5</v>
      </c>
      <c r="BD33" s="376">
        <f t="shared" si="93"/>
        <v>72.5</v>
      </c>
      <c r="BE33" s="376">
        <f t="shared" si="94"/>
        <v>72.5</v>
      </c>
      <c r="BF33" s="376">
        <f t="shared" si="95"/>
        <v>72.5</v>
      </c>
      <c r="BG33" s="376">
        <f t="shared" si="96"/>
        <v>72.5</v>
      </c>
      <c r="BH33" s="376">
        <f t="shared" si="97"/>
        <v>72.5</v>
      </c>
      <c r="BI33" s="376">
        <f t="shared" si="98"/>
        <v>72.5</v>
      </c>
      <c r="BJ33" s="376">
        <f t="shared" si="99"/>
        <v>72.5</v>
      </c>
      <c r="BK33" s="376">
        <f t="shared" si="100"/>
        <v>72.5</v>
      </c>
      <c r="BL33" s="376">
        <f t="shared" si="101"/>
        <v>72.5</v>
      </c>
      <c r="BM33" s="376">
        <f t="shared" si="102"/>
        <v>72.5</v>
      </c>
      <c r="BN33" s="376">
        <f t="shared" si="103"/>
        <v>72.5</v>
      </c>
      <c r="BO33" s="376">
        <f t="shared" si="104"/>
        <v>72.5</v>
      </c>
      <c r="BP33" s="376">
        <f t="shared" si="105"/>
        <v>72.5</v>
      </c>
      <c r="BQ33" s="376">
        <f t="shared" si="106"/>
        <v>72.5</v>
      </c>
      <c r="BR33" s="376">
        <f t="shared" si="107"/>
        <v>72.5</v>
      </c>
      <c r="BS33" s="376">
        <f t="shared" si="108"/>
        <v>72.5</v>
      </c>
      <c r="BT33" s="376">
        <f t="shared" si="109"/>
        <v>72.5</v>
      </c>
      <c r="BU33" s="376">
        <f t="shared" si="110"/>
        <v>72.5</v>
      </c>
      <c r="BV33" s="377">
        <f t="shared" si="111"/>
        <v>72.5</v>
      </c>
    </row>
    <row r="34" spans="1:74" ht="20.149999999999999" customHeight="1" outlineLevel="2" x14ac:dyDescent="0.25">
      <c r="A34" s="20" t="s">
        <v>48</v>
      </c>
      <c r="B34" s="8" t="s">
        <v>21</v>
      </c>
      <c r="C34" s="284">
        <f>'Custos Diversos'!$B$21</f>
        <v>145</v>
      </c>
      <c r="D34" s="284">
        <v>1</v>
      </c>
      <c r="E34" s="284">
        <v>0.25</v>
      </c>
      <c r="F34" s="284">
        <v>0.25</v>
      </c>
      <c r="G34" s="284">
        <v>0.25</v>
      </c>
      <c r="H34" s="284">
        <v>0.25</v>
      </c>
      <c r="I34" s="284">
        <v>0.25</v>
      </c>
      <c r="J34" s="284">
        <v>0.25</v>
      </c>
      <c r="K34" s="284">
        <v>0.25</v>
      </c>
      <c r="L34" s="358">
        <v>0.25</v>
      </c>
      <c r="M34" s="358">
        <v>0.25</v>
      </c>
      <c r="N34" s="358">
        <v>0.25</v>
      </c>
      <c r="O34" s="358">
        <v>0.25</v>
      </c>
      <c r="P34" s="358">
        <f t="shared" si="54"/>
        <v>1</v>
      </c>
      <c r="Q34" s="358">
        <f t="shared" si="55"/>
        <v>0.25</v>
      </c>
      <c r="R34" s="358">
        <f t="shared" si="56"/>
        <v>0.25</v>
      </c>
      <c r="S34" s="358">
        <f t="shared" si="57"/>
        <v>0.25</v>
      </c>
      <c r="T34" s="358">
        <f t="shared" si="58"/>
        <v>0.25</v>
      </c>
      <c r="U34" s="358">
        <f t="shared" si="59"/>
        <v>0.25</v>
      </c>
      <c r="V34" s="358">
        <f t="shared" si="60"/>
        <v>0.25</v>
      </c>
      <c r="W34" s="358">
        <f t="shared" si="61"/>
        <v>0.25</v>
      </c>
      <c r="X34" s="358">
        <f t="shared" si="62"/>
        <v>0.25</v>
      </c>
      <c r="Y34" s="358">
        <f t="shared" si="63"/>
        <v>0.25</v>
      </c>
      <c r="Z34" s="358">
        <f t="shared" si="64"/>
        <v>0.25</v>
      </c>
      <c r="AA34" s="358">
        <f t="shared" si="65"/>
        <v>0.25</v>
      </c>
      <c r="AB34" s="358">
        <f t="shared" si="66"/>
        <v>1</v>
      </c>
      <c r="AC34" s="358">
        <f t="shared" si="67"/>
        <v>0.25</v>
      </c>
      <c r="AD34" s="358">
        <f t="shared" si="68"/>
        <v>0.25</v>
      </c>
      <c r="AE34" s="358">
        <f t="shared" si="69"/>
        <v>0.25</v>
      </c>
      <c r="AF34" s="358">
        <f t="shared" si="70"/>
        <v>0.25</v>
      </c>
      <c r="AG34" s="358">
        <f t="shared" si="71"/>
        <v>0.25</v>
      </c>
      <c r="AH34" s="358">
        <f t="shared" si="72"/>
        <v>0.25</v>
      </c>
      <c r="AI34" s="358">
        <f t="shared" si="73"/>
        <v>0.25</v>
      </c>
      <c r="AJ34" s="358">
        <f t="shared" si="74"/>
        <v>0.25</v>
      </c>
      <c r="AK34" s="358">
        <f t="shared" si="75"/>
        <v>0.25</v>
      </c>
      <c r="AL34" s="359">
        <f t="shared" si="76"/>
        <v>0.25</v>
      </c>
      <c r="AM34" s="636"/>
      <c r="AN34" s="285">
        <f t="shared" si="77"/>
        <v>145</v>
      </c>
      <c r="AO34" s="286">
        <f t="shared" si="78"/>
        <v>36.25</v>
      </c>
      <c r="AP34" s="286">
        <f t="shared" si="79"/>
        <v>36.25</v>
      </c>
      <c r="AQ34" s="286">
        <f t="shared" si="80"/>
        <v>36.25</v>
      </c>
      <c r="AR34" s="286">
        <f t="shared" si="81"/>
        <v>36.25</v>
      </c>
      <c r="AS34" s="286">
        <f t="shared" si="82"/>
        <v>36.25</v>
      </c>
      <c r="AT34" s="286">
        <f t="shared" si="83"/>
        <v>36.25</v>
      </c>
      <c r="AU34" s="286">
        <f t="shared" si="84"/>
        <v>36.25</v>
      </c>
      <c r="AV34" s="376">
        <f t="shared" si="85"/>
        <v>36.25</v>
      </c>
      <c r="AW34" s="376">
        <f t="shared" si="86"/>
        <v>36.25</v>
      </c>
      <c r="AX34" s="376">
        <f t="shared" si="87"/>
        <v>36.25</v>
      </c>
      <c r="AY34" s="376">
        <f t="shared" si="88"/>
        <v>36.25</v>
      </c>
      <c r="AZ34" s="376">
        <f t="shared" si="89"/>
        <v>145</v>
      </c>
      <c r="BA34" s="376">
        <f t="shared" si="90"/>
        <v>36.25</v>
      </c>
      <c r="BB34" s="376">
        <f t="shared" si="91"/>
        <v>36.25</v>
      </c>
      <c r="BC34" s="376">
        <f t="shared" si="92"/>
        <v>36.25</v>
      </c>
      <c r="BD34" s="376">
        <f t="shared" si="93"/>
        <v>36.25</v>
      </c>
      <c r="BE34" s="376">
        <f t="shared" si="94"/>
        <v>36.25</v>
      </c>
      <c r="BF34" s="376">
        <f t="shared" si="95"/>
        <v>36.25</v>
      </c>
      <c r="BG34" s="376">
        <f t="shared" si="96"/>
        <v>36.25</v>
      </c>
      <c r="BH34" s="376">
        <f t="shared" si="97"/>
        <v>36.25</v>
      </c>
      <c r="BI34" s="376">
        <f t="shared" si="98"/>
        <v>36.25</v>
      </c>
      <c r="BJ34" s="376">
        <f t="shared" si="99"/>
        <v>36.25</v>
      </c>
      <c r="BK34" s="376">
        <f t="shared" si="100"/>
        <v>36.25</v>
      </c>
      <c r="BL34" s="376">
        <f t="shared" si="101"/>
        <v>145</v>
      </c>
      <c r="BM34" s="376">
        <f t="shared" si="102"/>
        <v>36.25</v>
      </c>
      <c r="BN34" s="376">
        <f t="shared" si="103"/>
        <v>36.25</v>
      </c>
      <c r="BO34" s="376">
        <f t="shared" si="104"/>
        <v>36.25</v>
      </c>
      <c r="BP34" s="376">
        <f t="shared" si="105"/>
        <v>36.25</v>
      </c>
      <c r="BQ34" s="376">
        <f t="shared" si="106"/>
        <v>36.25</v>
      </c>
      <c r="BR34" s="376">
        <f t="shared" si="107"/>
        <v>36.25</v>
      </c>
      <c r="BS34" s="376">
        <f t="shared" si="108"/>
        <v>36.25</v>
      </c>
      <c r="BT34" s="376">
        <f t="shared" si="109"/>
        <v>36.25</v>
      </c>
      <c r="BU34" s="376">
        <f t="shared" si="110"/>
        <v>36.25</v>
      </c>
      <c r="BV34" s="377">
        <f t="shared" si="111"/>
        <v>36.25</v>
      </c>
    </row>
    <row r="35" spans="1:74" ht="20.149999999999999" customHeight="1" outlineLevel="2" x14ac:dyDescent="0.25">
      <c r="A35" s="23" t="s">
        <v>19</v>
      </c>
      <c r="B35" s="8" t="s">
        <v>21</v>
      </c>
      <c r="C35" s="284">
        <f>'Custos Diversos'!$B$21</f>
        <v>145</v>
      </c>
      <c r="D35" s="284">
        <v>5</v>
      </c>
      <c r="E35" s="284">
        <v>8</v>
      </c>
      <c r="F35" s="284">
        <v>8</v>
      </c>
      <c r="G35" s="284">
        <v>8</v>
      </c>
      <c r="H35" s="284">
        <v>8</v>
      </c>
      <c r="I35" s="284">
        <v>8</v>
      </c>
      <c r="J35" s="284">
        <v>8</v>
      </c>
      <c r="K35" s="284">
        <v>8</v>
      </c>
      <c r="L35" s="358">
        <v>8</v>
      </c>
      <c r="M35" s="358">
        <v>8</v>
      </c>
      <c r="N35" s="358">
        <v>8</v>
      </c>
      <c r="O35" s="358">
        <v>8</v>
      </c>
      <c r="P35" s="358">
        <f t="shared" si="54"/>
        <v>5</v>
      </c>
      <c r="Q35" s="358">
        <f t="shared" si="55"/>
        <v>8</v>
      </c>
      <c r="R35" s="358">
        <f t="shared" si="56"/>
        <v>8</v>
      </c>
      <c r="S35" s="358">
        <f t="shared" si="57"/>
        <v>8</v>
      </c>
      <c r="T35" s="358">
        <f t="shared" si="58"/>
        <v>8</v>
      </c>
      <c r="U35" s="358">
        <f t="shared" si="59"/>
        <v>8</v>
      </c>
      <c r="V35" s="358">
        <f t="shared" si="60"/>
        <v>8</v>
      </c>
      <c r="W35" s="358">
        <f t="shared" si="61"/>
        <v>8</v>
      </c>
      <c r="X35" s="358">
        <f t="shared" si="62"/>
        <v>8</v>
      </c>
      <c r="Y35" s="358">
        <f t="shared" si="63"/>
        <v>8</v>
      </c>
      <c r="Z35" s="358">
        <f t="shared" si="64"/>
        <v>8</v>
      </c>
      <c r="AA35" s="358">
        <f t="shared" si="65"/>
        <v>8</v>
      </c>
      <c r="AB35" s="358">
        <f t="shared" si="66"/>
        <v>5</v>
      </c>
      <c r="AC35" s="358">
        <f t="shared" si="67"/>
        <v>8</v>
      </c>
      <c r="AD35" s="358">
        <f t="shared" si="68"/>
        <v>8</v>
      </c>
      <c r="AE35" s="358">
        <f t="shared" si="69"/>
        <v>8</v>
      </c>
      <c r="AF35" s="358">
        <f t="shared" si="70"/>
        <v>8</v>
      </c>
      <c r="AG35" s="358">
        <f t="shared" si="71"/>
        <v>8</v>
      </c>
      <c r="AH35" s="358">
        <f t="shared" si="72"/>
        <v>8</v>
      </c>
      <c r="AI35" s="358">
        <f t="shared" si="73"/>
        <v>8</v>
      </c>
      <c r="AJ35" s="358">
        <f t="shared" si="74"/>
        <v>8</v>
      </c>
      <c r="AK35" s="358">
        <f t="shared" si="75"/>
        <v>8</v>
      </c>
      <c r="AL35" s="359">
        <f t="shared" si="76"/>
        <v>8</v>
      </c>
      <c r="AM35" s="636"/>
      <c r="AN35" s="285">
        <f t="shared" si="77"/>
        <v>725</v>
      </c>
      <c r="AO35" s="286">
        <f t="shared" si="78"/>
        <v>1160</v>
      </c>
      <c r="AP35" s="286">
        <f t="shared" si="79"/>
        <v>1160</v>
      </c>
      <c r="AQ35" s="286">
        <f t="shared" si="80"/>
        <v>1160</v>
      </c>
      <c r="AR35" s="286">
        <f t="shared" si="81"/>
        <v>1160</v>
      </c>
      <c r="AS35" s="286">
        <f t="shared" si="82"/>
        <v>1160</v>
      </c>
      <c r="AT35" s="286">
        <f t="shared" si="83"/>
        <v>1160</v>
      </c>
      <c r="AU35" s="286">
        <f t="shared" si="84"/>
        <v>1160</v>
      </c>
      <c r="AV35" s="376">
        <f t="shared" si="85"/>
        <v>1160</v>
      </c>
      <c r="AW35" s="376">
        <f t="shared" si="86"/>
        <v>1160</v>
      </c>
      <c r="AX35" s="376">
        <f t="shared" si="87"/>
        <v>1160</v>
      </c>
      <c r="AY35" s="376">
        <f t="shared" si="88"/>
        <v>1160</v>
      </c>
      <c r="AZ35" s="376">
        <f t="shared" si="89"/>
        <v>725</v>
      </c>
      <c r="BA35" s="376">
        <f t="shared" si="90"/>
        <v>1160</v>
      </c>
      <c r="BB35" s="376">
        <f t="shared" si="91"/>
        <v>1160</v>
      </c>
      <c r="BC35" s="376">
        <f t="shared" si="92"/>
        <v>1160</v>
      </c>
      <c r="BD35" s="376">
        <f t="shared" si="93"/>
        <v>1160</v>
      </c>
      <c r="BE35" s="376">
        <f t="shared" si="94"/>
        <v>1160</v>
      </c>
      <c r="BF35" s="376">
        <f t="shared" si="95"/>
        <v>1160</v>
      </c>
      <c r="BG35" s="376">
        <f t="shared" si="96"/>
        <v>1160</v>
      </c>
      <c r="BH35" s="376">
        <f t="shared" si="97"/>
        <v>1160</v>
      </c>
      <c r="BI35" s="376">
        <f t="shared" si="98"/>
        <v>1160</v>
      </c>
      <c r="BJ35" s="376">
        <f t="shared" si="99"/>
        <v>1160</v>
      </c>
      <c r="BK35" s="376">
        <f t="shared" si="100"/>
        <v>1160</v>
      </c>
      <c r="BL35" s="376">
        <f t="shared" si="101"/>
        <v>725</v>
      </c>
      <c r="BM35" s="376">
        <f t="shared" si="102"/>
        <v>1160</v>
      </c>
      <c r="BN35" s="376">
        <f t="shared" si="103"/>
        <v>1160</v>
      </c>
      <c r="BO35" s="376">
        <f t="shared" si="104"/>
        <v>1160</v>
      </c>
      <c r="BP35" s="376">
        <f t="shared" si="105"/>
        <v>1160</v>
      </c>
      <c r="BQ35" s="376">
        <f t="shared" si="106"/>
        <v>1160</v>
      </c>
      <c r="BR35" s="376">
        <f t="shared" si="107"/>
        <v>1160</v>
      </c>
      <c r="BS35" s="376">
        <f t="shared" si="108"/>
        <v>1160</v>
      </c>
      <c r="BT35" s="376">
        <f t="shared" si="109"/>
        <v>1160</v>
      </c>
      <c r="BU35" s="376">
        <f t="shared" si="110"/>
        <v>1160</v>
      </c>
      <c r="BV35" s="377">
        <f t="shared" si="111"/>
        <v>1160</v>
      </c>
    </row>
    <row r="36" spans="1:74" ht="20.149999999999999" customHeight="1" outlineLevel="2" x14ac:dyDescent="0.25">
      <c r="A36" s="23" t="s">
        <v>20</v>
      </c>
      <c r="B36" s="8" t="s">
        <v>21</v>
      </c>
      <c r="C36" s="284">
        <f>'Custos Diversos'!$B$21</f>
        <v>145</v>
      </c>
      <c r="D36" s="284">
        <v>3</v>
      </c>
      <c r="E36" s="284">
        <v>6</v>
      </c>
      <c r="F36" s="284">
        <v>6</v>
      </c>
      <c r="G36" s="284">
        <v>6</v>
      </c>
      <c r="H36" s="284">
        <v>6</v>
      </c>
      <c r="I36" s="284">
        <v>6</v>
      </c>
      <c r="J36" s="284">
        <v>6</v>
      </c>
      <c r="K36" s="284">
        <v>6</v>
      </c>
      <c r="L36" s="358">
        <v>6</v>
      </c>
      <c r="M36" s="358">
        <v>6</v>
      </c>
      <c r="N36" s="358">
        <v>6</v>
      </c>
      <c r="O36" s="358">
        <v>6</v>
      </c>
      <c r="P36" s="358">
        <f t="shared" si="54"/>
        <v>3</v>
      </c>
      <c r="Q36" s="358">
        <f t="shared" si="55"/>
        <v>6</v>
      </c>
      <c r="R36" s="358">
        <f t="shared" si="56"/>
        <v>6</v>
      </c>
      <c r="S36" s="358">
        <f t="shared" si="57"/>
        <v>6</v>
      </c>
      <c r="T36" s="358">
        <f t="shared" si="58"/>
        <v>6</v>
      </c>
      <c r="U36" s="358">
        <f t="shared" si="59"/>
        <v>6</v>
      </c>
      <c r="V36" s="358">
        <f t="shared" si="60"/>
        <v>6</v>
      </c>
      <c r="W36" s="358">
        <f t="shared" si="61"/>
        <v>6</v>
      </c>
      <c r="X36" s="358">
        <f t="shared" si="62"/>
        <v>6</v>
      </c>
      <c r="Y36" s="358">
        <f t="shared" si="63"/>
        <v>6</v>
      </c>
      <c r="Z36" s="358">
        <f t="shared" si="64"/>
        <v>6</v>
      </c>
      <c r="AA36" s="358">
        <f t="shared" si="65"/>
        <v>6</v>
      </c>
      <c r="AB36" s="358">
        <f t="shared" si="66"/>
        <v>3</v>
      </c>
      <c r="AC36" s="358">
        <f t="shared" si="67"/>
        <v>6</v>
      </c>
      <c r="AD36" s="358">
        <f t="shared" si="68"/>
        <v>6</v>
      </c>
      <c r="AE36" s="358">
        <f t="shared" si="69"/>
        <v>6</v>
      </c>
      <c r="AF36" s="358">
        <f t="shared" si="70"/>
        <v>6</v>
      </c>
      <c r="AG36" s="358">
        <f t="shared" si="71"/>
        <v>6</v>
      </c>
      <c r="AH36" s="358">
        <f t="shared" si="72"/>
        <v>6</v>
      </c>
      <c r="AI36" s="358">
        <f t="shared" si="73"/>
        <v>6</v>
      </c>
      <c r="AJ36" s="358">
        <f t="shared" si="74"/>
        <v>6</v>
      </c>
      <c r="AK36" s="358">
        <f t="shared" si="75"/>
        <v>6</v>
      </c>
      <c r="AL36" s="359">
        <f t="shared" si="76"/>
        <v>6</v>
      </c>
      <c r="AM36" s="636"/>
      <c r="AN36" s="285">
        <f t="shared" si="77"/>
        <v>435</v>
      </c>
      <c r="AO36" s="286">
        <f t="shared" si="78"/>
        <v>870</v>
      </c>
      <c r="AP36" s="286">
        <f t="shared" si="79"/>
        <v>870</v>
      </c>
      <c r="AQ36" s="286">
        <f>$C$28*G36</f>
        <v>870</v>
      </c>
      <c r="AR36" s="286">
        <f t="shared" si="81"/>
        <v>870</v>
      </c>
      <c r="AS36" s="286">
        <f t="shared" si="82"/>
        <v>870</v>
      </c>
      <c r="AT36" s="286">
        <f t="shared" si="83"/>
        <v>870</v>
      </c>
      <c r="AU36" s="286">
        <f t="shared" si="84"/>
        <v>870</v>
      </c>
      <c r="AV36" s="376">
        <f t="shared" si="85"/>
        <v>870</v>
      </c>
      <c r="AW36" s="376">
        <f t="shared" si="86"/>
        <v>870</v>
      </c>
      <c r="AX36" s="376">
        <f t="shared" si="87"/>
        <v>870</v>
      </c>
      <c r="AY36" s="376">
        <f t="shared" si="88"/>
        <v>870</v>
      </c>
      <c r="AZ36" s="376">
        <f t="shared" si="89"/>
        <v>435</v>
      </c>
      <c r="BA36" s="376">
        <f t="shared" si="90"/>
        <v>870</v>
      </c>
      <c r="BB36" s="376">
        <f t="shared" si="91"/>
        <v>870</v>
      </c>
      <c r="BC36" s="376">
        <f t="shared" si="92"/>
        <v>870</v>
      </c>
      <c r="BD36" s="376">
        <f t="shared" si="93"/>
        <v>870</v>
      </c>
      <c r="BE36" s="376">
        <f t="shared" si="94"/>
        <v>870</v>
      </c>
      <c r="BF36" s="376">
        <f t="shared" si="95"/>
        <v>870</v>
      </c>
      <c r="BG36" s="376">
        <f t="shared" si="96"/>
        <v>870</v>
      </c>
      <c r="BH36" s="376">
        <f t="shared" si="97"/>
        <v>870</v>
      </c>
      <c r="BI36" s="376">
        <f t="shared" si="98"/>
        <v>870</v>
      </c>
      <c r="BJ36" s="376">
        <f t="shared" si="99"/>
        <v>870</v>
      </c>
      <c r="BK36" s="376">
        <f t="shared" si="100"/>
        <v>870</v>
      </c>
      <c r="BL36" s="376">
        <f t="shared" si="101"/>
        <v>435</v>
      </c>
      <c r="BM36" s="376">
        <f t="shared" si="102"/>
        <v>870</v>
      </c>
      <c r="BN36" s="376">
        <f t="shared" si="103"/>
        <v>870</v>
      </c>
      <c r="BO36" s="376">
        <f t="shared" si="104"/>
        <v>870</v>
      </c>
      <c r="BP36" s="376">
        <f t="shared" si="105"/>
        <v>870</v>
      </c>
      <c r="BQ36" s="376">
        <f t="shared" si="106"/>
        <v>870</v>
      </c>
      <c r="BR36" s="376">
        <f t="shared" si="107"/>
        <v>870</v>
      </c>
      <c r="BS36" s="376">
        <f t="shared" si="108"/>
        <v>870</v>
      </c>
      <c r="BT36" s="376">
        <f t="shared" si="109"/>
        <v>870</v>
      </c>
      <c r="BU36" s="376">
        <f t="shared" si="110"/>
        <v>870</v>
      </c>
      <c r="BV36" s="377">
        <f t="shared" si="111"/>
        <v>870</v>
      </c>
    </row>
    <row r="37" spans="1:74" ht="20.149999999999999" customHeight="1" outlineLevel="2" x14ac:dyDescent="0.25">
      <c r="A37" s="23" t="s">
        <v>22</v>
      </c>
      <c r="B37" s="8" t="s">
        <v>21</v>
      </c>
      <c r="C37" s="284">
        <f>'Custos Diversos'!B84</f>
        <v>160</v>
      </c>
      <c r="D37" s="284">
        <f>((AN88*1000/16000))*9</f>
        <v>0</v>
      </c>
      <c r="E37" s="284">
        <f t="shared" ref="E37:O37" si="112">((AO88*1000/16000))*9</f>
        <v>42.300000000000004</v>
      </c>
      <c r="F37" s="284">
        <f t="shared" si="112"/>
        <v>39.65625</v>
      </c>
      <c r="G37" s="284">
        <f t="shared" si="112"/>
        <v>37.012499999999996</v>
      </c>
      <c r="H37" s="284">
        <f t="shared" si="112"/>
        <v>37.012499999999996</v>
      </c>
      <c r="I37" s="284">
        <f t="shared" si="112"/>
        <v>37.012499999999996</v>
      </c>
      <c r="J37" s="284">
        <f t="shared" si="112"/>
        <v>34.368749999999999</v>
      </c>
      <c r="K37" s="284">
        <f t="shared" si="112"/>
        <v>34.368749999999999</v>
      </c>
      <c r="L37" s="358">
        <f t="shared" si="112"/>
        <v>26.4375</v>
      </c>
      <c r="M37" s="358">
        <f t="shared" si="112"/>
        <v>23.793749999999999</v>
      </c>
      <c r="N37" s="358">
        <f t="shared" si="112"/>
        <v>23.793749999999999</v>
      </c>
      <c r="O37" s="358">
        <f t="shared" si="112"/>
        <v>21.150000000000002</v>
      </c>
      <c r="P37" s="358">
        <f t="shared" si="54"/>
        <v>0</v>
      </c>
      <c r="Q37" s="358">
        <f t="shared" si="55"/>
        <v>42.300000000000004</v>
      </c>
      <c r="R37" s="358">
        <f t="shared" si="56"/>
        <v>39.65625</v>
      </c>
      <c r="S37" s="358">
        <f t="shared" si="57"/>
        <v>37.012499999999996</v>
      </c>
      <c r="T37" s="358">
        <f t="shared" si="58"/>
        <v>37.012499999999996</v>
      </c>
      <c r="U37" s="358">
        <f t="shared" si="59"/>
        <v>37.012499999999996</v>
      </c>
      <c r="V37" s="358">
        <f t="shared" si="60"/>
        <v>34.368749999999999</v>
      </c>
      <c r="W37" s="358">
        <f t="shared" si="61"/>
        <v>34.368749999999999</v>
      </c>
      <c r="X37" s="358">
        <f t="shared" si="62"/>
        <v>26.4375</v>
      </c>
      <c r="Y37" s="358">
        <f t="shared" si="63"/>
        <v>23.793749999999999</v>
      </c>
      <c r="Z37" s="358">
        <f t="shared" si="64"/>
        <v>23.793749999999999</v>
      </c>
      <c r="AA37" s="358">
        <f t="shared" si="65"/>
        <v>21.150000000000002</v>
      </c>
      <c r="AB37" s="358">
        <f t="shared" si="66"/>
        <v>0</v>
      </c>
      <c r="AC37" s="358">
        <f t="shared" si="67"/>
        <v>42.300000000000004</v>
      </c>
      <c r="AD37" s="358">
        <f t="shared" si="68"/>
        <v>39.65625</v>
      </c>
      <c r="AE37" s="358">
        <f t="shared" si="69"/>
        <v>37.012499999999996</v>
      </c>
      <c r="AF37" s="358">
        <f t="shared" si="70"/>
        <v>37.012499999999996</v>
      </c>
      <c r="AG37" s="358">
        <f t="shared" si="71"/>
        <v>37.012499999999996</v>
      </c>
      <c r="AH37" s="358">
        <f t="shared" si="72"/>
        <v>34.368749999999999</v>
      </c>
      <c r="AI37" s="358">
        <f t="shared" si="73"/>
        <v>34.368749999999999</v>
      </c>
      <c r="AJ37" s="358">
        <f t="shared" si="74"/>
        <v>26.4375</v>
      </c>
      <c r="AK37" s="358">
        <f t="shared" si="75"/>
        <v>23.793749999999999</v>
      </c>
      <c r="AL37" s="359">
        <f t="shared" si="76"/>
        <v>23.793749999999999</v>
      </c>
      <c r="AM37" s="636"/>
      <c r="AN37" s="285">
        <f t="shared" ref="AN37:AU37" si="113">D37*$C$37</f>
        <v>0</v>
      </c>
      <c r="AO37" s="286">
        <f t="shared" si="113"/>
        <v>6768.0000000000009</v>
      </c>
      <c r="AP37" s="286">
        <f t="shared" si="113"/>
        <v>6345</v>
      </c>
      <c r="AQ37" s="286">
        <f t="shared" si="113"/>
        <v>5921.9999999999991</v>
      </c>
      <c r="AR37" s="286">
        <f t="shared" si="113"/>
        <v>5921.9999999999991</v>
      </c>
      <c r="AS37" s="286">
        <f t="shared" si="113"/>
        <v>5921.9999999999991</v>
      </c>
      <c r="AT37" s="286">
        <f t="shared" si="113"/>
        <v>5499</v>
      </c>
      <c r="AU37" s="286">
        <f t="shared" si="113"/>
        <v>5499</v>
      </c>
      <c r="AV37" s="376">
        <f t="shared" ref="AV37:BV37" si="114">L37*$C$37</f>
        <v>4230</v>
      </c>
      <c r="AW37" s="376">
        <f t="shared" si="114"/>
        <v>3807</v>
      </c>
      <c r="AX37" s="376">
        <f t="shared" si="114"/>
        <v>3807</v>
      </c>
      <c r="AY37" s="376">
        <f t="shared" si="114"/>
        <v>3384.0000000000005</v>
      </c>
      <c r="AZ37" s="376">
        <f t="shared" si="114"/>
        <v>0</v>
      </c>
      <c r="BA37" s="376">
        <f t="shared" si="114"/>
        <v>6768.0000000000009</v>
      </c>
      <c r="BB37" s="376">
        <f t="shared" si="114"/>
        <v>6345</v>
      </c>
      <c r="BC37" s="376">
        <f t="shared" si="114"/>
        <v>5921.9999999999991</v>
      </c>
      <c r="BD37" s="376">
        <f t="shared" si="114"/>
        <v>5921.9999999999991</v>
      </c>
      <c r="BE37" s="376">
        <f t="shared" si="114"/>
        <v>5921.9999999999991</v>
      </c>
      <c r="BF37" s="376">
        <f t="shared" si="114"/>
        <v>5499</v>
      </c>
      <c r="BG37" s="376">
        <f t="shared" si="114"/>
        <v>5499</v>
      </c>
      <c r="BH37" s="376">
        <f t="shared" si="114"/>
        <v>4230</v>
      </c>
      <c r="BI37" s="376">
        <f t="shared" si="114"/>
        <v>3807</v>
      </c>
      <c r="BJ37" s="376">
        <f t="shared" si="114"/>
        <v>3807</v>
      </c>
      <c r="BK37" s="376">
        <f t="shared" si="114"/>
        <v>3384.0000000000005</v>
      </c>
      <c r="BL37" s="376">
        <f t="shared" si="114"/>
        <v>0</v>
      </c>
      <c r="BM37" s="376">
        <f t="shared" si="114"/>
        <v>6768.0000000000009</v>
      </c>
      <c r="BN37" s="376">
        <f t="shared" si="114"/>
        <v>6345</v>
      </c>
      <c r="BO37" s="376">
        <f t="shared" si="114"/>
        <v>5921.9999999999991</v>
      </c>
      <c r="BP37" s="376">
        <f t="shared" si="114"/>
        <v>5921.9999999999991</v>
      </c>
      <c r="BQ37" s="376">
        <f t="shared" si="114"/>
        <v>5921.9999999999991</v>
      </c>
      <c r="BR37" s="376">
        <f t="shared" si="114"/>
        <v>5499</v>
      </c>
      <c r="BS37" s="376">
        <f t="shared" si="114"/>
        <v>5499</v>
      </c>
      <c r="BT37" s="376">
        <f t="shared" si="114"/>
        <v>4230</v>
      </c>
      <c r="BU37" s="376">
        <f t="shared" si="114"/>
        <v>3807</v>
      </c>
      <c r="BV37" s="377">
        <f t="shared" si="114"/>
        <v>3807</v>
      </c>
    </row>
    <row r="38" spans="1:74" ht="20.149999999999999" customHeight="1" outlineLevel="2" x14ac:dyDescent="0.25">
      <c r="A38" s="22" t="s">
        <v>77</v>
      </c>
      <c r="B38" s="8" t="s">
        <v>21</v>
      </c>
      <c r="C38" s="284">
        <f>'Custos Diversos'!B98</f>
        <v>165</v>
      </c>
      <c r="D38" s="284">
        <f>(AN88*1000/16000)*10</f>
        <v>0</v>
      </c>
      <c r="E38" s="284">
        <f t="shared" ref="E38:O38" si="115">(AO88*1000/16000)*10</f>
        <v>47</v>
      </c>
      <c r="F38" s="284">
        <f t="shared" si="115"/>
        <v>44.0625</v>
      </c>
      <c r="G38" s="284">
        <f t="shared" si="115"/>
        <v>41.125</v>
      </c>
      <c r="H38" s="284">
        <f t="shared" si="115"/>
        <v>41.125</v>
      </c>
      <c r="I38" s="284">
        <f t="shared" si="115"/>
        <v>41.125</v>
      </c>
      <c r="J38" s="284">
        <f t="shared" si="115"/>
        <v>38.1875</v>
      </c>
      <c r="K38" s="284">
        <f t="shared" si="115"/>
        <v>38.1875</v>
      </c>
      <c r="L38" s="358">
        <f t="shared" si="115"/>
        <v>29.375</v>
      </c>
      <c r="M38" s="358">
        <f t="shared" si="115"/>
        <v>26.4375</v>
      </c>
      <c r="N38" s="358">
        <f t="shared" si="115"/>
        <v>26.4375</v>
      </c>
      <c r="O38" s="358">
        <f t="shared" si="115"/>
        <v>23.5</v>
      </c>
      <c r="P38" s="358">
        <f t="shared" si="54"/>
        <v>0</v>
      </c>
      <c r="Q38" s="358">
        <f t="shared" si="55"/>
        <v>47</v>
      </c>
      <c r="R38" s="358">
        <f t="shared" si="56"/>
        <v>44.0625</v>
      </c>
      <c r="S38" s="358">
        <f t="shared" si="57"/>
        <v>41.125</v>
      </c>
      <c r="T38" s="358">
        <f t="shared" si="58"/>
        <v>41.125</v>
      </c>
      <c r="U38" s="358">
        <f t="shared" si="59"/>
        <v>41.125</v>
      </c>
      <c r="V38" s="358">
        <f t="shared" si="60"/>
        <v>38.1875</v>
      </c>
      <c r="W38" s="358">
        <f t="shared" si="61"/>
        <v>38.1875</v>
      </c>
      <c r="X38" s="358">
        <f t="shared" si="62"/>
        <v>29.375</v>
      </c>
      <c r="Y38" s="358">
        <f t="shared" si="63"/>
        <v>26.4375</v>
      </c>
      <c r="Z38" s="358">
        <f t="shared" si="64"/>
        <v>26.4375</v>
      </c>
      <c r="AA38" s="358">
        <f t="shared" si="65"/>
        <v>23.5</v>
      </c>
      <c r="AB38" s="358">
        <f t="shared" si="66"/>
        <v>0</v>
      </c>
      <c r="AC38" s="358">
        <f t="shared" si="67"/>
        <v>47</v>
      </c>
      <c r="AD38" s="358">
        <f t="shared" si="68"/>
        <v>44.0625</v>
      </c>
      <c r="AE38" s="358">
        <f t="shared" si="69"/>
        <v>41.125</v>
      </c>
      <c r="AF38" s="358">
        <f t="shared" si="70"/>
        <v>41.125</v>
      </c>
      <c r="AG38" s="358">
        <f t="shared" si="71"/>
        <v>41.125</v>
      </c>
      <c r="AH38" s="358">
        <f t="shared" si="72"/>
        <v>38.1875</v>
      </c>
      <c r="AI38" s="358">
        <f t="shared" si="73"/>
        <v>38.1875</v>
      </c>
      <c r="AJ38" s="358">
        <f t="shared" si="74"/>
        <v>29.375</v>
      </c>
      <c r="AK38" s="358">
        <f t="shared" si="75"/>
        <v>26.4375</v>
      </c>
      <c r="AL38" s="359">
        <f t="shared" si="76"/>
        <v>26.4375</v>
      </c>
      <c r="AM38" s="636"/>
      <c r="AN38" s="285">
        <f t="shared" ref="AN38:AU38" si="116">$C$38*D38</f>
        <v>0</v>
      </c>
      <c r="AO38" s="286">
        <f t="shared" si="116"/>
        <v>7755</v>
      </c>
      <c r="AP38" s="286">
        <f t="shared" si="116"/>
        <v>7270.3125</v>
      </c>
      <c r="AQ38" s="286">
        <f t="shared" si="116"/>
        <v>6785.625</v>
      </c>
      <c r="AR38" s="286">
        <f t="shared" si="116"/>
        <v>6785.625</v>
      </c>
      <c r="AS38" s="286">
        <f t="shared" si="116"/>
        <v>6785.625</v>
      </c>
      <c r="AT38" s="286">
        <f t="shared" si="116"/>
        <v>6300.9375</v>
      </c>
      <c r="AU38" s="286">
        <f t="shared" si="116"/>
        <v>6300.9375</v>
      </c>
      <c r="AV38" s="376">
        <f t="shared" ref="AV38:BV38" si="117">$C$38*L38</f>
        <v>4846.875</v>
      </c>
      <c r="AW38" s="376">
        <f t="shared" si="117"/>
        <v>4362.1875</v>
      </c>
      <c r="AX38" s="376">
        <f t="shared" si="117"/>
        <v>4362.1875</v>
      </c>
      <c r="AY38" s="376">
        <f t="shared" si="117"/>
        <v>3877.5</v>
      </c>
      <c r="AZ38" s="376">
        <f t="shared" si="117"/>
        <v>0</v>
      </c>
      <c r="BA38" s="376">
        <f t="shared" si="117"/>
        <v>7755</v>
      </c>
      <c r="BB38" s="376">
        <f t="shared" si="117"/>
        <v>7270.3125</v>
      </c>
      <c r="BC38" s="376">
        <f t="shared" si="117"/>
        <v>6785.625</v>
      </c>
      <c r="BD38" s="376">
        <f t="shared" si="117"/>
        <v>6785.625</v>
      </c>
      <c r="BE38" s="376">
        <f t="shared" si="117"/>
        <v>6785.625</v>
      </c>
      <c r="BF38" s="376">
        <f t="shared" si="117"/>
        <v>6300.9375</v>
      </c>
      <c r="BG38" s="376">
        <f t="shared" si="117"/>
        <v>6300.9375</v>
      </c>
      <c r="BH38" s="376">
        <f t="shared" si="117"/>
        <v>4846.875</v>
      </c>
      <c r="BI38" s="376">
        <f t="shared" si="117"/>
        <v>4362.1875</v>
      </c>
      <c r="BJ38" s="376">
        <f t="shared" si="117"/>
        <v>4362.1875</v>
      </c>
      <c r="BK38" s="376">
        <f t="shared" si="117"/>
        <v>3877.5</v>
      </c>
      <c r="BL38" s="376">
        <f t="shared" si="117"/>
        <v>0</v>
      </c>
      <c r="BM38" s="376">
        <f t="shared" si="117"/>
        <v>7755</v>
      </c>
      <c r="BN38" s="376">
        <f t="shared" si="117"/>
        <v>7270.3125</v>
      </c>
      <c r="BO38" s="376">
        <f t="shared" si="117"/>
        <v>6785.625</v>
      </c>
      <c r="BP38" s="376">
        <f t="shared" si="117"/>
        <v>6785.625</v>
      </c>
      <c r="BQ38" s="376">
        <f t="shared" si="117"/>
        <v>6785.625</v>
      </c>
      <c r="BR38" s="376">
        <f t="shared" si="117"/>
        <v>6300.9375</v>
      </c>
      <c r="BS38" s="376">
        <f t="shared" si="117"/>
        <v>6300.9375</v>
      </c>
      <c r="BT38" s="376">
        <f t="shared" si="117"/>
        <v>4846.875</v>
      </c>
      <c r="BU38" s="376">
        <f t="shared" si="117"/>
        <v>4362.1875</v>
      </c>
      <c r="BV38" s="377">
        <f t="shared" si="117"/>
        <v>4362.1875</v>
      </c>
    </row>
    <row r="39" spans="1:74" ht="20.149999999999999" customHeight="1" outlineLevel="2" x14ac:dyDescent="0.25">
      <c r="A39" s="23" t="s">
        <v>23</v>
      </c>
      <c r="B39" s="8" t="s">
        <v>21</v>
      </c>
      <c r="C39" s="284">
        <f>'Custos Diversos'!$B$21</f>
        <v>145</v>
      </c>
      <c r="D39" s="284">
        <v>3</v>
      </c>
      <c r="E39" s="284">
        <v>7</v>
      </c>
      <c r="F39" s="284">
        <v>7</v>
      </c>
      <c r="G39" s="284">
        <v>7</v>
      </c>
      <c r="H39" s="284">
        <v>7</v>
      </c>
      <c r="I39" s="284">
        <v>7</v>
      </c>
      <c r="J39" s="284">
        <v>7</v>
      </c>
      <c r="K39" s="284">
        <v>7</v>
      </c>
      <c r="L39" s="358">
        <v>7</v>
      </c>
      <c r="M39" s="358">
        <v>7</v>
      </c>
      <c r="N39" s="358">
        <v>7</v>
      </c>
      <c r="O39" s="358">
        <v>7</v>
      </c>
      <c r="P39" s="358">
        <f t="shared" si="54"/>
        <v>3</v>
      </c>
      <c r="Q39" s="358">
        <f t="shared" si="55"/>
        <v>7</v>
      </c>
      <c r="R39" s="358">
        <f t="shared" si="56"/>
        <v>7</v>
      </c>
      <c r="S39" s="358">
        <f t="shared" si="57"/>
        <v>7</v>
      </c>
      <c r="T39" s="358">
        <f t="shared" si="58"/>
        <v>7</v>
      </c>
      <c r="U39" s="358">
        <f t="shared" si="59"/>
        <v>7</v>
      </c>
      <c r="V39" s="358">
        <f t="shared" si="60"/>
        <v>7</v>
      </c>
      <c r="W39" s="358">
        <f t="shared" si="61"/>
        <v>7</v>
      </c>
      <c r="X39" s="358">
        <f t="shared" si="62"/>
        <v>7</v>
      </c>
      <c r="Y39" s="358">
        <f t="shared" si="63"/>
        <v>7</v>
      </c>
      <c r="Z39" s="358">
        <f t="shared" si="64"/>
        <v>7</v>
      </c>
      <c r="AA39" s="358">
        <f t="shared" si="65"/>
        <v>7</v>
      </c>
      <c r="AB39" s="358">
        <f t="shared" si="66"/>
        <v>3</v>
      </c>
      <c r="AC39" s="358">
        <f t="shared" si="67"/>
        <v>7</v>
      </c>
      <c r="AD39" s="358">
        <f t="shared" si="68"/>
        <v>7</v>
      </c>
      <c r="AE39" s="358">
        <f t="shared" si="69"/>
        <v>7</v>
      </c>
      <c r="AF39" s="358">
        <f t="shared" si="70"/>
        <v>7</v>
      </c>
      <c r="AG39" s="358">
        <f t="shared" si="71"/>
        <v>7</v>
      </c>
      <c r="AH39" s="358">
        <f t="shared" si="72"/>
        <v>7</v>
      </c>
      <c r="AI39" s="358">
        <f t="shared" si="73"/>
        <v>7</v>
      </c>
      <c r="AJ39" s="358">
        <f t="shared" si="74"/>
        <v>7</v>
      </c>
      <c r="AK39" s="358">
        <f t="shared" si="75"/>
        <v>7</v>
      </c>
      <c r="AL39" s="359">
        <f t="shared" si="76"/>
        <v>7</v>
      </c>
      <c r="AM39" s="636"/>
      <c r="AN39" s="285">
        <f t="shared" ref="AN39:AU43" si="118">$C$28*D39</f>
        <v>435</v>
      </c>
      <c r="AO39" s="286">
        <f t="shared" si="118"/>
        <v>1015</v>
      </c>
      <c r="AP39" s="286">
        <f t="shared" si="118"/>
        <v>1015</v>
      </c>
      <c r="AQ39" s="286">
        <f t="shared" si="118"/>
        <v>1015</v>
      </c>
      <c r="AR39" s="286">
        <f t="shared" si="118"/>
        <v>1015</v>
      </c>
      <c r="AS39" s="286">
        <f t="shared" si="118"/>
        <v>1015</v>
      </c>
      <c r="AT39" s="286">
        <f t="shared" si="118"/>
        <v>1015</v>
      </c>
      <c r="AU39" s="286">
        <f t="shared" si="118"/>
        <v>1015</v>
      </c>
      <c r="AV39" s="376">
        <f t="shared" ref="AV39:BV43" si="119">$C$28*L39</f>
        <v>1015</v>
      </c>
      <c r="AW39" s="376">
        <f t="shared" si="119"/>
        <v>1015</v>
      </c>
      <c r="AX39" s="376">
        <f t="shared" si="119"/>
        <v>1015</v>
      </c>
      <c r="AY39" s="376">
        <f t="shared" si="119"/>
        <v>1015</v>
      </c>
      <c r="AZ39" s="376">
        <f t="shared" si="119"/>
        <v>435</v>
      </c>
      <c r="BA39" s="376">
        <f t="shared" si="119"/>
        <v>1015</v>
      </c>
      <c r="BB39" s="376">
        <f t="shared" si="119"/>
        <v>1015</v>
      </c>
      <c r="BC39" s="376">
        <f t="shared" si="119"/>
        <v>1015</v>
      </c>
      <c r="BD39" s="376">
        <f t="shared" si="119"/>
        <v>1015</v>
      </c>
      <c r="BE39" s="376">
        <f t="shared" si="119"/>
        <v>1015</v>
      </c>
      <c r="BF39" s="376">
        <f t="shared" si="119"/>
        <v>1015</v>
      </c>
      <c r="BG39" s="376">
        <f t="shared" si="119"/>
        <v>1015</v>
      </c>
      <c r="BH39" s="376">
        <f t="shared" si="119"/>
        <v>1015</v>
      </c>
      <c r="BI39" s="376">
        <f t="shared" si="119"/>
        <v>1015</v>
      </c>
      <c r="BJ39" s="376">
        <f t="shared" si="119"/>
        <v>1015</v>
      </c>
      <c r="BK39" s="376">
        <f t="shared" si="119"/>
        <v>1015</v>
      </c>
      <c r="BL39" s="376">
        <f t="shared" si="119"/>
        <v>435</v>
      </c>
      <c r="BM39" s="376">
        <f t="shared" si="119"/>
        <v>1015</v>
      </c>
      <c r="BN39" s="376">
        <f t="shared" si="119"/>
        <v>1015</v>
      </c>
      <c r="BO39" s="376">
        <f t="shared" si="119"/>
        <v>1015</v>
      </c>
      <c r="BP39" s="376">
        <f t="shared" si="119"/>
        <v>1015</v>
      </c>
      <c r="BQ39" s="376">
        <f t="shared" si="119"/>
        <v>1015</v>
      </c>
      <c r="BR39" s="376">
        <f t="shared" si="119"/>
        <v>1015</v>
      </c>
      <c r="BS39" s="376">
        <f t="shared" si="119"/>
        <v>1015</v>
      </c>
      <c r="BT39" s="376">
        <f t="shared" si="119"/>
        <v>1015</v>
      </c>
      <c r="BU39" s="376">
        <f t="shared" si="119"/>
        <v>1015</v>
      </c>
      <c r="BV39" s="377">
        <f t="shared" si="119"/>
        <v>1015</v>
      </c>
    </row>
    <row r="40" spans="1:74" ht="20.149999999999999" customHeight="1" outlineLevel="2" x14ac:dyDescent="0.25">
      <c r="A40" s="20" t="s">
        <v>49</v>
      </c>
      <c r="B40" s="8" t="s">
        <v>21</v>
      </c>
      <c r="C40" s="284">
        <f>'Custos Diversos'!$B$21</f>
        <v>145</v>
      </c>
      <c r="D40" s="284">
        <v>1.5</v>
      </c>
      <c r="E40" s="284">
        <v>2.4</v>
      </c>
      <c r="F40" s="284">
        <v>2.4</v>
      </c>
      <c r="G40" s="284">
        <v>2.4</v>
      </c>
      <c r="H40" s="284">
        <v>2.4</v>
      </c>
      <c r="I40" s="284">
        <v>2.4</v>
      </c>
      <c r="J40" s="284">
        <v>2.4</v>
      </c>
      <c r="K40" s="284">
        <v>2.4</v>
      </c>
      <c r="L40" s="358">
        <v>2.4</v>
      </c>
      <c r="M40" s="358">
        <v>2.4</v>
      </c>
      <c r="N40" s="358">
        <v>2.4</v>
      </c>
      <c r="O40" s="358">
        <v>2.4</v>
      </c>
      <c r="P40" s="358">
        <f t="shared" si="54"/>
        <v>1.5</v>
      </c>
      <c r="Q40" s="358">
        <f t="shared" si="55"/>
        <v>2.4</v>
      </c>
      <c r="R40" s="358">
        <f t="shared" si="56"/>
        <v>2.4</v>
      </c>
      <c r="S40" s="358">
        <f t="shared" si="57"/>
        <v>2.4</v>
      </c>
      <c r="T40" s="358">
        <f t="shared" si="58"/>
        <v>2.4</v>
      </c>
      <c r="U40" s="358">
        <f t="shared" si="59"/>
        <v>2.4</v>
      </c>
      <c r="V40" s="358">
        <f t="shared" si="60"/>
        <v>2.4</v>
      </c>
      <c r="W40" s="358">
        <f t="shared" si="61"/>
        <v>2.4</v>
      </c>
      <c r="X40" s="358">
        <f t="shared" si="62"/>
        <v>2.4</v>
      </c>
      <c r="Y40" s="358">
        <f t="shared" si="63"/>
        <v>2.4</v>
      </c>
      <c r="Z40" s="358">
        <f t="shared" si="64"/>
        <v>2.4</v>
      </c>
      <c r="AA40" s="358">
        <f t="shared" si="65"/>
        <v>2.4</v>
      </c>
      <c r="AB40" s="358">
        <f t="shared" si="66"/>
        <v>1.5</v>
      </c>
      <c r="AC40" s="358">
        <f t="shared" si="67"/>
        <v>2.4</v>
      </c>
      <c r="AD40" s="358">
        <f t="shared" si="68"/>
        <v>2.4</v>
      </c>
      <c r="AE40" s="358">
        <f t="shared" si="69"/>
        <v>2.4</v>
      </c>
      <c r="AF40" s="358">
        <f t="shared" si="70"/>
        <v>2.4</v>
      </c>
      <c r="AG40" s="358">
        <f t="shared" si="71"/>
        <v>2.4</v>
      </c>
      <c r="AH40" s="358">
        <f t="shared" si="72"/>
        <v>2.4</v>
      </c>
      <c r="AI40" s="358">
        <f t="shared" si="73"/>
        <v>2.4</v>
      </c>
      <c r="AJ40" s="358">
        <f t="shared" si="74"/>
        <v>2.4</v>
      </c>
      <c r="AK40" s="358">
        <f t="shared" si="75"/>
        <v>2.4</v>
      </c>
      <c r="AL40" s="359">
        <f t="shared" si="76"/>
        <v>2.4</v>
      </c>
      <c r="AM40" s="636"/>
      <c r="AN40" s="285">
        <f t="shared" si="118"/>
        <v>217.5</v>
      </c>
      <c r="AO40" s="286">
        <f t="shared" si="118"/>
        <v>348</v>
      </c>
      <c r="AP40" s="286">
        <f t="shared" si="118"/>
        <v>348</v>
      </c>
      <c r="AQ40" s="286">
        <f t="shared" si="118"/>
        <v>348</v>
      </c>
      <c r="AR40" s="286">
        <f t="shared" si="118"/>
        <v>348</v>
      </c>
      <c r="AS40" s="286">
        <f t="shared" si="118"/>
        <v>348</v>
      </c>
      <c r="AT40" s="286">
        <f t="shared" si="118"/>
        <v>348</v>
      </c>
      <c r="AU40" s="286">
        <f t="shared" si="118"/>
        <v>348</v>
      </c>
      <c r="AV40" s="376">
        <f t="shared" si="119"/>
        <v>348</v>
      </c>
      <c r="AW40" s="376">
        <f t="shared" si="119"/>
        <v>348</v>
      </c>
      <c r="AX40" s="376">
        <f t="shared" si="119"/>
        <v>348</v>
      </c>
      <c r="AY40" s="376">
        <f t="shared" si="119"/>
        <v>348</v>
      </c>
      <c r="AZ40" s="376">
        <f t="shared" si="119"/>
        <v>217.5</v>
      </c>
      <c r="BA40" s="376">
        <f t="shared" si="119"/>
        <v>348</v>
      </c>
      <c r="BB40" s="376">
        <f t="shared" si="119"/>
        <v>348</v>
      </c>
      <c r="BC40" s="376">
        <f t="shared" si="119"/>
        <v>348</v>
      </c>
      <c r="BD40" s="376">
        <f t="shared" si="119"/>
        <v>348</v>
      </c>
      <c r="BE40" s="376">
        <f t="shared" si="119"/>
        <v>348</v>
      </c>
      <c r="BF40" s="376">
        <f t="shared" si="119"/>
        <v>348</v>
      </c>
      <c r="BG40" s="376">
        <f t="shared" si="119"/>
        <v>348</v>
      </c>
      <c r="BH40" s="376">
        <f t="shared" si="119"/>
        <v>348</v>
      </c>
      <c r="BI40" s="376">
        <f t="shared" si="119"/>
        <v>348</v>
      </c>
      <c r="BJ40" s="376">
        <f t="shared" si="119"/>
        <v>348</v>
      </c>
      <c r="BK40" s="376">
        <f t="shared" si="119"/>
        <v>348</v>
      </c>
      <c r="BL40" s="376">
        <f t="shared" si="119"/>
        <v>217.5</v>
      </c>
      <c r="BM40" s="376">
        <f t="shared" si="119"/>
        <v>348</v>
      </c>
      <c r="BN40" s="376">
        <f t="shared" si="119"/>
        <v>348</v>
      </c>
      <c r="BO40" s="376">
        <f t="shared" si="119"/>
        <v>348</v>
      </c>
      <c r="BP40" s="376">
        <f t="shared" si="119"/>
        <v>348</v>
      </c>
      <c r="BQ40" s="376">
        <f t="shared" si="119"/>
        <v>348</v>
      </c>
      <c r="BR40" s="376">
        <f t="shared" si="119"/>
        <v>348</v>
      </c>
      <c r="BS40" s="376">
        <f t="shared" si="119"/>
        <v>348</v>
      </c>
      <c r="BT40" s="376">
        <f t="shared" si="119"/>
        <v>348</v>
      </c>
      <c r="BU40" s="376">
        <f t="shared" si="119"/>
        <v>348</v>
      </c>
      <c r="BV40" s="377">
        <f t="shared" si="119"/>
        <v>348</v>
      </c>
    </row>
    <row r="41" spans="1:74" ht="20.149999999999999" customHeight="1" outlineLevel="2" x14ac:dyDescent="0.25">
      <c r="A41" s="22" t="s">
        <v>92</v>
      </c>
      <c r="B41" s="8" t="s">
        <v>21</v>
      </c>
      <c r="C41" s="284">
        <f>'Custos Diversos'!$B$21</f>
        <v>145</v>
      </c>
      <c r="D41" s="284">
        <v>3</v>
      </c>
      <c r="E41" s="284">
        <v>0.25</v>
      </c>
      <c r="F41" s="284">
        <v>0.25</v>
      </c>
      <c r="G41" s="284">
        <v>0.25</v>
      </c>
      <c r="H41" s="284">
        <v>0.25</v>
      </c>
      <c r="I41" s="284">
        <v>0.25</v>
      </c>
      <c r="J41" s="284">
        <v>0.25</v>
      </c>
      <c r="K41" s="284">
        <v>0.25</v>
      </c>
      <c r="L41" s="358">
        <v>0.25</v>
      </c>
      <c r="M41" s="358">
        <v>0.25</v>
      </c>
      <c r="N41" s="358">
        <v>0.25</v>
      </c>
      <c r="O41" s="358">
        <v>0.25</v>
      </c>
      <c r="P41" s="358">
        <f t="shared" si="54"/>
        <v>3</v>
      </c>
      <c r="Q41" s="358">
        <f t="shared" si="55"/>
        <v>0.25</v>
      </c>
      <c r="R41" s="358">
        <f t="shared" si="56"/>
        <v>0.25</v>
      </c>
      <c r="S41" s="358">
        <f t="shared" si="57"/>
        <v>0.25</v>
      </c>
      <c r="T41" s="358">
        <f t="shared" si="58"/>
        <v>0.25</v>
      </c>
      <c r="U41" s="358">
        <f t="shared" si="59"/>
        <v>0.25</v>
      </c>
      <c r="V41" s="358">
        <f t="shared" si="60"/>
        <v>0.25</v>
      </c>
      <c r="W41" s="358">
        <f t="shared" si="61"/>
        <v>0.25</v>
      </c>
      <c r="X41" s="358">
        <f t="shared" si="62"/>
        <v>0.25</v>
      </c>
      <c r="Y41" s="358">
        <f t="shared" si="63"/>
        <v>0.25</v>
      </c>
      <c r="Z41" s="358">
        <f t="shared" si="64"/>
        <v>0.25</v>
      </c>
      <c r="AA41" s="358">
        <f t="shared" si="65"/>
        <v>0.25</v>
      </c>
      <c r="AB41" s="358">
        <f t="shared" si="66"/>
        <v>3</v>
      </c>
      <c r="AC41" s="358">
        <f t="shared" si="67"/>
        <v>0.25</v>
      </c>
      <c r="AD41" s="358">
        <f t="shared" si="68"/>
        <v>0.25</v>
      </c>
      <c r="AE41" s="358">
        <f t="shared" si="69"/>
        <v>0.25</v>
      </c>
      <c r="AF41" s="358">
        <f t="shared" si="70"/>
        <v>0.25</v>
      </c>
      <c r="AG41" s="358">
        <f t="shared" si="71"/>
        <v>0.25</v>
      </c>
      <c r="AH41" s="358">
        <f t="shared" si="72"/>
        <v>0.25</v>
      </c>
      <c r="AI41" s="358">
        <f t="shared" si="73"/>
        <v>0.25</v>
      </c>
      <c r="AJ41" s="358">
        <f t="shared" si="74"/>
        <v>0.25</v>
      </c>
      <c r="AK41" s="358">
        <f t="shared" si="75"/>
        <v>0.25</v>
      </c>
      <c r="AL41" s="359">
        <f t="shared" si="76"/>
        <v>0.25</v>
      </c>
      <c r="AM41" s="636"/>
      <c r="AN41" s="285">
        <f t="shared" si="118"/>
        <v>435</v>
      </c>
      <c r="AO41" s="286">
        <f t="shared" si="118"/>
        <v>36.25</v>
      </c>
      <c r="AP41" s="286">
        <f t="shared" si="118"/>
        <v>36.25</v>
      </c>
      <c r="AQ41" s="286">
        <f t="shared" si="118"/>
        <v>36.25</v>
      </c>
      <c r="AR41" s="286">
        <f t="shared" si="118"/>
        <v>36.25</v>
      </c>
      <c r="AS41" s="286">
        <f t="shared" si="118"/>
        <v>36.25</v>
      </c>
      <c r="AT41" s="286">
        <f t="shared" si="118"/>
        <v>36.25</v>
      </c>
      <c r="AU41" s="286">
        <f t="shared" si="118"/>
        <v>36.25</v>
      </c>
      <c r="AV41" s="376">
        <f t="shared" si="119"/>
        <v>36.25</v>
      </c>
      <c r="AW41" s="376">
        <f t="shared" si="119"/>
        <v>36.25</v>
      </c>
      <c r="AX41" s="376">
        <f t="shared" si="119"/>
        <v>36.25</v>
      </c>
      <c r="AY41" s="376">
        <f t="shared" si="119"/>
        <v>36.25</v>
      </c>
      <c r="AZ41" s="376">
        <f t="shared" si="119"/>
        <v>435</v>
      </c>
      <c r="BA41" s="376">
        <f t="shared" si="119"/>
        <v>36.25</v>
      </c>
      <c r="BB41" s="376">
        <f t="shared" si="119"/>
        <v>36.25</v>
      </c>
      <c r="BC41" s="376">
        <f t="shared" si="119"/>
        <v>36.25</v>
      </c>
      <c r="BD41" s="376">
        <f t="shared" si="119"/>
        <v>36.25</v>
      </c>
      <c r="BE41" s="376">
        <f t="shared" si="119"/>
        <v>36.25</v>
      </c>
      <c r="BF41" s="376">
        <f t="shared" si="119"/>
        <v>36.25</v>
      </c>
      <c r="BG41" s="376">
        <f t="shared" si="119"/>
        <v>36.25</v>
      </c>
      <c r="BH41" s="376">
        <f t="shared" si="119"/>
        <v>36.25</v>
      </c>
      <c r="BI41" s="376">
        <f t="shared" si="119"/>
        <v>36.25</v>
      </c>
      <c r="BJ41" s="376">
        <f t="shared" si="119"/>
        <v>36.25</v>
      </c>
      <c r="BK41" s="376">
        <f t="shared" si="119"/>
        <v>36.25</v>
      </c>
      <c r="BL41" s="376">
        <f t="shared" si="119"/>
        <v>435</v>
      </c>
      <c r="BM41" s="376">
        <f t="shared" si="119"/>
        <v>36.25</v>
      </c>
      <c r="BN41" s="376">
        <f t="shared" si="119"/>
        <v>36.25</v>
      </c>
      <c r="BO41" s="376">
        <f t="shared" si="119"/>
        <v>36.25</v>
      </c>
      <c r="BP41" s="376">
        <f t="shared" si="119"/>
        <v>36.25</v>
      </c>
      <c r="BQ41" s="376">
        <f t="shared" si="119"/>
        <v>36.25</v>
      </c>
      <c r="BR41" s="376">
        <f t="shared" si="119"/>
        <v>36.25</v>
      </c>
      <c r="BS41" s="376">
        <f t="shared" si="119"/>
        <v>36.25</v>
      </c>
      <c r="BT41" s="376">
        <f t="shared" si="119"/>
        <v>36.25</v>
      </c>
      <c r="BU41" s="376">
        <f t="shared" si="119"/>
        <v>36.25</v>
      </c>
      <c r="BV41" s="377">
        <f t="shared" si="119"/>
        <v>36.25</v>
      </c>
    </row>
    <row r="42" spans="1:74" ht="20.149999999999999" customHeight="1" outlineLevel="2" x14ac:dyDescent="0.25">
      <c r="A42" s="20" t="s">
        <v>50</v>
      </c>
      <c r="B42" s="8" t="s">
        <v>21</v>
      </c>
      <c r="C42" s="284">
        <f>'Custos Diversos'!$B$21</f>
        <v>145</v>
      </c>
      <c r="D42" s="284">
        <v>5</v>
      </c>
      <c r="E42" s="284">
        <v>5</v>
      </c>
      <c r="F42" s="284">
        <v>5</v>
      </c>
      <c r="G42" s="284">
        <v>5</v>
      </c>
      <c r="H42" s="284">
        <v>5</v>
      </c>
      <c r="I42" s="284">
        <v>5</v>
      </c>
      <c r="J42" s="284">
        <v>5</v>
      </c>
      <c r="K42" s="284">
        <v>5</v>
      </c>
      <c r="L42" s="358">
        <v>5</v>
      </c>
      <c r="M42" s="358">
        <v>5</v>
      </c>
      <c r="N42" s="358">
        <v>5</v>
      </c>
      <c r="O42" s="358">
        <v>5</v>
      </c>
      <c r="P42" s="358">
        <f t="shared" si="54"/>
        <v>5</v>
      </c>
      <c r="Q42" s="358">
        <f t="shared" si="55"/>
        <v>5</v>
      </c>
      <c r="R42" s="358">
        <f t="shared" si="56"/>
        <v>5</v>
      </c>
      <c r="S42" s="358">
        <f t="shared" si="57"/>
        <v>5</v>
      </c>
      <c r="T42" s="358">
        <f t="shared" si="58"/>
        <v>5</v>
      </c>
      <c r="U42" s="358">
        <f t="shared" si="59"/>
        <v>5</v>
      </c>
      <c r="V42" s="358">
        <f t="shared" si="60"/>
        <v>5</v>
      </c>
      <c r="W42" s="358">
        <f t="shared" si="61"/>
        <v>5</v>
      </c>
      <c r="X42" s="358">
        <f t="shared" si="62"/>
        <v>5</v>
      </c>
      <c r="Y42" s="358">
        <f t="shared" si="63"/>
        <v>5</v>
      </c>
      <c r="Z42" s="358">
        <f t="shared" si="64"/>
        <v>5</v>
      </c>
      <c r="AA42" s="358">
        <f t="shared" si="65"/>
        <v>5</v>
      </c>
      <c r="AB42" s="358">
        <f t="shared" si="66"/>
        <v>5</v>
      </c>
      <c r="AC42" s="358">
        <f t="shared" si="67"/>
        <v>5</v>
      </c>
      <c r="AD42" s="358">
        <f t="shared" si="68"/>
        <v>5</v>
      </c>
      <c r="AE42" s="358">
        <f t="shared" si="69"/>
        <v>5</v>
      </c>
      <c r="AF42" s="358">
        <f t="shared" si="70"/>
        <v>5</v>
      </c>
      <c r="AG42" s="358">
        <f t="shared" si="71"/>
        <v>5</v>
      </c>
      <c r="AH42" s="358">
        <f t="shared" si="72"/>
        <v>5</v>
      </c>
      <c r="AI42" s="358">
        <f t="shared" si="73"/>
        <v>5</v>
      </c>
      <c r="AJ42" s="358">
        <f t="shared" si="74"/>
        <v>5</v>
      </c>
      <c r="AK42" s="358">
        <f t="shared" si="75"/>
        <v>5</v>
      </c>
      <c r="AL42" s="359">
        <f t="shared" si="76"/>
        <v>5</v>
      </c>
      <c r="AM42" s="636"/>
      <c r="AN42" s="285">
        <f t="shared" si="118"/>
        <v>725</v>
      </c>
      <c r="AO42" s="286">
        <f t="shared" si="118"/>
        <v>725</v>
      </c>
      <c r="AP42" s="286">
        <f t="shared" si="118"/>
        <v>725</v>
      </c>
      <c r="AQ42" s="286">
        <f t="shared" si="118"/>
        <v>725</v>
      </c>
      <c r="AR42" s="286">
        <f t="shared" si="118"/>
        <v>725</v>
      </c>
      <c r="AS42" s="286">
        <f t="shared" si="118"/>
        <v>725</v>
      </c>
      <c r="AT42" s="286">
        <f t="shared" si="118"/>
        <v>725</v>
      </c>
      <c r="AU42" s="286">
        <f t="shared" si="118"/>
        <v>725</v>
      </c>
      <c r="AV42" s="376">
        <f t="shared" si="119"/>
        <v>725</v>
      </c>
      <c r="AW42" s="376">
        <f t="shared" si="119"/>
        <v>725</v>
      </c>
      <c r="AX42" s="376">
        <f t="shared" si="119"/>
        <v>725</v>
      </c>
      <c r="AY42" s="376">
        <f t="shared" si="119"/>
        <v>725</v>
      </c>
      <c r="AZ42" s="376">
        <f t="shared" si="119"/>
        <v>725</v>
      </c>
      <c r="BA42" s="376">
        <f t="shared" si="119"/>
        <v>725</v>
      </c>
      <c r="BB42" s="376">
        <f t="shared" si="119"/>
        <v>725</v>
      </c>
      <c r="BC42" s="376">
        <f t="shared" si="119"/>
        <v>725</v>
      </c>
      <c r="BD42" s="376">
        <f t="shared" si="119"/>
        <v>725</v>
      </c>
      <c r="BE42" s="376">
        <f t="shared" si="119"/>
        <v>725</v>
      </c>
      <c r="BF42" s="376">
        <f t="shared" si="119"/>
        <v>725</v>
      </c>
      <c r="BG42" s="376">
        <f t="shared" si="119"/>
        <v>725</v>
      </c>
      <c r="BH42" s="376">
        <f t="shared" si="119"/>
        <v>725</v>
      </c>
      <c r="BI42" s="376">
        <f t="shared" si="119"/>
        <v>725</v>
      </c>
      <c r="BJ42" s="376">
        <f t="shared" si="119"/>
        <v>725</v>
      </c>
      <c r="BK42" s="376">
        <f t="shared" si="119"/>
        <v>725</v>
      </c>
      <c r="BL42" s="376">
        <f t="shared" si="119"/>
        <v>725</v>
      </c>
      <c r="BM42" s="376">
        <f t="shared" si="119"/>
        <v>725</v>
      </c>
      <c r="BN42" s="376">
        <f t="shared" si="119"/>
        <v>725</v>
      </c>
      <c r="BO42" s="376">
        <f t="shared" si="119"/>
        <v>725</v>
      </c>
      <c r="BP42" s="376">
        <f t="shared" si="119"/>
        <v>725</v>
      </c>
      <c r="BQ42" s="376">
        <f t="shared" si="119"/>
        <v>725</v>
      </c>
      <c r="BR42" s="376">
        <f t="shared" si="119"/>
        <v>725</v>
      </c>
      <c r="BS42" s="376">
        <f t="shared" si="119"/>
        <v>725</v>
      </c>
      <c r="BT42" s="376">
        <f t="shared" si="119"/>
        <v>725</v>
      </c>
      <c r="BU42" s="376">
        <f t="shared" si="119"/>
        <v>725</v>
      </c>
      <c r="BV42" s="377">
        <f t="shared" si="119"/>
        <v>725</v>
      </c>
    </row>
    <row r="43" spans="1:74" ht="20.149999999999999" customHeight="1" outlineLevel="2" thickBot="1" x14ac:dyDescent="0.3">
      <c r="A43" s="326" t="s">
        <v>51</v>
      </c>
      <c r="B43" s="35" t="s">
        <v>21</v>
      </c>
      <c r="C43" s="322">
        <f>'Custos Diversos'!$B$21</f>
        <v>145</v>
      </c>
      <c r="D43" s="322">
        <v>3</v>
      </c>
      <c r="E43" s="322">
        <v>3</v>
      </c>
      <c r="F43" s="322">
        <v>3</v>
      </c>
      <c r="G43" s="322">
        <v>3</v>
      </c>
      <c r="H43" s="322">
        <v>3</v>
      </c>
      <c r="I43" s="322">
        <v>3</v>
      </c>
      <c r="J43" s="322">
        <v>3</v>
      </c>
      <c r="K43" s="322">
        <v>3</v>
      </c>
      <c r="L43" s="360">
        <v>3</v>
      </c>
      <c r="M43" s="360">
        <v>3</v>
      </c>
      <c r="N43" s="360">
        <v>3</v>
      </c>
      <c r="O43" s="360">
        <v>3</v>
      </c>
      <c r="P43" s="360">
        <f t="shared" si="54"/>
        <v>3</v>
      </c>
      <c r="Q43" s="360">
        <f t="shared" si="55"/>
        <v>3</v>
      </c>
      <c r="R43" s="360">
        <f t="shared" si="56"/>
        <v>3</v>
      </c>
      <c r="S43" s="360">
        <f t="shared" si="57"/>
        <v>3</v>
      </c>
      <c r="T43" s="360">
        <f t="shared" si="58"/>
        <v>3</v>
      </c>
      <c r="U43" s="360">
        <f t="shared" si="59"/>
        <v>3</v>
      </c>
      <c r="V43" s="360">
        <f t="shared" si="60"/>
        <v>3</v>
      </c>
      <c r="W43" s="360">
        <f t="shared" si="61"/>
        <v>3</v>
      </c>
      <c r="X43" s="360">
        <f t="shared" si="62"/>
        <v>3</v>
      </c>
      <c r="Y43" s="360">
        <f t="shared" si="63"/>
        <v>3</v>
      </c>
      <c r="Z43" s="360">
        <f t="shared" si="64"/>
        <v>3</v>
      </c>
      <c r="AA43" s="360">
        <f t="shared" si="65"/>
        <v>3</v>
      </c>
      <c r="AB43" s="360">
        <f t="shared" si="66"/>
        <v>3</v>
      </c>
      <c r="AC43" s="360">
        <f t="shared" si="67"/>
        <v>3</v>
      </c>
      <c r="AD43" s="360">
        <f t="shared" si="68"/>
        <v>3</v>
      </c>
      <c r="AE43" s="360">
        <f t="shared" si="69"/>
        <v>3</v>
      </c>
      <c r="AF43" s="360">
        <f t="shared" si="70"/>
        <v>3</v>
      </c>
      <c r="AG43" s="360">
        <f t="shared" si="71"/>
        <v>3</v>
      </c>
      <c r="AH43" s="360">
        <f t="shared" si="72"/>
        <v>3</v>
      </c>
      <c r="AI43" s="360">
        <f t="shared" si="73"/>
        <v>3</v>
      </c>
      <c r="AJ43" s="360">
        <f t="shared" si="74"/>
        <v>3</v>
      </c>
      <c r="AK43" s="360">
        <f t="shared" si="75"/>
        <v>3</v>
      </c>
      <c r="AL43" s="361">
        <f t="shared" si="76"/>
        <v>3</v>
      </c>
      <c r="AM43" s="636"/>
      <c r="AN43" s="323">
        <f t="shared" si="118"/>
        <v>435</v>
      </c>
      <c r="AO43" s="324">
        <f t="shared" si="118"/>
        <v>435</v>
      </c>
      <c r="AP43" s="324">
        <f t="shared" si="118"/>
        <v>435</v>
      </c>
      <c r="AQ43" s="324">
        <f t="shared" si="118"/>
        <v>435</v>
      </c>
      <c r="AR43" s="324">
        <f t="shared" si="118"/>
        <v>435</v>
      </c>
      <c r="AS43" s="324">
        <f t="shared" si="118"/>
        <v>435</v>
      </c>
      <c r="AT43" s="324">
        <f t="shared" si="118"/>
        <v>435</v>
      </c>
      <c r="AU43" s="324">
        <f t="shared" si="118"/>
        <v>435</v>
      </c>
      <c r="AV43" s="378">
        <f t="shared" si="119"/>
        <v>435</v>
      </c>
      <c r="AW43" s="378">
        <f t="shared" si="119"/>
        <v>435</v>
      </c>
      <c r="AX43" s="378">
        <f t="shared" si="119"/>
        <v>435</v>
      </c>
      <c r="AY43" s="378">
        <f t="shared" si="119"/>
        <v>435</v>
      </c>
      <c r="AZ43" s="378">
        <f t="shared" si="119"/>
        <v>435</v>
      </c>
      <c r="BA43" s="378">
        <f t="shared" si="119"/>
        <v>435</v>
      </c>
      <c r="BB43" s="378">
        <f t="shared" si="119"/>
        <v>435</v>
      </c>
      <c r="BC43" s="378">
        <f t="shared" si="119"/>
        <v>435</v>
      </c>
      <c r="BD43" s="378">
        <f t="shared" si="119"/>
        <v>435</v>
      </c>
      <c r="BE43" s="378">
        <f t="shared" si="119"/>
        <v>435</v>
      </c>
      <c r="BF43" s="378">
        <f t="shared" si="119"/>
        <v>435</v>
      </c>
      <c r="BG43" s="378">
        <f t="shared" si="119"/>
        <v>435</v>
      </c>
      <c r="BH43" s="378">
        <f t="shared" si="119"/>
        <v>435</v>
      </c>
      <c r="BI43" s="378">
        <f t="shared" si="119"/>
        <v>435</v>
      </c>
      <c r="BJ43" s="378">
        <f t="shared" si="119"/>
        <v>435</v>
      </c>
      <c r="BK43" s="378">
        <f t="shared" si="119"/>
        <v>435</v>
      </c>
      <c r="BL43" s="378">
        <f t="shared" si="119"/>
        <v>435</v>
      </c>
      <c r="BM43" s="378">
        <f t="shared" si="119"/>
        <v>435</v>
      </c>
      <c r="BN43" s="378">
        <f t="shared" si="119"/>
        <v>435</v>
      </c>
      <c r="BO43" s="378">
        <f t="shared" si="119"/>
        <v>435</v>
      </c>
      <c r="BP43" s="378">
        <f t="shared" si="119"/>
        <v>435</v>
      </c>
      <c r="BQ43" s="378">
        <f t="shared" si="119"/>
        <v>435</v>
      </c>
      <c r="BR43" s="378">
        <f t="shared" si="119"/>
        <v>435</v>
      </c>
      <c r="BS43" s="378">
        <f t="shared" si="119"/>
        <v>435</v>
      </c>
      <c r="BT43" s="378">
        <f t="shared" si="119"/>
        <v>435</v>
      </c>
      <c r="BU43" s="378">
        <f t="shared" si="119"/>
        <v>435</v>
      </c>
      <c r="BV43" s="379">
        <f t="shared" si="119"/>
        <v>435</v>
      </c>
    </row>
    <row r="44" spans="1:74" s="408" customFormat="1" ht="20.149999999999999" customHeight="1" outlineLevel="2" thickBot="1" x14ac:dyDescent="0.3">
      <c r="A44" s="1107" t="s">
        <v>102</v>
      </c>
      <c r="B44" s="1108"/>
      <c r="C44" s="1108"/>
      <c r="D44" s="1108"/>
      <c r="E44" s="1108"/>
      <c r="F44" s="1108"/>
      <c r="G44" s="1108"/>
      <c r="H44" s="1108"/>
      <c r="I44" s="1108"/>
      <c r="J44" s="1108"/>
      <c r="K44" s="1108"/>
      <c r="L44" s="1108"/>
      <c r="M44" s="1108"/>
      <c r="N44" s="1108"/>
      <c r="O44" s="1108"/>
      <c r="P44" s="1108"/>
      <c r="Q44" s="1108"/>
      <c r="R44" s="1108"/>
      <c r="S44" s="1108"/>
      <c r="T44" s="1108"/>
      <c r="U44" s="1108"/>
      <c r="V44" s="1108"/>
      <c r="W44" s="1108"/>
      <c r="X44" s="1108"/>
      <c r="Y44" s="1108"/>
      <c r="Z44" s="1108"/>
      <c r="AA44" s="1108"/>
      <c r="AB44" s="1108"/>
      <c r="AC44" s="1108"/>
      <c r="AD44" s="1108"/>
      <c r="AE44" s="1108"/>
      <c r="AF44" s="1108"/>
      <c r="AG44" s="1108"/>
      <c r="AH44" s="1108"/>
      <c r="AI44" s="1108"/>
      <c r="AJ44" s="1108"/>
      <c r="AK44" s="1108"/>
      <c r="AL44" s="1108"/>
      <c r="AM44" s="1108"/>
      <c r="AN44" s="406">
        <f t="shared" ref="AN44:AU44" si="120">SUM(AN28:AN43)</f>
        <v>8787</v>
      </c>
      <c r="AO44" s="406">
        <f t="shared" si="120"/>
        <v>19308</v>
      </c>
      <c r="AP44" s="406">
        <f t="shared" si="120"/>
        <v>18342.3125</v>
      </c>
      <c r="AQ44" s="406">
        <f t="shared" si="120"/>
        <v>17434.625</v>
      </c>
      <c r="AR44" s="406">
        <f t="shared" si="120"/>
        <v>17434.625</v>
      </c>
      <c r="AS44" s="406">
        <f t="shared" si="120"/>
        <v>17434.625</v>
      </c>
      <c r="AT44" s="406">
        <f t="shared" si="120"/>
        <v>16526.9375</v>
      </c>
      <c r="AU44" s="406">
        <f t="shared" si="120"/>
        <v>16526.9375</v>
      </c>
      <c r="AV44" s="407">
        <f t="shared" ref="AV44:BV44" si="121">SUM(AV28:AV43)</f>
        <v>13803.875</v>
      </c>
      <c r="AW44" s="407">
        <f t="shared" si="121"/>
        <v>12896.1875</v>
      </c>
      <c r="AX44" s="407">
        <f t="shared" si="121"/>
        <v>12896.1875</v>
      </c>
      <c r="AY44" s="407">
        <f t="shared" si="121"/>
        <v>11988.5</v>
      </c>
      <c r="AZ44" s="407">
        <f t="shared" si="121"/>
        <v>8787</v>
      </c>
      <c r="BA44" s="407">
        <f t="shared" si="121"/>
        <v>19308</v>
      </c>
      <c r="BB44" s="407">
        <f t="shared" si="121"/>
        <v>18342.3125</v>
      </c>
      <c r="BC44" s="407">
        <f t="shared" si="121"/>
        <v>17434.625</v>
      </c>
      <c r="BD44" s="407">
        <f t="shared" si="121"/>
        <v>17434.625</v>
      </c>
      <c r="BE44" s="407">
        <f t="shared" si="121"/>
        <v>17434.625</v>
      </c>
      <c r="BF44" s="407">
        <f t="shared" si="121"/>
        <v>16526.9375</v>
      </c>
      <c r="BG44" s="407">
        <f t="shared" si="121"/>
        <v>16526.9375</v>
      </c>
      <c r="BH44" s="407">
        <f t="shared" si="121"/>
        <v>13803.875</v>
      </c>
      <c r="BI44" s="407">
        <f t="shared" si="121"/>
        <v>12896.1875</v>
      </c>
      <c r="BJ44" s="407">
        <f t="shared" si="121"/>
        <v>12896.1875</v>
      </c>
      <c r="BK44" s="407">
        <f t="shared" si="121"/>
        <v>11988.5</v>
      </c>
      <c r="BL44" s="407">
        <f t="shared" si="121"/>
        <v>8787</v>
      </c>
      <c r="BM44" s="407">
        <f t="shared" si="121"/>
        <v>19308</v>
      </c>
      <c r="BN44" s="407">
        <f t="shared" si="121"/>
        <v>18342.3125</v>
      </c>
      <c r="BO44" s="407">
        <f t="shared" si="121"/>
        <v>17434.625</v>
      </c>
      <c r="BP44" s="407">
        <f t="shared" si="121"/>
        <v>17434.625</v>
      </c>
      <c r="BQ44" s="407">
        <f t="shared" si="121"/>
        <v>17434.625</v>
      </c>
      <c r="BR44" s="407">
        <f t="shared" si="121"/>
        <v>16526.9375</v>
      </c>
      <c r="BS44" s="407">
        <f t="shared" si="121"/>
        <v>16526.9375</v>
      </c>
      <c r="BT44" s="407">
        <f t="shared" si="121"/>
        <v>13803.875</v>
      </c>
      <c r="BU44" s="407">
        <f t="shared" si="121"/>
        <v>12896.1875</v>
      </c>
      <c r="BV44" s="407">
        <f t="shared" si="121"/>
        <v>12896.1875</v>
      </c>
    </row>
    <row r="45" spans="1:74" ht="13" outlineLevel="2" thickBot="1" x14ac:dyDescent="0.3"/>
    <row r="46" spans="1:74" s="123" customFormat="1" ht="27" customHeight="1" outlineLevel="1" thickBot="1" x14ac:dyDescent="0.3">
      <c r="A46" s="1106" t="s">
        <v>59</v>
      </c>
      <c r="B46" s="1106"/>
      <c r="C46" s="1106"/>
      <c r="D46" s="1106"/>
      <c r="E46" s="1106"/>
      <c r="F46" s="1106"/>
      <c r="G46" s="1106"/>
      <c r="H46" s="1106"/>
      <c r="I46" s="1106"/>
      <c r="J46" s="1106"/>
      <c r="K46" s="1106"/>
      <c r="L46" s="1106"/>
      <c r="M46" s="1106"/>
      <c r="N46" s="1106"/>
      <c r="O46" s="1106"/>
      <c r="P46" s="1106"/>
      <c r="Q46" s="1106"/>
      <c r="R46" s="1106"/>
      <c r="S46" s="1106"/>
      <c r="T46" s="1106"/>
      <c r="U46" s="1106"/>
      <c r="V46" s="1106"/>
      <c r="W46" s="1106"/>
      <c r="X46" s="1106"/>
      <c r="Y46" s="1106"/>
      <c r="Z46" s="1106"/>
      <c r="AA46" s="1106"/>
      <c r="AB46" s="1106"/>
      <c r="AC46" s="1106"/>
      <c r="AD46" s="1106"/>
      <c r="AE46" s="1106"/>
      <c r="AF46" s="1106"/>
      <c r="AG46" s="1106"/>
      <c r="AH46" s="1106"/>
      <c r="AI46" s="1106"/>
      <c r="AJ46" s="1106"/>
      <c r="AK46" s="1106"/>
      <c r="AL46" s="1106"/>
      <c r="AM46" s="1106"/>
      <c r="AN46" s="1106"/>
      <c r="AO46" s="1106"/>
      <c r="AP46" s="1106"/>
      <c r="AQ46" s="1106"/>
      <c r="AR46" s="1106"/>
      <c r="AS46" s="1106"/>
      <c r="AT46" s="1106"/>
      <c r="AU46" s="1106"/>
      <c r="AV46" s="1106"/>
      <c r="AW46" s="1106"/>
      <c r="AX46" s="1106"/>
      <c r="AY46" s="1106"/>
      <c r="AZ46" s="1106"/>
      <c r="BA46" s="1106"/>
      <c r="BB46" s="1106"/>
      <c r="BC46" s="1106"/>
      <c r="BD46" s="1106"/>
      <c r="BE46" s="1106"/>
      <c r="BF46" s="1106"/>
      <c r="BG46" s="1106"/>
      <c r="BH46" s="1106"/>
      <c r="BI46" s="1106"/>
      <c r="BJ46" s="1106"/>
      <c r="BK46" s="1106"/>
      <c r="BL46" s="1106"/>
      <c r="BM46" s="1106"/>
      <c r="BN46" s="1106"/>
      <c r="BO46" s="1106"/>
      <c r="BP46" s="1106"/>
      <c r="BQ46" s="1106"/>
      <c r="BR46" s="1106"/>
      <c r="BS46" s="1106"/>
      <c r="BT46" s="1106"/>
      <c r="BU46" s="1106"/>
      <c r="BV46" s="1106"/>
    </row>
    <row r="47" spans="1:74" ht="18" customHeight="1" outlineLevel="2" thickBot="1" x14ac:dyDescent="0.3">
      <c r="A47" s="1102" t="s">
        <v>113</v>
      </c>
      <c r="B47" s="1102" t="s">
        <v>8</v>
      </c>
      <c r="C47" s="1102" t="s">
        <v>100</v>
      </c>
      <c r="D47" s="1102" t="s">
        <v>97</v>
      </c>
      <c r="E47" s="1102"/>
      <c r="F47" s="1102"/>
      <c r="G47" s="1102"/>
      <c r="H47" s="1102"/>
      <c r="I47" s="1102"/>
      <c r="J47" s="1102"/>
      <c r="K47" s="1102"/>
      <c r="L47" s="1102"/>
      <c r="M47" s="1102"/>
      <c r="N47" s="1102"/>
      <c r="O47" s="1102"/>
      <c r="P47" s="1102"/>
      <c r="Q47" s="1102"/>
      <c r="R47" s="1102"/>
      <c r="S47" s="1102"/>
      <c r="T47" s="1102"/>
      <c r="U47" s="1102"/>
      <c r="V47" s="1102"/>
      <c r="W47" s="1102"/>
      <c r="X47" s="1102"/>
      <c r="Y47" s="1102"/>
      <c r="Z47" s="1102"/>
      <c r="AA47" s="1102"/>
      <c r="AB47" s="1102"/>
      <c r="AC47" s="1102"/>
      <c r="AD47" s="1102"/>
      <c r="AE47" s="1102"/>
      <c r="AF47" s="1102"/>
      <c r="AG47" s="1102"/>
      <c r="AH47" s="1102"/>
      <c r="AI47" s="1102"/>
      <c r="AJ47" s="1102"/>
      <c r="AK47" s="1102"/>
      <c r="AL47" s="1102"/>
      <c r="AM47" s="634"/>
      <c r="AN47" s="1102" t="s">
        <v>99</v>
      </c>
      <c r="AO47" s="1102"/>
      <c r="AP47" s="1102"/>
      <c r="AQ47" s="1102"/>
      <c r="AR47" s="1102"/>
      <c r="AS47" s="1102"/>
      <c r="AT47" s="1102"/>
      <c r="AU47" s="1102"/>
      <c r="AV47" s="1102"/>
      <c r="AW47" s="1102"/>
      <c r="AX47" s="1102"/>
      <c r="AY47" s="1102"/>
      <c r="AZ47" s="1102"/>
      <c r="BA47" s="1102"/>
      <c r="BB47" s="1102"/>
      <c r="BC47" s="1102"/>
      <c r="BD47" s="1102"/>
      <c r="BE47" s="1102"/>
      <c r="BF47" s="1102"/>
      <c r="BG47" s="1102"/>
      <c r="BH47" s="1102"/>
      <c r="BI47" s="1102"/>
      <c r="BJ47" s="1102"/>
      <c r="BK47" s="1102"/>
      <c r="BL47" s="1102"/>
      <c r="BM47" s="1102"/>
      <c r="BN47" s="1102"/>
      <c r="BO47" s="1102"/>
      <c r="BP47" s="1102"/>
      <c r="BQ47" s="1102"/>
      <c r="BR47" s="1102"/>
      <c r="BS47" s="1102"/>
      <c r="BT47" s="1102"/>
      <c r="BU47" s="1102"/>
      <c r="BV47" s="1102"/>
    </row>
    <row r="48" spans="1:74" ht="18" customHeight="1" outlineLevel="2" thickBot="1" x14ac:dyDescent="0.3">
      <c r="A48" s="1102"/>
      <c r="B48" s="1102"/>
      <c r="C48" s="1102"/>
      <c r="D48" s="275">
        <v>1</v>
      </c>
      <c r="E48" s="211">
        <v>2</v>
      </c>
      <c r="F48" s="211">
        <v>3</v>
      </c>
      <c r="G48" s="211">
        <v>4</v>
      </c>
      <c r="H48" s="211">
        <v>5</v>
      </c>
      <c r="I48" s="211">
        <v>6</v>
      </c>
      <c r="J48" s="211">
        <v>7</v>
      </c>
      <c r="K48" s="211">
        <v>8</v>
      </c>
      <c r="L48" s="211">
        <v>9</v>
      </c>
      <c r="M48" s="211">
        <v>10</v>
      </c>
      <c r="N48" s="211">
        <v>11</v>
      </c>
      <c r="O48" s="211">
        <v>12</v>
      </c>
      <c r="P48" s="211">
        <v>13</v>
      </c>
      <c r="Q48" s="211">
        <v>14</v>
      </c>
      <c r="R48" s="211">
        <v>15</v>
      </c>
      <c r="S48" s="211">
        <v>16</v>
      </c>
      <c r="T48" s="211">
        <v>17</v>
      </c>
      <c r="U48" s="211">
        <v>18</v>
      </c>
      <c r="V48" s="211">
        <v>19</v>
      </c>
      <c r="W48" s="211">
        <v>20</v>
      </c>
      <c r="X48" s="211">
        <v>21</v>
      </c>
      <c r="Y48" s="211">
        <v>22</v>
      </c>
      <c r="Z48" s="211">
        <v>23</v>
      </c>
      <c r="AA48" s="211">
        <v>24</v>
      </c>
      <c r="AB48" s="211">
        <v>25</v>
      </c>
      <c r="AC48" s="211">
        <v>26</v>
      </c>
      <c r="AD48" s="211">
        <v>27</v>
      </c>
      <c r="AE48" s="211">
        <v>28</v>
      </c>
      <c r="AF48" s="211">
        <v>29</v>
      </c>
      <c r="AG48" s="211">
        <v>30</v>
      </c>
      <c r="AH48" s="211">
        <v>31</v>
      </c>
      <c r="AI48" s="211">
        <v>32</v>
      </c>
      <c r="AJ48" s="211">
        <v>33</v>
      </c>
      <c r="AK48" s="211">
        <v>34</v>
      </c>
      <c r="AL48" s="212">
        <v>35</v>
      </c>
      <c r="AM48" s="635"/>
      <c r="AN48" s="275">
        <v>1</v>
      </c>
      <c r="AO48" s="211">
        <v>2</v>
      </c>
      <c r="AP48" s="211">
        <v>3</v>
      </c>
      <c r="AQ48" s="211">
        <v>4</v>
      </c>
      <c r="AR48" s="211">
        <v>5</v>
      </c>
      <c r="AS48" s="211">
        <v>6</v>
      </c>
      <c r="AT48" s="211">
        <v>7</v>
      </c>
      <c r="AU48" s="211">
        <v>8</v>
      </c>
      <c r="AV48" s="211">
        <v>9</v>
      </c>
      <c r="AW48" s="211">
        <v>10</v>
      </c>
      <c r="AX48" s="211">
        <v>11</v>
      </c>
      <c r="AY48" s="211">
        <v>12</v>
      </c>
      <c r="AZ48" s="211">
        <v>13</v>
      </c>
      <c r="BA48" s="211">
        <v>14</v>
      </c>
      <c r="BB48" s="211">
        <v>15</v>
      </c>
      <c r="BC48" s="211">
        <v>16</v>
      </c>
      <c r="BD48" s="211">
        <v>17</v>
      </c>
      <c r="BE48" s="211">
        <v>18</v>
      </c>
      <c r="BF48" s="211">
        <v>19</v>
      </c>
      <c r="BG48" s="211">
        <v>20</v>
      </c>
      <c r="BH48" s="211">
        <v>21</v>
      </c>
      <c r="BI48" s="211">
        <v>22</v>
      </c>
      <c r="BJ48" s="211">
        <v>23</v>
      </c>
      <c r="BK48" s="211">
        <v>24</v>
      </c>
      <c r="BL48" s="211">
        <v>25</v>
      </c>
      <c r="BM48" s="211">
        <v>26</v>
      </c>
      <c r="BN48" s="211">
        <v>27</v>
      </c>
      <c r="BO48" s="211">
        <v>28</v>
      </c>
      <c r="BP48" s="211">
        <v>29</v>
      </c>
      <c r="BQ48" s="211">
        <v>30</v>
      </c>
      <c r="BR48" s="211">
        <v>31</v>
      </c>
      <c r="BS48" s="211">
        <v>32</v>
      </c>
      <c r="BT48" s="211">
        <v>33</v>
      </c>
      <c r="BU48" s="211">
        <v>34</v>
      </c>
      <c r="BV48" s="212">
        <v>35</v>
      </c>
    </row>
    <row r="49" spans="1:74" ht="20.149999999999999" customHeight="1" outlineLevel="2" x14ac:dyDescent="0.25">
      <c r="A49" s="21" t="s">
        <v>78</v>
      </c>
      <c r="B49" s="11" t="str">
        <f>'Custos Insumos'!$C$41</f>
        <v>HMPP</v>
      </c>
      <c r="C49" s="279">
        <f>'Custos Insumos'!$D$41</f>
        <v>400</v>
      </c>
      <c r="D49" s="279">
        <v>4</v>
      </c>
      <c r="E49" s="279"/>
      <c r="F49" s="279"/>
      <c r="G49" s="279"/>
      <c r="H49" s="279"/>
      <c r="I49" s="279"/>
      <c r="J49" s="279"/>
      <c r="K49" s="279"/>
      <c r="L49" s="356"/>
      <c r="M49" s="356"/>
      <c r="N49" s="356"/>
      <c r="O49" s="356"/>
      <c r="P49" s="356">
        <f t="shared" ref="P49:P59" si="122">D49</f>
        <v>4</v>
      </c>
      <c r="Q49" s="356">
        <f t="shared" ref="Q49:Q59" si="123">E49</f>
        <v>0</v>
      </c>
      <c r="R49" s="356">
        <f t="shared" ref="R49:R59" si="124">F49</f>
        <v>0</v>
      </c>
      <c r="S49" s="356">
        <f t="shared" ref="S49:S59" si="125">G49</f>
        <v>0</v>
      </c>
      <c r="T49" s="356">
        <f t="shared" ref="T49:T59" si="126">H49</f>
        <v>0</v>
      </c>
      <c r="U49" s="356">
        <f t="shared" ref="U49:U59" si="127">I49</f>
        <v>0</v>
      </c>
      <c r="V49" s="356">
        <f t="shared" ref="V49:V59" si="128">J49</f>
        <v>0</v>
      </c>
      <c r="W49" s="356">
        <f t="shared" ref="W49:W59" si="129">K49</f>
        <v>0</v>
      </c>
      <c r="X49" s="356">
        <f t="shared" ref="X49:X59" si="130">L49</f>
        <v>0</v>
      </c>
      <c r="Y49" s="356">
        <f t="shared" ref="Y49:Y59" si="131">M49</f>
        <v>0</v>
      </c>
      <c r="Z49" s="356">
        <f t="shared" ref="Z49:Z59" si="132">N49</f>
        <v>0</v>
      </c>
      <c r="AA49" s="356">
        <f t="shared" ref="AA49:AA59" si="133">O49</f>
        <v>0</v>
      </c>
      <c r="AB49" s="356">
        <f t="shared" ref="AB49:AB59" si="134">D49</f>
        <v>4</v>
      </c>
      <c r="AC49" s="356">
        <f t="shared" ref="AC49:AC59" si="135">E49</f>
        <v>0</v>
      </c>
      <c r="AD49" s="356">
        <f t="shared" ref="AD49:AD59" si="136">F49</f>
        <v>0</v>
      </c>
      <c r="AE49" s="356">
        <f t="shared" ref="AE49:AE59" si="137">G49</f>
        <v>0</v>
      </c>
      <c r="AF49" s="356">
        <f t="shared" ref="AF49:AF59" si="138">H49</f>
        <v>0</v>
      </c>
      <c r="AG49" s="356">
        <f t="shared" ref="AG49:AG59" si="139">I49</f>
        <v>0</v>
      </c>
      <c r="AH49" s="356">
        <f t="shared" ref="AH49:AH59" si="140">J49</f>
        <v>0</v>
      </c>
      <c r="AI49" s="356">
        <f t="shared" ref="AI49:AI59" si="141">K49</f>
        <v>0</v>
      </c>
      <c r="AJ49" s="356">
        <f t="shared" ref="AJ49:AJ59" si="142">L49</f>
        <v>0</v>
      </c>
      <c r="AK49" s="356">
        <f t="shared" ref="AK49:AK59" si="143">M49</f>
        <v>0</v>
      </c>
      <c r="AL49" s="357">
        <f t="shared" ref="AL49:AL59" si="144">N49</f>
        <v>0</v>
      </c>
      <c r="AM49" s="636"/>
      <c r="AN49" s="280">
        <f t="shared" ref="AN49:AU49" si="145">$C$49*D49</f>
        <v>1600</v>
      </c>
      <c r="AO49" s="281">
        <f t="shared" si="145"/>
        <v>0</v>
      </c>
      <c r="AP49" s="281">
        <f t="shared" si="145"/>
        <v>0</v>
      </c>
      <c r="AQ49" s="281">
        <f t="shared" si="145"/>
        <v>0</v>
      </c>
      <c r="AR49" s="281">
        <f t="shared" si="145"/>
        <v>0</v>
      </c>
      <c r="AS49" s="281">
        <f t="shared" si="145"/>
        <v>0</v>
      </c>
      <c r="AT49" s="281">
        <f t="shared" si="145"/>
        <v>0</v>
      </c>
      <c r="AU49" s="281">
        <f t="shared" si="145"/>
        <v>0</v>
      </c>
      <c r="AV49" s="374">
        <f t="shared" ref="AV49:BV49" si="146">$C$49*L49</f>
        <v>0</v>
      </c>
      <c r="AW49" s="374">
        <f t="shared" si="146"/>
        <v>0</v>
      </c>
      <c r="AX49" s="374">
        <f t="shared" si="146"/>
        <v>0</v>
      </c>
      <c r="AY49" s="374">
        <f t="shared" si="146"/>
        <v>0</v>
      </c>
      <c r="AZ49" s="374">
        <f t="shared" si="146"/>
        <v>1600</v>
      </c>
      <c r="BA49" s="374">
        <f t="shared" si="146"/>
        <v>0</v>
      </c>
      <c r="BB49" s="374">
        <f t="shared" si="146"/>
        <v>0</v>
      </c>
      <c r="BC49" s="374">
        <f t="shared" si="146"/>
        <v>0</v>
      </c>
      <c r="BD49" s="374">
        <f t="shared" si="146"/>
        <v>0</v>
      </c>
      <c r="BE49" s="374">
        <f t="shared" si="146"/>
        <v>0</v>
      </c>
      <c r="BF49" s="374">
        <f t="shared" si="146"/>
        <v>0</v>
      </c>
      <c r="BG49" s="374">
        <f t="shared" si="146"/>
        <v>0</v>
      </c>
      <c r="BH49" s="374">
        <f t="shared" si="146"/>
        <v>0</v>
      </c>
      <c r="BI49" s="374">
        <f t="shared" si="146"/>
        <v>0</v>
      </c>
      <c r="BJ49" s="374">
        <f t="shared" si="146"/>
        <v>0</v>
      </c>
      <c r="BK49" s="374">
        <f t="shared" si="146"/>
        <v>0</v>
      </c>
      <c r="BL49" s="374">
        <f t="shared" si="146"/>
        <v>1600</v>
      </c>
      <c r="BM49" s="374">
        <f t="shared" si="146"/>
        <v>0</v>
      </c>
      <c r="BN49" s="374">
        <f t="shared" si="146"/>
        <v>0</v>
      </c>
      <c r="BO49" s="374">
        <f t="shared" si="146"/>
        <v>0</v>
      </c>
      <c r="BP49" s="374">
        <f t="shared" si="146"/>
        <v>0</v>
      </c>
      <c r="BQ49" s="374">
        <f t="shared" si="146"/>
        <v>0</v>
      </c>
      <c r="BR49" s="374">
        <f t="shared" si="146"/>
        <v>0</v>
      </c>
      <c r="BS49" s="374">
        <f t="shared" si="146"/>
        <v>0</v>
      </c>
      <c r="BT49" s="374">
        <f t="shared" si="146"/>
        <v>0</v>
      </c>
      <c r="BU49" s="374">
        <f t="shared" si="146"/>
        <v>0</v>
      </c>
      <c r="BV49" s="375">
        <f t="shared" si="146"/>
        <v>0</v>
      </c>
    </row>
    <row r="50" spans="1:74" ht="20.149999999999999" customHeight="1" outlineLevel="2" x14ac:dyDescent="0.25">
      <c r="A50" s="22" t="s">
        <v>79</v>
      </c>
      <c r="B50" s="12" t="str">
        <f>'Custos Insumos'!$C$42</f>
        <v>HMPM</v>
      </c>
      <c r="C50" s="284">
        <f>'Custos Insumos'!$D$42</f>
        <v>250</v>
      </c>
      <c r="D50" s="284">
        <v>2</v>
      </c>
      <c r="E50" s="284">
        <v>2</v>
      </c>
      <c r="F50" s="284">
        <v>2</v>
      </c>
      <c r="G50" s="284">
        <v>2</v>
      </c>
      <c r="H50" s="284">
        <v>2</v>
      </c>
      <c r="I50" s="284">
        <v>2</v>
      </c>
      <c r="J50" s="284">
        <v>2</v>
      </c>
      <c r="K50" s="284">
        <v>2</v>
      </c>
      <c r="L50" s="358">
        <v>2</v>
      </c>
      <c r="M50" s="358">
        <v>2</v>
      </c>
      <c r="N50" s="358">
        <v>2</v>
      </c>
      <c r="O50" s="358">
        <v>2</v>
      </c>
      <c r="P50" s="358">
        <f t="shared" si="122"/>
        <v>2</v>
      </c>
      <c r="Q50" s="358">
        <f t="shared" si="123"/>
        <v>2</v>
      </c>
      <c r="R50" s="358">
        <f t="shared" si="124"/>
        <v>2</v>
      </c>
      <c r="S50" s="358">
        <f t="shared" si="125"/>
        <v>2</v>
      </c>
      <c r="T50" s="358">
        <f t="shared" si="126"/>
        <v>2</v>
      </c>
      <c r="U50" s="358">
        <f t="shared" si="127"/>
        <v>2</v>
      </c>
      <c r="V50" s="358">
        <f t="shared" si="128"/>
        <v>2</v>
      </c>
      <c r="W50" s="358">
        <f t="shared" si="129"/>
        <v>2</v>
      </c>
      <c r="X50" s="358">
        <f t="shared" si="130"/>
        <v>2</v>
      </c>
      <c r="Y50" s="358">
        <f t="shared" si="131"/>
        <v>2</v>
      </c>
      <c r="Z50" s="358">
        <f t="shared" si="132"/>
        <v>2</v>
      </c>
      <c r="AA50" s="358">
        <f t="shared" si="133"/>
        <v>2</v>
      </c>
      <c r="AB50" s="358">
        <f t="shared" si="134"/>
        <v>2</v>
      </c>
      <c r="AC50" s="358">
        <f t="shared" si="135"/>
        <v>2</v>
      </c>
      <c r="AD50" s="358">
        <f t="shared" si="136"/>
        <v>2</v>
      </c>
      <c r="AE50" s="358">
        <f t="shared" si="137"/>
        <v>2</v>
      </c>
      <c r="AF50" s="358">
        <f t="shared" si="138"/>
        <v>2</v>
      </c>
      <c r="AG50" s="358">
        <f t="shared" si="139"/>
        <v>2</v>
      </c>
      <c r="AH50" s="358">
        <f t="shared" si="140"/>
        <v>2</v>
      </c>
      <c r="AI50" s="358">
        <f t="shared" si="141"/>
        <v>2</v>
      </c>
      <c r="AJ50" s="358">
        <f t="shared" si="142"/>
        <v>2</v>
      </c>
      <c r="AK50" s="358">
        <f t="shared" si="143"/>
        <v>2</v>
      </c>
      <c r="AL50" s="359">
        <f t="shared" si="144"/>
        <v>2</v>
      </c>
      <c r="AM50" s="636"/>
      <c r="AN50" s="285">
        <f t="shared" ref="AN50:AU50" si="147">$C$50*D50</f>
        <v>500</v>
      </c>
      <c r="AO50" s="286">
        <f t="shared" si="147"/>
        <v>500</v>
      </c>
      <c r="AP50" s="286">
        <f t="shared" si="147"/>
        <v>500</v>
      </c>
      <c r="AQ50" s="286">
        <f t="shared" si="147"/>
        <v>500</v>
      </c>
      <c r="AR50" s="286">
        <f t="shared" si="147"/>
        <v>500</v>
      </c>
      <c r="AS50" s="286">
        <f t="shared" si="147"/>
        <v>500</v>
      </c>
      <c r="AT50" s="286">
        <f t="shared" si="147"/>
        <v>500</v>
      </c>
      <c r="AU50" s="286">
        <f t="shared" si="147"/>
        <v>500</v>
      </c>
      <c r="AV50" s="376">
        <f t="shared" ref="AV50:BV50" si="148">$C$50*L50</f>
        <v>500</v>
      </c>
      <c r="AW50" s="376">
        <f t="shared" si="148"/>
        <v>500</v>
      </c>
      <c r="AX50" s="376">
        <f t="shared" si="148"/>
        <v>500</v>
      </c>
      <c r="AY50" s="376">
        <f t="shared" si="148"/>
        <v>500</v>
      </c>
      <c r="AZ50" s="376">
        <f t="shared" si="148"/>
        <v>500</v>
      </c>
      <c r="BA50" s="376">
        <f t="shared" si="148"/>
        <v>500</v>
      </c>
      <c r="BB50" s="376">
        <f t="shared" si="148"/>
        <v>500</v>
      </c>
      <c r="BC50" s="376">
        <f t="shared" si="148"/>
        <v>500</v>
      </c>
      <c r="BD50" s="376">
        <f t="shared" si="148"/>
        <v>500</v>
      </c>
      <c r="BE50" s="376">
        <f t="shared" si="148"/>
        <v>500</v>
      </c>
      <c r="BF50" s="376">
        <f t="shared" si="148"/>
        <v>500</v>
      </c>
      <c r="BG50" s="376">
        <f t="shared" si="148"/>
        <v>500</v>
      </c>
      <c r="BH50" s="376">
        <f t="shared" si="148"/>
        <v>500</v>
      </c>
      <c r="BI50" s="376">
        <f t="shared" si="148"/>
        <v>500</v>
      </c>
      <c r="BJ50" s="376">
        <f t="shared" si="148"/>
        <v>500</v>
      </c>
      <c r="BK50" s="376">
        <f t="shared" si="148"/>
        <v>500</v>
      </c>
      <c r="BL50" s="376">
        <f t="shared" si="148"/>
        <v>500</v>
      </c>
      <c r="BM50" s="376">
        <f t="shared" si="148"/>
        <v>500</v>
      </c>
      <c r="BN50" s="376">
        <f t="shared" si="148"/>
        <v>500</v>
      </c>
      <c r="BO50" s="376">
        <f t="shared" si="148"/>
        <v>500</v>
      </c>
      <c r="BP50" s="376">
        <f t="shared" si="148"/>
        <v>500</v>
      </c>
      <c r="BQ50" s="376">
        <f t="shared" si="148"/>
        <v>500</v>
      </c>
      <c r="BR50" s="376">
        <f t="shared" si="148"/>
        <v>500</v>
      </c>
      <c r="BS50" s="376">
        <f t="shared" si="148"/>
        <v>500</v>
      </c>
      <c r="BT50" s="376">
        <f t="shared" si="148"/>
        <v>500</v>
      </c>
      <c r="BU50" s="376">
        <f t="shared" si="148"/>
        <v>500</v>
      </c>
      <c r="BV50" s="377">
        <f t="shared" si="148"/>
        <v>500</v>
      </c>
    </row>
    <row r="51" spans="1:74" ht="20.149999999999999" customHeight="1" outlineLevel="2" x14ac:dyDescent="0.25">
      <c r="A51" s="22" t="s">
        <v>80</v>
      </c>
      <c r="B51" s="12" t="str">
        <f>'Custos Insumos'!$C$42</f>
        <v>HMPM</v>
      </c>
      <c r="C51" s="284">
        <f>'Custos Insumos'!$D$42</f>
        <v>250</v>
      </c>
      <c r="D51" s="284">
        <v>2</v>
      </c>
      <c r="E51" s="284">
        <v>2</v>
      </c>
      <c r="F51" s="284">
        <v>2</v>
      </c>
      <c r="G51" s="284">
        <v>2</v>
      </c>
      <c r="H51" s="284">
        <v>2</v>
      </c>
      <c r="I51" s="284">
        <v>2</v>
      </c>
      <c r="J51" s="284">
        <v>2</v>
      </c>
      <c r="K51" s="284">
        <v>2</v>
      </c>
      <c r="L51" s="358">
        <v>2</v>
      </c>
      <c r="M51" s="358">
        <v>2</v>
      </c>
      <c r="N51" s="358">
        <v>2</v>
      </c>
      <c r="O51" s="358">
        <v>2</v>
      </c>
      <c r="P51" s="358">
        <f t="shared" si="122"/>
        <v>2</v>
      </c>
      <c r="Q51" s="358">
        <f t="shared" si="123"/>
        <v>2</v>
      </c>
      <c r="R51" s="358">
        <f t="shared" si="124"/>
        <v>2</v>
      </c>
      <c r="S51" s="358">
        <f t="shared" si="125"/>
        <v>2</v>
      </c>
      <c r="T51" s="358">
        <f t="shared" si="126"/>
        <v>2</v>
      </c>
      <c r="U51" s="358">
        <f t="shared" si="127"/>
        <v>2</v>
      </c>
      <c r="V51" s="358">
        <f t="shared" si="128"/>
        <v>2</v>
      </c>
      <c r="W51" s="358">
        <f t="shared" si="129"/>
        <v>2</v>
      </c>
      <c r="X51" s="358">
        <f t="shared" si="130"/>
        <v>2</v>
      </c>
      <c r="Y51" s="358">
        <f t="shared" si="131"/>
        <v>2</v>
      </c>
      <c r="Z51" s="358">
        <f t="shared" si="132"/>
        <v>2</v>
      </c>
      <c r="AA51" s="358">
        <f t="shared" si="133"/>
        <v>2</v>
      </c>
      <c r="AB51" s="358">
        <f t="shared" si="134"/>
        <v>2</v>
      </c>
      <c r="AC51" s="358">
        <f t="shared" si="135"/>
        <v>2</v>
      </c>
      <c r="AD51" s="358">
        <f t="shared" si="136"/>
        <v>2</v>
      </c>
      <c r="AE51" s="358">
        <f t="shared" si="137"/>
        <v>2</v>
      </c>
      <c r="AF51" s="358">
        <f t="shared" si="138"/>
        <v>2</v>
      </c>
      <c r="AG51" s="358">
        <f t="shared" si="139"/>
        <v>2</v>
      </c>
      <c r="AH51" s="358">
        <f t="shared" si="140"/>
        <v>2</v>
      </c>
      <c r="AI51" s="358">
        <f t="shared" si="141"/>
        <v>2</v>
      </c>
      <c r="AJ51" s="358">
        <f t="shared" si="142"/>
        <v>2</v>
      </c>
      <c r="AK51" s="358">
        <f t="shared" si="143"/>
        <v>2</v>
      </c>
      <c r="AL51" s="359">
        <f t="shared" si="144"/>
        <v>2</v>
      </c>
      <c r="AM51" s="636"/>
      <c r="AN51" s="285">
        <f t="shared" ref="AN51:AU51" si="149">$C$51*D51</f>
        <v>500</v>
      </c>
      <c r="AO51" s="286">
        <f t="shared" si="149"/>
        <v>500</v>
      </c>
      <c r="AP51" s="286">
        <f t="shared" si="149"/>
        <v>500</v>
      </c>
      <c r="AQ51" s="286">
        <f t="shared" si="149"/>
        <v>500</v>
      </c>
      <c r="AR51" s="286">
        <f t="shared" si="149"/>
        <v>500</v>
      </c>
      <c r="AS51" s="286">
        <f t="shared" si="149"/>
        <v>500</v>
      </c>
      <c r="AT51" s="286">
        <f t="shared" si="149"/>
        <v>500</v>
      </c>
      <c r="AU51" s="286">
        <f t="shared" si="149"/>
        <v>500</v>
      </c>
      <c r="AV51" s="376">
        <f t="shared" ref="AV51:BV51" si="150">$C$51*L51</f>
        <v>500</v>
      </c>
      <c r="AW51" s="376">
        <f t="shared" si="150"/>
        <v>500</v>
      </c>
      <c r="AX51" s="376">
        <f t="shared" si="150"/>
        <v>500</v>
      </c>
      <c r="AY51" s="376">
        <f t="shared" si="150"/>
        <v>500</v>
      </c>
      <c r="AZ51" s="376">
        <f t="shared" si="150"/>
        <v>500</v>
      </c>
      <c r="BA51" s="376">
        <f t="shared" si="150"/>
        <v>500</v>
      </c>
      <c r="BB51" s="376">
        <f t="shared" si="150"/>
        <v>500</v>
      </c>
      <c r="BC51" s="376">
        <f t="shared" si="150"/>
        <v>500</v>
      </c>
      <c r="BD51" s="376">
        <f t="shared" si="150"/>
        <v>500</v>
      </c>
      <c r="BE51" s="376">
        <f t="shared" si="150"/>
        <v>500</v>
      </c>
      <c r="BF51" s="376">
        <f t="shared" si="150"/>
        <v>500</v>
      </c>
      <c r="BG51" s="376">
        <f t="shared" si="150"/>
        <v>500</v>
      </c>
      <c r="BH51" s="376">
        <f t="shared" si="150"/>
        <v>500</v>
      </c>
      <c r="BI51" s="376">
        <f t="shared" si="150"/>
        <v>500</v>
      </c>
      <c r="BJ51" s="376">
        <f t="shared" si="150"/>
        <v>500</v>
      </c>
      <c r="BK51" s="376">
        <f t="shared" si="150"/>
        <v>500</v>
      </c>
      <c r="BL51" s="376">
        <f t="shared" si="150"/>
        <v>500</v>
      </c>
      <c r="BM51" s="376">
        <f t="shared" si="150"/>
        <v>500</v>
      </c>
      <c r="BN51" s="376">
        <f t="shared" si="150"/>
        <v>500</v>
      </c>
      <c r="BO51" s="376">
        <f t="shared" si="150"/>
        <v>500</v>
      </c>
      <c r="BP51" s="376">
        <f t="shared" si="150"/>
        <v>500</v>
      </c>
      <c r="BQ51" s="376">
        <f t="shared" si="150"/>
        <v>500</v>
      </c>
      <c r="BR51" s="376">
        <f t="shared" si="150"/>
        <v>500</v>
      </c>
      <c r="BS51" s="376">
        <f t="shared" si="150"/>
        <v>500</v>
      </c>
      <c r="BT51" s="376">
        <f t="shared" si="150"/>
        <v>500</v>
      </c>
      <c r="BU51" s="376">
        <f t="shared" si="150"/>
        <v>500</v>
      </c>
      <c r="BV51" s="377">
        <f t="shared" si="150"/>
        <v>500</v>
      </c>
    </row>
    <row r="52" spans="1:74" ht="20.149999999999999" customHeight="1" outlineLevel="2" x14ac:dyDescent="0.25">
      <c r="A52" s="22" t="s">
        <v>81</v>
      </c>
      <c r="B52" s="8" t="str">
        <f>'Custos Insumos'!$C$41</f>
        <v>HMPP</v>
      </c>
      <c r="C52" s="284">
        <f>'Custos Insumos'!$D$41</f>
        <v>400</v>
      </c>
      <c r="D52" s="284">
        <v>3</v>
      </c>
      <c r="E52" s="284"/>
      <c r="F52" s="284"/>
      <c r="G52" s="284"/>
      <c r="H52" s="284"/>
      <c r="I52" s="284"/>
      <c r="J52" s="284"/>
      <c r="K52" s="284"/>
      <c r="L52" s="358"/>
      <c r="M52" s="358"/>
      <c r="N52" s="358"/>
      <c r="O52" s="358"/>
      <c r="P52" s="358">
        <f t="shared" si="122"/>
        <v>3</v>
      </c>
      <c r="Q52" s="358">
        <f t="shared" si="123"/>
        <v>0</v>
      </c>
      <c r="R52" s="358">
        <f t="shared" si="124"/>
        <v>0</v>
      </c>
      <c r="S52" s="358">
        <f t="shared" si="125"/>
        <v>0</v>
      </c>
      <c r="T52" s="358">
        <f t="shared" si="126"/>
        <v>0</v>
      </c>
      <c r="U52" s="358">
        <f t="shared" si="127"/>
        <v>0</v>
      </c>
      <c r="V52" s="358">
        <f t="shared" si="128"/>
        <v>0</v>
      </c>
      <c r="W52" s="358">
        <f t="shared" si="129"/>
        <v>0</v>
      </c>
      <c r="X52" s="358">
        <f t="shared" si="130"/>
        <v>0</v>
      </c>
      <c r="Y52" s="358">
        <f t="shared" si="131"/>
        <v>0</v>
      </c>
      <c r="Z52" s="358">
        <f t="shared" si="132"/>
        <v>0</v>
      </c>
      <c r="AA52" s="358">
        <f t="shared" si="133"/>
        <v>0</v>
      </c>
      <c r="AB52" s="358">
        <f t="shared" si="134"/>
        <v>3</v>
      </c>
      <c r="AC52" s="358">
        <f t="shared" si="135"/>
        <v>0</v>
      </c>
      <c r="AD52" s="358">
        <f t="shared" si="136"/>
        <v>0</v>
      </c>
      <c r="AE52" s="358">
        <f t="shared" si="137"/>
        <v>0</v>
      </c>
      <c r="AF52" s="358">
        <f t="shared" si="138"/>
        <v>0</v>
      </c>
      <c r="AG52" s="358">
        <f t="shared" si="139"/>
        <v>0</v>
      </c>
      <c r="AH52" s="358">
        <f t="shared" si="140"/>
        <v>0</v>
      </c>
      <c r="AI52" s="358">
        <f t="shared" si="141"/>
        <v>0</v>
      </c>
      <c r="AJ52" s="358">
        <f t="shared" si="142"/>
        <v>0</v>
      </c>
      <c r="AK52" s="358">
        <f t="shared" si="143"/>
        <v>0</v>
      </c>
      <c r="AL52" s="359">
        <f t="shared" si="144"/>
        <v>0</v>
      </c>
      <c r="AM52" s="636"/>
      <c r="AN52" s="285">
        <f t="shared" ref="AN52:AU52" si="151">$C$52*D52</f>
        <v>1200</v>
      </c>
      <c r="AO52" s="286">
        <f t="shared" si="151"/>
        <v>0</v>
      </c>
      <c r="AP52" s="286">
        <f t="shared" si="151"/>
        <v>0</v>
      </c>
      <c r="AQ52" s="286">
        <f t="shared" si="151"/>
        <v>0</v>
      </c>
      <c r="AR52" s="286">
        <f t="shared" si="151"/>
        <v>0</v>
      </c>
      <c r="AS52" s="286">
        <f t="shared" si="151"/>
        <v>0</v>
      </c>
      <c r="AT52" s="286">
        <f t="shared" si="151"/>
        <v>0</v>
      </c>
      <c r="AU52" s="286">
        <f t="shared" si="151"/>
        <v>0</v>
      </c>
      <c r="AV52" s="376">
        <f t="shared" ref="AV52:BV52" si="152">$C$52*L52</f>
        <v>0</v>
      </c>
      <c r="AW52" s="376">
        <f t="shared" si="152"/>
        <v>0</v>
      </c>
      <c r="AX52" s="376">
        <f t="shared" si="152"/>
        <v>0</v>
      </c>
      <c r="AY52" s="376">
        <f t="shared" si="152"/>
        <v>0</v>
      </c>
      <c r="AZ52" s="376">
        <f t="shared" si="152"/>
        <v>1200</v>
      </c>
      <c r="BA52" s="376">
        <f t="shared" si="152"/>
        <v>0</v>
      </c>
      <c r="BB52" s="376">
        <f t="shared" si="152"/>
        <v>0</v>
      </c>
      <c r="BC52" s="376">
        <f t="shared" si="152"/>
        <v>0</v>
      </c>
      <c r="BD52" s="376">
        <f t="shared" si="152"/>
        <v>0</v>
      </c>
      <c r="BE52" s="376">
        <f t="shared" si="152"/>
        <v>0</v>
      </c>
      <c r="BF52" s="376">
        <f t="shared" si="152"/>
        <v>0</v>
      </c>
      <c r="BG52" s="376">
        <f t="shared" si="152"/>
        <v>0</v>
      </c>
      <c r="BH52" s="376">
        <f t="shared" si="152"/>
        <v>0</v>
      </c>
      <c r="BI52" s="376">
        <f t="shared" si="152"/>
        <v>0</v>
      </c>
      <c r="BJ52" s="376">
        <f t="shared" si="152"/>
        <v>0</v>
      </c>
      <c r="BK52" s="376">
        <f t="shared" si="152"/>
        <v>0</v>
      </c>
      <c r="BL52" s="376">
        <f t="shared" si="152"/>
        <v>1200</v>
      </c>
      <c r="BM52" s="376">
        <f t="shared" si="152"/>
        <v>0</v>
      </c>
      <c r="BN52" s="376">
        <f t="shared" si="152"/>
        <v>0</v>
      </c>
      <c r="BO52" s="376">
        <f t="shared" si="152"/>
        <v>0</v>
      </c>
      <c r="BP52" s="376">
        <f t="shared" si="152"/>
        <v>0</v>
      </c>
      <c r="BQ52" s="376">
        <f t="shared" si="152"/>
        <v>0</v>
      </c>
      <c r="BR52" s="376">
        <f t="shared" si="152"/>
        <v>0</v>
      </c>
      <c r="BS52" s="376">
        <f t="shared" si="152"/>
        <v>0</v>
      </c>
      <c r="BT52" s="376">
        <f t="shared" si="152"/>
        <v>0</v>
      </c>
      <c r="BU52" s="376">
        <f t="shared" si="152"/>
        <v>0</v>
      </c>
      <c r="BV52" s="377">
        <f t="shared" si="152"/>
        <v>0</v>
      </c>
    </row>
    <row r="53" spans="1:74" ht="20.149999999999999" customHeight="1" outlineLevel="2" x14ac:dyDescent="0.25">
      <c r="A53" s="22" t="s">
        <v>82</v>
      </c>
      <c r="B53" s="12" t="str">
        <f>'Custos Insumos'!$C$42</f>
        <v>HMPM</v>
      </c>
      <c r="C53" s="284">
        <f>'Custos Insumos'!$D$42</f>
        <v>250</v>
      </c>
      <c r="D53" s="284">
        <v>3</v>
      </c>
      <c r="E53" s="284"/>
      <c r="F53" s="284"/>
      <c r="G53" s="284"/>
      <c r="H53" s="284"/>
      <c r="I53" s="284"/>
      <c r="J53" s="284"/>
      <c r="K53" s="284"/>
      <c r="L53" s="358"/>
      <c r="M53" s="358"/>
      <c r="N53" s="358"/>
      <c r="O53" s="358"/>
      <c r="P53" s="358">
        <f t="shared" si="122"/>
        <v>3</v>
      </c>
      <c r="Q53" s="358">
        <f t="shared" si="123"/>
        <v>0</v>
      </c>
      <c r="R53" s="358">
        <f t="shared" si="124"/>
        <v>0</v>
      </c>
      <c r="S53" s="358">
        <f t="shared" si="125"/>
        <v>0</v>
      </c>
      <c r="T53" s="358">
        <f t="shared" si="126"/>
        <v>0</v>
      </c>
      <c r="U53" s="358">
        <f t="shared" si="127"/>
        <v>0</v>
      </c>
      <c r="V53" s="358">
        <f t="shared" si="128"/>
        <v>0</v>
      </c>
      <c r="W53" s="358">
        <f t="shared" si="129"/>
        <v>0</v>
      </c>
      <c r="X53" s="358">
        <f t="shared" si="130"/>
        <v>0</v>
      </c>
      <c r="Y53" s="358">
        <f t="shared" si="131"/>
        <v>0</v>
      </c>
      <c r="Z53" s="358">
        <f t="shared" si="132"/>
        <v>0</v>
      </c>
      <c r="AA53" s="358">
        <f t="shared" si="133"/>
        <v>0</v>
      </c>
      <c r="AB53" s="358">
        <f t="shared" si="134"/>
        <v>3</v>
      </c>
      <c r="AC53" s="358">
        <f t="shared" si="135"/>
        <v>0</v>
      </c>
      <c r="AD53" s="358">
        <f t="shared" si="136"/>
        <v>0</v>
      </c>
      <c r="AE53" s="358">
        <f t="shared" si="137"/>
        <v>0</v>
      </c>
      <c r="AF53" s="358">
        <f t="shared" si="138"/>
        <v>0</v>
      </c>
      <c r="AG53" s="358">
        <f t="shared" si="139"/>
        <v>0</v>
      </c>
      <c r="AH53" s="358">
        <f t="shared" si="140"/>
        <v>0</v>
      </c>
      <c r="AI53" s="358">
        <f t="shared" si="141"/>
        <v>0</v>
      </c>
      <c r="AJ53" s="358">
        <f t="shared" si="142"/>
        <v>0</v>
      </c>
      <c r="AK53" s="358">
        <f t="shared" si="143"/>
        <v>0</v>
      </c>
      <c r="AL53" s="359">
        <f t="shared" si="144"/>
        <v>0</v>
      </c>
      <c r="AM53" s="636"/>
      <c r="AN53" s="285">
        <f t="shared" ref="AN53:AU53" si="153">$C$53*D53</f>
        <v>750</v>
      </c>
      <c r="AO53" s="286">
        <f t="shared" si="153"/>
        <v>0</v>
      </c>
      <c r="AP53" s="286">
        <f t="shared" si="153"/>
        <v>0</v>
      </c>
      <c r="AQ53" s="286">
        <f t="shared" si="153"/>
        <v>0</v>
      </c>
      <c r="AR53" s="286">
        <f t="shared" si="153"/>
        <v>0</v>
      </c>
      <c r="AS53" s="286">
        <f t="shared" si="153"/>
        <v>0</v>
      </c>
      <c r="AT53" s="286">
        <f t="shared" si="153"/>
        <v>0</v>
      </c>
      <c r="AU53" s="286">
        <f t="shared" si="153"/>
        <v>0</v>
      </c>
      <c r="AV53" s="376">
        <f t="shared" ref="AV53:BV53" si="154">$C$53*L53</f>
        <v>0</v>
      </c>
      <c r="AW53" s="376">
        <f t="shared" si="154"/>
        <v>0</v>
      </c>
      <c r="AX53" s="376">
        <f t="shared" si="154"/>
        <v>0</v>
      </c>
      <c r="AY53" s="376">
        <f t="shared" si="154"/>
        <v>0</v>
      </c>
      <c r="AZ53" s="376">
        <f t="shared" si="154"/>
        <v>750</v>
      </c>
      <c r="BA53" s="376">
        <f t="shared" si="154"/>
        <v>0</v>
      </c>
      <c r="BB53" s="376">
        <f t="shared" si="154"/>
        <v>0</v>
      </c>
      <c r="BC53" s="376">
        <f t="shared" si="154"/>
        <v>0</v>
      </c>
      <c r="BD53" s="376">
        <f t="shared" si="154"/>
        <v>0</v>
      </c>
      <c r="BE53" s="376">
        <f t="shared" si="154"/>
        <v>0</v>
      </c>
      <c r="BF53" s="376">
        <f t="shared" si="154"/>
        <v>0</v>
      </c>
      <c r="BG53" s="376">
        <f t="shared" si="154"/>
        <v>0</v>
      </c>
      <c r="BH53" s="376">
        <f t="shared" si="154"/>
        <v>0</v>
      </c>
      <c r="BI53" s="376">
        <f t="shared" si="154"/>
        <v>0</v>
      </c>
      <c r="BJ53" s="376">
        <f t="shared" si="154"/>
        <v>0</v>
      </c>
      <c r="BK53" s="376">
        <f t="shared" si="154"/>
        <v>0</v>
      </c>
      <c r="BL53" s="376">
        <f t="shared" si="154"/>
        <v>750</v>
      </c>
      <c r="BM53" s="376">
        <f t="shared" si="154"/>
        <v>0</v>
      </c>
      <c r="BN53" s="376">
        <f t="shared" si="154"/>
        <v>0</v>
      </c>
      <c r="BO53" s="376">
        <f t="shared" si="154"/>
        <v>0</v>
      </c>
      <c r="BP53" s="376">
        <f t="shared" si="154"/>
        <v>0</v>
      </c>
      <c r="BQ53" s="376">
        <f t="shared" si="154"/>
        <v>0</v>
      </c>
      <c r="BR53" s="376">
        <f t="shared" si="154"/>
        <v>0</v>
      </c>
      <c r="BS53" s="376">
        <f t="shared" si="154"/>
        <v>0</v>
      </c>
      <c r="BT53" s="376">
        <f t="shared" si="154"/>
        <v>0</v>
      </c>
      <c r="BU53" s="376">
        <f t="shared" si="154"/>
        <v>0</v>
      </c>
      <c r="BV53" s="377">
        <f t="shared" si="154"/>
        <v>0</v>
      </c>
    </row>
    <row r="54" spans="1:74" ht="20.149999999999999" customHeight="1" outlineLevel="2" x14ac:dyDescent="0.25">
      <c r="A54" s="22" t="s">
        <v>86</v>
      </c>
      <c r="B54" s="12" t="str">
        <f>'Custos Insumos'!$C$42</f>
        <v>HMPM</v>
      </c>
      <c r="C54" s="284">
        <f>'Custos Insumos'!$D$42</f>
        <v>250</v>
      </c>
      <c r="D54" s="284">
        <v>4</v>
      </c>
      <c r="E54" s="284">
        <v>5</v>
      </c>
      <c r="F54" s="284">
        <v>5</v>
      </c>
      <c r="G54" s="284">
        <v>5</v>
      </c>
      <c r="H54" s="284">
        <v>5</v>
      </c>
      <c r="I54" s="284">
        <v>5</v>
      </c>
      <c r="J54" s="284">
        <v>5</v>
      </c>
      <c r="K54" s="284">
        <v>5</v>
      </c>
      <c r="L54" s="358">
        <v>5</v>
      </c>
      <c r="M54" s="358">
        <v>5</v>
      </c>
      <c r="N54" s="358">
        <v>5</v>
      </c>
      <c r="O54" s="358">
        <v>5</v>
      </c>
      <c r="P54" s="358">
        <f t="shared" si="122"/>
        <v>4</v>
      </c>
      <c r="Q54" s="358">
        <f t="shared" si="123"/>
        <v>5</v>
      </c>
      <c r="R54" s="358">
        <f t="shared" si="124"/>
        <v>5</v>
      </c>
      <c r="S54" s="358">
        <f t="shared" si="125"/>
        <v>5</v>
      </c>
      <c r="T54" s="358">
        <f t="shared" si="126"/>
        <v>5</v>
      </c>
      <c r="U54" s="358">
        <f t="shared" si="127"/>
        <v>5</v>
      </c>
      <c r="V54" s="358">
        <f t="shared" si="128"/>
        <v>5</v>
      </c>
      <c r="W54" s="358">
        <f t="shared" si="129"/>
        <v>5</v>
      </c>
      <c r="X54" s="358">
        <f t="shared" si="130"/>
        <v>5</v>
      </c>
      <c r="Y54" s="358">
        <f t="shared" si="131"/>
        <v>5</v>
      </c>
      <c r="Z54" s="358">
        <f t="shared" si="132"/>
        <v>5</v>
      </c>
      <c r="AA54" s="358">
        <f t="shared" si="133"/>
        <v>5</v>
      </c>
      <c r="AB54" s="358">
        <f t="shared" si="134"/>
        <v>4</v>
      </c>
      <c r="AC54" s="358">
        <f t="shared" si="135"/>
        <v>5</v>
      </c>
      <c r="AD54" s="358">
        <f t="shared" si="136"/>
        <v>5</v>
      </c>
      <c r="AE54" s="358">
        <f t="shared" si="137"/>
        <v>5</v>
      </c>
      <c r="AF54" s="358">
        <f t="shared" si="138"/>
        <v>5</v>
      </c>
      <c r="AG54" s="358">
        <f t="shared" si="139"/>
        <v>5</v>
      </c>
      <c r="AH54" s="358">
        <f t="shared" si="140"/>
        <v>5</v>
      </c>
      <c r="AI54" s="358">
        <f t="shared" si="141"/>
        <v>5</v>
      </c>
      <c r="AJ54" s="358">
        <f t="shared" si="142"/>
        <v>5</v>
      </c>
      <c r="AK54" s="358">
        <f t="shared" si="143"/>
        <v>5</v>
      </c>
      <c r="AL54" s="359">
        <f t="shared" si="144"/>
        <v>5</v>
      </c>
      <c r="AM54" s="636"/>
      <c r="AN54" s="285">
        <f t="shared" ref="AN54:AU54" si="155">$C$54*D54</f>
        <v>1000</v>
      </c>
      <c r="AO54" s="286">
        <f t="shared" si="155"/>
        <v>1250</v>
      </c>
      <c r="AP54" s="286">
        <f t="shared" si="155"/>
        <v>1250</v>
      </c>
      <c r="AQ54" s="286">
        <f t="shared" si="155"/>
        <v>1250</v>
      </c>
      <c r="AR54" s="286">
        <f t="shared" si="155"/>
        <v>1250</v>
      </c>
      <c r="AS54" s="286">
        <f t="shared" si="155"/>
        <v>1250</v>
      </c>
      <c r="AT54" s="286">
        <f t="shared" si="155"/>
        <v>1250</v>
      </c>
      <c r="AU54" s="286">
        <f t="shared" si="155"/>
        <v>1250</v>
      </c>
      <c r="AV54" s="376">
        <f t="shared" ref="AV54:BV54" si="156">$C$54*L54</f>
        <v>1250</v>
      </c>
      <c r="AW54" s="376">
        <f t="shared" si="156"/>
        <v>1250</v>
      </c>
      <c r="AX54" s="376">
        <f t="shared" si="156"/>
        <v>1250</v>
      </c>
      <c r="AY54" s="376">
        <f t="shared" si="156"/>
        <v>1250</v>
      </c>
      <c r="AZ54" s="376">
        <f t="shared" si="156"/>
        <v>1000</v>
      </c>
      <c r="BA54" s="376">
        <f t="shared" si="156"/>
        <v>1250</v>
      </c>
      <c r="BB54" s="376">
        <f t="shared" si="156"/>
        <v>1250</v>
      </c>
      <c r="BC54" s="376">
        <f t="shared" si="156"/>
        <v>1250</v>
      </c>
      <c r="BD54" s="376">
        <f t="shared" si="156"/>
        <v>1250</v>
      </c>
      <c r="BE54" s="376">
        <f t="shared" si="156"/>
        <v>1250</v>
      </c>
      <c r="BF54" s="376">
        <f t="shared" si="156"/>
        <v>1250</v>
      </c>
      <c r="BG54" s="376">
        <f t="shared" si="156"/>
        <v>1250</v>
      </c>
      <c r="BH54" s="376">
        <f t="shared" si="156"/>
        <v>1250</v>
      </c>
      <c r="BI54" s="376">
        <f t="shared" si="156"/>
        <v>1250</v>
      </c>
      <c r="BJ54" s="376">
        <f t="shared" si="156"/>
        <v>1250</v>
      </c>
      <c r="BK54" s="376">
        <f t="shared" si="156"/>
        <v>1250</v>
      </c>
      <c r="BL54" s="376">
        <f t="shared" si="156"/>
        <v>1000</v>
      </c>
      <c r="BM54" s="376">
        <f t="shared" si="156"/>
        <v>1250</v>
      </c>
      <c r="BN54" s="376">
        <f t="shared" si="156"/>
        <v>1250</v>
      </c>
      <c r="BO54" s="376">
        <f t="shared" si="156"/>
        <v>1250</v>
      </c>
      <c r="BP54" s="376">
        <f t="shared" si="156"/>
        <v>1250</v>
      </c>
      <c r="BQ54" s="376">
        <f t="shared" si="156"/>
        <v>1250</v>
      </c>
      <c r="BR54" s="376">
        <f t="shared" si="156"/>
        <v>1250</v>
      </c>
      <c r="BS54" s="376">
        <f t="shared" si="156"/>
        <v>1250</v>
      </c>
      <c r="BT54" s="376">
        <f t="shared" si="156"/>
        <v>1250</v>
      </c>
      <c r="BU54" s="376">
        <f t="shared" si="156"/>
        <v>1250</v>
      </c>
      <c r="BV54" s="377">
        <f t="shared" si="156"/>
        <v>1250</v>
      </c>
    </row>
    <row r="55" spans="1:74" ht="20.149999999999999" customHeight="1" outlineLevel="2" x14ac:dyDescent="0.25">
      <c r="A55" s="22" t="s">
        <v>83</v>
      </c>
      <c r="B55" s="12" t="str">
        <f>'Custos Insumos'!$C$42</f>
        <v>HMPM</v>
      </c>
      <c r="C55" s="284">
        <f>'Custos Insumos'!$D$42</f>
        <v>250</v>
      </c>
      <c r="D55" s="284">
        <f>D41/2</f>
        <v>1.5</v>
      </c>
      <c r="E55" s="284"/>
      <c r="F55" s="284"/>
      <c r="G55" s="284"/>
      <c r="H55" s="284"/>
      <c r="I55" s="284"/>
      <c r="J55" s="284"/>
      <c r="K55" s="284"/>
      <c r="L55" s="358"/>
      <c r="M55" s="358"/>
      <c r="N55" s="358"/>
      <c r="O55" s="358"/>
      <c r="P55" s="358">
        <f t="shared" si="122"/>
        <v>1.5</v>
      </c>
      <c r="Q55" s="358">
        <f t="shared" si="123"/>
        <v>0</v>
      </c>
      <c r="R55" s="358">
        <f t="shared" si="124"/>
        <v>0</v>
      </c>
      <c r="S55" s="358">
        <f t="shared" si="125"/>
        <v>0</v>
      </c>
      <c r="T55" s="358">
        <f t="shared" si="126"/>
        <v>0</v>
      </c>
      <c r="U55" s="358">
        <f t="shared" si="127"/>
        <v>0</v>
      </c>
      <c r="V55" s="358">
        <f t="shared" si="128"/>
        <v>0</v>
      </c>
      <c r="W55" s="358">
        <f t="shared" si="129"/>
        <v>0</v>
      </c>
      <c r="X55" s="358">
        <f t="shared" si="130"/>
        <v>0</v>
      </c>
      <c r="Y55" s="358">
        <f t="shared" si="131"/>
        <v>0</v>
      </c>
      <c r="Z55" s="358">
        <f t="shared" si="132"/>
        <v>0</v>
      </c>
      <c r="AA55" s="358">
        <f t="shared" si="133"/>
        <v>0</v>
      </c>
      <c r="AB55" s="358">
        <f t="shared" si="134"/>
        <v>1.5</v>
      </c>
      <c r="AC55" s="358">
        <f t="shared" si="135"/>
        <v>0</v>
      </c>
      <c r="AD55" s="358">
        <f t="shared" si="136"/>
        <v>0</v>
      </c>
      <c r="AE55" s="358">
        <f t="shared" si="137"/>
        <v>0</v>
      </c>
      <c r="AF55" s="358">
        <f t="shared" si="138"/>
        <v>0</v>
      </c>
      <c r="AG55" s="358">
        <f t="shared" si="139"/>
        <v>0</v>
      </c>
      <c r="AH55" s="358">
        <f t="shared" si="140"/>
        <v>0</v>
      </c>
      <c r="AI55" s="358">
        <f t="shared" si="141"/>
        <v>0</v>
      </c>
      <c r="AJ55" s="358">
        <f t="shared" si="142"/>
        <v>0</v>
      </c>
      <c r="AK55" s="358">
        <f t="shared" si="143"/>
        <v>0</v>
      </c>
      <c r="AL55" s="359">
        <f t="shared" si="144"/>
        <v>0</v>
      </c>
      <c r="AM55" s="636"/>
      <c r="AN55" s="285">
        <f t="shared" ref="AN55:AU55" si="157">$C$55*D55</f>
        <v>375</v>
      </c>
      <c r="AO55" s="286">
        <f t="shared" si="157"/>
        <v>0</v>
      </c>
      <c r="AP55" s="286">
        <f t="shared" si="157"/>
        <v>0</v>
      </c>
      <c r="AQ55" s="286">
        <f t="shared" si="157"/>
        <v>0</v>
      </c>
      <c r="AR55" s="286">
        <f t="shared" si="157"/>
        <v>0</v>
      </c>
      <c r="AS55" s="286">
        <f t="shared" si="157"/>
        <v>0</v>
      </c>
      <c r="AT55" s="286">
        <f t="shared" si="157"/>
        <v>0</v>
      </c>
      <c r="AU55" s="286">
        <f t="shared" si="157"/>
        <v>0</v>
      </c>
      <c r="AV55" s="376">
        <f t="shared" ref="AV55:BV55" si="158">$C$55*L55</f>
        <v>0</v>
      </c>
      <c r="AW55" s="376">
        <f t="shared" si="158"/>
        <v>0</v>
      </c>
      <c r="AX55" s="376">
        <f t="shared" si="158"/>
        <v>0</v>
      </c>
      <c r="AY55" s="376">
        <f t="shared" si="158"/>
        <v>0</v>
      </c>
      <c r="AZ55" s="376">
        <f t="shared" si="158"/>
        <v>375</v>
      </c>
      <c r="BA55" s="376">
        <f t="shared" si="158"/>
        <v>0</v>
      </c>
      <c r="BB55" s="376">
        <f t="shared" si="158"/>
        <v>0</v>
      </c>
      <c r="BC55" s="376">
        <f t="shared" si="158"/>
        <v>0</v>
      </c>
      <c r="BD55" s="376">
        <f t="shared" si="158"/>
        <v>0</v>
      </c>
      <c r="BE55" s="376">
        <f t="shared" si="158"/>
        <v>0</v>
      </c>
      <c r="BF55" s="376">
        <f t="shared" si="158"/>
        <v>0</v>
      </c>
      <c r="BG55" s="376">
        <f t="shared" si="158"/>
        <v>0</v>
      </c>
      <c r="BH55" s="376">
        <f t="shared" si="158"/>
        <v>0</v>
      </c>
      <c r="BI55" s="376">
        <f t="shared" si="158"/>
        <v>0</v>
      </c>
      <c r="BJ55" s="376">
        <f t="shared" si="158"/>
        <v>0</v>
      </c>
      <c r="BK55" s="376">
        <f t="shared" si="158"/>
        <v>0</v>
      </c>
      <c r="BL55" s="376">
        <f t="shared" si="158"/>
        <v>375</v>
      </c>
      <c r="BM55" s="376">
        <f t="shared" si="158"/>
        <v>0</v>
      </c>
      <c r="BN55" s="376">
        <f t="shared" si="158"/>
        <v>0</v>
      </c>
      <c r="BO55" s="376">
        <f t="shared" si="158"/>
        <v>0</v>
      </c>
      <c r="BP55" s="376">
        <f t="shared" si="158"/>
        <v>0</v>
      </c>
      <c r="BQ55" s="376">
        <f t="shared" si="158"/>
        <v>0</v>
      </c>
      <c r="BR55" s="376">
        <f t="shared" si="158"/>
        <v>0</v>
      </c>
      <c r="BS55" s="376">
        <f t="shared" si="158"/>
        <v>0</v>
      </c>
      <c r="BT55" s="376">
        <f t="shared" si="158"/>
        <v>0</v>
      </c>
      <c r="BU55" s="376">
        <f t="shared" si="158"/>
        <v>0</v>
      </c>
      <c r="BV55" s="377">
        <f t="shared" si="158"/>
        <v>0</v>
      </c>
    </row>
    <row r="56" spans="1:74" ht="20.149999999999999" customHeight="1" outlineLevel="2" x14ac:dyDescent="0.25">
      <c r="A56" s="22" t="s">
        <v>84</v>
      </c>
      <c r="B56" s="12" t="str">
        <f>'Custos Insumos'!$C$42</f>
        <v>HMPM</v>
      </c>
      <c r="C56" s="284">
        <f>'Custos Insumos'!$D$42</f>
        <v>250</v>
      </c>
      <c r="D56" s="284">
        <v>6</v>
      </c>
      <c r="E56" s="284">
        <v>3</v>
      </c>
      <c r="F56" s="284">
        <v>0.5</v>
      </c>
      <c r="G56" s="284">
        <v>0.5</v>
      </c>
      <c r="H56" s="284">
        <v>0.5</v>
      </c>
      <c r="I56" s="284">
        <v>0.5</v>
      </c>
      <c r="J56" s="284">
        <v>0.5</v>
      </c>
      <c r="K56" s="284">
        <v>0.5</v>
      </c>
      <c r="L56" s="358">
        <v>0.5</v>
      </c>
      <c r="M56" s="358">
        <v>0.5</v>
      </c>
      <c r="N56" s="358">
        <v>0.5</v>
      </c>
      <c r="O56" s="358">
        <v>0.5</v>
      </c>
      <c r="P56" s="358">
        <f t="shared" si="122"/>
        <v>6</v>
      </c>
      <c r="Q56" s="358">
        <f t="shared" si="123"/>
        <v>3</v>
      </c>
      <c r="R56" s="358">
        <f t="shared" si="124"/>
        <v>0.5</v>
      </c>
      <c r="S56" s="358">
        <f t="shared" si="125"/>
        <v>0.5</v>
      </c>
      <c r="T56" s="358">
        <f t="shared" si="126"/>
        <v>0.5</v>
      </c>
      <c r="U56" s="358">
        <f t="shared" si="127"/>
        <v>0.5</v>
      </c>
      <c r="V56" s="358">
        <f t="shared" si="128"/>
        <v>0.5</v>
      </c>
      <c r="W56" s="358">
        <f t="shared" si="129"/>
        <v>0.5</v>
      </c>
      <c r="X56" s="358">
        <f t="shared" si="130"/>
        <v>0.5</v>
      </c>
      <c r="Y56" s="358">
        <f t="shared" si="131"/>
        <v>0.5</v>
      </c>
      <c r="Z56" s="358">
        <f t="shared" si="132"/>
        <v>0.5</v>
      </c>
      <c r="AA56" s="358">
        <f t="shared" si="133"/>
        <v>0.5</v>
      </c>
      <c r="AB56" s="358">
        <f t="shared" si="134"/>
        <v>6</v>
      </c>
      <c r="AC56" s="358">
        <f t="shared" si="135"/>
        <v>3</v>
      </c>
      <c r="AD56" s="358">
        <f t="shared" si="136"/>
        <v>0.5</v>
      </c>
      <c r="AE56" s="358">
        <f t="shared" si="137"/>
        <v>0.5</v>
      </c>
      <c r="AF56" s="358">
        <f t="shared" si="138"/>
        <v>0.5</v>
      </c>
      <c r="AG56" s="358">
        <f t="shared" si="139"/>
        <v>0.5</v>
      </c>
      <c r="AH56" s="358">
        <f t="shared" si="140"/>
        <v>0.5</v>
      </c>
      <c r="AI56" s="358">
        <f t="shared" si="141"/>
        <v>0.5</v>
      </c>
      <c r="AJ56" s="358">
        <f t="shared" si="142"/>
        <v>0.5</v>
      </c>
      <c r="AK56" s="358">
        <f t="shared" si="143"/>
        <v>0.5</v>
      </c>
      <c r="AL56" s="359">
        <f t="shared" si="144"/>
        <v>0.5</v>
      </c>
      <c r="AM56" s="636"/>
      <c r="AN56" s="285">
        <f t="shared" ref="AN56:AU56" si="159">$C$56*D56</f>
        <v>1500</v>
      </c>
      <c r="AO56" s="286">
        <f t="shared" si="159"/>
        <v>750</v>
      </c>
      <c r="AP56" s="286">
        <f t="shared" si="159"/>
        <v>125</v>
      </c>
      <c r="AQ56" s="286">
        <f t="shared" si="159"/>
        <v>125</v>
      </c>
      <c r="AR56" s="286">
        <f t="shared" si="159"/>
        <v>125</v>
      </c>
      <c r="AS56" s="286">
        <f t="shared" si="159"/>
        <v>125</v>
      </c>
      <c r="AT56" s="286">
        <f t="shared" si="159"/>
        <v>125</v>
      </c>
      <c r="AU56" s="286">
        <f t="shared" si="159"/>
        <v>125</v>
      </c>
      <c r="AV56" s="376">
        <f t="shared" ref="AV56:BV56" si="160">$C$56*L56</f>
        <v>125</v>
      </c>
      <c r="AW56" s="376">
        <f t="shared" si="160"/>
        <v>125</v>
      </c>
      <c r="AX56" s="376">
        <f t="shared" si="160"/>
        <v>125</v>
      </c>
      <c r="AY56" s="376">
        <f t="shared" si="160"/>
        <v>125</v>
      </c>
      <c r="AZ56" s="376">
        <f t="shared" si="160"/>
        <v>1500</v>
      </c>
      <c r="BA56" s="376">
        <f t="shared" si="160"/>
        <v>750</v>
      </c>
      <c r="BB56" s="376">
        <f t="shared" si="160"/>
        <v>125</v>
      </c>
      <c r="BC56" s="376">
        <f t="shared" si="160"/>
        <v>125</v>
      </c>
      <c r="BD56" s="376">
        <f t="shared" si="160"/>
        <v>125</v>
      </c>
      <c r="BE56" s="376">
        <f t="shared" si="160"/>
        <v>125</v>
      </c>
      <c r="BF56" s="376">
        <f t="shared" si="160"/>
        <v>125</v>
      </c>
      <c r="BG56" s="376">
        <f t="shared" si="160"/>
        <v>125</v>
      </c>
      <c r="BH56" s="376">
        <f t="shared" si="160"/>
        <v>125</v>
      </c>
      <c r="BI56" s="376">
        <f t="shared" si="160"/>
        <v>125</v>
      </c>
      <c r="BJ56" s="376">
        <f t="shared" si="160"/>
        <v>125</v>
      </c>
      <c r="BK56" s="376">
        <f t="shared" si="160"/>
        <v>125</v>
      </c>
      <c r="BL56" s="376">
        <f t="shared" si="160"/>
        <v>1500</v>
      </c>
      <c r="BM56" s="376">
        <f t="shared" si="160"/>
        <v>750</v>
      </c>
      <c r="BN56" s="376">
        <f t="shared" si="160"/>
        <v>125</v>
      </c>
      <c r="BO56" s="376">
        <f t="shared" si="160"/>
        <v>125</v>
      </c>
      <c r="BP56" s="376">
        <f t="shared" si="160"/>
        <v>125</v>
      </c>
      <c r="BQ56" s="376">
        <f t="shared" si="160"/>
        <v>125</v>
      </c>
      <c r="BR56" s="376">
        <f t="shared" si="160"/>
        <v>125</v>
      </c>
      <c r="BS56" s="376">
        <f t="shared" si="160"/>
        <v>125</v>
      </c>
      <c r="BT56" s="376">
        <f t="shared" si="160"/>
        <v>125</v>
      </c>
      <c r="BU56" s="376">
        <f t="shared" si="160"/>
        <v>125</v>
      </c>
      <c r="BV56" s="377">
        <f t="shared" si="160"/>
        <v>125</v>
      </c>
    </row>
    <row r="57" spans="1:74" ht="20.149999999999999" customHeight="1" outlineLevel="2" x14ac:dyDescent="0.25">
      <c r="A57" s="22" t="s">
        <v>330</v>
      </c>
      <c r="B57" s="12" t="s">
        <v>331</v>
      </c>
      <c r="C57" s="284">
        <f>'Custos Diversos'!E186</f>
        <v>5024</v>
      </c>
      <c r="D57" s="284"/>
      <c r="E57" s="284"/>
      <c r="F57" s="284"/>
      <c r="G57" s="284"/>
      <c r="H57" s="284"/>
      <c r="I57" s="284"/>
      <c r="J57" s="284"/>
      <c r="K57" s="284"/>
      <c r="L57" s="358"/>
      <c r="M57" s="358"/>
      <c r="N57" s="358"/>
      <c r="O57" s="358"/>
      <c r="P57" s="358">
        <v>1</v>
      </c>
      <c r="Q57" s="358"/>
      <c r="R57" s="358"/>
      <c r="S57" s="358"/>
      <c r="T57" s="358"/>
      <c r="U57" s="358"/>
      <c r="V57" s="358"/>
      <c r="W57" s="358"/>
      <c r="X57" s="358"/>
      <c r="Y57" s="358"/>
      <c r="Z57" s="358"/>
      <c r="AA57" s="358"/>
      <c r="AB57" s="358">
        <v>1</v>
      </c>
      <c r="AC57" s="358"/>
      <c r="AD57" s="358"/>
      <c r="AE57" s="358"/>
      <c r="AF57" s="358"/>
      <c r="AG57" s="358"/>
      <c r="AH57" s="358"/>
      <c r="AI57" s="358"/>
      <c r="AJ57" s="358"/>
      <c r="AK57" s="358"/>
      <c r="AL57" s="359"/>
      <c r="AM57" s="636"/>
      <c r="AN57" s="285">
        <f>$C$57*D57</f>
        <v>0</v>
      </c>
      <c r="AO57" s="286">
        <f t="shared" ref="AO57:BV57" si="161">$C$57*E57</f>
        <v>0</v>
      </c>
      <c r="AP57" s="286">
        <f t="shared" si="161"/>
        <v>0</v>
      </c>
      <c r="AQ57" s="286">
        <f t="shared" si="161"/>
        <v>0</v>
      </c>
      <c r="AR57" s="286">
        <f t="shared" si="161"/>
        <v>0</v>
      </c>
      <c r="AS57" s="286">
        <f t="shared" si="161"/>
        <v>0</v>
      </c>
      <c r="AT57" s="286">
        <f t="shared" si="161"/>
        <v>0</v>
      </c>
      <c r="AU57" s="286">
        <f t="shared" si="161"/>
        <v>0</v>
      </c>
      <c r="AV57" s="395">
        <f t="shared" si="161"/>
        <v>0</v>
      </c>
      <c r="AW57" s="395">
        <f t="shared" si="161"/>
        <v>0</v>
      </c>
      <c r="AX57" s="395">
        <f t="shared" si="161"/>
        <v>0</v>
      </c>
      <c r="AY57" s="395">
        <f t="shared" si="161"/>
        <v>0</v>
      </c>
      <c r="AZ57" s="395">
        <f t="shared" si="161"/>
        <v>5024</v>
      </c>
      <c r="BA57" s="395">
        <f t="shared" si="161"/>
        <v>0</v>
      </c>
      <c r="BB57" s="395">
        <f t="shared" si="161"/>
        <v>0</v>
      </c>
      <c r="BC57" s="395">
        <f t="shared" si="161"/>
        <v>0</v>
      </c>
      <c r="BD57" s="395">
        <f t="shared" si="161"/>
        <v>0</v>
      </c>
      <c r="BE57" s="395">
        <f t="shared" si="161"/>
        <v>0</v>
      </c>
      <c r="BF57" s="395">
        <f t="shared" si="161"/>
        <v>0</v>
      </c>
      <c r="BG57" s="395">
        <f t="shared" si="161"/>
        <v>0</v>
      </c>
      <c r="BH57" s="395">
        <f t="shared" si="161"/>
        <v>0</v>
      </c>
      <c r="BI57" s="395">
        <f t="shared" si="161"/>
        <v>0</v>
      </c>
      <c r="BJ57" s="395">
        <f t="shared" si="161"/>
        <v>0</v>
      </c>
      <c r="BK57" s="395">
        <f t="shared" si="161"/>
        <v>0</v>
      </c>
      <c r="BL57" s="395">
        <f t="shared" si="161"/>
        <v>5024</v>
      </c>
      <c r="BM57" s="395">
        <f t="shared" si="161"/>
        <v>0</v>
      </c>
      <c r="BN57" s="395">
        <f t="shared" si="161"/>
        <v>0</v>
      </c>
      <c r="BO57" s="395">
        <f t="shared" si="161"/>
        <v>0</v>
      </c>
      <c r="BP57" s="395">
        <f t="shared" si="161"/>
        <v>0</v>
      </c>
      <c r="BQ57" s="395">
        <f t="shared" si="161"/>
        <v>0</v>
      </c>
      <c r="BR57" s="395">
        <f t="shared" si="161"/>
        <v>0</v>
      </c>
      <c r="BS57" s="395">
        <f t="shared" si="161"/>
        <v>0</v>
      </c>
      <c r="BT57" s="395">
        <f t="shared" si="161"/>
        <v>0</v>
      </c>
      <c r="BU57" s="395">
        <f t="shared" si="161"/>
        <v>0</v>
      </c>
      <c r="BV57" s="396">
        <f t="shared" si="161"/>
        <v>0</v>
      </c>
    </row>
    <row r="58" spans="1:74" ht="20.149999999999999" customHeight="1" outlineLevel="2" x14ac:dyDescent="0.25">
      <c r="A58" s="20" t="s">
        <v>60</v>
      </c>
      <c r="B58" s="12" t="s">
        <v>9</v>
      </c>
      <c r="C58" s="284">
        <f>'Custos Insumos'!D44</f>
        <v>85</v>
      </c>
      <c r="D58" s="284">
        <v>1</v>
      </c>
      <c r="E58" s="284">
        <v>5</v>
      </c>
      <c r="F58" s="284">
        <v>5</v>
      </c>
      <c r="G58" s="284">
        <v>5</v>
      </c>
      <c r="H58" s="284">
        <v>5</v>
      </c>
      <c r="I58" s="284">
        <v>5</v>
      </c>
      <c r="J58" s="284">
        <v>5</v>
      </c>
      <c r="K58" s="284">
        <v>5</v>
      </c>
      <c r="L58" s="358">
        <v>5</v>
      </c>
      <c r="M58" s="358">
        <v>5</v>
      </c>
      <c r="N58" s="358">
        <v>5</v>
      </c>
      <c r="O58" s="358">
        <v>5</v>
      </c>
      <c r="P58" s="358">
        <f t="shared" si="122"/>
        <v>1</v>
      </c>
      <c r="Q58" s="358">
        <f t="shared" si="123"/>
        <v>5</v>
      </c>
      <c r="R58" s="358">
        <f t="shared" si="124"/>
        <v>5</v>
      </c>
      <c r="S58" s="358">
        <f t="shared" si="125"/>
        <v>5</v>
      </c>
      <c r="T58" s="358">
        <f t="shared" si="126"/>
        <v>5</v>
      </c>
      <c r="U58" s="358">
        <f t="shared" si="127"/>
        <v>5</v>
      </c>
      <c r="V58" s="358">
        <f t="shared" si="128"/>
        <v>5</v>
      </c>
      <c r="W58" s="358">
        <f t="shared" si="129"/>
        <v>5</v>
      </c>
      <c r="X58" s="358">
        <f t="shared" si="130"/>
        <v>5</v>
      </c>
      <c r="Y58" s="358">
        <f t="shared" si="131"/>
        <v>5</v>
      </c>
      <c r="Z58" s="358">
        <f t="shared" si="132"/>
        <v>5</v>
      </c>
      <c r="AA58" s="358">
        <f t="shared" si="133"/>
        <v>5</v>
      </c>
      <c r="AB58" s="358">
        <f t="shared" si="134"/>
        <v>1</v>
      </c>
      <c r="AC58" s="358">
        <f t="shared" si="135"/>
        <v>5</v>
      </c>
      <c r="AD58" s="358">
        <f t="shared" si="136"/>
        <v>5</v>
      </c>
      <c r="AE58" s="358">
        <f t="shared" si="137"/>
        <v>5</v>
      </c>
      <c r="AF58" s="358">
        <f t="shared" si="138"/>
        <v>5</v>
      </c>
      <c r="AG58" s="358">
        <f t="shared" si="139"/>
        <v>5</v>
      </c>
      <c r="AH58" s="358">
        <f t="shared" si="140"/>
        <v>5</v>
      </c>
      <c r="AI58" s="358">
        <f t="shared" si="141"/>
        <v>5</v>
      </c>
      <c r="AJ58" s="358">
        <f t="shared" si="142"/>
        <v>5</v>
      </c>
      <c r="AK58" s="358">
        <f t="shared" si="143"/>
        <v>5</v>
      </c>
      <c r="AL58" s="359">
        <f t="shared" si="144"/>
        <v>5</v>
      </c>
      <c r="AM58" s="636"/>
      <c r="AN58" s="285">
        <f t="shared" ref="AN58:AU58" si="162">$C$58*D58</f>
        <v>85</v>
      </c>
      <c r="AO58" s="286">
        <f t="shared" si="162"/>
        <v>425</v>
      </c>
      <c r="AP58" s="286">
        <f t="shared" si="162"/>
        <v>425</v>
      </c>
      <c r="AQ58" s="286">
        <f t="shared" si="162"/>
        <v>425</v>
      </c>
      <c r="AR58" s="286">
        <f t="shared" si="162"/>
        <v>425</v>
      </c>
      <c r="AS58" s="286">
        <f t="shared" si="162"/>
        <v>425</v>
      </c>
      <c r="AT58" s="286">
        <f t="shared" si="162"/>
        <v>425</v>
      </c>
      <c r="AU58" s="286">
        <f t="shared" si="162"/>
        <v>425</v>
      </c>
      <c r="AV58" s="376">
        <f t="shared" ref="AV58:BV58" si="163">$C$58*L58</f>
        <v>425</v>
      </c>
      <c r="AW58" s="376">
        <f t="shared" si="163"/>
        <v>425</v>
      </c>
      <c r="AX58" s="376">
        <f t="shared" si="163"/>
        <v>425</v>
      </c>
      <c r="AY58" s="376">
        <f t="shared" si="163"/>
        <v>425</v>
      </c>
      <c r="AZ58" s="376">
        <f t="shared" si="163"/>
        <v>85</v>
      </c>
      <c r="BA58" s="376">
        <f t="shared" si="163"/>
        <v>425</v>
      </c>
      <c r="BB58" s="376">
        <f t="shared" si="163"/>
        <v>425</v>
      </c>
      <c r="BC58" s="376">
        <f t="shared" si="163"/>
        <v>425</v>
      </c>
      <c r="BD58" s="376">
        <f t="shared" si="163"/>
        <v>425</v>
      </c>
      <c r="BE58" s="376">
        <f t="shared" si="163"/>
        <v>425</v>
      </c>
      <c r="BF58" s="376">
        <f t="shared" si="163"/>
        <v>425</v>
      </c>
      <c r="BG58" s="376">
        <f t="shared" si="163"/>
        <v>425</v>
      </c>
      <c r="BH58" s="376">
        <f t="shared" si="163"/>
        <v>425</v>
      </c>
      <c r="BI58" s="376">
        <f t="shared" si="163"/>
        <v>425</v>
      </c>
      <c r="BJ58" s="376">
        <f t="shared" si="163"/>
        <v>425</v>
      </c>
      <c r="BK58" s="376">
        <f t="shared" si="163"/>
        <v>425</v>
      </c>
      <c r="BL58" s="376">
        <f t="shared" si="163"/>
        <v>85</v>
      </c>
      <c r="BM58" s="376">
        <f t="shared" si="163"/>
        <v>425</v>
      </c>
      <c r="BN58" s="376">
        <f t="shared" si="163"/>
        <v>425</v>
      </c>
      <c r="BO58" s="376">
        <f t="shared" si="163"/>
        <v>425</v>
      </c>
      <c r="BP58" s="376">
        <f t="shared" si="163"/>
        <v>425</v>
      </c>
      <c r="BQ58" s="376">
        <f t="shared" si="163"/>
        <v>425</v>
      </c>
      <c r="BR58" s="376">
        <f t="shared" si="163"/>
        <v>425</v>
      </c>
      <c r="BS58" s="376">
        <f t="shared" si="163"/>
        <v>425</v>
      </c>
      <c r="BT58" s="376">
        <f t="shared" si="163"/>
        <v>425</v>
      </c>
      <c r="BU58" s="376">
        <f t="shared" si="163"/>
        <v>425</v>
      </c>
      <c r="BV58" s="377">
        <f t="shared" si="163"/>
        <v>425</v>
      </c>
    </row>
    <row r="59" spans="1:74" ht="19.5" customHeight="1" outlineLevel="2" thickBot="1" x14ac:dyDescent="0.3">
      <c r="A59" s="326" t="s">
        <v>62</v>
      </c>
      <c r="B59" s="327" t="str">
        <f>'Custos Insumos'!C45</f>
        <v>HMR</v>
      </c>
      <c r="C59" s="322">
        <f>'Custos Insumos'!D45</f>
        <v>250</v>
      </c>
      <c r="D59" s="322">
        <v>0.5</v>
      </c>
      <c r="E59" s="322"/>
      <c r="F59" s="322">
        <v>0.25</v>
      </c>
      <c r="G59" s="322"/>
      <c r="H59" s="322">
        <v>0.25</v>
      </c>
      <c r="I59" s="322"/>
      <c r="J59" s="322">
        <v>0.25</v>
      </c>
      <c r="K59" s="322"/>
      <c r="L59" s="360">
        <v>0.25</v>
      </c>
      <c r="M59" s="360"/>
      <c r="N59" s="360">
        <v>0.25</v>
      </c>
      <c r="O59" s="360"/>
      <c r="P59" s="360">
        <f t="shared" si="122"/>
        <v>0.5</v>
      </c>
      <c r="Q59" s="360">
        <f t="shared" si="123"/>
        <v>0</v>
      </c>
      <c r="R59" s="360">
        <f t="shared" si="124"/>
        <v>0.25</v>
      </c>
      <c r="S59" s="360">
        <f t="shared" si="125"/>
        <v>0</v>
      </c>
      <c r="T59" s="360">
        <f t="shared" si="126"/>
        <v>0.25</v>
      </c>
      <c r="U59" s="360">
        <f t="shared" si="127"/>
        <v>0</v>
      </c>
      <c r="V59" s="360">
        <f t="shared" si="128"/>
        <v>0.25</v>
      </c>
      <c r="W59" s="360">
        <f t="shared" si="129"/>
        <v>0</v>
      </c>
      <c r="X59" s="360">
        <f t="shared" si="130"/>
        <v>0.25</v>
      </c>
      <c r="Y59" s="360">
        <f t="shared" si="131"/>
        <v>0</v>
      </c>
      <c r="Z59" s="360">
        <f t="shared" si="132"/>
        <v>0.25</v>
      </c>
      <c r="AA59" s="360">
        <f t="shared" si="133"/>
        <v>0</v>
      </c>
      <c r="AB59" s="360">
        <f t="shared" si="134"/>
        <v>0.5</v>
      </c>
      <c r="AC59" s="360">
        <f t="shared" si="135"/>
        <v>0</v>
      </c>
      <c r="AD59" s="360">
        <f t="shared" si="136"/>
        <v>0.25</v>
      </c>
      <c r="AE59" s="360">
        <f t="shared" si="137"/>
        <v>0</v>
      </c>
      <c r="AF59" s="360">
        <f t="shared" si="138"/>
        <v>0.25</v>
      </c>
      <c r="AG59" s="360">
        <f t="shared" si="139"/>
        <v>0</v>
      </c>
      <c r="AH59" s="360">
        <f t="shared" si="140"/>
        <v>0.25</v>
      </c>
      <c r="AI59" s="360">
        <f t="shared" si="141"/>
        <v>0</v>
      </c>
      <c r="AJ59" s="360">
        <f t="shared" si="142"/>
        <v>0.25</v>
      </c>
      <c r="AK59" s="360">
        <f t="shared" si="143"/>
        <v>0</v>
      </c>
      <c r="AL59" s="361">
        <f t="shared" si="144"/>
        <v>0.25</v>
      </c>
      <c r="AM59" s="636"/>
      <c r="AN59" s="323">
        <f t="shared" ref="AN59:AU59" si="164">$C$59*D59</f>
        <v>125</v>
      </c>
      <c r="AO59" s="324">
        <f t="shared" si="164"/>
        <v>0</v>
      </c>
      <c r="AP59" s="324">
        <f t="shared" si="164"/>
        <v>62.5</v>
      </c>
      <c r="AQ59" s="324">
        <f t="shared" si="164"/>
        <v>0</v>
      </c>
      <c r="AR59" s="324">
        <f t="shared" si="164"/>
        <v>62.5</v>
      </c>
      <c r="AS59" s="324">
        <f t="shared" si="164"/>
        <v>0</v>
      </c>
      <c r="AT59" s="324">
        <f t="shared" si="164"/>
        <v>62.5</v>
      </c>
      <c r="AU59" s="324">
        <f t="shared" si="164"/>
        <v>0</v>
      </c>
      <c r="AV59" s="378">
        <f t="shared" ref="AV59:BV59" si="165">$C$59*L59</f>
        <v>62.5</v>
      </c>
      <c r="AW59" s="378">
        <f t="shared" si="165"/>
        <v>0</v>
      </c>
      <c r="AX59" s="378">
        <f t="shared" si="165"/>
        <v>62.5</v>
      </c>
      <c r="AY59" s="378">
        <f t="shared" si="165"/>
        <v>0</v>
      </c>
      <c r="AZ59" s="378">
        <f t="shared" si="165"/>
        <v>125</v>
      </c>
      <c r="BA59" s="378">
        <f t="shared" si="165"/>
        <v>0</v>
      </c>
      <c r="BB59" s="378">
        <f t="shared" si="165"/>
        <v>62.5</v>
      </c>
      <c r="BC59" s="378">
        <f t="shared" si="165"/>
        <v>0</v>
      </c>
      <c r="BD59" s="378">
        <f t="shared" si="165"/>
        <v>62.5</v>
      </c>
      <c r="BE59" s="378">
        <f t="shared" si="165"/>
        <v>0</v>
      </c>
      <c r="BF59" s="378">
        <f t="shared" si="165"/>
        <v>62.5</v>
      </c>
      <c r="BG59" s="378">
        <f t="shared" si="165"/>
        <v>0</v>
      </c>
      <c r="BH59" s="378">
        <f t="shared" si="165"/>
        <v>62.5</v>
      </c>
      <c r="BI59" s="378">
        <f t="shared" si="165"/>
        <v>0</v>
      </c>
      <c r="BJ59" s="378">
        <f t="shared" si="165"/>
        <v>62.5</v>
      </c>
      <c r="BK59" s="378">
        <f t="shared" si="165"/>
        <v>0</v>
      </c>
      <c r="BL59" s="378">
        <f t="shared" si="165"/>
        <v>125</v>
      </c>
      <c r="BM59" s="378">
        <f t="shared" si="165"/>
        <v>0</v>
      </c>
      <c r="BN59" s="378">
        <f t="shared" si="165"/>
        <v>62.5</v>
      </c>
      <c r="BO59" s="378">
        <f t="shared" si="165"/>
        <v>0</v>
      </c>
      <c r="BP59" s="378">
        <f t="shared" si="165"/>
        <v>62.5</v>
      </c>
      <c r="BQ59" s="378">
        <f t="shared" si="165"/>
        <v>0</v>
      </c>
      <c r="BR59" s="378">
        <f t="shared" si="165"/>
        <v>62.5</v>
      </c>
      <c r="BS59" s="378">
        <f t="shared" si="165"/>
        <v>0</v>
      </c>
      <c r="BT59" s="378">
        <f t="shared" si="165"/>
        <v>62.5</v>
      </c>
      <c r="BU59" s="378">
        <f t="shared" si="165"/>
        <v>0</v>
      </c>
      <c r="BV59" s="379">
        <f t="shared" si="165"/>
        <v>62.5</v>
      </c>
    </row>
    <row r="60" spans="1:74" s="408" customFormat="1" ht="20.149999999999999" customHeight="1" outlineLevel="2" thickBot="1" x14ac:dyDescent="0.3">
      <c r="A60" s="1107" t="s">
        <v>518</v>
      </c>
      <c r="B60" s="1108"/>
      <c r="C60" s="1108"/>
      <c r="D60" s="1108"/>
      <c r="E60" s="1108"/>
      <c r="F60" s="1108"/>
      <c r="G60" s="1108"/>
      <c r="H60" s="1108"/>
      <c r="I60" s="1108"/>
      <c r="J60" s="1108"/>
      <c r="K60" s="1108"/>
      <c r="L60" s="1108"/>
      <c r="M60" s="1108"/>
      <c r="N60" s="1108"/>
      <c r="O60" s="1108"/>
      <c r="P60" s="1108"/>
      <c r="Q60" s="1108"/>
      <c r="R60" s="1108"/>
      <c r="S60" s="1108"/>
      <c r="T60" s="1108"/>
      <c r="U60" s="1108"/>
      <c r="V60" s="1108"/>
      <c r="W60" s="1108"/>
      <c r="X60" s="1108"/>
      <c r="Y60" s="1108"/>
      <c r="Z60" s="1108"/>
      <c r="AA60" s="1108"/>
      <c r="AB60" s="1108"/>
      <c r="AC60" s="1108"/>
      <c r="AD60" s="1108"/>
      <c r="AE60" s="1108"/>
      <c r="AF60" s="1108"/>
      <c r="AG60" s="1108"/>
      <c r="AH60" s="1108"/>
      <c r="AI60" s="1108"/>
      <c r="AJ60" s="1108"/>
      <c r="AK60" s="1108"/>
      <c r="AL60" s="1108"/>
      <c r="AM60" s="1108"/>
      <c r="AN60" s="406">
        <f t="shared" ref="AN60:BV60" si="166">SUM(AN49:AN59)</f>
        <v>7635</v>
      </c>
      <c r="AO60" s="406">
        <f t="shared" si="166"/>
        <v>3425</v>
      </c>
      <c r="AP60" s="406">
        <f t="shared" si="166"/>
        <v>2862.5</v>
      </c>
      <c r="AQ60" s="406">
        <f t="shared" si="166"/>
        <v>2800</v>
      </c>
      <c r="AR60" s="406">
        <f t="shared" si="166"/>
        <v>2862.5</v>
      </c>
      <c r="AS60" s="406">
        <f t="shared" si="166"/>
        <v>2800</v>
      </c>
      <c r="AT60" s="406">
        <f t="shared" si="166"/>
        <v>2862.5</v>
      </c>
      <c r="AU60" s="406">
        <f t="shared" si="166"/>
        <v>2800</v>
      </c>
      <c r="AV60" s="407">
        <f t="shared" si="166"/>
        <v>2862.5</v>
      </c>
      <c r="AW60" s="407">
        <f t="shared" si="166"/>
        <v>2800</v>
      </c>
      <c r="AX60" s="407">
        <f t="shared" si="166"/>
        <v>2862.5</v>
      </c>
      <c r="AY60" s="407">
        <f t="shared" si="166"/>
        <v>2800</v>
      </c>
      <c r="AZ60" s="407">
        <f t="shared" si="166"/>
        <v>12659</v>
      </c>
      <c r="BA60" s="407">
        <f t="shared" si="166"/>
        <v>3425</v>
      </c>
      <c r="BB60" s="407">
        <f t="shared" si="166"/>
        <v>2862.5</v>
      </c>
      <c r="BC60" s="407">
        <f t="shared" si="166"/>
        <v>2800</v>
      </c>
      <c r="BD60" s="407">
        <f t="shared" si="166"/>
        <v>2862.5</v>
      </c>
      <c r="BE60" s="407">
        <f t="shared" si="166"/>
        <v>2800</v>
      </c>
      <c r="BF60" s="407">
        <f t="shared" si="166"/>
        <v>2862.5</v>
      </c>
      <c r="BG60" s="407">
        <f t="shared" si="166"/>
        <v>2800</v>
      </c>
      <c r="BH60" s="407">
        <f t="shared" si="166"/>
        <v>2862.5</v>
      </c>
      <c r="BI60" s="407">
        <f t="shared" si="166"/>
        <v>2800</v>
      </c>
      <c r="BJ60" s="407">
        <f t="shared" si="166"/>
        <v>2862.5</v>
      </c>
      <c r="BK60" s="407">
        <f t="shared" si="166"/>
        <v>2800</v>
      </c>
      <c r="BL60" s="407">
        <f t="shared" si="166"/>
        <v>12659</v>
      </c>
      <c r="BM60" s="407">
        <f t="shared" si="166"/>
        <v>3425</v>
      </c>
      <c r="BN60" s="407">
        <f t="shared" si="166"/>
        <v>2862.5</v>
      </c>
      <c r="BO60" s="407">
        <f t="shared" si="166"/>
        <v>2800</v>
      </c>
      <c r="BP60" s="407">
        <f t="shared" si="166"/>
        <v>2862.5</v>
      </c>
      <c r="BQ60" s="407">
        <f t="shared" si="166"/>
        <v>2800</v>
      </c>
      <c r="BR60" s="407">
        <f t="shared" si="166"/>
        <v>2862.5</v>
      </c>
      <c r="BS60" s="407">
        <f t="shared" si="166"/>
        <v>2800</v>
      </c>
      <c r="BT60" s="407">
        <f t="shared" si="166"/>
        <v>2862.5</v>
      </c>
      <c r="BU60" s="407">
        <f t="shared" si="166"/>
        <v>2800</v>
      </c>
      <c r="BV60" s="407">
        <f t="shared" si="166"/>
        <v>2862.5</v>
      </c>
    </row>
    <row r="61" spans="1:74" ht="13" outlineLevel="2" thickBot="1" x14ac:dyDescent="0.3"/>
    <row r="62" spans="1:74" s="123" customFormat="1" ht="27" customHeight="1" outlineLevel="1" thickBot="1" x14ac:dyDescent="0.3">
      <c r="A62" s="1106" t="s">
        <v>58</v>
      </c>
      <c r="B62" s="1106"/>
      <c r="C62" s="1106"/>
      <c r="D62" s="1106"/>
      <c r="E62" s="1106"/>
      <c r="F62" s="1106"/>
      <c r="G62" s="1106"/>
      <c r="H62" s="1106"/>
      <c r="I62" s="1106"/>
      <c r="J62" s="1106"/>
      <c r="K62" s="1106"/>
      <c r="L62" s="1106"/>
      <c r="M62" s="1106"/>
      <c r="N62" s="1106"/>
      <c r="O62" s="1106"/>
      <c r="P62" s="1106"/>
      <c r="Q62" s="1106"/>
      <c r="R62" s="1106"/>
      <c r="S62" s="1106"/>
      <c r="T62" s="1106"/>
      <c r="U62" s="1106"/>
      <c r="V62" s="1106"/>
      <c r="W62" s="1106"/>
      <c r="X62" s="1106"/>
      <c r="Y62" s="1106"/>
      <c r="Z62" s="1106"/>
      <c r="AA62" s="1106"/>
      <c r="AB62" s="1106"/>
      <c r="AC62" s="1106"/>
      <c r="AD62" s="1106"/>
      <c r="AE62" s="1106"/>
      <c r="AF62" s="1106"/>
      <c r="AG62" s="1106"/>
      <c r="AH62" s="1106"/>
      <c r="AI62" s="1106"/>
      <c r="AJ62" s="1106"/>
      <c r="AK62" s="1106"/>
      <c r="AL62" s="1106"/>
      <c r="AM62" s="1106"/>
      <c r="AN62" s="1106"/>
      <c r="AO62" s="1106"/>
      <c r="AP62" s="1106"/>
      <c r="AQ62" s="1106"/>
      <c r="AR62" s="1106"/>
      <c r="AS62" s="1106"/>
      <c r="AT62" s="1106"/>
      <c r="AU62" s="1106"/>
      <c r="AV62" s="1106"/>
      <c r="AW62" s="1106"/>
      <c r="AX62" s="1106"/>
      <c r="AY62" s="1106"/>
      <c r="AZ62" s="1106"/>
      <c r="BA62" s="1106"/>
      <c r="BB62" s="1106"/>
      <c r="BC62" s="1106"/>
      <c r="BD62" s="1106"/>
      <c r="BE62" s="1106"/>
      <c r="BF62" s="1106"/>
      <c r="BG62" s="1106"/>
      <c r="BH62" s="1106"/>
      <c r="BI62" s="1106"/>
      <c r="BJ62" s="1106"/>
      <c r="BK62" s="1106"/>
      <c r="BL62" s="1106"/>
      <c r="BM62" s="1106"/>
      <c r="BN62" s="1106"/>
      <c r="BO62" s="1106"/>
      <c r="BP62" s="1106"/>
      <c r="BQ62" s="1106"/>
      <c r="BR62" s="1106"/>
      <c r="BS62" s="1106"/>
      <c r="BT62" s="1106"/>
      <c r="BU62" s="1106"/>
      <c r="BV62" s="1106"/>
    </row>
    <row r="63" spans="1:74" ht="18" customHeight="1" outlineLevel="2" thickBot="1" x14ac:dyDescent="0.3">
      <c r="A63" s="1102" t="s">
        <v>113</v>
      </c>
      <c r="B63" s="1102" t="s">
        <v>8</v>
      </c>
      <c r="C63" s="1102" t="s">
        <v>100</v>
      </c>
      <c r="D63" s="1102" t="s">
        <v>97</v>
      </c>
      <c r="E63" s="1102"/>
      <c r="F63" s="1102"/>
      <c r="G63" s="1102"/>
      <c r="H63" s="1102"/>
      <c r="I63" s="1102"/>
      <c r="J63" s="1102"/>
      <c r="K63" s="1102"/>
      <c r="L63" s="1102"/>
      <c r="M63" s="1102"/>
      <c r="N63" s="1102"/>
      <c r="O63" s="1102"/>
      <c r="P63" s="1102"/>
      <c r="Q63" s="1102"/>
      <c r="R63" s="1102"/>
      <c r="S63" s="1102"/>
      <c r="T63" s="1102"/>
      <c r="U63" s="1102"/>
      <c r="V63" s="1102"/>
      <c r="W63" s="1102"/>
      <c r="X63" s="1102"/>
      <c r="Y63" s="1102"/>
      <c r="Z63" s="1102"/>
      <c r="AA63" s="1102"/>
      <c r="AB63" s="1102"/>
      <c r="AC63" s="1102"/>
      <c r="AD63" s="1102"/>
      <c r="AE63" s="1102"/>
      <c r="AF63" s="1102"/>
      <c r="AG63" s="1102"/>
      <c r="AH63" s="1102"/>
      <c r="AI63" s="1102"/>
      <c r="AJ63" s="1102"/>
      <c r="AK63" s="1102"/>
      <c r="AL63" s="1102"/>
      <c r="AM63" s="634"/>
      <c r="AN63" s="1102" t="s">
        <v>99</v>
      </c>
      <c r="AO63" s="1102"/>
      <c r="AP63" s="1102"/>
      <c r="AQ63" s="1102"/>
      <c r="AR63" s="1102"/>
      <c r="AS63" s="1102"/>
      <c r="AT63" s="1102"/>
      <c r="AU63" s="1102"/>
      <c r="AV63" s="1102"/>
      <c r="AW63" s="1102"/>
      <c r="AX63" s="1102"/>
      <c r="AY63" s="1102"/>
      <c r="AZ63" s="1102"/>
      <c r="BA63" s="1102"/>
      <c r="BB63" s="1102"/>
      <c r="BC63" s="1102"/>
      <c r="BD63" s="1102"/>
      <c r="BE63" s="1102"/>
      <c r="BF63" s="1102"/>
      <c r="BG63" s="1102"/>
      <c r="BH63" s="1102"/>
      <c r="BI63" s="1102"/>
      <c r="BJ63" s="1102"/>
      <c r="BK63" s="1102"/>
      <c r="BL63" s="1102"/>
      <c r="BM63" s="1102"/>
      <c r="BN63" s="1102"/>
      <c r="BO63" s="1102"/>
      <c r="BP63" s="1102"/>
      <c r="BQ63" s="1102"/>
      <c r="BR63" s="1102"/>
      <c r="BS63" s="1102"/>
      <c r="BT63" s="1102"/>
      <c r="BU63" s="1102"/>
      <c r="BV63" s="1102"/>
    </row>
    <row r="64" spans="1:74" ht="18" customHeight="1" outlineLevel="2" thickBot="1" x14ac:dyDescent="0.3">
      <c r="A64" s="1102"/>
      <c r="B64" s="1102"/>
      <c r="C64" s="1102"/>
      <c r="D64" s="275">
        <v>1</v>
      </c>
      <c r="E64" s="211">
        <v>2</v>
      </c>
      <c r="F64" s="211">
        <v>3</v>
      </c>
      <c r="G64" s="211">
        <v>4</v>
      </c>
      <c r="H64" s="211">
        <v>5</v>
      </c>
      <c r="I64" s="211">
        <v>6</v>
      </c>
      <c r="J64" s="211">
        <v>7</v>
      </c>
      <c r="K64" s="211">
        <v>8</v>
      </c>
      <c r="L64" s="211">
        <v>9</v>
      </c>
      <c r="M64" s="211">
        <v>10</v>
      </c>
      <c r="N64" s="211">
        <v>11</v>
      </c>
      <c r="O64" s="211">
        <v>12</v>
      </c>
      <c r="P64" s="211">
        <v>13</v>
      </c>
      <c r="Q64" s="211">
        <v>14</v>
      </c>
      <c r="R64" s="211">
        <v>15</v>
      </c>
      <c r="S64" s="211">
        <v>16</v>
      </c>
      <c r="T64" s="211">
        <v>17</v>
      </c>
      <c r="U64" s="211">
        <v>18</v>
      </c>
      <c r="V64" s="211">
        <v>19</v>
      </c>
      <c r="W64" s="211">
        <v>20</v>
      </c>
      <c r="X64" s="211">
        <v>21</v>
      </c>
      <c r="Y64" s="211">
        <v>22</v>
      </c>
      <c r="Z64" s="211">
        <v>23</v>
      </c>
      <c r="AA64" s="211">
        <v>24</v>
      </c>
      <c r="AB64" s="211">
        <v>25</v>
      </c>
      <c r="AC64" s="211">
        <v>26</v>
      </c>
      <c r="AD64" s="211">
        <v>27</v>
      </c>
      <c r="AE64" s="211">
        <v>28</v>
      </c>
      <c r="AF64" s="211">
        <v>29</v>
      </c>
      <c r="AG64" s="211">
        <v>30</v>
      </c>
      <c r="AH64" s="211">
        <v>31</v>
      </c>
      <c r="AI64" s="211">
        <v>32</v>
      </c>
      <c r="AJ64" s="211">
        <v>33</v>
      </c>
      <c r="AK64" s="211">
        <v>34</v>
      </c>
      <c r="AL64" s="212">
        <v>35</v>
      </c>
      <c r="AM64" s="635"/>
      <c r="AN64" s="275">
        <v>1</v>
      </c>
      <c r="AO64" s="211">
        <v>2</v>
      </c>
      <c r="AP64" s="211">
        <v>3</v>
      </c>
      <c r="AQ64" s="211">
        <v>4</v>
      </c>
      <c r="AR64" s="211">
        <v>5</v>
      </c>
      <c r="AS64" s="211">
        <v>6</v>
      </c>
      <c r="AT64" s="211">
        <v>7</v>
      </c>
      <c r="AU64" s="211">
        <v>8</v>
      </c>
      <c r="AV64" s="211">
        <v>9</v>
      </c>
      <c r="AW64" s="211">
        <v>10</v>
      </c>
      <c r="AX64" s="211">
        <v>11</v>
      </c>
      <c r="AY64" s="211">
        <v>12</v>
      </c>
      <c r="AZ64" s="211">
        <v>13</v>
      </c>
      <c r="BA64" s="211">
        <v>14</v>
      </c>
      <c r="BB64" s="211">
        <v>15</v>
      </c>
      <c r="BC64" s="211">
        <v>16</v>
      </c>
      <c r="BD64" s="211">
        <v>17</v>
      </c>
      <c r="BE64" s="211">
        <v>18</v>
      </c>
      <c r="BF64" s="211">
        <v>19</v>
      </c>
      <c r="BG64" s="211">
        <v>20</v>
      </c>
      <c r="BH64" s="211">
        <v>21</v>
      </c>
      <c r="BI64" s="211">
        <v>22</v>
      </c>
      <c r="BJ64" s="211">
        <v>23</v>
      </c>
      <c r="BK64" s="211">
        <v>24</v>
      </c>
      <c r="BL64" s="211">
        <v>25</v>
      </c>
      <c r="BM64" s="211">
        <v>26</v>
      </c>
      <c r="BN64" s="211">
        <v>27</v>
      </c>
      <c r="BO64" s="211">
        <v>28</v>
      </c>
      <c r="BP64" s="211">
        <v>29</v>
      </c>
      <c r="BQ64" s="211">
        <v>30</v>
      </c>
      <c r="BR64" s="211">
        <v>31</v>
      </c>
      <c r="BS64" s="211">
        <v>32</v>
      </c>
      <c r="BT64" s="211">
        <v>33</v>
      </c>
      <c r="BU64" s="211">
        <v>34</v>
      </c>
      <c r="BV64" s="212">
        <v>35</v>
      </c>
    </row>
    <row r="65" spans="1:74" ht="20.149999999999999" customHeight="1" outlineLevel="2" x14ac:dyDescent="0.25">
      <c r="A65" s="19" t="str">
        <f>'Custos Diversos'!A105</f>
        <v>Sistema de irrigação</v>
      </c>
      <c r="B65" s="10" t="str">
        <f>'Custos Diversos'!B105</f>
        <v>ha</v>
      </c>
      <c r="C65" s="317">
        <f>'Custos Diversos'!C105</f>
        <v>22500</v>
      </c>
      <c r="D65" s="317">
        <f>'Custos Diversos'!D105</f>
        <v>1</v>
      </c>
      <c r="E65" s="292"/>
      <c r="F65" s="292"/>
      <c r="G65" s="292"/>
      <c r="H65" s="292"/>
      <c r="I65" s="292"/>
      <c r="J65" s="292"/>
      <c r="K65" s="292"/>
      <c r="L65" s="362"/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  <c r="AC65" s="362"/>
      <c r="AD65" s="362"/>
      <c r="AE65" s="362"/>
      <c r="AF65" s="362"/>
      <c r="AG65" s="362"/>
      <c r="AH65" s="362"/>
      <c r="AI65" s="362"/>
      <c r="AJ65" s="362"/>
      <c r="AK65" s="362"/>
      <c r="AL65" s="363"/>
      <c r="AM65" s="637"/>
      <c r="AN65" s="293">
        <f>C65*D65</f>
        <v>22500</v>
      </c>
      <c r="AO65" s="292"/>
      <c r="AP65" s="292"/>
      <c r="AQ65" s="292"/>
      <c r="AR65" s="292"/>
      <c r="AS65" s="292"/>
      <c r="AT65" s="292"/>
      <c r="AU65" s="292"/>
      <c r="AV65" s="380"/>
      <c r="AW65" s="380"/>
      <c r="AX65" s="380"/>
      <c r="AY65" s="380"/>
      <c r="AZ65" s="380"/>
      <c r="BA65" s="380"/>
      <c r="BB65" s="380"/>
      <c r="BC65" s="380"/>
      <c r="BD65" s="380"/>
      <c r="BE65" s="380"/>
      <c r="BF65" s="380"/>
      <c r="BG65" s="380"/>
      <c r="BH65" s="380"/>
      <c r="BI65" s="380"/>
      <c r="BJ65" s="380"/>
      <c r="BK65" s="380"/>
      <c r="BL65" s="380"/>
      <c r="BM65" s="380"/>
      <c r="BN65" s="380"/>
      <c r="BO65" s="380"/>
      <c r="BP65" s="380"/>
      <c r="BQ65" s="380"/>
      <c r="BR65" s="380"/>
      <c r="BS65" s="380"/>
      <c r="BT65" s="380"/>
      <c r="BU65" s="380"/>
      <c r="BV65" s="381"/>
    </row>
    <row r="66" spans="1:74" ht="20.149999999999999" customHeight="1" outlineLevel="2" x14ac:dyDescent="0.25">
      <c r="A66" s="20" t="str">
        <f>'Custos Diversos'!A106</f>
        <v>Apoio - alojamento - cozinha e refeitório</v>
      </c>
      <c r="B66" s="13" t="str">
        <f>'Custos Diversos'!B106</f>
        <v>m²/ha</v>
      </c>
      <c r="C66" s="318">
        <f>'Custos Diversos'!C106</f>
        <v>680</v>
      </c>
      <c r="D66" s="318">
        <f>'Custos Diversos'!D106</f>
        <v>3.23</v>
      </c>
      <c r="E66" s="296"/>
      <c r="F66" s="296"/>
      <c r="G66" s="296"/>
      <c r="H66" s="296"/>
      <c r="I66" s="296"/>
      <c r="J66" s="296"/>
      <c r="K66" s="296"/>
      <c r="L66" s="364"/>
      <c r="M66" s="364"/>
      <c r="N66" s="364"/>
      <c r="O66" s="364"/>
      <c r="P66" s="364"/>
      <c r="Q66" s="364"/>
      <c r="R66" s="364"/>
      <c r="S66" s="364"/>
      <c r="T66" s="364"/>
      <c r="U66" s="364"/>
      <c r="V66" s="364"/>
      <c r="W66" s="364"/>
      <c r="X66" s="364"/>
      <c r="Y66" s="364"/>
      <c r="Z66" s="364"/>
      <c r="AA66" s="364"/>
      <c r="AB66" s="364"/>
      <c r="AC66" s="364"/>
      <c r="AD66" s="364"/>
      <c r="AE66" s="364"/>
      <c r="AF66" s="364"/>
      <c r="AG66" s="364"/>
      <c r="AH66" s="364"/>
      <c r="AI66" s="364"/>
      <c r="AJ66" s="364"/>
      <c r="AK66" s="364"/>
      <c r="AL66" s="365"/>
      <c r="AM66" s="637"/>
      <c r="AN66" s="297">
        <f>C66*D66</f>
        <v>2196.4</v>
      </c>
      <c r="AO66" s="296"/>
      <c r="AP66" s="296"/>
      <c r="AQ66" s="296"/>
      <c r="AR66" s="296"/>
      <c r="AS66" s="296"/>
      <c r="AT66" s="296"/>
      <c r="AU66" s="296"/>
      <c r="AV66" s="382"/>
      <c r="AW66" s="382"/>
      <c r="AX66" s="382"/>
      <c r="AY66" s="382"/>
      <c r="AZ66" s="382"/>
      <c r="BA66" s="382"/>
      <c r="BB66" s="382"/>
      <c r="BC66" s="382"/>
      <c r="BD66" s="382"/>
      <c r="BE66" s="382"/>
      <c r="BF66" s="382"/>
      <c r="BG66" s="382"/>
      <c r="BH66" s="382"/>
      <c r="BI66" s="382"/>
      <c r="BJ66" s="382"/>
      <c r="BK66" s="382"/>
      <c r="BL66" s="382"/>
      <c r="BM66" s="382"/>
      <c r="BN66" s="382"/>
      <c r="BO66" s="382"/>
      <c r="BP66" s="382"/>
      <c r="BQ66" s="382"/>
      <c r="BR66" s="382"/>
      <c r="BS66" s="382"/>
      <c r="BT66" s="382"/>
      <c r="BU66" s="382"/>
      <c r="BV66" s="383"/>
    </row>
    <row r="67" spans="1:74" ht="20.149999999999999" customHeight="1" outlineLevel="2" x14ac:dyDescent="0.25">
      <c r="A67" s="20" t="str">
        <f>'Custos Diversos'!A107</f>
        <v>Galpã0 insumos e maquinas</v>
      </c>
      <c r="B67" s="13" t="str">
        <f>'Custos Diversos'!B107</f>
        <v>m²/ha</v>
      </c>
      <c r="C67" s="318">
        <f>'Custos Diversos'!C107</f>
        <v>530</v>
      </c>
      <c r="D67" s="318">
        <f>'Custos Diversos'!D107</f>
        <v>3.9</v>
      </c>
      <c r="E67" s="296"/>
      <c r="F67" s="296"/>
      <c r="G67" s="296"/>
      <c r="H67" s="296"/>
      <c r="I67" s="296"/>
      <c r="J67" s="296"/>
      <c r="K67" s="296"/>
      <c r="L67" s="364"/>
      <c r="M67" s="364"/>
      <c r="N67" s="364"/>
      <c r="O67" s="364"/>
      <c r="P67" s="364"/>
      <c r="Q67" s="364"/>
      <c r="R67" s="364"/>
      <c r="S67" s="364"/>
      <c r="T67" s="364"/>
      <c r="U67" s="364"/>
      <c r="V67" s="364"/>
      <c r="W67" s="364"/>
      <c r="X67" s="364"/>
      <c r="Y67" s="364"/>
      <c r="Z67" s="364"/>
      <c r="AA67" s="364"/>
      <c r="AB67" s="364"/>
      <c r="AC67" s="364"/>
      <c r="AD67" s="364"/>
      <c r="AE67" s="364"/>
      <c r="AF67" s="364"/>
      <c r="AG67" s="364"/>
      <c r="AH67" s="364"/>
      <c r="AI67" s="364"/>
      <c r="AJ67" s="364"/>
      <c r="AK67" s="364"/>
      <c r="AL67" s="365"/>
      <c r="AM67" s="637"/>
      <c r="AN67" s="297">
        <f>C67*D67</f>
        <v>2067</v>
      </c>
      <c r="AO67" s="296"/>
      <c r="AP67" s="296"/>
      <c r="AQ67" s="296"/>
      <c r="AR67" s="296"/>
      <c r="AS67" s="296"/>
      <c r="AT67" s="296"/>
      <c r="AU67" s="296"/>
      <c r="AV67" s="382"/>
      <c r="AW67" s="382"/>
      <c r="AX67" s="382"/>
      <c r="AY67" s="382"/>
      <c r="AZ67" s="382"/>
      <c r="BA67" s="382"/>
      <c r="BB67" s="382"/>
      <c r="BC67" s="382"/>
      <c r="BD67" s="382"/>
      <c r="BE67" s="382"/>
      <c r="BF67" s="382"/>
      <c r="BG67" s="382"/>
      <c r="BH67" s="382"/>
      <c r="BI67" s="382"/>
      <c r="BJ67" s="382"/>
      <c r="BK67" s="382"/>
      <c r="BL67" s="382"/>
      <c r="BM67" s="382"/>
      <c r="BN67" s="382"/>
      <c r="BO67" s="382"/>
      <c r="BP67" s="382"/>
      <c r="BQ67" s="382"/>
      <c r="BR67" s="382"/>
      <c r="BS67" s="382"/>
      <c r="BT67" s="382"/>
      <c r="BU67" s="382"/>
      <c r="BV67" s="383"/>
    </row>
    <row r="68" spans="1:74" ht="20.149999999999999" customHeight="1" outlineLevel="2" x14ac:dyDescent="0.25">
      <c r="A68" s="20" t="str">
        <f>'Custos Diversos'!A108</f>
        <v>Packing hause</v>
      </c>
      <c r="B68" s="13" t="str">
        <f>'Custos Diversos'!B108</f>
        <v>m²/ha</v>
      </c>
      <c r="C68" s="318">
        <f>'Custos Diversos'!C108</f>
        <v>500</v>
      </c>
      <c r="D68" s="318">
        <f>'Custos Diversos'!D108</f>
        <v>3.1</v>
      </c>
      <c r="E68" s="296"/>
      <c r="F68" s="296"/>
      <c r="G68" s="296"/>
      <c r="H68" s="296"/>
      <c r="I68" s="296"/>
      <c r="J68" s="296"/>
      <c r="K68" s="296"/>
      <c r="L68" s="364"/>
      <c r="M68" s="364"/>
      <c r="N68" s="364"/>
      <c r="O68" s="364"/>
      <c r="P68" s="364"/>
      <c r="Q68" s="364"/>
      <c r="R68" s="364"/>
      <c r="S68" s="364"/>
      <c r="T68" s="364"/>
      <c r="U68" s="364"/>
      <c r="V68" s="364"/>
      <c r="W68" s="364"/>
      <c r="X68" s="364"/>
      <c r="Y68" s="364"/>
      <c r="Z68" s="364"/>
      <c r="AA68" s="364"/>
      <c r="AB68" s="364"/>
      <c r="AC68" s="364"/>
      <c r="AD68" s="364"/>
      <c r="AE68" s="364"/>
      <c r="AF68" s="364"/>
      <c r="AG68" s="364"/>
      <c r="AH68" s="364"/>
      <c r="AI68" s="364"/>
      <c r="AJ68" s="364"/>
      <c r="AK68" s="364"/>
      <c r="AL68" s="365"/>
      <c r="AM68" s="637"/>
      <c r="AN68" s="297">
        <f>C68*D68</f>
        <v>1550</v>
      </c>
      <c r="AO68" s="296"/>
      <c r="AP68" s="296"/>
      <c r="AQ68" s="296"/>
      <c r="AR68" s="296"/>
      <c r="AS68" s="296"/>
      <c r="AT68" s="296"/>
      <c r="AU68" s="296"/>
      <c r="AV68" s="382"/>
      <c r="AW68" s="382"/>
      <c r="AX68" s="382"/>
      <c r="AY68" s="382"/>
      <c r="AZ68" s="382"/>
      <c r="BA68" s="382"/>
      <c r="BB68" s="382"/>
      <c r="BC68" s="382"/>
      <c r="BD68" s="382"/>
      <c r="BE68" s="382"/>
      <c r="BF68" s="382"/>
      <c r="BG68" s="382"/>
      <c r="BH68" s="382"/>
      <c r="BI68" s="382"/>
      <c r="BJ68" s="382"/>
      <c r="BK68" s="382"/>
      <c r="BL68" s="382"/>
      <c r="BM68" s="382"/>
      <c r="BN68" s="382"/>
      <c r="BO68" s="382"/>
      <c r="BP68" s="382"/>
      <c r="BQ68" s="382"/>
      <c r="BR68" s="382"/>
      <c r="BS68" s="382"/>
      <c r="BT68" s="382"/>
      <c r="BU68" s="382"/>
      <c r="BV68" s="383"/>
    </row>
    <row r="69" spans="1:74" ht="20.149999999999999" customHeight="1" outlineLevel="2" thickBot="1" x14ac:dyDescent="0.3">
      <c r="A69" s="326" t="str">
        <f>'Custos Diversos'!A109</f>
        <v>Cabo aéreo</v>
      </c>
      <c r="B69" s="327" t="str">
        <f>'Custos Diversos'!B109</f>
        <v>m/ha</v>
      </c>
      <c r="C69" s="328">
        <f>'Custos Diversos'!C109</f>
        <v>250</v>
      </c>
      <c r="D69" s="328">
        <f>'Custos Diversos'!D109</f>
        <v>70.5</v>
      </c>
      <c r="E69" s="329"/>
      <c r="F69" s="329"/>
      <c r="G69" s="329"/>
      <c r="H69" s="329"/>
      <c r="I69" s="329"/>
      <c r="J69" s="329"/>
      <c r="K69" s="329"/>
      <c r="L69" s="366"/>
      <c r="M69" s="366"/>
      <c r="N69" s="366"/>
      <c r="O69" s="366"/>
      <c r="P69" s="366"/>
      <c r="Q69" s="366"/>
      <c r="R69" s="366"/>
      <c r="S69" s="366"/>
      <c r="T69" s="366"/>
      <c r="U69" s="366"/>
      <c r="V69" s="366"/>
      <c r="W69" s="366"/>
      <c r="X69" s="366"/>
      <c r="Y69" s="366"/>
      <c r="Z69" s="366"/>
      <c r="AA69" s="366"/>
      <c r="AB69" s="366"/>
      <c r="AC69" s="366"/>
      <c r="AD69" s="366"/>
      <c r="AE69" s="366"/>
      <c r="AF69" s="366"/>
      <c r="AG69" s="366"/>
      <c r="AH69" s="366"/>
      <c r="AI69" s="366"/>
      <c r="AJ69" s="366"/>
      <c r="AK69" s="366"/>
      <c r="AL69" s="367"/>
      <c r="AM69" s="637"/>
      <c r="AN69" s="330">
        <f>C69*D69</f>
        <v>17625</v>
      </c>
      <c r="AO69" s="329"/>
      <c r="AP69" s="329"/>
      <c r="AQ69" s="329"/>
      <c r="AR69" s="329"/>
      <c r="AS69" s="329"/>
      <c r="AT69" s="329"/>
      <c r="AU69" s="329"/>
      <c r="AV69" s="384"/>
      <c r="AW69" s="384"/>
      <c r="AX69" s="384"/>
      <c r="AY69" s="384"/>
      <c r="AZ69" s="384"/>
      <c r="BA69" s="384"/>
      <c r="BB69" s="384"/>
      <c r="BC69" s="384"/>
      <c r="BD69" s="384"/>
      <c r="BE69" s="384"/>
      <c r="BF69" s="384"/>
      <c r="BG69" s="384"/>
      <c r="BH69" s="384"/>
      <c r="BI69" s="384"/>
      <c r="BJ69" s="384"/>
      <c r="BK69" s="384"/>
      <c r="BL69" s="384"/>
      <c r="BM69" s="384"/>
      <c r="BN69" s="384"/>
      <c r="BO69" s="384"/>
      <c r="BP69" s="384"/>
      <c r="BQ69" s="384"/>
      <c r="BR69" s="384"/>
      <c r="BS69" s="384"/>
      <c r="BT69" s="384"/>
      <c r="BU69" s="384"/>
      <c r="BV69" s="385"/>
    </row>
    <row r="70" spans="1:74" s="408" customFormat="1" ht="20.149999999999999" customHeight="1" outlineLevel="2" thickBot="1" x14ac:dyDescent="0.3">
      <c r="A70" s="1107" t="s">
        <v>517</v>
      </c>
      <c r="B70" s="1108"/>
      <c r="C70" s="1108"/>
      <c r="D70" s="1108"/>
      <c r="E70" s="1108"/>
      <c r="F70" s="1108"/>
      <c r="G70" s="1108"/>
      <c r="H70" s="1108"/>
      <c r="I70" s="1108"/>
      <c r="J70" s="1108"/>
      <c r="K70" s="1108"/>
      <c r="L70" s="1108"/>
      <c r="M70" s="1108"/>
      <c r="N70" s="1108"/>
      <c r="O70" s="1108"/>
      <c r="P70" s="1108"/>
      <c r="Q70" s="1108"/>
      <c r="R70" s="1108"/>
      <c r="S70" s="1108"/>
      <c r="T70" s="1108"/>
      <c r="U70" s="1108"/>
      <c r="V70" s="1108"/>
      <c r="W70" s="1108"/>
      <c r="X70" s="1108"/>
      <c r="Y70" s="1108"/>
      <c r="Z70" s="1108"/>
      <c r="AA70" s="1108"/>
      <c r="AB70" s="1108"/>
      <c r="AC70" s="1108"/>
      <c r="AD70" s="1108"/>
      <c r="AE70" s="1108"/>
      <c r="AF70" s="1108"/>
      <c r="AG70" s="1108"/>
      <c r="AH70" s="1108"/>
      <c r="AI70" s="1108"/>
      <c r="AJ70" s="1108"/>
      <c r="AK70" s="1108"/>
      <c r="AL70" s="1108"/>
      <c r="AM70" s="1108"/>
      <c r="AN70" s="406">
        <f>SUM(AN65:AN69)</f>
        <v>45938.400000000001</v>
      </c>
      <c r="AO70" s="406"/>
      <c r="AP70" s="406"/>
      <c r="AQ70" s="406"/>
      <c r="AR70" s="406"/>
      <c r="AS70" s="406"/>
      <c r="AT70" s="406"/>
      <c r="AU70" s="406"/>
      <c r="AV70" s="407"/>
      <c r="AW70" s="407"/>
      <c r="AX70" s="407"/>
      <c r="AY70" s="407"/>
      <c r="AZ70" s="407"/>
      <c r="BA70" s="407"/>
      <c r="BB70" s="407"/>
      <c r="BC70" s="407"/>
      <c r="BD70" s="407"/>
      <c r="BE70" s="407"/>
      <c r="BF70" s="407"/>
      <c r="BG70" s="407"/>
      <c r="BH70" s="407"/>
      <c r="BI70" s="407"/>
      <c r="BJ70" s="407"/>
      <c r="BK70" s="407"/>
      <c r="BL70" s="407"/>
      <c r="BM70" s="407"/>
      <c r="BN70" s="407"/>
      <c r="BO70" s="407"/>
      <c r="BP70" s="407"/>
      <c r="BQ70" s="407"/>
      <c r="BR70" s="407"/>
      <c r="BS70" s="407"/>
      <c r="BT70" s="407"/>
      <c r="BU70" s="407"/>
      <c r="BV70" s="407"/>
    </row>
    <row r="71" spans="1:74" ht="13" outlineLevel="2" thickBot="1" x14ac:dyDescent="0.3"/>
    <row r="72" spans="1:74" s="123" customFormat="1" ht="27" customHeight="1" outlineLevel="1" thickBot="1" x14ac:dyDescent="0.3">
      <c r="A72" s="1106" t="s">
        <v>61</v>
      </c>
      <c r="B72" s="1106"/>
      <c r="C72" s="1106"/>
      <c r="D72" s="1106"/>
      <c r="E72" s="1106"/>
      <c r="F72" s="1106"/>
      <c r="G72" s="1106"/>
      <c r="H72" s="1106"/>
      <c r="I72" s="1106"/>
      <c r="J72" s="1106"/>
      <c r="K72" s="1106"/>
      <c r="L72" s="1106"/>
      <c r="M72" s="1106"/>
      <c r="N72" s="1106"/>
      <c r="O72" s="1106"/>
      <c r="P72" s="1106"/>
      <c r="Q72" s="1106"/>
      <c r="R72" s="1106"/>
      <c r="S72" s="1106"/>
      <c r="T72" s="1106"/>
      <c r="U72" s="1106"/>
      <c r="V72" s="1106"/>
      <c r="W72" s="1106"/>
      <c r="X72" s="1106"/>
      <c r="Y72" s="1106"/>
      <c r="Z72" s="1106"/>
      <c r="AA72" s="1106"/>
      <c r="AB72" s="1106"/>
      <c r="AC72" s="1106"/>
      <c r="AD72" s="1106"/>
      <c r="AE72" s="1106"/>
      <c r="AF72" s="1106"/>
      <c r="AG72" s="1106"/>
      <c r="AH72" s="1106"/>
      <c r="AI72" s="1106"/>
      <c r="AJ72" s="1106"/>
      <c r="AK72" s="1106"/>
      <c r="AL72" s="1106"/>
      <c r="AM72" s="1106"/>
      <c r="AN72" s="1106"/>
      <c r="AO72" s="1106"/>
      <c r="AP72" s="1106"/>
      <c r="AQ72" s="1106"/>
      <c r="AR72" s="1106"/>
      <c r="AS72" s="1106"/>
      <c r="AT72" s="1106"/>
      <c r="AU72" s="1106"/>
      <c r="AV72" s="1106"/>
      <c r="AW72" s="1106"/>
      <c r="AX72" s="1106"/>
      <c r="AY72" s="1106"/>
      <c r="AZ72" s="1106"/>
      <c r="BA72" s="1106"/>
      <c r="BB72" s="1106"/>
      <c r="BC72" s="1106"/>
      <c r="BD72" s="1106"/>
      <c r="BE72" s="1106"/>
      <c r="BF72" s="1106"/>
      <c r="BG72" s="1106"/>
      <c r="BH72" s="1106"/>
      <c r="BI72" s="1106"/>
      <c r="BJ72" s="1106"/>
      <c r="BK72" s="1106"/>
      <c r="BL72" s="1106"/>
      <c r="BM72" s="1106"/>
      <c r="BN72" s="1106"/>
      <c r="BO72" s="1106"/>
      <c r="BP72" s="1106"/>
      <c r="BQ72" s="1106"/>
      <c r="BR72" s="1106"/>
      <c r="BS72" s="1106"/>
      <c r="BT72" s="1106"/>
      <c r="BU72" s="1106"/>
      <c r="BV72" s="1106"/>
    </row>
    <row r="73" spans="1:74" ht="18" customHeight="1" outlineLevel="2" thickBot="1" x14ac:dyDescent="0.3">
      <c r="A73" s="1102" t="s">
        <v>113</v>
      </c>
      <c r="B73" s="1102" t="s">
        <v>8</v>
      </c>
      <c r="C73" s="1102" t="s">
        <v>100</v>
      </c>
      <c r="D73" s="1102" t="s">
        <v>97</v>
      </c>
      <c r="E73" s="1102"/>
      <c r="F73" s="1102"/>
      <c r="G73" s="1102"/>
      <c r="H73" s="1102"/>
      <c r="I73" s="1102"/>
      <c r="J73" s="1102"/>
      <c r="K73" s="1102"/>
      <c r="L73" s="1102"/>
      <c r="M73" s="1102"/>
      <c r="N73" s="1102"/>
      <c r="O73" s="1102"/>
      <c r="P73" s="1102"/>
      <c r="Q73" s="1102"/>
      <c r="R73" s="1102"/>
      <c r="S73" s="1102"/>
      <c r="T73" s="1102"/>
      <c r="U73" s="1102"/>
      <c r="V73" s="1102"/>
      <c r="W73" s="1102"/>
      <c r="X73" s="1102"/>
      <c r="Y73" s="1102"/>
      <c r="Z73" s="1102"/>
      <c r="AA73" s="1102"/>
      <c r="AB73" s="1102"/>
      <c r="AC73" s="1102"/>
      <c r="AD73" s="1102"/>
      <c r="AE73" s="1102"/>
      <c r="AF73" s="1102"/>
      <c r="AG73" s="1102"/>
      <c r="AH73" s="1102"/>
      <c r="AI73" s="1102"/>
      <c r="AJ73" s="1102"/>
      <c r="AK73" s="1102"/>
      <c r="AL73" s="1102"/>
      <c r="AM73" s="634"/>
      <c r="AN73" s="1102" t="s">
        <v>99</v>
      </c>
      <c r="AO73" s="1102"/>
      <c r="AP73" s="1102"/>
      <c r="AQ73" s="1102"/>
      <c r="AR73" s="1102"/>
      <c r="AS73" s="1102"/>
      <c r="AT73" s="1102"/>
      <c r="AU73" s="1102"/>
      <c r="AV73" s="1102"/>
      <c r="AW73" s="1102"/>
      <c r="AX73" s="1102"/>
      <c r="AY73" s="1102"/>
      <c r="AZ73" s="1102"/>
      <c r="BA73" s="1102"/>
      <c r="BB73" s="1102"/>
      <c r="BC73" s="1102"/>
      <c r="BD73" s="1102"/>
      <c r="BE73" s="1102"/>
      <c r="BF73" s="1102"/>
      <c r="BG73" s="1102"/>
      <c r="BH73" s="1102"/>
      <c r="BI73" s="1102"/>
      <c r="BJ73" s="1102"/>
      <c r="BK73" s="1102"/>
      <c r="BL73" s="1102"/>
      <c r="BM73" s="1102"/>
      <c r="BN73" s="1102"/>
      <c r="BO73" s="1102"/>
      <c r="BP73" s="1102"/>
      <c r="BQ73" s="1102"/>
      <c r="BR73" s="1102"/>
      <c r="BS73" s="1102"/>
      <c r="BT73" s="1102"/>
      <c r="BU73" s="1102"/>
      <c r="BV73" s="1102"/>
    </row>
    <row r="74" spans="1:74" ht="18" customHeight="1" outlineLevel="2" thickBot="1" x14ac:dyDescent="0.3">
      <c r="A74" s="1102"/>
      <c r="B74" s="1102"/>
      <c r="C74" s="1102"/>
      <c r="D74" s="275">
        <v>1</v>
      </c>
      <c r="E74" s="211">
        <v>2</v>
      </c>
      <c r="F74" s="211">
        <v>3</v>
      </c>
      <c r="G74" s="211">
        <v>4</v>
      </c>
      <c r="H74" s="211">
        <v>5</v>
      </c>
      <c r="I74" s="211">
        <v>6</v>
      </c>
      <c r="J74" s="211">
        <v>7</v>
      </c>
      <c r="K74" s="211">
        <v>8</v>
      </c>
      <c r="L74" s="211">
        <v>9</v>
      </c>
      <c r="M74" s="211">
        <v>10</v>
      </c>
      <c r="N74" s="211">
        <v>11</v>
      </c>
      <c r="O74" s="211">
        <v>12</v>
      </c>
      <c r="P74" s="211">
        <v>13</v>
      </c>
      <c r="Q74" s="211">
        <v>14</v>
      </c>
      <c r="R74" s="211">
        <v>15</v>
      </c>
      <c r="S74" s="211">
        <v>16</v>
      </c>
      <c r="T74" s="211">
        <v>17</v>
      </c>
      <c r="U74" s="211">
        <v>18</v>
      </c>
      <c r="V74" s="211">
        <v>19</v>
      </c>
      <c r="W74" s="211">
        <v>20</v>
      </c>
      <c r="X74" s="211">
        <v>21</v>
      </c>
      <c r="Y74" s="211">
        <v>22</v>
      </c>
      <c r="Z74" s="211">
        <v>23</v>
      </c>
      <c r="AA74" s="211">
        <v>24</v>
      </c>
      <c r="AB74" s="211">
        <v>25</v>
      </c>
      <c r="AC74" s="211">
        <v>26</v>
      </c>
      <c r="AD74" s="211">
        <v>27</v>
      </c>
      <c r="AE74" s="211">
        <v>28</v>
      </c>
      <c r="AF74" s="211">
        <v>29</v>
      </c>
      <c r="AG74" s="211">
        <v>30</v>
      </c>
      <c r="AH74" s="211">
        <v>31</v>
      </c>
      <c r="AI74" s="211">
        <v>32</v>
      </c>
      <c r="AJ74" s="211">
        <v>33</v>
      </c>
      <c r="AK74" s="211">
        <v>34</v>
      </c>
      <c r="AL74" s="212">
        <v>35</v>
      </c>
      <c r="AM74" s="635"/>
      <c r="AN74" s="275">
        <v>1</v>
      </c>
      <c r="AO74" s="211">
        <v>2</v>
      </c>
      <c r="AP74" s="211">
        <v>3</v>
      </c>
      <c r="AQ74" s="211">
        <v>4</v>
      </c>
      <c r="AR74" s="211">
        <v>5</v>
      </c>
      <c r="AS74" s="211">
        <v>6</v>
      </c>
      <c r="AT74" s="211">
        <v>7</v>
      </c>
      <c r="AU74" s="211">
        <v>8</v>
      </c>
      <c r="AV74" s="211">
        <v>9</v>
      </c>
      <c r="AW74" s="211">
        <v>10</v>
      </c>
      <c r="AX74" s="211">
        <v>11</v>
      </c>
      <c r="AY74" s="211">
        <v>12</v>
      </c>
      <c r="AZ74" s="211">
        <v>13</v>
      </c>
      <c r="BA74" s="211">
        <v>14</v>
      </c>
      <c r="BB74" s="211">
        <v>15</v>
      </c>
      <c r="BC74" s="211">
        <v>16</v>
      </c>
      <c r="BD74" s="211">
        <v>17</v>
      </c>
      <c r="BE74" s="211">
        <v>18</v>
      </c>
      <c r="BF74" s="211">
        <v>19</v>
      </c>
      <c r="BG74" s="211">
        <v>20</v>
      </c>
      <c r="BH74" s="211">
        <v>21</v>
      </c>
      <c r="BI74" s="211">
        <v>22</v>
      </c>
      <c r="BJ74" s="211">
        <v>23</v>
      </c>
      <c r="BK74" s="211">
        <v>24</v>
      </c>
      <c r="BL74" s="211">
        <v>25</v>
      </c>
      <c r="BM74" s="211">
        <v>26</v>
      </c>
      <c r="BN74" s="211">
        <v>27</v>
      </c>
      <c r="BO74" s="211">
        <v>28</v>
      </c>
      <c r="BP74" s="211">
        <v>29</v>
      </c>
      <c r="BQ74" s="211">
        <v>30</v>
      </c>
      <c r="BR74" s="211">
        <v>31</v>
      </c>
      <c r="BS74" s="211">
        <v>32</v>
      </c>
      <c r="BT74" s="211">
        <v>33</v>
      </c>
      <c r="BU74" s="211">
        <v>34</v>
      </c>
      <c r="BV74" s="212">
        <v>35</v>
      </c>
    </row>
    <row r="75" spans="1:74" ht="20.149999999999999" customHeight="1" outlineLevel="2" x14ac:dyDescent="0.25">
      <c r="A75" s="46" t="str">
        <f>'Custos Diversos'!A146</f>
        <v>Energia - parcelar ( consumo )</v>
      </c>
      <c r="B75" s="8" t="str">
        <f>'Custos Diversos'!B146</f>
        <v>kwh/ano</v>
      </c>
      <c r="C75" s="284">
        <f>'Custos Diversos'!C146</f>
        <v>0.23</v>
      </c>
      <c r="D75" s="284">
        <f>'Demanda de água e energia'!C62</f>
        <v>2200</v>
      </c>
      <c r="E75" s="284">
        <f>D75</f>
        <v>2200</v>
      </c>
      <c r="F75" s="284">
        <f t="shared" ref="F75:K75" si="167">E75</f>
        <v>2200</v>
      </c>
      <c r="G75" s="284">
        <f t="shared" si="167"/>
        <v>2200</v>
      </c>
      <c r="H75" s="284">
        <f t="shared" si="167"/>
        <v>2200</v>
      </c>
      <c r="I75" s="284">
        <f t="shared" si="167"/>
        <v>2200</v>
      </c>
      <c r="J75" s="284">
        <f t="shared" si="167"/>
        <v>2200</v>
      </c>
      <c r="K75" s="284">
        <f t="shared" si="167"/>
        <v>2200</v>
      </c>
      <c r="L75" s="358">
        <f>K75</f>
        <v>2200</v>
      </c>
      <c r="M75" s="358">
        <f>L75</f>
        <v>2200</v>
      </c>
      <c r="N75" s="358">
        <f>M75</f>
        <v>2200</v>
      </c>
      <c r="O75" s="358">
        <f>N75</f>
        <v>2200</v>
      </c>
      <c r="P75" s="358">
        <f t="shared" ref="P75:P82" si="168">D75</f>
        <v>2200</v>
      </c>
      <c r="Q75" s="358">
        <f t="shared" ref="Q75:Q82" si="169">E75</f>
        <v>2200</v>
      </c>
      <c r="R75" s="358">
        <f t="shared" ref="R75:R82" si="170">F75</f>
        <v>2200</v>
      </c>
      <c r="S75" s="358">
        <f t="shared" ref="S75:S82" si="171">G75</f>
        <v>2200</v>
      </c>
      <c r="T75" s="358">
        <f t="shared" ref="T75:T82" si="172">H75</f>
        <v>2200</v>
      </c>
      <c r="U75" s="358">
        <f t="shared" ref="U75:U82" si="173">I75</f>
        <v>2200</v>
      </c>
      <c r="V75" s="358">
        <f t="shared" ref="V75:V82" si="174">J75</f>
        <v>2200</v>
      </c>
      <c r="W75" s="358">
        <f t="shared" ref="W75:W82" si="175">K75</f>
        <v>2200</v>
      </c>
      <c r="X75" s="358">
        <f t="shared" ref="X75:X82" si="176">L75</f>
        <v>2200</v>
      </c>
      <c r="Y75" s="358">
        <f t="shared" ref="Y75:Y82" si="177">M75</f>
        <v>2200</v>
      </c>
      <c r="Z75" s="358">
        <f t="shared" ref="Z75:Z82" si="178">N75</f>
        <v>2200</v>
      </c>
      <c r="AA75" s="358">
        <f t="shared" ref="AA75:AA82" si="179">O75</f>
        <v>2200</v>
      </c>
      <c r="AB75" s="358">
        <f t="shared" ref="AB75:AB82" si="180">D75</f>
        <v>2200</v>
      </c>
      <c r="AC75" s="358">
        <f t="shared" ref="AC75:AC82" si="181">E75</f>
        <v>2200</v>
      </c>
      <c r="AD75" s="358">
        <f t="shared" ref="AD75:AD82" si="182">F75</f>
        <v>2200</v>
      </c>
      <c r="AE75" s="358">
        <f t="shared" ref="AE75:AE82" si="183">G75</f>
        <v>2200</v>
      </c>
      <c r="AF75" s="358">
        <f t="shared" ref="AF75:AF82" si="184">H75</f>
        <v>2200</v>
      </c>
      <c r="AG75" s="358">
        <f t="shared" ref="AG75:AG82" si="185">I75</f>
        <v>2200</v>
      </c>
      <c r="AH75" s="358">
        <f t="shared" ref="AH75:AH82" si="186">J75</f>
        <v>2200</v>
      </c>
      <c r="AI75" s="358">
        <f t="shared" ref="AI75:AI82" si="187">K75</f>
        <v>2200</v>
      </c>
      <c r="AJ75" s="358">
        <f t="shared" ref="AJ75:AJ82" si="188">L75</f>
        <v>2200</v>
      </c>
      <c r="AK75" s="358">
        <f t="shared" ref="AK75:AK82" si="189">M75</f>
        <v>2200</v>
      </c>
      <c r="AL75" s="359">
        <f t="shared" ref="AL75:AL82" si="190">N75</f>
        <v>2200</v>
      </c>
      <c r="AM75" s="636"/>
      <c r="AN75" s="285">
        <f t="shared" ref="AN75:AU75" si="191">$C$75*D75</f>
        <v>506</v>
      </c>
      <c r="AO75" s="286">
        <f t="shared" si="191"/>
        <v>506</v>
      </c>
      <c r="AP75" s="286">
        <f t="shared" si="191"/>
        <v>506</v>
      </c>
      <c r="AQ75" s="286">
        <f t="shared" si="191"/>
        <v>506</v>
      </c>
      <c r="AR75" s="286">
        <f t="shared" si="191"/>
        <v>506</v>
      </c>
      <c r="AS75" s="286">
        <f t="shared" si="191"/>
        <v>506</v>
      </c>
      <c r="AT75" s="286">
        <f t="shared" si="191"/>
        <v>506</v>
      </c>
      <c r="AU75" s="286">
        <f t="shared" si="191"/>
        <v>506</v>
      </c>
      <c r="AV75" s="376">
        <f t="shared" ref="AV75:BV75" si="192">$C$75*L75</f>
        <v>506</v>
      </c>
      <c r="AW75" s="376">
        <f t="shared" si="192"/>
        <v>506</v>
      </c>
      <c r="AX75" s="376">
        <f t="shared" si="192"/>
        <v>506</v>
      </c>
      <c r="AY75" s="376">
        <f t="shared" si="192"/>
        <v>506</v>
      </c>
      <c r="AZ75" s="376">
        <f t="shared" si="192"/>
        <v>506</v>
      </c>
      <c r="BA75" s="376">
        <f t="shared" si="192"/>
        <v>506</v>
      </c>
      <c r="BB75" s="376">
        <f t="shared" si="192"/>
        <v>506</v>
      </c>
      <c r="BC75" s="376">
        <f t="shared" si="192"/>
        <v>506</v>
      </c>
      <c r="BD75" s="376">
        <f t="shared" si="192"/>
        <v>506</v>
      </c>
      <c r="BE75" s="376">
        <f t="shared" si="192"/>
        <v>506</v>
      </c>
      <c r="BF75" s="376">
        <f t="shared" si="192"/>
        <v>506</v>
      </c>
      <c r="BG75" s="376">
        <f t="shared" si="192"/>
        <v>506</v>
      </c>
      <c r="BH75" s="376">
        <f t="shared" si="192"/>
        <v>506</v>
      </c>
      <c r="BI75" s="376">
        <f t="shared" si="192"/>
        <v>506</v>
      </c>
      <c r="BJ75" s="376">
        <f t="shared" si="192"/>
        <v>506</v>
      </c>
      <c r="BK75" s="376">
        <f t="shared" si="192"/>
        <v>506</v>
      </c>
      <c r="BL75" s="376">
        <f t="shared" si="192"/>
        <v>506</v>
      </c>
      <c r="BM75" s="376">
        <f t="shared" si="192"/>
        <v>506</v>
      </c>
      <c r="BN75" s="376">
        <f t="shared" si="192"/>
        <v>506</v>
      </c>
      <c r="BO75" s="376">
        <f t="shared" si="192"/>
        <v>506</v>
      </c>
      <c r="BP75" s="376">
        <f t="shared" si="192"/>
        <v>506</v>
      </c>
      <c r="BQ75" s="376">
        <f t="shared" si="192"/>
        <v>506</v>
      </c>
      <c r="BR75" s="376">
        <f t="shared" si="192"/>
        <v>506</v>
      </c>
      <c r="BS75" s="376">
        <f t="shared" si="192"/>
        <v>506</v>
      </c>
      <c r="BT75" s="376">
        <f t="shared" si="192"/>
        <v>506</v>
      </c>
      <c r="BU75" s="376">
        <f t="shared" si="192"/>
        <v>506</v>
      </c>
      <c r="BV75" s="377">
        <f t="shared" si="192"/>
        <v>506</v>
      </c>
    </row>
    <row r="76" spans="1:74" ht="20.149999999999999" customHeight="1" outlineLevel="2" x14ac:dyDescent="0.25">
      <c r="A76" s="46" t="str">
        <f>'Custos Diversos'!A147</f>
        <v>Energia - parcelar ( demanda )</v>
      </c>
      <c r="B76" s="8" t="str">
        <f>'Custos Diversos'!B147</f>
        <v>kw/ano</v>
      </c>
      <c r="C76" s="284">
        <f>'Custos Diversos'!C147</f>
        <v>12</v>
      </c>
      <c r="D76" s="284">
        <f>1*12</f>
        <v>12</v>
      </c>
      <c r="E76" s="284">
        <f t="shared" ref="E76:O76" si="193">1*12</f>
        <v>12</v>
      </c>
      <c r="F76" s="284">
        <f t="shared" si="193"/>
        <v>12</v>
      </c>
      <c r="G76" s="284">
        <f t="shared" si="193"/>
        <v>12</v>
      </c>
      <c r="H76" s="284">
        <f t="shared" si="193"/>
        <v>12</v>
      </c>
      <c r="I76" s="284">
        <f t="shared" si="193"/>
        <v>12</v>
      </c>
      <c r="J76" s="284">
        <f t="shared" si="193"/>
        <v>12</v>
      </c>
      <c r="K76" s="284">
        <f t="shared" si="193"/>
        <v>12</v>
      </c>
      <c r="L76" s="358">
        <f t="shared" si="193"/>
        <v>12</v>
      </c>
      <c r="M76" s="358">
        <f t="shared" si="193"/>
        <v>12</v>
      </c>
      <c r="N76" s="358">
        <f t="shared" si="193"/>
        <v>12</v>
      </c>
      <c r="O76" s="358">
        <f t="shared" si="193"/>
        <v>12</v>
      </c>
      <c r="P76" s="358">
        <f t="shared" si="168"/>
        <v>12</v>
      </c>
      <c r="Q76" s="358">
        <f t="shared" si="169"/>
        <v>12</v>
      </c>
      <c r="R76" s="358">
        <f t="shared" si="170"/>
        <v>12</v>
      </c>
      <c r="S76" s="358">
        <f t="shared" si="171"/>
        <v>12</v>
      </c>
      <c r="T76" s="358">
        <f t="shared" si="172"/>
        <v>12</v>
      </c>
      <c r="U76" s="358">
        <f t="shared" si="173"/>
        <v>12</v>
      </c>
      <c r="V76" s="358">
        <f t="shared" si="174"/>
        <v>12</v>
      </c>
      <c r="W76" s="358">
        <f t="shared" si="175"/>
        <v>12</v>
      </c>
      <c r="X76" s="358">
        <f t="shared" si="176"/>
        <v>12</v>
      </c>
      <c r="Y76" s="358">
        <f t="shared" si="177"/>
        <v>12</v>
      </c>
      <c r="Z76" s="358">
        <f t="shared" si="178"/>
        <v>12</v>
      </c>
      <c r="AA76" s="358">
        <f t="shared" si="179"/>
        <v>12</v>
      </c>
      <c r="AB76" s="358">
        <f t="shared" si="180"/>
        <v>12</v>
      </c>
      <c r="AC76" s="358">
        <f t="shared" si="181"/>
        <v>12</v>
      </c>
      <c r="AD76" s="358">
        <f t="shared" si="182"/>
        <v>12</v>
      </c>
      <c r="AE76" s="358">
        <f t="shared" si="183"/>
        <v>12</v>
      </c>
      <c r="AF76" s="358">
        <f t="shared" si="184"/>
        <v>12</v>
      </c>
      <c r="AG76" s="358">
        <f t="shared" si="185"/>
        <v>12</v>
      </c>
      <c r="AH76" s="358">
        <f t="shared" si="186"/>
        <v>12</v>
      </c>
      <c r="AI76" s="358">
        <f t="shared" si="187"/>
        <v>12</v>
      </c>
      <c r="AJ76" s="358">
        <f t="shared" si="188"/>
        <v>12</v>
      </c>
      <c r="AK76" s="358">
        <f t="shared" si="189"/>
        <v>12</v>
      </c>
      <c r="AL76" s="359">
        <f t="shared" si="190"/>
        <v>12</v>
      </c>
      <c r="AM76" s="636"/>
      <c r="AN76" s="285">
        <f t="shared" ref="AN76:AU76" si="194">$C$76*D76</f>
        <v>144</v>
      </c>
      <c r="AO76" s="286">
        <f t="shared" si="194"/>
        <v>144</v>
      </c>
      <c r="AP76" s="286">
        <f t="shared" si="194"/>
        <v>144</v>
      </c>
      <c r="AQ76" s="286">
        <f t="shared" si="194"/>
        <v>144</v>
      </c>
      <c r="AR76" s="286">
        <f t="shared" si="194"/>
        <v>144</v>
      </c>
      <c r="AS76" s="286">
        <f t="shared" si="194"/>
        <v>144</v>
      </c>
      <c r="AT76" s="286">
        <f t="shared" si="194"/>
        <v>144</v>
      </c>
      <c r="AU76" s="286">
        <f t="shared" si="194"/>
        <v>144</v>
      </c>
      <c r="AV76" s="376">
        <f t="shared" ref="AV76:BV76" si="195">$C$76*L76</f>
        <v>144</v>
      </c>
      <c r="AW76" s="376">
        <f t="shared" si="195"/>
        <v>144</v>
      </c>
      <c r="AX76" s="376">
        <f t="shared" si="195"/>
        <v>144</v>
      </c>
      <c r="AY76" s="376">
        <f t="shared" si="195"/>
        <v>144</v>
      </c>
      <c r="AZ76" s="376">
        <f t="shared" si="195"/>
        <v>144</v>
      </c>
      <c r="BA76" s="376">
        <f t="shared" si="195"/>
        <v>144</v>
      </c>
      <c r="BB76" s="376">
        <f t="shared" si="195"/>
        <v>144</v>
      </c>
      <c r="BC76" s="376">
        <f t="shared" si="195"/>
        <v>144</v>
      </c>
      <c r="BD76" s="376">
        <f t="shared" si="195"/>
        <v>144</v>
      </c>
      <c r="BE76" s="376">
        <f t="shared" si="195"/>
        <v>144</v>
      </c>
      <c r="BF76" s="376">
        <f t="shared" si="195"/>
        <v>144</v>
      </c>
      <c r="BG76" s="376">
        <f t="shared" si="195"/>
        <v>144</v>
      </c>
      <c r="BH76" s="376">
        <f t="shared" si="195"/>
        <v>144</v>
      </c>
      <c r="BI76" s="376">
        <f t="shared" si="195"/>
        <v>144</v>
      </c>
      <c r="BJ76" s="376">
        <f t="shared" si="195"/>
        <v>144</v>
      </c>
      <c r="BK76" s="376">
        <f t="shared" si="195"/>
        <v>144</v>
      </c>
      <c r="BL76" s="376">
        <f t="shared" si="195"/>
        <v>144</v>
      </c>
      <c r="BM76" s="376">
        <f t="shared" si="195"/>
        <v>144</v>
      </c>
      <c r="BN76" s="376">
        <f t="shared" si="195"/>
        <v>144</v>
      </c>
      <c r="BO76" s="376">
        <f t="shared" si="195"/>
        <v>144</v>
      </c>
      <c r="BP76" s="376">
        <f t="shared" si="195"/>
        <v>144</v>
      </c>
      <c r="BQ76" s="376">
        <f t="shared" si="195"/>
        <v>144</v>
      </c>
      <c r="BR76" s="376">
        <f t="shared" si="195"/>
        <v>144</v>
      </c>
      <c r="BS76" s="376">
        <f t="shared" si="195"/>
        <v>144</v>
      </c>
      <c r="BT76" s="376">
        <f t="shared" si="195"/>
        <v>144</v>
      </c>
      <c r="BU76" s="376">
        <f t="shared" si="195"/>
        <v>144</v>
      </c>
      <c r="BV76" s="377">
        <f t="shared" si="195"/>
        <v>144</v>
      </c>
    </row>
    <row r="77" spans="1:74" ht="20.149999999999999" customHeight="1" outlineLevel="2" x14ac:dyDescent="0.25">
      <c r="A77" s="46" t="str">
        <f>'Custos Diversos'!A149</f>
        <v>man sist irrig</v>
      </c>
      <c r="B77" s="8" t="str">
        <f>'Custos Diversos'!B149</f>
        <v>vb/ha/ano</v>
      </c>
      <c r="C77" s="284">
        <f>'Custos Diversos'!C149</f>
        <v>225</v>
      </c>
      <c r="D77" s="284">
        <v>0.5</v>
      </c>
      <c r="E77" s="284">
        <v>1</v>
      </c>
      <c r="F77" s="284">
        <v>1.25</v>
      </c>
      <c r="G77" s="284">
        <v>1.25</v>
      </c>
      <c r="H77" s="284">
        <v>1.5</v>
      </c>
      <c r="I77" s="284">
        <v>1.5</v>
      </c>
      <c r="J77" s="284">
        <v>2</v>
      </c>
      <c r="K77" s="284">
        <v>2</v>
      </c>
      <c r="L77" s="358">
        <v>2</v>
      </c>
      <c r="M77" s="358">
        <v>2</v>
      </c>
      <c r="N77" s="358">
        <v>2</v>
      </c>
      <c r="O77" s="358">
        <v>2</v>
      </c>
      <c r="P77" s="358">
        <f t="shared" si="168"/>
        <v>0.5</v>
      </c>
      <c r="Q77" s="358">
        <f t="shared" si="169"/>
        <v>1</v>
      </c>
      <c r="R77" s="358">
        <f t="shared" si="170"/>
        <v>1.25</v>
      </c>
      <c r="S77" s="358">
        <f t="shared" si="171"/>
        <v>1.25</v>
      </c>
      <c r="T77" s="358">
        <f t="shared" si="172"/>
        <v>1.5</v>
      </c>
      <c r="U77" s="358">
        <f t="shared" si="173"/>
        <v>1.5</v>
      </c>
      <c r="V77" s="358">
        <f t="shared" si="174"/>
        <v>2</v>
      </c>
      <c r="W77" s="358">
        <f t="shared" si="175"/>
        <v>2</v>
      </c>
      <c r="X77" s="358">
        <f t="shared" si="176"/>
        <v>2</v>
      </c>
      <c r="Y77" s="358">
        <f t="shared" si="177"/>
        <v>2</v>
      </c>
      <c r="Z77" s="358">
        <f t="shared" si="178"/>
        <v>2</v>
      </c>
      <c r="AA77" s="358">
        <f t="shared" si="179"/>
        <v>2</v>
      </c>
      <c r="AB77" s="358">
        <f t="shared" si="180"/>
        <v>0.5</v>
      </c>
      <c r="AC77" s="358">
        <f t="shared" si="181"/>
        <v>1</v>
      </c>
      <c r="AD77" s="358">
        <f t="shared" si="182"/>
        <v>1.25</v>
      </c>
      <c r="AE77" s="358">
        <f t="shared" si="183"/>
        <v>1.25</v>
      </c>
      <c r="AF77" s="358">
        <f t="shared" si="184"/>
        <v>1.5</v>
      </c>
      <c r="AG77" s="358">
        <f t="shared" si="185"/>
        <v>1.5</v>
      </c>
      <c r="AH77" s="358">
        <f t="shared" si="186"/>
        <v>2</v>
      </c>
      <c r="AI77" s="358">
        <f t="shared" si="187"/>
        <v>2</v>
      </c>
      <c r="AJ77" s="358">
        <f t="shared" si="188"/>
        <v>2</v>
      </c>
      <c r="AK77" s="358">
        <f t="shared" si="189"/>
        <v>2</v>
      </c>
      <c r="AL77" s="359">
        <f t="shared" si="190"/>
        <v>2</v>
      </c>
      <c r="AM77" s="636"/>
      <c r="AN77" s="285">
        <f t="shared" ref="AN77:AU77" si="196">$C$77*D77</f>
        <v>112.5</v>
      </c>
      <c r="AO77" s="286">
        <f t="shared" si="196"/>
        <v>225</v>
      </c>
      <c r="AP77" s="286">
        <f t="shared" si="196"/>
        <v>281.25</v>
      </c>
      <c r="AQ77" s="286">
        <f>$C$77*G77</f>
        <v>281.25</v>
      </c>
      <c r="AR77" s="286">
        <f t="shared" si="196"/>
        <v>337.5</v>
      </c>
      <c r="AS77" s="286">
        <f t="shared" si="196"/>
        <v>337.5</v>
      </c>
      <c r="AT77" s="286">
        <f t="shared" si="196"/>
        <v>450</v>
      </c>
      <c r="AU77" s="286">
        <f t="shared" si="196"/>
        <v>450</v>
      </c>
      <c r="AV77" s="376">
        <f t="shared" ref="AV77:BV77" si="197">$C$77*L77</f>
        <v>450</v>
      </c>
      <c r="AW77" s="376">
        <f t="shared" si="197"/>
        <v>450</v>
      </c>
      <c r="AX77" s="376">
        <f t="shared" si="197"/>
        <v>450</v>
      </c>
      <c r="AY77" s="376">
        <f t="shared" si="197"/>
        <v>450</v>
      </c>
      <c r="AZ77" s="376">
        <f t="shared" si="197"/>
        <v>112.5</v>
      </c>
      <c r="BA77" s="376">
        <f t="shared" si="197"/>
        <v>225</v>
      </c>
      <c r="BB77" s="376">
        <f t="shared" si="197"/>
        <v>281.25</v>
      </c>
      <c r="BC77" s="376">
        <f t="shared" si="197"/>
        <v>281.25</v>
      </c>
      <c r="BD77" s="376">
        <f t="shared" si="197"/>
        <v>337.5</v>
      </c>
      <c r="BE77" s="376">
        <f t="shared" si="197"/>
        <v>337.5</v>
      </c>
      <c r="BF77" s="376">
        <f t="shared" si="197"/>
        <v>450</v>
      </c>
      <c r="BG77" s="376">
        <f t="shared" si="197"/>
        <v>450</v>
      </c>
      <c r="BH77" s="376">
        <f t="shared" si="197"/>
        <v>450</v>
      </c>
      <c r="BI77" s="376">
        <f t="shared" si="197"/>
        <v>450</v>
      </c>
      <c r="BJ77" s="376">
        <f t="shared" si="197"/>
        <v>450</v>
      </c>
      <c r="BK77" s="376">
        <f t="shared" si="197"/>
        <v>450</v>
      </c>
      <c r="BL77" s="376">
        <f t="shared" si="197"/>
        <v>112.5</v>
      </c>
      <c r="BM77" s="376">
        <f t="shared" si="197"/>
        <v>225</v>
      </c>
      <c r="BN77" s="376">
        <f t="shared" si="197"/>
        <v>281.25</v>
      </c>
      <c r="BO77" s="376">
        <f t="shared" si="197"/>
        <v>281.25</v>
      </c>
      <c r="BP77" s="376">
        <f t="shared" si="197"/>
        <v>337.5</v>
      </c>
      <c r="BQ77" s="376">
        <f t="shared" si="197"/>
        <v>337.5</v>
      </c>
      <c r="BR77" s="376">
        <f t="shared" si="197"/>
        <v>450</v>
      </c>
      <c r="BS77" s="376">
        <f t="shared" si="197"/>
        <v>450</v>
      </c>
      <c r="BT77" s="376">
        <f t="shared" si="197"/>
        <v>450</v>
      </c>
      <c r="BU77" s="376">
        <f t="shared" si="197"/>
        <v>450</v>
      </c>
      <c r="BV77" s="377">
        <f t="shared" si="197"/>
        <v>450</v>
      </c>
    </row>
    <row r="78" spans="1:74" ht="20.149999999999999" customHeight="1" outlineLevel="2" x14ac:dyDescent="0.25">
      <c r="A78" s="46" t="str">
        <f>'Custos Diversos'!A150</f>
        <v>man estrutura</v>
      </c>
      <c r="B78" s="8" t="str">
        <f>'Custos Diversos'!B150</f>
        <v>vb/ha/ano</v>
      </c>
      <c r="C78" s="284">
        <f>'Custos Diversos'!C150</f>
        <v>234.38400000000001</v>
      </c>
      <c r="D78" s="284">
        <v>0.5</v>
      </c>
      <c r="E78" s="284">
        <v>1</v>
      </c>
      <c r="F78" s="284">
        <v>1.25</v>
      </c>
      <c r="G78" s="284">
        <v>1.25</v>
      </c>
      <c r="H78" s="284">
        <v>1.5</v>
      </c>
      <c r="I78" s="284">
        <v>1.5</v>
      </c>
      <c r="J78" s="284">
        <v>2</v>
      </c>
      <c r="K78" s="284">
        <v>2</v>
      </c>
      <c r="L78" s="358">
        <v>2</v>
      </c>
      <c r="M78" s="358">
        <v>2</v>
      </c>
      <c r="N78" s="358">
        <v>2</v>
      </c>
      <c r="O78" s="358">
        <v>2</v>
      </c>
      <c r="P78" s="358">
        <f t="shared" si="168"/>
        <v>0.5</v>
      </c>
      <c r="Q78" s="358">
        <f t="shared" si="169"/>
        <v>1</v>
      </c>
      <c r="R78" s="358">
        <f t="shared" si="170"/>
        <v>1.25</v>
      </c>
      <c r="S78" s="358">
        <f t="shared" si="171"/>
        <v>1.25</v>
      </c>
      <c r="T78" s="358">
        <f t="shared" si="172"/>
        <v>1.5</v>
      </c>
      <c r="U78" s="358">
        <f t="shared" si="173"/>
        <v>1.5</v>
      </c>
      <c r="V78" s="358">
        <f t="shared" si="174"/>
        <v>2</v>
      </c>
      <c r="W78" s="358">
        <f t="shared" si="175"/>
        <v>2</v>
      </c>
      <c r="X78" s="358">
        <f t="shared" si="176"/>
        <v>2</v>
      </c>
      <c r="Y78" s="358">
        <f t="shared" si="177"/>
        <v>2</v>
      </c>
      <c r="Z78" s="358">
        <f t="shared" si="178"/>
        <v>2</v>
      </c>
      <c r="AA78" s="358">
        <f t="shared" si="179"/>
        <v>2</v>
      </c>
      <c r="AB78" s="358">
        <f t="shared" si="180"/>
        <v>0.5</v>
      </c>
      <c r="AC78" s="358">
        <f t="shared" si="181"/>
        <v>1</v>
      </c>
      <c r="AD78" s="358">
        <f t="shared" si="182"/>
        <v>1.25</v>
      </c>
      <c r="AE78" s="358">
        <f t="shared" si="183"/>
        <v>1.25</v>
      </c>
      <c r="AF78" s="358">
        <f t="shared" si="184"/>
        <v>1.5</v>
      </c>
      <c r="AG78" s="358">
        <f t="shared" si="185"/>
        <v>1.5</v>
      </c>
      <c r="AH78" s="358">
        <f t="shared" si="186"/>
        <v>2</v>
      </c>
      <c r="AI78" s="358">
        <f t="shared" si="187"/>
        <v>2</v>
      </c>
      <c r="AJ78" s="358">
        <f t="shared" si="188"/>
        <v>2</v>
      </c>
      <c r="AK78" s="358">
        <f t="shared" si="189"/>
        <v>2</v>
      </c>
      <c r="AL78" s="359">
        <f t="shared" si="190"/>
        <v>2</v>
      </c>
      <c r="AM78" s="636"/>
      <c r="AN78" s="285">
        <f t="shared" ref="AN78:AU78" si="198">$C$78*D78</f>
        <v>117.19200000000001</v>
      </c>
      <c r="AO78" s="286">
        <f t="shared" si="198"/>
        <v>234.38400000000001</v>
      </c>
      <c r="AP78" s="286">
        <f t="shared" si="198"/>
        <v>292.98</v>
      </c>
      <c r="AQ78" s="286">
        <f t="shared" si="198"/>
        <v>292.98</v>
      </c>
      <c r="AR78" s="286">
        <f t="shared" si="198"/>
        <v>351.57600000000002</v>
      </c>
      <c r="AS78" s="286">
        <f t="shared" si="198"/>
        <v>351.57600000000002</v>
      </c>
      <c r="AT78" s="286">
        <f t="shared" si="198"/>
        <v>468.76800000000003</v>
      </c>
      <c r="AU78" s="286">
        <f t="shared" si="198"/>
        <v>468.76800000000003</v>
      </c>
      <c r="AV78" s="376">
        <f t="shared" ref="AV78:BV78" si="199">$C$78*L78</f>
        <v>468.76800000000003</v>
      </c>
      <c r="AW78" s="376">
        <f t="shared" si="199"/>
        <v>468.76800000000003</v>
      </c>
      <c r="AX78" s="376">
        <f t="shared" si="199"/>
        <v>468.76800000000003</v>
      </c>
      <c r="AY78" s="376">
        <f t="shared" si="199"/>
        <v>468.76800000000003</v>
      </c>
      <c r="AZ78" s="376">
        <f t="shared" si="199"/>
        <v>117.19200000000001</v>
      </c>
      <c r="BA78" s="376">
        <f t="shared" si="199"/>
        <v>234.38400000000001</v>
      </c>
      <c r="BB78" s="376">
        <f t="shared" si="199"/>
        <v>292.98</v>
      </c>
      <c r="BC78" s="376">
        <f t="shared" si="199"/>
        <v>292.98</v>
      </c>
      <c r="BD78" s="376">
        <f t="shared" si="199"/>
        <v>351.57600000000002</v>
      </c>
      <c r="BE78" s="376">
        <f t="shared" si="199"/>
        <v>351.57600000000002</v>
      </c>
      <c r="BF78" s="376">
        <f t="shared" si="199"/>
        <v>468.76800000000003</v>
      </c>
      <c r="BG78" s="376">
        <f t="shared" si="199"/>
        <v>468.76800000000003</v>
      </c>
      <c r="BH78" s="376">
        <f t="shared" si="199"/>
        <v>468.76800000000003</v>
      </c>
      <c r="BI78" s="376">
        <f t="shared" si="199"/>
        <v>468.76800000000003</v>
      </c>
      <c r="BJ78" s="376">
        <f t="shared" si="199"/>
        <v>468.76800000000003</v>
      </c>
      <c r="BK78" s="376">
        <f t="shared" si="199"/>
        <v>468.76800000000003</v>
      </c>
      <c r="BL78" s="376">
        <f t="shared" si="199"/>
        <v>117.19200000000001</v>
      </c>
      <c r="BM78" s="376">
        <f t="shared" si="199"/>
        <v>234.38400000000001</v>
      </c>
      <c r="BN78" s="376">
        <f t="shared" si="199"/>
        <v>292.98</v>
      </c>
      <c r="BO78" s="376">
        <f t="shared" si="199"/>
        <v>292.98</v>
      </c>
      <c r="BP78" s="376">
        <f t="shared" si="199"/>
        <v>351.57600000000002</v>
      </c>
      <c r="BQ78" s="376">
        <f t="shared" si="199"/>
        <v>351.57600000000002</v>
      </c>
      <c r="BR78" s="376">
        <f t="shared" si="199"/>
        <v>468.76800000000003</v>
      </c>
      <c r="BS78" s="376">
        <f t="shared" si="199"/>
        <v>468.76800000000003</v>
      </c>
      <c r="BT78" s="376">
        <f t="shared" si="199"/>
        <v>468.76800000000003</v>
      </c>
      <c r="BU78" s="376">
        <f t="shared" si="199"/>
        <v>468.76800000000003</v>
      </c>
      <c r="BV78" s="377">
        <f t="shared" si="199"/>
        <v>468.76800000000003</v>
      </c>
    </row>
    <row r="79" spans="1:74" ht="20.149999999999999" customHeight="1" outlineLevel="2" x14ac:dyDescent="0.25">
      <c r="A79" s="46" t="str">
        <f>'Custos Diversos'!A151</f>
        <v>Ferramentas diversas</v>
      </c>
      <c r="B79" s="8" t="str">
        <f>'Custos Diversos'!B151</f>
        <v>vb/ha/ano</v>
      </c>
      <c r="C79" s="284">
        <f>'Custos Diversos'!C151</f>
        <v>600</v>
      </c>
      <c r="D79" s="284">
        <v>1</v>
      </c>
      <c r="E79" s="284">
        <v>1</v>
      </c>
      <c r="F79" s="284">
        <v>1</v>
      </c>
      <c r="G79" s="284">
        <v>1</v>
      </c>
      <c r="H79" s="284">
        <v>1</v>
      </c>
      <c r="I79" s="284">
        <v>1</v>
      </c>
      <c r="J79" s="284">
        <v>1</v>
      </c>
      <c r="K79" s="284">
        <v>1</v>
      </c>
      <c r="L79" s="358">
        <v>1</v>
      </c>
      <c r="M79" s="358">
        <v>1</v>
      </c>
      <c r="N79" s="358">
        <v>1</v>
      </c>
      <c r="O79" s="358">
        <v>1</v>
      </c>
      <c r="P79" s="358">
        <f t="shared" si="168"/>
        <v>1</v>
      </c>
      <c r="Q79" s="358">
        <f t="shared" si="169"/>
        <v>1</v>
      </c>
      <c r="R79" s="358">
        <f t="shared" si="170"/>
        <v>1</v>
      </c>
      <c r="S79" s="358">
        <f t="shared" si="171"/>
        <v>1</v>
      </c>
      <c r="T79" s="358">
        <f t="shared" si="172"/>
        <v>1</v>
      </c>
      <c r="U79" s="358">
        <f t="shared" si="173"/>
        <v>1</v>
      </c>
      <c r="V79" s="358">
        <f t="shared" si="174"/>
        <v>1</v>
      </c>
      <c r="W79" s="358">
        <f t="shared" si="175"/>
        <v>1</v>
      </c>
      <c r="X79" s="358">
        <f t="shared" si="176"/>
        <v>1</v>
      </c>
      <c r="Y79" s="358">
        <f t="shared" si="177"/>
        <v>1</v>
      </c>
      <c r="Z79" s="358">
        <f t="shared" si="178"/>
        <v>1</v>
      </c>
      <c r="AA79" s="358">
        <f t="shared" si="179"/>
        <v>1</v>
      </c>
      <c r="AB79" s="358">
        <f t="shared" si="180"/>
        <v>1</v>
      </c>
      <c r="AC79" s="358">
        <f t="shared" si="181"/>
        <v>1</v>
      </c>
      <c r="AD79" s="358">
        <f t="shared" si="182"/>
        <v>1</v>
      </c>
      <c r="AE79" s="358">
        <f t="shared" si="183"/>
        <v>1</v>
      </c>
      <c r="AF79" s="358">
        <f t="shared" si="184"/>
        <v>1</v>
      </c>
      <c r="AG79" s="358">
        <f t="shared" si="185"/>
        <v>1</v>
      </c>
      <c r="AH79" s="358">
        <f t="shared" si="186"/>
        <v>1</v>
      </c>
      <c r="AI79" s="358">
        <f t="shared" si="187"/>
        <v>1</v>
      </c>
      <c r="AJ79" s="358">
        <f t="shared" si="188"/>
        <v>1</v>
      </c>
      <c r="AK79" s="358">
        <f t="shared" si="189"/>
        <v>1</v>
      </c>
      <c r="AL79" s="359">
        <f t="shared" si="190"/>
        <v>1</v>
      </c>
      <c r="AM79" s="636"/>
      <c r="AN79" s="285">
        <f t="shared" ref="AN79:AU79" si="200">$C$79*D79</f>
        <v>600</v>
      </c>
      <c r="AO79" s="286">
        <f t="shared" si="200"/>
        <v>600</v>
      </c>
      <c r="AP79" s="286">
        <f t="shared" si="200"/>
        <v>600</v>
      </c>
      <c r="AQ79" s="286">
        <f t="shared" si="200"/>
        <v>600</v>
      </c>
      <c r="AR79" s="286">
        <f t="shared" si="200"/>
        <v>600</v>
      </c>
      <c r="AS79" s="286">
        <f t="shared" si="200"/>
        <v>600</v>
      </c>
      <c r="AT79" s="286">
        <f t="shared" si="200"/>
        <v>600</v>
      </c>
      <c r="AU79" s="286">
        <f t="shared" si="200"/>
        <v>600</v>
      </c>
      <c r="AV79" s="376">
        <f t="shared" ref="AV79:BV79" si="201">$C$79*L79</f>
        <v>600</v>
      </c>
      <c r="AW79" s="376">
        <f t="shared" si="201"/>
        <v>600</v>
      </c>
      <c r="AX79" s="376">
        <f t="shared" si="201"/>
        <v>600</v>
      </c>
      <c r="AY79" s="376">
        <f t="shared" si="201"/>
        <v>600</v>
      </c>
      <c r="AZ79" s="376">
        <f t="shared" si="201"/>
        <v>600</v>
      </c>
      <c r="BA79" s="376">
        <f t="shared" si="201"/>
        <v>600</v>
      </c>
      <c r="BB79" s="376">
        <f t="shared" si="201"/>
        <v>600</v>
      </c>
      <c r="BC79" s="376">
        <f t="shared" si="201"/>
        <v>600</v>
      </c>
      <c r="BD79" s="376">
        <f t="shared" si="201"/>
        <v>600</v>
      </c>
      <c r="BE79" s="376">
        <f t="shared" si="201"/>
        <v>600</v>
      </c>
      <c r="BF79" s="376">
        <f t="shared" si="201"/>
        <v>600</v>
      </c>
      <c r="BG79" s="376">
        <f t="shared" si="201"/>
        <v>600</v>
      </c>
      <c r="BH79" s="376">
        <f t="shared" si="201"/>
        <v>600</v>
      </c>
      <c r="BI79" s="376">
        <f t="shared" si="201"/>
        <v>600</v>
      </c>
      <c r="BJ79" s="376">
        <f t="shared" si="201"/>
        <v>600</v>
      </c>
      <c r="BK79" s="376">
        <f t="shared" si="201"/>
        <v>600</v>
      </c>
      <c r="BL79" s="376">
        <f t="shared" si="201"/>
        <v>600</v>
      </c>
      <c r="BM79" s="376">
        <f t="shared" si="201"/>
        <v>600</v>
      </c>
      <c r="BN79" s="376">
        <f t="shared" si="201"/>
        <v>600</v>
      </c>
      <c r="BO79" s="376">
        <f t="shared" si="201"/>
        <v>600</v>
      </c>
      <c r="BP79" s="376">
        <f t="shared" si="201"/>
        <v>600</v>
      </c>
      <c r="BQ79" s="376">
        <f t="shared" si="201"/>
        <v>600</v>
      </c>
      <c r="BR79" s="376">
        <f t="shared" si="201"/>
        <v>600</v>
      </c>
      <c r="BS79" s="376">
        <f t="shared" si="201"/>
        <v>600</v>
      </c>
      <c r="BT79" s="376">
        <f t="shared" si="201"/>
        <v>600</v>
      </c>
      <c r="BU79" s="376">
        <f t="shared" si="201"/>
        <v>600</v>
      </c>
      <c r="BV79" s="377">
        <f t="shared" si="201"/>
        <v>600</v>
      </c>
    </row>
    <row r="80" spans="1:74" ht="20.149999999999999" customHeight="1" outlineLevel="2" x14ac:dyDescent="0.25">
      <c r="A80" s="46" t="str">
        <f>'Custos Diversos'!A152</f>
        <v>Transporte funcionários</v>
      </c>
      <c r="B80" s="8" t="str">
        <f>'Custos Diversos'!B152</f>
        <v>vb/ha/ano</v>
      </c>
      <c r="C80" s="284">
        <f>'Custos Diversos'!C152</f>
        <v>580</v>
      </c>
      <c r="D80" s="284">
        <v>1</v>
      </c>
      <c r="E80" s="284">
        <v>1</v>
      </c>
      <c r="F80" s="284">
        <v>1</v>
      </c>
      <c r="G80" s="284">
        <v>1</v>
      </c>
      <c r="H80" s="284">
        <v>1</v>
      </c>
      <c r="I80" s="284">
        <v>1</v>
      </c>
      <c r="J80" s="284">
        <v>1</v>
      </c>
      <c r="K80" s="284">
        <v>1</v>
      </c>
      <c r="L80" s="358">
        <v>1</v>
      </c>
      <c r="M80" s="358">
        <v>1</v>
      </c>
      <c r="N80" s="358">
        <v>1</v>
      </c>
      <c r="O80" s="358">
        <v>1</v>
      </c>
      <c r="P80" s="358">
        <f t="shared" si="168"/>
        <v>1</v>
      </c>
      <c r="Q80" s="358">
        <f t="shared" si="169"/>
        <v>1</v>
      </c>
      <c r="R80" s="358">
        <f t="shared" si="170"/>
        <v>1</v>
      </c>
      <c r="S80" s="358">
        <f t="shared" si="171"/>
        <v>1</v>
      </c>
      <c r="T80" s="358">
        <f t="shared" si="172"/>
        <v>1</v>
      </c>
      <c r="U80" s="358">
        <f t="shared" si="173"/>
        <v>1</v>
      </c>
      <c r="V80" s="358">
        <f t="shared" si="174"/>
        <v>1</v>
      </c>
      <c r="W80" s="358">
        <f t="shared" si="175"/>
        <v>1</v>
      </c>
      <c r="X80" s="358">
        <f t="shared" si="176"/>
        <v>1</v>
      </c>
      <c r="Y80" s="358">
        <f t="shared" si="177"/>
        <v>1</v>
      </c>
      <c r="Z80" s="358">
        <f t="shared" si="178"/>
        <v>1</v>
      </c>
      <c r="AA80" s="358">
        <f t="shared" si="179"/>
        <v>1</v>
      </c>
      <c r="AB80" s="358">
        <f t="shared" si="180"/>
        <v>1</v>
      </c>
      <c r="AC80" s="358">
        <f t="shared" si="181"/>
        <v>1</v>
      </c>
      <c r="AD80" s="358">
        <f t="shared" si="182"/>
        <v>1</v>
      </c>
      <c r="AE80" s="358">
        <f t="shared" si="183"/>
        <v>1</v>
      </c>
      <c r="AF80" s="358">
        <f t="shared" si="184"/>
        <v>1</v>
      </c>
      <c r="AG80" s="358">
        <f t="shared" si="185"/>
        <v>1</v>
      </c>
      <c r="AH80" s="358">
        <f t="shared" si="186"/>
        <v>1</v>
      </c>
      <c r="AI80" s="358">
        <f t="shared" si="187"/>
        <v>1</v>
      </c>
      <c r="AJ80" s="358">
        <f t="shared" si="188"/>
        <v>1</v>
      </c>
      <c r="AK80" s="358">
        <f t="shared" si="189"/>
        <v>1</v>
      </c>
      <c r="AL80" s="359">
        <f t="shared" si="190"/>
        <v>1</v>
      </c>
      <c r="AM80" s="636"/>
      <c r="AN80" s="285">
        <f t="shared" ref="AN80:AU80" si="202">$C$80*D80</f>
        <v>580</v>
      </c>
      <c r="AO80" s="286">
        <f t="shared" si="202"/>
        <v>580</v>
      </c>
      <c r="AP80" s="286">
        <f t="shared" si="202"/>
        <v>580</v>
      </c>
      <c r="AQ80" s="286">
        <f t="shared" si="202"/>
        <v>580</v>
      </c>
      <c r="AR80" s="286">
        <f t="shared" si="202"/>
        <v>580</v>
      </c>
      <c r="AS80" s="286">
        <f t="shared" si="202"/>
        <v>580</v>
      </c>
      <c r="AT80" s="286">
        <f t="shared" si="202"/>
        <v>580</v>
      </c>
      <c r="AU80" s="286">
        <f t="shared" si="202"/>
        <v>580</v>
      </c>
      <c r="AV80" s="376">
        <f t="shared" ref="AV80:BV80" si="203">$C$80*L80</f>
        <v>580</v>
      </c>
      <c r="AW80" s="376">
        <f t="shared" si="203"/>
        <v>580</v>
      </c>
      <c r="AX80" s="376">
        <f t="shared" si="203"/>
        <v>580</v>
      </c>
      <c r="AY80" s="376">
        <f t="shared" si="203"/>
        <v>580</v>
      </c>
      <c r="AZ80" s="376">
        <f t="shared" si="203"/>
        <v>580</v>
      </c>
      <c r="BA80" s="376">
        <f t="shared" si="203"/>
        <v>580</v>
      </c>
      <c r="BB80" s="376">
        <f t="shared" si="203"/>
        <v>580</v>
      </c>
      <c r="BC80" s="376">
        <f t="shared" si="203"/>
        <v>580</v>
      </c>
      <c r="BD80" s="376">
        <f t="shared" si="203"/>
        <v>580</v>
      </c>
      <c r="BE80" s="376">
        <f t="shared" si="203"/>
        <v>580</v>
      </c>
      <c r="BF80" s="376">
        <f t="shared" si="203"/>
        <v>580</v>
      </c>
      <c r="BG80" s="376">
        <f t="shared" si="203"/>
        <v>580</v>
      </c>
      <c r="BH80" s="376">
        <f t="shared" si="203"/>
        <v>580</v>
      </c>
      <c r="BI80" s="376">
        <f t="shared" si="203"/>
        <v>580</v>
      </c>
      <c r="BJ80" s="376">
        <f t="shared" si="203"/>
        <v>580</v>
      </c>
      <c r="BK80" s="376">
        <f t="shared" si="203"/>
        <v>580</v>
      </c>
      <c r="BL80" s="376">
        <f t="shared" si="203"/>
        <v>580</v>
      </c>
      <c r="BM80" s="376">
        <f t="shared" si="203"/>
        <v>580</v>
      </c>
      <c r="BN80" s="376">
        <f t="shared" si="203"/>
        <v>580</v>
      </c>
      <c r="BO80" s="376">
        <f t="shared" si="203"/>
        <v>580</v>
      </c>
      <c r="BP80" s="376">
        <f t="shared" si="203"/>
        <v>580</v>
      </c>
      <c r="BQ80" s="376">
        <f t="shared" si="203"/>
        <v>580</v>
      </c>
      <c r="BR80" s="376">
        <f t="shared" si="203"/>
        <v>580</v>
      </c>
      <c r="BS80" s="376">
        <f t="shared" si="203"/>
        <v>580</v>
      </c>
      <c r="BT80" s="376">
        <f t="shared" si="203"/>
        <v>580</v>
      </c>
      <c r="BU80" s="376">
        <f t="shared" si="203"/>
        <v>580</v>
      </c>
      <c r="BV80" s="377">
        <f t="shared" si="203"/>
        <v>580</v>
      </c>
    </row>
    <row r="81" spans="1:74" ht="20.149999999999999" customHeight="1" outlineLevel="2" x14ac:dyDescent="0.25">
      <c r="A81" s="46" t="str">
        <f>'Custos Diversos'!A153</f>
        <v>Assistência Técnica - consultoria/</v>
      </c>
      <c r="B81" s="8" t="str">
        <f>'Custos Diversos'!B153</f>
        <v>vb/ha/ano</v>
      </c>
      <c r="C81" s="284">
        <f>'Custos Diversos'!C153</f>
        <v>300</v>
      </c>
      <c r="D81" s="284">
        <v>1</v>
      </c>
      <c r="E81" s="284">
        <v>1</v>
      </c>
      <c r="F81" s="284">
        <v>1</v>
      </c>
      <c r="G81" s="284">
        <v>1</v>
      </c>
      <c r="H81" s="284">
        <v>1</v>
      </c>
      <c r="I81" s="284">
        <v>1</v>
      </c>
      <c r="J81" s="284">
        <v>1</v>
      </c>
      <c r="K81" s="284">
        <v>1</v>
      </c>
      <c r="L81" s="358">
        <v>1</v>
      </c>
      <c r="M81" s="358">
        <v>1</v>
      </c>
      <c r="N81" s="358">
        <v>1</v>
      </c>
      <c r="O81" s="358">
        <v>1</v>
      </c>
      <c r="P81" s="358">
        <f t="shared" si="168"/>
        <v>1</v>
      </c>
      <c r="Q81" s="358">
        <f t="shared" si="169"/>
        <v>1</v>
      </c>
      <c r="R81" s="358">
        <f t="shared" si="170"/>
        <v>1</v>
      </c>
      <c r="S81" s="358">
        <f t="shared" si="171"/>
        <v>1</v>
      </c>
      <c r="T81" s="358">
        <f t="shared" si="172"/>
        <v>1</v>
      </c>
      <c r="U81" s="358">
        <f t="shared" si="173"/>
        <v>1</v>
      </c>
      <c r="V81" s="358">
        <f t="shared" si="174"/>
        <v>1</v>
      </c>
      <c r="W81" s="358">
        <f t="shared" si="175"/>
        <v>1</v>
      </c>
      <c r="X81" s="358">
        <f t="shared" si="176"/>
        <v>1</v>
      </c>
      <c r="Y81" s="358">
        <f t="shared" si="177"/>
        <v>1</v>
      </c>
      <c r="Z81" s="358">
        <f t="shared" si="178"/>
        <v>1</v>
      </c>
      <c r="AA81" s="358">
        <f t="shared" si="179"/>
        <v>1</v>
      </c>
      <c r="AB81" s="358">
        <f t="shared" si="180"/>
        <v>1</v>
      </c>
      <c r="AC81" s="358">
        <f t="shared" si="181"/>
        <v>1</v>
      </c>
      <c r="AD81" s="358">
        <f t="shared" si="182"/>
        <v>1</v>
      </c>
      <c r="AE81" s="358">
        <f t="shared" si="183"/>
        <v>1</v>
      </c>
      <c r="AF81" s="358">
        <f t="shared" si="184"/>
        <v>1</v>
      </c>
      <c r="AG81" s="358">
        <f t="shared" si="185"/>
        <v>1</v>
      </c>
      <c r="AH81" s="358">
        <f t="shared" si="186"/>
        <v>1</v>
      </c>
      <c r="AI81" s="358">
        <f t="shared" si="187"/>
        <v>1</v>
      </c>
      <c r="AJ81" s="358">
        <f t="shared" si="188"/>
        <v>1</v>
      </c>
      <c r="AK81" s="358">
        <f t="shared" si="189"/>
        <v>1</v>
      </c>
      <c r="AL81" s="359">
        <f t="shared" si="190"/>
        <v>1</v>
      </c>
      <c r="AM81" s="636"/>
      <c r="AN81" s="285">
        <f t="shared" ref="AN81:AU81" si="204">$C$81*D81</f>
        <v>300</v>
      </c>
      <c r="AO81" s="286">
        <f t="shared" si="204"/>
        <v>300</v>
      </c>
      <c r="AP81" s="286">
        <f t="shared" si="204"/>
        <v>300</v>
      </c>
      <c r="AQ81" s="286">
        <f t="shared" si="204"/>
        <v>300</v>
      </c>
      <c r="AR81" s="286">
        <f t="shared" si="204"/>
        <v>300</v>
      </c>
      <c r="AS81" s="286">
        <f t="shared" si="204"/>
        <v>300</v>
      </c>
      <c r="AT81" s="286">
        <f t="shared" si="204"/>
        <v>300</v>
      </c>
      <c r="AU81" s="286">
        <f t="shared" si="204"/>
        <v>300</v>
      </c>
      <c r="AV81" s="376">
        <f t="shared" ref="AV81:BV81" si="205">$C$81*L81</f>
        <v>300</v>
      </c>
      <c r="AW81" s="376">
        <f t="shared" si="205"/>
        <v>300</v>
      </c>
      <c r="AX81" s="376">
        <f t="shared" si="205"/>
        <v>300</v>
      </c>
      <c r="AY81" s="376">
        <f t="shared" si="205"/>
        <v>300</v>
      </c>
      <c r="AZ81" s="376">
        <f t="shared" si="205"/>
        <v>300</v>
      </c>
      <c r="BA81" s="376">
        <f t="shared" si="205"/>
        <v>300</v>
      </c>
      <c r="BB81" s="376">
        <f t="shared" si="205"/>
        <v>300</v>
      </c>
      <c r="BC81" s="376">
        <f t="shared" si="205"/>
        <v>300</v>
      </c>
      <c r="BD81" s="376">
        <f t="shared" si="205"/>
        <v>300</v>
      </c>
      <c r="BE81" s="376">
        <f t="shared" si="205"/>
        <v>300</v>
      </c>
      <c r="BF81" s="376">
        <f t="shared" si="205"/>
        <v>300</v>
      </c>
      <c r="BG81" s="376">
        <f t="shared" si="205"/>
        <v>300</v>
      </c>
      <c r="BH81" s="376">
        <f t="shared" si="205"/>
        <v>300</v>
      </c>
      <c r="BI81" s="376">
        <f t="shared" si="205"/>
        <v>300</v>
      </c>
      <c r="BJ81" s="376">
        <f t="shared" si="205"/>
        <v>300</v>
      </c>
      <c r="BK81" s="376">
        <f t="shared" si="205"/>
        <v>300</v>
      </c>
      <c r="BL81" s="376">
        <f t="shared" si="205"/>
        <v>300</v>
      </c>
      <c r="BM81" s="376">
        <f t="shared" si="205"/>
        <v>300</v>
      </c>
      <c r="BN81" s="376">
        <f t="shared" si="205"/>
        <v>300</v>
      </c>
      <c r="BO81" s="376">
        <f t="shared" si="205"/>
        <v>300</v>
      </c>
      <c r="BP81" s="376">
        <f t="shared" si="205"/>
        <v>300</v>
      </c>
      <c r="BQ81" s="376">
        <f t="shared" si="205"/>
        <v>300</v>
      </c>
      <c r="BR81" s="376">
        <f t="shared" si="205"/>
        <v>300</v>
      </c>
      <c r="BS81" s="376">
        <f t="shared" si="205"/>
        <v>300</v>
      </c>
      <c r="BT81" s="376">
        <f t="shared" si="205"/>
        <v>300</v>
      </c>
      <c r="BU81" s="376">
        <f t="shared" si="205"/>
        <v>300</v>
      </c>
      <c r="BV81" s="377">
        <f t="shared" si="205"/>
        <v>300</v>
      </c>
    </row>
    <row r="82" spans="1:74" ht="20.149999999999999" customHeight="1" outlineLevel="2" thickBot="1" x14ac:dyDescent="0.3">
      <c r="A82" s="333" t="str">
        <f>'Custos Diversos'!A155</f>
        <v>Administrativo</v>
      </c>
      <c r="B82" s="35" t="str">
        <f>'Custos Diversos'!B155</f>
        <v>vb/ha/ano</v>
      </c>
      <c r="C82" s="322">
        <f>'Custos Diversos'!C155</f>
        <v>1636.5088214399998</v>
      </c>
      <c r="D82" s="322">
        <v>1</v>
      </c>
      <c r="E82" s="322">
        <v>1</v>
      </c>
      <c r="F82" s="322">
        <v>1</v>
      </c>
      <c r="G82" s="322">
        <v>1</v>
      </c>
      <c r="H82" s="322">
        <v>1</v>
      </c>
      <c r="I82" s="322">
        <v>1</v>
      </c>
      <c r="J82" s="322">
        <v>1</v>
      </c>
      <c r="K82" s="322">
        <v>1</v>
      </c>
      <c r="L82" s="360">
        <v>1</v>
      </c>
      <c r="M82" s="360">
        <v>1</v>
      </c>
      <c r="N82" s="360">
        <v>1</v>
      </c>
      <c r="O82" s="360">
        <v>1</v>
      </c>
      <c r="P82" s="360">
        <f t="shared" si="168"/>
        <v>1</v>
      </c>
      <c r="Q82" s="360">
        <f t="shared" si="169"/>
        <v>1</v>
      </c>
      <c r="R82" s="360">
        <f t="shared" si="170"/>
        <v>1</v>
      </c>
      <c r="S82" s="360">
        <f t="shared" si="171"/>
        <v>1</v>
      </c>
      <c r="T82" s="360">
        <f t="shared" si="172"/>
        <v>1</v>
      </c>
      <c r="U82" s="360">
        <f t="shared" si="173"/>
        <v>1</v>
      </c>
      <c r="V82" s="360">
        <f t="shared" si="174"/>
        <v>1</v>
      </c>
      <c r="W82" s="360">
        <f t="shared" si="175"/>
        <v>1</v>
      </c>
      <c r="X82" s="360">
        <f t="shared" si="176"/>
        <v>1</v>
      </c>
      <c r="Y82" s="360">
        <f t="shared" si="177"/>
        <v>1</v>
      </c>
      <c r="Z82" s="360">
        <f t="shared" si="178"/>
        <v>1</v>
      </c>
      <c r="AA82" s="360">
        <f t="shared" si="179"/>
        <v>1</v>
      </c>
      <c r="AB82" s="360">
        <f t="shared" si="180"/>
        <v>1</v>
      </c>
      <c r="AC82" s="360">
        <f t="shared" si="181"/>
        <v>1</v>
      </c>
      <c r="AD82" s="360">
        <f t="shared" si="182"/>
        <v>1</v>
      </c>
      <c r="AE82" s="360">
        <f t="shared" si="183"/>
        <v>1</v>
      </c>
      <c r="AF82" s="360">
        <f t="shared" si="184"/>
        <v>1</v>
      </c>
      <c r="AG82" s="360">
        <f t="shared" si="185"/>
        <v>1</v>
      </c>
      <c r="AH82" s="360">
        <f t="shared" si="186"/>
        <v>1</v>
      </c>
      <c r="AI82" s="360">
        <f t="shared" si="187"/>
        <v>1</v>
      </c>
      <c r="AJ82" s="360">
        <f t="shared" si="188"/>
        <v>1</v>
      </c>
      <c r="AK82" s="360">
        <f t="shared" si="189"/>
        <v>1</v>
      </c>
      <c r="AL82" s="361">
        <f t="shared" si="190"/>
        <v>1</v>
      </c>
      <c r="AM82" s="636"/>
      <c r="AN82" s="323">
        <f t="shared" ref="AN82:AU82" si="206">$C$82*D82</f>
        <v>1636.5088214399998</v>
      </c>
      <c r="AO82" s="324">
        <f t="shared" si="206"/>
        <v>1636.5088214399998</v>
      </c>
      <c r="AP82" s="324">
        <f t="shared" si="206"/>
        <v>1636.5088214399998</v>
      </c>
      <c r="AQ82" s="324">
        <f t="shared" si="206"/>
        <v>1636.5088214399998</v>
      </c>
      <c r="AR82" s="324">
        <f t="shared" si="206"/>
        <v>1636.5088214399998</v>
      </c>
      <c r="AS82" s="324">
        <f t="shared" si="206"/>
        <v>1636.5088214399998</v>
      </c>
      <c r="AT82" s="324">
        <f t="shared" si="206"/>
        <v>1636.5088214399998</v>
      </c>
      <c r="AU82" s="324">
        <f t="shared" si="206"/>
        <v>1636.5088214399998</v>
      </c>
      <c r="AV82" s="378">
        <f t="shared" ref="AV82:BV82" si="207">$C$82*L82</f>
        <v>1636.5088214399998</v>
      </c>
      <c r="AW82" s="378">
        <f t="shared" si="207"/>
        <v>1636.5088214399998</v>
      </c>
      <c r="AX82" s="378">
        <f t="shared" si="207"/>
        <v>1636.5088214399998</v>
      </c>
      <c r="AY82" s="378">
        <f t="shared" si="207"/>
        <v>1636.5088214399998</v>
      </c>
      <c r="AZ82" s="378">
        <f t="shared" si="207"/>
        <v>1636.5088214399998</v>
      </c>
      <c r="BA82" s="378">
        <f t="shared" si="207"/>
        <v>1636.5088214399998</v>
      </c>
      <c r="BB82" s="378">
        <f t="shared" si="207"/>
        <v>1636.5088214399998</v>
      </c>
      <c r="BC82" s="378">
        <f t="shared" si="207"/>
        <v>1636.5088214399998</v>
      </c>
      <c r="BD82" s="378">
        <f t="shared" si="207"/>
        <v>1636.5088214399998</v>
      </c>
      <c r="BE82" s="378">
        <f t="shared" si="207"/>
        <v>1636.5088214399998</v>
      </c>
      <c r="BF82" s="378">
        <f t="shared" si="207"/>
        <v>1636.5088214399998</v>
      </c>
      <c r="BG82" s="378">
        <f t="shared" si="207"/>
        <v>1636.5088214399998</v>
      </c>
      <c r="BH82" s="378">
        <f t="shared" si="207"/>
        <v>1636.5088214399998</v>
      </c>
      <c r="BI82" s="378">
        <f t="shared" si="207"/>
        <v>1636.5088214399998</v>
      </c>
      <c r="BJ82" s="378">
        <f t="shared" si="207"/>
        <v>1636.5088214399998</v>
      </c>
      <c r="BK82" s="378">
        <f t="shared" si="207"/>
        <v>1636.5088214399998</v>
      </c>
      <c r="BL82" s="378">
        <f t="shared" si="207"/>
        <v>1636.5088214399998</v>
      </c>
      <c r="BM82" s="378">
        <f t="shared" si="207"/>
        <v>1636.5088214399998</v>
      </c>
      <c r="BN82" s="378">
        <f t="shared" si="207"/>
        <v>1636.5088214399998</v>
      </c>
      <c r="BO82" s="378">
        <f t="shared" si="207"/>
        <v>1636.5088214399998</v>
      </c>
      <c r="BP82" s="378">
        <f t="shared" si="207"/>
        <v>1636.5088214399998</v>
      </c>
      <c r="BQ82" s="378">
        <f t="shared" si="207"/>
        <v>1636.5088214399998</v>
      </c>
      <c r="BR82" s="378">
        <f t="shared" si="207"/>
        <v>1636.5088214399998</v>
      </c>
      <c r="BS82" s="378">
        <f t="shared" si="207"/>
        <v>1636.5088214399998</v>
      </c>
      <c r="BT82" s="378">
        <f t="shared" si="207"/>
        <v>1636.5088214399998</v>
      </c>
      <c r="BU82" s="378">
        <f t="shared" si="207"/>
        <v>1636.5088214399998</v>
      </c>
      <c r="BV82" s="379">
        <f t="shared" si="207"/>
        <v>1636.5088214399998</v>
      </c>
    </row>
    <row r="83" spans="1:74" s="408" customFormat="1" ht="20.149999999999999" customHeight="1" outlineLevel="2" thickBot="1" x14ac:dyDescent="0.3">
      <c r="A83" s="1107" t="s">
        <v>105</v>
      </c>
      <c r="B83" s="1108"/>
      <c r="C83" s="1108"/>
      <c r="D83" s="1108"/>
      <c r="E83" s="1108"/>
      <c r="F83" s="1108"/>
      <c r="G83" s="1108"/>
      <c r="H83" s="1108"/>
      <c r="I83" s="1108"/>
      <c r="J83" s="1108"/>
      <c r="K83" s="1108"/>
      <c r="L83" s="1108"/>
      <c r="M83" s="1108"/>
      <c r="N83" s="1108"/>
      <c r="O83" s="1108"/>
      <c r="P83" s="1108"/>
      <c r="Q83" s="1108"/>
      <c r="R83" s="1108"/>
      <c r="S83" s="1108"/>
      <c r="T83" s="1108"/>
      <c r="U83" s="1108"/>
      <c r="V83" s="1108"/>
      <c r="W83" s="1108"/>
      <c r="X83" s="1108"/>
      <c r="Y83" s="1108"/>
      <c r="Z83" s="1108"/>
      <c r="AA83" s="1108"/>
      <c r="AB83" s="1108"/>
      <c r="AC83" s="1108"/>
      <c r="AD83" s="1108"/>
      <c r="AE83" s="1108"/>
      <c r="AF83" s="1108"/>
      <c r="AG83" s="1108"/>
      <c r="AH83" s="1108"/>
      <c r="AI83" s="1108"/>
      <c r="AJ83" s="1108"/>
      <c r="AK83" s="1108"/>
      <c r="AL83" s="1108"/>
      <c r="AM83" s="1108"/>
      <c r="AN83" s="406">
        <f t="shared" ref="AN83:BV83" si="208">SUM(AN75:AN82)</f>
        <v>3996.2008214399998</v>
      </c>
      <c r="AO83" s="406">
        <f t="shared" si="208"/>
        <v>4225.8928214400003</v>
      </c>
      <c r="AP83" s="406">
        <f t="shared" si="208"/>
        <v>4340.7388214399998</v>
      </c>
      <c r="AQ83" s="406">
        <f t="shared" si="208"/>
        <v>4340.7388214399998</v>
      </c>
      <c r="AR83" s="406">
        <f t="shared" si="208"/>
        <v>4455.5848214399994</v>
      </c>
      <c r="AS83" s="406">
        <f t="shared" si="208"/>
        <v>4455.5848214399994</v>
      </c>
      <c r="AT83" s="406">
        <f t="shared" si="208"/>
        <v>4685.2768214400003</v>
      </c>
      <c r="AU83" s="406">
        <f t="shared" si="208"/>
        <v>4685.2768214400003</v>
      </c>
      <c r="AV83" s="407">
        <f t="shared" si="208"/>
        <v>4685.2768214400003</v>
      </c>
      <c r="AW83" s="407">
        <f t="shared" si="208"/>
        <v>4685.2768214400003</v>
      </c>
      <c r="AX83" s="407">
        <f t="shared" si="208"/>
        <v>4685.2768214400003</v>
      </c>
      <c r="AY83" s="407">
        <f t="shared" si="208"/>
        <v>4685.2768214400003</v>
      </c>
      <c r="AZ83" s="407">
        <f t="shared" si="208"/>
        <v>3996.2008214399998</v>
      </c>
      <c r="BA83" s="407">
        <f t="shared" si="208"/>
        <v>4225.8928214400003</v>
      </c>
      <c r="BB83" s="407">
        <f t="shared" si="208"/>
        <v>4340.7388214399998</v>
      </c>
      <c r="BC83" s="407">
        <f t="shared" si="208"/>
        <v>4340.7388214399998</v>
      </c>
      <c r="BD83" s="407">
        <f t="shared" si="208"/>
        <v>4455.5848214399994</v>
      </c>
      <c r="BE83" s="407">
        <f t="shared" si="208"/>
        <v>4455.5848214399994</v>
      </c>
      <c r="BF83" s="407">
        <f t="shared" si="208"/>
        <v>4685.2768214400003</v>
      </c>
      <c r="BG83" s="407">
        <f t="shared" si="208"/>
        <v>4685.2768214400003</v>
      </c>
      <c r="BH83" s="407">
        <f t="shared" si="208"/>
        <v>4685.2768214400003</v>
      </c>
      <c r="BI83" s="407">
        <f t="shared" si="208"/>
        <v>4685.2768214400003</v>
      </c>
      <c r="BJ83" s="407">
        <f t="shared" si="208"/>
        <v>4685.2768214400003</v>
      </c>
      <c r="BK83" s="407">
        <f t="shared" si="208"/>
        <v>4685.2768214400003</v>
      </c>
      <c r="BL83" s="407">
        <f t="shared" si="208"/>
        <v>3996.2008214399998</v>
      </c>
      <c r="BM83" s="407">
        <f t="shared" si="208"/>
        <v>4225.8928214400003</v>
      </c>
      <c r="BN83" s="407">
        <f t="shared" si="208"/>
        <v>4340.7388214399998</v>
      </c>
      <c r="BO83" s="407">
        <f t="shared" si="208"/>
        <v>4340.7388214399998</v>
      </c>
      <c r="BP83" s="407">
        <f t="shared" si="208"/>
        <v>4455.5848214399994</v>
      </c>
      <c r="BQ83" s="407">
        <f t="shared" si="208"/>
        <v>4455.5848214399994</v>
      </c>
      <c r="BR83" s="407">
        <f t="shared" si="208"/>
        <v>4685.2768214400003</v>
      </c>
      <c r="BS83" s="407">
        <f t="shared" si="208"/>
        <v>4685.2768214400003</v>
      </c>
      <c r="BT83" s="407">
        <f t="shared" si="208"/>
        <v>4685.2768214400003</v>
      </c>
      <c r="BU83" s="407">
        <f t="shared" si="208"/>
        <v>4685.2768214400003</v>
      </c>
      <c r="BV83" s="407">
        <f t="shared" si="208"/>
        <v>4685.2768214400003</v>
      </c>
    </row>
    <row r="84" spans="1:74" s="15" customFormat="1" ht="19.5" customHeight="1" outlineLevel="2" thickBot="1" x14ac:dyDescent="0.3">
      <c r="A84" s="627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8"/>
      <c r="P84" s="628"/>
      <c r="Q84" s="628"/>
      <c r="R84" s="628"/>
      <c r="S84" s="628"/>
      <c r="T84" s="628"/>
      <c r="U84" s="628"/>
      <c r="V84" s="628"/>
      <c r="W84" s="628"/>
      <c r="X84" s="628"/>
      <c r="Y84" s="628"/>
      <c r="Z84" s="628"/>
      <c r="AA84" s="628"/>
      <c r="AB84" s="628"/>
      <c r="AC84" s="628"/>
      <c r="AD84" s="628"/>
      <c r="AE84" s="628"/>
      <c r="AF84" s="628"/>
      <c r="AG84" s="628"/>
      <c r="AH84" s="628"/>
      <c r="AI84" s="628"/>
      <c r="AJ84" s="628"/>
      <c r="AK84" s="628"/>
      <c r="AL84" s="628"/>
      <c r="AM84" s="628"/>
      <c r="AN84" s="629"/>
      <c r="AO84" s="629"/>
      <c r="AP84" s="629"/>
      <c r="AQ84" s="629"/>
      <c r="AR84" s="629"/>
      <c r="AS84" s="629"/>
      <c r="AT84" s="629"/>
      <c r="AU84" s="629"/>
      <c r="AV84" s="630"/>
      <c r="AW84" s="630"/>
      <c r="AX84" s="630"/>
      <c r="AY84" s="630"/>
      <c r="AZ84" s="630"/>
      <c r="BA84" s="630"/>
      <c r="BB84" s="630"/>
      <c r="BC84" s="630"/>
      <c r="BD84" s="630"/>
      <c r="BE84" s="630"/>
      <c r="BF84" s="630"/>
      <c r="BG84" s="630"/>
      <c r="BH84" s="630"/>
      <c r="BI84" s="630"/>
      <c r="BJ84" s="630"/>
      <c r="BK84" s="630"/>
      <c r="BL84" s="630"/>
      <c r="BM84" s="630"/>
      <c r="BN84" s="630"/>
      <c r="BO84" s="630"/>
      <c r="BP84" s="630"/>
      <c r="BQ84" s="630"/>
      <c r="BR84" s="630"/>
      <c r="BS84" s="630"/>
      <c r="BT84" s="630"/>
      <c r="BU84" s="630"/>
      <c r="BV84" s="630"/>
    </row>
    <row r="85" spans="1:74" s="123" customFormat="1" ht="27" customHeight="1" outlineLevel="1" thickBot="1" x14ac:dyDescent="0.3">
      <c r="A85" s="1118" t="s">
        <v>506</v>
      </c>
      <c r="B85" s="1118"/>
      <c r="C85" s="1118"/>
      <c r="D85" s="1118"/>
      <c r="E85" s="1118"/>
      <c r="F85" s="1118"/>
      <c r="G85" s="1118"/>
      <c r="H85" s="1118"/>
      <c r="I85" s="1118"/>
      <c r="J85" s="1118"/>
      <c r="K85" s="1118"/>
      <c r="L85" s="1118"/>
      <c r="M85" s="1118"/>
      <c r="N85" s="1118"/>
      <c r="O85" s="1118"/>
      <c r="P85" s="1118"/>
      <c r="Q85" s="1118"/>
      <c r="R85" s="1118"/>
      <c r="S85" s="1118"/>
      <c r="T85" s="1118"/>
      <c r="U85" s="1118"/>
      <c r="V85" s="1118"/>
      <c r="W85" s="1118"/>
      <c r="X85" s="1118"/>
      <c r="Y85" s="1118"/>
      <c r="Z85" s="1118"/>
      <c r="AA85" s="1118"/>
      <c r="AB85" s="1118"/>
      <c r="AC85" s="1118"/>
      <c r="AD85" s="1118"/>
      <c r="AE85" s="1118"/>
      <c r="AF85" s="1118"/>
      <c r="AG85" s="1118"/>
      <c r="AH85" s="1118"/>
      <c r="AI85" s="1118"/>
      <c r="AJ85" s="1118"/>
      <c r="AK85" s="1118"/>
      <c r="AL85" s="1118"/>
      <c r="AM85" s="1118"/>
      <c r="AN85" s="1118"/>
      <c r="AO85" s="1118"/>
      <c r="AP85" s="1118"/>
      <c r="AQ85" s="1118"/>
      <c r="AR85" s="1118"/>
      <c r="AS85" s="1118"/>
      <c r="AT85" s="1118"/>
      <c r="AU85" s="1118"/>
      <c r="AV85" s="1118"/>
      <c r="AW85" s="1118"/>
      <c r="AX85" s="1118"/>
      <c r="AY85" s="1118"/>
      <c r="AZ85" s="1118"/>
      <c r="BA85" s="1118"/>
      <c r="BB85" s="1118"/>
      <c r="BC85" s="1118"/>
      <c r="BD85" s="1118"/>
      <c r="BE85" s="1118"/>
      <c r="BF85" s="1118"/>
      <c r="BG85" s="1118"/>
      <c r="BH85" s="1118"/>
      <c r="BI85" s="1118"/>
      <c r="BJ85" s="1118"/>
      <c r="BK85" s="1118"/>
      <c r="BL85" s="1118"/>
      <c r="BM85" s="1118"/>
      <c r="BN85" s="1118"/>
      <c r="BO85" s="1118"/>
      <c r="BP85" s="1118"/>
      <c r="BQ85" s="1118"/>
      <c r="BR85" s="1118"/>
      <c r="BS85" s="1118"/>
      <c r="BT85" s="1118"/>
      <c r="BU85" s="1118"/>
      <c r="BV85" s="1118"/>
    </row>
    <row r="86" spans="1:74" ht="18" customHeight="1" outlineLevel="2" thickBot="1" x14ac:dyDescent="0.3">
      <c r="A86" s="631"/>
      <c r="B86" s="631"/>
      <c r="C86" s="631"/>
      <c r="D86" s="631"/>
      <c r="E86" s="631"/>
      <c r="F86" s="631"/>
      <c r="G86" s="631"/>
      <c r="H86" s="631"/>
      <c r="I86" s="631"/>
      <c r="J86" s="631"/>
      <c r="K86" s="631"/>
      <c r="L86" s="631"/>
      <c r="M86" s="631"/>
      <c r="N86" s="631"/>
      <c r="O86" s="631"/>
      <c r="P86" s="631"/>
      <c r="Q86" s="631"/>
      <c r="R86" s="631"/>
      <c r="S86" s="631"/>
      <c r="T86" s="631"/>
      <c r="U86" s="631"/>
      <c r="V86" s="631"/>
      <c r="W86" s="631"/>
      <c r="X86" s="631"/>
      <c r="Y86" s="631"/>
      <c r="Z86" s="631"/>
      <c r="AA86" s="631"/>
      <c r="AB86" s="631"/>
      <c r="AC86" s="631"/>
      <c r="AD86" s="631"/>
      <c r="AE86" s="631"/>
      <c r="AF86" s="631"/>
      <c r="AG86" s="631"/>
      <c r="AH86" s="631"/>
      <c r="AI86" s="631"/>
      <c r="AJ86" s="631"/>
      <c r="AK86" s="631"/>
      <c r="AL86" s="631"/>
      <c r="AM86" s="207"/>
      <c r="AN86" s="1102" t="s">
        <v>99</v>
      </c>
      <c r="AO86" s="1102"/>
      <c r="AP86" s="1102"/>
      <c r="AQ86" s="1102"/>
      <c r="AR86" s="1102"/>
      <c r="AS86" s="1102"/>
      <c r="AT86" s="1102"/>
      <c r="AU86" s="1102"/>
      <c r="AV86" s="1102"/>
      <c r="AW86" s="1102"/>
      <c r="AX86" s="1102"/>
      <c r="AY86" s="1102"/>
      <c r="AZ86" s="1102"/>
      <c r="BA86" s="1102"/>
      <c r="BB86" s="1102"/>
      <c r="BC86" s="1102"/>
      <c r="BD86" s="1102"/>
      <c r="BE86" s="1102"/>
      <c r="BF86" s="1102"/>
      <c r="BG86" s="1102"/>
      <c r="BH86" s="1102"/>
      <c r="BI86" s="1102"/>
      <c r="BJ86" s="1102"/>
      <c r="BK86" s="1102"/>
      <c r="BL86" s="1102"/>
      <c r="BM86" s="1102"/>
      <c r="BN86" s="1102"/>
      <c r="BO86" s="1102"/>
      <c r="BP86" s="1102"/>
      <c r="BQ86" s="1102"/>
      <c r="BR86" s="1102"/>
      <c r="BS86" s="1102"/>
      <c r="BT86" s="1102"/>
      <c r="BU86" s="1102"/>
      <c r="BV86" s="1102"/>
    </row>
    <row r="87" spans="1:74" ht="18" customHeight="1" outlineLevel="2" thickBot="1" x14ac:dyDescent="0.3">
      <c r="A87" s="631"/>
      <c r="B87" s="631"/>
      <c r="C87" s="631"/>
      <c r="D87" s="631"/>
      <c r="E87" s="631"/>
      <c r="F87" s="631"/>
      <c r="G87" s="631"/>
      <c r="H87" s="631"/>
      <c r="I87" s="631"/>
      <c r="J87" s="631"/>
      <c r="K87" s="631"/>
      <c r="L87" s="631"/>
      <c r="M87" s="631"/>
      <c r="N87" s="631"/>
      <c r="O87" s="631"/>
      <c r="P87" s="631"/>
      <c r="Q87" s="631"/>
      <c r="R87" s="631"/>
      <c r="S87" s="631"/>
      <c r="T87" s="631"/>
      <c r="U87" s="631"/>
      <c r="V87" s="631"/>
      <c r="W87" s="631"/>
      <c r="X87" s="631"/>
      <c r="Y87" s="631"/>
      <c r="Z87" s="631"/>
      <c r="AA87" s="631"/>
      <c r="AB87" s="631"/>
      <c r="AC87" s="631"/>
      <c r="AD87" s="631"/>
      <c r="AE87" s="631"/>
      <c r="AF87" s="631"/>
      <c r="AG87" s="631"/>
      <c r="AH87" s="631"/>
      <c r="AI87" s="631"/>
      <c r="AJ87" s="631"/>
      <c r="AK87" s="631"/>
      <c r="AL87" s="631"/>
      <c r="AM87" s="633"/>
      <c r="AN87" s="275">
        <v>1</v>
      </c>
      <c r="AO87" s="211">
        <v>2</v>
      </c>
      <c r="AP87" s="211">
        <v>3</v>
      </c>
      <c r="AQ87" s="211">
        <v>4</v>
      </c>
      <c r="AR87" s="211">
        <v>5</v>
      </c>
      <c r="AS87" s="211">
        <v>6</v>
      </c>
      <c r="AT87" s="211">
        <v>7</v>
      </c>
      <c r="AU87" s="211">
        <v>8</v>
      </c>
      <c r="AV87" s="211">
        <v>9</v>
      </c>
      <c r="AW87" s="211">
        <v>10</v>
      </c>
      <c r="AX87" s="211">
        <v>11</v>
      </c>
      <c r="AY87" s="211">
        <v>12</v>
      </c>
      <c r="AZ87" s="211">
        <v>13</v>
      </c>
      <c r="BA87" s="211">
        <v>14</v>
      </c>
      <c r="BB87" s="211">
        <v>15</v>
      </c>
      <c r="BC87" s="211">
        <v>16</v>
      </c>
      <c r="BD87" s="211">
        <v>17</v>
      </c>
      <c r="BE87" s="211">
        <v>18</v>
      </c>
      <c r="BF87" s="211">
        <v>19</v>
      </c>
      <c r="BG87" s="211">
        <v>20</v>
      </c>
      <c r="BH87" s="211">
        <v>21</v>
      </c>
      <c r="BI87" s="211">
        <v>22</v>
      </c>
      <c r="BJ87" s="211">
        <v>23</v>
      </c>
      <c r="BK87" s="211">
        <v>24</v>
      </c>
      <c r="BL87" s="211">
        <v>25</v>
      </c>
      <c r="BM87" s="211">
        <v>26</v>
      </c>
      <c r="BN87" s="211">
        <v>27</v>
      </c>
      <c r="BO87" s="211">
        <v>28</v>
      </c>
      <c r="BP87" s="211">
        <v>29</v>
      </c>
      <c r="BQ87" s="211">
        <v>30</v>
      </c>
      <c r="BR87" s="211">
        <v>31</v>
      </c>
      <c r="BS87" s="211">
        <v>32</v>
      </c>
      <c r="BT87" s="211">
        <v>33</v>
      </c>
      <c r="BU87" s="211">
        <v>34</v>
      </c>
      <c r="BV87" s="212">
        <v>35</v>
      </c>
    </row>
    <row r="88" spans="1:74" ht="20.149999999999999" customHeight="1" outlineLevel="2" x14ac:dyDescent="0.25">
      <c r="A88" s="345"/>
      <c r="B88" s="346"/>
      <c r="C88" s="350" t="s">
        <v>516</v>
      </c>
      <c r="D88" s="626"/>
      <c r="E88" s="626"/>
      <c r="F88" s="626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345"/>
      <c r="AK88" s="346"/>
      <c r="AL88" s="346"/>
      <c r="AM88" s="350" t="s">
        <v>106</v>
      </c>
      <c r="AN88" s="715">
        <v>0</v>
      </c>
      <c r="AO88" s="729">
        <v>75.2</v>
      </c>
      <c r="AP88" s="729">
        <v>70.5</v>
      </c>
      <c r="AQ88" s="729">
        <v>65.8</v>
      </c>
      <c r="AR88" s="729">
        <v>65.8</v>
      </c>
      <c r="AS88" s="729">
        <v>65.8</v>
      </c>
      <c r="AT88" s="729">
        <v>61.1</v>
      </c>
      <c r="AU88" s="729">
        <v>61.1</v>
      </c>
      <c r="AV88" s="729">
        <v>47</v>
      </c>
      <c r="AW88" s="729">
        <v>42.3</v>
      </c>
      <c r="AX88" s="729">
        <v>42.3</v>
      </c>
      <c r="AY88" s="729">
        <v>37.6</v>
      </c>
      <c r="AZ88" s="715">
        <v>0</v>
      </c>
      <c r="BA88" s="729">
        <v>75.2</v>
      </c>
      <c r="BB88" s="729">
        <v>70.5</v>
      </c>
      <c r="BC88" s="729">
        <v>65.8</v>
      </c>
      <c r="BD88" s="729">
        <v>65.8</v>
      </c>
      <c r="BE88" s="729">
        <v>65.8</v>
      </c>
      <c r="BF88" s="729">
        <v>61.1</v>
      </c>
      <c r="BG88" s="729">
        <v>61.1</v>
      </c>
      <c r="BH88" s="729">
        <v>47</v>
      </c>
      <c r="BI88" s="729">
        <v>42.3</v>
      </c>
      <c r="BJ88" s="729">
        <v>42.3</v>
      </c>
      <c r="BK88" s="729">
        <v>37.6</v>
      </c>
      <c r="BL88" s="729">
        <v>0</v>
      </c>
      <c r="BM88" s="729">
        <v>75.2</v>
      </c>
      <c r="BN88" s="729">
        <v>70.5</v>
      </c>
      <c r="BO88" s="729">
        <v>65.8</v>
      </c>
      <c r="BP88" s="729">
        <v>65.8</v>
      </c>
      <c r="BQ88" s="729">
        <v>65.8</v>
      </c>
      <c r="BR88" s="729">
        <v>61.1</v>
      </c>
      <c r="BS88" s="729">
        <v>61.1</v>
      </c>
      <c r="BT88" s="729">
        <v>47</v>
      </c>
      <c r="BU88" s="729">
        <v>42.3</v>
      </c>
      <c r="BV88" s="729">
        <v>42.3</v>
      </c>
    </row>
    <row r="89" spans="1:74" s="631" customFormat="1" ht="20.149999999999999" customHeight="1" outlineLevel="2" x14ac:dyDescent="0.25">
      <c r="A89" s="348"/>
      <c r="B89" s="349"/>
      <c r="C89" s="350" t="s">
        <v>107</v>
      </c>
      <c r="AJ89" s="348"/>
      <c r="AK89" s="349"/>
      <c r="AL89" s="349"/>
      <c r="AM89" s="347" t="s">
        <v>107</v>
      </c>
      <c r="AN89" s="343">
        <f t="shared" ref="AN89:BV89" si="209">AN23+AN44+AN60+AN70+AN83</f>
        <v>94619.231221439986</v>
      </c>
      <c r="AO89" s="343">
        <f t="shared" si="209"/>
        <v>43347.135221440003</v>
      </c>
      <c r="AP89" s="343">
        <f t="shared" si="209"/>
        <v>41924.043721440001</v>
      </c>
      <c r="AQ89" s="343">
        <f t="shared" si="209"/>
        <v>40953.856221440001</v>
      </c>
      <c r="AR89" s="343">
        <f t="shared" si="209"/>
        <v>39704.359021440003</v>
      </c>
      <c r="AS89" s="343">
        <f t="shared" si="209"/>
        <v>39641.859021440003</v>
      </c>
      <c r="AT89" s="343">
        <f t="shared" si="209"/>
        <v>39026.363521439998</v>
      </c>
      <c r="AU89" s="343">
        <f t="shared" si="209"/>
        <v>38963.863521439998</v>
      </c>
      <c r="AV89" s="386">
        <f t="shared" si="209"/>
        <v>36303.301021439998</v>
      </c>
      <c r="AW89" s="731">
        <f t="shared" si="209"/>
        <v>35333.113521439998</v>
      </c>
      <c r="AX89" s="731">
        <f t="shared" si="209"/>
        <v>35395.613521439998</v>
      </c>
      <c r="AY89" s="731">
        <f t="shared" si="209"/>
        <v>34425.426021439998</v>
      </c>
      <c r="AZ89" s="731">
        <f t="shared" si="209"/>
        <v>53704.831221439992</v>
      </c>
      <c r="BA89" s="731">
        <f t="shared" si="209"/>
        <v>43347.135221440003</v>
      </c>
      <c r="BB89" s="731">
        <f t="shared" si="209"/>
        <v>41924.043721440001</v>
      </c>
      <c r="BC89" s="731">
        <f t="shared" si="209"/>
        <v>40953.856221440001</v>
      </c>
      <c r="BD89" s="731">
        <f t="shared" si="209"/>
        <v>39704.359021440003</v>
      </c>
      <c r="BE89" s="731">
        <f t="shared" si="209"/>
        <v>39641.859021440003</v>
      </c>
      <c r="BF89" s="731">
        <f t="shared" si="209"/>
        <v>39026.363521439998</v>
      </c>
      <c r="BG89" s="731">
        <f t="shared" si="209"/>
        <v>38963.863521439998</v>
      </c>
      <c r="BH89" s="731">
        <f t="shared" si="209"/>
        <v>36303.301021439998</v>
      </c>
      <c r="BI89" s="731">
        <f t="shared" si="209"/>
        <v>35333.113521439998</v>
      </c>
      <c r="BJ89" s="731">
        <f t="shared" si="209"/>
        <v>35395.613521439998</v>
      </c>
      <c r="BK89" s="731">
        <f t="shared" si="209"/>
        <v>34425.426021439998</v>
      </c>
      <c r="BL89" s="731">
        <f t="shared" si="209"/>
        <v>53704.831221439992</v>
      </c>
      <c r="BM89" s="731">
        <f t="shared" si="209"/>
        <v>43347.135221440003</v>
      </c>
      <c r="BN89" s="731">
        <f t="shared" si="209"/>
        <v>41924.043721440001</v>
      </c>
      <c r="BO89" s="731">
        <f t="shared" si="209"/>
        <v>40953.856221440001</v>
      </c>
      <c r="BP89" s="731">
        <f t="shared" si="209"/>
        <v>39704.359021440003</v>
      </c>
      <c r="BQ89" s="731">
        <f t="shared" si="209"/>
        <v>39641.859021440003</v>
      </c>
      <c r="BR89" s="731">
        <f t="shared" si="209"/>
        <v>39026.363521439998</v>
      </c>
      <c r="BS89" s="731">
        <f t="shared" si="209"/>
        <v>38963.863521439998</v>
      </c>
      <c r="BT89" s="731">
        <f t="shared" si="209"/>
        <v>36303.301021439998</v>
      </c>
      <c r="BU89" s="731">
        <f t="shared" si="209"/>
        <v>35333.113521439998</v>
      </c>
      <c r="BV89" s="731">
        <f t="shared" si="209"/>
        <v>35395.613521439998</v>
      </c>
    </row>
    <row r="90" spans="1:74" s="631" customFormat="1" ht="20.149999999999999" customHeight="1" outlineLevel="2" x14ac:dyDescent="0.25">
      <c r="A90" s="348"/>
      <c r="B90" s="349"/>
      <c r="C90" s="350" t="s">
        <v>108</v>
      </c>
      <c r="AJ90" s="348"/>
      <c r="AK90" s="349"/>
      <c r="AL90" s="349"/>
      <c r="AM90" s="347" t="s">
        <v>108</v>
      </c>
      <c r="AN90" s="343">
        <f t="shared" ref="AN90:BV90" si="210">AN88*$AN$94</f>
        <v>0</v>
      </c>
      <c r="AO90" s="343">
        <f>AO88*$AN$94</f>
        <v>97760</v>
      </c>
      <c r="AP90" s="343">
        <f>AP88*$AN$94</f>
        <v>91650</v>
      </c>
      <c r="AQ90" s="343">
        <f t="shared" si="210"/>
        <v>85540</v>
      </c>
      <c r="AR90" s="343">
        <f t="shared" si="210"/>
        <v>85540</v>
      </c>
      <c r="AS90" s="343">
        <f t="shared" si="210"/>
        <v>85540</v>
      </c>
      <c r="AT90" s="343">
        <f t="shared" si="210"/>
        <v>79430</v>
      </c>
      <c r="AU90" s="343">
        <f t="shared" si="210"/>
        <v>79430</v>
      </c>
      <c r="AV90" s="386">
        <f t="shared" si="210"/>
        <v>61100</v>
      </c>
      <c r="AW90" s="731">
        <f t="shared" si="210"/>
        <v>54989.999999999993</v>
      </c>
      <c r="AX90" s="731">
        <f t="shared" si="210"/>
        <v>54989.999999999993</v>
      </c>
      <c r="AY90" s="731">
        <f t="shared" si="210"/>
        <v>48880</v>
      </c>
      <c r="AZ90" s="731">
        <f t="shared" si="210"/>
        <v>0</v>
      </c>
      <c r="BA90" s="731">
        <f t="shared" si="210"/>
        <v>97760</v>
      </c>
      <c r="BB90" s="731">
        <f t="shared" si="210"/>
        <v>91650</v>
      </c>
      <c r="BC90" s="731">
        <f t="shared" si="210"/>
        <v>85540</v>
      </c>
      <c r="BD90" s="731">
        <f t="shared" si="210"/>
        <v>85540</v>
      </c>
      <c r="BE90" s="731">
        <f t="shared" si="210"/>
        <v>85540</v>
      </c>
      <c r="BF90" s="731">
        <f t="shared" si="210"/>
        <v>79430</v>
      </c>
      <c r="BG90" s="731">
        <f t="shared" si="210"/>
        <v>79430</v>
      </c>
      <c r="BH90" s="731">
        <f t="shared" si="210"/>
        <v>61100</v>
      </c>
      <c r="BI90" s="731">
        <f t="shared" si="210"/>
        <v>54989.999999999993</v>
      </c>
      <c r="BJ90" s="731">
        <f t="shared" si="210"/>
        <v>54989.999999999993</v>
      </c>
      <c r="BK90" s="731">
        <f t="shared" si="210"/>
        <v>48880</v>
      </c>
      <c r="BL90" s="731">
        <f t="shared" si="210"/>
        <v>0</v>
      </c>
      <c r="BM90" s="731">
        <f t="shared" si="210"/>
        <v>97760</v>
      </c>
      <c r="BN90" s="731">
        <f t="shared" si="210"/>
        <v>91650</v>
      </c>
      <c r="BO90" s="731">
        <f t="shared" si="210"/>
        <v>85540</v>
      </c>
      <c r="BP90" s="731">
        <f t="shared" si="210"/>
        <v>85540</v>
      </c>
      <c r="BQ90" s="731">
        <f t="shared" si="210"/>
        <v>85540</v>
      </c>
      <c r="BR90" s="731">
        <f t="shared" si="210"/>
        <v>79430</v>
      </c>
      <c r="BS90" s="731">
        <f t="shared" si="210"/>
        <v>79430</v>
      </c>
      <c r="BT90" s="731">
        <f t="shared" si="210"/>
        <v>61100</v>
      </c>
      <c r="BU90" s="731">
        <f t="shared" si="210"/>
        <v>54989.999999999993</v>
      </c>
      <c r="BV90" s="731">
        <f t="shared" si="210"/>
        <v>54989.999999999993</v>
      </c>
    </row>
    <row r="91" spans="1:74" s="631" customFormat="1" ht="20.149999999999999" customHeight="1" outlineLevel="2" x14ac:dyDescent="0.25">
      <c r="A91" s="348"/>
      <c r="B91" s="349"/>
      <c r="C91" s="350" t="s">
        <v>109</v>
      </c>
      <c r="AJ91" s="348"/>
      <c r="AK91" s="349"/>
      <c r="AL91" s="349"/>
      <c r="AM91" s="347" t="s">
        <v>109</v>
      </c>
      <c r="AN91" s="343">
        <f t="shared" ref="AN91:AU91" si="211">AN90-AN89</f>
        <v>-94619.231221439986</v>
      </c>
      <c r="AO91" s="343">
        <f t="shared" si="211"/>
        <v>54412.864778559997</v>
      </c>
      <c r="AP91" s="343">
        <f t="shared" si="211"/>
        <v>49725.956278559999</v>
      </c>
      <c r="AQ91" s="343">
        <f t="shared" si="211"/>
        <v>44586.143778559999</v>
      </c>
      <c r="AR91" s="343">
        <f t="shared" si="211"/>
        <v>45835.640978559997</v>
      </c>
      <c r="AS91" s="343">
        <f t="shared" si="211"/>
        <v>45898.140978559997</v>
      </c>
      <c r="AT91" s="343">
        <f t="shared" si="211"/>
        <v>40403.636478560002</v>
      </c>
      <c r="AU91" s="343">
        <f t="shared" si="211"/>
        <v>40466.136478560002</v>
      </c>
      <c r="AV91" s="386">
        <f t="shared" ref="AV91:BU91" si="212">AV90-AV89</f>
        <v>24796.698978560002</v>
      </c>
      <c r="AW91" s="731">
        <f t="shared" si="212"/>
        <v>19656.886478559994</v>
      </c>
      <c r="AX91" s="731">
        <f t="shared" si="212"/>
        <v>19594.386478559994</v>
      </c>
      <c r="AY91" s="731">
        <f t="shared" si="212"/>
        <v>14454.573978560002</v>
      </c>
      <c r="AZ91" s="731">
        <f t="shared" si="212"/>
        <v>-53704.831221439992</v>
      </c>
      <c r="BA91" s="731">
        <f t="shared" si="212"/>
        <v>54412.864778559997</v>
      </c>
      <c r="BB91" s="731">
        <f t="shared" si="212"/>
        <v>49725.956278559999</v>
      </c>
      <c r="BC91" s="731">
        <f t="shared" si="212"/>
        <v>44586.143778559999</v>
      </c>
      <c r="BD91" s="731">
        <f t="shared" si="212"/>
        <v>45835.640978559997</v>
      </c>
      <c r="BE91" s="731">
        <f t="shared" si="212"/>
        <v>45898.140978559997</v>
      </c>
      <c r="BF91" s="731">
        <f t="shared" si="212"/>
        <v>40403.636478560002</v>
      </c>
      <c r="BG91" s="731">
        <f t="shared" si="212"/>
        <v>40466.136478560002</v>
      </c>
      <c r="BH91" s="731">
        <f t="shared" si="212"/>
        <v>24796.698978560002</v>
      </c>
      <c r="BI91" s="731">
        <f t="shared" si="212"/>
        <v>19656.886478559994</v>
      </c>
      <c r="BJ91" s="731">
        <f t="shared" si="212"/>
        <v>19594.386478559994</v>
      </c>
      <c r="BK91" s="731">
        <f t="shared" si="212"/>
        <v>14454.573978560002</v>
      </c>
      <c r="BL91" s="731">
        <f t="shared" si="212"/>
        <v>-53704.831221439992</v>
      </c>
      <c r="BM91" s="731">
        <f t="shared" si="212"/>
        <v>54412.864778559997</v>
      </c>
      <c r="BN91" s="731">
        <f t="shared" si="212"/>
        <v>49725.956278559999</v>
      </c>
      <c r="BO91" s="731">
        <f t="shared" si="212"/>
        <v>44586.143778559999</v>
      </c>
      <c r="BP91" s="731">
        <f t="shared" si="212"/>
        <v>45835.640978559997</v>
      </c>
      <c r="BQ91" s="731">
        <f t="shared" si="212"/>
        <v>45898.140978559997</v>
      </c>
      <c r="BR91" s="731">
        <f t="shared" si="212"/>
        <v>40403.636478560002</v>
      </c>
      <c r="BS91" s="731">
        <f t="shared" si="212"/>
        <v>40466.136478560002</v>
      </c>
      <c r="BT91" s="731">
        <f t="shared" si="212"/>
        <v>24796.698978560002</v>
      </c>
      <c r="BU91" s="731">
        <f t="shared" si="212"/>
        <v>19656.886478559994</v>
      </c>
      <c r="BV91" s="731">
        <f>BV90-BV89</f>
        <v>19594.386478559994</v>
      </c>
    </row>
    <row r="92" spans="1:74" s="631" customFormat="1" ht="20.149999999999999" customHeight="1" outlineLevel="2" x14ac:dyDescent="0.25">
      <c r="A92" s="348"/>
      <c r="B92" s="349"/>
      <c r="C92" s="350" t="s">
        <v>110</v>
      </c>
      <c r="AJ92" s="348"/>
      <c r="AK92" s="349"/>
      <c r="AL92" s="349"/>
      <c r="AM92" s="347" t="s">
        <v>110</v>
      </c>
      <c r="AN92" s="342">
        <f>AN91</f>
        <v>-94619.231221439986</v>
      </c>
      <c r="AO92" s="342">
        <f>AO91+AN92</f>
        <v>-40206.366442879989</v>
      </c>
      <c r="AP92" s="342">
        <f t="shared" ref="AP92:AU92" si="213">AP91+AO92</f>
        <v>9519.5898356800099</v>
      </c>
      <c r="AQ92" s="342">
        <f t="shared" si="213"/>
        <v>54105.733614240009</v>
      </c>
      <c r="AR92" s="342">
        <f t="shared" si="213"/>
        <v>99941.374592800013</v>
      </c>
      <c r="AS92" s="342">
        <f t="shared" si="213"/>
        <v>145839.51557136001</v>
      </c>
      <c r="AT92" s="342">
        <f t="shared" si="213"/>
        <v>186243.15204992</v>
      </c>
      <c r="AU92" s="342">
        <f t="shared" si="213"/>
        <v>226709.28852847998</v>
      </c>
      <c r="AV92" s="397">
        <f t="shared" ref="AV92:BV92" si="214">AV91+AU92</f>
        <v>251505.98750703997</v>
      </c>
      <c r="AW92" s="732">
        <f t="shared" si="214"/>
        <v>271162.87398559996</v>
      </c>
      <c r="AX92" s="732">
        <f t="shared" si="214"/>
        <v>290757.26046415995</v>
      </c>
      <c r="AY92" s="732">
        <f t="shared" si="214"/>
        <v>305211.83444271993</v>
      </c>
      <c r="AZ92" s="732">
        <f t="shared" si="214"/>
        <v>251507.00322127994</v>
      </c>
      <c r="BA92" s="732">
        <f t="shared" si="214"/>
        <v>305919.86799983995</v>
      </c>
      <c r="BB92" s="732">
        <f t="shared" si="214"/>
        <v>355645.82427839993</v>
      </c>
      <c r="BC92" s="732">
        <f t="shared" si="214"/>
        <v>400231.96805695991</v>
      </c>
      <c r="BD92" s="732">
        <f t="shared" si="214"/>
        <v>446067.60903551988</v>
      </c>
      <c r="BE92" s="732">
        <f t="shared" si="214"/>
        <v>491965.75001407985</v>
      </c>
      <c r="BF92" s="732">
        <f t="shared" si="214"/>
        <v>532369.3864926399</v>
      </c>
      <c r="BG92" s="732">
        <f t="shared" si="214"/>
        <v>572835.52297119994</v>
      </c>
      <c r="BH92" s="732">
        <f t="shared" si="214"/>
        <v>597632.22194975999</v>
      </c>
      <c r="BI92" s="732">
        <f t="shared" si="214"/>
        <v>617289.10842832003</v>
      </c>
      <c r="BJ92" s="732">
        <f t="shared" si="214"/>
        <v>636883.49490688008</v>
      </c>
      <c r="BK92" s="732">
        <f t="shared" si="214"/>
        <v>651338.06888544012</v>
      </c>
      <c r="BL92" s="732">
        <f t="shared" si="214"/>
        <v>597633.23766400013</v>
      </c>
      <c r="BM92" s="732">
        <f t="shared" si="214"/>
        <v>652046.10244256014</v>
      </c>
      <c r="BN92" s="732">
        <f t="shared" si="214"/>
        <v>701772.05872112012</v>
      </c>
      <c r="BO92" s="732">
        <f t="shared" si="214"/>
        <v>746358.2024996801</v>
      </c>
      <c r="BP92" s="732">
        <f t="shared" si="214"/>
        <v>792193.84347824007</v>
      </c>
      <c r="BQ92" s="732">
        <f t="shared" si="214"/>
        <v>838091.98445680004</v>
      </c>
      <c r="BR92" s="732">
        <f t="shared" si="214"/>
        <v>878495.62093536009</v>
      </c>
      <c r="BS92" s="732">
        <f t="shared" si="214"/>
        <v>918961.75741392013</v>
      </c>
      <c r="BT92" s="732">
        <f t="shared" si="214"/>
        <v>943758.45639248018</v>
      </c>
      <c r="BU92" s="732">
        <f t="shared" si="214"/>
        <v>963415.34287104022</v>
      </c>
      <c r="BV92" s="732">
        <f t="shared" si="214"/>
        <v>983009.72934960027</v>
      </c>
    </row>
    <row r="93" spans="1:74" s="626" customFormat="1" ht="20.149999999999999" customHeight="1" outlineLevel="2" x14ac:dyDescent="0.25">
      <c r="A93" s="348"/>
      <c r="B93" s="349"/>
      <c r="C93" s="350" t="s">
        <v>111</v>
      </c>
      <c r="J93" s="631"/>
      <c r="K93" s="631"/>
      <c r="L93" s="631"/>
      <c r="M93" s="631"/>
      <c r="N93" s="631"/>
      <c r="O93" s="631"/>
      <c r="P93" s="631"/>
      <c r="Q93" s="631"/>
      <c r="R93" s="631"/>
      <c r="S93" s="631"/>
      <c r="T93" s="631"/>
      <c r="U93" s="631"/>
      <c r="V93" s="631"/>
      <c r="W93" s="631"/>
      <c r="X93" s="631"/>
      <c r="Y93" s="631"/>
      <c r="Z93" s="631"/>
      <c r="AA93" s="631"/>
      <c r="AB93" s="631"/>
      <c r="AC93" s="631"/>
      <c r="AD93" s="631"/>
      <c r="AE93" s="631"/>
      <c r="AF93" s="631"/>
      <c r="AG93" s="631"/>
      <c r="AH93" s="631"/>
      <c r="AI93" s="631"/>
      <c r="AJ93" s="348"/>
      <c r="AK93" s="349"/>
      <c r="AL93" s="349"/>
      <c r="AM93" s="350" t="s">
        <v>111</v>
      </c>
      <c r="AN93" s="341">
        <f>BV92/BV7</f>
        <v>28085.992267131438</v>
      </c>
      <c r="AO93" s="638"/>
      <c r="AP93" s="638"/>
      <c r="AQ93" s="638"/>
      <c r="AR93" s="638"/>
      <c r="AS93" s="638"/>
      <c r="AT93" s="632"/>
      <c r="AU93" s="632"/>
      <c r="AV93" s="632"/>
    </row>
    <row r="94" spans="1:74" s="626" customFormat="1" ht="20.149999999999999" customHeight="1" outlineLevel="2" x14ac:dyDescent="0.25">
      <c r="A94" s="351"/>
      <c r="B94" s="352"/>
      <c r="C94" s="353" t="s">
        <v>112</v>
      </c>
      <c r="AJ94" s="351"/>
      <c r="AK94" s="352"/>
      <c r="AL94" s="352"/>
      <c r="AM94" s="353" t="s">
        <v>112</v>
      </c>
      <c r="AN94" s="847">
        <f>'Preço de venda - Cult Perm.'!B79</f>
        <v>1300</v>
      </c>
    </row>
    <row r="95" spans="1:74" s="626" customFormat="1" ht="20.149999999999999" customHeight="1" outlineLevel="1" thickBot="1" x14ac:dyDescent="0.3"/>
    <row r="96" spans="1:74" s="563" customFormat="1" ht="30" customHeight="1" collapsed="1" thickBot="1" x14ac:dyDescent="0.3">
      <c r="A96" s="555" t="s">
        <v>505</v>
      </c>
      <c r="B96" s="621"/>
      <c r="C96" s="621"/>
      <c r="D96" s="621"/>
      <c r="E96" s="621"/>
      <c r="F96" s="621"/>
      <c r="G96" s="621"/>
      <c r="H96" s="621"/>
      <c r="I96" s="621"/>
      <c r="J96" s="621"/>
      <c r="K96" s="621"/>
      <c r="L96" s="621"/>
      <c r="M96" s="621"/>
      <c r="N96" s="621"/>
      <c r="O96" s="621"/>
      <c r="P96" s="621"/>
      <c r="Q96" s="621"/>
      <c r="R96" s="621"/>
      <c r="S96" s="621"/>
      <c r="T96" s="621"/>
      <c r="U96" s="621"/>
      <c r="V96" s="621"/>
      <c r="W96" s="621"/>
      <c r="X96" s="621"/>
      <c r="Y96" s="621"/>
      <c r="Z96" s="621"/>
      <c r="AA96" s="621"/>
      <c r="AB96" s="621"/>
      <c r="AC96" s="621"/>
      <c r="AD96" s="621"/>
      <c r="AE96" s="621"/>
      <c r="AF96" s="621"/>
      <c r="AG96" s="621"/>
      <c r="AH96" s="621"/>
      <c r="AI96" s="621"/>
      <c r="AJ96" s="621"/>
      <c r="AK96" s="621"/>
      <c r="AL96" s="621"/>
      <c r="AM96" s="621"/>
      <c r="AN96" s="621"/>
      <c r="AO96" s="621"/>
      <c r="AP96" s="621"/>
      <c r="AQ96" s="621"/>
      <c r="AR96" s="621"/>
      <c r="AS96" s="621"/>
      <c r="AT96" s="621"/>
      <c r="AU96" s="621"/>
    </row>
    <row r="97" spans="1:74" s="123" customFormat="1" ht="27" hidden="1" customHeight="1" outlineLevel="1" thickBot="1" x14ac:dyDescent="0.3">
      <c r="A97" s="1106" t="s">
        <v>52</v>
      </c>
      <c r="B97" s="1106"/>
      <c r="C97" s="1106"/>
      <c r="D97" s="1106"/>
      <c r="E97" s="1106"/>
      <c r="F97" s="1106"/>
      <c r="G97" s="1106"/>
      <c r="H97" s="1106"/>
      <c r="I97" s="1106"/>
      <c r="J97" s="1106"/>
      <c r="K97" s="1106"/>
      <c r="L97" s="1106"/>
      <c r="M97" s="1106"/>
      <c r="N97" s="1106"/>
      <c r="O97" s="1106"/>
      <c r="P97" s="1106"/>
      <c r="Q97" s="1106"/>
      <c r="R97" s="1106"/>
      <c r="S97" s="1106"/>
      <c r="T97" s="1106"/>
      <c r="U97" s="1106"/>
      <c r="V97" s="1106"/>
      <c r="W97" s="1106"/>
      <c r="X97" s="1106"/>
      <c r="Y97" s="1106"/>
      <c r="Z97" s="1106"/>
      <c r="AA97" s="1106"/>
      <c r="AB97" s="1106"/>
      <c r="AC97" s="1106"/>
      <c r="AD97" s="1106"/>
      <c r="AE97" s="1106"/>
      <c r="AF97" s="1106"/>
      <c r="AG97" s="1106"/>
      <c r="AH97" s="1106"/>
      <c r="AI97" s="1106"/>
      <c r="AJ97" s="1106"/>
      <c r="AK97" s="1106"/>
      <c r="AL97" s="1106"/>
      <c r="AM97" s="1106"/>
      <c r="AN97" s="1106"/>
      <c r="AO97" s="1106"/>
      <c r="AP97" s="1106"/>
      <c r="AQ97" s="1106"/>
      <c r="AR97" s="1106"/>
      <c r="AS97" s="1106"/>
      <c r="AT97" s="1106"/>
      <c r="AU97" s="1106"/>
      <c r="AV97" s="1106"/>
      <c r="AW97" s="1106"/>
      <c r="AX97" s="1106"/>
      <c r="AY97" s="1106"/>
      <c r="AZ97" s="1106"/>
      <c r="BA97" s="1106"/>
      <c r="BB97" s="1106"/>
      <c r="BC97" s="1106"/>
      <c r="BD97" s="1106"/>
      <c r="BE97" s="1106"/>
      <c r="BF97" s="1106"/>
      <c r="BG97" s="1106"/>
      <c r="BH97" s="1106"/>
      <c r="BI97" s="1106"/>
      <c r="BJ97" s="1106"/>
      <c r="BK97" s="1106"/>
      <c r="BL97" s="1106"/>
      <c r="BM97" s="1106"/>
      <c r="BN97" s="1106"/>
      <c r="BO97" s="1106"/>
      <c r="BP97" s="1106"/>
      <c r="BQ97" s="1106"/>
      <c r="BR97" s="1106"/>
      <c r="BS97" s="1106"/>
      <c r="BT97" s="1106"/>
      <c r="BU97" s="1106"/>
      <c r="BV97" s="1106"/>
    </row>
    <row r="98" spans="1:74" ht="18" hidden="1" customHeight="1" outlineLevel="2" thickBot="1" x14ac:dyDescent="0.3">
      <c r="A98" s="1102" t="s">
        <v>113</v>
      </c>
      <c r="B98" s="1102" t="s">
        <v>8</v>
      </c>
      <c r="C98" s="1102" t="s">
        <v>100</v>
      </c>
      <c r="D98" s="1102" t="s">
        <v>97</v>
      </c>
      <c r="E98" s="1102"/>
      <c r="F98" s="1102"/>
      <c r="G98" s="1102"/>
      <c r="H98" s="1102"/>
      <c r="I98" s="1102"/>
      <c r="J98" s="1102"/>
      <c r="K98" s="1102"/>
      <c r="L98" s="1102"/>
      <c r="M98" s="1102"/>
      <c r="N98" s="1102"/>
      <c r="O98" s="1102"/>
      <c r="P98" s="1102"/>
      <c r="Q98" s="1102"/>
      <c r="R98" s="1102"/>
      <c r="S98" s="1102"/>
      <c r="T98" s="1102"/>
      <c r="U98" s="1102"/>
      <c r="V98" s="1102"/>
      <c r="W98" s="1102"/>
      <c r="X98" s="1102"/>
      <c r="Y98" s="1102"/>
      <c r="Z98" s="1102"/>
      <c r="AA98" s="1102"/>
      <c r="AB98" s="1102"/>
      <c r="AC98" s="1102"/>
      <c r="AD98" s="1102"/>
      <c r="AE98" s="1102"/>
      <c r="AF98" s="1102"/>
      <c r="AG98" s="1102"/>
      <c r="AH98" s="1102"/>
      <c r="AI98" s="1102"/>
      <c r="AJ98" s="1102"/>
      <c r="AK98" s="1102"/>
      <c r="AL98" s="1102"/>
      <c r="AM98" s="634"/>
      <c r="AN98" s="1102" t="s">
        <v>99</v>
      </c>
      <c r="AO98" s="1102"/>
      <c r="AP98" s="1102"/>
      <c r="AQ98" s="1102"/>
      <c r="AR98" s="1102"/>
      <c r="AS98" s="1102"/>
      <c r="AT98" s="1102"/>
      <c r="AU98" s="1102"/>
      <c r="AV98" s="1102"/>
      <c r="AW98" s="1102"/>
      <c r="AX98" s="1102"/>
      <c r="AY98" s="1102"/>
      <c r="AZ98" s="1102"/>
      <c r="BA98" s="1102"/>
      <c r="BB98" s="1102"/>
      <c r="BC98" s="1102"/>
      <c r="BD98" s="1102"/>
      <c r="BE98" s="1102"/>
      <c r="BF98" s="1102"/>
      <c r="BG98" s="1102"/>
      <c r="BH98" s="1102"/>
      <c r="BI98" s="1102"/>
      <c r="BJ98" s="1102"/>
      <c r="BK98" s="1102"/>
      <c r="BL98" s="1102"/>
      <c r="BM98" s="1102"/>
      <c r="BN98" s="1102"/>
      <c r="BO98" s="1102"/>
      <c r="BP98" s="1102"/>
      <c r="BQ98" s="1102"/>
      <c r="BR98" s="1102"/>
      <c r="BS98" s="1102"/>
      <c r="BT98" s="1102"/>
      <c r="BU98" s="1102"/>
      <c r="BV98" s="1102"/>
    </row>
    <row r="99" spans="1:74" ht="18" hidden="1" customHeight="1" outlineLevel="2" thickBot="1" x14ac:dyDescent="0.3">
      <c r="A99" s="1102"/>
      <c r="B99" s="1102"/>
      <c r="C99" s="1102"/>
      <c r="D99" s="275">
        <v>1</v>
      </c>
      <c r="E99" s="211">
        <v>2</v>
      </c>
      <c r="F99" s="211">
        <v>3</v>
      </c>
      <c r="G99" s="211">
        <v>4</v>
      </c>
      <c r="H99" s="211">
        <v>5</v>
      </c>
      <c r="I99" s="211">
        <v>6</v>
      </c>
      <c r="J99" s="211">
        <v>7</v>
      </c>
      <c r="K99" s="211">
        <v>8</v>
      </c>
      <c r="L99" s="211">
        <v>9</v>
      </c>
      <c r="M99" s="211">
        <v>10</v>
      </c>
      <c r="N99" s="211">
        <v>11</v>
      </c>
      <c r="O99" s="211">
        <v>12</v>
      </c>
      <c r="P99" s="211">
        <v>13</v>
      </c>
      <c r="Q99" s="211">
        <v>14</v>
      </c>
      <c r="R99" s="211">
        <v>15</v>
      </c>
      <c r="S99" s="211">
        <v>16</v>
      </c>
      <c r="T99" s="211">
        <v>17</v>
      </c>
      <c r="U99" s="211">
        <v>18</v>
      </c>
      <c r="V99" s="211">
        <v>19</v>
      </c>
      <c r="W99" s="211">
        <v>20</v>
      </c>
      <c r="X99" s="211">
        <v>21</v>
      </c>
      <c r="Y99" s="211">
        <v>22</v>
      </c>
      <c r="Z99" s="211">
        <v>23</v>
      </c>
      <c r="AA99" s="211">
        <v>24</v>
      </c>
      <c r="AB99" s="211">
        <v>25</v>
      </c>
      <c r="AC99" s="211">
        <v>26</v>
      </c>
      <c r="AD99" s="211">
        <v>27</v>
      </c>
      <c r="AE99" s="211">
        <v>28</v>
      </c>
      <c r="AF99" s="211">
        <v>29</v>
      </c>
      <c r="AG99" s="211">
        <v>30</v>
      </c>
      <c r="AH99" s="211">
        <v>31</v>
      </c>
      <c r="AI99" s="211">
        <v>32</v>
      </c>
      <c r="AJ99" s="211">
        <v>33</v>
      </c>
      <c r="AK99" s="211">
        <v>34</v>
      </c>
      <c r="AL99" s="212">
        <v>35</v>
      </c>
      <c r="AM99" s="635"/>
      <c r="AN99" s="275">
        <v>1</v>
      </c>
      <c r="AO99" s="211">
        <v>2</v>
      </c>
      <c r="AP99" s="211">
        <v>3</v>
      </c>
      <c r="AQ99" s="211">
        <v>4</v>
      </c>
      <c r="AR99" s="211">
        <v>5</v>
      </c>
      <c r="AS99" s="211">
        <v>6</v>
      </c>
      <c r="AT99" s="211">
        <v>7</v>
      </c>
      <c r="AU99" s="211">
        <v>8</v>
      </c>
      <c r="AV99" s="211">
        <v>9</v>
      </c>
      <c r="AW99" s="211">
        <v>10</v>
      </c>
      <c r="AX99" s="211">
        <v>11</v>
      </c>
      <c r="AY99" s="211">
        <v>12</v>
      </c>
      <c r="AZ99" s="211">
        <v>13</v>
      </c>
      <c r="BA99" s="211">
        <v>14</v>
      </c>
      <c r="BB99" s="211">
        <v>15</v>
      </c>
      <c r="BC99" s="211">
        <v>16</v>
      </c>
      <c r="BD99" s="211">
        <v>17</v>
      </c>
      <c r="BE99" s="211">
        <v>18</v>
      </c>
      <c r="BF99" s="211">
        <v>19</v>
      </c>
      <c r="BG99" s="211">
        <v>20</v>
      </c>
      <c r="BH99" s="211">
        <v>21</v>
      </c>
      <c r="BI99" s="211">
        <v>22</v>
      </c>
      <c r="BJ99" s="211">
        <v>23</v>
      </c>
      <c r="BK99" s="211">
        <v>24</v>
      </c>
      <c r="BL99" s="211">
        <v>25</v>
      </c>
      <c r="BM99" s="211">
        <v>26</v>
      </c>
      <c r="BN99" s="211">
        <v>27</v>
      </c>
      <c r="BO99" s="211">
        <v>28</v>
      </c>
      <c r="BP99" s="211">
        <v>29</v>
      </c>
      <c r="BQ99" s="211">
        <v>30</v>
      </c>
      <c r="BR99" s="211">
        <v>31</v>
      </c>
      <c r="BS99" s="211">
        <v>32</v>
      </c>
      <c r="BT99" s="211">
        <v>33</v>
      </c>
      <c r="BU99" s="211">
        <v>34</v>
      </c>
      <c r="BV99" s="212">
        <v>35</v>
      </c>
    </row>
    <row r="100" spans="1:74" ht="20.149999999999999" hidden="1" customHeight="1" outlineLevel="2" x14ac:dyDescent="0.25">
      <c r="A100" s="56" t="str">
        <f>'Quantidade-Cult.Perma.'!A36</f>
        <v>Ácido Bórico</v>
      </c>
      <c r="B100" s="11" t="str">
        <f>'Quantidade-Cult.Perma.'!B36</f>
        <v>KG</v>
      </c>
      <c r="C100" s="279">
        <f>'Quantidade-Cult.Perma.'!D36</f>
        <v>7.5</v>
      </c>
      <c r="D100" s="279">
        <f>'Quantidade-Cult.Perma.'!R36</f>
        <v>66.5</v>
      </c>
      <c r="E100" s="279">
        <f>'Quantidade-Cult.Perma.'!S36</f>
        <v>79.8</v>
      </c>
      <c r="F100" s="279">
        <f>'Quantidade-Cult.Perma.'!T36</f>
        <v>79.8</v>
      </c>
      <c r="G100" s="279">
        <f>'Quantidade-Cult.Perma.'!U36</f>
        <v>79.8</v>
      </c>
      <c r="H100" s="279">
        <f>'Quantidade-Cult.Perma.'!V36</f>
        <v>79.8</v>
      </c>
      <c r="I100" s="279">
        <f>'Quantidade-Cult.Perma.'!W36</f>
        <v>79.8</v>
      </c>
      <c r="J100" s="279">
        <f>'Quantidade-Cult.Perma.'!X36</f>
        <v>79.8</v>
      </c>
      <c r="K100" s="279">
        <f>'Quantidade-Cult.Perma.'!Y36</f>
        <v>79.8</v>
      </c>
      <c r="L100" s="356">
        <f>'Quantidade-Cult.Perma.'!Z36</f>
        <v>79.8</v>
      </c>
      <c r="M100" s="356">
        <f>'Quantidade-Cult.Perma.'!AA36</f>
        <v>79.8</v>
      </c>
      <c r="N100" s="356">
        <f>'Quantidade-Cult.Perma.'!AB36</f>
        <v>79.8</v>
      </c>
      <c r="O100" s="356">
        <f>'Quantidade-Cult.Perma.'!AC36</f>
        <v>79.8</v>
      </c>
      <c r="P100" s="356">
        <f t="shared" ref="P100:P114" si="215">D100</f>
        <v>66.5</v>
      </c>
      <c r="Q100" s="356">
        <f t="shared" ref="Q100:Q114" si="216">E100</f>
        <v>79.8</v>
      </c>
      <c r="R100" s="356">
        <f t="shared" ref="R100:R114" si="217">F100</f>
        <v>79.8</v>
      </c>
      <c r="S100" s="356">
        <f t="shared" ref="S100:S114" si="218">G100</f>
        <v>79.8</v>
      </c>
      <c r="T100" s="356">
        <f t="shared" ref="T100:T114" si="219">H100</f>
        <v>79.8</v>
      </c>
      <c r="U100" s="356">
        <f t="shared" ref="U100:U114" si="220">I100</f>
        <v>79.8</v>
      </c>
      <c r="V100" s="356">
        <f t="shared" ref="V100:V114" si="221">J100</f>
        <v>79.8</v>
      </c>
      <c r="W100" s="356">
        <f t="shared" ref="W100:W114" si="222">K100</f>
        <v>79.8</v>
      </c>
      <c r="X100" s="356">
        <f t="shared" ref="X100:X114" si="223">L100</f>
        <v>79.8</v>
      </c>
      <c r="Y100" s="356">
        <f t="shared" ref="Y100:Y114" si="224">M100</f>
        <v>79.8</v>
      </c>
      <c r="Z100" s="356">
        <f t="shared" ref="Z100:Z114" si="225">N100</f>
        <v>79.8</v>
      </c>
      <c r="AA100" s="356">
        <f t="shared" ref="AA100:AA114" si="226">O100</f>
        <v>79.8</v>
      </c>
      <c r="AB100" s="356">
        <f t="shared" ref="AB100:AB114" si="227">D100</f>
        <v>66.5</v>
      </c>
      <c r="AC100" s="356">
        <f t="shared" ref="AC100:AC114" si="228">E100</f>
        <v>79.8</v>
      </c>
      <c r="AD100" s="356">
        <f t="shared" ref="AD100:AD114" si="229">F100</f>
        <v>79.8</v>
      </c>
      <c r="AE100" s="356">
        <f t="shared" ref="AE100:AE114" si="230">G100</f>
        <v>79.8</v>
      </c>
      <c r="AF100" s="356">
        <f t="shared" ref="AF100:AF114" si="231">H100</f>
        <v>79.8</v>
      </c>
      <c r="AG100" s="356">
        <f t="shared" ref="AG100:AG114" si="232">I100</f>
        <v>79.8</v>
      </c>
      <c r="AH100" s="356">
        <f t="shared" ref="AH100:AH114" si="233">J100</f>
        <v>79.8</v>
      </c>
      <c r="AI100" s="356">
        <f t="shared" ref="AI100:AI114" si="234">K100</f>
        <v>79.8</v>
      </c>
      <c r="AJ100" s="356">
        <f t="shared" ref="AJ100:AJ114" si="235">L100</f>
        <v>79.8</v>
      </c>
      <c r="AK100" s="356">
        <f t="shared" ref="AK100:AK114" si="236">M100</f>
        <v>79.8</v>
      </c>
      <c r="AL100" s="357">
        <f t="shared" ref="AL100:AL114" si="237">N100</f>
        <v>79.8</v>
      </c>
      <c r="AM100" s="636"/>
      <c r="AN100" s="301">
        <f t="shared" ref="AN100:BV100" si="238">$C$100*D100</f>
        <v>498.75</v>
      </c>
      <c r="AO100" s="302">
        <f t="shared" si="238"/>
        <v>598.5</v>
      </c>
      <c r="AP100" s="302">
        <f t="shared" si="238"/>
        <v>598.5</v>
      </c>
      <c r="AQ100" s="302">
        <f t="shared" si="238"/>
        <v>598.5</v>
      </c>
      <c r="AR100" s="302">
        <f t="shared" si="238"/>
        <v>598.5</v>
      </c>
      <c r="AS100" s="302">
        <f t="shared" si="238"/>
        <v>598.5</v>
      </c>
      <c r="AT100" s="302">
        <f t="shared" si="238"/>
        <v>598.5</v>
      </c>
      <c r="AU100" s="302">
        <f t="shared" si="238"/>
        <v>598.5</v>
      </c>
      <c r="AV100" s="374">
        <f t="shared" si="238"/>
        <v>598.5</v>
      </c>
      <c r="AW100" s="374">
        <f t="shared" si="238"/>
        <v>598.5</v>
      </c>
      <c r="AX100" s="374">
        <f t="shared" si="238"/>
        <v>598.5</v>
      </c>
      <c r="AY100" s="374">
        <f t="shared" si="238"/>
        <v>598.5</v>
      </c>
      <c r="AZ100" s="374">
        <f t="shared" si="238"/>
        <v>498.75</v>
      </c>
      <c r="BA100" s="374">
        <f t="shared" si="238"/>
        <v>598.5</v>
      </c>
      <c r="BB100" s="374">
        <f t="shared" si="238"/>
        <v>598.5</v>
      </c>
      <c r="BC100" s="374">
        <f t="shared" si="238"/>
        <v>598.5</v>
      </c>
      <c r="BD100" s="374">
        <f t="shared" si="238"/>
        <v>598.5</v>
      </c>
      <c r="BE100" s="374">
        <f t="shared" si="238"/>
        <v>598.5</v>
      </c>
      <c r="BF100" s="374">
        <f t="shared" si="238"/>
        <v>598.5</v>
      </c>
      <c r="BG100" s="374">
        <f t="shared" si="238"/>
        <v>598.5</v>
      </c>
      <c r="BH100" s="374">
        <f t="shared" si="238"/>
        <v>598.5</v>
      </c>
      <c r="BI100" s="374">
        <f t="shared" si="238"/>
        <v>598.5</v>
      </c>
      <c r="BJ100" s="374">
        <f t="shared" si="238"/>
        <v>598.5</v>
      </c>
      <c r="BK100" s="374">
        <f t="shared" si="238"/>
        <v>598.5</v>
      </c>
      <c r="BL100" s="374">
        <f t="shared" si="238"/>
        <v>498.75</v>
      </c>
      <c r="BM100" s="374">
        <f t="shared" si="238"/>
        <v>598.5</v>
      </c>
      <c r="BN100" s="374">
        <f t="shared" si="238"/>
        <v>598.5</v>
      </c>
      <c r="BO100" s="374">
        <f t="shared" si="238"/>
        <v>598.5</v>
      </c>
      <c r="BP100" s="374">
        <f t="shared" si="238"/>
        <v>598.5</v>
      </c>
      <c r="BQ100" s="374">
        <f t="shared" si="238"/>
        <v>598.5</v>
      </c>
      <c r="BR100" s="374">
        <f t="shared" si="238"/>
        <v>598.5</v>
      </c>
      <c r="BS100" s="374">
        <f t="shared" si="238"/>
        <v>598.5</v>
      </c>
      <c r="BT100" s="374">
        <f t="shared" si="238"/>
        <v>598.5</v>
      </c>
      <c r="BU100" s="374">
        <f t="shared" si="238"/>
        <v>598.5</v>
      </c>
      <c r="BV100" s="375">
        <f t="shared" si="238"/>
        <v>598.5</v>
      </c>
    </row>
    <row r="101" spans="1:74" ht="20.149999999999999" hidden="1" customHeight="1" outlineLevel="2" x14ac:dyDescent="0.25">
      <c r="A101" s="23" t="str">
        <f>'Quantidade-Cult.Perma.'!A37</f>
        <v>Calcário</v>
      </c>
      <c r="B101" s="8" t="str">
        <f>'Quantidade-Cult.Perma.'!B37</f>
        <v>T</v>
      </c>
      <c r="C101" s="284">
        <f>'Quantidade-Cult.Perma.'!D37</f>
        <v>450</v>
      </c>
      <c r="D101" s="284">
        <f>'Quantidade-Cult.Perma.'!R37</f>
        <v>1.3</v>
      </c>
      <c r="E101" s="284">
        <f>'Quantidade-Cult.Perma.'!S37</f>
        <v>1</v>
      </c>
      <c r="F101" s="284">
        <f>'Quantidade-Cult.Perma.'!T37</f>
        <v>1</v>
      </c>
      <c r="G101" s="284">
        <f>'Quantidade-Cult.Perma.'!U37</f>
        <v>1</v>
      </c>
      <c r="H101" s="284">
        <f>'Quantidade-Cult.Perma.'!V37</f>
        <v>1</v>
      </c>
      <c r="I101" s="284">
        <f>'Quantidade-Cult.Perma.'!W37</f>
        <v>1</v>
      </c>
      <c r="J101" s="284">
        <f>'Quantidade-Cult.Perma.'!X37</f>
        <v>1</v>
      </c>
      <c r="K101" s="284">
        <f>'Quantidade-Cult.Perma.'!Y37</f>
        <v>1</v>
      </c>
      <c r="L101" s="358">
        <f>'Quantidade-Cult.Perma.'!Z37</f>
        <v>1</v>
      </c>
      <c r="M101" s="358">
        <f>'Quantidade-Cult.Perma.'!AA37</f>
        <v>1</v>
      </c>
      <c r="N101" s="358">
        <f>'Quantidade-Cult.Perma.'!AB37</f>
        <v>1</v>
      </c>
      <c r="O101" s="358">
        <f>'Quantidade-Cult.Perma.'!AC37</f>
        <v>1</v>
      </c>
      <c r="P101" s="358">
        <f t="shared" si="215"/>
        <v>1.3</v>
      </c>
      <c r="Q101" s="358">
        <f t="shared" si="216"/>
        <v>1</v>
      </c>
      <c r="R101" s="358">
        <f t="shared" si="217"/>
        <v>1</v>
      </c>
      <c r="S101" s="358">
        <f t="shared" si="218"/>
        <v>1</v>
      </c>
      <c r="T101" s="358">
        <f t="shared" si="219"/>
        <v>1</v>
      </c>
      <c r="U101" s="358">
        <f t="shared" si="220"/>
        <v>1</v>
      </c>
      <c r="V101" s="358">
        <f t="shared" si="221"/>
        <v>1</v>
      </c>
      <c r="W101" s="358">
        <f t="shared" si="222"/>
        <v>1</v>
      </c>
      <c r="X101" s="358">
        <f t="shared" si="223"/>
        <v>1</v>
      </c>
      <c r="Y101" s="358">
        <f t="shared" si="224"/>
        <v>1</v>
      </c>
      <c r="Z101" s="358">
        <f t="shared" si="225"/>
        <v>1</v>
      </c>
      <c r="AA101" s="358">
        <f t="shared" si="226"/>
        <v>1</v>
      </c>
      <c r="AB101" s="358">
        <f t="shared" si="227"/>
        <v>1.3</v>
      </c>
      <c r="AC101" s="358">
        <f t="shared" si="228"/>
        <v>1</v>
      </c>
      <c r="AD101" s="358">
        <f t="shared" si="229"/>
        <v>1</v>
      </c>
      <c r="AE101" s="358">
        <f t="shared" si="230"/>
        <v>1</v>
      </c>
      <c r="AF101" s="358">
        <f t="shared" si="231"/>
        <v>1</v>
      </c>
      <c r="AG101" s="358">
        <f t="shared" si="232"/>
        <v>1</v>
      </c>
      <c r="AH101" s="358">
        <f t="shared" si="233"/>
        <v>1</v>
      </c>
      <c r="AI101" s="358">
        <f t="shared" si="234"/>
        <v>1</v>
      </c>
      <c r="AJ101" s="358">
        <f t="shared" si="235"/>
        <v>1</v>
      </c>
      <c r="AK101" s="358">
        <f t="shared" si="236"/>
        <v>1</v>
      </c>
      <c r="AL101" s="359">
        <f t="shared" si="237"/>
        <v>1</v>
      </c>
      <c r="AM101" s="636"/>
      <c r="AN101" s="303">
        <f t="shared" ref="AN101:BV101" si="239">$C$101*D101</f>
        <v>585</v>
      </c>
      <c r="AO101" s="304">
        <f t="shared" si="239"/>
        <v>450</v>
      </c>
      <c r="AP101" s="304">
        <f t="shared" si="239"/>
        <v>450</v>
      </c>
      <c r="AQ101" s="304">
        <f t="shared" si="239"/>
        <v>450</v>
      </c>
      <c r="AR101" s="304">
        <f t="shared" si="239"/>
        <v>450</v>
      </c>
      <c r="AS101" s="304">
        <f t="shared" si="239"/>
        <v>450</v>
      </c>
      <c r="AT101" s="304">
        <f t="shared" si="239"/>
        <v>450</v>
      </c>
      <c r="AU101" s="304">
        <f t="shared" si="239"/>
        <v>450</v>
      </c>
      <c r="AV101" s="376">
        <f t="shared" si="239"/>
        <v>450</v>
      </c>
      <c r="AW101" s="376">
        <f t="shared" si="239"/>
        <v>450</v>
      </c>
      <c r="AX101" s="376">
        <f t="shared" si="239"/>
        <v>450</v>
      </c>
      <c r="AY101" s="376">
        <f t="shared" si="239"/>
        <v>450</v>
      </c>
      <c r="AZ101" s="376">
        <f t="shared" si="239"/>
        <v>585</v>
      </c>
      <c r="BA101" s="376">
        <f t="shared" si="239"/>
        <v>450</v>
      </c>
      <c r="BB101" s="376">
        <f t="shared" si="239"/>
        <v>450</v>
      </c>
      <c r="BC101" s="376">
        <f t="shared" si="239"/>
        <v>450</v>
      </c>
      <c r="BD101" s="376">
        <f t="shared" si="239"/>
        <v>450</v>
      </c>
      <c r="BE101" s="376">
        <f t="shared" si="239"/>
        <v>450</v>
      </c>
      <c r="BF101" s="376">
        <f t="shared" si="239"/>
        <v>450</v>
      </c>
      <c r="BG101" s="376">
        <f t="shared" si="239"/>
        <v>450</v>
      </c>
      <c r="BH101" s="376">
        <f t="shared" si="239"/>
        <v>450</v>
      </c>
      <c r="BI101" s="376">
        <f t="shared" si="239"/>
        <v>450</v>
      </c>
      <c r="BJ101" s="376">
        <f t="shared" si="239"/>
        <v>450</v>
      </c>
      <c r="BK101" s="376">
        <f t="shared" si="239"/>
        <v>450</v>
      </c>
      <c r="BL101" s="376">
        <f t="shared" si="239"/>
        <v>585</v>
      </c>
      <c r="BM101" s="376">
        <f t="shared" si="239"/>
        <v>450</v>
      </c>
      <c r="BN101" s="376">
        <f t="shared" si="239"/>
        <v>450</v>
      </c>
      <c r="BO101" s="376">
        <f t="shared" si="239"/>
        <v>450</v>
      </c>
      <c r="BP101" s="376">
        <f t="shared" si="239"/>
        <v>450</v>
      </c>
      <c r="BQ101" s="376">
        <f t="shared" si="239"/>
        <v>450</v>
      </c>
      <c r="BR101" s="376">
        <f t="shared" si="239"/>
        <v>450</v>
      </c>
      <c r="BS101" s="376">
        <f t="shared" si="239"/>
        <v>450</v>
      </c>
      <c r="BT101" s="376">
        <f t="shared" si="239"/>
        <v>450</v>
      </c>
      <c r="BU101" s="376">
        <f t="shared" si="239"/>
        <v>450</v>
      </c>
      <c r="BV101" s="377">
        <f t="shared" si="239"/>
        <v>450</v>
      </c>
    </row>
    <row r="102" spans="1:74" ht="20.149999999999999" hidden="1" customHeight="1" outlineLevel="2" x14ac:dyDescent="0.25">
      <c r="A102" s="23" t="str">
        <f>'Quantidade-Cult.Perma.'!A38</f>
        <v>Fosfatado</v>
      </c>
      <c r="B102" s="8" t="str">
        <f>'Quantidade-Cult.Perma.'!B38</f>
        <v>T</v>
      </c>
      <c r="C102" s="284">
        <f>'Quantidade-Cult.Perma.'!D38</f>
        <v>2650</v>
      </c>
      <c r="D102" s="284">
        <f>'Quantidade-Cult.Perma.'!R38</f>
        <v>1</v>
      </c>
      <c r="E102" s="284">
        <f>'Quantidade-Cult.Perma.'!S38</f>
        <v>1</v>
      </c>
      <c r="F102" s="284">
        <f>'Quantidade-Cult.Perma.'!T38</f>
        <v>1</v>
      </c>
      <c r="G102" s="284">
        <f>'Quantidade-Cult.Perma.'!U38</f>
        <v>1</v>
      </c>
      <c r="H102" s="284">
        <f>'Quantidade-Cult.Perma.'!V38</f>
        <v>1</v>
      </c>
      <c r="I102" s="284">
        <f>'Quantidade-Cult.Perma.'!W38</f>
        <v>1</v>
      </c>
      <c r="J102" s="284">
        <f>'Quantidade-Cult.Perma.'!X38</f>
        <v>1</v>
      </c>
      <c r="K102" s="284">
        <f>'Quantidade-Cult.Perma.'!Y38</f>
        <v>1</v>
      </c>
      <c r="L102" s="358">
        <f>'Quantidade-Cult.Perma.'!Z38</f>
        <v>1</v>
      </c>
      <c r="M102" s="358">
        <f>'Quantidade-Cult.Perma.'!AA38</f>
        <v>1</v>
      </c>
      <c r="N102" s="358">
        <f>'Quantidade-Cult.Perma.'!AB38</f>
        <v>1</v>
      </c>
      <c r="O102" s="358">
        <f>'Quantidade-Cult.Perma.'!AC38</f>
        <v>1</v>
      </c>
      <c r="P102" s="358">
        <f t="shared" si="215"/>
        <v>1</v>
      </c>
      <c r="Q102" s="358">
        <f t="shared" si="216"/>
        <v>1</v>
      </c>
      <c r="R102" s="358">
        <f t="shared" si="217"/>
        <v>1</v>
      </c>
      <c r="S102" s="358">
        <f t="shared" si="218"/>
        <v>1</v>
      </c>
      <c r="T102" s="358">
        <f t="shared" si="219"/>
        <v>1</v>
      </c>
      <c r="U102" s="358">
        <f t="shared" si="220"/>
        <v>1</v>
      </c>
      <c r="V102" s="358">
        <f t="shared" si="221"/>
        <v>1</v>
      </c>
      <c r="W102" s="358">
        <f t="shared" si="222"/>
        <v>1</v>
      </c>
      <c r="X102" s="358">
        <f t="shared" si="223"/>
        <v>1</v>
      </c>
      <c r="Y102" s="358">
        <f t="shared" si="224"/>
        <v>1</v>
      </c>
      <c r="Z102" s="358">
        <f t="shared" si="225"/>
        <v>1</v>
      </c>
      <c r="AA102" s="358">
        <f t="shared" si="226"/>
        <v>1</v>
      </c>
      <c r="AB102" s="358">
        <f t="shared" si="227"/>
        <v>1</v>
      </c>
      <c r="AC102" s="358">
        <f t="shared" si="228"/>
        <v>1</v>
      </c>
      <c r="AD102" s="358">
        <f t="shared" si="229"/>
        <v>1</v>
      </c>
      <c r="AE102" s="358">
        <f t="shared" si="230"/>
        <v>1</v>
      </c>
      <c r="AF102" s="358">
        <f t="shared" si="231"/>
        <v>1</v>
      </c>
      <c r="AG102" s="358">
        <f t="shared" si="232"/>
        <v>1</v>
      </c>
      <c r="AH102" s="358">
        <f t="shared" si="233"/>
        <v>1</v>
      </c>
      <c r="AI102" s="358">
        <f t="shared" si="234"/>
        <v>1</v>
      </c>
      <c r="AJ102" s="358">
        <f t="shared" si="235"/>
        <v>1</v>
      </c>
      <c r="AK102" s="358">
        <f t="shared" si="236"/>
        <v>1</v>
      </c>
      <c r="AL102" s="359">
        <f t="shared" si="237"/>
        <v>1</v>
      </c>
      <c r="AM102" s="636"/>
      <c r="AN102" s="303">
        <f t="shared" ref="AN102:BV102" si="240">$C$102*D102</f>
        <v>2650</v>
      </c>
      <c r="AO102" s="304">
        <f t="shared" si="240"/>
        <v>2650</v>
      </c>
      <c r="AP102" s="304">
        <f t="shared" si="240"/>
        <v>2650</v>
      </c>
      <c r="AQ102" s="304">
        <f t="shared" si="240"/>
        <v>2650</v>
      </c>
      <c r="AR102" s="304">
        <f t="shared" si="240"/>
        <v>2650</v>
      </c>
      <c r="AS102" s="304">
        <f t="shared" si="240"/>
        <v>2650</v>
      </c>
      <c r="AT102" s="304">
        <f t="shared" si="240"/>
        <v>2650</v>
      </c>
      <c r="AU102" s="304">
        <f t="shared" si="240"/>
        <v>2650</v>
      </c>
      <c r="AV102" s="376">
        <f t="shared" si="240"/>
        <v>2650</v>
      </c>
      <c r="AW102" s="376">
        <f t="shared" si="240"/>
        <v>2650</v>
      </c>
      <c r="AX102" s="376">
        <f t="shared" si="240"/>
        <v>2650</v>
      </c>
      <c r="AY102" s="376">
        <f t="shared" si="240"/>
        <v>2650</v>
      </c>
      <c r="AZ102" s="376">
        <f t="shared" si="240"/>
        <v>2650</v>
      </c>
      <c r="BA102" s="376">
        <f t="shared" si="240"/>
        <v>2650</v>
      </c>
      <c r="BB102" s="376">
        <f t="shared" si="240"/>
        <v>2650</v>
      </c>
      <c r="BC102" s="376">
        <f t="shared" si="240"/>
        <v>2650</v>
      </c>
      <c r="BD102" s="376">
        <f t="shared" si="240"/>
        <v>2650</v>
      </c>
      <c r="BE102" s="376">
        <f t="shared" si="240"/>
        <v>2650</v>
      </c>
      <c r="BF102" s="376">
        <f t="shared" si="240"/>
        <v>2650</v>
      </c>
      <c r="BG102" s="376">
        <f t="shared" si="240"/>
        <v>2650</v>
      </c>
      <c r="BH102" s="376">
        <f t="shared" si="240"/>
        <v>2650</v>
      </c>
      <c r="BI102" s="376">
        <f t="shared" si="240"/>
        <v>2650</v>
      </c>
      <c r="BJ102" s="376">
        <f t="shared" si="240"/>
        <v>2650</v>
      </c>
      <c r="BK102" s="376">
        <f t="shared" si="240"/>
        <v>2650</v>
      </c>
      <c r="BL102" s="376">
        <f t="shared" si="240"/>
        <v>2650</v>
      </c>
      <c r="BM102" s="376">
        <f t="shared" si="240"/>
        <v>2650</v>
      </c>
      <c r="BN102" s="376">
        <f t="shared" si="240"/>
        <v>2650</v>
      </c>
      <c r="BO102" s="376">
        <f t="shared" si="240"/>
        <v>2650</v>
      </c>
      <c r="BP102" s="376">
        <f t="shared" si="240"/>
        <v>2650</v>
      </c>
      <c r="BQ102" s="376">
        <f t="shared" si="240"/>
        <v>2650</v>
      </c>
      <c r="BR102" s="376">
        <f t="shared" si="240"/>
        <v>2650</v>
      </c>
      <c r="BS102" s="376">
        <f t="shared" si="240"/>
        <v>2650</v>
      </c>
      <c r="BT102" s="376">
        <f t="shared" si="240"/>
        <v>2650</v>
      </c>
      <c r="BU102" s="376">
        <f t="shared" si="240"/>
        <v>2650</v>
      </c>
      <c r="BV102" s="377">
        <f t="shared" si="240"/>
        <v>2650</v>
      </c>
    </row>
    <row r="103" spans="1:74" ht="20.149999999999999" hidden="1" customHeight="1" outlineLevel="2" x14ac:dyDescent="0.25">
      <c r="A103" s="23" t="str">
        <f>'Quantidade-Cult.Perma.'!A39</f>
        <v>Foliar Completo</v>
      </c>
      <c r="B103" s="8" t="str">
        <f>'Quantidade-Cult.Perma.'!B39</f>
        <v>L</v>
      </c>
      <c r="C103" s="284">
        <f>'Quantidade-Cult.Perma.'!D39</f>
        <v>25</v>
      </c>
      <c r="D103" s="284">
        <f>'Quantidade-Cult.Perma.'!R39</f>
        <v>2</v>
      </c>
      <c r="E103" s="284">
        <f>'Quantidade-Cult.Perma.'!S39</f>
        <v>4</v>
      </c>
      <c r="F103" s="284">
        <f>'Quantidade-Cult.Perma.'!T39</f>
        <v>4</v>
      </c>
      <c r="G103" s="284">
        <f>'Quantidade-Cult.Perma.'!U39</f>
        <v>4</v>
      </c>
      <c r="H103" s="284">
        <f>'Quantidade-Cult.Perma.'!V39</f>
        <v>4</v>
      </c>
      <c r="I103" s="284">
        <f>'Quantidade-Cult.Perma.'!W39</f>
        <v>4</v>
      </c>
      <c r="J103" s="284">
        <f>'Quantidade-Cult.Perma.'!X39</f>
        <v>4</v>
      </c>
      <c r="K103" s="284">
        <f>'Quantidade-Cult.Perma.'!Y39</f>
        <v>4</v>
      </c>
      <c r="L103" s="358">
        <f>'Quantidade-Cult.Perma.'!Z39</f>
        <v>4</v>
      </c>
      <c r="M103" s="358">
        <f>'Quantidade-Cult.Perma.'!AA39</f>
        <v>4</v>
      </c>
      <c r="N103" s="358">
        <f>'Quantidade-Cult.Perma.'!AB39</f>
        <v>4</v>
      </c>
      <c r="O103" s="358">
        <f>'Quantidade-Cult.Perma.'!AC39</f>
        <v>4</v>
      </c>
      <c r="P103" s="358">
        <f t="shared" si="215"/>
        <v>2</v>
      </c>
      <c r="Q103" s="358">
        <f t="shared" si="216"/>
        <v>4</v>
      </c>
      <c r="R103" s="358">
        <f t="shared" si="217"/>
        <v>4</v>
      </c>
      <c r="S103" s="358">
        <f t="shared" si="218"/>
        <v>4</v>
      </c>
      <c r="T103" s="358">
        <f t="shared" si="219"/>
        <v>4</v>
      </c>
      <c r="U103" s="358">
        <f t="shared" si="220"/>
        <v>4</v>
      </c>
      <c r="V103" s="358">
        <f t="shared" si="221"/>
        <v>4</v>
      </c>
      <c r="W103" s="358">
        <f t="shared" si="222"/>
        <v>4</v>
      </c>
      <c r="X103" s="358">
        <f t="shared" si="223"/>
        <v>4</v>
      </c>
      <c r="Y103" s="358">
        <f t="shared" si="224"/>
        <v>4</v>
      </c>
      <c r="Z103" s="358">
        <f t="shared" si="225"/>
        <v>4</v>
      </c>
      <c r="AA103" s="358">
        <f t="shared" si="226"/>
        <v>4</v>
      </c>
      <c r="AB103" s="358">
        <f t="shared" si="227"/>
        <v>2</v>
      </c>
      <c r="AC103" s="358">
        <f t="shared" si="228"/>
        <v>4</v>
      </c>
      <c r="AD103" s="358">
        <f t="shared" si="229"/>
        <v>4</v>
      </c>
      <c r="AE103" s="358">
        <f t="shared" si="230"/>
        <v>4</v>
      </c>
      <c r="AF103" s="358">
        <f t="shared" si="231"/>
        <v>4</v>
      </c>
      <c r="AG103" s="358">
        <f t="shared" si="232"/>
        <v>4</v>
      </c>
      <c r="AH103" s="358">
        <f t="shared" si="233"/>
        <v>4</v>
      </c>
      <c r="AI103" s="358">
        <f t="shared" si="234"/>
        <v>4</v>
      </c>
      <c r="AJ103" s="358">
        <f t="shared" si="235"/>
        <v>4</v>
      </c>
      <c r="AK103" s="358">
        <f t="shared" si="236"/>
        <v>4</v>
      </c>
      <c r="AL103" s="359">
        <f t="shared" si="237"/>
        <v>4</v>
      </c>
      <c r="AM103" s="636"/>
      <c r="AN103" s="303">
        <f t="shared" ref="AN103:BV103" si="241">$C$103*D103</f>
        <v>50</v>
      </c>
      <c r="AO103" s="304">
        <f t="shared" si="241"/>
        <v>100</v>
      </c>
      <c r="AP103" s="304">
        <f t="shared" si="241"/>
        <v>100</v>
      </c>
      <c r="AQ103" s="304">
        <f t="shared" si="241"/>
        <v>100</v>
      </c>
      <c r="AR103" s="304">
        <f t="shared" si="241"/>
        <v>100</v>
      </c>
      <c r="AS103" s="304">
        <f t="shared" si="241"/>
        <v>100</v>
      </c>
      <c r="AT103" s="304">
        <f t="shared" si="241"/>
        <v>100</v>
      </c>
      <c r="AU103" s="304">
        <f t="shared" si="241"/>
        <v>100</v>
      </c>
      <c r="AV103" s="376">
        <f t="shared" si="241"/>
        <v>100</v>
      </c>
      <c r="AW103" s="376">
        <f t="shared" si="241"/>
        <v>100</v>
      </c>
      <c r="AX103" s="376">
        <f t="shared" si="241"/>
        <v>100</v>
      </c>
      <c r="AY103" s="376">
        <f t="shared" si="241"/>
        <v>100</v>
      </c>
      <c r="AZ103" s="376">
        <f t="shared" si="241"/>
        <v>50</v>
      </c>
      <c r="BA103" s="376">
        <f t="shared" si="241"/>
        <v>100</v>
      </c>
      <c r="BB103" s="376">
        <f t="shared" si="241"/>
        <v>100</v>
      </c>
      <c r="BC103" s="376">
        <f t="shared" si="241"/>
        <v>100</v>
      </c>
      <c r="BD103" s="376">
        <f t="shared" si="241"/>
        <v>100</v>
      </c>
      <c r="BE103" s="376">
        <f t="shared" si="241"/>
        <v>100</v>
      </c>
      <c r="BF103" s="376">
        <f t="shared" si="241"/>
        <v>100</v>
      </c>
      <c r="BG103" s="376">
        <f t="shared" si="241"/>
        <v>100</v>
      </c>
      <c r="BH103" s="376">
        <f t="shared" si="241"/>
        <v>100</v>
      </c>
      <c r="BI103" s="376">
        <f t="shared" si="241"/>
        <v>100</v>
      </c>
      <c r="BJ103" s="376">
        <f t="shared" si="241"/>
        <v>100</v>
      </c>
      <c r="BK103" s="376">
        <f t="shared" si="241"/>
        <v>100</v>
      </c>
      <c r="BL103" s="376">
        <f t="shared" si="241"/>
        <v>50</v>
      </c>
      <c r="BM103" s="376">
        <f t="shared" si="241"/>
        <v>100</v>
      </c>
      <c r="BN103" s="376">
        <f t="shared" si="241"/>
        <v>100</v>
      </c>
      <c r="BO103" s="376">
        <f t="shared" si="241"/>
        <v>100</v>
      </c>
      <c r="BP103" s="376">
        <f t="shared" si="241"/>
        <v>100</v>
      </c>
      <c r="BQ103" s="376">
        <f t="shared" si="241"/>
        <v>100</v>
      </c>
      <c r="BR103" s="376">
        <f t="shared" si="241"/>
        <v>100</v>
      </c>
      <c r="BS103" s="376">
        <f t="shared" si="241"/>
        <v>100</v>
      </c>
      <c r="BT103" s="376">
        <f t="shared" si="241"/>
        <v>100</v>
      </c>
      <c r="BU103" s="376">
        <f t="shared" si="241"/>
        <v>100</v>
      </c>
      <c r="BV103" s="377">
        <f t="shared" si="241"/>
        <v>100</v>
      </c>
    </row>
    <row r="104" spans="1:74" ht="20.149999999999999" hidden="1" customHeight="1" outlineLevel="2" x14ac:dyDescent="0.25">
      <c r="A104" s="23" t="str">
        <f>'Quantidade-Cult.Perma.'!A40</f>
        <v>KCL</v>
      </c>
      <c r="B104" s="8" t="str">
        <f>'Quantidade-Cult.Perma.'!B40</f>
        <v>T</v>
      </c>
      <c r="C104" s="284">
        <f>'Quantidade-Cult.Perma.'!D40</f>
        <v>2700</v>
      </c>
      <c r="D104" s="284">
        <f>'Quantidade-Cult.Perma.'!R40</f>
        <v>0.85119999999999996</v>
      </c>
      <c r="E104" s="284">
        <f>'Quantidade-Cult.Perma.'!S40</f>
        <v>1.1172</v>
      </c>
      <c r="F104" s="284">
        <f>'Quantidade-Cult.Perma.'!T40</f>
        <v>1.1172</v>
      </c>
      <c r="G104" s="284">
        <f>'Quantidade-Cult.Perma.'!U40</f>
        <v>1.1172</v>
      </c>
      <c r="H104" s="284">
        <f>'Quantidade-Cult.Perma.'!V40</f>
        <v>0.95760000000000001</v>
      </c>
      <c r="I104" s="284">
        <f>'Quantidade-Cult.Perma.'!W40</f>
        <v>0.95760000000000001</v>
      </c>
      <c r="J104" s="284">
        <f>'Quantidade-Cult.Perma.'!X40</f>
        <v>0.95760000000000001</v>
      </c>
      <c r="K104" s="284">
        <f>'Quantidade-Cult.Perma.'!Y40</f>
        <v>0.95760000000000001</v>
      </c>
      <c r="L104" s="358">
        <f>'Quantidade-Cult.Perma.'!Z40</f>
        <v>0.95760000000000001</v>
      </c>
      <c r="M104" s="358">
        <f>'Quantidade-Cult.Perma.'!AA40</f>
        <v>0.95760000000000001</v>
      </c>
      <c r="N104" s="358">
        <f>'Quantidade-Cult.Perma.'!AB40</f>
        <v>0.95760000000000001</v>
      </c>
      <c r="O104" s="358">
        <f>'Quantidade-Cult.Perma.'!AC40</f>
        <v>0.95760000000000001</v>
      </c>
      <c r="P104" s="358">
        <f t="shared" si="215"/>
        <v>0.85119999999999996</v>
      </c>
      <c r="Q104" s="358">
        <f t="shared" si="216"/>
        <v>1.1172</v>
      </c>
      <c r="R104" s="358">
        <f t="shared" si="217"/>
        <v>1.1172</v>
      </c>
      <c r="S104" s="358">
        <f t="shared" si="218"/>
        <v>1.1172</v>
      </c>
      <c r="T104" s="358">
        <f t="shared" si="219"/>
        <v>0.95760000000000001</v>
      </c>
      <c r="U104" s="358">
        <f t="shared" si="220"/>
        <v>0.95760000000000001</v>
      </c>
      <c r="V104" s="358">
        <f t="shared" si="221"/>
        <v>0.95760000000000001</v>
      </c>
      <c r="W104" s="358">
        <f t="shared" si="222"/>
        <v>0.95760000000000001</v>
      </c>
      <c r="X104" s="358">
        <f t="shared" si="223"/>
        <v>0.95760000000000001</v>
      </c>
      <c r="Y104" s="358">
        <f t="shared" si="224"/>
        <v>0.95760000000000001</v>
      </c>
      <c r="Z104" s="358">
        <f t="shared" si="225"/>
        <v>0.95760000000000001</v>
      </c>
      <c r="AA104" s="358">
        <f t="shared" si="226"/>
        <v>0.95760000000000001</v>
      </c>
      <c r="AB104" s="358">
        <f t="shared" si="227"/>
        <v>0.85119999999999996</v>
      </c>
      <c r="AC104" s="358">
        <f t="shared" si="228"/>
        <v>1.1172</v>
      </c>
      <c r="AD104" s="358">
        <f t="shared" si="229"/>
        <v>1.1172</v>
      </c>
      <c r="AE104" s="358">
        <f t="shared" si="230"/>
        <v>1.1172</v>
      </c>
      <c r="AF104" s="358">
        <f t="shared" si="231"/>
        <v>0.95760000000000001</v>
      </c>
      <c r="AG104" s="358">
        <f t="shared" si="232"/>
        <v>0.95760000000000001</v>
      </c>
      <c r="AH104" s="358">
        <f t="shared" si="233"/>
        <v>0.95760000000000001</v>
      </c>
      <c r="AI104" s="358">
        <f t="shared" si="234"/>
        <v>0.95760000000000001</v>
      </c>
      <c r="AJ104" s="358">
        <f t="shared" si="235"/>
        <v>0.95760000000000001</v>
      </c>
      <c r="AK104" s="358">
        <f t="shared" si="236"/>
        <v>0.95760000000000001</v>
      </c>
      <c r="AL104" s="359">
        <f t="shared" si="237"/>
        <v>0.95760000000000001</v>
      </c>
      <c r="AM104" s="636"/>
      <c r="AN104" s="303">
        <f t="shared" ref="AN104:BV104" si="242">$C$104*D104</f>
        <v>2298.2399999999998</v>
      </c>
      <c r="AO104" s="304">
        <f t="shared" si="242"/>
        <v>3016.44</v>
      </c>
      <c r="AP104" s="304">
        <f t="shared" si="242"/>
        <v>3016.44</v>
      </c>
      <c r="AQ104" s="304">
        <f t="shared" si="242"/>
        <v>3016.44</v>
      </c>
      <c r="AR104" s="304">
        <f t="shared" si="242"/>
        <v>2585.52</v>
      </c>
      <c r="AS104" s="304">
        <f t="shared" si="242"/>
        <v>2585.52</v>
      </c>
      <c r="AT104" s="304">
        <f t="shared" si="242"/>
        <v>2585.52</v>
      </c>
      <c r="AU104" s="304">
        <f t="shared" si="242"/>
        <v>2585.52</v>
      </c>
      <c r="AV104" s="376">
        <f t="shared" si="242"/>
        <v>2585.52</v>
      </c>
      <c r="AW104" s="376">
        <f t="shared" si="242"/>
        <v>2585.52</v>
      </c>
      <c r="AX104" s="376">
        <f t="shared" si="242"/>
        <v>2585.52</v>
      </c>
      <c r="AY104" s="376">
        <f t="shared" si="242"/>
        <v>2585.52</v>
      </c>
      <c r="AZ104" s="376">
        <f t="shared" si="242"/>
        <v>2298.2399999999998</v>
      </c>
      <c r="BA104" s="376">
        <f t="shared" si="242"/>
        <v>3016.44</v>
      </c>
      <c r="BB104" s="376">
        <f t="shared" si="242"/>
        <v>3016.44</v>
      </c>
      <c r="BC104" s="376">
        <f t="shared" si="242"/>
        <v>3016.44</v>
      </c>
      <c r="BD104" s="376">
        <f t="shared" si="242"/>
        <v>2585.52</v>
      </c>
      <c r="BE104" s="376">
        <f t="shared" si="242"/>
        <v>2585.52</v>
      </c>
      <c r="BF104" s="376">
        <f t="shared" si="242"/>
        <v>2585.52</v>
      </c>
      <c r="BG104" s="376">
        <f t="shared" si="242"/>
        <v>2585.52</v>
      </c>
      <c r="BH104" s="376">
        <f t="shared" si="242"/>
        <v>2585.52</v>
      </c>
      <c r="BI104" s="376">
        <f t="shared" si="242"/>
        <v>2585.52</v>
      </c>
      <c r="BJ104" s="376">
        <f t="shared" si="242"/>
        <v>2585.52</v>
      </c>
      <c r="BK104" s="376">
        <f t="shared" si="242"/>
        <v>2585.52</v>
      </c>
      <c r="BL104" s="376">
        <f t="shared" si="242"/>
        <v>2298.2399999999998</v>
      </c>
      <c r="BM104" s="376">
        <f t="shared" si="242"/>
        <v>3016.44</v>
      </c>
      <c r="BN104" s="376">
        <f t="shared" si="242"/>
        <v>3016.44</v>
      </c>
      <c r="BO104" s="376">
        <f t="shared" si="242"/>
        <v>3016.44</v>
      </c>
      <c r="BP104" s="376">
        <f t="shared" si="242"/>
        <v>2585.52</v>
      </c>
      <c r="BQ104" s="376">
        <f t="shared" si="242"/>
        <v>2585.52</v>
      </c>
      <c r="BR104" s="376">
        <f t="shared" si="242"/>
        <v>2585.52</v>
      </c>
      <c r="BS104" s="376">
        <f t="shared" si="242"/>
        <v>2585.52</v>
      </c>
      <c r="BT104" s="376">
        <f t="shared" si="242"/>
        <v>2585.52</v>
      </c>
      <c r="BU104" s="376">
        <f t="shared" si="242"/>
        <v>2585.52</v>
      </c>
      <c r="BV104" s="377">
        <f t="shared" si="242"/>
        <v>2585.52</v>
      </c>
    </row>
    <row r="105" spans="1:74" ht="20.149999999999999" hidden="1" customHeight="1" outlineLevel="2" x14ac:dyDescent="0.25">
      <c r="A105" s="23" t="str">
        <f>'Quantidade-Cult.Perma.'!A41</f>
        <v>Sulfato de Magnésio</v>
      </c>
      <c r="B105" s="8" t="str">
        <f>'Quantidade-Cult.Perma.'!B41</f>
        <v>KG</v>
      </c>
      <c r="C105" s="284">
        <f>'Quantidade-Cult.Perma.'!D41</f>
        <v>1.5</v>
      </c>
      <c r="D105" s="284">
        <f>'Quantidade-Cult.Perma.'!R41</f>
        <v>133</v>
      </c>
      <c r="E105" s="284">
        <f>'Quantidade-Cult.Perma.'!S41</f>
        <v>159.6</v>
      </c>
      <c r="F105" s="284">
        <f>'Quantidade-Cult.Perma.'!T41</f>
        <v>159.6</v>
      </c>
      <c r="G105" s="284">
        <f>'Quantidade-Cult.Perma.'!U41</f>
        <v>159.6</v>
      </c>
      <c r="H105" s="284">
        <f>'Quantidade-Cult.Perma.'!V41</f>
        <v>159.6</v>
      </c>
      <c r="I105" s="284">
        <f>'Quantidade-Cult.Perma.'!W41</f>
        <v>159.6</v>
      </c>
      <c r="J105" s="284">
        <f>'Quantidade-Cult.Perma.'!X41</f>
        <v>159.6</v>
      </c>
      <c r="K105" s="284">
        <f>'Quantidade-Cult.Perma.'!Y41</f>
        <v>159.6</v>
      </c>
      <c r="L105" s="358">
        <f>'Quantidade-Cult.Perma.'!Z41</f>
        <v>159.6</v>
      </c>
      <c r="M105" s="358">
        <f>'Quantidade-Cult.Perma.'!AA41</f>
        <v>159.6</v>
      </c>
      <c r="N105" s="358">
        <f>'Quantidade-Cult.Perma.'!AB41</f>
        <v>159.6</v>
      </c>
      <c r="O105" s="358">
        <f>'Quantidade-Cult.Perma.'!AC41</f>
        <v>159.6</v>
      </c>
      <c r="P105" s="358">
        <f t="shared" si="215"/>
        <v>133</v>
      </c>
      <c r="Q105" s="358">
        <f t="shared" si="216"/>
        <v>159.6</v>
      </c>
      <c r="R105" s="358">
        <f t="shared" si="217"/>
        <v>159.6</v>
      </c>
      <c r="S105" s="358">
        <f t="shared" si="218"/>
        <v>159.6</v>
      </c>
      <c r="T105" s="358">
        <f t="shared" si="219"/>
        <v>159.6</v>
      </c>
      <c r="U105" s="358">
        <f t="shared" si="220"/>
        <v>159.6</v>
      </c>
      <c r="V105" s="358">
        <f t="shared" si="221"/>
        <v>159.6</v>
      </c>
      <c r="W105" s="358">
        <f t="shared" si="222"/>
        <v>159.6</v>
      </c>
      <c r="X105" s="358">
        <f t="shared" si="223"/>
        <v>159.6</v>
      </c>
      <c r="Y105" s="358">
        <f t="shared" si="224"/>
        <v>159.6</v>
      </c>
      <c r="Z105" s="358">
        <f t="shared" si="225"/>
        <v>159.6</v>
      </c>
      <c r="AA105" s="358">
        <f t="shared" si="226"/>
        <v>159.6</v>
      </c>
      <c r="AB105" s="358">
        <f t="shared" si="227"/>
        <v>133</v>
      </c>
      <c r="AC105" s="358">
        <f t="shared" si="228"/>
        <v>159.6</v>
      </c>
      <c r="AD105" s="358">
        <f t="shared" si="229"/>
        <v>159.6</v>
      </c>
      <c r="AE105" s="358">
        <f t="shared" si="230"/>
        <v>159.6</v>
      </c>
      <c r="AF105" s="358">
        <f t="shared" si="231"/>
        <v>159.6</v>
      </c>
      <c r="AG105" s="358">
        <f t="shared" si="232"/>
        <v>159.6</v>
      </c>
      <c r="AH105" s="358">
        <f t="shared" si="233"/>
        <v>159.6</v>
      </c>
      <c r="AI105" s="358">
        <f t="shared" si="234"/>
        <v>159.6</v>
      </c>
      <c r="AJ105" s="358">
        <f t="shared" si="235"/>
        <v>159.6</v>
      </c>
      <c r="AK105" s="358">
        <f t="shared" si="236"/>
        <v>159.6</v>
      </c>
      <c r="AL105" s="359">
        <f t="shared" si="237"/>
        <v>159.6</v>
      </c>
      <c r="AM105" s="636"/>
      <c r="AN105" s="303">
        <f t="shared" ref="AN105:BV105" si="243">$C$105*D105</f>
        <v>199.5</v>
      </c>
      <c r="AO105" s="304">
        <f t="shared" si="243"/>
        <v>239.39999999999998</v>
      </c>
      <c r="AP105" s="304">
        <f t="shared" si="243"/>
        <v>239.39999999999998</v>
      </c>
      <c r="AQ105" s="304">
        <f t="shared" si="243"/>
        <v>239.39999999999998</v>
      </c>
      <c r="AR105" s="304">
        <f t="shared" si="243"/>
        <v>239.39999999999998</v>
      </c>
      <c r="AS105" s="304">
        <f t="shared" si="243"/>
        <v>239.39999999999998</v>
      </c>
      <c r="AT105" s="304">
        <f t="shared" si="243"/>
        <v>239.39999999999998</v>
      </c>
      <c r="AU105" s="304">
        <f t="shared" si="243"/>
        <v>239.39999999999998</v>
      </c>
      <c r="AV105" s="376">
        <f t="shared" si="243"/>
        <v>239.39999999999998</v>
      </c>
      <c r="AW105" s="376">
        <f t="shared" si="243"/>
        <v>239.39999999999998</v>
      </c>
      <c r="AX105" s="376">
        <f t="shared" si="243"/>
        <v>239.39999999999998</v>
      </c>
      <c r="AY105" s="376">
        <f t="shared" si="243"/>
        <v>239.39999999999998</v>
      </c>
      <c r="AZ105" s="376">
        <f t="shared" si="243"/>
        <v>199.5</v>
      </c>
      <c r="BA105" s="376">
        <f t="shared" si="243"/>
        <v>239.39999999999998</v>
      </c>
      <c r="BB105" s="376">
        <f t="shared" si="243"/>
        <v>239.39999999999998</v>
      </c>
      <c r="BC105" s="376">
        <f t="shared" si="243"/>
        <v>239.39999999999998</v>
      </c>
      <c r="BD105" s="376">
        <f t="shared" si="243"/>
        <v>239.39999999999998</v>
      </c>
      <c r="BE105" s="376">
        <f t="shared" si="243"/>
        <v>239.39999999999998</v>
      </c>
      <c r="BF105" s="376">
        <f t="shared" si="243"/>
        <v>239.39999999999998</v>
      </c>
      <c r="BG105" s="376">
        <f t="shared" si="243"/>
        <v>239.39999999999998</v>
      </c>
      <c r="BH105" s="376">
        <f t="shared" si="243"/>
        <v>239.39999999999998</v>
      </c>
      <c r="BI105" s="376">
        <f t="shared" si="243"/>
        <v>239.39999999999998</v>
      </c>
      <c r="BJ105" s="376">
        <f t="shared" si="243"/>
        <v>239.39999999999998</v>
      </c>
      <c r="BK105" s="376">
        <f t="shared" si="243"/>
        <v>239.39999999999998</v>
      </c>
      <c r="BL105" s="376">
        <f t="shared" si="243"/>
        <v>199.5</v>
      </c>
      <c r="BM105" s="376">
        <f t="shared" si="243"/>
        <v>239.39999999999998</v>
      </c>
      <c r="BN105" s="376">
        <f t="shared" si="243"/>
        <v>239.39999999999998</v>
      </c>
      <c r="BO105" s="376">
        <f t="shared" si="243"/>
        <v>239.39999999999998</v>
      </c>
      <c r="BP105" s="376">
        <f t="shared" si="243"/>
        <v>239.39999999999998</v>
      </c>
      <c r="BQ105" s="376">
        <f t="shared" si="243"/>
        <v>239.39999999999998</v>
      </c>
      <c r="BR105" s="376">
        <f t="shared" si="243"/>
        <v>239.39999999999998</v>
      </c>
      <c r="BS105" s="376">
        <f t="shared" si="243"/>
        <v>239.39999999999998</v>
      </c>
      <c r="BT105" s="376">
        <f t="shared" si="243"/>
        <v>239.39999999999998</v>
      </c>
      <c r="BU105" s="376">
        <f t="shared" si="243"/>
        <v>239.39999999999998</v>
      </c>
      <c r="BV105" s="377">
        <f t="shared" si="243"/>
        <v>239.39999999999998</v>
      </c>
    </row>
    <row r="106" spans="1:74" ht="20.149999999999999" hidden="1" customHeight="1" outlineLevel="2" x14ac:dyDescent="0.25">
      <c r="A106" s="23" t="str">
        <f>'Quantidade-Cult.Perma.'!A42</f>
        <v>Sulfato de Zinco</v>
      </c>
      <c r="B106" s="8" t="str">
        <f>'Quantidade-Cult.Perma.'!B42</f>
        <v>KG</v>
      </c>
      <c r="C106" s="284">
        <f>'Quantidade-Cult.Perma.'!D42</f>
        <v>6</v>
      </c>
      <c r="D106" s="284">
        <f>'Quantidade-Cult.Perma.'!R42</f>
        <v>66.5</v>
      </c>
      <c r="E106" s="284">
        <f>'Quantidade-Cult.Perma.'!S42</f>
        <v>79.8</v>
      </c>
      <c r="F106" s="284">
        <f>'Quantidade-Cult.Perma.'!T42</f>
        <v>79.8</v>
      </c>
      <c r="G106" s="284">
        <f>'Quantidade-Cult.Perma.'!U42</f>
        <v>79.8</v>
      </c>
      <c r="H106" s="284">
        <f>'Quantidade-Cult.Perma.'!V42</f>
        <v>79.8</v>
      </c>
      <c r="I106" s="284">
        <f>'Quantidade-Cult.Perma.'!W42</f>
        <v>79.8</v>
      </c>
      <c r="J106" s="284">
        <f>'Quantidade-Cult.Perma.'!X42</f>
        <v>79.8</v>
      </c>
      <c r="K106" s="284">
        <f>'Quantidade-Cult.Perma.'!Y42</f>
        <v>79.8</v>
      </c>
      <c r="L106" s="358">
        <f>'Quantidade-Cult.Perma.'!Z42</f>
        <v>79.8</v>
      </c>
      <c r="M106" s="358">
        <f>'Quantidade-Cult.Perma.'!AA42</f>
        <v>79.8</v>
      </c>
      <c r="N106" s="358">
        <f>'Quantidade-Cult.Perma.'!AB42</f>
        <v>79.8</v>
      </c>
      <c r="O106" s="358">
        <f>'Quantidade-Cult.Perma.'!AC42</f>
        <v>79.8</v>
      </c>
      <c r="P106" s="358">
        <f t="shared" si="215"/>
        <v>66.5</v>
      </c>
      <c r="Q106" s="358">
        <f t="shared" si="216"/>
        <v>79.8</v>
      </c>
      <c r="R106" s="358">
        <f t="shared" si="217"/>
        <v>79.8</v>
      </c>
      <c r="S106" s="358">
        <f t="shared" si="218"/>
        <v>79.8</v>
      </c>
      <c r="T106" s="358">
        <f t="shared" si="219"/>
        <v>79.8</v>
      </c>
      <c r="U106" s="358">
        <f t="shared" si="220"/>
        <v>79.8</v>
      </c>
      <c r="V106" s="358">
        <f t="shared" si="221"/>
        <v>79.8</v>
      </c>
      <c r="W106" s="358">
        <f t="shared" si="222"/>
        <v>79.8</v>
      </c>
      <c r="X106" s="358">
        <f t="shared" si="223"/>
        <v>79.8</v>
      </c>
      <c r="Y106" s="358">
        <f t="shared" si="224"/>
        <v>79.8</v>
      </c>
      <c r="Z106" s="358">
        <f t="shared" si="225"/>
        <v>79.8</v>
      </c>
      <c r="AA106" s="358">
        <f t="shared" si="226"/>
        <v>79.8</v>
      </c>
      <c r="AB106" s="358">
        <f t="shared" si="227"/>
        <v>66.5</v>
      </c>
      <c r="AC106" s="358">
        <f t="shared" si="228"/>
        <v>79.8</v>
      </c>
      <c r="AD106" s="358">
        <f t="shared" si="229"/>
        <v>79.8</v>
      </c>
      <c r="AE106" s="358">
        <f t="shared" si="230"/>
        <v>79.8</v>
      </c>
      <c r="AF106" s="358">
        <f t="shared" si="231"/>
        <v>79.8</v>
      </c>
      <c r="AG106" s="358">
        <f t="shared" si="232"/>
        <v>79.8</v>
      </c>
      <c r="AH106" s="358">
        <f t="shared" si="233"/>
        <v>79.8</v>
      </c>
      <c r="AI106" s="358">
        <f t="shared" si="234"/>
        <v>79.8</v>
      </c>
      <c r="AJ106" s="358">
        <f t="shared" si="235"/>
        <v>79.8</v>
      </c>
      <c r="AK106" s="358">
        <f t="shared" si="236"/>
        <v>79.8</v>
      </c>
      <c r="AL106" s="359">
        <f t="shared" si="237"/>
        <v>79.8</v>
      </c>
      <c r="AM106" s="636"/>
      <c r="AN106" s="303">
        <f t="shared" ref="AN106:BV106" si="244">$C$106*D106</f>
        <v>399</v>
      </c>
      <c r="AO106" s="304">
        <f t="shared" si="244"/>
        <v>478.79999999999995</v>
      </c>
      <c r="AP106" s="304">
        <f t="shared" si="244"/>
        <v>478.79999999999995</v>
      </c>
      <c r="AQ106" s="304">
        <f t="shared" si="244"/>
        <v>478.79999999999995</v>
      </c>
      <c r="AR106" s="304">
        <f t="shared" si="244"/>
        <v>478.79999999999995</v>
      </c>
      <c r="AS106" s="304">
        <f t="shared" si="244"/>
        <v>478.79999999999995</v>
      </c>
      <c r="AT106" s="304">
        <f t="shared" si="244"/>
        <v>478.79999999999995</v>
      </c>
      <c r="AU106" s="304">
        <f t="shared" si="244"/>
        <v>478.79999999999995</v>
      </c>
      <c r="AV106" s="376">
        <f t="shared" si="244"/>
        <v>478.79999999999995</v>
      </c>
      <c r="AW106" s="376">
        <f t="shared" si="244"/>
        <v>478.79999999999995</v>
      </c>
      <c r="AX106" s="376">
        <f t="shared" si="244"/>
        <v>478.79999999999995</v>
      </c>
      <c r="AY106" s="376">
        <f t="shared" si="244"/>
        <v>478.79999999999995</v>
      </c>
      <c r="AZ106" s="376">
        <f t="shared" si="244"/>
        <v>399</v>
      </c>
      <c r="BA106" s="376">
        <f t="shared" si="244"/>
        <v>478.79999999999995</v>
      </c>
      <c r="BB106" s="376">
        <f t="shared" si="244"/>
        <v>478.79999999999995</v>
      </c>
      <c r="BC106" s="376">
        <f t="shared" si="244"/>
        <v>478.79999999999995</v>
      </c>
      <c r="BD106" s="376">
        <f t="shared" si="244"/>
        <v>478.79999999999995</v>
      </c>
      <c r="BE106" s="376">
        <f t="shared" si="244"/>
        <v>478.79999999999995</v>
      </c>
      <c r="BF106" s="376">
        <f t="shared" si="244"/>
        <v>478.79999999999995</v>
      </c>
      <c r="BG106" s="376">
        <f t="shared" si="244"/>
        <v>478.79999999999995</v>
      </c>
      <c r="BH106" s="376">
        <f t="shared" si="244"/>
        <v>478.79999999999995</v>
      </c>
      <c r="BI106" s="376">
        <f t="shared" si="244"/>
        <v>478.79999999999995</v>
      </c>
      <c r="BJ106" s="376">
        <f t="shared" si="244"/>
        <v>478.79999999999995</v>
      </c>
      <c r="BK106" s="376">
        <f t="shared" si="244"/>
        <v>478.79999999999995</v>
      </c>
      <c r="BL106" s="376">
        <f t="shared" si="244"/>
        <v>399</v>
      </c>
      <c r="BM106" s="376">
        <f t="shared" si="244"/>
        <v>478.79999999999995</v>
      </c>
      <c r="BN106" s="376">
        <f t="shared" si="244"/>
        <v>478.79999999999995</v>
      </c>
      <c r="BO106" s="376">
        <f t="shared" si="244"/>
        <v>478.79999999999995</v>
      </c>
      <c r="BP106" s="376">
        <f t="shared" si="244"/>
        <v>478.79999999999995</v>
      </c>
      <c r="BQ106" s="376">
        <f t="shared" si="244"/>
        <v>478.79999999999995</v>
      </c>
      <c r="BR106" s="376">
        <f t="shared" si="244"/>
        <v>478.79999999999995</v>
      </c>
      <c r="BS106" s="376">
        <f t="shared" si="244"/>
        <v>478.79999999999995</v>
      </c>
      <c r="BT106" s="376">
        <f t="shared" si="244"/>
        <v>478.79999999999995</v>
      </c>
      <c r="BU106" s="376">
        <f t="shared" si="244"/>
        <v>478.79999999999995</v>
      </c>
      <c r="BV106" s="377">
        <f t="shared" si="244"/>
        <v>478.79999999999995</v>
      </c>
    </row>
    <row r="107" spans="1:74" ht="20.149999999999999" hidden="1" customHeight="1" outlineLevel="2" x14ac:dyDescent="0.25">
      <c r="A107" s="23" t="str">
        <f>'Quantidade-Cult.Perma.'!A43</f>
        <v>Esterco de Gado</v>
      </c>
      <c r="B107" s="8" t="str">
        <f>'Quantidade-Cult.Perma.'!B43</f>
        <v>M3</v>
      </c>
      <c r="C107" s="284">
        <f>'Quantidade-Cult.Perma.'!D43</f>
        <v>80</v>
      </c>
      <c r="D107" s="284">
        <f>'Quantidade-Cult.Perma.'!R43</f>
        <v>26.6</v>
      </c>
      <c r="E107" s="284">
        <f>'Quantidade-Cult.Perma.'!S43</f>
        <v>0</v>
      </c>
      <c r="F107" s="284">
        <f>'Quantidade-Cult.Perma.'!T43</f>
        <v>0</v>
      </c>
      <c r="G107" s="284">
        <f>'Quantidade-Cult.Perma.'!U43</f>
        <v>0</v>
      </c>
      <c r="H107" s="284">
        <f>'Quantidade-Cult.Perma.'!V43</f>
        <v>0</v>
      </c>
      <c r="I107" s="284">
        <f>'Quantidade-Cult.Perma.'!W43</f>
        <v>0</v>
      </c>
      <c r="J107" s="284">
        <f>'Quantidade-Cult.Perma.'!X43</f>
        <v>0</v>
      </c>
      <c r="K107" s="284">
        <f>'Quantidade-Cult.Perma.'!Y43</f>
        <v>0</v>
      </c>
      <c r="L107" s="358">
        <f>'Quantidade-Cult.Perma.'!Z43</f>
        <v>0</v>
      </c>
      <c r="M107" s="358">
        <f>'Quantidade-Cult.Perma.'!AA43</f>
        <v>0</v>
      </c>
      <c r="N107" s="358">
        <f>'Quantidade-Cult.Perma.'!AB43</f>
        <v>0</v>
      </c>
      <c r="O107" s="358">
        <f>'Quantidade-Cult.Perma.'!AC43</f>
        <v>0</v>
      </c>
      <c r="P107" s="358">
        <f t="shared" si="215"/>
        <v>26.6</v>
      </c>
      <c r="Q107" s="358">
        <f t="shared" si="216"/>
        <v>0</v>
      </c>
      <c r="R107" s="358">
        <f t="shared" si="217"/>
        <v>0</v>
      </c>
      <c r="S107" s="358">
        <f t="shared" si="218"/>
        <v>0</v>
      </c>
      <c r="T107" s="358">
        <f t="shared" si="219"/>
        <v>0</v>
      </c>
      <c r="U107" s="358">
        <f t="shared" si="220"/>
        <v>0</v>
      </c>
      <c r="V107" s="358">
        <f t="shared" si="221"/>
        <v>0</v>
      </c>
      <c r="W107" s="358">
        <f t="shared" si="222"/>
        <v>0</v>
      </c>
      <c r="X107" s="358">
        <f t="shared" si="223"/>
        <v>0</v>
      </c>
      <c r="Y107" s="358">
        <f t="shared" si="224"/>
        <v>0</v>
      </c>
      <c r="Z107" s="358">
        <f t="shared" si="225"/>
        <v>0</v>
      </c>
      <c r="AA107" s="358">
        <f t="shared" si="226"/>
        <v>0</v>
      </c>
      <c r="AB107" s="358">
        <f t="shared" si="227"/>
        <v>26.6</v>
      </c>
      <c r="AC107" s="358">
        <f t="shared" si="228"/>
        <v>0</v>
      </c>
      <c r="AD107" s="358">
        <f t="shared" si="229"/>
        <v>0</v>
      </c>
      <c r="AE107" s="358">
        <f t="shared" si="230"/>
        <v>0</v>
      </c>
      <c r="AF107" s="358">
        <f t="shared" si="231"/>
        <v>0</v>
      </c>
      <c r="AG107" s="358">
        <f t="shared" si="232"/>
        <v>0</v>
      </c>
      <c r="AH107" s="358">
        <f t="shared" si="233"/>
        <v>0</v>
      </c>
      <c r="AI107" s="358">
        <f t="shared" si="234"/>
        <v>0</v>
      </c>
      <c r="AJ107" s="358">
        <f t="shared" si="235"/>
        <v>0</v>
      </c>
      <c r="AK107" s="358">
        <f t="shared" si="236"/>
        <v>0</v>
      </c>
      <c r="AL107" s="359">
        <f t="shared" si="237"/>
        <v>0</v>
      </c>
      <c r="AM107" s="636"/>
      <c r="AN107" s="303">
        <f t="shared" ref="AN107:BV107" si="245">$C$107*D107</f>
        <v>2128</v>
      </c>
      <c r="AO107" s="304">
        <f t="shared" si="245"/>
        <v>0</v>
      </c>
      <c r="AP107" s="304">
        <f t="shared" si="245"/>
        <v>0</v>
      </c>
      <c r="AQ107" s="304">
        <f t="shared" si="245"/>
        <v>0</v>
      </c>
      <c r="AR107" s="304">
        <f t="shared" si="245"/>
        <v>0</v>
      </c>
      <c r="AS107" s="304">
        <f t="shared" si="245"/>
        <v>0</v>
      </c>
      <c r="AT107" s="304">
        <f t="shared" si="245"/>
        <v>0</v>
      </c>
      <c r="AU107" s="304">
        <f t="shared" si="245"/>
        <v>0</v>
      </c>
      <c r="AV107" s="376">
        <f t="shared" si="245"/>
        <v>0</v>
      </c>
      <c r="AW107" s="376">
        <f t="shared" si="245"/>
        <v>0</v>
      </c>
      <c r="AX107" s="376">
        <f t="shared" si="245"/>
        <v>0</v>
      </c>
      <c r="AY107" s="376">
        <f t="shared" si="245"/>
        <v>0</v>
      </c>
      <c r="AZ107" s="376">
        <f t="shared" si="245"/>
        <v>2128</v>
      </c>
      <c r="BA107" s="376">
        <f t="shared" si="245"/>
        <v>0</v>
      </c>
      <c r="BB107" s="376">
        <f t="shared" si="245"/>
        <v>0</v>
      </c>
      <c r="BC107" s="376">
        <f t="shared" si="245"/>
        <v>0</v>
      </c>
      <c r="BD107" s="376">
        <f t="shared" si="245"/>
        <v>0</v>
      </c>
      <c r="BE107" s="376">
        <f t="shared" si="245"/>
        <v>0</v>
      </c>
      <c r="BF107" s="376">
        <f t="shared" si="245"/>
        <v>0</v>
      </c>
      <c r="BG107" s="376">
        <f t="shared" si="245"/>
        <v>0</v>
      </c>
      <c r="BH107" s="376">
        <f t="shared" si="245"/>
        <v>0</v>
      </c>
      <c r="BI107" s="376">
        <f t="shared" si="245"/>
        <v>0</v>
      </c>
      <c r="BJ107" s="376">
        <f t="shared" si="245"/>
        <v>0</v>
      </c>
      <c r="BK107" s="376">
        <f t="shared" si="245"/>
        <v>0</v>
      </c>
      <c r="BL107" s="376">
        <f t="shared" si="245"/>
        <v>2128</v>
      </c>
      <c r="BM107" s="376">
        <f t="shared" si="245"/>
        <v>0</v>
      </c>
      <c r="BN107" s="376">
        <f t="shared" si="245"/>
        <v>0</v>
      </c>
      <c r="BO107" s="376">
        <f t="shared" si="245"/>
        <v>0</v>
      </c>
      <c r="BP107" s="376">
        <f t="shared" si="245"/>
        <v>0</v>
      </c>
      <c r="BQ107" s="376">
        <f t="shared" si="245"/>
        <v>0</v>
      </c>
      <c r="BR107" s="376">
        <f t="shared" si="245"/>
        <v>0</v>
      </c>
      <c r="BS107" s="376">
        <f t="shared" si="245"/>
        <v>0</v>
      </c>
      <c r="BT107" s="376">
        <f t="shared" si="245"/>
        <v>0</v>
      </c>
      <c r="BU107" s="376">
        <f t="shared" si="245"/>
        <v>0</v>
      </c>
      <c r="BV107" s="377">
        <f t="shared" si="245"/>
        <v>0</v>
      </c>
    </row>
    <row r="108" spans="1:74" ht="20.149999999999999" hidden="1" customHeight="1" outlineLevel="2" x14ac:dyDescent="0.25">
      <c r="A108" s="23" t="str">
        <f>'Quantidade-Cult.Perma.'!A44</f>
        <v>Nitrato de Amonia</v>
      </c>
      <c r="B108" s="8" t="str">
        <f>'Quantidade-Cult.Perma.'!B44</f>
        <v>T</v>
      </c>
      <c r="C108" s="284">
        <f>'Quantidade-Cult.Perma.'!D44</f>
        <v>2200</v>
      </c>
      <c r="D108" s="284">
        <f>'Quantidade-Cult.Perma.'!R44</f>
        <v>0.68096000000000001</v>
      </c>
      <c r="E108" s="284">
        <f>'Quantidade-Cult.Perma.'!S44</f>
        <v>0.89376</v>
      </c>
      <c r="F108" s="284">
        <f>'Quantidade-Cult.Perma.'!T44</f>
        <v>0.89376</v>
      </c>
      <c r="G108" s="284">
        <f>'Quantidade-Cult.Perma.'!U44</f>
        <v>0.89376</v>
      </c>
      <c r="H108" s="284">
        <f>'Quantidade-Cult.Perma.'!V44</f>
        <v>0.76607999999999998</v>
      </c>
      <c r="I108" s="284">
        <f>'Quantidade-Cult.Perma.'!W44</f>
        <v>0.76607999999999998</v>
      </c>
      <c r="J108" s="284">
        <f>'Quantidade-Cult.Perma.'!X44</f>
        <v>0.76607999999999998</v>
      </c>
      <c r="K108" s="284">
        <f>'Quantidade-Cult.Perma.'!Y44</f>
        <v>0.76607999999999998</v>
      </c>
      <c r="L108" s="358">
        <f>'Quantidade-Cult.Perma.'!Z44</f>
        <v>0.76607999999999998</v>
      </c>
      <c r="M108" s="358">
        <f>'Quantidade-Cult.Perma.'!AA44</f>
        <v>0.76607999999999998</v>
      </c>
      <c r="N108" s="358">
        <f>'Quantidade-Cult.Perma.'!AB44</f>
        <v>0.76607999999999998</v>
      </c>
      <c r="O108" s="358">
        <f>'Quantidade-Cult.Perma.'!AC44</f>
        <v>0.76607999999999998</v>
      </c>
      <c r="P108" s="358">
        <f t="shared" si="215"/>
        <v>0.68096000000000001</v>
      </c>
      <c r="Q108" s="358">
        <f t="shared" si="216"/>
        <v>0.89376</v>
      </c>
      <c r="R108" s="358">
        <f t="shared" si="217"/>
        <v>0.89376</v>
      </c>
      <c r="S108" s="358">
        <f t="shared" si="218"/>
        <v>0.89376</v>
      </c>
      <c r="T108" s="358">
        <f t="shared" si="219"/>
        <v>0.76607999999999998</v>
      </c>
      <c r="U108" s="358">
        <f t="shared" si="220"/>
        <v>0.76607999999999998</v>
      </c>
      <c r="V108" s="358">
        <f t="shared" si="221"/>
        <v>0.76607999999999998</v>
      </c>
      <c r="W108" s="358">
        <f t="shared" si="222"/>
        <v>0.76607999999999998</v>
      </c>
      <c r="X108" s="358">
        <f t="shared" si="223"/>
        <v>0.76607999999999998</v>
      </c>
      <c r="Y108" s="358">
        <f t="shared" si="224"/>
        <v>0.76607999999999998</v>
      </c>
      <c r="Z108" s="358">
        <f t="shared" si="225"/>
        <v>0.76607999999999998</v>
      </c>
      <c r="AA108" s="358">
        <f t="shared" si="226"/>
        <v>0.76607999999999998</v>
      </c>
      <c r="AB108" s="358">
        <f t="shared" si="227"/>
        <v>0.68096000000000001</v>
      </c>
      <c r="AC108" s="358">
        <f t="shared" si="228"/>
        <v>0.89376</v>
      </c>
      <c r="AD108" s="358">
        <f t="shared" si="229"/>
        <v>0.89376</v>
      </c>
      <c r="AE108" s="358">
        <f t="shared" si="230"/>
        <v>0.89376</v>
      </c>
      <c r="AF108" s="358">
        <f t="shared" si="231"/>
        <v>0.76607999999999998</v>
      </c>
      <c r="AG108" s="358">
        <f t="shared" si="232"/>
        <v>0.76607999999999998</v>
      </c>
      <c r="AH108" s="358">
        <f t="shared" si="233"/>
        <v>0.76607999999999998</v>
      </c>
      <c r="AI108" s="358">
        <f t="shared" si="234"/>
        <v>0.76607999999999998</v>
      </c>
      <c r="AJ108" s="358">
        <f t="shared" si="235"/>
        <v>0.76607999999999998</v>
      </c>
      <c r="AK108" s="358">
        <f t="shared" si="236"/>
        <v>0.76607999999999998</v>
      </c>
      <c r="AL108" s="359">
        <f t="shared" si="237"/>
        <v>0.76607999999999998</v>
      </c>
      <c r="AM108" s="636"/>
      <c r="AN108" s="303">
        <f t="shared" ref="AN108:BV108" si="246">$C$108*D108</f>
        <v>1498.1120000000001</v>
      </c>
      <c r="AO108" s="304">
        <f t="shared" si="246"/>
        <v>1966.2719999999999</v>
      </c>
      <c r="AP108" s="304">
        <f t="shared" si="246"/>
        <v>1966.2719999999999</v>
      </c>
      <c r="AQ108" s="304">
        <f t="shared" si="246"/>
        <v>1966.2719999999999</v>
      </c>
      <c r="AR108" s="304">
        <f t="shared" si="246"/>
        <v>1685.376</v>
      </c>
      <c r="AS108" s="304">
        <f t="shared" si="246"/>
        <v>1685.376</v>
      </c>
      <c r="AT108" s="304">
        <f t="shared" si="246"/>
        <v>1685.376</v>
      </c>
      <c r="AU108" s="304">
        <f t="shared" si="246"/>
        <v>1685.376</v>
      </c>
      <c r="AV108" s="376">
        <f t="shared" si="246"/>
        <v>1685.376</v>
      </c>
      <c r="AW108" s="376">
        <f t="shared" si="246"/>
        <v>1685.376</v>
      </c>
      <c r="AX108" s="376">
        <f t="shared" si="246"/>
        <v>1685.376</v>
      </c>
      <c r="AY108" s="376">
        <f t="shared" si="246"/>
        <v>1685.376</v>
      </c>
      <c r="AZ108" s="376">
        <f t="shared" si="246"/>
        <v>1498.1120000000001</v>
      </c>
      <c r="BA108" s="376">
        <f t="shared" si="246"/>
        <v>1966.2719999999999</v>
      </c>
      <c r="BB108" s="376">
        <f t="shared" si="246"/>
        <v>1966.2719999999999</v>
      </c>
      <c r="BC108" s="376">
        <f t="shared" si="246"/>
        <v>1966.2719999999999</v>
      </c>
      <c r="BD108" s="376">
        <f t="shared" si="246"/>
        <v>1685.376</v>
      </c>
      <c r="BE108" s="376">
        <f t="shared" si="246"/>
        <v>1685.376</v>
      </c>
      <c r="BF108" s="376">
        <f t="shared" si="246"/>
        <v>1685.376</v>
      </c>
      <c r="BG108" s="376">
        <f t="shared" si="246"/>
        <v>1685.376</v>
      </c>
      <c r="BH108" s="376">
        <f t="shared" si="246"/>
        <v>1685.376</v>
      </c>
      <c r="BI108" s="376">
        <f t="shared" si="246"/>
        <v>1685.376</v>
      </c>
      <c r="BJ108" s="376">
        <f t="shared" si="246"/>
        <v>1685.376</v>
      </c>
      <c r="BK108" s="376">
        <f t="shared" si="246"/>
        <v>1685.376</v>
      </c>
      <c r="BL108" s="376">
        <f t="shared" si="246"/>
        <v>1498.1120000000001</v>
      </c>
      <c r="BM108" s="376">
        <f t="shared" si="246"/>
        <v>1966.2719999999999</v>
      </c>
      <c r="BN108" s="376">
        <f t="shared" si="246"/>
        <v>1966.2719999999999</v>
      </c>
      <c r="BO108" s="376">
        <f t="shared" si="246"/>
        <v>1966.2719999999999</v>
      </c>
      <c r="BP108" s="376">
        <f t="shared" si="246"/>
        <v>1685.376</v>
      </c>
      <c r="BQ108" s="376">
        <f t="shared" si="246"/>
        <v>1685.376</v>
      </c>
      <c r="BR108" s="376">
        <f t="shared" si="246"/>
        <v>1685.376</v>
      </c>
      <c r="BS108" s="376">
        <f t="shared" si="246"/>
        <v>1685.376</v>
      </c>
      <c r="BT108" s="376">
        <f t="shared" si="246"/>
        <v>1685.376</v>
      </c>
      <c r="BU108" s="376">
        <f t="shared" si="246"/>
        <v>1685.376</v>
      </c>
      <c r="BV108" s="377">
        <f t="shared" si="246"/>
        <v>1685.376</v>
      </c>
    </row>
    <row r="109" spans="1:74" ht="20.149999999999999" hidden="1" customHeight="1" outlineLevel="2" x14ac:dyDescent="0.25">
      <c r="A109" s="23" t="str">
        <f>'Quantidade-Cult.Perma.'!A45</f>
        <v>Fungicida</v>
      </c>
      <c r="B109" s="8" t="str">
        <f>'Quantidade-Cult.Perma.'!B45</f>
        <v>L</v>
      </c>
      <c r="C109" s="284">
        <f>'Quantidade-Cult.Perma.'!D45</f>
        <v>75</v>
      </c>
      <c r="D109" s="284">
        <f>'Quantidade-Cult.Perma.'!R45</f>
        <v>0.5</v>
      </c>
      <c r="E109" s="284">
        <f>'Quantidade-Cult.Perma.'!S45</f>
        <v>2.5</v>
      </c>
      <c r="F109" s="284">
        <f>'Quantidade-Cult.Perma.'!T45</f>
        <v>2.5</v>
      </c>
      <c r="G109" s="284">
        <f>'Quantidade-Cult.Perma.'!U45</f>
        <v>2.5</v>
      </c>
      <c r="H109" s="284">
        <f>'Quantidade-Cult.Perma.'!V45</f>
        <v>2.5</v>
      </c>
      <c r="I109" s="284">
        <f>'Quantidade-Cult.Perma.'!W45</f>
        <v>2.5</v>
      </c>
      <c r="J109" s="284">
        <f>'Quantidade-Cult.Perma.'!X45</f>
        <v>2.5</v>
      </c>
      <c r="K109" s="284">
        <f>'Quantidade-Cult.Perma.'!Y45</f>
        <v>2.5</v>
      </c>
      <c r="L109" s="358">
        <f>'Quantidade-Cult.Perma.'!Z45</f>
        <v>2.5</v>
      </c>
      <c r="M109" s="358">
        <f>'Quantidade-Cult.Perma.'!AA45</f>
        <v>2.5</v>
      </c>
      <c r="N109" s="358">
        <f>'Quantidade-Cult.Perma.'!AB45</f>
        <v>2.5</v>
      </c>
      <c r="O109" s="358">
        <f>'Quantidade-Cult.Perma.'!AC45</f>
        <v>2.5</v>
      </c>
      <c r="P109" s="358">
        <f t="shared" si="215"/>
        <v>0.5</v>
      </c>
      <c r="Q109" s="358">
        <f t="shared" si="216"/>
        <v>2.5</v>
      </c>
      <c r="R109" s="358">
        <f t="shared" si="217"/>
        <v>2.5</v>
      </c>
      <c r="S109" s="358">
        <f t="shared" si="218"/>
        <v>2.5</v>
      </c>
      <c r="T109" s="358">
        <f t="shared" si="219"/>
        <v>2.5</v>
      </c>
      <c r="U109" s="358">
        <f t="shared" si="220"/>
        <v>2.5</v>
      </c>
      <c r="V109" s="358">
        <f t="shared" si="221"/>
        <v>2.5</v>
      </c>
      <c r="W109" s="358">
        <f t="shared" si="222"/>
        <v>2.5</v>
      </c>
      <c r="X109" s="358">
        <f t="shared" si="223"/>
        <v>2.5</v>
      </c>
      <c r="Y109" s="358">
        <f t="shared" si="224"/>
        <v>2.5</v>
      </c>
      <c r="Z109" s="358">
        <f t="shared" si="225"/>
        <v>2.5</v>
      </c>
      <c r="AA109" s="358">
        <f t="shared" si="226"/>
        <v>2.5</v>
      </c>
      <c r="AB109" s="358">
        <f t="shared" si="227"/>
        <v>0.5</v>
      </c>
      <c r="AC109" s="358">
        <f t="shared" si="228"/>
        <v>2.5</v>
      </c>
      <c r="AD109" s="358">
        <f t="shared" si="229"/>
        <v>2.5</v>
      </c>
      <c r="AE109" s="358">
        <f t="shared" si="230"/>
        <v>2.5</v>
      </c>
      <c r="AF109" s="358">
        <f t="shared" si="231"/>
        <v>2.5</v>
      </c>
      <c r="AG109" s="358">
        <f t="shared" si="232"/>
        <v>2.5</v>
      </c>
      <c r="AH109" s="358">
        <f t="shared" si="233"/>
        <v>2.5</v>
      </c>
      <c r="AI109" s="358">
        <f t="shared" si="234"/>
        <v>2.5</v>
      </c>
      <c r="AJ109" s="358">
        <f t="shared" si="235"/>
        <v>2.5</v>
      </c>
      <c r="AK109" s="358">
        <f t="shared" si="236"/>
        <v>2.5</v>
      </c>
      <c r="AL109" s="359">
        <f t="shared" si="237"/>
        <v>2.5</v>
      </c>
      <c r="AM109" s="636"/>
      <c r="AN109" s="303">
        <f t="shared" ref="AN109:BV109" si="247">$C$109*D109</f>
        <v>37.5</v>
      </c>
      <c r="AO109" s="304">
        <f t="shared" si="247"/>
        <v>187.5</v>
      </c>
      <c r="AP109" s="304">
        <f t="shared" si="247"/>
        <v>187.5</v>
      </c>
      <c r="AQ109" s="304">
        <f t="shared" si="247"/>
        <v>187.5</v>
      </c>
      <c r="AR109" s="304">
        <f t="shared" si="247"/>
        <v>187.5</v>
      </c>
      <c r="AS109" s="304">
        <f t="shared" si="247"/>
        <v>187.5</v>
      </c>
      <c r="AT109" s="304">
        <f t="shared" si="247"/>
        <v>187.5</v>
      </c>
      <c r="AU109" s="304">
        <f t="shared" si="247"/>
        <v>187.5</v>
      </c>
      <c r="AV109" s="376">
        <f t="shared" si="247"/>
        <v>187.5</v>
      </c>
      <c r="AW109" s="376">
        <f t="shared" si="247"/>
        <v>187.5</v>
      </c>
      <c r="AX109" s="376">
        <f t="shared" si="247"/>
        <v>187.5</v>
      </c>
      <c r="AY109" s="376">
        <f t="shared" si="247"/>
        <v>187.5</v>
      </c>
      <c r="AZ109" s="376">
        <f t="shared" si="247"/>
        <v>37.5</v>
      </c>
      <c r="BA109" s="376">
        <f t="shared" si="247"/>
        <v>187.5</v>
      </c>
      <c r="BB109" s="376">
        <f t="shared" si="247"/>
        <v>187.5</v>
      </c>
      <c r="BC109" s="376">
        <f t="shared" si="247"/>
        <v>187.5</v>
      </c>
      <c r="BD109" s="376">
        <f t="shared" si="247"/>
        <v>187.5</v>
      </c>
      <c r="BE109" s="376">
        <f t="shared" si="247"/>
        <v>187.5</v>
      </c>
      <c r="BF109" s="376">
        <f t="shared" si="247"/>
        <v>187.5</v>
      </c>
      <c r="BG109" s="376">
        <f t="shared" si="247"/>
        <v>187.5</v>
      </c>
      <c r="BH109" s="376">
        <f t="shared" si="247"/>
        <v>187.5</v>
      </c>
      <c r="BI109" s="376">
        <f t="shared" si="247"/>
        <v>187.5</v>
      </c>
      <c r="BJ109" s="376">
        <f t="shared" si="247"/>
        <v>187.5</v>
      </c>
      <c r="BK109" s="376">
        <f t="shared" si="247"/>
        <v>187.5</v>
      </c>
      <c r="BL109" s="376">
        <f t="shared" si="247"/>
        <v>37.5</v>
      </c>
      <c r="BM109" s="376">
        <f t="shared" si="247"/>
        <v>187.5</v>
      </c>
      <c r="BN109" s="376">
        <f t="shared" si="247"/>
        <v>187.5</v>
      </c>
      <c r="BO109" s="376">
        <f t="shared" si="247"/>
        <v>187.5</v>
      </c>
      <c r="BP109" s="376">
        <f t="shared" si="247"/>
        <v>187.5</v>
      </c>
      <c r="BQ109" s="376">
        <f t="shared" si="247"/>
        <v>187.5</v>
      </c>
      <c r="BR109" s="376">
        <f t="shared" si="247"/>
        <v>187.5</v>
      </c>
      <c r="BS109" s="376">
        <f t="shared" si="247"/>
        <v>187.5</v>
      </c>
      <c r="BT109" s="376">
        <f t="shared" si="247"/>
        <v>187.5</v>
      </c>
      <c r="BU109" s="376">
        <f t="shared" si="247"/>
        <v>187.5</v>
      </c>
      <c r="BV109" s="377">
        <f t="shared" si="247"/>
        <v>187.5</v>
      </c>
    </row>
    <row r="110" spans="1:74" ht="20.149999999999999" hidden="1" customHeight="1" outlineLevel="2" x14ac:dyDescent="0.25">
      <c r="A110" s="23" t="str">
        <f>'Quantidade-Cult.Perma.'!A46</f>
        <v>Inseticida</v>
      </c>
      <c r="B110" s="8" t="str">
        <f>'Quantidade-Cult.Perma.'!B46</f>
        <v>L</v>
      </c>
      <c r="C110" s="284">
        <f>'Quantidade-Cult.Perma.'!D46</f>
        <v>40</v>
      </c>
      <c r="D110" s="284">
        <f>'Quantidade-Cult.Perma.'!R46</f>
        <v>1</v>
      </c>
      <c r="E110" s="284">
        <f>'Quantidade-Cult.Perma.'!S46</f>
        <v>1</v>
      </c>
      <c r="F110" s="284">
        <f>'Quantidade-Cult.Perma.'!T46</f>
        <v>1</v>
      </c>
      <c r="G110" s="284">
        <f>'Quantidade-Cult.Perma.'!U46</f>
        <v>1</v>
      </c>
      <c r="H110" s="284">
        <f>'Quantidade-Cult.Perma.'!V46</f>
        <v>1</v>
      </c>
      <c r="I110" s="284">
        <f>'Quantidade-Cult.Perma.'!W46</f>
        <v>1</v>
      </c>
      <c r="J110" s="284">
        <f>'Quantidade-Cult.Perma.'!X46</f>
        <v>1</v>
      </c>
      <c r="K110" s="284">
        <f>'Quantidade-Cult.Perma.'!Y46</f>
        <v>1</v>
      </c>
      <c r="L110" s="358">
        <f>'Quantidade-Cult.Perma.'!Z46</f>
        <v>1</v>
      </c>
      <c r="M110" s="358">
        <f>'Quantidade-Cult.Perma.'!AA46</f>
        <v>1</v>
      </c>
      <c r="N110" s="358">
        <f>'Quantidade-Cult.Perma.'!AB46</f>
        <v>1</v>
      </c>
      <c r="O110" s="358">
        <f>'Quantidade-Cult.Perma.'!AC46</f>
        <v>1</v>
      </c>
      <c r="P110" s="358">
        <f t="shared" si="215"/>
        <v>1</v>
      </c>
      <c r="Q110" s="358">
        <f t="shared" si="216"/>
        <v>1</v>
      </c>
      <c r="R110" s="358">
        <f t="shared" si="217"/>
        <v>1</v>
      </c>
      <c r="S110" s="358">
        <f t="shared" si="218"/>
        <v>1</v>
      </c>
      <c r="T110" s="358">
        <f t="shared" si="219"/>
        <v>1</v>
      </c>
      <c r="U110" s="358">
        <f t="shared" si="220"/>
        <v>1</v>
      </c>
      <c r="V110" s="358">
        <f t="shared" si="221"/>
        <v>1</v>
      </c>
      <c r="W110" s="358">
        <f t="shared" si="222"/>
        <v>1</v>
      </c>
      <c r="X110" s="358">
        <f t="shared" si="223"/>
        <v>1</v>
      </c>
      <c r="Y110" s="358">
        <f t="shared" si="224"/>
        <v>1</v>
      </c>
      <c r="Z110" s="358">
        <f t="shared" si="225"/>
        <v>1</v>
      </c>
      <c r="AA110" s="358">
        <f t="shared" si="226"/>
        <v>1</v>
      </c>
      <c r="AB110" s="358">
        <f t="shared" si="227"/>
        <v>1</v>
      </c>
      <c r="AC110" s="358">
        <f t="shared" si="228"/>
        <v>1</v>
      </c>
      <c r="AD110" s="358">
        <f t="shared" si="229"/>
        <v>1</v>
      </c>
      <c r="AE110" s="358">
        <f t="shared" si="230"/>
        <v>1</v>
      </c>
      <c r="AF110" s="358">
        <f t="shared" si="231"/>
        <v>1</v>
      </c>
      <c r="AG110" s="358">
        <f t="shared" si="232"/>
        <v>1</v>
      </c>
      <c r="AH110" s="358">
        <f t="shared" si="233"/>
        <v>1</v>
      </c>
      <c r="AI110" s="358">
        <f t="shared" si="234"/>
        <v>1</v>
      </c>
      <c r="AJ110" s="358">
        <f t="shared" si="235"/>
        <v>1</v>
      </c>
      <c r="AK110" s="358">
        <f t="shared" si="236"/>
        <v>1</v>
      </c>
      <c r="AL110" s="359">
        <f t="shared" si="237"/>
        <v>1</v>
      </c>
      <c r="AM110" s="636"/>
      <c r="AN110" s="303">
        <f t="shared" ref="AN110:BV110" si="248">$C$110*D110</f>
        <v>40</v>
      </c>
      <c r="AO110" s="304">
        <f t="shared" si="248"/>
        <v>40</v>
      </c>
      <c r="AP110" s="304">
        <f t="shared" si="248"/>
        <v>40</v>
      </c>
      <c r="AQ110" s="304">
        <f t="shared" si="248"/>
        <v>40</v>
      </c>
      <c r="AR110" s="304">
        <f t="shared" si="248"/>
        <v>40</v>
      </c>
      <c r="AS110" s="304">
        <f t="shared" si="248"/>
        <v>40</v>
      </c>
      <c r="AT110" s="304">
        <f t="shared" si="248"/>
        <v>40</v>
      </c>
      <c r="AU110" s="304">
        <f t="shared" si="248"/>
        <v>40</v>
      </c>
      <c r="AV110" s="376">
        <f t="shared" si="248"/>
        <v>40</v>
      </c>
      <c r="AW110" s="376">
        <f t="shared" si="248"/>
        <v>40</v>
      </c>
      <c r="AX110" s="376">
        <f t="shared" si="248"/>
        <v>40</v>
      </c>
      <c r="AY110" s="376">
        <f t="shared" si="248"/>
        <v>40</v>
      </c>
      <c r="AZ110" s="376">
        <f t="shared" si="248"/>
        <v>40</v>
      </c>
      <c r="BA110" s="376">
        <f t="shared" si="248"/>
        <v>40</v>
      </c>
      <c r="BB110" s="376">
        <f t="shared" si="248"/>
        <v>40</v>
      </c>
      <c r="BC110" s="376">
        <f t="shared" si="248"/>
        <v>40</v>
      </c>
      <c r="BD110" s="376">
        <f t="shared" si="248"/>
        <v>40</v>
      </c>
      <c r="BE110" s="376">
        <f t="shared" si="248"/>
        <v>40</v>
      </c>
      <c r="BF110" s="376">
        <f t="shared" si="248"/>
        <v>40</v>
      </c>
      <c r="BG110" s="376">
        <f t="shared" si="248"/>
        <v>40</v>
      </c>
      <c r="BH110" s="376">
        <f t="shared" si="248"/>
        <v>40</v>
      </c>
      <c r="BI110" s="376">
        <f t="shared" si="248"/>
        <v>40</v>
      </c>
      <c r="BJ110" s="376">
        <f t="shared" si="248"/>
        <v>40</v>
      </c>
      <c r="BK110" s="376">
        <f t="shared" si="248"/>
        <v>40</v>
      </c>
      <c r="BL110" s="376">
        <f t="shared" si="248"/>
        <v>40</v>
      </c>
      <c r="BM110" s="376">
        <f t="shared" si="248"/>
        <v>40</v>
      </c>
      <c r="BN110" s="376">
        <f t="shared" si="248"/>
        <v>40</v>
      </c>
      <c r="BO110" s="376">
        <f t="shared" si="248"/>
        <v>40</v>
      </c>
      <c r="BP110" s="376">
        <f t="shared" si="248"/>
        <v>40</v>
      </c>
      <c r="BQ110" s="376">
        <f t="shared" si="248"/>
        <v>40</v>
      </c>
      <c r="BR110" s="376">
        <f t="shared" si="248"/>
        <v>40</v>
      </c>
      <c r="BS110" s="376">
        <f t="shared" si="248"/>
        <v>40</v>
      </c>
      <c r="BT110" s="376">
        <f t="shared" si="248"/>
        <v>40</v>
      </c>
      <c r="BU110" s="376">
        <f t="shared" si="248"/>
        <v>40</v>
      </c>
      <c r="BV110" s="377">
        <f t="shared" si="248"/>
        <v>40</v>
      </c>
    </row>
    <row r="111" spans="1:74" ht="20.149999999999999" hidden="1" customHeight="1" outlineLevel="2" x14ac:dyDescent="0.25">
      <c r="A111" s="23" t="str">
        <f>'Quantidade-Cult.Perma.'!A47</f>
        <v>Espalhante</v>
      </c>
      <c r="B111" s="8" t="str">
        <f>'Quantidade-Cult.Perma.'!B47</f>
        <v>L</v>
      </c>
      <c r="C111" s="284">
        <f>'Quantidade-Cult.Perma.'!D47</f>
        <v>15</v>
      </c>
      <c r="D111" s="284">
        <f>'Quantidade-Cult.Perma.'!R47</f>
        <v>0.25</v>
      </c>
      <c r="E111" s="284">
        <f>'Quantidade-Cult.Perma.'!S47</f>
        <v>0.5</v>
      </c>
      <c r="F111" s="284">
        <f>'Quantidade-Cult.Perma.'!T47</f>
        <v>0.5</v>
      </c>
      <c r="G111" s="284">
        <f>'Quantidade-Cult.Perma.'!U47</f>
        <v>0.5</v>
      </c>
      <c r="H111" s="284">
        <f>'Quantidade-Cult.Perma.'!V47</f>
        <v>0.5</v>
      </c>
      <c r="I111" s="284">
        <f>'Quantidade-Cult.Perma.'!W47</f>
        <v>0.5</v>
      </c>
      <c r="J111" s="284">
        <f>'Quantidade-Cult.Perma.'!X47</f>
        <v>0.5</v>
      </c>
      <c r="K111" s="284">
        <f>'Quantidade-Cult.Perma.'!Y47</f>
        <v>0.5</v>
      </c>
      <c r="L111" s="358">
        <f>'Quantidade-Cult.Perma.'!Z47</f>
        <v>0.5</v>
      </c>
      <c r="M111" s="358">
        <f>'Quantidade-Cult.Perma.'!AA47</f>
        <v>0.5</v>
      </c>
      <c r="N111" s="358">
        <f>'Quantidade-Cult.Perma.'!AB47</f>
        <v>0.5</v>
      </c>
      <c r="O111" s="358">
        <f>'Quantidade-Cult.Perma.'!AC47</f>
        <v>0.5</v>
      </c>
      <c r="P111" s="358">
        <f t="shared" si="215"/>
        <v>0.25</v>
      </c>
      <c r="Q111" s="358">
        <f t="shared" si="216"/>
        <v>0.5</v>
      </c>
      <c r="R111" s="358">
        <f t="shared" si="217"/>
        <v>0.5</v>
      </c>
      <c r="S111" s="358">
        <f t="shared" si="218"/>
        <v>0.5</v>
      </c>
      <c r="T111" s="358">
        <f t="shared" si="219"/>
        <v>0.5</v>
      </c>
      <c r="U111" s="358">
        <f t="shared" si="220"/>
        <v>0.5</v>
      </c>
      <c r="V111" s="358">
        <f t="shared" si="221"/>
        <v>0.5</v>
      </c>
      <c r="W111" s="358">
        <f t="shared" si="222"/>
        <v>0.5</v>
      </c>
      <c r="X111" s="358">
        <f t="shared" si="223"/>
        <v>0.5</v>
      </c>
      <c r="Y111" s="358">
        <f t="shared" si="224"/>
        <v>0.5</v>
      </c>
      <c r="Z111" s="358">
        <f t="shared" si="225"/>
        <v>0.5</v>
      </c>
      <c r="AA111" s="358">
        <f t="shared" si="226"/>
        <v>0.5</v>
      </c>
      <c r="AB111" s="358">
        <f t="shared" si="227"/>
        <v>0.25</v>
      </c>
      <c r="AC111" s="358">
        <f t="shared" si="228"/>
        <v>0.5</v>
      </c>
      <c r="AD111" s="358">
        <f t="shared" si="229"/>
        <v>0.5</v>
      </c>
      <c r="AE111" s="358">
        <f t="shared" si="230"/>
        <v>0.5</v>
      </c>
      <c r="AF111" s="358">
        <f t="shared" si="231"/>
        <v>0.5</v>
      </c>
      <c r="AG111" s="358">
        <f t="shared" si="232"/>
        <v>0.5</v>
      </c>
      <c r="AH111" s="358">
        <f t="shared" si="233"/>
        <v>0.5</v>
      </c>
      <c r="AI111" s="358">
        <f t="shared" si="234"/>
        <v>0.5</v>
      </c>
      <c r="AJ111" s="358">
        <f t="shared" si="235"/>
        <v>0.5</v>
      </c>
      <c r="AK111" s="358">
        <f t="shared" si="236"/>
        <v>0.5</v>
      </c>
      <c r="AL111" s="359">
        <f t="shared" si="237"/>
        <v>0.5</v>
      </c>
      <c r="AM111" s="636"/>
      <c r="AN111" s="303">
        <f>$C$111*D111</f>
        <v>3.75</v>
      </c>
      <c r="AO111" s="304">
        <f t="shared" ref="AO111:BV111" si="249">E111*$C$111</f>
        <v>7.5</v>
      </c>
      <c r="AP111" s="304">
        <f t="shared" si="249"/>
        <v>7.5</v>
      </c>
      <c r="AQ111" s="304">
        <f t="shared" si="249"/>
        <v>7.5</v>
      </c>
      <c r="AR111" s="304">
        <f t="shared" si="249"/>
        <v>7.5</v>
      </c>
      <c r="AS111" s="304">
        <f t="shared" si="249"/>
        <v>7.5</v>
      </c>
      <c r="AT111" s="304">
        <f t="shared" si="249"/>
        <v>7.5</v>
      </c>
      <c r="AU111" s="304">
        <f t="shared" si="249"/>
        <v>7.5</v>
      </c>
      <c r="AV111" s="376">
        <f t="shared" si="249"/>
        <v>7.5</v>
      </c>
      <c r="AW111" s="376">
        <f t="shared" si="249"/>
        <v>7.5</v>
      </c>
      <c r="AX111" s="376">
        <f t="shared" si="249"/>
        <v>7.5</v>
      </c>
      <c r="AY111" s="376">
        <f t="shared" si="249"/>
        <v>7.5</v>
      </c>
      <c r="AZ111" s="376">
        <f t="shared" si="249"/>
        <v>3.75</v>
      </c>
      <c r="BA111" s="376">
        <f t="shared" si="249"/>
        <v>7.5</v>
      </c>
      <c r="BB111" s="376">
        <f t="shared" si="249"/>
        <v>7.5</v>
      </c>
      <c r="BC111" s="376">
        <f t="shared" si="249"/>
        <v>7.5</v>
      </c>
      <c r="BD111" s="376">
        <f t="shared" si="249"/>
        <v>7.5</v>
      </c>
      <c r="BE111" s="376">
        <f t="shared" si="249"/>
        <v>7.5</v>
      </c>
      <c r="BF111" s="376">
        <f t="shared" si="249"/>
        <v>7.5</v>
      </c>
      <c r="BG111" s="376">
        <f t="shared" si="249"/>
        <v>7.5</v>
      </c>
      <c r="BH111" s="376">
        <f t="shared" si="249"/>
        <v>7.5</v>
      </c>
      <c r="BI111" s="376">
        <f t="shared" si="249"/>
        <v>7.5</v>
      </c>
      <c r="BJ111" s="376">
        <f t="shared" si="249"/>
        <v>7.5</v>
      </c>
      <c r="BK111" s="376">
        <f t="shared" si="249"/>
        <v>7.5</v>
      </c>
      <c r="BL111" s="376">
        <f t="shared" si="249"/>
        <v>3.75</v>
      </c>
      <c r="BM111" s="376">
        <f t="shared" si="249"/>
        <v>7.5</v>
      </c>
      <c r="BN111" s="376">
        <f t="shared" si="249"/>
        <v>7.5</v>
      </c>
      <c r="BO111" s="376">
        <f t="shared" si="249"/>
        <v>7.5</v>
      </c>
      <c r="BP111" s="376">
        <f t="shared" si="249"/>
        <v>7.5</v>
      </c>
      <c r="BQ111" s="376">
        <f t="shared" si="249"/>
        <v>7.5</v>
      </c>
      <c r="BR111" s="376">
        <f t="shared" si="249"/>
        <v>7.5</v>
      </c>
      <c r="BS111" s="376">
        <f t="shared" si="249"/>
        <v>7.5</v>
      </c>
      <c r="BT111" s="376">
        <f t="shared" si="249"/>
        <v>7.5</v>
      </c>
      <c r="BU111" s="376">
        <f t="shared" si="249"/>
        <v>7.5</v>
      </c>
      <c r="BV111" s="377">
        <f t="shared" si="249"/>
        <v>7.5</v>
      </c>
    </row>
    <row r="112" spans="1:74" ht="20.149999999999999" hidden="1" customHeight="1" outlineLevel="2" x14ac:dyDescent="0.25">
      <c r="A112" s="23" t="str">
        <f>'Quantidade-Cult.Perma.'!A48</f>
        <v>Herbicida</v>
      </c>
      <c r="B112" s="8" t="str">
        <f>'Quantidade-Cult.Perma.'!B48</f>
        <v>L</v>
      </c>
      <c r="C112" s="284">
        <f>'Quantidade-Cult.Perma.'!D48</f>
        <v>65</v>
      </c>
      <c r="D112" s="284">
        <f>'Quantidade-Cult.Perma.'!R48</f>
        <v>1.5</v>
      </c>
      <c r="E112" s="284">
        <f>'Quantidade-Cult.Perma.'!S48</f>
        <v>0.4</v>
      </c>
      <c r="F112" s="284">
        <f>'Quantidade-Cult.Perma.'!T48</f>
        <v>0.25</v>
      </c>
      <c r="G112" s="284">
        <f>'Quantidade-Cult.Perma.'!U48</f>
        <v>0.25</v>
      </c>
      <c r="H112" s="284">
        <f>'Quantidade-Cult.Perma.'!V48</f>
        <v>0.25</v>
      </c>
      <c r="I112" s="284">
        <f>'Quantidade-Cult.Perma.'!W48</f>
        <v>0.25</v>
      </c>
      <c r="J112" s="284">
        <f>'Quantidade-Cult.Perma.'!X48</f>
        <v>0.25</v>
      </c>
      <c r="K112" s="284">
        <f>'Quantidade-Cult.Perma.'!Y48</f>
        <v>0.25</v>
      </c>
      <c r="L112" s="358">
        <f>'Quantidade-Cult.Perma.'!Z48</f>
        <v>0.25</v>
      </c>
      <c r="M112" s="358">
        <f>'Quantidade-Cult.Perma.'!AA48</f>
        <v>0.25</v>
      </c>
      <c r="N112" s="358">
        <f>'Quantidade-Cult.Perma.'!AB48</f>
        <v>0.25</v>
      </c>
      <c r="O112" s="358">
        <f>'Quantidade-Cult.Perma.'!AC48</f>
        <v>0.25</v>
      </c>
      <c r="P112" s="358">
        <f t="shared" si="215"/>
        <v>1.5</v>
      </c>
      <c r="Q112" s="358">
        <f t="shared" si="216"/>
        <v>0.4</v>
      </c>
      <c r="R112" s="358">
        <f t="shared" si="217"/>
        <v>0.25</v>
      </c>
      <c r="S112" s="358">
        <f t="shared" si="218"/>
        <v>0.25</v>
      </c>
      <c r="T112" s="358">
        <f t="shared" si="219"/>
        <v>0.25</v>
      </c>
      <c r="U112" s="358">
        <f t="shared" si="220"/>
        <v>0.25</v>
      </c>
      <c r="V112" s="358">
        <f t="shared" si="221"/>
        <v>0.25</v>
      </c>
      <c r="W112" s="358">
        <f t="shared" si="222"/>
        <v>0.25</v>
      </c>
      <c r="X112" s="358">
        <f t="shared" si="223"/>
        <v>0.25</v>
      </c>
      <c r="Y112" s="358">
        <f t="shared" si="224"/>
        <v>0.25</v>
      </c>
      <c r="Z112" s="358">
        <f t="shared" si="225"/>
        <v>0.25</v>
      </c>
      <c r="AA112" s="358">
        <f t="shared" si="226"/>
        <v>0.25</v>
      </c>
      <c r="AB112" s="358">
        <f t="shared" si="227"/>
        <v>1.5</v>
      </c>
      <c r="AC112" s="358">
        <f t="shared" si="228"/>
        <v>0.4</v>
      </c>
      <c r="AD112" s="358">
        <f t="shared" si="229"/>
        <v>0.25</v>
      </c>
      <c r="AE112" s="358">
        <f t="shared" si="230"/>
        <v>0.25</v>
      </c>
      <c r="AF112" s="358">
        <f t="shared" si="231"/>
        <v>0.25</v>
      </c>
      <c r="AG112" s="358">
        <f t="shared" si="232"/>
        <v>0.25</v>
      </c>
      <c r="AH112" s="358">
        <f t="shared" si="233"/>
        <v>0.25</v>
      </c>
      <c r="AI112" s="358">
        <f t="shared" si="234"/>
        <v>0.25</v>
      </c>
      <c r="AJ112" s="358">
        <f t="shared" si="235"/>
        <v>0.25</v>
      </c>
      <c r="AK112" s="358">
        <f t="shared" si="236"/>
        <v>0.25</v>
      </c>
      <c r="AL112" s="359">
        <f t="shared" si="237"/>
        <v>0.25</v>
      </c>
      <c r="AM112" s="636"/>
      <c r="AN112" s="303">
        <f t="shared" ref="AN112:BV112" si="250">$C$112*D112</f>
        <v>97.5</v>
      </c>
      <c r="AO112" s="304">
        <f t="shared" si="250"/>
        <v>26</v>
      </c>
      <c r="AP112" s="304">
        <f t="shared" si="250"/>
        <v>16.25</v>
      </c>
      <c r="AQ112" s="304">
        <f t="shared" si="250"/>
        <v>16.25</v>
      </c>
      <c r="AR112" s="304">
        <f t="shared" si="250"/>
        <v>16.25</v>
      </c>
      <c r="AS112" s="304">
        <f t="shared" si="250"/>
        <v>16.25</v>
      </c>
      <c r="AT112" s="304">
        <f t="shared" si="250"/>
        <v>16.25</v>
      </c>
      <c r="AU112" s="304">
        <f t="shared" si="250"/>
        <v>16.25</v>
      </c>
      <c r="AV112" s="376">
        <f t="shared" si="250"/>
        <v>16.25</v>
      </c>
      <c r="AW112" s="376">
        <f t="shared" si="250"/>
        <v>16.25</v>
      </c>
      <c r="AX112" s="376">
        <f t="shared" si="250"/>
        <v>16.25</v>
      </c>
      <c r="AY112" s="376">
        <f t="shared" si="250"/>
        <v>16.25</v>
      </c>
      <c r="AZ112" s="376">
        <f t="shared" si="250"/>
        <v>97.5</v>
      </c>
      <c r="BA112" s="376">
        <f t="shared" si="250"/>
        <v>26</v>
      </c>
      <c r="BB112" s="376">
        <f t="shared" si="250"/>
        <v>16.25</v>
      </c>
      <c r="BC112" s="376">
        <f t="shared" si="250"/>
        <v>16.25</v>
      </c>
      <c r="BD112" s="376">
        <f t="shared" si="250"/>
        <v>16.25</v>
      </c>
      <c r="BE112" s="376">
        <f t="shared" si="250"/>
        <v>16.25</v>
      </c>
      <c r="BF112" s="376">
        <f t="shared" si="250"/>
        <v>16.25</v>
      </c>
      <c r="BG112" s="376">
        <f t="shared" si="250"/>
        <v>16.25</v>
      </c>
      <c r="BH112" s="376">
        <f t="shared" si="250"/>
        <v>16.25</v>
      </c>
      <c r="BI112" s="376">
        <f t="shared" si="250"/>
        <v>16.25</v>
      </c>
      <c r="BJ112" s="376">
        <f t="shared" si="250"/>
        <v>16.25</v>
      </c>
      <c r="BK112" s="376">
        <f t="shared" si="250"/>
        <v>16.25</v>
      </c>
      <c r="BL112" s="376">
        <f t="shared" si="250"/>
        <v>97.5</v>
      </c>
      <c r="BM112" s="376">
        <f t="shared" si="250"/>
        <v>26</v>
      </c>
      <c r="BN112" s="376">
        <f t="shared" si="250"/>
        <v>16.25</v>
      </c>
      <c r="BO112" s="376">
        <f t="shared" si="250"/>
        <v>16.25</v>
      </c>
      <c r="BP112" s="376">
        <f t="shared" si="250"/>
        <v>16.25</v>
      </c>
      <c r="BQ112" s="376">
        <f t="shared" si="250"/>
        <v>16.25</v>
      </c>
      <c r="BR112" s="376">
        <f t="shared" si="250"/>
        <v>16.25</v>
      </c>
      <c r="BS112" s="376">
        <f t="shared" si="250"/>
        <v>16.25</v>
      </c>
      <c r="BT112" s="376">
        <f t="shared" si="250"/>
        <v>16.25</v>
      </c>
      <c r="BU112" s="376">
        <f t="shared" si="250"/>
        <v>16.25</v>
      </c>
      <c r="BV112" s="377">
        <f t="shared" si="250"/>
        <v>16.25</v>
      </c>
    </row>
    <row r="113" spans="1:74" ht="20.149999999999999" hidden="1" customHeight="1" outlineLevel="2" x14ac:dyDescent="0.25">
      <c r="A113" s="23" t="str">
        <f>'Quantidade-Cult.Perma.'!A49</f>
        <v>Óleo Mineral</v>
      </c>
      <c r="B113" s="8" t="str">
        <f>'Quantidade-Cult.Perma.'!B49</f>
        <v>L</v>
      </c>
      <c r="C113" s="284">
        <f>'Quantidade-Cult.Perma.'!D49</f>
        <v>10</v>
      </c>
      <c r="D113" s="284">
        <f>'Quantidade-Cult.Perma.'!R49</f>
        <v>6</v>
      </c>
      <c r="E113" s="284">
        <f>'Quantidade-Cult.Perma.'!S49</f>
        <v>30</v>
      </c>
      <c r="F113" s="284">
        <f>'Quantidade-Cult.Perma.'!T49</f>
        <v>30</v>
      </c>
      <c r="G113" s="284">
        <f>'Quantidade-Cult.Perma.'!U49</f>
        <v>30</v>
      </c>
      <c r="H113" s="284">
        <f>'Quantidade-Cult.Perma.'!V49</f>
        <v>30</v>
      </c>
      <c r="I113" s="284">
        <f>'Quantidade-Cult.Perma.'!W49</f>
        <v>30</v>
      </c>
      <c r="J113" s="284">
        <f>'Quantidade-Cult.Perma.'!X49</f>
        <v>30</v>
      </c>
      <c r="K113" s="284">
        <f>'Quantidade-Cult.Perma.'!Y49</f>
        <v>30</v>
      </c>
      <c r="L113" s="358">
        <f>'Quantidade-Cult.Perma.'!Z49</f>
        <v>30</v>
      </c>
      <c r="M113" s="358">
        <f>'Quantidade-Cult.Perma.'!AA49</f>
        <v>30</v>
      </c>
      <c r="N113" s="358">
        <f>'Quantidade-Cult.Perma.'!AB49</f>
        <v>30</v>
      </c>
      <c r="O113" s="358">
        <f>'Quantidade-Cult.Perma.'!AC49</f>
        <v>30</v>
      </c>
      <c r="P113" s="358">
        <f t="shared" si="215"/>
        <v>6</v>
      </c>
      <c r="Q113" s="358">
        <f t="shared" si="216"/>
        <v>30</v>
      </c>
      <c r="R113" s="358">
        <f t="shared" si="217"/>
        <v>30</v>
      </c>
      <c r="S113" s="358">
        <f t="shared" si="218"/>
        <v>30</v>
      </c>
      <c r="T113" s="358">
        <f t="shared" si="219"/>
        <v>30</v>
      </c>
      <c r="U113" s="358">
        <f t="shared" si="220"/>
        <v>30</v>
      </c>
      <c r="V113" s="358">
        <f t="shared" si="221"/>
        <v>30</v>
      </c>
      <c r="W113" s="358">
        <f t="shared" si="222"/>
        <v>30</v>
      </c>
      <c r="X113" s="358">
        <f t="shared" si="223"/>
        <v>30</v>
      </c>
      <c r="Y113" s="358">
        <f t="shared" si="224"/>
        <v>30</v>
      </c>
      <c r="Z113" s="358">
        <f t="shared" si="225"/>
        <v>30</v>
      </c>
      <c r="AA113" s="358">
        <f t="shared" si="226"/>
        <v>30</v>
      </c>
      <c r="AB113" s="358">
        <f t="shared" si="227"/>
        <v>6</v>
      </c>
      <c r="AC113" s="358">
        <f t="shared" si="228"/>
        <v>30</v>
      </c>
      <c r="AD113" s="358">
        <f t="shared" si="229"/>
        <v>30</v>
      </c>
      <c r="AE113" s="358">
        <f t="shared" si="230"/>
        <v>30</v>
      </c>
      <c r="AF113" s="358">
        <f t="shared" si="231"/>
        <v>30</v>
      </c>
      <c r="AG113" s="358">
        <f t="shared" si="232"/>
        <v>30</v>
      </c>
      <c r="AH113" s="358">
        <f t="shared" si="233"/>
        <v>30</v>
      </c>
      <c r="AI113" s="358">
        <f t="shared" si="234"/>
        <v>30</v>
      </c>
      <c r="AJ113" s="358">
        <f t="shared" si="235"/>
        <v>30</v>
      </c>
      <c r="AK113" s="358">
        <f t="shared" si="236"/>
        <v>30</v>
      </c>
      <c r="AL113" s="359">
        <f t="shared" si="237"/>
        <v>30</v>
      </c>
      <c r="AM113" s="636"/>
      <c r="AN113" s="303">
        <f t="shared" ref="AN113:BV113" si="251">$C$113*D113</f>
        <v>60</v>
      </c>
      <c r="AO113" s="304">
        <f t="shared" si="251"/>
        <v>300</v>
      </c>
      <c r="AP113" s="304">
        <f t="shared" si="251"/>
        <v>300</v>
      </c>
      <c r="AQ113" s="304">
        <f t="shared" si="251"/>
        <v>300</v>
      </c>
      <c r="AR113" s="304">
        <f t="shared" si="251"/>
        <v>300</v>
      </c>
      <c r="AS113" s="304">
        <f t="shared" si="251"/>
        <v>300</v>
      </c>
      <c r="AT113" s="304">
        <f t="shared" si="251"/>
        <v>300</v>
      </c>
      <c r="AU113" s="304">
        <f t="shared" si="251"/>
        <v>300</v>
      </c>
      <c r="AV113" s="376">
        <f t="shared" si="251"/>
        <v>300</v>
      </c>
      <c r="AW113" s="376">
        <f t="shared" si="251"/>
        <v>300</v>
      </c>
      <c r="AX113" s="376">
        <f t="shared" si="251"/>
        <v>300</v>
      </c>
      <c r="AY113" s="376">
        <f t="shared" si="251"/>
        <v>300</v>
      </c>
      <c r="AZ113" s="376">
        <f t="shared" si="251"/>
        <v>60</v>
      </c>
      <c r="BA113" s="376">
        <f t="shared" si="251"/>
        <v>300</v>
      </c>
      <c r="BB113" s="376">
        <f t="shared" si="251"/>
        <v>300</v>
      </c>
      <c r="BC113" s="376">
        <f t="shared" si="251"/>
        <v>300</v>
      </c>
      <c r="BD113" s="376">
        <f t="shared" si="251"/>
        <v>300</v>
      </c>
      <c r="BE113" s="376">
        <f t="shared" si="251"/>
        <v>300</v>
      </c>
      <c r="BF113" s="376">
        <f t="shared" si="251"/>
        <v>300</v>
      </c>
      <c r="BG113" s="376">
        <f t="shared" si="251"/>
        <v>300</v>
      </c>
      <c r="BH113" s="376">
        <f t="shared" si="251"/>
        <v>300</v>
      </c>
      <c r="BI113" s="376">
        <f t="shared" si="251"/>
        <v>300</v>
      </c>
      <c r="BJ113" s="376">
        <f t="shared" si="251"/>
        <v>300</v>
      </c>
      <c r="BK113" s="376">
        <f t="shared" si="251"/>
        <v>300</v>
      </c>
      <c r="BL113" s="376">
        <f t="shared" si="251"/>
        <v>60</v>
      </c>
      <c r="BM113" s="376">
        <f t="shared" si="251"/>
        <v>300</v>
      </c>
      <c r="BN113" s="376">
        <f t="shared" si="251"/>
        <v>300</v>
      </c>
      <c r="BO113" s="376">
        <f t="shared" si="251"/>
        <v>300</v>
      </c>
      <c r="BP113" s="376">
        <f t="shared" si="251"/>
        <v>300</v>
      </c>
      <c r="BQ113" s="376">
        <f t="shared" si="251"/>
        <v>300</v>
      </c>
      <c r="BR113" s="376">
        <f t="shared" si="251"/>
        <v>300</v>
      </c>
      <c r="BS113" s="376">
        <f t="shared" si="251"/>
        <v>300</v>
      </c>
      <c r="BT113" s="376">
        <f t="shared" si="251"/>
        <v>300</v>
      </c>
      <c r="BU113" s="376">
        <f t="shared" si="251"/>
        <v>300</v>
      </c>
      <c r="BV113" s="377">
        <f t="shared" si="251"/>
        <v>300</v>
      </c>
    </row>
    <row r="114" spans="1:74" ht="20.149999999999999" hidden="1" customHeight="1" outlineLevel="2" thickBot="1" x14ac:dyDescent="0.3">
      <c r="A114" s="321" t="str">
        <f>'Quantidade-Cult.Perma.'!A50</f>
        <v>Muda Banana</v>
      </c>
      <c r="B114" s="35" t="str">
        <f>'Quantidade-Cult.Perma.'!B50</f>
        <v>UD</v>
      </c>
      <c r="C114" s="322">
        <f>'Quantidade-Cult.Perma.'!D50</f>
        <v>4</v>
      </c>
      <c r="D114" s="322">
        <f>'Quantidade-Cult.Perma.'!R50</f>
        <v>1330</v>
      </c>
      <c r="E114" s="322">
        <f>'Quantidade-Cult.Perma.'!S50</f>
        <v>0</v>
      </c>
      <c r="F114" s="322">
        <f>'Quantidade-Cult.Perma.'!T50</f>
        <v>0</v>
      </c>
      <c r="G114" s="322">
        <f>'Quantidade-Cult.Perma.'!U50</f>
        <v>0</v>
      </c>
      <c r="H114" s="322">
        <f>'Quantidade-Cult.Perma.'!V50</f>
        <v>0</v>
      </c>
      <c r="I114" s="322">
        <f>'Quantidade-Cult.Perma.'!W50</f>
        <v>0</v>
      </c>
      <c r="J114" s="322">
        <f>'Quantidade-Cult.Perma.'!X50</f>
        <v>0</v>
      </c>
      <c r="K114" s="322">
        <f>'Quantidade-Cult.Perma.'!Y50</f>
        <v>0</v>
      </c>
      <c r="L114" s="360">
        <f>'Quantidade-Cult.Perma.'!Z50</f>
        <v>0</v>
      </c>
      <c r="M114" s="360">
        <f>'Quantidade-Cult.Perma.'!AA50</f>
        <v>0</v>
      </c>
      <c r="N114" s="360">
        <f>'Quantidade-Cult.Perma.'!AB50</f>
        <v>0</v>
      </c>
      <c r="O114" s="360">
        <f>'Quantidade-Cult.Perma.'!AC50</f>
        <v>0</v>
      </c>
      <c r="P114" s="360">
        <f t="shared" si="215"/>
        <v>1330</v>
      </c>
      <c r="Q114" s="360">
        <f t="shared" si="216"/>
        <v>0</v>
      </c>
      <c r="R114" s="360">
        <f t="shared" si="217"/>
        <v>0</v>
      </c>
      <c r="S114" s="360">
        <f t="shared" si="218"/>
        <v>0</v>
      </c>
      <c r="T114" s="360">
        <f t="shared" si="219"/>
        <v>0</v>
      </c>
      <c r="U114" s="360">
        <f t="shared" si="220"/>
        <v>0</v>
      </c>
      <c r="V114" s="360">
        <f t="shared" si="221"/>
        <v>0</v>
      </c>
      <c r="W114" s="360">
        <f t="shared" si="222"/>
        <v>0</v>
      </c>
      <c r="X114" s="360">
        <f t="shared" si="223"/>
        <v>0</v>
      </c>
      <c r="Y114" s="360">
        <f t="shared" si="224"/>
        <v>0</v>
      </c>
      <c r="Z114" s="360">
        <f t="shared" si="225"/>
        <v>0</v>
      </c>
      <c r="AA114" s="360">
        <f t="shared" si="226"/>
        <v>0</v>
      </c>
      <c r="AB114" s="360">
        <f t="shared" si="227"/>
        <v>1330</v>
      </c>
      <c r="AC114" s="360">
        <f t="shared" si="228"/>
        <v>0</v>
      </c>
      <c r="AD114" s="360">
        <f t="shared" si="229"/>
        <v>0</v>
      </c>
      <c r="AE114" s="360">
        <f t="shared" si="230"/>
        <v>0</v>
      </c>
      <c r="AF114" s="360">
        <f t="shared" si="231"/>
        <v>0</v>
      </c>
      <c r="AG114" s="360">
        <f t="shared" si="232"/>
        <v>0</v>
      </c>
      <c r="AH114" s="360">
        <f t="shared" si="233"/>
        <v>0</v>
      </c>
      <c r="AI114" s="360">
        <f t="shared" si="234"/>
        <v>0</v>
      </c>
      <c r="AJ114" s="360">
        <f t="shared" si="235"/>
        <v>0</v>
      </c>
      <c r="AK114" s="360">
        <f t="shared" si="236"/>
        <v>0</v>
      </c>
      <c r="AL114" s="361">
        <f t="shared" si="237"/>
        <v>0</v>
      </c>
      <c r="AM114" s="636"/>
      <c r="AN114" s="334">
        <f t="shared" ref="AN114:BV114" si="252">$C$114*D114</f>
        <v>5320</v>
      </c>
      <c r="AO114" s="335">
        <f t="shared" si="252"/>
        <v>0</v>
      </c>
      <c r="AP114" s="335">
        <f t="shared" si="252"/>
        <v>0</v>
      </c>
      <c r="AQ114" s="335">
        <f t="shared" si="252"/>
        <v>0</v>
      </c>
      <c r="AR114" s="335">
        <f t="shared" si="252"/>
        <v>0</v>
      </c>
      <c r="AS114" s="335">
        <f t="shared" si="252"/>
        <v>0</v>
      </c>
      <c r="AT114" s="335">
        <f t="shared" si="252"/>
        <v>0</v>
      </c>
      <c r="AU114" s="335">
        <f t="shared" si="252"/>
        <v>0</v>
      </c>
      <c r="AV114" s="378">
        <f t="shared" si="252"/>
        <v>0</v>
      </c>
      <c r="AW114" s="378">
        <f t="shared" si="252"/>
        <v>0</v>
      </c>
      <c r="AX114" s="378">
        <f t="shared" si="252"/>
        <v>0</v>
      </c>
      <c r="AY114" s="378">
        <f t="shared" si="252"/>
        <v>0</v>
      </c>
      <c r="AZ114" s="378">
        <f t="shared" si="252"/>
        <v>5320</v>
      </c>
      <c r="BA114" s="378">
        <f t="shared" si="252"/>
        <v>0</v>
      </c>
      <c r="BB114" s="378">
        <f t="shared" si="252"/>
        <v>0</v>
      </c>
      <c r="BC114" s="378">
        <f t="shared" si="252"/>
        <v>0</v>
      </c>
      <c r="BD114" s="378">
        <f t="shared" si="252"/>
        <v>0</v>
      </c>
      <c r="BE114" s="378">
        <f t="shared" si="252"/>
        <v>0</v>
      </c>
      <c r="BF114" s="378">
        <f t="shared" si="252"/>
        <v>0</v>
      </c>
      <c r="BG114" s="378">
        <f t="shared" si="252"/>
        <v>0</v>
      </c>
      <c r="BH114" s="378">
        <f t="shared" si="252"/>
        <v>0</v>
      </c>
      <c r="BI114" s="378">
        <f t="shared" si="252"/>
        <v>0</v>
      </c>
      <c r="BJ114" s="378">
        <f t="shared" si="252"/>
        <v>0</v>
      </c>
      <c r="BK114" s="378">
        <f t="shared" si="252"/>
        <v>0</v>
      </c>
      <c r="BL114" s="378">
        <f t="shared" si="252"/>
        <v>5320</v>
      </c>
      <c r="BM114" s="378">
        <f t="shared" si="252"/>
        <v>0</v>
      </c>
      <c r="BN114" s="378">
        <f t="shared" si="252"/>
        <v>0</v>
      </c>
      <c r="BO114" s="378">
        <f t="shared" si="252"/>
        <v>0</v>
      </c>
      <c r="BP114" s="378">
        <f t="shared" si="252"/>
        <v>0</v>
      </c>
      <c r="BQ114" s="378">
        <f t="shared" si="252"/>
        <v>0</v>
      </c>
      <c r="BR114" s="378">
        <f t="shared" si="252"/>
        <v>0</v>
      </c>
      <c r="BS114" s="378">
        <f t="shared" si="252"/>
        <v>0</v>
      </c>
      <c r="BT114" s="378">
        <f t="shared" si="252"/>
        <v>0</v>
      </c>
      <c r="BU114" s="378">
        <f t="shared" si="252"/>
        <v>0</v>
      </c>
      <c r="BV114" s="379">
        <f t="shared" si="252"/>
        <v>0</v>
      </c>
    </row>
    <row r="115" spans="1:74" s="408" customFormat="1" ht="20.149999999999999" hidden="1" customHeight="1" outlineLevel="2" thickBot="1" x14ac:dyDescent="0.3">
      <c r="A115" s="1107" t="s">
        <v>101</v>
      </c>
      <c r="B115" s="1108"/>
      <c r="C115" s="1108"/>
      <c r="D115" s="1108"/>
      <c r="E115" s="1108"/>
      <c r="F115" s="1108"/>
      <c r="G115" s="1108"/>
      <c r="H115" s="1108"/>
      <c r="I115" s="1108"/>
      <c r="J115" s="1108"/>
      <c r="K115" s="1108"/>
      <c r="L115" s="1108"/>
      <c r="M115" s="1108"/>
      <c r="N115" s="1108"/>
      <c r="O115" s="1108"/>
      <c r="P115" s="1108"/>
      <c r="Q115" s="1108"/>
      <c r="R115" s="1108"/>
      <c r="S115" s="1108"/>
      <c r="T115" s="1108"/>
      <c r="U115" s="1108"/>
      <c r="V115" s="1108"/>
      <c r="W115" s="1108"/>
      <c r="X115" s="1108"/>
      <c r="Y115" s="1108"/>
      <c r="Z115" s="1108"/>
      <c r="AA115" s="1108"/>
      <c r="AB115" s="1108"/>
      <c r="AC115" s="1108"/>
      <c r="AD115" s="1108"/>
      <c r="AE115" s="1108"/>
      <c r="AF115" s="1108"/>
      <c r="AG115" s="1108"/>
      <c r="AH115" s="1108"/>
      <c r="AI115" s="1108"/>
      <c r="AJ115" s="1108"/>
      <c r="AK115" s="1108"/>
      <c r="AL115" s="1108"/>
      <c r="AM115" s="1108"/>
      <c r="AN115" s="406">
        <f t="shared" ref="AN115:BV115" si="253">SUM(AN100:AN114)</f>
        <v>15865.351999999999</v>
      </c>
      <c r="AO115" s="406">
        <f t="shared" si="253"/>
        <v>10060.412</v>
      </c>
      <c r="AP115" s="406">
        <f t="shared" si="253"/>
        <v>10050.662</v>
      </c>
      <c r="AQ115" s="406">
        <f t="shared" si="253"/>
        <v>10050.662</v>
      </c>
      <c r="AR115" s="406">
        <f t="shared" si="253"/>
        <v>9338.8459999999995</v>
      </c>
      <c r="AS115" s="406">
        <f t="shared" si="253"/>
        <v>9338.8459999999995</v>
      </c>
      <c r="AT115" s="406">
        <f t="shared" si="253"/>
        <v>9338.8459999999995</v>
      </c>
      <c r="AU115" s="406">
        <f t="shared" si="253"/>
        <v>9338.8459999999995</v>
      </c>
      <c r="AV115" s="407">
        <f t="shared" si="253"/>
        <v>9338.8459999999995</v>
      </c>
      <c r="AW115" s="407">
        <f t="shared" si="253"/>
        <v>9338.8459999999995</v>
      </c>
      <c r="AX115" s="407">
        <f t="shared" si="253"/>
        <v>9338.8459999999995</v>
      </c>
      <c r="AY115" s="407">
        <f t="shared" si="253"/>
        <v>9338.8459999999995</v>
      </c>
      <c r="AZ115" s="407">
        <f t="shared" si="253"/>
        <v>15865.351999999999</v>
      </c>
      <c r="BA115" s="407">
        <f t="shared" si="253"/>
        <v>10060.412</v>
      </c>
      <c r="BB115" s="407">
        <f t="shared" si="253"/>
        <v>10050.662</v>
      </c>
      <c r="BC115" s="407">
        <f t="shared" si="253"/>
        <v>10050.662</v>
      </c>
      <c r="BD115" s="407">
        <f t="shared" si="253"/>
        <v>9338.8459999999995</v>
      </c>
      <c r="BE115" s="407">
        <f t="shared" si="253"/>
        <v>9338.8459999999995</v>
      </c>
      <c r="BF115" s="407">
        <f t="shared" si="253"/>
        <v>9338.8459999999995</v>
      </c>
      <c r="BG115" s="407">
        <f t="shared" si="253"/>
        <v>9338.8459999999995</v>
      </c>
      <c r="BH115" s="407">
        <f t="shared" si="253"/>
        <v>9338.8459999999995</v>
      </c>
      <c r="BI115" s="407">
        <f t="shared" si="253"/>
        <v>9338.8459999999995</v>
      </c>
      <c r="BJ115" s="407">
        <f t="shared" si="253"/>
        <v>9338.8459999999995</v>
      </c>
      <c r="BK115" s="407">
        <f t="shared" si="253"/>
        <v>9338.8459999999995</v>
      </c>
      <c r="BL115" s="407">
        <f t="shared" si="253"/>
        <v>15865.351999999999</v>
      </c>
      <c r="BM115" s="407">
        <f t="shared" si="253"/>
        <v>10060.412</v>
      </c>
      <c r="BN115" s="407">
        <f t="shared" si="253"/>
        <v>10050.662</v>
      </c>
      <c r="BO115" s="407">
        <f t="shared" si="253"/>
        <v>10050.662</v>
      </c>
      <c r="BP115" s="407">
        <f t="shared" si="253"/>
        <v>9338.8459999999995</v>
      </c>
      <c r="BQ115" s="407">
        <f t="shared" si="253"/>
        <v>9338.8459999999995</v>
      </c>
      <c r="BR115" s="407">
        <f t="shared" si="253"/>
        <v>9338.8459999999995</v>
      </c>
      <c r="BS115" s="407">
        <f t="shared" si="253"/>
        <v>9338.8459999999995</v>
      </c>
      <c r="BT115" s="407">
        <f t="shared" si="253"/>
        <v>9338.8459999999995</v>
      </c>
      <c r="BU115" s="407">
        <f t="shared" si="253"/>
        <v>9338.8459999999995</v>
      </c>
      <c r="BV115" s="407">
        <f t="shared" si="253"/>
        <v>9338.8459999999995</v>
      </c>
    </row>
    <row r="116" spans="1:74" ht="13" hidden="1" outlineLevel="2" thickBot="1" x14ac:dyDescent="0.3"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74" s="123" customFormat="1" ht="27" hidden="1" customHeight="1" outlineLevel="1" thickBot="1" x14ac:dyDescent="0.3">
      <c r="A117" s="1106" t="s">
        <v>53</v>
      </c>
      <c r="B117" s="1106"/>
      <c r="C117" s="1106"/>
      <c r="D117" s="1106"/>
      <c r="E117" s="1106"/>
      <c r="F117" s="1106"/>
      <c r="G117" s="1106"/>
      <c r="H117" s="1106"/>
      <c r="I117" s="1106"/>
      <c r="J117" s="1106"/>
      <c r="K117" s="1106"/>
      <c r="L117" s="1106"/>
      <c r="M117" s="1106"/>
      <c r="N117" s="1106"/>
      <c r="O117" s="1106"/>
      <c r="P117" s="1106"/>
      <c r="Q117" s="1106"/>
      <c r="R117" s="1106"/>
      <c r="S117" s="1106"/>
      <c r="T117" s="1106"/>
      <c r="U117" s="1106"/>
      <c r="V117" s="1106"/>
      <c r="W117" s="1106"/>
      <c r="X117" s="1106"/>
      <c r="Y117" s="1106"/>
      <c r="Z117" s="1106"/>
      <c r="AA117" s="1106"/>
      <c r="AB117" s="1106"/>
      <c r="AC117" s="1106"/>
      <c r="AD117" s="1106"/>
      <c r="AE117" s="1106"/>
      <c r="AF117" s="1106"/>
      <c r="AG117" s="1106"/>
      <c r="AH117" s="1106"/>
      <c r="AI117" s="1106"/>
      <c r="AJ117" s="1106"/>
      <c r="AK117" s="1106"/>
      <c r="AL117" s="1106"/>
      <c r="AM117" s="1106"/>
      <c r="AN117" s="1106"/>
      <c r="AO117" s="1106"/>
      <c r="AP117" s="1106"/>
      <c r="AQ117" s="1106"/>
      <c r="AR117" s="1106"/>
      <c r="AS117" s="1106"/>
      <c r="AT117" s="1106"/>
      <c r="AU117" s="1106"/>
      <c r="AV117" s="1106"/>
      <c r="AW117" s="1106"/>
      <c r="AX117" s="1106"/>
      <c r="AY117" s="1106"/>
      <c r="AZ117" s="1106"/>
      <c r="BA117" s="1106"/>
      <c r="BB117" s="1106"/>
      <c r="BC117" s="1106"/>
      <c r="BD117" s="1106"/>
      <c r="BE117" s="1106"/>
      <c r="BF117" s="1106"/>
      <c r="BG117" s="1106"/>
      <c r="BH117" s="1106"/>
      <c r="BI117" s="1106"/>
      <c r="BJ117" s="1106"/>
      <c r="BK117" s="1106"/>
      <c r="BL117" s="1106"/>
      <c r="BM117" s="1106"/>
      <c r="BN117" s="1106"/>
      <c r="BO117" s="1106"/>
      <c r="BP117" s="1106"/>
      <c r="BQ117" s="1106"/>
      <c r="BR117" s="1106"/>
      <c r="BS117" s="1106"/>
      <c r="BT117" s="1106"/>
      <c r="BU117" s="1106"/>
      <c r="BV117" s="1106"/>
    </row>
    <row r="118" spans="1:74" ht="18" hidden="1" customHeight="1" outlineLevel="2" thickBot="1" x14ac:dyDescent="0.3">
      <c r="A118" s="1102" t="s">
        <v>113</v>
      </c>
      <c r="B118" s="1102" t="s">
        <v>8</v>
      </c>
      <c r="C118" s="1102" t="s">
        <v>100</v>
      </c>
      <c r="D118" s="1102" t="s">
        <v>97</v>
      </c>
      <c r="E118" s="1102"/>
      <c r="F118" s="1102"/>
      <c r="G118" s="1102"/>
      <c r="H118" s="1102"/>
      <c r="I118" s="1102"/>
      <c r="J118" s="1102"/>
      <c r="K118" s="1102"/>
      <c r="L118" s="1102"/>
      <c r="M118" s="1102"/>
      <c r="N118" s="1102"/>
      <c r="O118" s="1102"/>
      <c r="P118" s="1102"/>
      <c r="Q118" s="1102"/>
      <c r="R118" s="1102"/>
      <c r="S118" s="1102"/>
      <c r="T118" s="1102"/>
      <c r="U118" s="1102"/>
      <c r="V118" s="1102"/>
      <c r="W118" s="1102"/>
      <c r="X118" s="1102"/>
      <c r="Y118" s="1102"/>
      <c r="Z118" s="1102"/>
      <c r="AA118" s="1102"/>
      <c r="AB118" s="1102"/>
      <c r="AC118" s="1102"/>
      <c r="AD118" s="1102"/>
      <c r="AE118" s="1102"/>
      <c r="AF118" s="1102"/>
      <c r="AG118" s="1102"/>
      <c r="AH118" s="1102"/>
      <c r="AI118" s="1102"/>
      <c r="AJ118" s="1102"/>
      <c r="AK118" s="1102"/>
      <c r="AL118" s="1102"/>
      <c r="AM118" s="634"/>
      <c r="AN118" s="1102" t="s">
        <v>99</v>
      </c>
      <c r="AO118" s="1102"/>
      <c r="AP118" s="1102"/>
      <c r="AQ118" s="1102"/>
      <c r="AR118" s="1102"/>
      <c r="AS118" s="1102"/>
      <c r="AT118" s="1102"/>
      <c r="AU118" s="1102"/>
      <c r="AV118" s="1102"/>
      <c r="AW118" s="1102"/>
      <c r="AX118" s="1102"/>
      <c r="AY118" s="1102"/>
      <c r="AZ118" s="1102"/>
      <c r="BA118" s="1102"/>
      <c r="BB118" s="1102"/>
      <c r="BC118" s="1102"/>
      <c r="BD118" s="1102"/>
      <c r="BE118" s="1102"/>
      <c r="BF118" s="1102"/>
      <c r="BG118" s="1102"/>
      <c r="BH118" s="1102"/>
      <c r="BI118" s="1102"/>
      <c r="BJ118" s="1102"/>
      <c r="BK118" s="1102"/>
      <c r="BL118" s="1102"/>
      <c r="BM118" s="1102"/>
      <c r="BN118" s="1102"/>
      <c r="BO118" s="1102"/>
      <c r="BP118" s="1102"/>
      <c r="BQ118" s="1102"/>
      <c r="BR118" s="1102"/>
      <c r="BS118" s="1102"/>
      <c r="BT118" s="1102"/>
      <c r="BU118" s="1102"/>
      <c r="BV118" s="1102"/>
    </row>
    <row r="119" spans="1:74" ht="18" hidden="1" customHeight="1" outlineLevel="2" thickBot="1" x14ac:dyDescent="0.3">
      <c r="A119" s="1102"/>
      <c r="B119" s="1102"/>
      <c r="C119" s="1102"/>
      <c r="D119" s="275">
        <v>1</v>
      </c>
      <c r="E119" s="211">
        <v>2</v>
      </c>
      <c r="F119" s="211">
        <v>3</v>
      </c>
      <c r="G119" s="211">
        <v>4</v>
      </c>
      <c r="H119" s="211">
        <v>5</v>
      </c>
      <c r="I119" s="211">
        <v>6</v>
      </c>
      <c r="J119" s="211">
        <v>7</v>
      </c>
      <c r="K119" s="211">
        <v>8</v>
      </c>
      <c r="L119" s="211">
        <v>9</v>
      </c>
      <c r="M119" s="211">
        <v>10</v>
      </c>
      <c r="N119" s="211">
        <v>11</v>
      </c>
      <c r="O119" s="211">
        <v>12</v>
      </c>
      <c r="P119" s="211">
        <v>13</v>
      </c>
      <c r="Q119" s="211">
        <v>14</v>
      </c>
      <c r="R119" s="211">
        <v>15</v>
      </c>
      <c r="S119" s="211">
        <v>16</v>
      </c>
      <c r="T119" s="211">
        <v>17</v>
      </c>
      <c r="U119" s="211">
        <v>18</v>
      </c>
      <c r="V119" s="211">
        <v>19</v>
      </c>
      <c r="W119" s="211">
        <v>20</v>
      </c>
      <c r="X119" s="211">
        <v>21</v>
      </c>
      <c r="Y119" s="211">
        <v>22</v>
      </c>
      <c r="Z119" s="211">
        <v>23</v>
      </c>
      <c r="AA119" s="211">
        <v>24</v>
      </c>
      <c r="AB119" s="211">
        <v>25</v>
      </c>
      <c r="AC119" s="211">
        <v>26</v>
      </c>
      <c r="AD119" s="211">
        <v>27</v>
      </c>
      <c r="AE119" s="211">
        <v>28</v>
      </c>
      <c r="AF119" s="211">
        <v>29</v>
      </c>
      <c r="AG119" s="211">
        <v>30</v>
      </c>
      <c r="AH119" s="211">
        <v>31</v>
      </c>
      <c r="AI119" s="211">
        <v>32</v>
      </c>
      <c r="AJ119" s="211">
        <v>33</v>
      </c>
      <c r="AK119" s="211">
        <v>34</v>
      </c>
      <c r="AL119" s="212">
        <v>35</v>
      </c>
      <c r="AM119" s="635"/>
      <c r="AN119" s="275">
        <v>1</v>
      </c>
      <c r="AO119" s="211">
        <v>2</v>
      </c>
      <c r="AP119" s="211">
        <v>3</v>
      </c>
      <c r="AQ119" s="211">
        <v>4</v>
      </c>
      <c r="AR119" s="211">
        <v>5</v>
      </c>
      <c r="AS119" s="211">
        <v>6</v>
      </c>
      <c r="AT119" s="211">
        <v>7</v>
      </c>
      <c r="AU119" s="211">
        <v>8</v>
      </c>
      <c r="AV119" s="211">
        <v>9</v>
      </c>
      <c r="AW119" s="211">
        <v>10</v>
      </c>
      <c r="AX119" s="211">
        <v>11</v>
      </c>
      <c r="AY119" s="211">
        <v>12</v>
      </c>
      <c r="AZ119" s="211">
        <v>13</v>
      </c>
      <c r="BA119" s="211">
        <v>14</v>
      </c>
      <c r="BB119" s="211">
        <v>15</v>
      </c>
      <c r="BC119" s="211">
        <v>16</v>
      </c>
      <c r="BD119" s="211">
        <v>17</v>
      </c>
      <c r="BE119" s="211">
        <v>18</v>
      </c>
      <c r="BF119" s="211">
        <v>19</v>
      </c>
      <c r="BG119" s="211">
        <v>20</v>
      </c>
      <c r="BH119" s="211">
        <v>21</v>
      </c>
      <c r="BI119" s="211">
        <v>22</v>
      </c>
      <c r="BJ119" s="211">
        <v>23</v>
      </c>
      <c r="BK119" s="211">
        <v>24</v>
      </c>
      <c r="BL119" s="211">
        <v>25</v>
      </c>
      <c r="BM119" s="211">
        <v>26</v>
      </c>
      <c r="BN119" s="211">
        <v>27</v>
      </c>
      <c r="BO119" s="211">
        <v>28</v>
      </c>
      <c r="BP119" s="211">
        <v>29</v>
      </c>
      <c r="BQ119" s="211">
        <v>30</v>
      </c>
      <c r="BR119" s="211">
        <v>31</v>
      </c>
      <c r="BS119" s="211">
        <v>32</v>
      </c>
      <c r="BT119" s="211">
        <v>33</v>
      </c>
      <c r="BU119" s="211">
        <v>34</v>
      </c>
      <c r="BV119" s="212">
        <v>35</v>
      </c>
    </row>
    <row r="120" spans="1:74" ht="20.149999999999999" hidden="1" customHeight="1" outlineLevel="2" x14ac:dyDescent="0.25">
      <c r="A120" s="19" t="s">
        <v>46</v>
      </c>
      <c r="B120" s="10" t="s">
        <v>21</v>
      </c>
      <c r="C120" s="279">
        <f>'Custos Diversos'!$B$21</f>
        <v>145</v>
      </c>
      <c r="D120" s="279">
        <v>12</v>
      </c>
      <c r="E120" s="279"/>
      <c r="F120" s="279"/>
      <c r="G120" s="279"/>
      <c r="H120" s="279"/>
      <c r="I120" s="279"/>
      <c r="J120" s="279"/>
      <c r="K120" s="279"/>
      <c r="L120" s="356"/>
      <c r="M120" s="356"/>
      <c r="N120" s="356"/>
      <c r="O120" s="356"/>
      <c r="P120" s="356">
        <f t="shared" ref="P120:P135" si="254">D120</f>
        <v>12</v>
      </c>
      <c r="Q120" s="356">
        <f t="shared" ref="Q120:Q135" si="255">E120</f>
        <v>0</v>
      </c>
      <c r="R120" s="356">
        <f t="shared" ref="R120:R135" si="256">F120</f>
        <v>0</v>
      </c>
      <c r="S120" s="356">
        <f t="shared" ref="S120:S135" si="257">G120</f>
        <v>0</v>
      </c>
      <c r="T120" s="356">
        <f t="shared" ref="T120:T135" si="258">H120</f>
        <v>0</v>
      </c>
      <c r="U120" s="356">
        <f t="shared" ref="U120:U135" si="259">I120</f>
        <v>0</v>
      </c>
      <c r="V120" s="356">
        <f t="shared" ref="V120:V135" si="260">J120</f>
        <v>0</v>
      </c>
      <c r="W120" s="356">
        <f t="shared" ref="W120:W135" si="261">K120</f>
        <v>0</v>
      </c>
      <c r="X120" s="356">
        <f t="shared" ref="X120:X135" si="262">L120</f>
        <v>0</v>
      </c>
      <c r="Y120" s="356">
        <f t="shared" ref="Y120:Y135" si="263">M120</f>
        <v>0</v>
      </c>
      <c r="Z120" s="356">
        <f t="shared" ref="Z120:Z135" si="264">N120</f>
        <v>0</v>
      </c>
      <c r="AA120" s="356">
        <f t="shared" ref="AA120:AA135" si="265">O120</f>
        <v>0</v>
      </c>
      <c r="AB120" s="356">
        <f t="shared" ref="AB120:AB135" si="266">D120</f>
        <v>12</v>
      </c>
      <c r="AC120" s="356">
        <f t="shared" ref="AC120:AC135" si="267">E120</f>
        <v>0</v>
      </c>
      <c r="AD120" s="356">
        <f t="shared" ref="AD120:AD135" si="268">F120</f>
        <v>0</v>
      </c>
      <c r="AE120" s="356">
        <f t="shared" ref="AE120:AE135" si="269">G120</f>
        <v>0</v>
      </c>
      <c r="AF120" s="356">
        <f t="shared" ref="AF120:AF135" si="270">H120</f>
        <v>0</v>
      </c>
      <c r="AG120" s="356">
        <f t="shared" ref="AG120:AG135" si="271">I120</f>
        <v>0</v>
      </c>
      <c r="AH120" s="356">
        <f t="shared" ref="AH120:AH135" si="272">J120</f>
        <v>0</v>
      </c>
      <c r="AI120" s="356">
        <f t="shared" ref="AI120:AI135" si="273">K120</f>
        <v>0</v>
      </c>
      <c r="AJ120" s="356">
        <f t="shared" ref="AJ120:AJ135" si="274">L120</f>
        <v>0</v>
      </c>
      <c r="AK120" s="356">
        <f t="shared" ref="AK120:AK135" si="275">M120</f>
        <v>0</v>
      </c>
      <c r="AL120" s="357">
        <f t="shared" ref="AL120:AL135" si="276">N120</f>
        <v>0</v>
      </c>
      <c r="AM120" s="636"/>
      <c r="AN120" s="301">
        <f t="shared" ref="AN120:AN128" si="277">$C$120*D120</f>
        <v>1740</v>
      </c>
      <c r="AO120" s="302">
        <f t="shared" ref="AO120:AO128" si="278">$C$120*E120</f>
        <v>0</v>
      </c>
      <c r="AP120" s="302">
        <f t="shared" ref="AP120:AP128" si="279">$C$120*F120</f>
        <v>0</v>
      </c>
      <c r="AQ120" s="302">
        <f t="shared" ref="AQ120:AQ128" si="280">$C$120*G120</f>
        <v>0</v>
      </c>
      <c r="AR120" s="302">
        <f t="shared" ref="AR120:AR128" si="281">$C$120*H120</f>
        <v>0</v>
      </c>
      <c r="AS120" s="302">
        <f t="shared" ref="AS120:AS128" si="282">$C$120*I120</f>
        <v>0</v>
      </c>
      <c r="AT120" s="302">
        <f t="shared" ref="AT120:AT128" si="283">$C$120*J120</f>
        <v>0</v>
      </c>
      <c r="AU120" s="302">
        <f t="shared" ref="AU120:AU128" si="284">$C$120*K120</f>
        <v>0</v>
      </c>
      <c r="AV120" s="374">
        <f t="shared" ref="AV120:AV128" si="285">$C$120*L120</f>
        <v>0</v>
      </c>
      <c r="AW120" s="374">
        <f t="shared" ref="AW120:AW128" si="286">$C$120*M120</f>
        <v>0</v>
      </c>
      <c r="AX120" s="374">
        <f t="shared" ref="AX120:AX128" si="287">$C$120*N120</f>
        <v>0</v>
      </c>
      <c r="AY120" s="374">
        <f t="shared" ref="AY120:AY128" si="288">$C$120*O120</f>
        <v>0</v>
      </c>
      <c r="AZ120" s="374">
        <f t="shared" ref="AZ120:AZ128" si="289">$C$120*P120</f>
        <v>1740</v>
      </c>
      <c r="BA120" s="374">
        <f t="shared" ref="BA120:BA128" si="290">$C$120*Q120</f>
        <v>0</v>
      </c>
      <c r="BB120" s="374">
        <f t="shared" ref="BB120:BB128" si="291">$C$120*R120</f>
        <v>0</v>
      </c>
      <c r="BC120" s="374">
        <f t="shared" ref="BC120:BC128" si="292">$C$120*S120</f>
        <v>0</v>
      </c>
      <c r="BD120" s="374">
        <f t="shared" ref="BD120:BD128" si="293">$C$120*T120</f>
        <v>0</v>
      </c>
      <c r="BE120" s="374">
        <f t="shared" ref="BE120:BE128" si="294">$C$120*U120</f>
        <v>0</v>
      </c>
      <c r="BF120" s="374">
        <f t="shared" ref="BF120:BF128" si="295">$C$120*V120</f>
        <v>0</v>
      </c>
      <c r="BG120" s="374">
        <f t="shared" ref="BG120:BG128" si="296">$C$120*W120</f>
        <v>0</v>
      </c>
      <c r="BH120" s="374">
        <f t="shared" ref="BH120:BH128" si="297">$C$120*X120</f>
        <v>0</v>
      </c>
      <c r="BI120" s="374">
        <f t="shared" ref="BI120:BI128" si="298">$C$120*Y120</f>
        <v>0</v>
      </c>
      <c r="BJ120" s="374">
        <f t="shared" ref="BJ120:BJ128" si="299">$C$120*Z120</f>
        <v>0</v>
      </c>
      <c r="BK120" s="374">
        <f t="shared" ref="BK120:BK128" si="300">$C$120*AA120</f>
        <v>0</v>
      </c>
      <c r="BL120" s="374">
        <f t="shared" ref="BL120:BL128" si="301">$C$120*AB120</f>
        <v>1740</v>
      </c>
      <c r="BM120" s="374">
        <f t="shared" ref="BM120:BM128" si="302">$C$120*AC120</f>
        <v>0</v>
      </c>
      <c r="BN120" s="374">
        <f t="shared" ref="BN120:BN128" si="303">$C$120*AD120</f>
        <v>0</v>
      </c>
      <c r="BO120" s="374">
        <f t="shared" ref="BO120:BO128" si="304">$C$120*AE120</f>
        <v>0</v>
      </c>
      <c r="BP120" s="374">
        <f t="shared" ref="BP120:BP128" si="305">$C$120*AF120</f>
        <v>0</v>
      </c>
      <c r="BQ120" s="374">
        <f t="shared" ref="BQ120:BQ128" si="306">$C$120*AG120</f>
        <v>0</v>
      </c>
      <c r="BR120" s="374">
        <f t="shared" ref="BR120:BR128" si="307">$C$120*AH120</f>
        <v>0</v>
      </c>
      <c r="BS120" s="374">
        <f t="shared" ref="BS120:BS128" si="308">$C$120*AI120</f>
        <v>0</v>
      </c>
      <c r="BT120" s="374">
        <f t="shared" ref="BT120:BT128" si="309">$C$120*AJ120</f>
        <v>0</v>
      </c>
      <c r="BU120" s="374">
        <f t="shared" ref="BU120:BU128" si="310">$C$120*AK120</f>
        <v>0</v>
      </c>
      <c r="BV120" s="375">
        <f t="shared" ref="BV120:BV128" si="311">$C$120*AL120</f>
        <v>0</v>
      </c>
    </row>
    <row r="121" spans="1:74" ht="20.149999999999999" hidden="1" customHeight="1" outlineLevel="2" x14ac:dyDescent="0.25">
      <c r="A121" s="23" t="s">
        <v>15</v>
      </c>
      <c r="B121" s="8" t="s">
        <v>21</v>
      </c>
      <c r="C121" s="284">
        <f>'Custos Diversos'!$B$21</f>
        <v>145</v>
      </c>
      <c r="D121" s="284">
        <v>10</v>
      </c>
      <c r="E121" s="284"/>
      <c r="F121" s="284"/>
      <c r="G121" s="284"/>
      <c r="H121" s="284"/>
      <c r="I121" s="284"/>
      <c r="J121" s="284"/>
      <c r="K121" s="284"/>
      <c r="L121" s="358"/>
      <c r="M121" s="358"/>
      <c r="N121" s="358"/>
      <c r="O121" s="358"/>
      <c r="P121" s="358">
        <f t="shared" si="254"/>
        <v>10</v>
      </c>
      <c r="Q121" s="358">
        <f t="shared" si="255"/>
        <v>0</v>
      </c>
      <c r="R121" s="358">
        <f t="shared" si="256"/>
        <v>0</v>
      </c>
      <c r="S121" s="358">
        <f t="shared" si="257"/>
        <v>0</v>
      </c>
      <c r="T121" s="358">
        <f t="shared" si="258"/>
        <v>0</v>
      </c>
      <c r="U121" s="358">
        <f t="shared" si="259"/>
        <v>0</v>
      </c>
      <c r="V121" s="358">
        <f t="shared" si="260"/>
        <v>0</v>
      </c>
      <c r="W121" s="358">
        <f t="shared" si="261"/>
        <v>0</v>
      </c>
      <c r="X121" s="358">
        <f t="shared" si="262"/>
        <v>0</v>
      </c>
      <c r="Y121" s="358">
        <f t="shared" si="263"/>
        <v>0</v>
      </c>
      <c r="Z121" s="358">
        <f t="shared" si="264"/>
        <v>0</v>
      </c>
      <c r="AA121" s="358">
        <f t="shared" si="265"/>
        <v>0</v>
      </c>
      <c r="AB121" s="358">
        <f t="shared" si="266"/>
        <v>10</v>
      </c>
      <c r="AC121" s="358">
        <f t="shared" si="267"/>
        <v>0</v>
      </c>
      <c r="AD121" s="358">
        <f t="shared" si="268"/>
        <v>0</v>
      </c>
      <c r="AE121" s="358">
        <f t="shared" si="269"/>
        <v>0</v>
      </c>
      <c r="AF121" s="358">
        <f t="shared" si="270"/>
        <v>0</v>
      </c>
      <c r="AG121" s="358">
        <f t="shared" si="271"/>
        <v>0</v>
      </c>
      <c r="AH121" s="358">
        <f t="shared" si="272"/>
        <v>0</v>
      </c>
      <c r="AI121" s="358">
        <f t="shared" si="273"/>
        <v>0</v>
      </c>
      <c r="AJ121" s="358">
        <f t="shared" si="274"/>
        <v>0</v>
      </c>
      <c r="AK121" s="358">
        <f t="shared" si="275"/>
        <v>0</v>
      </c>
      <c r="AL121" s="359">
        <f t="shared" si="276"/>
        <v>0</v>
      </c>
      <c r="AM121" s="636"/>
      <c r="AN121" s="303">
        <f t="shared" si="277"/>
        <v>1450</v>
      </c>
      <c r="AO121" s="304">
        <f t="shared" si="278"/>
        <v>0</v>
      </c>
      <c r="AP121" s="304">
        <f t="shared" si="279"/>
        <v>0</v>
      </c>
      <c r="AQ121" s="304">
        <f t="shared" si="280"/>
        <v>0</v>
      </c>
      <c r="AR121" s="304">
        <f t="shared" si="281"/>
        <v>0</v>
      </c>
      <c r="AS121" s="304">
        <f t="shared" si="282"/>
        <v>0</v>
      </c>
      <c r="AT121" s="304">
        <f t="shared" si="283"/>
        <v>0</v>
      </c>
      <c r="AU121" s="304">
        <f t="shared" si="284"/>
        <v>0</v>
      </c>
      <c r="AV121" s="376">
        <f t="shared" si="285"/>
        <v>0</v>
      </c>
      <c r="AW121" s="376">
        <f t="shared" si="286"/>
        <v>0</v>
      </c>
      <c r="AX121" s="376">
        <f t="shared" si="287"/>
        <v>0</v>
      </c>
      <c r="AY121" s="376">
        <f t="shared" si="288"/>
        <v>0</v>
      </c>
      <c r="AZ121" s="376">
        <f t="shared" si="289"/>
        <v>1450</v>
      </c>
      <c r="BA121" s="376">
        <f t="shared" si="290"/>
        <v>0</v>
      </c>
      <c r="BB121" s="376">
        <f t="shared" si="291"/>
        <v>0</v>
      </c>
      <c r="BC121" s="376">
        <f t="shared" si="292"/>
        <v>0</v>
      </c>
      <c r="BD121" s="376">
        <f t="shared" si="293"/>
        <v>0</v>
      </c>
      <c r="BE121" s="376">
        <f t="shared" si="294"/>
        <v>0</v>
      </c>
      <c r="BF121" s="376">
        <f t="shared" si="295"/>
        <v>0</v>
      </c>
      <c r="BG121" s="376">
        <f t="shared" si="296"/>
        <v>0</v>
      </c>
      <c r="BH121" s="376">
        <f t="shared" si="297"/>
        <v>0</v>
      </c>
      <c r="BI121" s="376">
        <f t="shared" si="298"/>
        <v>0</v>
      </c>
      <c r="BJ121" s="376">
        <f t="shared" si="299"/>
        <v>0</v>
      </c>
      <c r="BK121" s="376">
        <f t="shared" si="300"/>
        <v>0</v>
      </c>
      <c r="BL121" s="376">
        <f t="shared" si="301"/>
        <v>1450</v>
      </c>
      <c r="BM121" s="376">
        <f t="shared" si="302"/>
        <v>0</v>
      </c>
      <c r="BN121" s="376">
        <f t="shared" si="303"/>
        <v>0</v>
      </c>
      <c r="BO121" s="376">
        <f t="shared" si="304"/>
        <v>0</v>
      </c>
      <c r="BP121" s="376">
        <f t="shared" si="305"/>
        <v>0</v>
      </c>
      <c r="BQ121" s="376">
        <f t="shared" si="306"/>
        <v>0</v>
      </c>
      <c r="BR121" s="376">
        <f t="shared" si="307"/>
        <v>0</v>
      </c>
      <c r="BS121" s="376">
        <f t="shared" si="308"/>
        <v>0</v>
      </c>
      <c r="BT121" s="376">
        <f t="shared" si="309"/>
        <v>0</v>
      </c>
      <c r="BU121" s="376">
        <f t="shared" si="310"/>
        <v>0</v>
      </c>
      <c r="BV121" s="377">
        <f t="shared" si="311"/>
        <v>0</v>
      </c>
    </row>
    <row r="122" spans="1:74" ht="20.149999999999999" hidden="1" customHeight="1" outlineLevel="2" x14ac:dyDescent="0.25">
      <c r="A122" s="23" t="s">
        <v>16</v>
      </c>
      <c r="B122" s="8" t="s">
        <v>21</v>
      </c>
      <c r="C122" s="284">
        <f>'Custos Diversos'!$B$21</f>
        <v>145</v>
      </c>
      <c r="D122" s="284">
        <v>6</v>
      </c>
      <c r="E122" s="284"/>
      <c r="F122" s="284"/>
      <c r="G122" s="284"/>
      <c r="H122" s="284"/>
      <c r="I122" s="284"/>
      <c r="J122" s="284"/>
      <c r="K122" s="284"/>
      <c r="L122" s="358"/>
      <c r="M122" s="358"/>
      <c r="N122" s="358"/>
      <c r="O122" s="358"/>
      <c r="P122" s="358">
        <f t="shared" si="254"/>
        <v>6</v>
      </c>
      <c r="Q122" s="358">
        <f t="shared" si="255"/>
        <v>0</v>
      </c>
      <c r="R122" s="358">
        <f t="shared" si="256"/>
        <v>0</v>
      </c>
      <c r="S122" s="358">
        <f t="shared" si="257"/>
        <v>0</v>
      </c>
      <c r="T122" s="358">
        <f t="shared" si="258"/>
        <v>0</v>
      </c>
      <c r="U122" s="358">
        <f t="shared" si="259"/>
        <v>0</v>
      </c>
      <c r="V122" s="358">
        <f t="shared" si="260"/>
        <v>0</v>
      </c>
      <c r="W122" s="358">
        <f t="shared" si="261"/>
        <v>0</v>
      </c>
      <c r="X122" s="358">
        <f t="shared" si="262"/>
        <v>0</v>
      </c>
      <c r="Y122" s="358">
        <f t="shared" si="263"/>
        <v>0</v>
      </c>
      <c r="Z122" s="358">
        <f t="shared" si="264"/>
        <v>0</v>
      </c>
      <c r="AA122" s="358">
        <f t="shared" si="265"/>
        <v>0</v>
      </c>
      <c r="AB122" s="358">
        <f t="shared" si="266"/>
        <v>6</v>
      </c>
      <c r="AC122" s="358">
        <f t="shared" si="267"/>
        <v>0</v>
      </c>
      <c r="AD122" s="358">
        <f t="shared" si="268"/>
        <v>0</v>
      </c>
      <c r="AE122" s="358">
        <f t="shared" si="269"/>
        <v>0</v>
      </c>
      <c r="AF122" s="358">
        <f t="shared" si="270"/>
        <v>0</v>
      </c>
      <c r="AG122" s="358">
        <f t="shared" si="271"/>
        <v>0</v>
      </c>
      <c r="AH122" s="358">
        <f t="shared" si="272"/>
        <v>0</v>
      </c>
      <c r="AI122" s="358">
        <f t="shared" si="273"/>
        <v>0</v>
      </c>
      <c r="AJ122" s="358">
        <f t="shared" si="274"/>
        <v>0</v>
      </c>
      <c r="AK122" s="358">
        <f t="shared" si="275"/>
        <v>0</v>
      </c>
      <c r="AL122" s="359">
        <f t="shared" si="276"/>
        <v>0</v>
      </c>
      <c r="AM122" s="636"/>
      <c r="AN122" s="303">
        <f t="shared" si="277"/>
        <v>870</v>
      </c>
      <c r="AO122" s="304">
        <f t="shared" si="278"/>
        <v>0</v>
      </c>
      <c r="AP122" s="304">
        <f t="shared" si="279"/>
        <v>0</v>
      </c>
      <c r="AQ122" s="304">
        <f t="shared" si="280"/>
        <v>0</v>
      </c>
      <c r="AR122" s="304">
        <f t="shared" si="281"/>
        <v>0</v>
      </c>
      <c r="AS122" s="304">
        <f t="shared" si="282"/>
        <v>0</v>
      </c>
      <c r="AT122" s="304">
        <f t="shared" si="283"/>
        <v>0</v>
      </c>
      <c r="AU122" s="304">
        <f t="shared" si="284"/>
        <v>0</v>
      </c>
      <c r="AV122" s="376">
        <f t="shared" si="285"/>
        <v>0</v>
      </c>
      <c r="AW122" s="376">
        <f t="shared" si="286"/>
        <v>0</v>
      </c>
      <c r="AX122" s="376">
        <f t="shared" si="287"/>
        <v>0</v>
      </c>
      <c r="AY122" s="376">
        <f t="shared" si="288"/>
        <v>0</v>
      </c>
      <c r="AZ122" s="376">
        <f t="shared" si="289"/>
        <v>870</v>
      </c>
      <c r="BA122" s="376">
        <f t="shared" si="290"/>
        <v>0</v>
      </c>
      <c r="BB122" s="376">
        <f t="shared" si="291"/>
        <v>0</v>
      </c>
      <c r="BC122" s="376">
        <f t="shared" si="292"/>
        <v>0</v>
      </c>
      <c r="BD122" s="376">
        <f t="shared" si="293"/>
        <v>0</v>
      </c>
      <c r="BE122" s="376">
        <f t="shared" si="294"/>
        <v>0</v>
      </c>
      <c r="BF122" s="376">
        <f t="shared" si="295"/>
        <v>0</v>
      </c>
      <c r="BG122" s="376">
        <f t="shared" si="296"/>
        <v>0</v>
      </c>
      <c r="BH122" s="376">
        <f t="shared" si="297"/>
        <v>0</v>
      </c>
      <c r="BI122" s="376">
        <f t="shared" si="298"/>
        <v>0</v>
      </c>
      <c r="BJ122" s="376">
        <f t="shared" si="299"/>
        <v>0</v>
      </c>
      <c r="BK122" s="376">
        <f t="shared" si="300"/>
        <v>0</v>
      </c>
      <c r="BL122" s="376">
        <f t="shared" si="301"/>
        <v>870</v>
      </c>
      <c r="BM122" s="376">
        <f t="shared" si="302"/>
        <v>0</v>
      </c>
      <c r="BN122" s="376">
        <f t="shared" si="303"/>
        <v>0</v>
      </c>
      <c r="BO122" s="376">
        <f t="shared" si="304"/>
        <v>0</v>
      </c>
      <c r="BP122" s="376">
        <f t="shared" si="305"/>
        <v>0</v>
      </c>
      <c r="BQ122" s="376">
        <f t="shared" si="306"/>
        <v>0</v>
      </c>
      <c r="BR122" s="376">
        <f t="shared" si="307"/>
        <v>0</v>
      </c>
      <c r="BS122" s="376">
        <f t="shared" si="308"/>
        <v>0</v>
      </c>
      <c r="BT122" s="376">
        <f t="shared" si="309"/>
        <v>0</v>
      </c>
      <c r="BU122" s="376">
        <f t="shared" si="310"/>
        <v>0</v>
      </c>
      <c r="BV122" s="377">
        <f t="shared" si="311"/>
        <v>0</v>
      </c>
    </row>
    <row r="123" spans="1:74" ht="20.149999999999999" hidden="1" customHeight="1" outlineLevel="2" x14ac:dyDescent="0.25">
      <c r="A123" s="23" t="s">
        <v>17</v>
      </c>
      <c r="B123" s="8" t="s">
        <v>21</v>
      </c>
      <c r="C123" s="284">
        <f>'Custos Diversos'!$B$21</f>
        <v>145</v>
      </c>
      <c r="D123" s="284">
        <v>0.5</v>
      </c>
      <c r="E123" s="284">
        <v>0.5</v>
      </c>
      <c r="F123" s="284">
        <v>0.1</v>
      </c>
      <c r="G123" s="284">
        <v>0.1</v>
      </c>
      <c r="H123" s="284">
        <v>0.1</v>
      </c>
      <c r="I123" s="284">
        <v>0.1</v>
      </c>
      <c r="J123" s="284">
        <v>0.1</v>
      </c>
      <c r="K123" s="284">
        <v>0.1</v>
      </c>
      <c r="L123" s="358">
        <v>0.1</v>
      </c>
      <c r="M123" s="358">
        <v>0.1</v>
      </c>
      <c r="N123" s="358">
        <v>0.1</v>
      </c>
      <c r="O123" s="358">
        <v>0.1</v>
      </c>
      <c r="P123" s="358">
        <f t="shared" si="254"/>
        <v>0.5</v>
      </c>
      <c r="Q123" s="358">
        <f t="shared" si="255"/>
        <v>0.5</v>
      </c>
      <c r="R123" s="358">
        <f t="shared" si="256"/>
        <v>0.1</v>
      </c>
      <c r="S123" s="358">
        <f t="shared" si="257"/>
        <v>0.1</v>
      </c>
      <c r="T123" s="358">
        <f t="shared" si="258"/>
        <v>0.1</v>
      </c>
      <c r="U123" s="358">
        <f t="shared" si="259"/>
        <v>0.1</v>
      </c>
      <c r="V123" s="358">
        <f t="shared" si="260"/>
        <v>0.1</v>
      </c>
      <c r="W123" s="358">
        <f t="shared" si="261"/>
        <v>0.1</v>
      </c>
      <c r="X123" s="358">
        <f t="shared" si="262"/>
        <v>0.1</v>
      </c>
      <c r="Y123" s="358">
        <f t="shared" si="263"/>
        <v>0.1</v>
      </c>
      <c r="Z123" s="358">
        <f t="shared" si="264"/>
        <v>0.1</v>
      </c>
      <c r="AA123" s="358">
        <f t="shared" si="265"/>
        <v>0.1</v>
      </c>
      <c r="AB123" s="358">
        <f t="shared" si="266"/>
        <v>0.5</v>
      </c>
      <c r="AC123" s="358">
        <f t="shared" si="267"/>
        <v>0.5</v>
      </c>
      <c r="AD123" s="358">
        <f t="shared" si="268"/>
        <v>0.1</v>
      </c>
      <c r="AE123" s="358">
        <f t="shared" si="269"/>
        <v>0.1</v>
      </c>
      <c r="AF123" s="358">
        <f t="shared" si="270"/>
        <v>0.1</v>
      </c>
      <c r="AG123" s="358">
        <f t="shared" si="271"/>
        <v>0.1</v>
      </c>
      <c r="AH123" s="358">
        <f t="shared" si="272"/>
        <v>0.1</v>
      </c>
      <c r="AI123" s="358">
        <f t="shared" si="273"/>
        <v>0.1</v>
      </c>
      <c r="AJ123" s="358">
        <f t="shared" si="274"/>
        <v>0.1</v>
      </c>
      <c r="AK123" s="358">
        <f t="shared" si="275"/>
        <v>0.1</v>
      </c>
      <c r="AL123" s="359">
        <f t="shared" si="276"/>
        <v>0.1</v>
      </c>
      <c r="AM123" s="636"/>
      <c r="AN123" s="303">
        <f t="shared" si="277"/>
        <v>72.5</v>
      </c>
      <c r="AO123" s="304">
        <f t="shared" si="278"/>
        <v>72.5</v>
      </c>
      <c r="AP123" s="304">
        <f t="shared" si="279"/>
        <v>14.5</v>
      </c>
      <c r="AQ123" s="304">
        <f t="shared" si="280"/>
        <v>14.5</v>
      </c>
      <c r="AR123" s="304">
        <f t="shared" si="281"/>
        <v>14.5</v>
      </c>
      <c r="AS123" s="304">
        <f t="shared" si="282"/>
        <v>14.5</v>
      </c>
      <c r="AT123" s="304">
        <f t="shared" si="283"/>
        <v>14.5</v>
      </c>
      <c r="AU123" s="304">
        <f t="shared" si="284"/>
        <v>14.5</v>
      </c>
      <c r="AV123" s="376">
        <f t="shared" si="285"/>
        <v>14.5</v>
      </c>
      <c r="AW123" s="376">
        <f t="shared" si="286"/>
        <v>14.5</v>
      </c>
      <c r="AX123" s="376">
        <f t="shared" si="287"/>
        <v>14.5</v>
      </c>
      <c r="AY123" s="376">
        <f t="shared" si="288"/>
        <v>14.5</v>
      </c>
      <c r="AZ123" s="376">
        <f t="shared" si="289"/>
        <v>72.5</v>
      </c>
      <c r="BA123" s="376">
        <f t="shared" si="290"/>
        <v>72.5</v>
      </c>
      <c r="BB123" s="376">
        <f t="shared" si="291"/>
        <v>14.5</v>
      </c>
      <c r="BC123" s="376">
        <f t="shared" si="292"/>
        <v>14.5</v>
      </c>
      <c r="BD123" s="376">
        <f t="shared" si="293"/>
        <v>14.5</v>
      </c>
      <c r="BE123" s="376">
        <f t="shared" si="294"/>
        <v>14.5</v>
      </c>
      <c r="BF123" s="376">
        <f t="shared" si="295"/>
        <v>14.5</v>
      </c>
      <c r="BG123" s="376">
        <f t="shared" si="296"/>
        <v>14.5</v>
      </c>
      <c r="BH123" s="376">
        <f t="shared" si="297"/>
        <v>14.5</v>
      </c>
      <c r="BI123" s="376">
        <f t="shared" si="298"/>
        <v>14.5</v>
      </c>
      <c r="BJ123" s="376">
        <f t="shared" si="299"/>
        <v>14.5</v>
      </c>
      <c r="BK123" s="376">
        <f t="shared" si="300"/>
        <v>14.5</v>
      </c>
      <c r="BL123" s="376">
        <f t="shared" si="301"/>
        <v>72.5</v>
      </c>
      <c r="BM123" s="376">
        <f t="shared" si="302"/>
        <v>72.5</v>
      </c>
      <c r="BN123" s="376">
        <f t="shared" si="303"/>
        <v>14.5</v>
      </c>
      <c r="BO123" s="376">
        <f t="shared" si="304"/>
        <v>14.5</v>
      </c>
      <c r="BP123" s="376">
        <f t="shared" si="305"/>
        <v>14.5</v>
      </c>
      <c r="BQ123" s="376">
        <f t="shared" si="306"/>
        <v>14.5</v>
      </c>
      <c r="BR123" s="376">
        <f t="shared" si="307"/>
        <v>14.5</v>
      </c>
      <c r="BS123" s="376">
        <f t="shared" si="308"/>
        <v>14.5</v>
      </c>
      <c r="BT123" s="376">
        <f t="shared" si="309"/>
        <v>14.5</v>
      </c>
      <c r="BU123" s="376">
        <f t="shared" si="310"/>
        <v>14.5</v>
      </c>
      <c r="BV123" s="377">
        <f t="shared" si="311"/>
        <v>14.5</v>
      </c>
    </row>
    <row r="124" spans="1:74" ht="20.149999999999999" hidden="1" customHeight="1" outlineLevel="2" x14ac:dyDescent="0.25">
      <c r="A124" s="23" t="s">
        <v>18</v>
      </c>
      <c r="B124" s="8" t="s">
        <v>21</v>
      </c>
      <c r="C124" s="284">
        <f>'Custos Diversos'!$B$21</f>
        <v>145</v>
      </c>
      <c r="D124" s="284">
        <v>0.1</v>
      </c>
      <c r="E124" s="284">
        <v>0.1</v>
      </c>
      <c r="F124" s="284">
        <v>0.1</v>
      </c>
      <c r="G124" s="284">
        <v>0.1</v>
      </c>
      <c r="H124" s="284">
        <v>0.1</v>
      </c>
      <c r="I124" s="284">
        <v>0.1</v>
      </c>
      <c r="J124" s="284">
        <v>0.1</v>
      </c>
      <c r="K124" s="284">
        <v>0.1</v>
      </c>
      <c r="L124" s="358">
        <v>0.1</v>
      </c>
      <c r="M124" s="358">
        <v>0.1</v>
      </c>
      <c r="N124" s="358">
        <v>0.1</v>
      </c>
      <c r="O124" s="358">
        <v>0.1</v>
      </c>
      <c r="P124" s="358">
        <f t="shared" si="254"/>
        <v>0.1</v>
      </c>
      <c r="Q124" s="358">
        <f t="shared" si="255"/>
        <v>0.1</v>
      </c>
      <c r="R124" s="358">
        <f t="shared" si="256"/>
        <v>0.1</v>
      </c>
      <c r="S124" s="358">
        <f t="shared" si="257"/>
        <v>0.1</v>
      </c>
      <c r="T124" s="358">
        <f t="shared" si="258"/>
        <v>0.1</v>
      </c>
      <c r="U124" s="358">
        <f t="shared" si="259"/>
        <v>0.1</v>
      </c>
      <c r="V124" s="358">
        <f t="shared" si="260"/>
        <v>0.1</v>
      </c>
      <c r="W124" s="358">
        <f t="shared" si="261"/>
        <v>0.1</v>
      </c>
      <c r="X124" s="358">
        <f t="shared" si="262"/>
        <v>0.1</v>
      </c>
      <c r="Y124" s="358">
        <f t="shared" si="263"/>
        <v>0.1</v>
      </c>
      <c r="Z124" s="358">
        <f t="shared" si="264"/>
        <v>0.1</v>
      </c>
      <c r="AA124" s="358">
        <f t="shared" si="265"/>
        <v>0.1</v>
      </c>
      <c r="AB124" s="358">
        <f t="shared" si="266"/>
        <v>0.1</v>
      </c>
      <c r="AC124" s="358">
        <f t="shared" si="267"/>
        <v>0.1</v>
      </c>
      <c r="AD124" s="358">
        <f t="shared" si="268"/>
        <v>0.1</v>
      </c>
      <c r="AE124" s="358">
        <f t="shared" si="269"/>
        <v>0.1</v>
      </c>
      <c r="AF124" s="358">
        <f t="shared" si="270"/>
        <v>0.1</v>
      </c>
      <c r="AG124" s="358">
        <f t="shared" si="271"/>
        <v>0.1</v>
      </c>
      <c r="AH124" s="358">
        <f t="shared" si="272"/>
        <v>0.1</v>
      </c>
      <c r="AI124" s="358">
        <f t="shared" si="273"/>
        <v>0.1</v>
      </c>
      <c r="AJ124" s="358">
        <f t="shared" si="274"/>
        <v>0.1</v>
      </c>
      <c r="AK124" s="358">
        <f t="shared" si="275"/>
        <v>0.1</v>
      </c>
      <c r="AL124" s="359">
        <f t="shared" si="276"/>
        <v>0.1</v>
      </c>
      <c r="AM124" s="636"/>
      <c r="AN124" s="303">
        <f t="shared" si="277"/>
        <v>14.5</v>
      </c>
      <c r="AO124" s="304">
        <f t="shared" si="278"/>
        <v>14.5</v>
      </c>
      <c r="AP124" s="304">
        <f t="shared" si="279"/>
        <v>14.5</v>
      </c>
      <c r="AQ124" s="304">
        <f t="shared" si="280"/>
        <v>14.5</v>
      </c>
      <c r="AR124" s="304">
        <f t="shared" si="281"/>
        <v>14.5</v>
      </c>
      <c r="AS124" s="304">
        <f t="shared" si="282"/>
        <v>14.5</v>
      </c>
      <c r="AT124" s="304">
        <f t="shared" si="283"/>
        <v>14.5</v>
      </c>
      <c r="AU124" s="304">
        <f t="shared" si="284"/>
        <v>14.5</v>
      </c>
      <c r="AV124" s="376">
        <f t="shared" si="285"/>
        <v>14.5</v>
      </c>
      <c r="AW124" s="376">
        <f t="shared" si="286"/>
        <v>14.5</v>
      </c>
      <c r="AX124" s="376">
        <f t="shared" si="287"/>
        <v>14.5</v>
      </c>
      <c r="AY124" s="376">
        <f t="shared" si="288"/>
        <v>14.5</v>
      </c>
      <c r="AZ124" s="376">
        <f t="shared" si="289"/>
        <v>14.5</v>
      </c>
      <c r="BA124" s="376">
        <f t="shared" si="290"/>
        <v>14.5</v>
      </c>
      <c r="BB124" s="376">
        <f t="shared" si="291"/>
        <v>14.5</v>
      </c>
      <c r="BC124" s="376">
        <f t="shared" si="292"/>
        <v>14.5</v>
      </c>
      <c r="BD124" s="376">
        <f t="shared" si="293"/>
        <v>14.5</v>
      </c>
      <c r="BE124" s="376">
        <f t="shared" si="294"/>
        <v>14.5</v>
      </c>
      <c r="BF124" s="376">
        <f t="shared" si="295"/>
        <v>14.5</v>
      </c>
      <c r="BG124" s="376">
        <f t="shared" si="296"/>
        <v>14.5</v>
      </c>
      <c r="BH124" s="376">
        <f t="shared" si="297"/>
        <v>14.5</v>
      </c>
      <c r="BI124" s="376">
        <f t="shared" si="298"/>
        <v>14.5</v>
      </c>
      <c r="BJ124" s="376">
        <f t="shared" si="299"/>
        <v>14.5</v>
      </c>
      <c r="BK124" s="376">
        <f t="shared" si="300"/>
        <v>14.5</v>
      </c>
      <c r="BL124" s="376">
        <f t="shared" si="301"/>
        <v>14.5</v>
      </c>
      <c r="BM124" s="376">
        <f t="shared" si="302"/>
        <v>14.5</v>
      </c>
      <c r="BN124" s="376">
        <f t="shared" si="303"/>
        <v>14.5</v>
      </c>
      <c r="BO124" s="376">
        <f t="shared" si="304"/>
        <v>14.5</v>
      </c>
      <c r="BP124" s="376">
        <f t="shared" si="305"/>
        <v>14.5</v>
      </c>
      <c r="BQ124" s="376">
        <f t="shared" si="306"/>
        <v>14.5</v>
      </c>
      <c r="BR124" s="376">
        <f t="shared" si="307"/>
        <v>14.5</v>
      </c>
      <c r="BS124" s="376">
        <f t="shared" si="308"/>
        <v>14.5</v>
      </c>
      <c r="BT124" s="376">
        <f t="shared" si="309"/>
        <v>14.5</v>
      </c>
      <c r="BU124" s="376">
        <f t="shared" si="310"/>
        <v>14.5</v>
      </c>
      <c r="BV124" s="377">
        <f t="shared" si="311"/>
        <v>14.5</v>
      </c>
    </row>
    <row r="125" spans="1:74" ht="20.149999999999999" hidden="1" customHeight="1" outlineLevel="2" x14ac:dyDescent="0.25">
      <c r="A125" s="20" t="s">
        <v>47</v>
      </c>
      <c r="B125" s="8" t="s">
        <v>21</v>
      </c>
      <c r="C125" s="284">
        <f>'Custos Diversos'!$B$21</f>
        <v>145</v>
      </c>
      <c r="D125" s="284">
        <v>0.5</v>
      </c>
      <c r="E125" s="284">
        <v>0.5</v>
      </c>
      <c r="F125" s="284">
        <v>0.5</v>
      </c>
      <c r="G125" s="284">
        <v>0.5</v>
      </c>
      <c r="H125" s="284">
        <v>0.5</v>
      </c>
      <c r="I125" s="284">
        <v>0.5</v>
      </c>
      <c r="J125" s="284">
        <v>0.5</v>
      </c>
      <c r="K125" s="284">
        <v>0.5</v>
      </c>
      <c r="L125" s="358">
        <v>0.5</v>
      </c>
      <c r="M125" s="358">
        <v>0.5</v>
      </c>
      <c r="N125" s="358">
        <v>0.5</v>
      </c>
      <c r="O125" s="358">
        <v>0.5</v>
      </c>
      <c r="P125" s="358">
        <f t="shared" si="254"/>
        <v>0.5</v>
      </c>
      <c r="Q125" s="358">
        <f t="shared" si="255"/>
        <v>0.5</v>
      </c>
      <c r="R125" s="358">
        <f t="shared" si="256"/>
        <v>0.5</v>
      </c>
      <c r="S125" s="358">
        <f t="shared" si="257"/>
        <v>0.5</v>
      </c>
      <c r="T125" s="358">
        <f t="shared" si="258"/>
        <v>0.5</v>
      </c>
      <c r="U125" s="358">
        <f t="shared" si="259"/>
        <v>0.5</v>
      </c>
      <c r="V125" s="358">
        <f t="shared" si="260"/>
        <v>0.5</v>
      </c>
      <c r="W125" s="358">
        <f t="shared" si="261"/>
        <v>0.5</v>
      </c>
      <c r="X125" s="358">
        <f t="shared" si="262"/>
        <v>0.5</v>
      </c>
      <c r="Y125" s="358">
        <f t="shared" si="263"/>
        <v>0.5</v>
      </c>
      <c r="Z125" s="358">
        <f t="shared" si="264"/>
        <v>0.5</v>
      </c>
      <c r="AA125" s="358">
        <f t="shared" si="265"/>
        <v>0.5</v>
      </c>
      <c r="AB125" s="358">
        <f t="shared" si="266"/>
        <v>0.5</v>
      </c>
      <c r="AC125" s="358">
        <f t="shared" si="267"/>
        <v>0.5</v>
      </c>
      <c r="AD125" s="358">
        <f t="shared" si="268"/>
        <v>0.5</v>
      </c>
      <c r="AE125" s="358">
        <f t="shared" si="269"/>
        <v>0.5</v>
      </c>
      <c r="AF125" s="358">
        <f t="shared" si="270"/>
        <v>0.5</v>
      </c>
      <c r="AG125" s="358">
        <f t="shared" si="271"/>
        <v>0.5</v>
      </c>
      <c r="AH125" s="358">
        <f t="shared" si="272"/>
        <v>0.5</v>
      </c>
      <c r="AI125" s="358">
        <f t="shared" si="273"/>
        <v>0.5</v>
      </c>
      <c r="AJ125" s="358">
        <f t="shared" si="274"/>
        <v>0.5</v>
      </c>
      <c r="AK125" s="358">
        <f t="shared" si="275"/>
        <v>0.5</v>
      </c>
      <c r="AL125" s="359">
        <f t="shared" si="276"/>
        <v>0.5</v>
      </c>
      <c r="AM125" s="636"/>
      <c r="AN125" s="303">
        <f t="shared" si="277"/>
        <v>72.5</v>
      </c>
      <c r="AO125" s="304">
        <f t="shared" si="278"/>
        <v>72.5</v>
      </c>
      <c r="AP125" s="304">
        <f t="shared" si="279"/>
        <v>72.5</v>
      </c>
      <c r="AQ125" s="304">
        <f t="shared" si="280"/>
        <v>72.5</v>
      </c>
      <c r="AR125" s="304">
        <f t="shared" si="281"/>
        <v>72.5</v>
      </c>
      <c r="AS125" s="304">
        <f t="shared" si="282"/>
        <v>72.5</v>
      </c>
      <c r="AT125" s="304">
        <f t="shared" si="283"/>
        <v>72.5</v>
      </c>
      <c r="AU125" s="304">
        <f t="shared" si="284"/>
        <v>72.5</v>
      </c>
      <c r="AV125" s="376">
        <f t="shared" si="285"/>
        <v>72.5</v>
      </c>
      <c r="AW125" s="376">
        <f t="shared" si="286"/>
        <v>72.5</v>
      </c>
      <c r="AX125" s="376">
        <f t="shared" si="287"/>
        <v>72.5</v>
      </c>
      <c r="AY125" s="376">
        <f t="shared" si="288"/>
        <v>72.5</v>
      </c>
      <c r="AZ125" s="376">
        <f t="shared" si="289"/>
        <v>72.5</v>
      </c>
      <c r="BA125" s="376">
        <f t="shared" si="290"/>
        <v>72.5</v>
      </c>
      <c r="BB125" s="376">
        <f t="shared" si="291"/>
        <v>72.5</v>
      </c>
      <c r="BC125" s="376">
        <f t="shared" si="292"/>
        <v>72.5</v>
      </c>
      <c r="BD125" s="376">
        <f t="shared" si="293"/>
        <v>72.5</v>
      </c>
      <c r="BE125" s="376">
        <f t="shared" si="294"/>
        <v>72.5</v>
      </c>
      <c r="BF125" s="376">
        <f t="shared" si="295"/>
        <v>72.5</v>
      </c>
      <c r="BG125" s="376">
        <f t="shared" si="296"/>
        <v>72.5</v>
      </c>
      <c r="BH125" s="376">
        <f t="shared" si="297"/>
        <v>72.5</v>
      </c>
      <c r="BI125" s="376">
        <f t="shared" si="298"/>
        <v>72.5</v>
      </c>
      <c r="BJ125" s="376">
        <f t="shared" si="299"/>
        <v>72.5</v>
      </c>
      <c r="BK125" s="376">
        <f t="shared" si="300"/>
        <v>72.5</v>
      </c>
      <c r="BL125" s="376">
        <f t="shared" si="301"/>
        <v>72.5</v>
      </c>
      <c r="BM125" s="376">
        <f t="shared" si="302"/>
        <v>72.5</v>
      </c>
      <c r="BN125" s="376">
        <f t="shared" si="303"/>
        <v>72.5</v>
      </c>
      <c r="BO125" s="376">
        <f t="shared" si="304"/>
        <v>72.5</v>
      </c>
      <c r="BP125" s="376">
        <f t="shared" si="305"/>
        <v>72.5</v>
      </c>
      <c r="BQ125" s="376">
        <f t="shared" si="306"/>
        <v>72.5</v>
      </c>
      <c r="BR125" s="376">
        <f t="shared" si="307"/>
        <v>72.5</v>
      </c>
      <c r="BS125" s="376">
        <f t="shared" si="308"/>
        <v>72.5</v>
      </c>
      <c r="BT125" s="376">
        <f t="shared" si="309"/>
        <v>72.5</v>
      </c>
      <c r="BU125" s="376">
        <f t="shared" si="310"/>
        <v>72.5</v>
      </c>
      <c r="BV125" s="377">
        <f t="shared" si="311"/>
        <v>72.5</v>
      </c>
    </row>
    <row r="126" spans="1:74" ht="20.149999999999999" hidden="1" customHeight="1" outlineLevel="2" x14ac:dyDescent="0.25">
      <c r="A126" s="20" t="s">
        <v>48</v>
      </c>
      <c r="B126" s="8" t="s">
        <v>21</v>
      </c>
      <c r="C126" s="284">
        <f>'Custos Diversos'!$B$21</f>
        <v>145</v>
      </c>
      <c r="D126" s="284">
        <v>1</v>
      </c>
      <c r="E126" s="284">
        <v>0.25</v>
      </c>
      <c r="F126" s="284">
        <v>0.25</v>
      </c>
      <c r="G126" s="284">
        <v>0.25</v>
      </c>
      <c r="H126" s="284">
        <v>0.25</v>
      </c>
      <c r="I126" s="284">
        <v>0.25</v>
      </c>
      <c r="J126" s="284">
        <v>0.25</v>
      </c>
      <c r="K126" s="284">
        <v>0.25</v>
      </c>
      <c r="L126" s="358">
        <v>0.25</v>
      </c>
      <c r="M126" s="358">
        <v>0.25</v>
      </c>
      <c r="N126" s="358">
        <v>0.25</v>
      </c>
      <c r="O126" s="358">
        <v>0.25</v>
      </c>
      <c r="P126" s="358">
        <f t="shared" si="254"/>
        <v>1</v>
      </c>
      <c r="Q126" s="358">
        <f t="shared" si="255"/>
        <v>0.25</v>
      </c>
      <c r="R126" s="358">
        <f t="shared" si="256"/>
        <v>0.25</v>
      </c>
      <c r="S126" s="358">
        <f t="shared" si="257"/>
        <v>0.25</v>
      </c>
      <c r="T126" s="358">
        <f t="shared" si="258"/>
        <v>0.25</v>
      </c>
      <c r="U126" s="358">
        <f t="shared" si="259"/>
        <v>0.25</v>
      </c>
      <c r="V126" s="358">
        <f t="shared" si="260"/>
        <v>0.25</v>
      </c>
      <c r="W126" s="358">
        <f t="shared" si="261"/>
        <v>0.25</v>
      </c>
      <c r="X126" s="358">
        <f t="shared" si="262"/>
        <v>0.25</v>
      </c>
      <c r="Y126" s="358">
        <f t="shared" si="263"/>
        <v>0.25</v>
      </c>
      <c r="Z126" s="358">
        <f t="shared" si="264"/>
        <v>0.25</v>
      </c>
      <c r="AA126" s="358">
        <f t="shared" si="265"/>
        <v>0.25</v>
      </c>
      <c r="AB126" s="358">
        <f t="shared" si="266"/>
        <v>1</v>
      </c>
      <c r="AC126" s="358">
        <f t="shared" si="267"/>
        <v>0.25</v>
      </c>
      <c r="AD126" s="358">
        <f t="shared" si="268"/>
        <v>0.25</v>
      </c>
      <c r="AE126" s="358">
        <f t="shared" si="269"/>
        <v>0.25</v>
      </c>
      <c r="AF126" s="358">
        <f t="shared" si="270"/>
        <v>0.25</v>
      </c>
      <c r="AG126" s="358">
        <f t="shared" si="271"/>
        <v>0.25</v>
      </c>
      <c r="AH126" s="358">
        <f t="shared" si="272"/>
        <v>0.25</v>
      </c>
      <c r="AI126" s="358">
        <f t="shared" si="273"/>
        <v>0.25</v>
      </c>
      <c r="AJ126" s="358">
        <f t="shared" si="274"/>
        <v>0.25</v>
      </c>
      <c r="AK126" s="358">
        <f t="shared" si="275"/>
        <v>0.25</v>
      </c>
      <c r="AL126" s="359">
        <f t="shared" si="276"/>
        <v>0.25</v>
      </c>
      <c r="AM126" s="636"/>
      <c r="AN126" s="303">
        <f t="shared" si="277"/>
        <v>145</v>
      </c>
      <c r="AO126" s="304">
        <f t="shared" si="278"/>
        <v>36.25</v>
      </c>
      <c r="AP126" s="304">
        <f t="shared" si="279"/>
        <v>36.25</v>
      </c>
      <c r="AQ126" s="304">
        <f t="shared" si="280"/>
        <v>36.25</v>
      </c>
      <c r="AR126" s="304">
        <f t="shared" si="281"/>
        <v>36.25</v>
      </c>
      <c r="AS126" s="304">
        <f t="shared" si="282"/>
        <v>36.25</v>
      </c>
      <c r="AT126" s="304">
        <f t="shared" si="283"/>
        <v>36.25</v>
      </c>
      <c r="AU126" s="304">
        <f t="shared" si="284"/>
        <v>36.25</v>
      </c>
      <c r="AV126" s="376">
        <f t="shared" si="285"/>
        <v>36.25</v>
      </c>
      <c r="AW126" s="376">
        <f t="shared" si="286"/>
        <v>36.25</v>
      </c>
      <c r="AX126" s="376">
        <f t="shared" si="287"/>
        <v>36.25</v>
      </c>
      <c r="AY126" s="376">
        <f t="shared" si="288"/>
        <v>36.25</v>
      </c>
      <c r="AZ126" s="376">
        <f t="shared" si="289"/>
        <v>145</v>
      </c>
      <c r="BA126" s="376">
        <f t="shared" si="290"/>
        <v>36.25</v>
      </c>
      <c r="BB126" s="376">
        <f t="shared" si="291"/>
        <v>36.25</v>
      </c>
      <c r="BC126" s="376">
        <f t="shared" si="292"/>
        <v>36.25</v>
      </c>
      <c r="BD126" s="376">
        <f t="shared" si="293"/>
        <v>36.25</v>
      </c>
      <c r="BE126" s="376">
        <f t="shared" si="294"/>
        <v>36.25</v>
      </c>
      <c r="BF126" s="376">
        <f t="shared" si="295"/>
        <v>36.25</v>
      </c>
      <c r="BG126" s="376">
        <f t="shared" si="296"/>
        <v>36.25</v>
      </c>
      <c r="BH126" s="376">
        <f t="shared" si="297"/>
        <v>36.25</v>
      </c>
      <c r="BI126" s="376">
        <f t="shared" si="298"/>
        <v>36.25</v>
      </c>
      <c r="BJ126" s="376">
        <f t="shared" si="299"/>
        <v>36.25</v>
      </c>
      <c r="BK126" s="376">
        <f t="shared" si="300"/>
        <v>36.25</v>
      </c>
      <c r="BL126" s="376">
        <f t="shared" si="301"/>
        <v>145</v>
      </c>
      <c r="BM126" s="376">
        <f t="shared" si="302"/>
        <v>36.25</v>
      </c>
      <c r="BN126" s="376">
        <f t="shared" si="303"/>
        <v>36.25</v>
      </c>
      <c r="BO126" s="376">
        <f t="shared" si="304"/>
        <v>36.25</v>
      </c>
      <c r="BP126" s="376">
        <f t="shared" si="305"/>
        <v>36.25</v>
      </c>
      <c r="BQ126" s="376">
        <f t="shared" si="306"/>
        <v>36.25</v>
      </c>
      <c r="BR126" s="376">
        <f t="shared" si="307"/>
        <v>36.25</v>
      </c>
      <c r="BS126" s="376">
        <f t="shared" si="308"/>
        <v>36.25</v>
      </c>
      <c r="BT126" s="376">
        <f t="shared" si="309"/>
        <v>36.25</v>
      </c>
      <c r="BU126" s="376">
        <f t="shared" si="310"/>
        <v>36.25</v>
      </c>
      <c r="BV126" s="377">
        <f t="shared" si="311"/>
        <v>36.25</v>
      </c>
    </row>
    <row r="127" spans="1:74" ht="20.149999999999999" hidden="1" customHeight="1" outlineLevel="2" x14ac:dyDescent="0.25">
      <c r="A127" s="23" t="s">
        <v>19</v>
      </c>
      <c r="B127" s="8" t="s">
        <v>21</v>
      </c>
      <c r="C127" s="284">
        <f>'Custos Diversos'!$B$21</f>
        <v>145</v>
      </c>
      <c r="D127" s="284">
        <v>5</v>
      </c>
      <c r="E127" s="284">
        <v>8</v>
      </c>
      <c r="F127" s="284">
        <v>8</v>
      </c>
      <c r="G127" s="284">
        <v>8</v>
      </c>
      <c r="H127" s="284">
        <v>8</v>
      </c>
      <c r="I127" s="284">
        <v>8</v>
      </c>
      <c r="J127" s="284">
        <v>8</v>
      </c>
      <c r="K127" s="284">
        <v>8</v>
      </c>
      <c r="L127" s="358">
        <v>8</v>
      </c>
      <c r="M127" s="358">
        <v>8</v>
      </c>
      <c r="N127" s="358">
        <v>8</v>
      </c>
      <c r="O127" s="358">
        <v>8</v>
      </c>
      <c r="P127" s="358">
        <f t="shared" si="254"/>
        <v>5</v>
      </c>
      <c r="Q127" s="358">
        <f t="shared" si="255"/>
        <v>8</v>
      </c>
      <c r="R127" s="358">
        <f t="shared" si="256"/>
        <v>8</v>
      </c>
      <c r="S127" s="358">
        <f t="shared" si="257"/>
        <v>8</v>
      </c>
      <c r="T127" s="358">
        <f t="shared" si="258"/>
        <v>8</v>
      </c>
      <c r="U127" s="358">
        <f t="shared" si="259"/>
        <v>8</v>
      </c>
      <c r="V127" s="358">
        <f t="shared" si="260"/>
        <v>8</v>
      </c>
      <c r="W127" s="358">
        <f t="shared" si="261"/>
        <v>8</v>
      </c>
      <c r="X127" s="358">
        <f t="shared" si="262"/>
        <v>8</v>
      </c>
      <c r="Y127" s="358">
        <f t="shared" si="263"/>
        <v>8</v>
      </c>
      <c r="Z127" s="358">
        <f t="shared" si="264"/>
        <v>8</v>
      </c>
      <c r="AA127" s="358">
        <f t="shared" si="265"/>
        <v>8</v>
      </c>
      <c r="AB127" s="358">
        <f t="shared" si="266"/>
        <v>5</v>
      </c>
      <c r="AC127" s="358">
        <f t="shared" si="267"/>
        <v>8</v>
      </c>
      <c r="AD127" s="358">
        <f t="shared" si="268"/>
        <v>8</v>
      </c>
      <c r="AE127" s="358">
        <f t="shared" si="269"/>
        <v>8</v>
      </c>
      <c r="AF127" s="358">
        <f t="shared" si="270"/>
        <v>8</v>
      </c>
      <c r="AG127" s="358">
        <f t="shared" si="271"/>
        <v>8</v>
      </c>
      <c r="AH127" s="358">
        <f t="shared" si="272"/>
        <v>8</v>
      </c>
      <c r="AI127" s="358">
        <f t="shared" si="273"/>
        <v>8</v>
      </c>
      <c r="AJ127" s="358">
        <f t="shared" si="274"/>
        <v>8</v>
      </c>
      <c r="AK127" s="358">
        <f t="shared" si="275"/>
        <v>8</v>
      </c>
      <c r="AL127" s="359">
        <f t="shared" si="276"/>
        <v>8</v>
      </c>
      <c r="AM127" s="636"/>
      <c r="AN127" s="303">
        <f t="shared" si="277"/>
        <v>725</v>
      </c>
      <c r="AO127" s="304">
        <f t="shared" si="278"/>
        <v>1160</v>
      </c>
      <c r="AP127" s="304">
        <f t="shared" si="279"/>
        <v>1160</v>
      </c>
      <c r="AQ127" s="304">
        <f t="shared" si="280"/>
        <v>1160</v>
      </c>
      <c r="AR127" s="304">
        <f t="shared" si="281"/>
        <v>1160</v>
      </c>
      <c r="AS127" s="304">
        <f t="shared" si="282"/>
        <v>1160</v>
      </c>
      <c r="AT127" s="304">
        <f t="shared" si="283"/>
        <v>1160</v>
      </c>
      <c r="AU127" s="304">
        <f t="shared" si="284"/>
        <v>1160</v>
      </c>
      <c r="AV127" s="376">
        <f t="shared" si="285"/>
        <v>1160</v>
      </c>
      <c r="AW127" s="376">
        <f t="shared" si="286"/>
        <v>1160</v>
      </c>
      <c r="AX127" s="376">
        <f t="shared" si="287"/>
        <v>1160</v>
      </c>
      <c r="AY127" s="376">
        <f t="shared" si="288"/>
        <v>1160</v>
      </c>
      <c r="AZ127" s="376">
        <f t="shared" si="289"/>
        <v>725</v>
      </c>
      <c r="BA127" s="376">
        <f t="shared" si="290"/>
        <v>1160</v>
      </c>
      <c r="BB127" s="376">
        <f t="shared" si="291"/>
        <v>1160</v>
      </c>
      <c r="BC127" s="376">
        <f t="shared" si="292"/>
        <v>1160</v>
      </c>
      <c r="BD127" s="376">
        <f t="shared" si="293"/>
        <v>1160</v>
      </c>
      <c r="BE127" s="376">
        <f t="shared" si="294"/>
        <v>1160</v>
      </c>
      <c r="BF127" s="376">
        <f t="shared" si="295"/>
        <v>1160</v>
      </c>
      <c r="BG127" s="376">
        <f t="shared" si="296"/>
        <v>1160</v>
      </c>
      <c r="BH127" s="376">
        <f t="shared" si="297"/>
        <v>1160</v>
      </c>
      <c r="BI127" s="376">
        <f t="shared" si="298"/>
        <v>1160</v>
      </c>
      <c r="BJ127" s="376">
        <f t="shared" si="299"/>
        <v>1160</v>
      </c>
      <c r="BK127" s="376">
        <f t="shared" si="300"/>
        <v>1160</v>
      </c>
      <c r="BL127" s="376">
        <f t="shared" si="301"/>
        <v>725</v>
      </c>
      <c r="BM127" s="376">
        <f t="shared" si="302"/>
        <v>1160</v>
      </c>
      <c r="BN127" s="376">
        <f t="shared" si="303"/>
        <v>1160</v>
      </c>
      <c r="BO127" s="376">
        <f t="shared" si="304"/>
        <v>1160</v>
      </c>
      <c r="BP127" s="376">
        <f t="shared" si="305"/>
        <v>1160</v>
      </c>
      <c r="BQ127" s="376">
        <f t="shared" si="306"/>
        <v>1160</v>
      </c>
      <c r="BR127" s="376">
        <f t="shared" si="307"/>
        <v>1160</v>
      </c>
      <c r="BS127" s="376">
        <f t="shared" si="308"/>
        <v>1160</v>
      </c>
      <c r="BT127" s="376">
        <f t="shared" si="309"/>
        <v>1160</v>
      </c>
      <c r="BU127" s="376">
        <f t="shared" si="310"/>
        <v>1160</v>
      </c>
      <c r="BV127" s="377">
        <f t="shared" si="311"/>
        <v>1160</v>
      </c>
    </row>
    <row r="128" spans="1:74" ht="20.149999999999999" hidden="1" customHeight="1" outlineLevel="2" x14ac:dyDescent="0.25">
      <c r="A128" s="23" t="s">
        <v>20</v>
      </c>
      <c r="B128" s="8" t="s">
        <v>21</v>
      </c>
      <c r="C128" s="284">
        <f>'Custos Diversos'!$B$21</f>
        <v>145</v>
      </c>
      <c r="D128" s="284">
        <v>3</v>
      </c>
      <c r="E128" s="284">
        <v>6</v>
      </c>
      <c r="F128" s="284">
        <v>6</v>
      </c>
      <c r="G128" s="284">
        <v>6</v>
      </c>
      <c r="H128" s="284">
        <v>6</v>
      </c>
      <c r="I128" s="284">
        <v>6</v>
      </c>
      <c r="J128" s="284">
        <v>6</v>
      </c>
      <c r="K128" s="284">
        <v>6</v>
      </c>
      <c r="L128" s="358">
        <v>6</v>
      </c>
      <c r="M128" s="358">
        <v>6</v>
      </c>
      <c r="N128" s="358">
        <v>6</v>
      </c>
      <c r="O128" s="358">
        <v>6</v>
      </c>
      <c r="P128" s="358">
        <f t="shared" si="254"/>
        <v>3</v>
      </c>
      <c r="Q128" s="358">
        <f t="shared" si="255"/>
        <v>6</v>
      </c>
      <c r="R128" s="358">
        <f t="shared" si="256"/>
        <v>6</v>
      </c>
      <c r="S128" s="358">
        <f t="shared" si="257"/>
        <v>6</v>
      </c>
      <c r="T128" s="358">
        <f t="shared" si="258"/>
        <v>6</v>
      </c>
      <c r="U128" s="358">
        <f t="shared" si="259"/>
        <v>6</v>
      </c>
      <c r="V128" s="358">
        <f t="shared" si="260"/>
        <v>6</v>
      </c>
      <c r="W128" s="358">
        <f t="shared" si="261"/>
        <v>6</v>
      </c>
      <c r="X128" s="358">
        <f t="shared" si="262"/>
        <v>6</v>
      </c>
      <c r="Y128" s="358">
        <f t="shared" si="263"/>
        <v>6</v>
      </c>
      <c r="Z128" s="358">
        <f t="shared" si="264"/>
        <v>6</v>
      </c>
      <c r="AA128" s="358">
        <f t="shared" si="265"/>
        <v>6</v>
      </c>
      <c r="AB128" s="358">
        <f t="shared" si="266"/>
        <v>3</v>
      </c>
      <c r="AC128" s="358">
        <f t="shared" si="267"/>
        <v>6</v>
      </c>
      <c r="AD128" s="358">
        <f t="shared" si="268"/>
        <v>6</v>
      </c>
      <c r="AE128" s="358">
        <f t="shared" si="269"/>
        <v>6</v>
      </c>
      <c r="AF128" s="358">
        <f t="shared" si="270"/>
        <v>6</v>
      </c>
      <c r="AG128" s="358">
        <f t="shared" si="271"/>
        <v>6</v>
      </c>
      <c r="AH128" s="358">
        <f t="shared" si="272"/>
        <v>6</v>
      </c>
      <c r="AI128" s="358">
        <f t="shared" si="273"/>
        <v>6</v>
      </c>
      <c r="AJ128" s="358">
        <f t="shared" si="274"/>
        <v>6</v>
      </c>
      <c r="AK128" s="358">
        <f t="shared" si="275"/>
        <v>6</v>
      </c>
      <c r="AL128" s="359">
        <f t="shared" si="276"/>
        <v>6</v>
      </c>
      <c r="AM128" s="636"/>
      <c r="AN128" s="303">
        <f t="shared" si="277"/>
        <v>435</v>
      </c>
      <c r="AO128" s="304">
        <f t="shared" si="278"/>
        <v>870</v>
      </c>
      <c r="AP128" s="304">
        <f t="shared" si="279"/>
        <v>870</v>
      </c>
      <c r="AQ128" s="304">
        <f t="shared" si="280"/>
        <v>870</v>
      </c>
      <c r="AR128" s="304">
        <f t="shared" si="281"/>
        <v>870</v>
      </c>
      <c r="AS128" s="304">
        <f t="shared" si="282"/>
        <v>870</v>
      </c>
      <c r="AT128" s="304">
        <f t="shared" si="283"/>
        <v>870</v>
      </c>
      <c r="AU128" s="304">
        <f t="shared" si="284"/>
        <v>870</v>
      </c>
      <c r="AV128" s="376">
        <f t="shared" si="285"/>
        <v>870</v>
      </c>
      <c r="AW128" s="376">
        <f t="shared" si="286"/>
        <v>870</v>
      </c>
      <c r="AX128" s="376">
        <f t="shared" si="287"/>
        <v>870</v>
      </c>
      <c r="AY128" s="376">
        <f t="shared" si="288"/>
        <v>870</v>
      </c>
      <c r="AZ128" s="376">
        <f t="shared" si="289"/>
        <v>435</v>
      </c>
      <c r="BA128" s="376">
        <f t="shared" si="290"/>
        <v>870</v>
      </c>
      <c r="BB128" s="376">
        <f t="shared" si="291"/>
        <v>870</v>
      </c>
      <c r="BC128" s="376">
        <f t="shared" si="292"/>
        <v>870</v>
      </c>
      <c r="BD128" s="376">
        <f t="shared" si="293"/>
        <v>870</v>
      </c>
      <c r="BE128" s="376">
        <f t="shared" si="294"/>
        <v>870</v>
      </c>
      <c r="BF128" s="376">
        <f t="shared" si="295"/>
        <v>870</v>
      </c>
      <c r="BG128" s="376">
        <f t="shared" si="296"/>
        <v>870</v>
      </c>
      <c r="BH128" s="376">
        <f t="shared" si="297"/>
        <v>870</v>
      </c>
      <c r="BI128" s="376">
        <f t="shared" si="298"/>
        <v>870</v>
      </c>
      <c r="BJ128" s="376">
        <f t="shared" si="299"/>
        <v>870</v>
      </c>
      <c r="BK128" s="376">
        <f t="shared" si="300"/>
        <v>870</v>
      </c>
      <c r="BL128" s="376">
        <f t="shared" si="301"/>
        <v>435</v>
      </c>
      <c r="BM128" s="376">
        <f t="shared" si="302"/>
        <v>870</v>
      </c>
      <c r="BN128" s="376">
        <f t="shared" si="303"/>
        <v>870</v>
      </c>
      <c r="BO128" s="376">
        <f t="shared" si="304"/>
        <v>870</v>
      </c>
      <c r="BP128" s="376">
        <f t="shared" si="305"/>
        <v>870</v>
      </c>
      <c r="BQ128" s="376">
        <f t="shared" si="306"/>
        <v>870</v>
      </c>
      <c r="BR128" s="376">
        <f t="shared" si="307"/>
        <v>870</v>
      </c>
      <c r="BS128" s="376">
        <f t="shared" si="308"/>
        <v>870</v>
      </c>
      <c r="BT128" s="376">
        <f t="shared" si="309"/>
        <v>870</v>
      </c>
      <c r="BU128" s="376">
        <f t="shared" si="310"/>
        <v>870</v>
      </c>
      <c r="BV128" s="377">
        <f t="shared" si="311"/>
        <v>870</v>
      </c>
    </row>
    <row r="129" spans="1:74" ht="20.149999999999999" hidden="1" customHeight="1" outlineLevel="2" x14ac:dyDescent="0.25">
      <c r="A129" s="23" t="s">
        <v>22</v>
      </c>
      <c r="B129" s="8" t="s">
        <v>21</v>
      </c>
      <c r="C129" s="284">
        <f>'Custos Diversos'!B84</f>
        <v>160</v>
      </c>
      <c r="D129" s="284">
        <f t="shared" ref="D129:O129" si="312">((AN180*1000/16000))*9</f>
        <v>0</v>
      </c>
      <c r="E129" s="284">
        <f t="shared" si="312"/>
        <v>20.081250000000001</v>
      </c>
      <c r="F129" s="284">
        <f t="shared" si="312"/>
        <v>18.506249999999998</v>
      </c>
      <c r="G129" s="284">
        <f t="shared" si="312"/>
        <v>16.931250000000002</v>
      </c>
      <c r="H129" s="284">
        <f t="shared" si="312"/>
        <v>15.862499999999999</v>
      </c>
      <c r="I129" s="284">
        <f t="shared" si="312"/>
        <v>14.793750000000001</v>
      </c>
      <c r="J129" s="284">
        <f t="shared" si="312"/>
        <v>13.21875</v>
      </c>
      <c r="K129" s="284">
        <f t="shared" si="312"/>
        <v>13.21875</v>
      </c>
      <c r="L129" s="358">
        <f t="shared" si="312"/>
        <v>13.21875</v>
      </c>
      <c r="M129" s="358">
        <f t="shared" si="312"/>
        <v>13.21875</v>
      </c>
      <c r="N129" s="358">
        <f t="shared" si="312"/>
        <v>10.575000000000001</v>
      </c>
      <c r="O129" s="358">
        <f t="shared" si="312"/>
        <v>9.5062499999999996</v>
      </c>
      <c r="P129" s="358">
        <f t="shared" si="254"/>
        <v>0</v>
      </c>
      <c r="Q129" s="358">
        <f t="shared" si="255"/>
        <v>20.081250000000001</v>
      </c>
      <c r="R129" s="358">
        <f t="shared" si="256"/>
        <v>18.506249999999998</v>
      </c>
      <c r="S129" s="358">
        <f t="shared" si="257"/>
        <v>16.931250000000002</v>
      </c>
      <c r="T129" s="358">
        <f t="shared" si="258"/>
        <v>15.862499999999999</v>
      </c>
      <c r="U129" s="358">
        <f t="shared" si="259"/>
        <v>14.793750000000001</v>
      </c>
      <c r="V129" s="358">
        <f t="shared" si="260"/>
        <v>13.21875</v>
      </c>
      <c r="W129" s="358">
        <f t="shared" si="261"/>
        <v>13.21875</v>
      </c>
      <c r="X129" s="358">
        <f t="shared" si="262"/>
        <v>13.21875</v>
      </c>
      <c r="Y129" s="358">
        <f t="shared" si="263"/>
        <v>13.21875</v>
      </c>
      <c r="Z129" s="358">
        <f t="shared" si="264"/>
        <v>10.575000000000001</v>
      </c>
      <c r="AA129" s="358">
        <f t="shared" si="265"/>
        <v>9.5062499999999996</v>
      </c>
      <c r="AB129" s="358">
        <f t="shared" si="266"/>
        <v>0</v>
      </c>
      <c r="AC129" s="358">
        <f t="shared" si="267"/>
        <v>20.081250000000001</v>
      </c>
      <c r="AD129" s="358">
        <f t="shared" si="268"/>
        <v>18.506249999999998</v>
      </c>
      <c r="AE129" s="358">
        <f t="shared" si="269"/>
        <v>16.931250000000002</v>
      </c>
      <c r="AF129" s="358">
        <f t="shared" si="270"/>
        <v>15.862499999999999</v>
      </c>
      <c r="AG129" s="358">
        <f t="shared" si="271"/>
        <v>14.793750000000001</v>
      </c>
      <c r="AH129" s="358">
        <f t="shared" si="272"/>
        <v>13.21875</v>
      </c>
      <c r="AI129" s="358">
        <f t="shared" si="273"/>
        <v>13.21875</v>
      </c>
      <c r="AJ129" s="358">
        <f t="shared" si="274"/>
        <v>13.21875</v>
      </c>
      <c r="AK129" s="358">
        <f t="shared" si="275"/>
        <v>13.21875</v>
      </c>
      <c r="AL129" s="359">
        <f t="shared" si="276"/>
        <v>10.575000000000001</v>
      </c>
      <c r="AM129" s="636"/>
      <c r="AN129" s="303">
        <f t="shared" ref="AN129:BV129" si="313">D129*$C$129</f>
        <v>0</v>
      </c>
      <c r="AO129" s="304">
        <f t="shared" si="313"/>
        <v>3213</v>
      </c>
      <c r="AP129" s="304">
        <f t="shared" si="313"/>
        <v>2960.9999999999995</v>
      </c>
      <c r="AQ129" s="304">
        <f t="shared" si="313"/>
        <v>2709.0000000000005</v>
      </c>
      <c r="AR129" s="304">
        <f t="shared" si="313"/>
        <v>2538</v>
      </c>
      <c r="AS129" s="304">
        <f t="shared" si="313"/>
        <v>2367</v>
      </c>
      <c r="AT129" s="304">
        <f t="shared" si="313"/>
        <v>2115</v>
      </c>
      <c r="AU129" s="304">
        <f t="shared" si="313"/>
        <v>2115</v>
      </c>
      <c r="AV129" s="376">
        <f t="shared" si="313"/>
        <v>2115</v>
      </c>
      <c r="AW129" s="376">
        <f t="shared" si="313"/>
        <v>2115</v>
      </c>
      <c r="AX129" s="376">
        <f t="shared" si="313"/>
        <v>1692.0000000000002</v>
      </c>
      <c r="AY129" s="376">
        <f t="shared" si="313"/>
        <v>1521</v>
      </c>
      <c r="AZ129" s="376">
        <f t="shared" si="313"/>
        <v>0</v>
      </c>
      <c r="BA129" s="376">
        <f t="shared" si="313"/>
        <v>3213</v>
      </c>
      <c r="BB129" s="376">
        <f t="shared" si="313"/>
        <v>2960.9999999999995</v>
      </c>
      <c r="BC129" s="376">
        <f t="shared" si="313"/>
        <v>2709.0000000000005</v>
      </c>
      <c r="BD129" s="376">
        <f t="shared" si="313"/>
        <v>2538</v>
      </c>
      <c r="BE129" s="376">
        <f t="shared" si="313"/>
        <v>2367</v>
      </c>
      <c r="BF129" s="376">
        <f t="shared" si="313"/>
        <v>2115</v>
      </c>
      <c r="BG129" s="376">
        <f t="shared" si="313"/>
        <v>2115</v>
      </c>
      <c r="BH129" s="376">
        <f t="shared" si="313"/>
        <v>2115</v>
      </c>
      <c r="BI129" s="376">
        <f t="shared" si="313"/>
        <v>2115</v>
      </c>
      <c r="BJ129" s="376">
        <f t="shared" si="313"/>
        <v>1692.0000000000002</v>
      </c>
      <c r="BK129" s="376">
        <f t="shared" si="313"/>
        <v>1521</v>
      </c>
      <c r="BL129" s="376">
        <f t="shared" si="313"/>
        <v>0</v>
      </c>
      <c r="BM129" s="376">
        <f t="shared" si="313"/>
        <v>3213</v>
      </c>
      <c r="BN129" s="376">
        <f t="shared" si="313"/>
        <v>2960.9999999999995</v>
      </c>
      <c r="BO129" s="376">
        <f t="shared" si="313"/>
        <v>2709.0000000000005</v>
      </c>
      <c r="BP129" s="376">
        <f t="shared" si="313"/>
        <v>2538</v>
      </c>
      <c r="BQ129" s="376">
        <f t="shared" si="313"/>
        <v>2367</v>
      </c>
      <c r="BR129" s="376">
        <f t="shared" si="313"/>
        <v>2115</v>
      </c>
      <c r="BS129" s="376">
        <f t="shared" si="313"/>
        <v>2115</v>
      </c>
      <c r="BT129" s="376">
        <f t="shared" si="313"/>
        <v>2115</v>
      </c>
      <c r="BU129" s="376">
        <f t="shared" si="313"/>
        <v>2115</v>
      </c>
      <c r="BV129" s="377">
        <f t="shared" si="313"/>
        <v>1692.0000000000002</v>
      </c>
    </row>
    <row r="130" spans="1:74" ht="20.149999999999999" hidden="1" customHeight="1" outlineLevel="2" x14ac:dyDescent="0.25">
      <c r="A130" s="22" t="s">
        <v>77</v>
      </c>
      <c r="B130" s="8" t="s">
        <v>21</v>
      </c>
      <c r="C130" s="284">
        <f>'Custos Diversos'!B98</f>
        <v>165</v>
      </c>
      <c r="D130" s="284">
        <f t="shared" ref="D130:O130" si="314">(AN180*1000/16000)*10</f>
        <v>0</v>
      </c>
      <c r="E130" s="284">
        <f t="shared" si="314"/>
        <v>22.3125</v>
      </c>
      <c r="F130" s="284">
        <f t="shared" si="314"/>
        <v>20.5625</v>
      </c>
      <c r="G130" s="284">
        <f t="shared" si="314"/>
        <v>18.8125</v>
      </c>
      <c r="H130" s="284">
        <f t="shared" si="314"/>
        <v>17.625</v>
      </c>
      <c r="I130" s="284">
        <f t="shared" si="314"/>
        <v>16.4375</v>
      </c>
      <c r="J130" s="284">
        <f t="shared" si="314"/>
        <v>14.6875</v>
      </c>
      <c r="K130" s="284">
        <f t="shared" si="314"/>
        <v>14.6875</v>
      </c>
      <c r="L130" s="358">
        <f t="shared" si="314"/>
        <v>14.6875</v>
      </c>
      <c r="M130" s="358">
        <f t="shared" si="314"/>
        <v>14.6875</v>
      </c>
      <c r="N130" s="358">
        <f t="shared" si="314"/>
        <v>11.75</v>
      </c>
      <c r="O130" s="358">
        <f t="shared" si="314"/>
        <v>10.5625</v>
      </c>
      <c r="P130" s="358">
        <f t="shared" si="254"/>
        <v>0</v>
      </c>
      <c r="Q130" s="358">
        <f t="shared" si="255"/>
        <v>22.3125</v>
      </c>
      <c r="R130" s="358">
        <f t="shared" si="256"/>
        <v>20.5625</v>
      </c>
      <c r="S130" s="358">
        <f t="shared" si="257"/>
        <v>18.8125</v>
      </c>
      <c r="T130" s="358">
        <f t="shared" si="258"/>
        <v>17.625</v>
      </c>
      <c r="U130" s="358">
        <f t="shared" si="259"/>
        <v>16.4375</v>
      </c>
      <c r="V130" s="358">
        <f t="shared" si="260"/>
        <v>14.6875</v>
      </c>
      <c r="W130" s="358">
        <f t="shared" si="261"/>
        <v>14.6875</v>
      </c>
      <c r="X130" s="358">
        <f t="shared" si="262"/>
        <v>14.6875</v>
      </c>
      <c r="Y130" s="358">
        <f t="shared" si="263"/>
        <v>14.6875</v>
      </c>
      <c r="Z130" s="358">
        <f t="shared" si="264"/>
        <v>11.75</v>
      </c>
      <c r="AA130" s="358">
        <f t="shared" si="265"/>
        <v>10.5625</v>
      </c>
      <c r="AB130" s="358">
        <f t="shared" si="266"/>
        <v>0</v>
      </c>
      <c r="AC130" s="358">
        <f t="shared" si="267"/>
        <v>22.3125</v>
      </c>
      <c r="AD130" s="358">
        <f t="shared" si="268"/>
        <v>20.5625</v>
      </c>
      <c r="AE130" s="358">
        <f t="shared" si="269"/>
        <v>18.8125</v>
      </c>
      <c r="AF130" s="358">
        <f t="shared" si="270"/>
        <v>17.625</v>
      </c>
      <c r="AG130" s="358">
        <f t="shared" si="271"/>
        <v>16.4375</v>
      </c>
      <c r="AH130" s="358">
        <f t="shared" si="272"/>
        <v>14.6875</v>
      </c>
      <c r="AI130" s="358">
        <f t="shared" si="273"/>
        <v>14.6875</v>
      </c>
      <c r="AJ130" s="358">
        <f t="shared" si="274"/>
        <v>14.6875</v>
      </c>
      <c r="AK130" s="358">
        <f t="shared" si="275"/>
        <v>14.6875</v>
      </c>
      <c r="AL130" s="359">
        <f t="shared" si="276"/>
        <v>11.75</v>
      </c>
      <c r="AM130" s="636"/>
      <c r="AN130" s="303">
        <f t="shared" ref="AN130:BV130" si="315">$C$130*D130</f>
        <v>0</v>
      </c>
      <c r="AO130" s="304">
        <f t="shared" si="315"/>
        <v>3681.5625</v>
      </c>
      <c r="AP130" s="304">
        <f t="shared" si="315"/>
        <v>3392.8125</v>
      </c>
      <c r="AQ130" s="304">
        <f t="shared" si="315"/>
        <v>3104.0625</v>
      </c>
      <c r="AR130" s="304">
        <f t="shared" si="315"/>
        <v>2908.125</v>
      </c>
      <c r="AS130" s="304">
        <f t="shared" si="315"/>
        <v>2712.1875</v>
      </c>
      <c r="AT130" s="304">
        <f t="shared" si="315"/>
        <v>2423.4375</v>
      </c>
      <c r="AU130" s="304">
        <f t="shared" si="315"/>
        <v>2423.4375</v>
      </c>
      <c r="AV130" s="376">
        <f t="shared" si="315"/>
        <v>2423.4375</v>
      </c>
      <c r="AW130" s="376">
        <f t="shared" si="315"/>
        <v>2423.4375</v>
      </c>
      <c r="AX130" s="376">
        <f t="shared" si="315"/>
        <v>1938.75</v>
      </c>
      <c r="AY130" s="376">
        <f t="shared" si="315"/>
        <v>1742.8125</v>
      </c>
      <c r="AZ130" s="376">
        <f t="shared" si="315"/>
        <v>0</v>
      </c>
      <c r="BA130" s="376">
        <f t="shared" si="315"/>
        <v>3681.5625</v>
      </c>
      <c r="BB130" s="376">
        <f t="shared" si="315"/>
        <v>3392.8125</v>
      </c>
      <c r="BC130" s="376">
        <f t="shared" si="315"/>
        <v>3104.0625</v>
      </c>
      <c r="BD130" s="376">
        <f t="shared" si="315"/>
        <v>2908.125</v>
      </c>
      <c r="BE130" s="376">
        <f t="shared" si="315"/>
        <v>2712.1875</v>
      </c>
      <c r="BF130" s="376">
        <f t="shared" si="315"/>
        <v>2423.4375</v>
      </c>
      <c r="BG130" s="376">
        <f t="shared" si="315"/>
        <v>2423.4375</v>
      </c>
      <c r="BH130" s="376">
        <f t="shared" si="315"/>
        <v>2423.4375</v>
      </c>
      <c r="BI130" s="376">
        <f t="shared" si="315"/>
        <v>2423.4375</v>
      </c>
      <c r="BJ130" s="376">
        <f t="shared" si="315"/>
        <v>1938.75</v>
      </c>
      <c r="BK130" s="376">
        <f t="shared" si="315"/>
        <v>1742.8125</v>
      </c>
      <c r="BL130" s="376">
        <f t="shared" si="315"/>
        <v>0</v>
      </c>
      <c r="BM130" s="376">
        <f t="shared" si="315"/>
        <v>3681.5625</v>
      </c>
      <c r="BN130" s="376">
        <f t="shared" si="315"/>
        <v>3392.8125</v>
      </c>
      <c r="BO130" s="376">
        <f t="shared" si="315"/>
        <v>3104.0625</v>
      </c>
      <c r="BP130" s="376">
        <f t="shared" si="315"/>
        <v>2908.125</v>
      </c>
      <c r="BQ130" s="376">
        <f t="shared" si="315"/>
        <v>2712.1875</v>
      </c>
      <c r="BR130" s="376">
        <f t="shared" si="315"/>
        <v>2423.4375</v>
      </c>
      <c r="BS130" s="376">
        <f t="shared" si="315"/>
        <v>2423.4375</v>
      </c>
      <c r="BT130" s="376">
        <f t="shared" si="315"/>
        <v>2423.4375</v>
      </c>
      <c r="BU130" s="376">
        <f t="shared" si="315"/>
        <v>2423.4375</v>
      </c>
      <c r="BV130" s="377">
        <f t="shared" si="315"/>
        <v>1938.75</v>
      </c>
    </row>
    <row r="131" spans="1:74" ht="20.149999999999999" hidden="1" customHeight="1" outlineLevel="2" x14ac:dyDescent="0.25">
      <c r="A131" s="23" t="s">
        <v>23</v>
      </c>
      <c r="B131" s="8" t="s">
        <v>21</v>
      </c>
      <c r="C131" s="284">
        <f>'Custos Diversos'!$B$21</f>
        <v>145</v>
      </c>
      <c r="D131" s="284">
        <v>3</v>
      </c>
      <c r="E131" s="284">
        <v>7</v>
      </c>
      <c r="F131" s="284">
        <v>7</v>
      </c>
      <c r="G131" s="284">
        <v>7</v>
      </c>
      <c r="H131" s="284">
        <v>7</v>
      </c>
      <c r="I131" s="284">
        <v>7</v>
      </c>
      <c r="J131" s="284">
        <v>7</v>
      </c>
      <c r="K131" s="284">
        <v>7</v>
      </c>
      <c r="L131" s="358">
        <v>7</v>
      </c>
      <c r="M131" s="358">
        <v>7</v>
      </c>
      <c r="N131" s="358">
        <v>7</v>
      </c>
      <c r="O131" s="358">
        <v>7</v>
      </c>
      <c r="P131" s="358">
        <f t="shared" si="254"/>
        <v>3</v>
      </c>
      <c r="Q131" s="358">
        <f t="shared" si="255"/>
        <v>7</v>
      </c>
      <c r="R131" s="358">
        <f t="shared" si="256"/>
        <v>7</v>
      </c>
      <c r="S131" s="358">
        <f t="shared" si="257"/>
        <v>7</v>
      </c>
      <c r="T131" s="358">
        <f t="shared" si="258"/>
        <v>7</v>
      </c>
      <c r="U131" s="358">
        <f t="shared" si="259"/>
        <v>7</v>
      </c>
      <c r="V131" s="358">
        <f t="shared" si="260"/>
        <v>7</v>
      </c>
      <c r="W131" s="358">
        <f t="shared" si="261"/>
        <v>7</v>
      </c>
      <c r="X131" s="358">
        <f t="shared" si="262"/>
        <v>7</v>
      </c>
      <c r="Y131" s="358">
        <f t="shared" si="263"/>
        <v>7</v>
      </c>
      <c r="Z131" s="358">
        <f t="shared" si="264"/>
        <v>7</v>
      </c>
      <c r="AA131" s="358">
        <f t="shared" si="265"/>
        <v>7</v>
      </c>
      <c r="AB131" s="358">
        <f t="shared" si="266"/>
        <v>3</v>
      </c>
      <c r="AC131" s="358">
        <f t="shared" si="267"/>
        <v>7</v>
      </c>
      <c r="AD131" s="358">
        <f t="shared" si="268"/>
        <v>7</v>
      </c>
      <c r="AE131" s="358">
        <f t="shared" si="269"/>
        <v>7</v>
      </c>
      <c r="AF131" s="358">
        <f t="shared" si="270"/>
        <v>7</v>
      </c>
      <c r="AG131" s="358">
        <f t="shared" si="271"/>
        <v>7</v>
      </c>
      <c r="AH131" s="358">
        <f t="shared" si="272"/>
        <v>7</v>
      </c>
      <c r="AI131" s="358">
        <f t="shared" si="273"/>
        <v>7</v>
      </c>
      <c r="AJ131" s="358">
        <f t="shared" si="274"/>
        <v>7</v>
      </c>
      <c r="AK131" s="358">
        <f t="shared" si="275"/>
        <v>7</v>
      </c>
      <c r="AL131" s="359">
        <f t="shared" si="276"/>
        <v>7</v>
      </c>
      <c r="AM131" s="636"/>
      <c r="AN131" s="303">
        <f t="shared" ref="AN131:AW135" si="316">$C$120*D131</f>
        <v>435</v>
      </c>
      <c r="AO131" s="304">
        <f t="shared" si="316"/>
        <v>1015</v>
      </c>
      <c r="AP131" s="304">
        <f t="shared" si="316"/>
        <v>1015</v>
      </c>
      <c r="AQ131" s="304">
        <f t="shared" si="316"/>
        <v>1015</v>
      </c>
      <c r="AR131" s="304">
        <f t="shared" si="316"/>
        <v>1015</v>
      </c>
      <c r="AS131" s="304">
        <f t="shared" si="316"/>
        <v>1015</v>
      </c>
      <c r="AT131" s="304">
        <f t="shared" si="316"/>
        <v>1015</v>
      </c>
      <c r="AU131" s="304">
        <f t="shared" si="316"/>
        <v>1015</v>
      </c>
      <c r="AV131" s="376">
        <f t="shared" si="316"/>
        <v>1015</v>
      </c>
      <c r="AW131" s="376">
        <f t="shared" si="316"/>
        <v>1015</v>
      </c>
      <c r="AX131" s="376">
        <f t="shared" ref="AX131:BG135" si="317">$C$120*N131</f>
        <v>1015</v>
      </c>
      <c r="AY131" s="376">
        <f t="shared" si="317"/>
        <v>1015</v>
      </c>
      <c r="AZ131" s="376">
        <f t="shared" si="317"/>
        <v>435</v>
      </c>
      <c r="BA131" s="376">
        <f t="shared" si="317"/>
        <v>1015</v>
      </c>
      <c r="BB131" s="376">
        <f t="shared" si="317"/>
        <v>1015</v>
      </c>
      <c r="BC131" s="376">
        <f t="shared" si="317"/>
        <v>1015</v>
      </c>
      <c r="BD131" s="376">
        <f t="shared" si="317"/>
        <v>1015</v>
      </c>
      <c r="BE131" s="376">
        <f t="shared" si="317"/>
        <v>1015</v>
      </c>
      <c r="BF131" s="376">
        <f t="shared" si="317"/>
        <v>1015</v>
      </c>
      <c r="BG131" s="376">
        <f t="shared" si="317"/>
        <v>1015</v>
      </c>
      <c r="BH131" s="376">
        <f t="shared" ref="BH131:BQ135" si="318">$C$120*X131</f>
        <v>1015</v>
      </c>
      <c r="BI131" s="376">
        <f t="shared" si="318"/>
        <v>1015</v>
      </c>
      <c r="BJ131" s="376">
        <f t="shared" si="318"/>
        <v>1015</v>
      </c>
      <c r="BK131" s="376">
        <f t="shared" si="318"/>
        <v>1015</v>
      </c>
      <c r="BL131" s="376">
        <f t="shared" si="318"/>
        <v>435</v>
      </c>
      <c r="BM131" s="376">
        <f t="shared" si="318"/>
        <v>1015</v>
      </c>
      <c r="BN131" s="376">
        <f t="shared" si="318"/>
        <v>1015</v>
      </c>
      <c r="BO131" s="376">
        <f t="shared" si="318"/>
        <v>1015</v>
      </c>
      <c r="BP131" s="376">
        <f t="shared" si="318"/>
        <v>1015</v>
      </c>
      <c r="BQ131" s="376">
        <f t="shared" si="318"/>
        <v>1015</v>
      </c>
      <c r="BR131" s="376">
        <f t="shared" ref="BR131:BV135" si="319">$C$120*AH131</f>
        <v>1015</v>
      </c>
      <c r="BS131" s="376">
        <f t="shared" si="319"/>
        <v>1015</v>
      </c>
      <c r="BT131" s="376">
        <f t="shared" si="319"/>
        <v>1015</v>
      </c>
      <c r="BU131" s="376">
        <f t="shared" si="319"/>
        <v>1015</v>
      </c>
      <c r="BV131" s="377">
        <f t="shared" si="319"/>
        <v>1015</v>
      </c>
    </row>
    <row r="132" spans="1:74" ht="20.149999999999999" hidden="1" customHeight="1" outlineLevel="2" x14ac:dyDescent="0.25">
      <c r="A132" s="20" t="s">
        <v>49</v>
      </c>
      <c r="B132" s="8" t="s">
        <v>21</v>
      </c>
      <c r="C132" s="284">
        <f>'Custos Diversos'!$B$21</f>
        <v>145</v>
      </c>
      <c r="D132" s="284">
        <v>1.5</v>
      </c>
      <c r="E132" s="284">
        <v>2.4</v>
      </c>
      <c r="F132" s="284">
        <v>2.4</v>
      </c>
      <c r="G132" s="284">
        <v>2.4</v>
      </c>
      <c r="H132" s="284">
        <v>2.4</v>
      </c>
      <c r="I132" s="284">
        <v>2.4</v>
      </c>
      <c r="J132" s="284">
        <v>2.4</v>
      </c>
      <c r="K132" s="284">
        <v>2.4</v>
      </c>
      <c r="L132" s="358">
        <v>2.4</v>
      </c>
      <c r="M132" s="358">
        <v>2.4</v>
      </c>
      <c r="N132" s="358">
        <v>2.4</v>
      </c>
      <c r="O132" s="358">
        <v>2.4</v>
      </c>
      <c r="P132" s="358">
        <f t="shared" si="254"/>
        <v>1.5</v>
      </c>
      <c r="Q132" s="358">
        <f t="shared" si="255"/>
        <v>2.4</v>
      </c>
      <c r="R132" s="358">
        <f t="shared" si="256"/>
        <v>2.4</v>
      </c>
      <c r="S132" s="358">
        <f t="shared" si="257"/>
        <v>2.4</v>
      </c>
      <c r="T132" s="358">
        <f t="shared" si="258"/>
        <v>2.4</v>
      </c>
      <c r="U132" s="358">
        <f t="shared" si="259"/>
        <v>2.4</v>
      </c>
      <c r="V132" s="358">
        <f t="shared" si="260"/>
        <v>2.4</v>
      </c>
      <c r="W132" s="358">
        <f t="shared" si="261"/>
        <v>2.4</v>
      </c>
      <c r="X132" s="358">
        <f t="shared" si="262"/>
        <v>2.4</v>
      </c>
      <c r="Y132" s="358">
        <f t="shared" si="263"/>
        <v>2.4</v>
      </c>
      <c r="Z132" s="358">
        <f t="shared" si="264"/>
        <v>2.4</v>
      </c>
      <c r="AA132" s="358">
        <f t="shared" si="265"/>
        <v>2.4</v>
      </c>
      <c r="AB132" s="358">
        <f t="shared" si="266"/>
        <v>1.5</v>
      </c>
      <c r="AC132" s="358">
        <f t="shared" si="267"/>
        <v>2.4</v>
      </c>
      <c r="AD132" s="358">
        <f t="shared" si="268"/>
        <v>2.4</v>
      </c>
      <c r="AE132" s="358">
        <f t="shared" si="269"/>
        <v>2.4</v>
      </c>
      <c r="AF132" s="358">
        <f t="shared" si="270"/>
        <v>2.4</v>
      </c>
      <c r="AG132" s="358">
        <f t="shared" si="271"/>
        <v>2.4</v>
      </c>
      <c r="AH132" s="358">
        <f t="shared" si="272"/>
        <v>2.4</v>
      </c>
      <c r="AI132" s="358">
        <f t="shared" si="273"/>
        <v>2.4</v>
      </c>
      <c r="AJ132" s="358">
        <f t="shared" si="274"/>
        <v>2.4</v>
      </c>
      <c r="AK132" s="358">
        <f t="shared" si="275"/>
        <v>2.4</v>
      </c>
      <c r="AL132" s="359">
        <f t="shared" si="276"/>
        <v>2.4</v>
      </c>
      <c r="AM132" s="636"/>
      <c r="AN132" s="303">
        <f t="shared" si="316"/>
        <v>217.5</v>
      </c>
      <c r="AO132" s="304">
        <f t="shared" si="316"/>
        <v>348</v>
      </c>
      <c r="AP132" s="304">
        <f t="shared" si="316"/>
        <v>348</v>
      </c>
      <c r="AQ132" s="304">
        <f t="shared" si="316"/>
        <v>348</v>
      </c>
      <c r="AR132" s="304">
        <f t="shared" si="316"/>
        <v>348</v>
      </c>
      <c r="AS132" s="304">
        <f t="shared" si="316"/>
        <v>348</v>
      </c>
      <c r="AT132" s="304">
        <f t="shared" si="316"/>
        <v>348</v>
      </c>
      <c r="AU132" s="304">
        <f t="shared" si="316"/>
        <v>348</v>
      </c>
      <c r="AV132" s="376">
        <f t="shared" si="316"/>
        <v>348</v>
      </c>
      <c r="AW132" s="376">
        <f t="shared" si="316"/>
        <v>348</v>
      </c>
      <c r="AX132" s="376">
        <f t="shared" si="317"/>
        <v>348</v>
      </c>
      <c r="AY132" s="376">
        <f t="shared" si="317"/>
        <v>348</v>
      </c>
      <c r="AZ132" s="376">
        <f t="shared" si="317"/>
        <v>217.5</v>
      </c>
      <c r="BA132" s="376">
        <f t="shared" si="317"/>
        <v>348</v>
      </c>
      <c r="BB132" s="376">
        <f t="shared" si="317"/>
        <v>348</v>
      </c>
      <c r="BC132" s="376">
        <f t="shared" si="317"/>
        <v>348</v>
      </c>
      <c r="BD132" s="376">
        <f t="shared" si="317"/>
        <v>348</v>
      </c>
      <c r="BE132" s="376">
        <f t="shared" si="317"/>
        <v>348</v>
      </c>
      <c r="BF132" s="376">
        <f t="shared" si="317"/>
        <v>348</v>
      </c>
      <c r="BG132" s="376">
        <f t="shared" si="317"/>
        <v>348</v>
      </c>
      <c r="BH132" s="376">
        <f t="shared" si="318"/>
        <v>348</v>
      </c>
      <c r="BI132" s="376">
        <f t="shared" si="318"/>
        <v>348</v>
      </c>
      <c r="BJ132" s="376">
        <f t="shared" si="318"/>
        <v>348</v>
      </c>
      <c r="BK132" s="376">
        <f t="shared" si="318"/>
        <v>348</v>
      </c>
      <c r="BL132" s="376">
        <f t="shared" si="318"/>
        <v>217.5</v>
      </c>
      <c r="BM132" s="376">
        <f t="shared" si="318"/>
        <v>348</v>
      </c>
      <c r="BN132" s="376">
        <f t="shared" si="318"/>
        <v>348</v>
      </c>
      <c r="BO132" s="376">
        <f t="shared" si="318"/>
        <v>348</v>
      </c>
      <c r="BP132" s="376">
        <f t="shared" si="318"/>
        <v>348</v>
      </c>
      <c r="BQ132" s="376">
        <f t="shared" si="318"/>
        <v>348</v>
      </c>
      <c r="BR132" s="376">
        <f t="shared" si="319"/>
        <v>348</v>
      </c>
      <c r="BS132" s="376">
        <f t="shared" si="319"/>
        <v>348</v>
      </c>
      <c r="BT132" s="376">
        <f t="shared" si="319"/>
        <v>348</v>
      </c>
      <c r="BU132" s="376">
        <f t="shared" si="319"/>
        <v>348</v>
      </c>
      <c r="BV132" s="377">
        <f t="shared" si="319"/>
        <v>348</v>
      </c>
    </row>
    <row r="133" spans="1:74" ht="20.149999999999999" hidden="1" customHeight="1" outlineLevel="2" x14ac:dyDescent="0.25">
      <c r="A133" s="22" t="s">
        <v>92</v>
      </c>
      <c r="B133" s="8" t="s">
        <v>21</v>
      </c>
      <c r="C133" s="284">
        <f>'Custos Diversos'!$B$21</f>
        <v>145</v>
      </c>
      <c r="D133" s="284">
        <v>3</v>
      </c>
      <c r="E133" s="284">
        <v>0.25</v>
      </c>
      <c r="F133" s="284">
        <v>0.25</v>
      </c>
      <c r="G133" s="284">
        <v>0.25</v>
      </c>
      <c r="H133" s="284">
        <v>0.25</v>
      </c>
      <c r="I133" s="284">
        <v>0.25</v>
      </c>
      <c r="J133" s="284">
        <v>0.25</v>
      </c>
      <c r="K133" s="284">
        <v>0.25</v>
      </c>
      <c r="L133" s="358">
        <v>0.25</v>
      </c>
      <c r="M133" s="358">
        <v>0.25</v>
      </c>
      <c r="N133" s="358">
        <v>0.25</v>
      </c>
      <c r="O133" s="358">
        <v>0.25</v>
      </c>
      <c r="P133" s="358">
        <f t="shared" si="254"/>
        <v>3</v>
      </c>
      <c r="Q133" s="358">
        <f t="shared" si="255"/>
        <v>0.25</v>
      </c>
      <c r="R133" s="358">
        <f t="shared" si="256"/>
        <v>0.25</v>
      </c>
      <c r="S133" s="358">
        <f t="shared" si="257"/>
        <v>0.25</v>
      </c>
      <c r="T133" s="358">
        <f t="shared" si="258"/>
        <v>0.25</v>
      </c>
      <c r="U133" s="358">
        <f t="shared" si="259"/>
        <v>0.25</v>
      </c>
      <c r="V133" s="358">
        <f t="shared" si="260"/>
        <v>0.25</v>
      </c>
      <c r="W133" s="358">
        <f t="shared" si="261"/>
        <v>0.25</v>
      </c>
      <c r="X133" s="358">
        <f t="shared" si="262"/>
        <v>0.25</v>
      </c>
      <c r="Y133" s="358">
        <f t="shared" si="263"/>
        <v>0.25</v>
      </c>
      <c r="Z133" s="358">
        <f t="shared" si="264"/>
        <v>0.25</v>
      </c>
      <c r="AA133" s="358">
        <f t="shared" si="265"/>
        <v>0.25</v>
      </c>
      <c r="AB133" s="358">
        <f t="shared" si="266"/>
        <v>3</v>
      </c>
      <c r="AC133" s="358">
        <f t="shared" si="267"/>
        <v>0.25</v>
      </c>
      <c r="AD133" s="358">
        <f t="shared" si="268"/>
        <v>0.25</v>
      </c>
      <c r="AE133" s="358">
        <f t="shared" si="269"/>
        <v>0.25</v>
      </c>
      <c r="AF133" s="358">
        <f t="shared" si="270"/>
        <v>0.25</v>
      </c>
      <c r="AG133" s="358">
        <f t="shared" si="271"/>
        <v>0.25</v>
      </c>
      <c r="AH133" s="358">
        <f t="shared" si="272"/>
        <v>0.25</v>
      </c>
      <c r="AI133" s="358">
        <f t="shared" si="273"/>
        <v>0.25</v>
      </c>
      <c r="AJ133" s="358">
        <f t="shared" si="274"/>
        <v>0.25</v>
      </c>
      <c r="AK133" s="358">
        <f t="shared" si="275"/>
        <v>0.25</v>
      </c>
      <c r="AL133" s="359">
        <f t="shared" si="276"/>
        <v>0.25</v>
      </c>
      <c r="AM133" s="636"/>
      <c r="AN133" s="303">
        <f t="shared" si="316"/>
        <v>435</v>
      </c>
      <c r="AO133" s="304">
        <f t="shared" si="316"/>
        <v>36.25</v>
      </c>
      <c r="AP133" s="304">
        <f t="shared" si="316"/>
        <v>36.25</v>
      </c>
      <c r="AQ133" s="304">
        <f t="shared" si="316"/>
        <v>36.25</v>
      </c>
      <c r="AR133" s="304">
        <f t="shared" si="316"/>
        <v>36.25</v>
      </c>
      <c r="AS133" s="304">
        <f t="shared" si="316"/>
        <v>36.25</v>
      </c>
      <c r="AT133" s="304">
        <f t="shared" si="316"/>
        <v>36.25</v>
      </c>
      <c r="AU133" s="304">
        <f t="shared" si="316"/>
        <v>36.25</v>
      </c>
      <c r="AV133" s="376">
        <f t="shared" si="316"/>
        <v>36.25</v>
      </c>
      <c r="AW133" s="376">
        <f t="shared" si="316"/>
        <v>36.25</v>
      </c>
      <c r="AX133" s="376">
        <f t="shared" si="317"/>
        <v>36.25</v>
      </c>
      <c r="AY133" s="376">
        <f t="shared" si="317"/>
        <v>36.25</v>
      </c>
      <c r="AZ133" s="376">
        <f t="shared" si="317"/>
        <v>435</v>
      </c>
      <c r="BA133" s="376">
        <f t="shared" si="317"/>
        <v>36.25</v>
      </c>
      <c r="BB133" s="376">
        <f t="shared" si="317"/>
        <v>36.25</v>
      </c>
      <c r="BC133" s="376">
        <f t="shared" si="317"/>
        <v>36.25</v>
      </c>
      <c r="BD133" s="376">
        <f t="shared" si="317"/>
        <v>36.25</v>
      </c>
      <c r="BE133" s="376">
        <f t="shared" si="317"/>
        <v>36.25</v>
      </c>
      <c r="BF133" s="376">
        <f t="shared" si="317"/>
        <v>36.25</v>
      </c>
      <c r="BG133" s="376">
        <f t="shared" si="317"/>
        <v>36.25</v>
      </c>
      <c r="BH133" s="376">
        <f t="shared" si="318"/>
        <v>36.25</v>
      </c>
      <c r="BI133" s="376">
        <f t="shared" si="318"/>
        <v>36.25</v>
      </c>
      <c r="BJ133" s="376">
        <f t="shared" si="318"/>
        <v>36.25</v>
      </c>
      <c r="BK133" s="376">
        <f t="shared" si="318"/>
        <v>36.25</v>
      </c>
      <c r="BL133" s="376">
        <f t="shared" si="318"/>
        <v>435</v>
      </c>
      <c r="BM133" s="376">
        <f t="shared" si="318"/>
        <v>36.25</v>
      </c>
      <c r="BN133" s="376">
        <f t="shared" si="318"/>
        <v>36.25</v>
      </c>
      <c r="BO133" s="376">
        <f t="shared" si="318"/>
        <v>36.25</v>
      </c>
      <c r="BP133" s="376">
        <f t="shared" si="318"/>
        <v>36.25</v>
      </c>
      <c r="BQ133" s="376">
        <f t="shared" si="318"/>
        <v>36.25</v>
      </c>
      <c r="BR133" s="376">
        <f t="shared" si="319"/>
        <v>36.25</v>
      </c>
      <c r="BS133" s="376">
        <f t="shared" si="319"/>
        <v>36.25</v>
      </c>
      <c r="BT133" s="376">
        <f t="shared" si="319"/>
        <v>36.25</v>
      </c>
      <c r="BU133" s="376">
        <f t="shared" si="319"/>
        <v>36.25</v>
      </c>
      <c r="BV133" s="377">
        <f t="shared" si="319"/>
        <v>36.25</v>
      </c>
    </row>
    <row r="134" spans="1:74" ht="20.149999999999999" hidden="1" customHeight="1" outlineLevel="2" x14ac:dyDescent="0.25">
      <c r="A134" s="20" t="s">
        <v>50</v>
      </c>
      <c r="B134" s="8" t="s">
        <v>21</v>
      </c>
      <c r="C134" s="284">
        <f>'Custos Diversos'!$B$21</f>
        <v>145</v>
      </c>
      <c r="D134" s="284">
        <v>5</v>
      </c>
      <c r="E134" s="284">
        <v>5</v>
      </c>
      <c r="F134" s="284">
        <v>5</v>
      </c>
      <c r="G134" s="284">
        <v>5</v>
      </c>
      <c r="H134" s="284">
        <v>5</v>
      </c>
      <c r="I134" s="284">
        <v>5</v>
      </c>
      <c r="J134" s="284">
        <v>5</v>
      </c>
      <c r="K134" s="284">
        <v>5</v>
      </c>
      <c r="L134" s="358">
        <v>5</v>
      </c>
      <c r="M134" s="358">
        <v>5</v>
      </c>
      <c r="N134" s="358">
        <v>5</v>
      </c>
      <c r="O134" s="358">
        <v>5</v>
      </c>
      <c r="P134" s="358">
        <f t="shared" si="254"/>
        <v>5</v>
      </c>
      <c r="Q134" s="358">
        <f t="shared" si="255"/>
        <v>5</v>
      </c>
      <c r="R134" s="358">
        <f t="shared" si="256"/>
        <v>5</v>
      </c>
      <c r="S134" s="358">
        <f t="shared" si="257"/>
        <v>5</v>
      </c>
      <c r="T134" s="358">
        <f t="shared" si="258"/>
        <v>5</v>
      </c>
      <c r="U134" s="358">
        <f t="shared" si="259"/>
        <v>5</v>
      </c>
      <c r="V134" s="358">
        <f t="shared" si="260"/>
        <v>5</v>
      </c>
      <c r="W134" s="358">
        <f t="shared" si="261"/>
        <v>5</v>
      </c>
      <c r="X134" s="358">
        <f t="shared" si="262"/>
        <v>5</v>
      </c>
      <c r="Y134" s="358">
        <f t="shared" si="263"/>
        <v>5</v>
      </c>
      <c r="Z134" s="358">
        <f t="shared" si="264"/>
        <v>5</v>
      </c>
      <c r="AA134" s="358">
        <f t="shared" si="265"/>
        <v>5</v>
      </c>
      <c r="AB134" s="358">
        <f t="shared" si="266"/>
        <v>5</v>
      </c>
      <c r="AC134" s="358">
        <f t="shared" si="267"/>
        <v>5</v>
      </c>
      <c r="AD134" s="358">
        <f t="shared" si="268"/>
        <v>5</v>
      </c>
      <c r="AE134" s="358">
        <f t="shared" si="269"/>
        <v>5</v>
      </c>
      <c r="AF134" s="358">
        <f t="shared" si="270"/>
        <v>5</v>
      </c>
      <c r="AG134" s="358">
        <f t="shared" si="271"/>
        <v>5</v>
      </c>
      <c r="AH134" s="358">
        <f t="shared" si="272"/>
        <v>5</v>
      </c>
      <c r="AI134" s="358">
        <f t="shared" si="273"/>
        <v>5</v>
      </c>
      <c r="AJ134" s="358">
        <f t="shared" si="274"/>
        <v>5</v>
      </c>
      <c r="AK134" s="358">
        <f t="shared" si="275"/>
        <v>5</v>
      </c>
      <c r="AL134" s="359">
        <f t="shared" si="276"/>
        <v>5</v>
      </c>
      <c r="AM134" s="636"/>
      <c r="AN134" s="303">
        <f t="shared" si="316"/>
        <v>725</v>
      </c>
      <c r="AO134" s="304">
        <f t="shared" si="316"/>
        <v>725</v>
      </c>
      <c r="AP134" s="304">
        <f t="shared" si="316"/>
        <v>725</v>
      </c>
      <c r="AQ134" s="304">
        <f t="shared" si="316"/>
        <v>725</v>
      </c>
      <c r="AR134" s="304">
        <f t="shared" si="316"/>
        <v>725</v>
      </c>
      <c r="AS134" s="304">
        <f t="shared" si="316"/>
        <v>725</v>
      </c>
      <c r="AT134" s="304">
        <f t="shared" si="316"/>
        <v>725</v>
      </c>
      <c r="AU134" s="304">
        <f t="shared" si="316"/>
        <v>725</v>
      </c>
      <c r="AV134" s="376">
        <f t="shared" si="316"/>
        <v>725</v>
      </c>
      <c r="AW134" s="376">
        <f t="shared" si="316"/>
        <v>725</v>
      </c>
      <c r="AX134" s="376">
        <f t="shared" si="317"/>
        <v>725</v>
      </c>
      <c r="AY134" s="376">
        <f t="shared" si="317"/>
        <v>725</v>
      </c>
      <c r="AZ134" s="376">
        <f t="shared" si="317"/>
        <v>725</v>
      </c>
      <c r="BA134" s="376">
        <f t="shared" si="317"/>
        <v>725</v>
      </c>
      <c r="BB134" s="376">
        <f t="shared" si="317"/>
        <v>725</v>
      </c>
      <c r="BC134" s="376">
        <f t="shared" si="317"/>
        <v>725</v>
      </c>
      <c r="BD134" s="376">
        <f t="shared" si="317"/>
        <v>725</v>
      </c>
      <c r="BE134" s="376">
        <f t="shared" si="317"/>
        <v>725</v>
      </c>
      <c r="BF134" s="376">
        <f t="shared" si="317"/>
        <v>725</v>
      </c>
      <c r="BG134" s="376">
        <f t="shared" si="317"/>
        <v>725</v>
      </c>
      <c r="BH134" s="376">
        <f t="shared" si="318"/>
        <v>725</v>
      </c>
      <c r="BI134" s="376">
        <f t="shared" si="318"/>
        <v>725</v>
      </c>
      <c r="BJ134" s="376">
        <f t="shared" si="318"/>
        <v>725</v>
      </c>
      <c r="BK134" s="376">
        <f t="shared" si="318"/>
        <v>725</v>
      </c>
      <c r="BL134" s="376">
        <f t="shared" si="318"/>
        <v>725</v>
      </c>
      <c r="BM134" s="376">
        <f t="shared" si="318"/>
        <v>725</v>
      </c>
      <c r="BN134" s="376">
        <f t="shared" si="318"/>
        <v>725</v>
      </c>
      <c r="BO134" s="376">
        <f t="shared" si="318"/>
        <v>725</v>
      </c>
      <c r="BP134" s="376">
        <f t="shared" si="318"/>
        <v>725</v>
      </c>
      <c r="BQ134" s="376">
        <f t="shared" si="318"/>
        <v>725</v>
      </c>
      <c r="BR134" s="376">
        <f t="shared" si="319"/>
        <v>725</v>
      </c>
      <c r="BS134" s="376">
        <f t="shared" si="319"/>
        <v>725</v>
      </c>
      <c r="BT134" s="376">
        <f t="shared" si="319"/>
        <v>725</v>
      </c>
      <c r="BU134" s="376">
        <f t="shared" si="319"/>
        <v>725</v>
      </c>
      <c r="BV134" s="377">
        <f t="shared" si="319"/>
        <v>725</v>
      </c>
    </row>
    <row r="135" spans="1:74" ht="20.149999999999999" hidden="1" customHeight="1" outlineLevel="2" thickBot="1" x14ac:dyDescent="0.3">
      <c r="A135" s="326" t="s">
        <v>51</v>
      </c>
      <c r="B135" s="35" t="s">
        <v>21</v>
      </c>
      <c r="C135" s="322">
        <f>'Custos Diversos'!$B$21</f>
        <v>145</v>
      </c>
      <c r="D135" s="322">
        <v>3</v>
      </c>
      <c r="E135" s="322">
        <v>3</v>
      </c>
      <c r="F135" s="322">
        <v>3</v>
      </c>
      <c r="G135" s="322">
        <v>3</v>
      </c>
      <c r="H135" s="322">
        <v>3</v>
      </c>
      <c r="I135" s="322">
        <v>3</v>
      </c>
      <c r="J135" s="322">
        <v>3</v>
      </c>
      <c r="K135" s="322">
        <v>3</v>
      </c>
      <c r="L135" s="360">
        <v>3</v>
      </c>
      <c r="M135" s="360">
        <v>3</v>
      </c>
      <c r="N135" s="360">
        <v>3</v>
      </c>
      <c r="O135" s="360">
        <v>3</v>
      </c>
      <c r="P135" s="360">
        <f t="shared" si="254"/>
        <v>3</v>
      </c>
      <c r="Q135" s="360">
        <f t="shared" si="255"/>
        <v>3</v>
      </c>
      <c r="R135" s="360">
        <f t="shared" si="256"/>
        <v>3</v>
      </c>
      <c r="S135" s="360">
        <f t="shared" si="257"/>
        <v>3</v>
      </c>
      <c r="T135" s="360">
        <f t="shared" si="258"/>
        <v>3</v>
      </c>
      <c r="U135" s="360">
        <f t="shared" si="259"/>
        <v>3</v>
      </c>
      <c r="V135" s="360">
        <f t="shared" si="260"/>
        <v>3</v>
      </c>
      <c r="W135" s="360">
        <f t="shared" si="261"/>
        <v>3</v>
      </c>
      <c r="X135" s="360">
        <f t="shared" si="262"/>
        <v>3</v>
      </c>
      <c r="Y135" s="360">
        <f t="shared" si="263"/>
        <v>3</v>
      </c>
      <c r="Z135" s="360">
        <f t="shared" si="264"/>
        <v>3</v>
      </c>
      <c r="AA135" s="360">
        <f t="shared" si="265"/>
        <v>3</v>
      </c>
      <c r="AB135" s="360">
        <f t="shared" si="266"/>
        <v>3</v>
      </c>
      <c r="AC135" s="360">
        <f t="shared" si="267"/>
        <v>3</v>
      </c>
      <c r="AD135" s="360">
        <f t="shared" si="268"/>
        <v>3</v>
      </c>
      <c r="AE135" s="360">
        <f t="shared" si="269"/>
        <v>3</v>
      </c>
      <c r="AF135" s="360">
        <f t="shared" si="270"/>
        <v>3</v>
      </c>
      <c r="AG135" s="360">
        <f t="shared" si="271"/>
        <v>3</v>
      </c>
      <c r="AH135" s="360">
        <f t="shared" si="272"/>
        <v>3</v>
      </c>
      <c r="AI135" s="360">
        <f t="shared" si="273"/>
        <v>3</v>
      </c>
      <c r="AJ135" s="360">
        <f t="shared" si="274"/>
        <v>3</v>
      </c>
      <c r="AK135" s="360">
        <f t="shared" si="275"/>
        <v>3</v>
      </c>
      <c r="AL135" s="361">
        <f t="shared" si="276"/>
        <v>3</v>
      </c>
      <c r="AM135" s="636"/>
      <c r="AN135" s="334">
        <f t="shared" si="316"/>
        <v>435</v>
      </c>
      <c r="AO135" s="335">
        <f t="shared" si="316"/>
        <v>435</v>
      </c>
      <c r="AP135" s="335">
        <f t="shared" si="316"/>
        <v>435</v>
      </c>
      <c r="AQ135" s="335">
        <f t="shared" si="316"/>
        <v>435</v>
      </c>
      <c r="AR135" s="335">
        <f t="shared" si="316"/>
        <v>435</v>
      </c>
      <c r="AS135" s="335">
        <f t="shared" si="316"/>
        <v>435</v>
      </c>
      <c r="AT135" s="335">
        <f t="shared" si="316"/>
        <v>435</v>
      </c>
      <c r="AU135" s="335">
        <f t="shared" si="316"/>
        <v>435</v>
      </c>
      <c r="AV135" s="378">
        <f t="shared" si="316"/>
        <v>435</v>
      </c>
      <c r="AW135" s="378">
        <f t="shared" si="316"/>
        <v>435</v>
      </c>
      <c r="AX135" s="378">
        <f t="shared" si="317"/>
        <v>435</v>
      </c>
      <c r="AY135" s="378">
        <f t="shared" si="317"/>
        <v>435</v>
      </c>
      <c r="AZ135" s="378">
        <f t="shared" si="317"/>
        <v>435</v>
      </c>
      <c r="BA135" s="378">
        <f t="shared" si="317"/>
        <v>435</v>
      </c>
      <c r="BB135" s="378">
        <f t="shared" si="317"/>
        <v>435</v>
      </c>
      <c r="BC135" s="378">
        <f t="shared" si="317"/>
        <v>435</v>
      </c>
      <c r="BD135" s="378">
        <f t="shared" si="317"/>
        <v>435</v>
      </c>
      <c r="BE135" s="378">
        <f t="shared" si="317"/>
        <v>435</v>
      </c>
      <c r="BF135" s="378">
        <f t="shared" si="317"/>
        <v>435</v>
      </c>
      <c r="BG135" s="378">
        <f t="shared" si="317"/>
        <v>435</v>
      </c>
      <c r="BH135" s="378">
        <f t="shared" si="318"/>
        <v>435</v>
      </c>
      <c r="BI135" s="378">
        <f t="shared" si="318"/>
        <v>435</v>
      </c>
      <c r="BJ135" s="378">
        <f t="shared" si="318"/>
        <v>435</v>
      </c>
      <c r="BK135" s="378">
        <f t="shared" si="318"/>
        <v>435</v>
      </c>
      <c r="BL135" s="378">
        <f t="shared" si="318"/>
        <v>435</v>
      </c>
      <c r="BM135" s="378">
        <f t="shared" si="318"/>
        <v>435</v>
      </c>
      <c r="BN135" s="378">
        <f t="shared" si="318"/>
        <v>435</v>
      </c>
      <c r="BO135" s="378">
        <f t="shared" si="318"/>
        <v>435</v>
      </c>
      <c r="BP135" s="378">
        <f t="shared" si="318"/>
        <v>435</v>
      </c>
      <c r="BQ135" s="378">
        <f t="shared" si="318"/>
        <v>435</v>
      </c>
      <c r="BR135" s="378">
        <f t="shared" si="319"/>
        <v>435</v>
      </c>
      <c r="BS135" s="378">
        <f t="shared" si="319"/>
        <v>435</v>
      </c>
      <c r="BT135" s="378">
        <f t="shared" si="319"/>
        <v>435</v>
      </c>
      <c r="BU135" s="378">
        <f t="shared" si="319"/>
        <v>435</v>
      </c>
      <c r="BV135" s="379">
        <f t="shared" si="319"/>
        <v>435</v>
      </c>
    </row>
    <row r="136" spans="1:74" s="325" customFormat="1" ht="19.5" hidden="1" customHeight="1" outlineLevel="2" thickBot="1" x14ac:dyDescent="0.3">
      <c r="A136" s="1107" t="s">
        <v>102</v>
      </c>
      <c r="B136" s="1108"/>
      <c r="C136" s="1108"/>
      <c r="D136" s="1108"/>
      <c r="E136" s="1108"/>
      <c r="F136" s="1108"/>
      <c r="G136" s="1108"/>
      <c r="H136" s="1108"/>
      <c r="I136" s="1108"/>
      <c r="J136" s="1108"/>
      <c r="K136" s="1108"/>
      <c r="L136" s="1108"/>
      <c r="M136" s="1108"/>
      <c r="N136" s="1108"/>
      <c r="O136" s="1108"/>
      <c r="P136" s="1108"/>
      <c r="Q136" s="1108"/>
      <c r="R136" s="1108"/>
      <c r="S136" s="1108"/>
      <c r="T136" s="1108"/>
      <c r="U136" s="1108"/>
      <c r="V136" s="1108"/>
      <c r="W136" s="1108"/>
      <c r="X136" s="1108"/>
      <c r="Y136" s="1108"/>
      <c r="Z136" s="1108"/>
      <c r="AA136" s="1108"/>
      <c r="AB136" s="1108"/>
      <c r="AC136" s="1108"/>
      <c r="AD136" s="1108"/>
      <c r="AE136" s="1108"/>
      <c r="AF136" s="1108"/>
      <c r="AG136" s="1108"/>
      <c r="AH136" s="1108"/>
      <c r="AI136" s="1108"/>
      <c r="AJ136" s="1108"/>
      <c r="AK136" s="1108"/>
      <c r="AL136" s="1108"/>
      <c r="AM136" s="1108"/>
      <c r="AN136" s="406">
        <f t="shared" ref="AN136:BV136" si="320">SUM(AN120:AN135)</f>
        <v>7772</v>
      </c>
      <c r="AO136" s="406">
        <f t="shared" si="320"/>
        <v>11679.5625</v>
      </c>
      <c r="AP136" s="406">
        <f t="shared" si="320"/>
        <v>11080.8125</v>
      </c>
      <c r="AQ136" s="406">
        <f t="shared" si="320"/>
        <v>10540.0625</v>
      </c>
      <c r="AR136" s="406">
        <f t="shared" si="320"/>
        <v>10173.125</v>
      </c>
      <c r="AS136" s="406">
        <f t="shared" si="320"/>
        <v>9806.1875</v>
      </c>
      <c r="AT136" s="406">
        <f t="shared" si="320"/>
        <v>9265.4375</v>
      </c>
      <c r="AU136" s="406">
        <f t="shared" si="320"/>
        <v>9265.4375</v>
      </c>
      <c r="AV136" s="407">
        <f t="shared" si="320"/>
        <v>9265.4375</v>
      </c>
      <c r="AW136" s="407">
        <f t="shared" si="320"/>
        <v>9265.4375</v>
      </c>
      <c r="AX136" s="407">
        <f t="shared" si="320"/>
        <v>8357.75</v>
      </c>
      <c r="AY136" s="407">
        <f t="shared" si="320"/>
        <v>7990.8125</v>
      </c>
      <c r="AZ136" s="407">
        <f t="shared" si="320"/>
        <v>7772</v>
      </c>
      <c r="BA136" s="407">
        <f t="shared" si="320"/>
        <v>11679.5625</v>
      </c>
      <c r="BB136" s="407">
        <f t="shared" si="320"/>
        <v>11080.8125</v>
      </c>
      <c r="BC136" s="407">
        <f t="shared" si="320"/>
        <v>10540.0625</v>
      </c>
      <c r="BD136" s="407">
        <f t="shared" si="320"/>
        <v>10173.125</v>
      </c>
      <c r="BE136" s="407">
        <f t="shared" si="320"/>
        <v>9806.1875</v>
      </c>
      <c r="BF136" s="407">
        <f t="shared" si="320"/>
        <v>9265.4375</v>
      </c>
      <c r="BG136" s="407">
        <f t="shared" si="320"/>
        <v>9265.4375</v>
      </c>
      <c r="BH136" s="407">
        <f t="shared" si="320"/>
        <v>9265.4375</v>
      </c>
      <c r="BI136" s="407">
        <f t="shared" si="320"/>
        <v>9265.4375</v>
      </c>
      <c r="BJ136" s="407">
        <f t="shared" si="320"/>
        <v>8357.75</v>
      </c>
      <c r="BK136" s="407">
        <f t="shared" si="320"/>
        <v>7990.8125</v>
      </c>
      <c r="BL136" s="407">
        <f t="shared" si="320"/>
        <v>7772</v>
      </c>
      <c r="BM136" s="407">
        <f t="shared" si="320"/>
        <v>11679.5625</v>
      </c>
      <c r="BN136" s="407">
        <f t="shared" si="320"/>
        <v>11080.8125</v>
      </c>
      <c r="BO136" s="407">
        <f t="shared" si="320"/>
        <v>10540.0625</v>
      </c>
      <c r="BP136" s="407">
        <f t="shared" si="320"/>
        <v>10173.125</v>
      </c>
      <c r="BQ136" s="407">
        <f t="shared" si="320"/>
        <v>9806.1875</v>
      </c>
      <c r="BR136" s="407">
        <f t="shared" si="320"/>
        <v>9265.4375</v>
      </c>
      <c r="BS136" s="407">
        <f t="shared" si="320"/>
        <v>9265.4375</v>
      </c>
      <c r="BT136" s="407">
        <f t="shared" si="320"/>
        <v>9265.4375</v>
      </c>
      <c r="BU136" s="407">
        <f t="shared" si="320"/>
        <v>9265.4375</v>
      </c>
      <c r="BV136" s="407">
        <f t="shared" si="320"/>
        <v>8357.75</v>
      </c>
    </row>
    <row r="137" spans="1:74" ht="13" hidden="1" outlineLevel="2" thickBot="1" x14ac:dyDescent="0.3"/>
    <row r="138" spans="1:74" s="123" customFormat="1" ht="27" hidden="1" customHeight="1" outlineLevel="1" thickBot="1" x14ac:dyDescent="0.3">
      <c r="A138" s="1106" t="s">
        <v>59</v>
      </c>
      <c r="B138" s="1106"/>
      <c r="C138" s="1106"/>
      <c r="D138" s="1106"/>
      <c r="E138" s="1106"/>
      <c r="F138" s="1106"/>
      <c r="G138" s="1106"/>
      <c r="H138" s="1106"/>
      <c r="I138" s="1106"/>
      <c r="J138" s="1106"/>
      <c r="K138" s="1106"/>
      <c r="L138" s="1106"/>
      <c r="M138" s="1106"/>
      <c r="N138" s="1106"/>
      <c r="O138" s="1106"/>
      <c r="P138" s="1106"/>
      <c r="Q138" s="1106"/>
      <c r="R138" s="1106"/>
      <c r="S138" s="1106"/>
      <c r="T138" s="1106"/>
      <c r="U138" s="1106"/>
      <c r="V138" s="1106"/>
      <c r="W138" s="1106"/>
      <c r="X138" s="1106"/>
      <c r="Y138" s="1106"/>
      <c r="Z138" s="1106"/>
      <c r="AA138" s="1106"/>
      <c r="AB138" s="1106"/>
      <c r="AC138" s="1106"/>
      <c r="AD138" s="1106"/>
      <c r="AE138" s="1106"/>
      <c r="AF138" s="1106"/>
      <c r="AG138" s="1106"/>
      <c r="AH138" s="1106"/>
      <c r="AI138" s="1106"/>
      <c r="AJ138" s="1106"/>
      <c r="AK138" s="1106"/>
      <c r="AL138" s="1106"/>
      <c r="AM138" s="1106"/>
      <c r="AN138" s="1106"/>
      <c r="AO138" s="1106"/>
      <c r="AP138" s="1106"/>
      <c r="AQ138" s="1106"/>
      <c r="AR138" s="1106"/>
      <c r="AS138" s="1106"/>
      <c r="AT138" s="1106"/>
      <c r="AU138" s="1106"/>
      <c r="AV138" s="1106"/>
      <c r="AW138" s="1106"/>
      <c r="AX138" s="1106"/>
      <c r="AY138" s="1106"/>
      <c r="AZ138" s="1106"/>
      <c r="BA138" s="1106"/>
      <c r="BB138" s="1106"/>
      <c r="BC138" s="1106"/>
      <c r="BD138" s="1106"/>
      <c r="BE138" s="1106"/>
      <c r="BF138" s="1106"/>
      <c r="BG138" s="1106"/>
      <c r="BH138" s="1106"/>
      <c r="BI138" s="1106"/>
      <c r="BJ138" s="1106"/>
      <c r="BK138" s="1106"/>
      <c r="BL138" s="1106"/>
      <c r="BM138" s="1106"/>
      <c r="BN138" s="1106"/>
      <c r="BO138" s="1106"/>
      <c r="BP138" s="1106"/>
      <c r="BQ138" s="1106"/>
      <c r="BR138" s="1106"/>
      <c r="BS138" s="1106"/>
      <c r="BT138" s="1106"/>
      <c r="BU138" s="1106"/>
      <c r="BV138" s="1106"/>
    </row>
    <row r="139" spans="1:74" ht="18" hidden="1" customHeight="1" outlineLevel="2" thickBot="1" x14ac:dyDescent="0.3">
      <c r="A139" s="1102" t="s">
        <v>113</v>
      </c>
      <c r="B139" s="1102" t="s">
        <v>8</v>
      </c>
      <c r="C139" s="1102" t="s">
        <v>100</v>
      </c>
      <c r="D139" s="1102" t="s">
        <v>97</v>
      </c>
      <c r="E139" s="1102"/>
      <c r="F139" s="1102"/>
      <c r="G139" s="1102"/>
      <c r="H139" s="1102"/>
      <c r="I139" s="1102"/>
      <c r="J139" s="1102"/>
      <c r="K139" s="1102"/>
      <c r="L139" s="1102"/>
      <c r="M139" s="1102"/>
      <c r="N139" s="1102"/>
      <c r="O139" s="1102"/>
      <c r="P139" s="1102"/>
      <c r="Q139" s="1102"/>
      <c r="R139" s="1102"/>
      <c r="S139" s="1102"/>
      <c r="T139" s="1102"/>
      <c r="U139" s="1102"/>
      <c r="V139" s="1102"/>
      <c r="W139" s="1102"/>
      <c r="X139" s="1102"/>
      <c r="Y139" s="1102"/>
      <c r="Z139" s="1102"/>
      <c r="AA139" s="1102"/>
      <c r="AB139" s="1102"/>
      <c r="AC139" s="1102"/>
      <c r="AD139" s="1102"/>
      <c r="AE139" s="1102"/>
      <c r="AF139" s="1102"/>
      <c r="AG139" s="1102"/>
      <c r="AH139" s="1102"/>
      <c r="AI139" s="1102"/>
      <c r="AJ139" s="1102"/>
      <c r="AK139" s="1102"/>
      <c r="AL139" s="1102"/>
      <c r="AM139" s="634"/>
      <c r="AN139" s="1102" t="s">
        <v>99</v>
      </c>
      <c r="AO139" s="1102"/>
      <c r="AP139" s="1102"/>
      <c r="AQ139" s="1102"/>
      <c r="AR139" s="1102"/>
      <c r="AS139" s="1102"/>
      <c r="AT139" s="1102"/>
      <c r="AU139" s="1102"/>
      <c r="AV139" s="1102"/>
      <c r="AW139" s="1102"/>
      <c r="AX139" s="1102"/>
      <c r="AY139" s="1102"/>
      <c r="AZ139" s="1102"/>
      <c r="BA139" s="1102"/>
      <c r="BB139" s="1102"/>
      <c r="BC139" s="1102"/>
      <c r="BD139" s="1102"/>
      <c r="BE139" s="1102"/>
      <c r="BF139" s="1102"/>
      <c r="BG139" s="1102"/>
      <c r="BH139" s="1102"/>
      <c r="BI139" s="1102"/>
      <c r="BJ139" s="1102"/>
      <c r="BK139" s="1102"/>
      <c r="BL139" s="1102"/>
      <c r="BM139" s="1102"/>
      <c r="BN139" s="1102"/>
      <c r="BO139" s="1102"/>
      <c r="BP139" s="1102"/>
      <c r="BQ139" s="1102"/>
      <c r="BR139" s="1102"/>
      <c r="BS139" s="1102"/>
      <c r="BT139" s="1102"/>
      <c r="BU139" s="1102"/>
      <c r="BV139" s="1102"/>
    </row>
    <row r="140" spans="1:74" ht="18" hidden="1" customHeight="1" outlineLevel="2" thickBot="1" x14ac:dyDescent="0.3">
      <c r="A140" s="1102"/>
      <c r="B140" s="1102"/>
      <c r="C140" s="1102"/>
      <c r="D140" s="275">
        <v>1</v>
      </c>
      <c r="E140" s="211">
        <v>2</v>
      </c>
      <c r="F140" s="211">
        <v>3</v>
      </c>
      <c r="G140" s="211">
        <v>4</v>
      </c>
      <c r="H140" s="211">
        <v>5</v>
      </c>
      <c r="I140" s="211">
        <v>6</v>
      </c>
      <c r="J140" s="211">
        <v>7</v>
      </c>
      <c r="K140" s="211">
        <v>8</v>
      </c>
      <c r="L140" s="211">
        <v>9</v>
      </c>
      <c r="M140" s="211">
        <v>10</v>
      </c>
      <c r="N140" s="211">
        <v>11</v>
      </c>
      <c r="O140" s="211">
        <v>12</v>
      </c>
      <c r="P140" s="211">
        <v>13</v>
      </c>
      <c r="Q140" s="211">
        <v>14</v>
      </c>
      <c r="R140" s="211">
        <v>15</v>
      </c>
      <c r="S140" s="211">
        <v>16</v>
      </c>
      <c r="T140" s="211">
        <v>17</v>
      </c>
      <c r="U140" s="211">
        <v>18</v>
      </c>
      <c r="V140" s="211">
        <v>19</v>
      </c>
      <c r="W140" s="211">
        <v>20</v>
      </c>
      <c r="X140" s="211">
        <v>21</v>
      </c>
      <c r="Y140" s="211">
        <v>22</v>
      </c>
      <c r="Z140" s="211">
        <v>23</v>
      </c>
      <c r="AA140" s="211">
        <v>24</v>
      </c>
      <c r="AB140" s="211">
        <v>25</v>
      </c>
      <c r="AC140" s="211">
        <v>26</v>
      </c>
      <c r="AD140" s="211">
        <v>27</v>
      </c>
      <c r="AE140" s="211">
        <v>28</v>
      </c>
      <c r="AF140" s="211">
        <v>29</v>
      </c>
      <c r="AG140" s="211">
        <v>30</v>
      </c>
      <c r="AH140" s="211">
        <v>31</v>
      </c>
      <c r="AI140" s="211">
        <v>32</v>
      </c>
      <c r="AJ140" s="211">
        <v>33</v>
      </c>
      <c r="AK140" s="211">
        <v>34</v>
      </c>
      <c r="AL140" s="212">
        <v>35</v>
      </c>
      <c r="AM140" s="635"/>
      <c r="AN140" s="275">
        <v>1</v>
      </c>
      <c r="AO140" s="211">
        <v>2</v>
      </c>
      <c r="AP140" s="211">
        <v>3</v>
      </c>
      <c r="AQ140" s="211">
        <v>4</v>
      </c>
      <c r="AR140" s="211">
        <v>5</v>
      </c>
      <c r="AS140" s="211">
        <v>6</v>
      </c>
      <c r="AT140" s="211">
        <v>7</v>
      </c>
      <c r="AU140" s="211">
        <v>8</v>
      </c>
      <c r="AV140" s="211">
        <v>9</v>
      </c>
      <c r="AW140" s="211">
        <v>10</v>
      </c>
      <c r="AX140" s="211">
        <v>11</v>
      </c>
      <c r="AY140" s="211">
        <v>12</v>
      </c>
      <c r="AZ140" s="211">
        <v>13</v>
      </c>
      <c r="BA140" s="211">
        <v>14</v>
      </c>
      <c r="BB140" s="211">
        <v>15</v>
      </c>
      <c r="BC140" s="211">
        <v>16</v>
      </c>
      <c r="BD140" s="211">
        <v>17</v>
      </c>
      <c r="BE140" s="211">
        <v>18</v>
      </c>
      <c r="BF140" s="211">
        <v>19</v>
      </c>
      <c r="BG140" s="211">
        <v>20</v>
      </c>
      <c r="BH140" s="211">
        <v>21</v>
      </c>
      <c r="BI140" s="211">
        <v>22</v>
      </c>
      <c r="BJ140" s="211">
        <v>23</v>
      </c>
      <c r="BK140" s="211">
        <v>24</v>
      </c>
      <c r="BL140" s="211">
        <v>25</v>
      </c>
      <c r="BM140" s="211">
        <v>26</v>
      </c>
      <c r="BN140" s="211">
        <v>27</v>
      </c>
      <c r="BO140" s="211">
        <v>28</v>
      </c>
      <c r="BP140" s="211">
        <v>29</v>
      </c>
      <c r="BQ140" s="211">
        <v>30</v>
      </c>
      <c r="BR140" s="211">
        <v>31</v>
      </c>
      <c r="BS140" s="211">
        <v>32</v>
      </c>
      <c r="BT140" s="211">
        <v>33</v>
      </c>
      <c r="BU140" s="211">
        <v>34</v>
      </c>
      <c r="BV140" s="212">
        <v>35</v>
      </c>
    </row>
    <row r="141" spans="1:74" ht="20.149999999999999" hidden="1" customHeight="1" outlineLevel="2" x14ac:dyDescent="0.25">
      <c r="A141" s="21" t="s">
        <v>78</v>
      </c>
      <c r="B141" s="11" t="str">
        <f>'Custos Insumos'!$C$41</f>
        <v>HMPP</v>
      </c>
      <c r="C141" s="279">
        <f>'Custos Insumos'!$D$41</f>
        <v>400</v>
      </c>
      <c r="D141" s="279">
        <v>4</v>
      </c>
      <c r="E141" s="279"/>
      <c r="F141" s="279"/>
      <c r="G141" s="279"/>
      <c r="H141" s="279"/>
      <c r="I141" s="279"/>
      <c r="J141" s="279"/>
      <c r="K141" s="279"/>
      <c r="L141" s="356"/>
      <c r="M141" s="356"/>
      <c r="N141" s="356"/>
      <c r="O141" s="356"/>
      <c r="P141" s="356">
        <f t="shared" ref="P141:AA148" si="321">D141</f>
        <v>4</v>
      </c>
      <c r="Q141" s="356">
        <f t="shared" si="321"/>
        <v>0</v>
      </c>
      <c r="R141" s="356">
        <f t="shared" si="321"/>
        <v>0</v>
      </c>
      <c r="S141" s="356">
        <f t="shared" si="321"/>
        <v>0</v>
      </c>
      <c r="T141" s="356">
        <f t="shared" si="321"/>
        <v>0</v>
      </c>
      <c r="U141" s="356">
        <f t="shared" si="321"/>
        <v>0</v>
      </c>
      <c r="V141" s="356">
        <f t="shared" si="321"/>
        <v>0</v>
      </c>
      <c r="W141" s="356">
        <f t="shared" si="321"/>
        <v>0</v>
      </c>
      <c r="X141" s="356">
        <f t="shared" si="321"/>
        <v>0</v>
      </c>
      <c r="Y141" s="356">
        <f t="shared" si="321"/>
        <v>0</v>
      </c>
      <c r="Z141" s="356">
        <f t="shared" si="321"/>
        <v>0</v>
      </c>
      <c r="AA141" s="356">
        <f t="shared" si="321"/>
        <v>0</v>
      </c>
      <c r="AB141" s="356">
        <f t="shared" ref="AB141:AL148" si="322">D141</f>
        <v>4</v>
      </c>
      <c r="AC141" s="356">
        <f t="shared" si="322"/>
        <v>0</v>
      </c>
      <c r="AD141" s="356">
        <f t="shared" si="322"/>
        <v>0</v>
      </c>
      <c r="AE141" s="356">
        <f t="shared" si="322"/>
        <v>0</v>
      </c>
      <c r="AF141" s="356">
        <f t="shared" si="322"/>
        <v>0</v>
      </c>
      <c r="AG141" s="356">
        <f t="shared" si="322"/>
        <v>0</v>
      </c>
      <c r="AH141" s="356">
        <f t="shared" si="322"/>
        <v>0</v>
      </c>
      <c r="AI141" s="356">
        <f t="shared" si="322"/>
        <v>0</v>
      </c>
      <c r="AJ141" s="356">
        <f t="shared" si="322"/>
        <v>0</v>
      </c>
      <c r="AK141" s="356">
        <f t="shared" si="322"/>
        <v>0</v>
      </c>
      <c r="AL141" s="357">
        <f t="shared" si="322"/>
        <v>0</v>
      </c>
      <c r="AM141" s="636"/>
      <c r="AN141" s="280">
        <f t="shared" ref="AN141:BV141" si="323">$C$141*D141</f>
        <v>1600</v>
      </c>
      <c r="AO141" s="281">
        <f t="shared" si="323"/>
        <v>0</v>
      </c>
      <c r="AP141" s="281">
        <f t="shared" si="323"/>
        <v>0</v>
      </c>
      <c r="AQ141" s="281">
        <f t="shared" si="323"/>
        <v>0</v>
      </c>
      <c r="AR141" s="281">
        <f t="shared" si="323"/>
        <v>0</v>
      </c>
      <c r="AS141" s="281">
        <f t="shared" si="323"/>
        <v>0</v>
      </c>
      <c r="AT141" s="281">
        <f t="shared" si="323"/>
        <v>0</v>
      </c>
      <c r="AU141" s="281">
        <f t="shared" si="323"/>
        <v>0</v>
      </c>
      <c r="AV141" s="374">
        <f t="shared" si="323"/>
        <v>0</v>
      </c>
      <c r="AW141" s="374">
        <f t="shared" si="323"/>
        <v>0</v>
      </c>
      <c r="AX141" s="374">
        <f t="shared" si="323"/>
        <v>0</v>
      </c>
      <c r="AY141" s="374">
        <f t="shared" si="323"/>
        <v>0</v>
      </c>
      <c r="AZ141" s="374">
        <f t="shared" si="323"/>
        <v>1600</v>
      </c>
      <c r="BA141" s="374">
        <f t="shared" si="323"/>
        <v>0</v>
      </c>
      <c r="BB141" s="374">
        <f t="shared" si="323"/>
        <v>0</v>
      </c>
      <c r="BC141" s="374">
        <f t="shared" si="323"/>
        <v>0</v>
      </c>
      <c r="BD141" s="374">
        <f t="shared" si="323"/>
        <v>0</v>
      </c>
      <c r="BE141" s="374">
        <f t="shared" si="323"/>
        <v>0</v>
      </c>
      <c r="BF141" s="374">
        <f t="shared" si="323"/>
        <v>0</v>
      </c>
      <c r="BG141" s="374">
        <f t="shared" si="323"/>
        <v>0</v>
      </c>
      <c r="BH141" s="374">
        <f t="shared" si="323"/>
        <v>0</v>
      </c>
      <c r="BI141" s="374">
        <f t="shared" si="323"/>
        <v>0</v>
      </c>
      <c r="BJ141" s="374">
        <f t="shared" si="323"/>
        <v>0</v>
      </c>
      <c r="BK141" s="374">
        <f t="shared" si="323"/>
        <v>0</v>
      </c>
      <c r="BL141" s="374">
        <f t="shared" si="323"/>
        <v>1600</v>
      </c>
      <c r="BM141" s="374">
        <f t="shared" si="323"/>
        <v>0</v>
      </c>
      <c r="BN141" s="374">
        <f t="shared" si="323"/>
        <v>0</v>
      </c>
      <c r="BO141" s="374">
        <f t="shared" si="323"/>
        <v>0</v>
      </c>
      <c r="BP141" s="374">
        <f t="shared" si="323"/>
        <v>0</v>
      </c>
      <c r="BQ141" s="374">
        <f t="shared" si="323"/>
        <v>0</v>
      </c>
      <c r="BR141" s="374">
        <f t="shared" si="323"/>
        <v>0</v>
      </c>
      <c r="BS141" s="374">
        <f t="shared" si="323"/>
        <v>0</v>
      </c>
      <c r="BT141" s="374">
        <f t="shared" si="323"/>
        <v>0</v>
      </c>
      <c r="BU141" s="374">
        <f t="shared" si="323"/>
        <v>0</v>
      </c>
      <c r="BV141" s="375">
        <f t="shared" si="323"/>
        <v>0</v>
      </c>
    </row>
    <row r="142" spans="1:74" ht="20.149999999999999" hidden="1" customHeight="1" outlineLevel="2" x14ac:dyDescent="0.25">
      <c r="A142" s="22" t="s">
        <v>79</v>
      </c>
      <c r="B142" s="12" t="str">
        <f>'Custos Insumos'!$C$42</f>
        <v>HMPM</v>
      </c>
      <c r="C142" s="284">
        <f>'Custos Insumos'!$D$42</f>
        <v>250</v>
      </c>
      <c r="D142" s="284">
        <v>2</v>
      </c>
      <c r="E142" s="284">
        <v>2</v>
      </c>
      <c r="F142" s="284">
        <v>2</v>
      </c>
      <c r="G142" s="284">
        <v>2</v>
      </c>
      <c r="H142" s="284">
        <v>2</v>
      </c>
      <c r="I142" s="284">
        <v>2</v>
      </c>
      <c r="J142" s="284">
        <v>2</v>
      </c>
      <c r="K142" s="284">
        <v>2</v>
      </c>
      <c r="L142" s="358">
        <v>2</v>
      </c>
      <c r="M142" s="358">
        <v>2</v>
      </c>
      <c r="N142" s="358">
        <v>2</v>
      </c>
      <c r="O142" s="358">
        <v>2</v>
      </c>
      <c r="P142" s="358">
        <f t="shared" si="321"/>
        <v>2</v>
      </c>
      <c r="Q142" s="358">
        <f t="shared" si="321"/>
        <v>2</v>
      </c>
      <c r="R142" s="358">
        <f t="shared" si="321"/>
        <v>2</v>
      </c>
      <c r="S142" s="358">
        <f t="shared" si="321"/>
        <v>2</v>
      </c>
      <c r="T142" s="358">
        <f t="shared" si="321"/>
        <v>2</v>
      </c>
      <c r="U142" s="358">
        <f t="shared" si="321"/>
        <v>2</v>
      </c>
      <c r="V142" s="358">
        <f t="shared" si="321"/>
        <v>2</v>
      </c>
      <c r="W142" s="358">
        <f t="shared" si="321"/>
        <v>2</v>
      </c>
      <c r="X142" s="358">
        <f t="shared" si="321"/>
        <v>2</v>
      </c>
      <c r="Y142" s="358">
        <f t="shared" si="321"/>
        <v>2</v>
      </c>
      <c r="Z142" s="358">
        <f t="shared" si="321"/>
        <v>2</v>
      </c>
      <c r="AA142" s="358">
        <f t="shared" si="321"/>
        <v>2</v>
      </c>
      <c r="AB142" s="358">
        <f t="shared" si="322"/>
        <v>2</v>
      </c>
      <c r="AC142" s="358">
        <f t="shared" si="322"/>
        <v>2</v>
      </c>
      <c r="AD142" s="358">
        <f t="shared" si="322"/>
        <v>2</v>
      </c>
      <c r="AE142" s="358">
        <f t="shared" si="322"/>
        <v>2</v>
      </c>
      <c r="AF142" s="358">
        <f t="shared" si="322"/>
        <v>2</v>
      </c>
      <c r="AG142" s="358">
        <f t="shared" si="322"/>
        <v>2</v>
      </c>
      <c r="AH142" s="358">
        <f t="shared" si="322"/>
        <v>2</v>
      </c>
      <c r="AI142" s="358">
        <f t="shared" si="322"/>
        <v>2</v>
      </c>
      <c r="AJ142" s="358">
        <f t="shared" si="322"/>
        <v>2</v>
      </c>
      <c r="AK142" s="358">
        <f t="shared" si="322"/>
        <v>2</v>
      </c>
      <c r="AL142" s="359">
        <f t="shared" si="322"/>
        <v>2</v>
      </c>
      <c r="AM142" s="636"/>
      <c r="AN142" s="285">
        <f t="shared" ref="AN142:BV142" si="324">$C$142*D142</f>
        <v>500</v>
      </c>
      <c r="AO142" s="286">
        <f t="shared" si="324"/>
        <v>500</v>
      </c>
      <c r="AP142" s="286">
        <f t="shared" si="324"/>
        <v>500</v>
      </c>
      <c r="AQ142" s="286">
        <f t="shared" si="324"/>
        <v>500</v>
      </c>
      <c r="AR142" s="286">
        <f t="shared" si="324"/>
        <v>500</v>
      </c>
      <c r="AS142" s="286">
        <f t="shared" si="324"/>
        <v>500</v>
      </c>
      <c r="AT142" s="286">
        <f t="shared" si="324"/>
        <v>500</v>
      </c>
      <c r="AU142" s="286">
        <f t="shared" si="324"/>
        <v>500</v>
      </c>
      <c r="AV142" s="376">
        <f t="shared" si="324"/>
        <v>500</v>
      </c>
      <c r="AW142" s="376">
        <f t="shared" si="324"/>
        <v>500</v>
      </c>
      <c r="AX142" s="376">
        <f t="shared" si="324"/>
        <v>500</v>
      </c>
      <c r="AY142" s="376">
        <f t="shared" si="324"/>
        <v>500</v>
      </c>
      <c r="AZ142" s="376">
        <f t="shared" si="324"/>
        <v>500</v>
      </c>
      <c r="BA142" s="376">
        <f t="shared" si="324"/>
        <v>500</v>
      </c>
      <c r="BB142" s="376">
        <f t="shared" si="324"/>
        <v>500</v>
      </c>
      <c r="BC142" s="376">
        <f t="shared" si="324"/>
        <v>500</v>
      </c>
      <c r="BD142" s="376">
        <f t="shared" si="324"/>
        <v>500</v>
      </c>
      <c r="BE142" s="376">
        <f t="shared" si="324"/>
        <v>500</v>
      </c>
      <c r="BF142" s="376">
        <f t="shared" si="324"/>
        <v>500</v>
      </c>
      <c r="BG142" s="376">
        <f t="shared" si="324"/>
        <v>500</v>
      </c>
      <c r="BH142" s="376">
        <f t="shared" si="324"/>
        <v>500</v>
      </c>
      <c r="BI142" s="376">
        <f t="shared" si="324"/>
        <v>500</v>
      </c>
      <c r="BJ142" s="376">
        <f t="shared" si="324"/>
        <v>500</v>
      </c>
      <c r="BK142" s="376">
        <f t="shared" si="324"/>
        <v>500</v>
      </c>
      <c r="BL142" s="376">
        <f t="shared" si="324"/>
        <v>500</v>
      </c>
      <c r="BM142" s="376">
        <f t="shared" si="324"/>
        <v>500</v>
      </c>
      <c r="BN142" s="376">
        <f t="shared" si="324"/>
        <v>500</v>
      </c>
      <c r="BO142" s="376">
        <f t="shared" si="324"/>
        <v>500</v>
      </c>
      <c r="BP142" s="376">
        <f t="shared" si="324"/>
        <v>500</v>
      </c>
      <c r="BQ142" s="376">
        <f t="shared" si="324"/>
        <v>500</v>
      </c>
      <c r="BR142" s="376">
        <f t="shared" si="324"/>
        <v>500</v>
      </c>
      <c r="BS142" s="376">
        <f t="shared" si="324"/>
        <v>500</v>
      </c>
      <c r="BT142" s="376">
        <f t="shared" si="324"/>
        <v>500</v>
      </c>
      <c r="BU142" s="376">
        <f t="shared" si="324"/>
        <v>500</v>
      </c>
      <c r="BV142" s="377">
        <f t="shared" si="324"/>
        <v>500</v>
      </c>
    </row>
    <row r="143" spans="1:74" ht="20.149999999999999" hidden="1" customHeight="1" outlineLevel="2" x14ac:dyDescent="0.25">
      <c r="A143" s="22" t="s">
        <v>80</v>
      </c>
      <c r="B143" s="12" t="str">
        <f>'Custos Insumos'!$C$42</f>
        <v>HMPM</v>
      </c>
      <c r="C143" s="284">
        <f>'Custos Insumos'!$D$42</f>
        <v>250</v>
      </c>
      <c r="D143" s="284">
        <v>2</v>
      </c>
      <c r="E143" s="284">
        <v>2</v>
      </c>
      <c r="F143" s="284">
        <v>2</v>
      </c>
      <c r="G143" s="284">
        <v>2</v>
      </c>
      <c r="H143" s="284">
        <v>2</v>
      </c>
      <c r="I143" s="284">
        <v>2</v>
      </c>
      <c r="J143" s="284">
        <v>2</v>
      </c>
      <c r="K143" s="284">
        <v>2</v>
      </c>
      <c r="L143" s="358">
        <v>2</v>
      </c>
      <c r="M143" s="358">
        <v>2</v>
      </c>
      <c r="N143" s="358">
        <v>2</v>
      </c>
      <c r="O143" s="358">
        <v>2</v>
      </c>
      <c r="P143" s="358">
        <f t="shared" si="321"/>
        <v>2</v>
      </c>
      <c r="Q143" s="358">
        <f t="shared" si="321"/>
        <v>2</v>
      </c>
      <c r="R143" s="358">
        <f t="shared" si="321"/>
        <v>2</v>
      </c>
      <c r="S143" s="358">
        <f t="shared" si="321"/>
        <v>2</v>
      </c>
      <c r="T143" s="358">
        <f t="shared" si="321"/>
        <v>2</v>
      </c>
      <c r="U143" s="358">
        <f t="shared" si="321"/>
        <v>2</v>
      </c>
      <c r="V143" s="358">
        <f t="shared" si="321"/>
        <v>2</v>
      </c>
      <c r="W143" s="358">
        <f t="shared" si="321"/>
        <v>2</v>
      </c>
      <c r="X143" s="358">
        <f t="shared" si="321"/>
        <v>2</v>
      </c>
      <c r="Y143" s="358">
        <f t="shared" si="321"/>
        <v>2</v>
      </c>
      <c r="Z143" s="358">
        <f t="shared" si="321"/>
        <v>2</v>
      </c>
      <c r="AA143" s="358">
        <f t="shared" si="321"/>
        <v>2</v>
      </c>
      <c r="AB143" s="358">
        <f t="shared" si="322"/>
        <v>2</v>
      </c>
      <c r="AC143" s="358">
        <f t="shared" si="322"/>
        <v>2</v>
      </c>
      <c r="AD143" s="358">
        <f t="shared" si="322"/>
        <v>2</v>
      </c>
      <c r="AE143" s="358">
        <f t="shared" si="322"/>
        <v>2</v>
      </c>
      <c r="AF143" s="358">
        <f t="shared" si="322"/>
        <v>2</v>
      </c>
      <c r="AG143" s="358">
        <f t="shared" si="322"/>
        <v>2</v>
      </c>
      <c r="AH143" s="358">
        <f t="shared" si="322"/>
        <v>2</v>
      </c>
      <c r="AI143" s="358">
        <f t="shared" si="322"/>
        <v>2</v>
      </c>
      <c r="AJ143" s="358">
        <f t="shared" si="322"/>
        <v>2</v>
      </c>
      <c r="AK143" s="358">
        <f t="shared" si="322"/>
        <v>2</v>
      </c>
      <c r="AL143" s="359">
        <f t="shared" si="322"/>
        <v>2</v>
      </c>
      <c r="AM143" s="636"/>
      <c r="AN143" s="285">
        <f t="shared" ref="AN143:BV143" si="325">$C$143*D143</f>
        <v>500</v>
      </c>
      <c r="AO143" s="286">
        <f t="shared" si="325"/>
        <v>500</v>
      </c>
      <c r="AP143" s="286">
        <f t="shared" si="325"/>
        <v>500</v>
      </c>
      <c r="AQ143" s="286">
        <f t="shared" si="325"/>
        <v>500</v>
      </c>
      <c r="AR143" s="286">
        <f t="shared" si="325"/>
        <v>500</v>
      </c>
      <c r="AS143" s="286">
        <f t="shared" si="325"/>
        <v>500</v>
      </c>
      <c r="AT143" s="286">
        <f t="shared" si="325"/>
        <v>500</v>
      </c>
      <c r="AU143" s="286">
        <f t="shared" si="325"/>
        <v>500</v>
      </c>
      <c r="AV143" s="376">
        <f t="shared" si="325"/>
        <v>500</v>
      </c>
      <c r="AW143" s="376">
        <f t="shared" si="325"/>
        <v>500</v>
      </c>
      <c r="AX143" s="376">
        <f t="shared" si="325"/>
        <v>500</v>
      </c>
      <c r="AY143" s="376">
        <f t="shared" si="325"/>
        <v>500</v>
      </c>
      <c r="AZ143" s="376">
        <f t="shared" si="325"/>
        <v>500</v>
      </c>
      <c r="BA143" s="376">
        <f t="shared" si="325"/>
        <v>500</v>
      </c>
      <c r="BB143" s="376">
        <f t="shared" si="325"/>
        <v>500</v>
      </c>
      <c r="BC143" s="376">
        <f t="shared" si="325"/>
        <v>500</v>
      </c>
      <c r="BD143" s="376">
        <f t="shared" si="325"/>
        <v>500</v>
      </c>
      <c r="BE143" s="376">
        <f t="shared" si="325"/>
        <v>500</v>
      </c>
      <c r="BF143" s="376">
        <f t="shared" si="325"/>
        <v>500</v>
      </c>
      <c r="BG143" s="376">
        <f t="shared" si="325"/>
        <v>500</v>
      </c>
      <c r="BH143" s="376">
        <f t="shared" si="325"/>
        <v>500</v>
      </c>
      <c r="BI143" s="376">
        <f t="shared" si="325"/>
        <v>500</v>
      </c>
      <c r="BJ143" s="376">
        <f t="shared" si="325"/>
        <v>500</v>
      </c>
      <c r="BK143" s="376">
        <f t="shared" si="325"/>
        <v>500</v>
      </c>
      <c r="BL143" s="376">
        <f t="shared" si="325"/>
        <v>500</v>
      </c>
      <c r="BM143" s="376">
        <f t="shared" si="325"/>
        <v>500</v>
      </c>
      <c r="BN143" s="376">
        <f t="shared" si="325"/>
        <v>500</v>
      </c>
      <c r="BO143" s="376">
        <f t="shared" si="325"/>
        <v>500</v>
      </c>
      <c r="BP143" s="376">
        <f t="shared" si="325"/>
        <v>500</v>
      </c>
      <c r="BQ143" s="376">
        <f t="shared" si="325"/>
        <v>500</v>
      </c>
      <c r="BR143" s="376">
        <f t="shared" si="325"/>
        <v>500</v>
      </c>
      <c r="BS143" s="376">
        <f t="shared" si="325"/>
        <v>500</v>
      </c>
      <c r="BT143" s="376">
        <f t="shared" si="325"/>
        <v>500</v>
      </c>
      <c r="BU143" s="376">
        <f t="shared" si="325"/>
        <v>500</v>
      </c>
      <c r="BV143" s="377">
        <f t="shared" si="325"/>
        <v>500</v>
      </c>
    </row>
    <row r="144" spans="1:74" ht="20.149999999999999" hidden="1" customHeight="1" outlineLevel="2" x14ac:dyDescent="0.25">
      <c r="A144" s="22" t="s">
        <v>81</v>
      </c>
      <c r="B144" s="8" t="str">
        <f>'Custos Insumos'!$C$41</f>
        <v>HMPP</v>
      </c>
      <c r="C144" s="284">
        <f>'Custos Insumos'!$D$41</f>
        <v>400</v>
      </c>
      <c r="D144" s="284">
        <v>3</v>
      </c>
      <c r="E144" s="284"/>
      <c r="F144" s="284"/>
      <c r="G144" s="284"/>
      <c r="H144" s="284"/>
      <c r="I144" s="284"/>
      <c r="J144" s="284"/>
      <c r="K144" s="284"/>
      <c r="L144" s="358"/>
      <c r="M144" s="358"/>
      <c r="N144" s="358"/>
      <c r="O144" s="358"/>
      <c r="P144" s="358">
        <f t="shared" si="321"/>
        <v>3</v>
      </c>
      <c r="Q144" s="358">
        <f t="shared" si="321"/>
        <v>0</v>
      </c>
      <c r="R144" s="358">
        <f t="shared" si="321"/>
        <v>0</v>
      </c>
      <c r="S144" s="358">
        <f t="shared" si="321"/>
        <v>0</v>
      </c>
      <c r="T144" s="358">
        <f t="shared" si="321"/>
        <v>0</v>
      </c>
      <c r="U144" s="358">
        <f t="shared" si="321"/>
        <v>0</v>
      </c>
      <c r="V144" s="358">
        <f t="shared" si="321"/>
        <v>0</v>
      </c>
      <c r="W144" s="358">
        <f t="shared" si="321"/>
        <v>0</v>
      </c>
      <c r="X144" s="358">
        <f t="shared" si="321"/>
        <v>0</v>
      </c>
      <c r="Y144" s="358">
        <f t="shared" si="321"/>
        <v>0</v>
      </c>
      <c r="Z144" s="358">
        <f t="shared" si="321"/>
        <v>0</v>
      </c>
      <c r="AA144" s="358">
        <f t="shared" si="321"/>
        <v>0</v>
      </c>
      <c r="AB144" s="358">
        <f t="shared" si="322"/>
        <v>3</v>
      </c>
      <c r="AC144" s="358">
        <f t="shared" si="322"/>
        <v>0</v>
      </c>
      <c r="AD144" s="358">
        <f t="shared" si="322"/>
        <v>0</v>
      </c>
      <c r="AE144" s="358">
        <f t="shared" si="322"/>
        <v>0</v>
      </c>
      <c r="AF144" s="358">
        <f t="shared" si="322"/>
        <v>0</v>
      </c>
      <c r="AG144" s="358">
        <f t="shared" si="322"/>
        <v>0</v>
      </c>
      <c r="AH144" s="358">
        <f t="shared" si="322"/>
        <v>0</v>
      </c>
      <c r="AI144" s="358">
        <f t="shared" si="322"/>
        <v>0</v>
      </c>
      <c r="AJ144" s="358">
        <f t="shared" si="322"/>
        <v>0</v>
      </c>
      <c r="AK144" s="358">
        <f t="shared" si="322"/>
        <v>0</v>
      </c>
      <c r="AL144" s="359">
        <f t="shared" si="322"/>
        <v>0</v>
      </c>
      <c r="AM144" s="636"/>
      <c r="AN144" s="285">
        <f t="shared" ref="AN144:BV144" si="326">$C$144*D144</f>
        <v>1200</v>
      </c>
      <c r="AO144" s="286">
        <f t="shared" si="326"/>
        <v>0</v>
      </c>
      <c r="AP144" s="286">
        <f t="shared" si="326"/>
        <v>0</v>
      </c>
      <c r="AQ144" s="286">
        <f t="shared" si="326"/>
        <v>0</v>
      </c>
      <c r="AR144" s="286">
        <f t="shared" si="326"/>
        <v>0</v>
      </c>
      <c r="AS144" s="286">
        <f t="shared" si="326"/>
        <v>0</v>
      </c>
      <c r="AT144" s="286">
        <f t="shared" si="326"/>
        <v>0</v>
      </c>
      <c r="AU144" s="286">
        <f t="shared" si="326"/>
        <v>0</v>
      </c>
      <c r="AV144" s="376">
        <f t="shared" si="326"/>
        <v>0</v>
      </c>
      <c r="AW144" s="376">
        <f t="shared" si="326"/>
        <v>0</v>
      </c>
      <c r="AX144" s="376">
        <f t="shared" si="326"/>
        <v>0</v>
      </c>
      <c r="AY144" s="376">
        <f t="shared" si="326"/>
        <v>0</v>
      </c>
      <c r="AZ144" s="376">
        <f t="shared" si="326"/>
        <v>1200</v>
      </c>
      <c r="BA144" s="376">
        <f t="shared" si="326"/>
        <v>0</v>
      </c>
      <c r="BB144" s="376">
        <f t="shared" si="326"/>
        <v>0</v>
      </c>
      <c r="BC144" s="376">
        <f t="shared" si="326"/>
        <v>0</v>
      </c>
      <c r="BD144" s="376">
        <f t="shared" si="326"/>
        <v>0</v>
      </c>
      <c r="BE144" s="376">
        <f t="shared" si="326"/>
        <v>0</v>
      </c>
      <c r="BF144" s="376">
        <f t="shared" si="326"/>
        <v>0</v>
      </c>
      <c r="BG144" s="376">
        <f t="shared" si="326"/>
        <v>0</v>
      </c>
      <c r="BH144" s="376">
        <f t="shared" si="326"/>
        <v>0</v>
      </c>
      <c r="BI144" s="376">
        <f t="shared" si="326"/>
        <v>0</v>
      </c>
      <c r="BJ144" s="376">
        <f t="shared" si="326"/>
        <v>0</v>
      </c>
      <c r="BK144" s="376">
        <f t="shared" si="326"/>
        <v>0</v>
      </c>
      <c r="BL144" s="376">
        <f t="shared" si="326"/>
        <v>1200</v>
      </c>
      <c r="BM144" s="376">
        <f t="shared" si="326"/>
        <v>0</v>
      </c>
      <c r="BN144" s="376">
        <f t="shared" si="326"/>
        <v>0</v>
      </c>
      <c r="BO144" s="376">
        <f t="shared" si="326"/>
        <v>0</v>
      </c>
      <c r="BP144" s="376">
        <f t="shared" si="326"/>
        <v>0</v>
      </c>
      <c r="BQ144" s="376">
        <f t="shared" si="326"/>
        <v>0</v>
      </c>
      <c r="BR144" s="376">
        <f t="shared" si="326"/>
        <v>0</v>
      </c>
      <c r="BS144" s="376">
        <f t="shared" si="326"/>
        <v>0</v>
      </c>
      <c r="BT144" s="376">
        <f t="shared" si="326"/>
        <v>0</v>
      </c>
      <c r="BU144" s="376">
        <f t="shared" si="326"/>
        <v>0</v>
      </c>
      <c r="BV144" s="377">
        <f t="shared" si="326"/>
        <v>0</v>
      </c>
    </row>
    <row r="145" spans="1:74" ht="20.149999999999999" hidden="1" customHeight="1" outlineLevel="2" x14ac:dyDescent="0.25">
      <c r="A145" s="22" t="s">
        <v>82</v>
      </c>
      <c r="B145" s="12" t="str">
        <f>'Custos Insumos'!$C$42</f>
        <v>HMPM</v>
      </c>
      <c r="C145" s="284">
        <f>'Custos Insumos'!$D$42</f>
        <v>250</v>
      </c>
      <c r="D145" s="284">
        <v>3</v>
      </c>
      <c r="E145" s="284"/>
      <c r="F145" s="284"/>
      <c r="G145" s="284"/>
      <c r="H145" s="284"/>
      <c r="I145" s="284"/>
      <c r="J145" s="284"/>
      <c r="K145" s="284"/>
      <c r="L145" s="358"/>
      <c r="M145" s="358"/>
      <c r="N145" s="358"/>
      <c r="O145" s="358"/>
      <c r="P145" s="358">
        <f t="shared" si="321"/>
        <v>3</v>
      </c>
      <c r="Q145" s="358">
        <f t="shared" si="321"/>
        <v>0</v>
      </c>
      <c r="R145" s="358">
        <f t="shared" si="321"/>
        <v>0</v>
      </c>
      <c r="S145" s="358">
        <f t="shared" si="321"/>
        <v>0</v>
      </c>
      <c r="T145" s="358">
        <f t="shared" si="321"/>
        <v>0</v>
      </c>
      <c r="U145" s="358">
        <f t="shared" si="321"/>
        <v>0</v>
      </c>
      <c r="V145" s="358">
        <f t="shared" si="321"/>
        <v>0</v>
      </c>
      <c r="W145" s="358">
        <f t="shared" si="321"/>
        <v>0</v>
      </c>
      <c r="X145" s="358">
        <f t="shared" si="321"/>
        <v>0</v>
      </c>
      <c r="Y145" s="358">
        <f t="shared" si="321"/>
        <v>0</v>
      </c>
      <c r="Z145" s="358">
        <f t="shared" si="321"/>
        <v>0</v>
      </c>
      <c r="AA145" s="358">
        <f t="shared" si="321"/>
        <v>0</v>
      </c>
      <c r="AB145" s="358">
        <f t="shared" si="322"/>
        <v>3</v>
      </c>
      <c r="AC145" s="358">
        <f t="shared" si="322"/>
        <v>0</v>
      </c>
      <c r="AD145" s="358">
        <f t="shared" si="322"/>
        <v>0</v>
      </c>
      <c r="AE145" s="358">
        <f t="shared" si="322"/>
        <v>0</v>
      </c>
      <c r="AF145" s="358">
        <f t="shared" si="322"/>
        <v>0</v>
      </c>
      <c r="AG145" s="358">
        <f t="shared" si="322"/>
        <v>0</v>
      </c>
      <c r="AH145" s="358">
        <f t="shared" si="322"/>
        <v>0</v>
      </c>
      <c r="AI145" s="358">
        <f t="shared" si="322"/>
        <v>0</v>
      </c>
      <c r="AJ145" s="358">
        <f t="shared" si="322"/>
        <v>0</v>
      </c>
      <c r="AK145" s="358">
        <f t="shared" si="322"/>
        <v>0</v>
      </c>
      <c r="AL145" s="359">
        <f t="shared" si="322"/>
        <v>0</v>
      </c>
      <c r="AM145" s="636"/>
      <c r="AN145" s="285">
        <f t="shared" ref="AN145:BV145" si="327">$C$145*D145</f>
        <v>750</v>
      </c>
      <c r="AO145" s="286">
        <f t="shared" si="327"/>
        <v>0</v>
      </c>
      <c r="AP145" s="286">
        <f t="shared" si="327"/>
        <v>0</v>
      </c>
      <c r="AQ145" s="286">
        <f t="shared" si="327"/>
        <v>0</v>
      </c>
      <c r="AR145" s="286">
        <f t="shared" si="327"/>
        <v>0</v>
      </c>
      <c r="AS145" s="286">
        <f t="shared" si="327"/>
        <v>0</v>
      </c>
      <c r="AT145" s="286">
        <f t="shared" si="327"/>
        <v>0</v>
      </c>
      <c r="AU145" s="286">
        <f t="shared" si="327"/>
        <v>0</v>
      </c>
      <c r="AV145" s="376">
        <f t="shared" si="327"/>
        <v>0</v>
      </c>
      <c r="AW145" s="376">
        <f t="shared" si="327"/>
        <v>0</v>
      </c>
      <c r="AX145" s="376">
        <f t="shared" si="327"/>
        <v>0</v>
      </c>
      <c r="AY145" s="376">
        <f t="shared" si="327"/>
        <v>0</v>
      </c>
      <c r="AZ145" s="376">
        <f t="shared" si="327"/>
        <v>750</v>
      </c>
      <c r="BA145" s="376">
        <f t="shared" si="327"/>
        <v>0</v>
      </c>
      <c r="BB145" s="376">
        <f t="shared" si="327"/>
        <v>0</v>
      </c>
      <c r="BC145" s="376">
        <f t="shared" si="327"/>
        <v>0</v>
      </c>
      <c r="BD145" s="376">
        <f t="shared" si="327"/>
        <v>0</v>
      </c>
      <c r="BE145" s="376">
        <f t="shared" si="327"/>
        <v>0</v>
      </c>
      <c r="BF145" s="376">
        <f t="shared" si="327"/>
        <v>0</v>
      </c>
      <c r="BG145" s="376">
        <f t="shared" si="327"/>
        <v>0</v>
      </c>
      <c r="BH145" s="376">
        <f t="shared" si="327"/>
        <v>0</v>
      </c>
      <c r="BI145" s="376">
        <f t="shared" si="327"/>
        <v>0</v>
      </c>
      <c r="BJ145" s="376">
        <f t="shared" si="327"/>
        <v>0</v>
      </c>
      <c r="BK145" s="376">
        <f t="shared" si="327"/>
        <v>0</v>
      </c>
      <c r="BL145" s="376">
        <f t="shared" si="327"/>
        <v>750</v>
      </c>
      <c r="BM145" s="376">
        <f t="shared" si="327"/>
        <v>0</v>
      </c>
      <c r="BN145" s="376">
        <f t="shared" si="327"/>
        <v>0</v>
      </c>
      <c r="BO145" s="376">
        <f t="shared" si="327"/>
        <v>0</v>
      </c>
      <c r="BP145" s="376">
        <f t="shared" si="327"/>
        <v>0</v>
      </c>
      <c r="BQ145" s="376">
        <f t="shared" si="327"/>
        <v>0</v>
      </c>
      <c r="BR145" s="376">
        <f t="shared" si="327"/>
        <v>0</v>
      </c>
      <c r="BS145" s="376">
        <f t="shared" si="327"/>
        <v>0</v>
      </c>
      <c r="BT145" s="376">
        <f t="shared" si="327"/>
        <v>0</v>
      </c>
      <c r="BU145" s="376">
        <f t="shared" si="327"/>
        <v>0</v>
      </c>
      <c r="BV145" s="377">
        <f t="shared" si="327"/>
        <v>0</v>
      </c>
    </row>
    <row r="146" spans="1:74" ht="20.149999999999999" hidden="1" customHeight="1" outlineLevel="2" x14ac:dyDescent="0.25">
      <c r="A146" s="22" t="s">
        <v>86</v>
      </c>
      <c r="B146" s="12" t="str">
        <f>'Custos Insumos'!$C$42</f>
        <v>HMPM</v>
      </c>
      <c r="C146" s="284">
        <f>'Custos Insumos'!$D$42</f>
        <v>250</v>
      </c>
      <c r="D146" s="284">
        <v>4</v>
      </c>
      <c r="E146" s="284">
        <v>5</v>
      </c>
      <c r="F146" s="284">
        <v>5</v>
      </c>
      <c r="G146" s="284">
        <v>5</v>
      </c>
      <c r="H146" s="284">
        <v>5</v>
      </c>
      <c r="I146" s="284">
        <v>5</v>
      </c>
      <c r="J146" s="284">
        <v>5</v>
      </c>
      <c r="K146" s="284">
        <v>5</v>
      </c>
      <c r="L146" s="358">
        <v>5</v>
      </c>
      <c r="M146" s="358">
        <v>5</v>
      </c>
      <c r="N146" s="358">
        <v>5</v>
      </c>
      <c r="O146" s="358">
        <v>5</v>
      </c>
      <c r="P146" s="358">
        <f t="shared" si="321"/>
        <v>4</v>
      </c>
      <c r="Q146" s="358">
        <f t="shared" si="321"/>
        <v>5</v>
      </c>
      <c r="R146" s="358">
        <f t="shared" si="321"/>
        <v>5</v>
      </c>
      <c r="S146" s="358">
        <f t="shared" si="321"/>
        <v>5</v>
      </c>
      <c r="T146" s="358">
        <f t="shared" si="321"/>
        <v>5</v>
      </c>
      <c r="U146" s="358">
        <f t="shared" si="321"/>
        <v>5</v>
      </c>
      <c r="V146" s="358">
        <f t="shared" si="321"/>
        <v>5</v>
      </c>
      <c r="W146" s="358">
        <f t="shared" si="321"/>
        <v>5</v>
      </c>
      <c r="X146" s="358">
        <f t="shared" si="321"/>
        <v>5</v>
      </c>
      <c r="Y146" s="358">
        <f t="shared" si="321"/>
        <v>5</v>
      </c>
      <c r="Z146" s="358">
        <f t="shared" si="321"/>
        <v>5</v>
      </c>
      <c r="AA146" s="358">
        <f t="shared" si="321"/>
        <v>5</v>
      </c>
      <c r="AB146" s="358">
        <f t="shared" si="322"/>
        <v>4</v>
      </c>
      <c r="AC146" s="358">
        <f t="shared" si="322"/>
        <v>5</v>
      </c>
      <c r="AD146" s="358">
        <f t="shared" si="322"/>
        <v>5</v>
      </c>
      <c r="AE146" s="358">
        <f t="shared" si="322"/>
        <v>5</v>
      </c>
      <c r="AF146" s="358">
        <f t="shared" si="322"/>
        <v>5</v>
      </c>
      <c r="AG146" s="358">
        <f t="shared" si="322"/>
        <v>5</v>
      </c>
      <c r="AH146" s="358">
        <f t="shared" si="322"/>
        <v>5</v>
      </c>
      <c r="AI146" s="358">
        <f t="shared" si="322"/>
        <v>5</v>
      </c>
      <c r="AJ146" s="358">
        <f t="shared" si="322"/>
        <v>5</v>
      </c>
      <c r="AK146" s="358">
        <f t="shared" si="322"/>
        <v>5</v>
      </c>
      <c r="AL146" s="359">
        <f t="shared" si="322"/>
        <v>5</v>
      </c>
      <c r="AM146" s="636"/>
      <c r="AN146" s="285">
        <f t="shared" ref="AN146:BV146" si="328">$C$146*D146</f>
        <v>1000</v>
      </c>
      <c r="AO146" s="286">
        <f t="shared" si="328"/>
        <v>1250</v>
      </c>
      <c r="AP146" s="286">
        <f t="shared" si="328"/>
        <v>1250</v>
      </c>
      <c r="AQ146" s="286">
        <f t="shared" si="328"/>
        <v>1250</v>
      </c>
      <c r="AR146" s="286">
        <f t="shared" si="328"/>
        <v>1250</v>
      </c>
      <c r="AS146" s="286">
        <f t="shared" si="328"/>
        <v>1250</v>
      </c>
      <c r="AT146" s="286">
        <f t="shared" si="328"/>
        <v>1250</v>
      </c>
      <c r="AU146" s="286">
        <f t="shared" si="328"/>
        <v>1250</v>
      </c>
      <c r="AV146" s="376">
        <f t="shared" si="328"/>
        <v>1250</v>
      </c>
      <c r="AW146" s="376">
        <f t="shared" si="328"/>
        <v>1250</v>
      </c>
      <c r="AX146" s="376">
        <f t="shared" si="328"/>
        <v>1250</v>
      </c>
      <c r="AY146" s="376">
        <f t="shared" si="328"/>
        <v>1250</v>
      </c>
      <c r="AZ146" s="376">
        <f t="shared" si="328"/>
        <v>1000</v>
      </c>
      <c r="BA146" s="376">
        <f t="shared" si="328"/>
        <v>1250</v>
      </c>
      <c r="BB146" s="376">
        <f t="shared" si="328"/>
        <v>1250</v>
      </c>
      <c r="BC146" s="376">
        <f t="shared" si="328"/>
        <v>1250</v>
      </c>
      <c r="BD146" s="376">
        <f t="shared" si="328"/>
        <v>1250</v>
      </c>
      <c r="BE146" s="376">
        <f t="shared" si="328"/>
        <v>1250</v>
      </c>
      <c r="BF146" s="376">
        <f t="shared" si="328"/>
        <v>1250</v>
      </c>
      <c r="BG146" s="376">
        <f t="shared" si="328"/>
        <v>1250</v>
      </c>
      <c r="BH146" s="376">
        <f t="shared" si="328"/>
        <v>1250</v>
      </c>
      <c r="BI146" s="376">
        <f t="shared" si="328"/>
        <v>1250</v>
      </c>
      <c r="BJ146" s="376">
        <f t="shared" si="328"/>
        <v>1250</v>
      </c>
      <c r="BK146" s="376">
        <f t="shared" si="328"/>
        <v>1250</v>
      </c>
      <c r="BL146" s="376">
        <f t="shared" si="328"/>
        <v>1000</v>
      </c>
      <c r="BM146" s="376">
        <f t="shared" si="328"/>
        <v>1250</v>
      </c>
      <c r="BN146" s="376">
        <f t="shared" si="328"/>
        <v>1250</v>
      </c>
      <c r="BO146" s="376">
        <f t="shared" si="328"/>
        <v>1250</v>
      </c>
      <c r="BP146" s="376">
        <f t="shared" si="328"/>
        <v>1250</v>
      </c>
      <c r="BQ146" s="376">
        <f t="shared" si="328"/>
        <v>1250</v>
      </c>
      <c r="BR146" s="376">
        <f t="shared" si="328"/>
        <v>1250</v>
      </c>
      <c r="BS146" s="376">
        <f t="shared" si="328"/>
        <v>1250</v>
      </c>
      <c r="BT146" s="376">
        <f t="shared" si="328"/>
        <v>1250</v>
      </c>
      <c r="BU146" s="376">
        <f t="shared" si="328"/>
        <v>1250</v>
      </c>
      <c r="BV146" s="377">
        <f t="shared" si="328"/>
        <v>1250</v>
      </c>
    </row>
    <row r="147" spans="1:74" ht="20.149999999999999" hidden="1" customHeight="1" outlineLevel="2" x14ac:dyDescent="0.25">
      <c r="A147" s="22" t="s">
        <v>83</v>
      </c>
      <c r="B147" s="12" t="str">
        <f>'Custos Insumos'!$C$42</f>
        <v>HMPM</v>
      </c>
      <c r="C147" s="284">
        <f>'Custos Insumos'!$D$42</f>
        <v>250</v>
      </c>
      <c r="D147" s="284">
        <f>D133/2</f>
        <v>1.5</v>
      </c>
      <c r="E147" s="284"/>
      <c r="F147" s="284"/>
      <c r="G147" s="284"/>
      <c r="H147" s="284"/>
      <c r="I147" s="284"/>
      <c r="J147" s="284"/>
      <c r="K147" s="284"/>
      <c r="L147" s="358"/>
      <c r="M147" s="358"/>
      <c r="N147" s="358"/>
      <c r="O147" s="358"/>
      <c r="P147" s="358">
        <f t="shared" si="321"/>
        <v>1.5</v>
      </c>
      <c r="Q147" s="358">
        <f t="shared" si="321"/>
        <v>0</v>
      </c>
      <c r="R147" s="358">
        <f t="shared" si="321"/>
        <v>0</v>
      </c>
      <c r="S147" s="358">
        <f t="shared" si="321"/>
        <v>0</v>
      </c>
      <c r="T147" s="358">
        <f t="shared" si="321"/>
        <v>0</v>
      </c>
      <c r="U147" s="358">
        <f t="shared" si="321"/>
        <v>0</v>
      </c>
      <c r="V147" s="358">
        <f t="shared" si="321"/>
        <v>0</v>
      </c>
      <c r="W147" s="358">
        <f t="shared" si="321"/>
        <v>0</v>
      </c>
      <c r="X147" s="358">
        <f t="shared" si="321"/>
        <v>0</v>
      </c>
      <c r="Y147" s="358">
        <f t="shared" si="321"/>
        <v>0</v>
      </c>
      <c r="Z147" s="358">
        <f t="shared" si="321"/>
        <v>0</v>
      </c>
      <c r="AA147" s="358">
        <f t="shared" si="321"/>
        <v>0</v>
      </c>
      <c r="AB147" s="358">
        <f t="shared" si="322"/>
        <v>1.5</v>
      </c>
      <c r="AC147" s="358">
        <f t="shared" si="322"/>
        <v>0</v>
      </c>
      <c r="AD147" s="358">
        <f t="shared" si="322"/>
        <v>0</v>
      </c>
      <c r="AE147" s="358">
        <f t="shared" si="322"/>
        <v>0</v>
      </c>
      <c r="AF147" s="358">
        <f t="shared" si="322"/>
        <v>0</v>
      </c>
      <c r="AG147" s="358">
        <f t="shared" si="322"/>
        <v>0</v>
      </c>
      <c r="AH147" s="358">
        <f t="shared" si="322"/>
        <v>0</v>
      </c>
      <c r="AI147" s="358">
        <f t="shared" si="322"/>
        <v>0</v>
      </c>
      <c r="AJ147" s="358">
        <f t="shared" si="322"/>
        <v>0</v>
      </c>
      <c r="AK147" s="358">
        <f t="shared" si="322"/>
        <v>0</v>
      </c>
      <c r="AL147" s="359">
        <f t="shared" si="322"/>
        <v>0</v>
      </c>
      <c r="AM147" s="636"/>
      <c r="AN147" s="285">
        <f t="shared" ref="AN147:BV147" si="329">$C$147*D147</f>
        <v>375</v>
      </c>
      <c r="AO147" s="286">
        <f t="shared" si="329"/>
        <v>0</v>
      </c>
      <c r="AP147" s="286">
        <f t="shared" si="329"/>
        <v>0</v>
      </c>
      <c r="AQ147" s="286">
        <f t="shared" si="329"/>
        <v>0</v>
      </c>
      <c r="AR147" s="286">
        <f t="shared" si="329"/>
        <v>0</v>
      </c>
      <c r="AS147" s="286">
        <f t="shared" si="329"/>
        <v>0</v>
      </c>
      <c r="AT147" s="286">
        <f t="shared" si="329"/>
        <v>0</v>
      </c>
      <c r="AU147" s="286">
        <f t="shared" si="329"/>
        <v>0</v>
      </c>
      <c r="AV147" s="376">
        <f t="shared" si="329"/>
        <v>0</v>
      </c>
      <c r="AW147" s="376">
        <f t="shared" si="329"/>
        <v>0</v>
      </c>
      <c r="AX147" s="376">
        <f t="shared" si="329"/>
        <v>0</v>
      </c>
      <c r="AY147" s="376">
        <f t="shared" si="329"/>
        <v>0</v>
      </c>
      <c r="AZ147" s="376">
        <f t="shared" si="329"/>
        <v>375</v>
      </c>
      <c r="BA147" s="376">
        <f t="shared" si="329"/>
        <v>0</v>
      </c>
      <c r="BB147" s="376">
        <f t="shared" si="329"/>
        <v>0</v>
      </c>
      <c r="BC147" s="376">
        <f t="shared" si="329"/>
        <v>0</v>
      </c>
      <c r="BD147" s="376">
        <f t="shared" si="329"/>
        <v>0</v>
      </c>
      <c r="BE147" s="376">
        <f t="shared" si="329"/>
        <v>0</v>
      </c>
      <c r="BF147" s="376">
        <f t="shared" si="329"/>
        <v>0</v>
      </c>
      <c r="BG147" s="376">
        <f t="shared" si="329"/>
        <v>0</v>
      </c>
      <c r="BH147" s="376">
        <f t="shared" si="329"/>
        <v>0</v>
      </c>
      <c r="BI147" s="376">
        <f t="shared" si="329"/>
        <v>0</v>
      </c>
      <c r="BJ147" s="376">
        <f t="shared" si="329"/>
        <v>0</v>
      </c>
      <c r="BK147" s="376">
        <f t="shared" si="329"/>
        <v>0</v>
      </c>
      <c r="BL147" s="376">
        <f t="shared" si="329"/>
        <v>375</v>
      </c>
      <c r="BM147" s="376">
        <f t="shared" si="329"/>
        <v>0</v>
      </c>
      <c r="BN147" s="376">
        <f t="shared" si="329"/>
        <v>0</v>
      </c>
      <c r="BO147" s="376">
        <f t="shared" si="329"/>
        <v>0</v>
      </c>
      <c r="BP147" s="376">
        <f t="shared" si="329"/>
        <v>0</v>
      </c>
      <c r="BQ147" s="376">
        <f t="shared" si="329"/>
        <v>0</v>
      </c>
      <c r="BR147" s="376">
        <f t="shared" si="329"/>
        <v>0</v>
      </c>
      <c r="BS147" s="376">
        <f t="shared" si="329"/>
        <v>0</v>
      </c>
      <c r="BT147" s="376">
        <f t="shared" si="329"/>
        <v>0</v>
      </c>
      <c r="BU147" s="376">
        <f t="shared" si="329"/>
        <v>0</v>
      </c>
      <c r="BV147" s="377">
        <f t="shared" si="329"/>
        <v>0</v>
      </c>
    </row>
    <row r="148" spans="1:74" ht="20.149999999999999" hidden="1" customHeight="1" outlineLevel="2" x14ac:dyDescent="0.25">
      <c r="A148" s="22" t="s">
        <v>84</v>
      </c>
      <c r="B148" s="12" t="str">
        <f>'Custos Insumos'!$C$42</f>
        <v>HMPM</v>
      </c>
      <c r="C148" s="284">
        <f>'Custos Insumos'!$D$42</f>
        <v>250</v>
      </c>
      <c r="D148" s="284">
        <v>6</v>
      </c>
      <c r="E148" s="284">
        <v>3</v>
      </c>
      <c r="F148" s="284">
        <v>0.5</v>
      </c>
      <c r="G148" s="284">
        <v>0.5</v>
      </c>
      <c r="H148" s="284">
        <v>0.5</v>
      </c>
      <c r="I148" s="284">
        <v>0.5</v>
      </c>
      <c r="J148" s="284">
        <v>0.5</v>
      </c>
      <c r="K148" s="284">
        <v>0.5</v>
      </c>
      <c r="L148" s="358">
        <v>0.5</v>
      </c>
      <c r="M148" s="358">
        <v>0.5</v>
      </c>
      <c r="N148" s="358">
        <v>0.5</v>
      </c>
      <c r="O148" s="358">
        <v>0.5</v>
      </c>
      <c r="P148" s="358">
        <f t="shared" si="321"/>
        <v>6</v>
      </c>
      <c r="Q148" s="358">
        <f t="shared" si="321"/>
        <v>3</v>
      </c>
      <c r="R148" s="358">
        <f t="shared" si="321"/>
        <v>0.5</v>
      </c>
      <c r="S148" s="358">
        <f t="shared" si="321"/>
        <v>0.5</v>
      </c>
      <c r="T148" s="358">
        <f t="shared" si="321"/>
        <v>0.5</v>
      </c>
      <c r="U148" s="358">
        <f t="shared" si="321"/>
        <v>0.5</v>
      </c>
      <c r="V148" s="358">
        <f t="shared" si="321"/>
        <v>0.5</v>
      </c>
      <c r="W148" s="358">
        <f t="shared" si="321"/>
        <v>0.5</v>
      </c>
      <c r="X148" s="358">
        <f t="shared" si="321"/>
        <v>0.5</v>
      </c>
      <c r="Y148" s="358">
        <f t="shared" si="321"/>
        <v>0.5</v>
      </c>
      <c r="Z148" s="358">
        <f t="shared" si="321"/>
        <v>0.5</v>
      </c>
      <c r="AA148" s="358">
        <f t="shared" si="321"/>
        <v>0.5</v>
      </c>
      <c r="AB148" s="358">
        <f t="shared" si="322"/>
        <v>6</v>
      </c>
      <c r="AC148" s="358">
        <f t="shared" si="322"/>
        <v>3</v>
      </c>
      <c r="AD148" s="358">
        <f t="shared" si="322"/>
        <v>0.5</v>
      </c>
      <c r="AE148" s="358">
        <f t="shared" si="322"/>
        <v>0.5</v>
      </c>
      <c r="AF148" s="358">
        <f t="shared" si="322"/>
        <v>0.5</v>
      </c>
      <c r="AG148" s="358">
        <f t="shared" si="322"/>
        <v>0.5</v>
      </c>
      <c r="AH148" s="358">
        <f t="shared" si="322"/>
        <v>0.5</v>
      </c>
      <c r="AI148" s="358">
        <f t="shared" si="322"/>
        <v>0.5</v>
      </c>
      <c r="AJ148" s="358">
        <f t="shared" si="322"/>
        <v>0.5</v>
      </c>
      <c r="AK148" s="358">
        <f t="shared" si="322"/>
        <v>0.5</v>
      </c>
      <c r="AL148" s="359">
        <f t="shared" si="322"/>
        <v>0.5</v>
      </c>
      <c r="AM148" s="636"/>
      <c r="AN148" s="285">
        <f t="shared" ref="AN148:BV148" si="330">$C$148*D148</f>
        <v>1500</v>
      </c>
      <c r="AO148" s="286">
        <f t="shared" si="330"/>
        <v>750</v>
      </c>
      <c r="AP148" s="286">
        <f t="shared" si="330"/>
        <v>125</v>
      </c>
      <c r="AQ148" s="286">
        <f t="shared" si="330"/>
        <v>125</v>
      </c>
      <c r="AR148" s="286">
        <f t="shared" si="330"/>
        <v>125</v>
      </c>
      <c r="AS148" s="286">
        <f t="shared" si="330"/>
        <v>125</v>
      </c>
      <c r="AT148" s="286">
        <f t="shared" si="330"/>
        <v>125</v>
      </c>
      <c r="AU148" s="286">
        <f t="shared" si="330"/>
        <v>125</v>
      </c>
      <c r="AV148" s="376">
        <f t="shared" si="330"/>
        <v>125</v>
      </c>
      <c r="AW148" s="376">
        <f t="shared" si="330"/>
        <v>125</v>
      </c>
      <c r="AX148" s="376">
        <f t="shared" si="330"/>
        <v>125</v>
      </c>
      <c r="AY148" s="376">
        <f t="shared" si="330"/>
        <v>125</v>
      </c>
      <c r="AZ148" s="376">
        <f t="shared" si="330"/>
        <v>1500</v>
      </c>
      <c r="BA148" s="376">
        <f t="shared" si="330"/>
        <v>750</v>
      </c>
      <c r="BB148" s="376">
        <f t="shared" si="330"/>
        <v>125</v>
      </c>
      <c r="BC148" s="376">
        <f t="shared" si="330"/>
        <v>125</v>
      </c>
      <c r="BD148" s="376">
        <f t="shared" si="330"/>
        <v>125</v>
      </c>
      <c r="BE148" s="376">
        <f t="shared" si="330"/>
        <v>125</v>
      </c>
      <c r="BF148" s="376">
        <f t="shared" si="330"/>
        <v>125</v>
      </c>
      <c r="BG148" s="376">
        <f t="shared" si="330"/>
        <v>125</v>
      </c>
      <c r="BH148" s="376">
        <f t="shared" si="330"/>
        <v>125</v>
      </c>
      <c r="BI148" s="376">
        <f t="shared" si="330"/>
        <v>125</v>
      </c>
      <c r="BJ148" s="376">
        <f t="shared" si="330"/>
        <v>125</v>
      </c>
      <c r="BK148" s="376">
        <f t="shared" si="330"/>
        <v>125</v>
      </c>
      <c r="BL148" s="376">
        <f t="shared" si="330"/>
        <v>1500</v>
      </c>
      <c r="BM148" s="376">
        <f t="shared" si="330"/>
        <v>750</v>
      </c>
      <c r="BN148" s="376">
        <f t="shared" si="330"/>
        <v>125</v>
      </c>
      <c r="BO148" s="376">
        <f t="shared" si="330"/>
        <v>125</v>
      </c>
      <c r="BP148" s="376">
        <f t="shared" si="330"/>
        <v>125</v>
      </c>
      <c r="BQ148" s="376">
        <f t="shared" si="330"/>
        <v>125</v>
      </c>
      <c r="BR148" s="376">
        <f t="shared" si="330"/>
        <v>125</v>
      </c>
      <c r="BS148" s="376">
        <f t="shared" si="330"/>
        <v>125</v>
      </c>
      <c r="BT148" s="376">
        <f t="shared" si="330"/>
        <v>125</v>
      </c>
      <c r="BU148" s="376">
        <f t="shared" si="330"/>
        <v>125</v>
      </c>
      <c r="BV148" s="377">
        <f t="shared" si="330"/>
        <v>125</v>
      </c>
    </row>
    <row r="149" spans="1:74" ht="20.149999999999999" hidden="1" customHeight="1" outlineLevel="2" x14ac:dyDescent="0.25">
      <c r="A149" s="22" t="s">
        <v>330</v>
      </c>
      <c r="B149" s="12" t="s">
        <v>331</v>
      </c>
      <c r="C149" s="284">
        <f>'Custos Diversos'!E186</f>
        <v>5024</v>
      </c>
      <c r="D149" s="284"/>
      <c r="E149" s="284"/>
      <c r="F149" s="284"/>
      <c r="G149" s="284"/>
      <c r="H149" s="284"/>
      <c r="I149" s="284"/>
      <c r="J149" s="284"/>
      <c r="K149" s="284"/>
      <c r="L149" s="358"/>
      <c r="M149" s="358"/>
      <c r="N149" s="358"/>
      <c r="O149" s="358"/>
      <c r="P149" s="358">
        <v>1</v>
      </c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358"/>
      <c r="AB149" s="358">
        <v>1</v>
      </c>
      <c r="AC149" s="358"/>
      <c r="AD149" s="358"/>
      <c r="AE149" s="358"/>
      <c r="AF149" s="358"/>
      <c r="AG149" s="358"/>
      <c r="AH149" s="358"/>
      <c r="AI149" s="358"/>
      <c r="AJ149" s="358"/>
      <c r="AK149" s="358"/>
      <c r="AL149" s="359"/>
      <c r="AM149" s="636"/>
      <c r="AN149" s="285">
        <f t="shared" ref="AN149:BV149" si="331">$C$149*D149</f>
        <v>0</v>
      </c>
      <c r="AO149" s="286">
        <f t="shared" si="331"/>
        <v>0</v>
      </c>
      <c r="AP149" s="286">
        <f t="shared" si="331"/>
        <v>0</v>
      </c>
      <c r="AQ149" s="286">
        <f t="shared" si="331"/>
        <v>0</v>
      </c>
      <c r="AR149" s="286">
        <f t="shared" si="331"/>
        <v>0</v>
      </c>
      <c r="AS149" s="286">
        <f t="shared" si="331"/>
        <v>0</v>
      </c>
      <c r="AT149" s="286">
        <f t="shared" si="331"/>
        <v>0</v>
      </c>
      <c r="AU149" s="286">
        <f t="shared" si="331"/>
        <v>0</v>
      </c>
      <c r="AV149" s="395">
        <f t="shared" si="331"/>
        <v>0</v>
      </c>
      <c r="AW149" s="395">
        <f t="shared" si="331"/>
        <v>0</v>
      </c>
      <c r="AX149" s="395">
        <f t="shared" si="331"/>
        <v>0</v>
      </c>
      <c r="AY149" s="395">
        <f t="shared" si="331"/>
        <v>0</v>
      </c>
      <c r="AZ149" s="395">
        <f t="shared" si="331"/>
        <v>5024</v>
      </c>
      <c r="BA149" s="395">
        <f t="shared" si="331"/>
        <v>0</v>
      </c>
      <c r="BB149" s="395">
        <f t="shared" si="331"/>
        <v>0</v>
      </c>
      <c r="BC149" s="395">
        <f t="shared" si="331"/>
        <v>0</v>
      </c>
      <c r="BD149" s="395">
        <f t="shared" si="331"/>
        <v>0</v>
      </c>
      <c r="BE149" s="395">
        <f t="shared" si="331"/>
        <v>0</v>
      </c>
      <c r="BF149" s="395">
        <f t="shared" si="331"/>
        <v>0</v>
      </c>
      <c r="BG149" s="395">
        <f t="shared" si="331"/>
        <v>0</v>
      </c>
      <c r="BH149" s="395">
        <f t="shared" si="331"/>
        <v>0</v>
      </c>
      <c r="BI149" s="395">
        <f t="shared" si="331"/>
        <v>0</v>
      </c>
      <c r="BJ149" s="395">
        <f t="shared" si="331"/>
        <v>0</v>
      </c>
      <c r="BK149" s="395">
        <f t="shared" si="331"/>
        <v>0</v>
      </c>
      <c r="BL149" s="395">
        <f t="shared" si="331"/>
        <v>5024</v>
      </c>
      <c r="BM149" s="395">
        <f t="shared" si="331"/>
        <v>0</v>
      </c>
      <c r="BN149" s="395">
        <f t="shared" si="331"/>
        <v>0</v>
      </c>
      <c r="BO149" s="395">
        <f t="shared" si="331"/>
        <v>0</v>
      </c>
      <c r="BP149" s="395">
        <f t="shared" si="331"/>
        <v>0</v>
      </c>
      <c r="BQ149" s="395">
        <f t="shared" si="331"/>
        <v>0</v>
      </c>
      <c r="BR149" s="395">
        <f t="shared" si="331"/>
        <v>0</v>
      </c>
      <c r="BS149" s="395">
        <f t="shared" si="331"/>
        <v>0</v>
      </c>
      <c r="BT149" s="395">
        <f t="shared" si="331"/>
        <v>0</v>
      </c>
      <c r="BU149" s="395">
        <f t="shared" si="331"/>
        <v>0</v>
      </c>
      <c r="BV149" s="396">
        <f t="shared" si="331"/>
        <v>0</v>
      </c>
    </row>
    <row r="150" spans="1:74" ht="20.149999999999999" hidden="1" customHeight="1" outlineLevel="2" x14ac:dyDescent="0.25">
      <c r="A150" s="20" t="s">
        <v>60</v>
      </c>
      <c r="B150" s="12" t="s">
        <v>9</v>
      </c>
      <c r="C150" s="284">
        <f>'Custos Insumos'!D44</f>
        <v>85</v>
      </c>
      <c r="D150" s="284">
        <v>1</v>
      </c>
      <c r="E150" s="284">
        <v>5</v>
      </c>
      <c r="F150" s="284">
        <v>5</v>
      </c>
      <c r="G150" s="284">
        <v>5</v>
      </c>
      <c r="H150" s="284">
        <v>5</v>
      </c>
      <c r="I150" s="284">
        <v>5</v>
      </c>
      <c r="J150" s="284">
        <v>5</v>
      </c>
      <c r="K150" s="284">
        <v>5</v>
      </c>
      <c r="L150" s="358">
        <v>5</v>
      </c>
      <c r="M150" s="358">
        <v>5</v>
      </c>
      <c r="N150" s="358">
        <v>5</v>
      </c>
      <c r="O150" s="358">
        <v>5</v>
      </c>
      <c r="P150" s="358">
        <f t="shared" ref="P150:AA151" si="332">D150</f>
        <v>1</v>
      </c>
      <c r="Q150" s="358">
        <f t="shared" si="332"/>
        <v>5</v>
      </c>
      <c r="R150" s="358">
        <f t="shared" si="332"/>
        <v>5</v>
      </c>
      <c r="S150" s="358">
        <f t="shared" si="332"/>
        <v>5</v>
      </c>
      <c r="T150" s="358">
        <f t="shared" si="332"/>
        <v>5</v>
      </c>
      <c r="U150" s="358">
        <f t="shared" si="332"/>
        <v>5</v>
      </c>
      <c r="V150" s="358">
        <f t="shared" si="332"/>
        <v>5</v>
      </c>
      <c r="W150" s="358">
        <f t="shared" si="332"/>
        <v>5</v>
      </c>
      <c r="X150" s="358">
        <f t="shared" si="332"/>
        <v>5</v>
      </c>
      <c r="Y150" s="358">
        <f t="shared" si="332"/>
        <v>5</v>
      </c>
      <c r="Z150" s="358">
        <f t="shared" si="332"/>
        <v>5</v>
      </c>
      <c r="AA150" s="358">
        <f t="shared" si="332"/>
        <v>5</v>
      </c>
      <c r="AB150" s="358">
        <f t="shared" ref="AB150:AL151" si="333">D150</f>
        <v>1</v>
      </c>
      <c r="AC150" s="358">
        <f t="shared" si="333"/>
        <v>5</v>
      </c>
      <c r="AD150" s="358">
        <f t="shared" si="333"/>
        <v>5</v>
      </c>
      <c r="AE150" s="358">
        <f t="shared" si="333"/>
        <v>5</v>
      </c>
      <c r="AF150" s="358">
        <f t="shared" si="333"/>
        <v>5</v>
      </c>
      <c r="AG150" s="358">
        <f t="shared" si="333"/>
        <v>5</v>
      </c>
      <c r="AH150" s="358">
        <f t="shared" si="333"/>
        <v>5</v>
      </c>
      <c r="AI150" s="358">
        <f t="shared" si="333"/>
        <v>5</v>
      </c>
      <c r="AJ150" s="358">
        <f t="shared" si="333"/>
        <v>5</v>
      </c>
      <c r="AK150" s="358">
        <f t="shared" si="333"/>
        <v>5</v>
      </c>
      <c r="AL150" s="359">
        <f t="shared" si="333"/>
        <v>5</v>
      </c>
      <c r="AM150" s="636"/>
      <c r="AN150" s="285">
        <f t="shared" ref="AN150:BV150" si="334">$C$150*D150</f>
        <v>85</v>
      </c>
      <c r="AO150" s="286">
        <f t="shared" si="334"/>
        <v>425</v>
      </c>
      <c r="AP150" s="286">
        <f t="shared" si="334"/>
        <v>425</v>
      </c>
      <c r="AQ150" s="286">
        <f t="shared" si="334"/>
        <v>425</v>
      </c>
      <c r="AR150" s="286">
        <f t="shared" si="334"/>
        <v>425</v>
      </c>
      <c r="AS150" s="286">
        <f t="shared" si="334"/>
        <v>425</v>
      </c>
      <c r="AT150" s="286">
        <f t="shared" si="334"/>
        <v>425</v>
      </c>
      <c r="AU150" s="286">
        <f t="shared" si="334"/>
        <v>425</v>
      </c>
      <c r="AV150" s="376">
        <f t="shared" si="334"/>
        <v>425</v>
      </c>
      <c r="AW150" s="376">
        <f t="shared" si="334"/>
        <v>425</v>
      </c>
      <c r="AX150" s="376">
        <f t="shared" si="334"/>
        <v>425</v>
      </c>
      <c r="AY150" s="376">
        <f t="shared" si="334"/>
        <v>425</v>
      </c>
      <c r="AZ150" s="376">
        <f t="shared" si="334"/>
        <v>85</v>
      </c>
      <c r="BA150" s="376">
        <f t="shared" si="334"/>
        <v>425</v>
      </c>
      <c r="BB150" s="376">
        <f t="shared" si="334"/>
        <v>425</v>
      </c>
      <c r="BC150" s="376">
        <f t="shared" si="334"/>
        <v>425</v>
      </c>
      <c r="BD150" s="376">
        <f t="shared" si="334"/>
        <v>425</v>
      </c>
      <c r="BE150" s="376">
        <f t="shared" si="334"/>
        <v>425</v>
      </c>
      <c r="BF150" s="376">
        <f t="shared" si="334"/>
        <v>425</v>
      </c>
      <c r="BG150" s="376">
        <f t="shared" si="334"/>
        <v>425</v>
      </c>
      <c r="BH150" s="376">
        <f t="shared" si="334"/>
        <v>425</v>
      </c>
      <c r="BI150" s="376">
        <f t="shared" si="334"/>
        <v>425</v>
      </c>
      <c r="BJ150" s="376">
        <f t="shared" si="334"/>
        <v>425</v>
      </c>
      <c r="BK150" s="376">
        <f t="shared" si="334"/>
        <v>425</v>
      </c>
      <c r="BL150" s="376">
        <f t="shared" si="334"/>
        <v>85</v>
      </c>
      <c r="BM150" s="376">
        <f t="shared" si="334"/>
        <v>425</v>
      </c>
      <c r="BN150" s="376">
        <f t="shared" si="334"/>
        <v>425</v>
      </c>
      <c r="BO150" s="376">
        <f t="shared" si="334"/>
        <v>425</v>
      </c>
      <c r="BP150" s="376">
        <f t="shared" si="334"/>
        <v>425</v>
      </c>
      <c r="BQ150" s="376">
        <f t="shared" si="334"/>
        <v>425</v>
      </c>
      <c r="BR150" s="376">
        <f t="shared" si="334"/>
        <v>425</v>
      </c>
      <c r="BS150" s="376">
        <f t="shared" si="334"/>
        <v>425</v>
      </c>
      <c r="BT150" s="376">
        <f t="shared" si="334"/>
        <v>425</v>
      </c>
      <c r="BU150" s="376">
        <f t="shared" si="334"/>
        <v>425</v>
      </c>
      <c r="BV150" s="377">
        <f t="shared" si="334"/>
        <v>425</v>
      </c>
    </row>
    <row r="151" spans="1:74" ht="20.149999999999999" hidden="1" customHeight="1" outlineLevel="2" thickBot="1" x14ac:dyDescent="0.3">
      <c r="A151" s="326" t="s">
        <v>62</v>
      </c>
      <c r="B151" s="327" t="str">
        <f>'Custos Insumos'!C45</f>
        <v>HMR</v>
      </c>
      <c r="C151" s="322">
        <f>'Custos Insumos'!D45</f>
        <v>250</v>
      </c>
      <c r="D151" s="322">
        <v>0.5</v>
      </c>
      <c r="E151" s="322"/>
      <c r="F151" s="322">
        <v>0.25</v>
      </c>
      <c r="G151" s="322"/>
      <c r="H151" s="322">
        <v>0.25</v>
      </c>
      <c r="I151" s="322"/>
      <c r="J151" s="322">
        <v>0.25</v>
      </c>
      <c r="K151" s="322"/>
      <c r="L151" s="360">
        <v>0.25</v>
      </c>
      <c r="M151" s="360"/>
      <c r="N151" s="360">
        <v>0.25</v>
      </c>
      <c r="O151" s="360"/>
      <c r="P151" s="360">
        <f t="shared" si="332"/>
        <v>0.5</v>
      </c>
      <c r="Q151" s="360">
        <f t="shared" si="332"/>
        <v>0</v>
      </c>
      <c r="R151" s="360">
        <f t="shared" si="332"/>
        <v>0.25</v>
      </c>
      <c r="S151" s="360">
        <f t="shared" si="332"/>
        <v>0</v>
      </c>
      <c r="T151" s="360">
        <f t="shared" si="332"/>
        <v>0.25</v>
      </c>
      <c r="U151" s="360">
        <f t="shared" si="332"/>
        <v>0</v>
      </c>
      <c r="V151" s="360">
        <f t="shared" si="332"/>
        <v>0.25</v>
      </c>
      <c r="W151" s="360">
        <f t="shared" si="332"/>
        <v>0</v>
      </c>
      <c r="X151" s="360">
        <f t="shared" si="332"/>
        <v>0.25</v>
      </c>
      <c r="Y151" s="360">
        <f t="shared" si="332"/>
        <v>0</v>
      </c>
      <c r="Z151" s="360">
        <f t="shared" si="332"/>
        <v>0.25</v>
      </c>
      <c r="AA151" s="360">
        <f t="shared" si="332"/>
        <v>0</v>
      </c>
      <c r="AB151" s="360">
        <f t="shared" si="333"/>
        <v>0.5</v>
      </c>
      <c r="AC151" s="360">
        <f t="shared" si="333"/>
        <v>0</v>
      </c>
      <c r="AD151" s="360">
        <f t="shared" si="333"/>
        <v>0.25</v>
      </c>
      <c r="AE151" s="360">
        <f t="shared" si="333"/>
        <v>0</v>
      </c>
      <c r="AF151" s="360">
        <f t="shared" si="333"/>
        <v>0.25</v>
      </c>
      <c r="AG151" s="360">
        <f t="shared" si="333"/>
        <v>0</v>
      </c>
      <c r="AH151" s="360">
        <f t="shared" si="333"/>
        <v>0.25</v>
      </c>
      <c r="AI151" s="360">
        <f t="shared" si="333"/>
        <v>0</v>
      </c>
      <c r="AJ151" s="360">
        <f t="shared" si="333"/>
        <v>0.25</v>
      </c>
      <c r="AK151" s="360">
        <f t="shared" si="333"/>
        <v>0</v>
      </c>
      <c r="AL151" s="361">
        <f t="shared" si="333"/>
        <v>0.25</v>
      </c>
      <c r="AM151" s="636"/>
      <c r="AN151" s="323">
        <f t="shared" ref="AN151:BV151" si="335">$C$151*D151</f>
        <v>125</v>
      </c>
      <c r="AO151" s="324">
        <f t="shared" si="335"/>
        <v>0</v>
      </c>
      <c r="AP151" s="324">
        <f t="shared" si="335"/>
        <v>62.5</v>
      </c>
      <c r="AQ151" s="324">
        <f t="shared" si="335"/>
        <v>0</v>
      </c>
      <c r="AR151" s="324">
        <f t="shared" si="335"/>
        <v>62.5</v>
      </c>
      <c r="AS151" s="324">
        <f t="shared" si="335"/>
        <v>0</v>
      </c>
      <c r="AT151" s="324">
        <f t="shared" si="335"/>
        <v>62.5</v>
      </c>
      <c r="AU151" s="324">
        <f t="shared" si="335"/>
        <v>0</v>
      </c>
      <c r="AV151" s="378">
        <f t="shared" si="335"/>
        <v>62.5</v>
      </c>
      <c r="AW151" s="378">
        <f t="shared" si="335"/>
        <v>0</v>
      </c>
      <c r="AX151" s="378">
        <f t="shared" si="335"/>
        <v>62.5</v>
      </c>
      <c r="AY151" s="378">
        <f t="shared" si="335"/>
        <v>0</v>
      </c>
      <c r="AZ151" s="378">
        <f t="shared" si="335"/>
        <v>125</v>
      </c>
      <c r="BA151" s="378">
        <f t="shared" si="335"/>
        <v>0</v>
      </c>
      <c r="BB151" s="378">
        <f t="shared" si="335"/>
        <v>62.5</v>
      </c>
      <c r="BC151" s="378">
        <f t="shared" si="335"/>
        <v>0</v>
      </c>
      <c r="BD151" s="378">
        <f t="shared" si="335"/>
        <v>62.5</v>
      </c>
      <c r="BE151" s="378">
        <f t="shared" si="335"/>
        <v>0</v>
      </c>
      <c r="BF151" s="378">
        <f t="shared" si="335"/>
        <v>62.5</v>
      </c>
      <c r="BG151" s="378">
        <f t="shared" si="335"/>
        <v>0</v>
      </c>
      <c r="BH151" s="378">
        <f t="shared" si="335"/>
        <v>62.5</v>
      </c>
      <c r="BI151" s="378">
        <f t="shared" si="335"/>
        <v>0</v>
      </c>
      <c r="BJ151" s="378">
        <f t="shared" si="335"/>
        <v>62.5</v>
      </c>
      <c r="BK151" s="378">
        <f t="shared" si="335"/>
        <v>0</v>
      </c>
      <c r="BL151" s="378">
        <f t="shared" si="335"/>
        <v>125</v>
      </c>
      <c r="BM151" s="378">
        <f t="shared" si="335"/>
        <v>0</v>
      </c>
      <c r="BN151" s="378">
        <f t="shared" si="335"/>
        <v>62.5</v>
      </c>
      <c r="BO151" s="378">
        <f t="shared" si="335"/>
        <v>0</v>
      </c>
      <c r="BP151" s="378">
        <f t="shared" si="335"/>
        <v>62.5</v>
      </c>
      <c r="BQ151" s="378">
        <f t="shared" si="335"/>
        <v>0</v>
      </c>
      <c r="BR151" s="378">
        <f t="shared" si="335"/>
        <v>62.5</v>
      </c>
      <c r="BS151" s="378">
        <f t="shared" si="335"/>
        <v>0</v>
      </c>
      <c r="BT151" s="378">
        <f t="shared" si="335"/>
        <v>62.5</v>
      </c>
      <c r="BU151" s="378">
        <f t="shared" si="335"/>
        <v>0</v>
      </c>
      <c r="BV151" s="379">
        <f t="shared" si="335"/>
        <v>62.5</v>
      </c>
    </row>
    <row r="152" spans="1:74" s="408" customFormat="1" ht="20.149999999999999" hidden="1" customHeight="1" outlineLevel="2" thickBot="1" x14ac:dyDescent="0.3">
      <c r="A152" s="1107" t="s">
        <v>103</v>
      </c>
      <c r="B152" s="1108"/>
      <c r="C152" s="1108"/>
      <c r="D152" s="1108"/>
      <c r="E152" s="1108"/>
      <c r="F152" s="1108"/>
      <c r="G152" s="1108"/>
      <c r="H152" s="1108"/>
      <c r="I152" s="1108"/>
      <c r="J152" s="1108"/>
      <c r="K152" s="1108"/>
      <c r="L152" s="1108"/>
      <c r="M152" s="1108"/>
      <c r="N152" s="1108"/>
      <c r="O152" s="1108"/>
      <c r="P152" s="1108"/>
      <c r="Q152" s="1108"/>
      <c r="R152" s="1108"/>
      <c r="S152" s="1108"/>
      <c r="T152" s="1108"/>
      <c r="U152" s="1108"/>
      <c r="V152" s="1108"/>
      <c r="W152" s="1108"/>
      <c r="X152" s="1108"/>
      <c r="Y152" s="1108"/>
      <c r="Z152" s="1108"/>
      <c r="AA152" s="1108"/>
      <c r="AB152" s="1108"/>
      <c r="AC152" s="1108"/>
      <c r="AD152" s="1108"/>
      <c r="AE152" s="1108"/>
      <c r="AF152" s="1108"/>
      <c r="AG152" s="1108"/>
      <c r="AH152" s="1108"/>
      <c r="AI152" s="1108"/>
      <c r="AJ152" s="1108"/>
      <c r="AK152" s="1108"/>
      <c r="AL152" s="1108"/>
      <c r="AM152" s="1108"/>
      <c r="AN152" s="406">
        <f t="shared" ref="AN152:BV152" si="336">SUM(AN141:AN151)</f>
        <v>7635</v>
      </c>
      <c r="AO152" s="406">
        <f t="shared" si="336"/>
        <v>3425</v>
      </c>
      <c r="AP152" s="406">
        <f t="shared" si="336"/>
        <v>2862.5</v>
      </c>
      <c r="AQ152" s="406">
        <f t="shared" si="336"/>
        <v>2800</v>
      </c>
      <c r="AR152" s="406">
        <f t="shared" si="336"/>
        <v>2862.5</v>
      </c>
      <c r="AS152" s="406">
        <f t="shared" si="336"/>
        <v>2800</v>
      </c>
      <c r="AT152" s="406">
        <f t="shared" si="336"/>
        <v>2862.5</v>
      </c>
      <c r="AU152" s="406">
        <f t="shared" si="336"/>
        <v>2800</v>
      </c>
      <c r="AV152" s="407">
        <f t="shared" si="336"/>
        <v>2862.5</v>
      </c>
      <c r="AW152" s="407">
        <f t="shared" si="336"/>
        <v>2800</v>
      </c>
      <c r="AX152" s="407">
        <f t="shared" si="336"/>
        <v>2862.5</v>
      </c>
      <c r="AY152" s="407">
        <f t="shared" si="336"/>
        <v>2800</v>
      </c>
      <c r="AZ152" s="407">
        <f t="shared" si="336"/>
        <v>12659</v>
      </c>
      <c r="BA152" s="407">
        <f t="shared" si="336"/>
        <v>3425</v>
      </c>
      <c r="BB152" s="407">
        <f t="shared" si="336"/>
        <v>2862.5</v>
      </c>
      <c r="BC152" s="407">
        <f t="shared" si="336"/>
        <v>2800</v>
      </c>
      <c r="BD152" s="407">
        <f t="shared" si="336"/>
        <v>2862.5</v>
      </c>
      <c r="BE152" s="407">
        <f t="shared" si="336"/>
        <v>2800</v>
      </c>
      <c r="BF152" s="407">
        <f t="shared" si="336"/>
        <v>2862.5</v>
      </c>
      <c r="BG152" s="407">
        <f t="shared" si="336"/>
        <v>2800</v>
      </c>
      <c r="BH152" s="407">
        <f t="shared" si="336"/>
        <v>2862.5</v>
      </c>
      <c r="BI152" s="407">
        <f t="shared" si="336"/>
        <v>2800</v>
      </c>
      <c r="BJ152" s="407">
        <f t="shared" si="336"/>
        <v>2862.5</v>
      </c>
      <c r="BK152" s="407">
        <f t="shared" si="336"/>
        <v>2800</v>
      </c>
      <c r="BL152" s="407">
        <f t="shared" si="336"/>
        <v>12659</v>
      </c>
      <c r="BM152" s="407">
        <f t="shared" si="336"/>
        <v>3425</v>
      </c>
      <c r="BN152" s="407">
        <f t="shared" si="336"/>
        <v>2862.5</v>
      </c>
      <c r="BO152" s="407">
        <f t="shared" si="336"/>
        <v>2800</v>
      </c>
      <c r="BP152" s="407">
        <f t="shared" si="336"/>
        <v>2862.5</v>
      </c>
      <c r="BQ152" s="407">
        <f t="shared" si="336"/>
        <v>2800</v>
      </c>
      <c r="BR152" s="407">
        <f t="shared" si="336"/>
        <v>2862.5</v>
      </c>
      <c r="BS152" s="407">
        <f t="shared" si="336"/>
        <v>2800</v>
      </c>
      <c r="BT152" s="407">
        <f t="shared" si="336"/>
        <v>2862.5</v>
      </c>
      <c r="BU152" s="407">
        <f t="shared" si="336"/>
        <v>2800</v>
      </c>
      <c r="BV152" s="407">
        <f t="shared" si="336"/>
        <v>2862.5</v>
      </c>
    </row>
    <row r="153" spans="1:74" ht="13" hidden="1" outlineLevel="2" thickBot="1" x14ac:dyDescent="0.3"/>
    <row r="154" spans="1:74" s="123" customFormat="1" ht="27" hidden="1" customHeight="1" outlineLevel="1" collapsed="1" thickBot="1" x14ac:dyDescent="0.3">
      <c r="A154" s="1106" t="s">
        <v>58</v>
      </c>
      <c r="B154" s="1106"/>
      <c r="C154" s="1106"/>
      <c r="D154" s="1106"/>
      <c r="E154" s="1106"/>
      <c r="F154" s="1106"/>
      <c r="G154" s="1106"/>
      <c r="H154" s="1106"/>
      <c r="I154" s="1106"/>
      <c r="J154" s="1106"/>
      <c r="K154" s="1106"/>
      <c r="L154" s="1106"/>
      <c r="M154" s="1106"/>
      <c r="N154" s="1106"/>
      <c r="O154" s="1106"/>
      <c r="P154" s="1106"/>
      <c r="Q154" s="1106"/>
      <c r="R154" s="1106"/>
      <c r="S154" s="1106"/>
      <c r="T154" s="1106"/>
      <c r="U154" s="1106"/>
      <c r="V154" s="1106"/>
      <c r="W154" s="1106"/>
      <c r="X154" s="1106"/>
      <c r="Y154" s="1106"/>
      <c r="Z154" s="1106"/>
      <c r="AA154" s="1106"/>
      <c r="AB154" s="1106"/>
      <c r="AC154" s="1106"/>
      <c r="AD154" s="1106"/>
      <c r="AE154" s="1106"/>
      <c r="AF154" s="1106"/>
      <c r="AG154" s="1106"/>
      <c r="AH154" s="1106"/>
      <c r="AI154" s="1106"/>
      <c r="AJ154" s="1106"/>
      <c r="AK154" s="1106"/>
      <c r="AL154" s="1106"/>
      <c r="AM154" s="1106"/>
      <c r="AN154" s="1106"/>
      <c r="AO154" s="1106"/>
      <c r="AP154" s="1106"/>
      <c r="AQ154" s="1106"/>
      <c r="AR154" s="1106"/>
      <c r="AS154" s="1106"/>
      <c r="AT154" s="1106"/>
      <c r="AU154" s="1106"/>
      <c r="AV154" s="1106"/>
      <c r="AW154" s="1106"/>
      <c r="AX154" s="1106"/>
      <c r="AY154" s="1106"/>
      <c r="AZ154" s="1106"/>
      <c r="BA154" s="1106"/>
      <c r="BB154" s="1106"/>
      <c r="BC154" s="1106"/>
      <c r="BD154" s="1106"/>
      <c r="BE154" s="1106"/>
      <c r="BF154" s="1106"/>
      <c r="BG154" s="1106"/>
      <c r="BH154" s="1106"/>
      <c r="BI154" s="1106"/>
      <c r="BJ154" s="1106"/>
      <c r="BK154" s="1106"/>
      <c r="BL154" s="1106"/>
      <c r="BM154" s="1106"/>
      <c r="BN154" s="1106"/>
      <c r="BO154" s="1106"/>
      <c r="BP154" s="1106"/>
      <c r="BQ154" s="1106"/>
      <c r="BR154" s="1106"/>
      <c r="BS154" s="1106"/>
      <c r="BT154" s="1106"/>
      <c r="BU154" s="1106"/>
      <c r="BV154" s="1106"/>
    </row>
    <row r="155" spans="1:74" ht="18" hidden="1" customHeight="1" outlineLevel="2" thickBot="1" x14ac:dyDescent="0.3">
      <c r="A155" s="1102" t="s">
        <v>113</v>
      </c>
      <c r="B155" s="1102" t="s">
        <v>8</v>
      </c>
      <c r="C155" s="1102" t="s">
        <v>100</v>
      </c>
      <c r="D155" s="1102" t="s">
        <v>97</v>
      </c>
      <c r="E155" s="1102"/>
      <c r="F155" s="1102"/>
      <c r="G155" s="1102"/>
      <c r="H155" s="1102"/>
      <c r="I155" s="1102"/>
      <c r="J155" s="1102"/>
      <c r="K155" s="1102"/>
      <c r="L155" s="1102"/>
      <c r="M155" s="1102"/>
      <c r="N155" s="1102"/>
      <c r="O155" s="1102"/>
      <c r="P155" s="1102"/>
      <c r="Q155" s="1102"/>
      <c r="R155" s="1102"/>
      <c r="S155" s="1102"/>
      <c r="T155" s="1102"/>
      <c r="U155" s="1102"/>
      <c r="V155" s="1102"/>
      <c r="W155" s="1102"/>
      <c r="X155" s="1102"/>
      <c r="Y155" s="1102"/>
      <c r="Z155" s="1102"/>
      <c r="AA155" s="1102"/>
      <c r="AB155" s="1102"/>
      <c r="AC155" s="1102"/>
      <c r="AD155" s="1102"/>
      <c r="AE155" s="1102"/>
      <c r="AF155" s="1102"/>
      <c r="AG155" s="1102"/>
      <c r="AH155" s="1102"/>
      <c r="AI155" s="1102"/>
      <c r="AJ155" s="1102"/>
      <c r="AK155" s="1102"/>
      <c r="AL155" s="1102"/>
      <c r="AM155" s="634"/>
      <c r="AN155" s="1102" t="s">
        <v>99</v>
      </c>
      <c r="AO155" s="1102"/>
      <c r="AP155" s="1102"/>
      <c r="AQ155" s="1102"/>
      <c r="AR155" s="1102"/>
      <c r="AS155" s="1102"/>
      <c r="AT155" s="1102"/>
      <c r="AU155" s="1102"/>
      <c r="AV155" s="1102"/>
      <c r="AW155" s="1102"/>
      <c r="AX155" s="1102"/>
      <c r="AY155" s="1102"/>
      <c r="AZ155" s="1102"/>
      <c r="BA155" s="1102"/>
      <c r="BB155" s="1102"/>
      <c r="BC155" s="1102"/>
      <c r="BD155" s="1102"/>
      <c r="BE155" s="1102"/>
      <c r="BF155" s="1102"/>
      <c r="BG155" s="1102"/>
      <c r="BH155" s="1102"/>
      <c r="BI155" s="1102"/>
      <c r="BJ155" s="1102"/>
      <c r="BK155" s="1102"/>
      <c r="BL155" s="1102"/>
      <c r="BM155" s="1102"/>
      <c r="BN155" s="1102"/>
      <c r="BO155" s="1102"/>
      <c r="BP155" s="1102"/>
      <c r="BQ155" s="1102"/>
      <c r="BR155" s="1102"/>
      <c r="BS155" s="1102"/>
      <c r="BT155" s="1102"/>
      <c r="BU155" s="1102"/>
      <c r="BV155" s="1102"/>
    </row>
    <row r="156" spans="1:74" ht="18" hidden="1" customHeight="1" outlineLevel="2" thickBot="1" x14ac:dyDescent="0.3">
      <c r="A156" s="1102"/>
      <c r="B156" s="1102"/>
      <c r="C156" s="1102"/>
      <c r="D156" s="275">
        <v>1</v>
      </c>
      <c r="E156" s="211">
        <v>2</v>
      </c>
      <c r="F156" s="211">
        <v>3</v>
      </c>
      <c r="G156" s="211">
        <v>4</v>
      </c>
      <c r="H156" s="211">
        <v>5</v>
      </c>
      <c r="I156" s="211">
        <v>6</v>
      </c>
      <c r="J156" s="211">
        <v>7</v>
      </c>
      <c r="K156" s="211">
        <v>8</v>
      </c>
      <c r="L156" s="211">
        <v>9</v>
      </c>
      <c r="M156" s="211">
        <v>10</v>
      </c>
      <c r="N156" s="211">
        <v>11</v>
      </c>
      <c r="O156" s="211">
        <v>12</v>
      </c>
      <c r="P156" s="211">
        <v>13</v>
      </c>
      <c r="Q156" s="211">
        <v>14</v>
      </c>
      <c r="R156" s="211">
        <v>15</v>
      </c>
      <c r="S156" s="211">
        <v>16</v>
      </c>
      <c r="T156" s="211">
        <v>17</v>
      </c>
      <c r="U156" s="211">
        <v>18</v>
      </c>
      <c r="V156" s="211">
        <v>19</v>
      </c>
      <c r="W156" s="211">
        <v>20</v>
      </c>
      <c r="X156" s="211">
        <v>21</v>
      </c>
      <c r="Y156" s="211">
        <v>22</v>
      </c>
      <c r="Z156" s="211">
        <v>23</v>
      </c>
      <c r="AA156" s="211">
        <v>24</v>
      </c>
      <c r="AB156" s="211">
        <v>25</v>
      </c>
      <c r="AC156" s="211">
        <v>26</v>
      </c>
      <c r="AD156" s="211">
        <v>27</v>
      </c>
      <c r="AE156" s="211">
        <v>28</v>
      </c>
      <c r="AF156" s="211">
        <v>29</v>
      </c>
      <c r="AG156" s="211">
        <v>30</v>
      </c>
      <c r="AH156" s="211">
        <v>31</v>
      </c>
      <c r="AI156" s="211">
        <v>32</v>
      </c>
      <c r="AJ156" s="211">
        <v>33</v>
      </c>
      <c r="AK156" s="211">
        <v>34</v>
      </c>
      <c r="AL156" s="212">
        <v>35</v>
      </c>
      <c r="AM156" s="635"/>
      <c r="AN156" s="275">
        <v>1</v>
      </c>
      <c r="AO156" s="211">
        <v>2</v>
      </c>
      <c r="AP156" s="211">
        <v>3</v>
      </c>
      <c r="AQ156" s="211">
        <v>4</v>
      </c>
      <c r="AR156" s="211">
        <v>5</v>
      </c>
      <c r="AS156" s="211">
        <v>6</v>
      </c>
      <c r="AT156" s="211">
        <v>7</v>
      </c>
      <c r="AU156" s="211">
        <v>8</v>
      </c>
      <c r="AV156" s="211">
        <v>9</v>
      </c>
      <c r="AW156" s="211">
        <v>10</v>
      </c>
      <c r="AX156" s="211">
        <v>11</v>
      </c>
      <c r="AY156" s="211">
        <v>12</v>
      </c>
      <c r="AZ156" s="211">
        <v>13</v>
      </c>
      <c r="BA156" s="211">
        <v>14</v>
      </c>
      <c r="BB156" s="211">
        <v>15</v>
      </c>
      <c r="BC156" s="211">
        <v>16</v>
      </c>
      <c r="BD156" s="211">
        <v>17</v>
      </c>
      <c r="BE156" s="211">
        <v>18</v>
      </c>
      <c r="BF156" s="211">
        <v>19</v>
      </c>
      <c r="BG156" s="211">
        <v>20</v>
      </c>
      <c r="BH156" s="211">
        <v>21</v>
      </c>
      <c r="BI156" s="211">
        <v>22</v>
      </c>
      <c r="BJ156" s="211">
        <v>23</v>
      </c>
      <c r="BK156" s="211">
        <v>24</v>
      </c>
      <c r="BL156" s="211">
        <v>25</v>
      </c>
      <c r="BM156" s="211">
        <v>26</v>
      </c>
      <c r="BN156" s="211">
        <v>27</v>
      </c>
      <c r="BO156" s="211">
        <v>28</v>
      </c>
      <c r="BP156" s="211">
        <v>29</v>
      </c>
      <c r="BQ156" s="211">
        <v>30</v>
      </c>
      <c r="BR156" s="211">
        <v>31</v>
      </c>
      <c r="BS156" s="211">
        <v>32</v>
      </c>
      <c r="BT156" s="211">
        <v>33</v>
      </c>
      <c r="BU156" s="211">
        <v>34</v>
      </c>
      <c r="BV156" s="212">
        <v>35</v>
      </c>
    </row>
    <row r="157" spans="1:74" ht="20.149999999999999" hidden="1" customHeight="1" outlineLevel="2" x14ac:dyDescent="0.25">
      <c r="A157" s="19" t="str">
        <f>'Custos Diversos'!A105</f>
        <v>Sistema de irrigação</v>
      </c>
      <c r="B157" s="10" t="str">
        <f>'Custos Diversos'!B105</f>
        <v>ha</v>
      </c>
      <c r="C157" s="317">
        <f>'Custos Diversos'!C105</f>
        <v>22500</v>
      </c>
      <c r="D157" s="317">
        <f>'Custos Diversos'!D105</f>
        <v>1</v>
      </c>
      <c r="E157" s="292"/>
      <c r="F157" s="292"/>
      <c r="G157" s="292"/>
      <c r="H157" s="292"/>
      <c r="I157" s="292"/>
      <c r="J157" s="292"/>
      <c r="K157" s="292"/>
      <c r="L157" s="362"/>
      <c r="M157" s="362"/>
      <c r="N157" s="362"/>
      <c r="O157" s="362"/>
      <c r="P157" s="362"/>
      <c r="Q157" s="362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  <c r="AD157" s="362"/>
      <c r="AE157" s="362"/>
      <c r="AF157" s="362"/>
      <c r="AG157" s="362"/>
      <c r="AH157" s="362"/>
      <c r="AI157" s="362"/>
      <c r="AJ157" s="362"/>
      <c r="AK157" s="362"/>
      <c r="AL157" s="363"/>
      <c r="AM157" s="637"/>
      <c r="AN157" s="293">
        <f>C157*D157</f>
        <v>22500</v>
      </c>
      <c r="AO157" s="292"/>
      <c r="AP157" s="292"/>
      <c r="AQ157" s="292"/>
      <c r="AR157" s="292"/>
      <c r="AS157" s="292"/>
      <c r="AT157" s="292"/>
      <c r="AU157" s="292"/>
      <c r="AV157" s="380"/>
      <c r="AW157" s="380"/>
      <c r="AX157" s="380"/>
      <c r="AY157" s="380"/>
      <c r="AZ157" s="380"/>
      <c r="BA157" s="380"/>
      <c r="BB157" s="380"/>
      <c r="BC157" s="380"/>
      <c r="BD157" s="380"/>
      <c r="BE157" s="380"/>
      <c r="BF157" s="380"/>
      <c r="BG157" s="380"/>
      <c r="BH157" s="380"/>
      <c r="BI157" s="380"/>
      <c r="BJ157" s="380"/>
      <c r="BK157" s="380"/>
      <c r="BL157" s="380"/>
      <c r="BM157" s="380"/>
      <c r="BN157" s="380"/>
      <c r="BO157" s="380"/>
      <c r="BP157" s="380"/>
      <c r="BQ157" s="380"/>
      <c r="BR157" s="380"/>
      <c r="BS157" s="380"/>
      <c r="BT157" s="380"/>
      <c r="BU157" s="380"/>
      <c r="BV157" s="381"/>
    </row>
    <row r="158" spans="1:74" ht="20.149999999999999" hidden="1" customHeight="1" outlineLevel="2" x14ac:dyDescent="0.25">
      <c r="A158" s="20" t="str">
        <f>'Custos Diversos'!A106</f>
        <v>Apoio - alojamento - cozinha e refeitório</v>
      </c>
      <c r="B158" s="13" t="str">
        <f>'Custos Diversos'!B106</f>
        <v>m²/ha</v>
      </c>
      <c r="C158" s="318">
        <f>'Custos Diversos'!C106</f>
        <v>680</v>
      </c>
      <c r="D158" s="318">
        <f>'Custos Diversos'!D106</f>
        <v>3.23</v>
      </c>
      <c r="E158" s="296"/>
      <c r="F158" s="296"/>
      <c r="G158" s="296"/>
      <c r="H158" s="296"/>
      <c r="I158" s="296"/>
      <c r="J158" s="296"/>
      <c r="K158" s="296"/>
      <c r="L158" s="364"/>
      <c r="M158" s="364"/>
      <c r="N158" s="364"/>
      <c r="O158" s="364"/>
      <c r="P158" s="364"/>
      <c r="Q158" s="364"/>
      <c r="R158" s="364"/>
      <c r="S158" s="364"/>
      <c r="T158" s="364"/>
      <c r="U158" s="364"/>
      <c r="V158" s="364"/>
      <c r="W158" s="364"/>
      <c r="X158" s="364"/>
      <c r="Y158" s="364"/>
      <c r="Z158" s="364"/>
      <c r="AA158" s="364"/>
      <c r="AB158" s="364"/>
      <c r="AC158" s="364"/>
      <c r="AD158" s="364"/>
      <c r="AE158" s="364"/>
      <c r="AF158" s="364"/>
      <c r="AG158" s="364"/>
      <c r="AH158" s="364"/>
      <c r="AI158" s="364"/>
      <c r="AJ158" s="364"/>
      <c r="AK158" s="364"/>
      <c r="AL158" s="365"/>
      <c r="AM158" s="637"/>
      <c r="AN158" s="297">
        <f>C158*D158</f>
        <v>2196.4</v>
      </c>
      <c r="AO158" s="296"/>
      <c r="AP158" s="296"/>
      <c r="AQ158" s="296"/>
      <c r="AR158" s="296"/>
      <c r="AS158" s="296"/>
      <c r="AT158" s="296"/>
      <c r="AU158" s="296"/>
      <c r="AV158" s="382"/>
      <c r="AW158" s="382"/>
      <c r="AX158" s="382"/>
      <c r="AY158" s="382"/>
      <c r="AZ158" s="382"/>
      <c r="BA158" s="382"/>
      <c r="BB158" s="382"/>
      <c r="BC158" s="382"/>
      <c r="BD158" s="382"/>
      <c r="BE158" s="382"/>
      <c r="BF158" s="382"/>
      <c r="BG158" s="382"/>
      <c r="BH158" s="382"/>
      <c r="BI158" s="382"/>
      <c r="BJ158" s="382"/>
      <c r="BK158" s="382"/>
      <c r="BL158" s="382"/>
      <c r="BM158" s="382"/>
      <c r="BN158" s="382"/>
      <c r="BO158" s="382"/>
      <c r="BP158" s="382"/>
      <c r="BQ158" s="382"/>
      <c r="BR158" s="382"/>
      <c r="BS158" s="382"/>
      <c r="BT158" s="382"/>
      <c r="BU158" s="382"/>
      <c r="BV158" s="383"/>
    </row>
    <row r="159" spans="1:74" ht="20.149999999999999" hidden="1" customHeight="1" outlineLevel="2" x14ac:dyDescent="0.25">
      <c r="A159" s="20" t="str">
        <f>'Custos Diversos'!A107</f>
        <v>Galpã0 insumos e maquinas</v>
      </c>
      <c r="B159" s="13" t="str">
        <f>'Custos Diversos'!B107</f>
        <v>m²/ha</v>
      </c>
      <c r="C159" s="318">
        <f>'Custos Diversos'!C107</f>
        <v>530</v>
      </c>
      <c r="D159" s="318">
        <f>'Custos Diversos'!D107</f>
        <v>3.9</v>
      </c>
      <c r="E159" s="296"/>
      <c r="F159" s="296"/>
      <c r="G159" s="296"/>
      <c r="H159" s="296"/>
      <c r="I159" s="296"/>
      <c r="J159" s="296"/>
      <c r="K159" s="296"/>
      <c r="L159" s="364"/>
      <c r="M159" s="364"/>
      <c r="N159" s="364"/>
      <c r="O159" s="364"/>
      <c r="P159" s="364"/>
      <c r="Q159" s="364"/>
      <c r="R159" s="364"/>
      <c r="S159" s="364"/>
      <c r="T159" s="364"/>
      <c r="U159" s="364"/>
      <c r="V159" s="364"/>
      <c r="W159" s="364"/>
      <c r="X159" s="364"/>
      <c r="Y159" s="364"/>
      <c r="Z159" s="364"/>
      <c r="AA159" s="364"/>
      <c r="AB159" s="364"/>
      <c r="AC159" s="364"/>
      <c r="AD159" s="364"/>
      <c r="AE159" s="364"/>
      <c r="AF159" s="364"/>
      <c r="AG159" s="364"/>
      <c r="AH159" s="364"/>
      <c r="AI159" s="364"/>
      <c r="AJ159" s="364"/>
      <c r="AK159" s="364"/>
      <c r="AL159" s="365"/>
      <c r="AM159" s="637"/>
      <c r="AN159" s="297">
        <f>C159*D159</f>
        <v>2067</v>
      </c>
      <c r="AO159" s="296"/>
      <c r="AP159" s="296"/>
      <c r="AQ159" s="296"/>
      <c r="AR159" s="296"/>
      <c r="AS159" s="296"/>
      <c r="AT159" s="296"/>
      <c r="AU159" s="296"/>
      <c r="AV159" s="382"/>
      <c r="AW159" s="382"/>
      <c r="AX159" s="382"/>
      <c r="AY159" s="382"/>
      <c r="AZ159" s="382"/>
      <c r="BA159" s="382"/>
      <c r="BB159" s="382"/>
      <c r="BC159" s="382"/>
      <c r="BD159" s="382"/>
      <c r="BE159" s="382"/>
      <c r="BF159" s="382"/>
      <c r="BG159" s="382"/>
      <c r="BH159" s="382"/>
      <c r="BI159" s="382"/>
      <c r="BJ159" s="382"/>
      <c r="BK159" s="382"/>
      <c r="BL159" s="382"/>
      <c r="BM159" s="382"/>
      <c r="BN159" s="382"/>
      <c r="BO159" s="382"/>
      <c r="BP159" s="382"/>
      <c r="BQ159" s="382"/>
      <c r="BR159" s="382"/>
      <c r="BS159" s="382"/>
      <c r="BT159" s="382"/>
      <c r="BU159" s="382"/>
      <c r="BV159" s="383"/>
    </row>
    <row r="160" spans="1:74" ht="20.149999999999999" hidden="1" customHeight="1" outlineLevel="2" x14ac:dyDescent="0.25">
      <c r="A160" s="20" t="str">
        <f>'Custos Diversos'!A108</f>
        <v>Packing hause</v>
      </c>
      <c r="B160" s="13" t="str">
        <f>'Custos Diversos'!B108</f>
        <v>m²/ha</v>
      </c>
      <c r="C160" s="318">
        <f>'Custos Diversos'!C108</f>
        <v>500</v>
      </c>
      <c r="D160" s="318">
        <f>'Custos Diversos'!D108</f>
        <v>3.1</v>
      </c>
      <c r="E160" s="296"/>
      <c r="F160" s="296"/>
      <c r="G160" s="296"/>
      <c r="H160" s="296"/>
      <c r="I160" s="296"/>
      <c r="J160" s="296"/>
      <c r="K160" s="296"/>
      <c r="L160" s="364"/>
      <c r="M160" s="364"/>
      <c r="N160" s="364"/>
      <c r="O160" s="364"/>
      <c r="P160" s="364"/>
      <c r="Q160" s="364"/>
      <c r="R160" s="364"/>
      <c r="S160" s="364"/>
      <c r="T160" s="364"/>
      <c r="U160" s="364"/>
      <c r="V160" s="364"/>
      <c r="W160" s="364"/>
      <c r="X160" s="364"/>
      <c r="Y160" s="364"/>
      <c r="Z160" s="364"/>
      <c r="AA160" s="364"/>
      <c r="AB160" s="364"/>
      <c r="AC160" s="364"/>
      <c r="AD160" s="364"/>
      <c r="AE160" s="364"/>
      <c r="AF160" s="364"/>
      <c r="AG160" s="364"/>
      <c r="AH160" s="364"/>
      <c r="AI160" s="364"/>
      <c r="AJ160" s="364"/>
      <c r="AK160" s="364"/>
      <c r="AL160" s="365"/>
      <c r="AM160" s="637"/>
      <c r="AN160" s="297">
        <f>C160*D160</f>
        <v>1550</v>
      </c>
      <c r="AO160" s="296"/>
      <c r="AP160" s="296"/>
      <c r="AQ160" s="296"/>
      <c r="AR160" s="296"/>
      <c r="AS160" s="296"/>
      <c r="AT160" s="296"/>
      <c r="AU160" s="296"/>
      <c r="AV160" s="382"/>
      <c r="AW160" s="382"/>
      <c r="AX160" s="382"/>
      <c r="AY160" s="382"/>
      <c r="AZ160" s="382"/>
      <c r="BA160" s="382"/>
      <c r="BB160" s="382"/>
      <c r="BC160" s="382"/>
      <c r="BD160" s="382"/>
      <c r="BE160" s="382"/>
      <c r="BF160" s="382"/>
      <c r="BG160" s="382"/>
      <c r="BH160" s="382"/>
      <c r="BI160" s="382"/>
      <c r="BJ160" s="382"/>
      <c r="BK160" s="382"/>
      <c r="BL160" s="382"/>
      <c r="BM160" s="382"/>
      <c r="BN160" s="382"/>
      <c r="BO160" s="382"/>
      <c r="BP160" s="382"/>
      <c r="BQ160" s="382"/>
      <c r="BR160" s="382"/>
      <c r="BS160" s="382"/>
      <c r="BT160" s="382"/>
      <c r="BU160" s="382"/>
      <c r="BV160" s="383"/>
    </row>
    <row r="161" spans="1:74" ht="20.149999999999999" hidden="1" customHeight="1" outlineLevel="2" thickBot="1" x14ac:dyDescent="0.3">
      <c r="A161" s="326" t="str">
        <f>'Custos Diversos'!A109</f>
        <v>Cabo aéreo</v>
      </c>
      <c r="B161" s="327" t="str">
        <f>'Custos Diversos'!B109</f>
        <v>m/ha</v>
      </c>
      <c r="C161" s="328">
        <f>'Custos Diversos'!C109</f>
        <v>250</v>
      </c>
      <c r="D161" s="328">
        <f>'Custos Diversos'!D109</f>
        <v>70.5</v>
      </c>
      <c r="E161" s="329"/>
      <c r="F161" s="329"/>
      <c r="G161" s="329"/>
      <c r="H161" s="329"/>
      <c r="I161" s="329"/>
      <c r="J161" s="329"/>
      <c r="K161" s="329"/>
      <c r="L161" s="366"/>
      <c r="M161" s="366"/>
      <c r="N161" s="366"/>
      <c r="O161" s="366"/>
      <c r="P161" s="366"/>
      <c r="Q161" s="366"/>
      <c r="R161" s="366"/>
      <c r="S161" s="366"/>
      <c r="T161" s="366"/>
      <c r="U161" s="366"/>
      <c r="V161" s="366"/>
      <c r="W161" s="366"/>
      <c r="X161" s="366"/>
      <c r="Y161" s="366"/>
      <c r="Z161" s="366"/>
      <c r="AA161" s="366"/>
      <c r="AB161" s="366"/>
      <c r="AC161" s="366"/>
      <c r="AD161" s="366"/>
      <c r="AE161" s="366"/>
      <c r="AF161" s="366"/>
      <c r="AG161" s="366"/>
      <c r="AH161" s="366"/>
      <c r="AI161" s="366"/>
      <c r="AJ161" s="366"/>
      <c r="AK161" s="366"/>
      <c r="AL161" s="367"/>
      <c r="AM161" s="637"/>
      <c r="AN161" s="330">
        <f>C161*D161</f>
        <v>17625</v>
      </c>
      <c r="AO161" s="329"/>
      <c r="AP161" s="329"/>
      <c r="AQ161" s="329"/>
      <c r="AR161" s="329"/>
      <c r="AS161" s="329"/>
      <c r="AT161" s="329"/>
      <c r="AU161" s="329"/>
      <c r="AV161" s="384"/>
      <c r="AW161" s="384"/>
      <c r="AX161" s="384"/>
      <c r="AY161" s="384"/>
      <c r="AZ161" s="384"/>
      <c r="BA161" s="384"/>
      <c r="BB161" s="384"/>
      <c r="BC161" s="384"/>
      <c r="BD161" s="384"/>
      <c r="BE161" s="384"/>
      <c r="BF161" s="384"/>
      <c r="BG161" s="384"/>
      <c r="BH161" s="384"/>
      <c r="BI161" s="384"/>
      <c r="BJ161" s="384"/>
      <c r="BK161" s="384"/>
      <c r="BL161" s="384"/>
      <c r="BM161" s="384"/>
      <c r="BN161" s="384"/>
      <c r="BO161" s="384"/>
      <c r="BP161" s="384"/>
      <c r="BQ161" s="384"/>
      <c r="BR161" s="384"/>
      <c r="BS161" s="384"/>
      <c r="BT161" s="384"/>
      <c r="BU161" s="384"/>
      <c r="BV161" s="385"/>
    </row>
    <row r="162" spans="1:74" s="408" customFormat="1" ht="19.5" hidden="1" customHeight="1" outlineLevel="2" thickBot="1" x14ac:dyDescent="0.3">
      <c r="A162" s="1107" t="s">
        <v>104</v>
      </c>
      <c r="B162" s="1108"/>
      <c r="C162" s="1108"/>
      <c r="D162" s="1108"/>
      <c r="E162" s="1108"/>
      <c r="F162" s="1108"/>
      <c r="G162" s="1108"/>
      <c r="H162" s="1108"/>
      <c r="I162" s="1108"/>
      <c r="J162" s="1108"/>
      <c r="K162" s="1108"/>
      <c r="L162" s="1108"/>
      <c r="M162" s="1108"/>
      <c r="N162" s="1108"/>
      <c r="O162" s="1108"/>
      <c r="P162" s="1108"/>
      <c r="Q162" s="1108"/>
      <c r="R162" s="1108"/>
      <c r="S162" s="1108"/>
      <c r="T162" s="1108"/>
      <c r="U162" s="1108"/>
      <c r="V162" s="1108"/>
      <c r="W162" s="1108"/>
      <c r="X162" s="1108"/>
      <c r="Y162" s="1108"/>
      <c r="Z162" s="1108"/>
      <c r="AA162" s="1108"/>
      <c r="AB162" s="1108"/>
      <c r="AC162" s="1108"/>
      <c r="AD162" s="1108"/>
      <c r="AE162" s="1108"/>
      <c r="AF162" s="1108"/>
      <c r="AG162" s="1108"/>
      <c r="AH162" s="1108"/>
      <c r="AI162" s="1108"/>
      <c r="AJ162" s="1108"/>
      <c r="AK162" s="1108"/>
      <c r="AL162" s="1108"/>
      <c r="AM162" s="1108"/>
      <c r="AN162" s="410">
        <f>SUM(AN157:AN161)</f>
        <v>45938.400000000001</v>
      </c>
      <c r="AO162" s="410"/>
      <c r="AP162" s="410"/>
      <c r="AQ162" s="410"/>
      <c r="AR162" s="410"/>
      <c r="AS162" s="410"/>
      <c r="AT162" s="410"/>
      <c r="AU162" s="410"/>
    </row>
    <row r="163" spans="1:74" hidden="1" outlineLevel="2" x14ac:dyDescent="0.25"/>
    <row r="164" spans="1:74" s="123" customFormat="1" ht="27" hidden="1" customHeight="1" outlineLevel="1" thickBot="1" x14ac:dyDescent="0.3">
      <c r="A164" s="1106" t="s">
        <v>61</v>
      </c>
      <c r="B164" s="1106"/>
      <c r="C164" s="1106"/>
      <c r="D164" s="1106"/>
      <c r="E164" s="1106"/>
      <c r="F164" s="1106"/>
      <c r="G164" s="1106"/>
      <c r="H164" s="1106"/>
      <c r="I164" s="1106"/>
      <c r="J164" s="1106"/>
      <c r="K164" s="1106"/>
      <c r="L164" s="1106"/>
      <c r="M164" s="1106"/>
      <c r="N164" s="1106"/>
      <c r="O164" s="1106"/>
      <c r="P164" s="1106"/>
      <c r="Q164" s="1106"/>
      <c r="R164" s="1106"/>
      <c r="S164" s="1106"/>
      <c r="T164" s="1106"/>
      <c r="U164" s="1106"/>
      <c r="V164" s="1106"/>
      <c r="W164" s="1106"/>
      <c r="X164" s="1106"/>
      <c r="Y164" s="1106"/>
      <c r="Z164" s="1106"/>
      <c r="AA164" s="1106"/>
      <c r="AB164" s="1106"/>
      <c r="AC164" s="1106"/>
      <c r="AD164" s="1106"/>
      <c r="AE164" s="1106"/>
      <c r="AF164" s="1106"/>
      <c r="AG164" s="1106"/>
      <c r="AH164" s="1106"/>
      <c r="AI164" s="1106"/>
      <c r="AJ164" s="1106"/>
      <c r="AK164" s="1106"/>
      <c r="AL164" s="1106"/>
      <c r="AM164" s="1106"/>
      <c r="AN164" s="1106"/>
      <c r="AO164" s="1106"/>
      <c r="AP164" s="1106"/>
      <c r="AQ164" s="1106"/>
      <c r="AR164" s="1106"/>
      <c r="AS164" s="1106"/>
      <c r="AT164" s="1106"/>
      <c r="AU164" s="1106"/>
      <c r="AV164" s="1106"/>
      <c r="AW164" s="1106"/>
      <c r="AX164" s="1106"/>
      <c r="AY164" s="1106"/>
      <c r="AZ164" s="1106"/>
      <c r="BA164" s="1106"/>
      <c r="BB164" s="1106"/>
      <c r="BC164" s="1106"/>
      <c r="BD164" s="1106"/>
      <c r="BE164" s="1106"/>
      <c r="BF164" s="1106"/>
      <c r="BG164" s="1106"/>
      <c r="BH164" s="1106"/>
      <c r="BI164" s="1106"/>
      <c r="BJ164" s="1106"/>
      <c r="BK164" s="1106"/>
      <c r="BL164" s="1106"/>
      <c r="BM164" s="1106"/>
      <c r="BN164" s="1106"/>
      <c r="BO164" s="1106"/>
      <c r="BP164" s="1106"/>
      <c r="BQ164" s="1106"/>
      <c r="BR164" s="1106"/>
      <c r="BS164" s="1106"/>
      <c r="BT164" s="1106"/>
      <c r="BU164" s="1106"/>
      <c r="BV164" s="1106"/>
    </row>
    <row r="165" spans="1:74" ht="18" hidden="1" customHeight="1" outlineLevel="2" thickBot="1" x14ac:dyDescent="0.3">
      <c r="A165" s="1102" t="s">
        <v>113</v>
      </c>
      <c r="B165" s="1102" t="s">
        <v>8</v>
      </c>
      <c r="C165" s="1102" t="s">
        <v>100</v>
      </c>
      <c r="D165" s="1102" t="s">
        <v>97</v>
      </c>
      <c r="E165" s="1102"/>
      <c r="F165" s="1102"/>
      <c r="G165" s="1102"/>
      <c r="H165" s="1102"/>
      <c r="I165" s="1102"/>
      <c r="J165" s="1102"/>
      <c r="K165" s="1102"/>
      <c r="L165" s="1102"/>
      <c r="M165" s="1102"/>
      <c r="N165" s="1102"/>
      <c r="O165" s="1102"/>
      <c r="P165" s="1102"/>
      <c r="Q165" s="1102"/>
      <c r="R165" s="1102"/>
      <c r="S165" s="1102"/>
      <c r="T165" s="1102"/>
      <c r="U165" s="1102"/>
      <c r="V165" s="1102"/>
      <c r="W165" s="1102"/>
      <c r="X165" s="1102"/>
      <c r="Y165" s="1102"/>
      <c r="Z165" s="1102"/>
      <c r="AA165" s="1102"/>
      <c r="AB165" s="1102"/>
      <c r="AC165" s="1102"/>
      <c r="AD165" s="1102"/>
      <c r="AE165" s="1102"/>
      <c r="AF165" s="1102"/>
      <c r="AG165" s="1102"/>
      <c r="AH165" s="1102"/>
      <c r="AI165" s="1102"/>
      <c r="AJ165" s="1102"/>
      <c r="AK165" s="1102"/>
      <c r="AL165" s="1102"/>
      <c r="AM165" s="634"/>
      <c r="AN165" s="1102" t="s">
        <v>99</v>
      </c>
      <c r="AO165" s="1102"/>
      <c r="AP165" s="1102"/>
      <c r="AQ165" s="1102"/>
      <c r="AR165" s="1102"/>
      <c r="AS165" s="1102"/>
      <c r="AT165" s="1102"/>
      <c r="AU165" s="1102"/>
      <c r="AV165" s="1102"/>
      <c r="AW165" s="1102"/>
      <c r="AX165" s="1102"/>
      <c r="AY165" s="1102"/>
      <c r="AZ165" s="1102"/>
      <c r="BA165" s="1102"/>
      <c r="BB165" s="1102"/>
      <c r="BC165" s="1102"/>
      <c r="BD165" s="1102"/>
      <c r="BE165" s="1102"/>
      <c r="BF165" s="1102"/>
      <c r="BG165" s="1102"/>
      <c r="BH165" s="1102"/>
      <c r="BI165" s="1102"/>
      <c r="BJ165" s="1102"/>
      <c r="BK165" s="1102"/>
      <c r="BL165" s="1102"/>
      <c r="BM165" s="1102"/>
      <c r="BN165" s="1102"/>
      <c r="BO165" s="1102"/>
      <c r="BP165" s="1102"/>
      <c r="BQ165" s="1102"/>
      <c r="BR165" s="1102"/>
      <c r="BS165" s="1102"/>
      <c r="BT165" s="1102"/>
      <c r="BU165" s="1102"/>
      <c r="BV165" s="1102"/>
    </row>
    <row r="166" spans="1:74" ht="18" hidden="1" customHeight="1" outlineLevel="2" thickBot="1" x14ac:dyDescent="0.3">
      <c r="A166" s="1102"/>
      <c r="B166" s="1102"/>
      <c r="C166" s="1102"/>
      <c r="D166" s="275">
        <v>1</v>
      </c>
      <c r="E166" s="211">
        <v>2</v>
      </c>
      <c r="F166" s="211">
        <v>3</v>
      </c>
      <c r="G166" s="211">
        <v>4</v>
      </c>
      <c r="H166" s="211">
        <v>5</v>
      </c>
      <c r="I166" s="211">
        <v>6</v>
      </c>
      <c r="J166" s="211">
        <v>7</v>
      </c>
      <c r="K166" s="211">
        <v>8</v>
      </c>
      <c r="L166" s="211">
        <v>9</v>
      </c>
      <c r="M166" s="211">
        <v>10</v>
      </c>
      <c r="N166" s="211">
        <v>11</v>
      </c>
      <c r="O166" s="211">
        <v>12</v>
      </c>
      <c r="P166" s="211">
        <v>13</v>
      </c>
      <c r="Q166" s="211">
        <v>14</v>
      </c>
      <c r="R166" s="211">
        <v>15</v>
      </c>
      <c r="S166" s="211">
        <v>16</v>
      </c>
      <c r="T166" s="211">
        <v>17</v>
      </c>
      <c r="U166" s="211">
        <v>18</v>
      </c>
      <c r="V166" s="211">
        <v>19</v>
      </c>
      <c r="W166" s="211">
        <v>20</v>
      </c>
      <c r="X166" s="211">
        <v>21</v>
      </c>
      <c r="Y166" s="211">
        <v>22</v>
      </c>
      <c r="Z166" s="211">
        <v>23</v>
      </c>
      <c r="AA166" s="211">
        <v>24</v>
      </c>
      <c r="AB166" s="211">
        <v>25</v>
      </c>
      <c r="AC166" s="211">
        <v>26</v>
      </c>
      <c r="AD166" s="211">
        <v>27</v>
      </c>
      <c r="AE166" s="211">
        <v>28</v>
      </c>
      <c r="AF166" s="211">
        <v>29</v>
      </c>
      <c r="AG166" s="211">
        <v>30</v>
      </c>
      <c r="AH166" s="211">
        <v>31</v>
      </c>
      <c r="AI166" s="211">
        <v>32</v>
      </c>
      <c r="AJ166" s="211">
        <v>33</v>
      </c>
      <c r="AK166" s="211">
        <v>34</v>
      </c>
      <c r="AL166" s="212">
        <v>35</v>
      </c>
      <c r="AM166" s="635"/>
      <c r="AN166" s="275">
        <v>1</v>
      </c>
      <c r="AO166" s="211">
        <v>2</v>
      </c>
      <c r="AP166" s="211">
        <v>3</v>
      </c>
      <c r="AQ166" s="211">
        <v>4</v>
      </c>
      <c r="AR166" s="211">
        <v>5</v>
      </c>
      <c r="AS166" s="211">
        <v>6</v>
      </c>
      <c r="AT166" s="211">
        <v>7</v>
      </c>
      <c r="AU166" s="211">
        <v>8</v>
      </c>
      <c r="AV166" s="211">
        <v>9</v>
      </c>
      <c r="AW166" s="211">
        <v>10</v>
      </c>
      <c r="AX166" s="211">
        <v>11</v>
      </c>
      <c r="AY166" s="211">
        <v>12</v>
      </c>
      <c r="AZ166" s="211">
        <v>13</v>
      </c>
      <c r="BA166" s="211">
        <v>14</v>
      </c>
      <c r="BB166" s="211">
        <v>15</v>
      </c>
      <c r="BC166" s="211">
        <v>16</v>
      </c>
      <c r="BD166" s="211">
        <v>17</v>
      </c>
      <c r="BE166" s="211">
        <v>18</v>
      </c>
      <c r="BF166" s="211">
        <v>19</v>
      </c>
      <c r="BG166" s="211">
        <v>20</v>
      </c>
      <c r="BH166" s="211">
        <v>21</v>
      </c>
      <c r="BI166" s="211">
        <v>22</v>
      </c>
      <c r="BJ166" s="211">
        <v>23</v>
      </c>
      <c r="BK166" s="211">
        <v>24</v>
      </c>
      <c r="BL166" s="211">
        <v>25</v>
      </c>
      <c r="BM166" s="211">
        <v>26</v>
      </c>
      <c r="BN166" s="211">
        <v>27</v>
      </c>
      <c r="BO166" s="211">
        <v>28</v>
      </c>
      <c r="BP166" s="211">
        <v>29</v>
      </c>
      <c r="BQ166" s="211">
        <v>30</v>
      </c>
      <c r="BR166" s="211">
        <v>31</v>
      </c>
      <c r="BS166" s="211">
        <v>32</v>
      </c>
      <c r="BT166" s="211">
        <v>33</v>
      </c>
      <c r="BU166" s="211">
        <v>34</v>
      </c>
      <c r="BV166" s="212">
        <v>35</v>
      </c>
    </row>
    <row r="167" spans="1:74" ht="20.149999999999999" hidden="1" customHeight="1" outlineLevel="2" x14ac:dyDescent="0.25">
      <c r="A167" s="46" t="str">
        <f>'Custos Diversos'!A146</f>
        <v>Energia - parcelar ( consumo )</v>
      </c>
      <c r="B167" s="8" t="str">
        <f>'Custos Diversos'!B146</f>
        <v>kwh/ano</v>
      </c>
      <c r="C167" s="284">
        <f>'Custos Diversos'!C146</f>
        <v>0.23</v>
      </c>
      <c r="D167" s="284">
        <f>'Demanda de água e energia'!C62</f>
        <v>2200</v>
      </c>
      <c r="E167" s="284">
        <f t="shared" ref="E167:O167" si="337">D167</f>
        <v>2200</v>
      </c>
      <c r="F167" s="284">
        <f t="shared" si="337"/>
        <v>2200</v>
      </c>
      <c r="G167" s="284">
        <f t="shared" si="337"/>
        <v>2200</v>
      </c>
      <c r="H167" s="284">
        <f t="shared" si="337"/>
        <v>2200</v>
      </c>
      <c r="I167" s="284">
        <f t="shared" si="337"/>
        <v>2200</v>
      </c>
      <c r="J167" s="284">
        <f t="shared" si="337"/>
        <v>2200</v>
      </c>
      <c r="K167" s="284">
        <f t="shared" si="337"/>
        <v>2200</v>
      </c>
      <c r="L167" s="358">
        <f t="shared" si="337"/>
        <v>2200</v>
      </c>
      <c r="M167" s="358">
        <f t="shared" si="337"/>
        <v>2200</v>
      </c>
      <c r="N167" s="358">
        <f t="shared" si="337"/>
        <v>2200</v>
      </c>
      <c r="O167" s="358">
        <f t="shared" si="337"/>
        <v>2200</v>
      </c>
      <c r="P167" s="358">
        <f t="shared" ref="P167:P174" si="338">D167</f>
        <v>2200</v>
      </c>
      <c r="Q167" s="358">
        <f t="shared" ref="Q167:Q174" si="339">E167</f>
        <v>2200</v>
      </c>
      <c r="R167" s="358">
        <f t="shared" ref="R167:R174" si="340">F167</f>
        <v>2200</v>
      </c>
      <c r="S167" s="358">
        <f t="shared" ref="S167:S174" si="341">G167</f>
        <v>2200</v>
      </c>
      <c r="T167" s="358">
        <f t="shared" ref="T167:T174" si="342">H167</f>
        <v>2200</v>
      </c>
      <c r="U167" s="358">
        <f t="shared" ref="U167:U174" si="343">I167</f>
        <v>2200</v>
      </c>
      <c r="V167" s="358">
        <f t="shared" ref="V167:V174" si="344">J167</f>
        <v>2200</v>
      </c>
      <c r="W167" s="358">
        <f t="shared" ref="W167:W174" si="345">K167</f>
        <v>2200</v>
      </c>
      <c r="X167" s="358">
        <f t="shared" ref="X167:X174" si="346">L167</f>
        <v>2200</v>
      </c>
      <c r="Y167" s="358">
        <f t="shared" ref="Y167:Y174" si="347">M167</f>
        <v>2200</v>
      </c>
      <c r="Z167" s="358">
        <f t="shared" ref="Z167:Z174" si="348">N167</f>
        <v>2200</v>
      </c>
      <c r="AA167" s="358">
        <f t="shared" ref="AA167:AA174" si="349">O167</f>
        <v>2200</v>
      </c>
      <c r="AB167" s="358">
        <f t="shared" ref="AB167:AB174" si="350">D167</f>
        <v>2200</v>
      </c>
      <c r="AC167" s="358">
        <f t="shared" ref="AC167:AC174" si="351">E167</f>
        <v>2200</v>
      </c>
      <c r="AD167" s="358">
        <f t="shared" ref="AD167:AD174" si="352">F167</f>
        <v>2200</v>
      </c>
      <c r="AE167" s="358">
        <f t="shared" ref="AE167:AE174" si="353">G167</f>
        <v>2200</v>
      </c>
      <c r="AF167" s="358">
        <f t="shared" ref="AF167:AF174" si="354">H167</f>
        <v>2200</v>
      </c>
      <c r="AG167" s="358">
        <f t="shared" ref="AG167:AG174" si="355">I167</f>
        <v>2200</v>
      </c>
      <c r="AH167" s="358">
        <f t="shared" ref="AH167:AH174" si="356">J167</f>
        <v>2200</v>
      </c>
      <c r="AI167" s="358">
        <f t="shared" ref="AI167:AI174" si="357">K167</f>
        <v>2200</v>
      </c>
      <c r="AJ167" s="358">
        <f t="shared" ref="AJ167:AJ174" si="358">L167</f>
        <v>2200</v>
      </c>
      <c r="AK167" s="358">
        <f t="shared" ref="AK167:AK174" si="359">M167</f>
        <v>2200</v>
      </c>
      <c r="AL167" s="359">
        <f t="shared" ref="AL167:AL174" si="360">N167</f>
        <v>2200</v>
      </c>
      <c r="AM167" s="636"/>
      <c r="AN167" s="285">
        <f t="shared" ref="AN167:BV167" si="361">$C$167*D167</f>
        <v>506</v>
      </c>
      <c r="AO167" s="286">
        <f t="shared" si="361"/>
        <v>506</v>
      </c>
      <c r="AP167" s="286">
        <f t="shared" si="361"/>
        <v>506</v>
      </c>
      <c r="AQ167" s="286">
        <f t="shared" si="361"/>
        <v>506</v>
      </c>
      <c r="AR167" s="286">
        <f t="shared" si="361"/>
        <v>506</v>
      </c>
      <c r="AS167" s="286">
        <f t="shared" si="361"/>
        <v>506</v>
      </c>
      <c r="AT167" s="286">
        <f t="shared" si="361"/>
        <v>506</v>
      </c>
      <c r="AU167" s="286">
        <f t="shared" si="361"/>
        <v>506</v>
      </c>
      <c r="AV167" s="376">
        <f t="shared" si="361"/>
        <v>506</v>
      </c>
      <c r="AW167" s="376">
        <f t="shared" si="361"/>
        <v>506</v>
      </c>
      <c r="AX167" s="376">
        <f t="shared" si="361"/>
        <v>506</v>
      </c>
      <c r="AY167" s="376">
        <f t="shared" si="361"/>
        <v>506</v>
      </c>
      <c r="AZ167" s="376">
        <f t="shared" si="361"/>
        <v>506</v>
      </c>
      <c r="BA167" s="376">
        <f t="shared" si="361"/>
        <v>506</v>
      </c>
      <c r="BB167" s="376">
        <f t="shared" si="361"/>
        <v>506</v>
      </c>
      <c r="BC167" s="376">
        <f t="shared" si="361"/>
        <v>506</v>
      </c>
      <c r="BD167" s="376">
        <f t="shared" si="361"/>
        <v>506</v>
      </c>
      <c r="BE167" s="376">
        <f t="shared" si="361"/>
        <v>506</v>
      </c>
      <c r="BF167" s="376">
        <f t="shared" si="361"/>
        <v>506</v>
      </c>
      <c r="BG167" s="376">
        <f t="shared" si="361"/>
        <v>506</v>
      </c>
      <c r="BH167" s="376">
        <f t="shared" si="361"/>
        <v>506</v>
      </c>
      <c r="BI167" s="376">
        <f t="shared" si="361"/>
        <v>506</v>
      </c>
      <c r="BJ167" s="376">
        <f t="shared" si="361"/>
        <v>506</v>
      </c>
      <c r="BK167" s="376">
        <f t="shared" si="361"/>
        <v>506</v>
      </c>
      <c r="BL167" s="376">
        <f t="shared" si="361"/>
        <v>506</v>
      </c>
      <c r="BM167" s="376">
        <f t="shared" si="361"/>
        <v>506</v>
      </c>
      <c r="BN167" s="376">
        <f t="shared" si="361"/>
        <v>506</v>
      </c>
      <c r="BO167" s="376">
        <f t="shared" si="361"/>
        <v>506</v>
      </c>
      <c r="BP167" s="376">
        <f t="shared" si="361"/>
        <v>506</v>
      </c>
      <c r="BQ167" s="376">
        <f t="shared" si="361"/>
        <v>506</v>
      </c>
      <c r="BR167" s="376">
        <f t="shared" si="361"/>
        <v>506</v>
      </c>
      <c r="BS167" s="376">
        <f t="shared" si="361"/>
        <v>506</v>
      </c>
      <c r="BT167" s="376">
        <f t="shared" si="361"/>
        <v>506</v>
      </c>
      <c r="BU167" s="376">
        <f t="shared" si="361"/>
        <v>506</v>
      </c>
      <c r="BV167" s="377">
        <f t="shared" si="361"/>
        <v>506</v>
      </c>
    </row>
    <row r="168" spans="1:74" ht="20.149999999999999" hidden="1" customHeight="1" outlineLevel="2" x14ac:dyDescent="0.25">
      <c r="A168" s="46" t="str">
        <f>'Custos Diversos'!A147</f>
        <v>Energia - parcelar ( demanda )</v>
      </c>
      <c r="B168" s="8" t="str">
        <f>'Custos Diversos'!B147</f>
        <v>kw/ano</v>
      </c>
      <c r="C168" s="284">
        <f>'Custos Diversos'!C147</f>
        <v>12</v>
      </c>
      <c r="D168" s="284">
        <f t="shared" ref="D168:O168" si="362">1*12</f>
        <v>12</v>
      </c>
      <c r="E168" s="284">
        <f t="shared" si="362"/>
        <v>12</v>
      </c>
      <c r="F168" s="284">
        <f t="shared" si="362"/>
        <v>12</v>
      </c>
      <c r="G168" s="284">
        <f t="shared" si="362"/>
        <v>12</v>
      </c>
      <c r="H168" s="284">
        <f t="shared" si="362"/>
        <v>12</v>
      </c>
      <c r="I168" s="284">
        <f t="shared" si="362"/>
        <v>12</v>
      </c>
      <c r="J168" s="284">
        <f t="shared" si="362"/>
        <v>12</v>
      </c>
      <c r="K168" s="284">
        <f t="shared" si="362"/>
        <v>12</v>
      </c>
      <c r="L168" s="358">
        <f t="shared" si="362"/>
        <v>12</v>
      </c>
      <c r="M168" s="358">
        <f t="shared" si="362"/>
        <v>12</v>
      </c>
      <c r="N168" s="358">
        <f t="shared" si="362"/>
        <v>12</v>
      </c>
      <c r="O168" s="358">
        <f t="shared" si="362"/>
        <v>12</v>
      </c>
      <c r="P168" s="358">
        <f t="shared" si="338"/>
        <v>12</v>
      </c>
      <c r="Q168" s="358">
        <f t="shared" si="339"/>
        <v>12</v>
      </c>
      <c r="R168" s="358">
        <f t="shared" si="340"/>
        <v>12</v>
      </c>
      <c r="S168" s="358">
        <f t="shared" si="341"/>
        <v>12</v>
      </c>
      <c r="T168" s="358">
        <f t="shared" si="342"/>
        <v>12</v>
      </c>
      <c r="U168" s="358">
        <f t="shared" si="343"/>
        <v>12</v>
      </c>
      <c r="V168" s="358">
        <f t="shared" si="344"/>
        <v>12</v>
      </c>
      <c r="W168" s="358">
        <f t="shared" si="345"/>
        <v>12</v>
      </c>
      <c r="X168" s="358">
        <f t="shared" si="346"/>
        <v>12</v>
      </c>
      <c r="Y168" s="358">
        <f t="shared" si="347"/>
        <v>12</v>
      </c>
      <c r="Z168" s="358">
        <f t="shared" si="348"/>
        <v>12</v>
      </c>
      <c r="AA168" s="358">
        <f t="shared" si="349"/>
        <v>12</v>
      </c>
      <c r="AB168" s="358">
        <f t="shared" si="350"/>
        <v>12</v>
      </c>
      <c r="AC168" s="358">
        <f t="shared" si="351"/>
        <v>12</v>
      </c>
      <c r="AD168" s="358">
        <f t="shared" si="352"/>
        <v>12</v>
      </c>
      <c r="AE168" s="358">
        <f t="shared" si="353"/>
        <v>12</v>
      </c>
      <c r="AF168" s="358">
        <f t="shared" si="354"/>
        <v>12</v>
      </c>
      <c r="AG168" s="358">
        <f t="shared" si="355"/>
        <v>12</v>
      </c>
      <c r="AH168" s="358">
        <f t="shared" si="356"/>
        <v>12</v>
      </c>
      <c r="AI168" s="358">
        <f t="shared" si="357"/>
        <v>12</v>
      </c>
      <c r="AJ168" s="358">
        <f t="shared" si="358"/>
        <v>12</v>
      </c>
      <c r="AK168" s="358">
        <f t="shared" si="359"/>
        <v>12</v>
      </c>
      <c r="AL168" s="359">
        <f t="shared" si="360"/>
        <v>12</v>
      </c>
      <c r="AM168" s="636"/>
      <c r="AN168" s="285">
        <f t="shared" ref="AN168:BV168" si="363">$C$168*D168</f>
        <v>144</v>
      </c>
      <c r="AO168" s="286">
        <f t="shared" si="363"/>
        <v>144</v>
      </c>
      <c r="AP168" s="286">
        <f t="shared" si="363"/>
        <v>144</v>
      </c>
      <c r="AQ168" s="286">
        <f t="shared" si="363"/>
        <v>144</v>
      </c>
      <c r="AR168" s="286">
        <f t="shared" si="363"/>
        <v>144</v>
      </c>
      <c r="AS168" s="286">
        <f t="shared" si="363"/>
        <v>144</v>
      </c>
      <c r="AT168" s="286">
        <f t="shared" si="363"/>
        <v>144</v>
      </c>
      <c r="AU168" s="286">
        <f t="shared" si="363"/>
        <v>144</v>
      </c>
      <c r="AV168" s="376">
        <f t="shared" si="363"/>
        <v>144</v>
      </c>
      <c r="AW168" s="376">
        <f t="shared" si="363"/>
        <v>144</v>
      </c>
      <c r="AX168" s="376">
        <f t="shared" si="363"/>
        <v>144</v>
      </c>
      <c r="AY168" s="376">
        <f t="shared" si="363"/>
        <v>144</v>
      </c>
      <c r="AZ168" s="376">
        <f t="shared" si="363"/>
        <v>144</v>
      </c>
      <c r="BA168" s="376">
        <f t="shared" si="363"/>
        <v>144</v>
      </c>
      <c r="BB168" s="376">
        <f t="shared" si="363"/>
        <v>144</v>
      </c>
      <c r="BC168" s="376">
        <f t="shared" si="363"/>
        <v>144</v>
      </c>
      <c r="BD168" s="376">
        <f t="shared" si="363"/>
        <v>144</v>
      </c>
      <c r="BE168" s="376">
        <f t="shared" si="363"/>
        <v>144</v>
      </c>
      <c r="BF168" s="376">
        <f t="shared" si="363"/>
        <v>144</v>
      </c>
      <c r="BG168" s="376">
        <f t="shared" si="363"/>
        <v>144</v>
      </c>
      <c r="BH168" s="376">
        <f t="shared" si="363"/>
        <v>144</v>
      </c>
      <c r="BI168" s="376">
        <f t="shared" si="363"/>
        <v>144</v>
      </c>
      <c r="BJ168" s="376">
        <f t="shared" si="363"/>
        <v>144</v>
      </c>
      <c r="BK168" s="376">
        <f t="shared" si="363"/>
        <v>144</v>
      </c>
      <c r="BL168" s="376">
        <f t="shared" si="363"/>
        <v>144</v>
      </c>
      <c r="BM168" s="376">
        <f t="shared" si="363"/>
        <v>144</v>
      </c>
      <c r="BN168" s="376">
        <f t="shared" si="363"/>
        <v>144</v>
      </c>
      <c r="BO168" s="376">
        <f t="shared" si="363"/>
        <v>144</v>
      </c>
      <c r="BP168" s="376">
        <f t="shared" si="363"/>
        <v>144</v>
      </c>
      <c r="BQ168" s="376">
        <f t="shared" si="363"/>
        <v>144</v>
      </c>
      <c r="BR168" s="376">
        <f t="shared" si="363"/>
        <v>144</v>
      </c>
      <c r="BS168" s="376">
        <f t="shared" si="363"/>
        <v>144</v>
      </c>
      <c r="BT168" s="376">
        <f t="shared" si="363"/>
        <v>144</v>
      </c>
      <c r="BU168" s="376">
        <f t="shared" si="363"/>
        <v>144</v>
      </c>
      <c r="BV168" s="377">
        <f t="shared" si="363"/>
        <v>144</v>
      </c>
    </row>
    <row r="169" spans="1:74" ht="20.149999999999999" hidden="1" customHeight="1" outlineLevel="2" x14ac:dyDescent="0.25">
      <c r="A169" s="46" t="str">
        <f>'Custos Diversos'!A149</f>
        <v>man sist irrig</v>
      </c>
      <c r="B169" s="8" t="str">
        <f>'Custos Diversos'!B149</f>
        <v>vb/ha/ano</v>
      </c>
      <c r="C169" s="284">
        <f>'Custos Diversos'!C149</f>
        <v>225</v>
      </c>
      <c r="D169" s="284">
        <v>0.5</v>
      </c>
      <c r="E169" s="284">
        <v>1</v>
      </c>
      <c r="F169" s="284">
        <v>1.25</v>
      </c>
      <c r="G169" s="284">
        <v>1.25</v>
      </c>
      <c r="H169" s="284">
        <v>1.5</v>
      </c>
      <c r="I169" s="284">
        <v>1.5</v>
      </c>
      <c r="J169" s="284">
        <v>2</v>
      </c>
      <c r="K169" s="284">
        <v>2</v>
      </c>
      <c r="L169" s="358">
        <v>2</v>
      </c>
      <c r="M169" s="358">
        <v>2</v>
      </c>
      <c r="N169" s="358">
        <v>2</v>
      </c>
      <c r="O169" s="358">
        <v>2</v>
      </c>
      <c r="P169" s="358">
        <f t="shared" si="338"/>
        <v>0.5</v>
      </c>
      <c r="Q169" s="358">
        <f t="shared" si="339"/>
        <v>1</v>
      </c>
      <c r="R169" s="358">
        <f t="shared" si="340"/>
        <v>1.25</v>
      </c>
      <c r="S169" s="358">
        <f t="shared" si="341"/>
        <v>1.25</v>
      </c>
      <c r="T169" s="358">
        <f t="shared" si="342"/>
        <v>1.5</v>
      </c>
      <c r="U169" s="358">
        <f t="shared" si="343"/>
        <v>1.5</v>
      </c>
      <c r="V169" s="358">
        <f t="shared" si="344"/>
        <v>2</v>
      </c>
      <c r="W169" s="358">
        <f t="shared" si="345"/>
        <v>2</v>
      </c>
      <c r="X169" s="358">
        <f t="shared" si="346"/>
        <v>2</v>
      </c>
      <c r="Y169" s="358">
        <f t="shared" si="347"/>
        <v>2</v>
      </c>
      <c r="Z169" s="358">
        <f t="shared" si="348"/>
        <v>2</v>
      </c>
      <c r="AA169" s="358">
        <f t="shared" si="349"/>
        <v>2</v>
      </c>
      <c r="AB169" s="358">
        <f t="shared" si="350"/>
        <v>0.5</v>
      </c>
      <c r="AC169" s="358">
        <f t="shared" si="351"/>
        <v>1</v>
      </c>
      <c r="AD169" s="358">
        <f t="shared" si="352"/>
        <v>1.25</v>
      </c>
      <c r="AE169" s="358">
        <f t="shared" si="353"/>
        <v>1.25</v>
      </c>
      <c r="AF169" s="358">
        <f t="shared" si="354"/>
        <v>1.5</v>
      </c>
      <c r="AG169" s="358">
        <f t="shared" si="355"/>
        <v>1.5</v>
      </c>
      <c r="AH169" s="358">
        <f t="shared" si="356"/>
        <v>2</v>
      </c>
      <c r="AI169" s="358">
        <f t="shared" si="357"/>
        <v>2</v>
      </c>
      <c r="AJ169" s="358">
        <f t="shared" si="358"/>
        <v>2</v>
      </c>
      <c r="AK169" s="358">
        <f t="shared" si="359"/>
        <v>2</v>
      </c>
      <c r="AL169" s="359">
        <f t="shared" si="360"/>
        <v>2</v>
      </c>
      <c r="AM169" s="636"/>
      <c r="AN169" s="285">
        <f t="shared" ref="AN169:BV169" si="364">$C$169*D169</f>
        <v>112.5</v>
      </c>
      <c r="AO169" s="286">
        <f t="shared" si="364"/>
        <v>225</v>
      </c>
      <c r="AP169" s="286">
        <f t="shared" si="364"/>
        <v>281.25</v>
      </c>
      <c r="AQ169" s="286">
        <f t="shared" si="364"/>
        <v>281.25</v>
      </c>
      <c r="AR169" s="286">
        <f t="shared" si="364"/>
        <v>337.5</v>
      </c>
      <c r="AS169" s="286">
        <f t="shared" si="364"/>
        <v>337.5</v>
      </c>
      <c r="AT169" s="286">
        <f t="shared" si="364"/>
        <v>450</v>
      </c>
      <c r="AU169" s="286">
        <f t="shared" si="364"/>
        <v>450</v>
      </c>
      <c r="AV169" s="376">
        <f t="shared" si="364"/>
        <v>450</v>
      </c>
      <c r="AW169" s="376">
        <f t="shared" si="364"/>
        <v>450</v>
      </c>
      <c r="AX169" s="376">
        <f t="shared" si="364"/>
        <v>450</v>
      </c>
      <c r="AY169" s="376">
        <f t="shared" si="364"/>
        <v>450</v>
      </c>
      <c r="AZ169" s="376">
        <f t="shared" si="364"/>
        <v>112.5</v>
      </c>
      <c r="BA169" s="376">
        <f t="shared" si="364"/>
        <v>225</v>
      </c>
      <c r="BB169" s="376">
        <f t="shared" si="364"/>
        <v>281.25</v>
      </c>
      <c r="BC169" s="376">
        <f t="shared" si="364"/>
        <v>281.25</v>
      </c>
      <c r="BD169" s="376">
        <f t="shared" si="364"/>
        <v>337.5</v>
      </c>
      <c r="BE169" s="376">
        <f t="shared" si="364"/>
        <v>337.5</v>
      </c>
      <c r="BF169" s="376">
        <f t="shared" si="364"/>
        <v>450</v>
      </c>
      <c r="BG169" s="376">
        <f t="shared" si="364"/>
        <v>450</v>
      </c>
      <c r="BH169" s="376">
        <f t="shared" si="364"/>
        <v>450</v>
      </c>
      <c r="BI169" s="376">
        <f t="shared" si="364"/>
        <v>450</v>
      </c>
      <c r="BJ169" s="376">
        <f t="shared" si="364"/>
        <v>450</v>
      </c>
      <c r="BK169" s="376">
        <f t="shared" si="364"/>
        <v>450</v>
      </c>
      <c r="BL169" s="376">
        <f t="shared" si="364"/>
        <v>112.5</v>
      </c>
      <c r="BM169" s="376">
        <f t="shared" si="364"/>
        <v>225</v>
      </c>
      <c r="BN169" s="376">
        <f t="shared" si="364"/>
        <v>281.25</v>
      </c>
      <c r="BO169" s="376">
        <f t="shared" si="364"/>
        <v>281.25</v>
      </c>
      <c r="BP169" s="376">
        <f t="shared" si="364"/>
        <v>337.5</v>
      </c>
      <c r="BQ169" s="376">
        <f t="shared" si="364"/>
        <v>337.5</v>
      </c>
      <c r="BR169" s="376">
        <f t="shared" si="364"/>
        <v>450</v>
      </c>
      <c r="BS169" s="376">
        <f t="shared" si="364"/>
        <v>450</v>
      </c>
      <c r="BT169" s="376">
        <f t="shared" si="364"/>
        <v>450</v>
      </c>
      <c r="BU169" s="376">
        <f t="shared" si="364"/>
        <v>450</v>
      </c>
      <c r="BV169" s="377">
        <f t="shared" si="364"/>
        <v>450</v>
      </c>
    </row>
    <row r="170" spans="1:74" ht="20.149999999999999" hidden="1" customHeight="1" outlineLevel="2" x14ac:dyDescent="0.25">
      <c r="A170" s="46" t="str">
        <f>'Custos Diversos'!A150</f>
        <v>man estrutura</v>
      </c>
      <c r="B170" s="8" t="str">
        <f>'Custos Diversos'!B150</f>
        <v>vb/ha/ano</v>
      </c>
      <c r="C170" s="284">
        <f>'Custos Diversos'!C150</f>
        <v>234.38400000000001</v>
      </c>
      <c r="D170" s="284">
        <v>0.5</v>
      </c>
      <c r="E170" s="284">
        <v>1</v>
      </c>
      <c r="F170" s="284">
        <v>1.25</v>
      </c>
      <c r="G170" s="284">
        <v>1.25</v>
      </c>
      <c r="H170" s="284">
        <v>1.5</v>
      </c>
      <c r="I170" s="284">
        <v>1.5</v>
      </c>
      <c r="J170" s="284">
        <v>2</v>
      </c>
      <c r="K170" s="284">
        <v>2</v>
      </c>
      <c r="L170" s="358">
        <v>2</v>
      </c>
      <c r="M170" s="358">
        <v>2</v>
      </c>
      <c r="N170" s="358">
        <v>2</v>
      </c>
      <c r="O170" s="358">
        <v>2</v>
      </c>
      <c r="P170" s="358">
        <f t="shared" si="338"/>
        <v>0.5</v>
      </c>
      <c r="Q170" s="358">
        <f t="shared" si="339"/>
        <v>1</v>
      </c>
      <c r="R170" s="358">
        <f t="shared" si="340"/>
        <v>1.25</v>
      </c>
      <c r="S170" s="358">
        <f t="shared" si="341"/>
        <v>1.25</v>
      </c>
      <c r="T170" s="358">
        <f t="shared" si="342"/>
        <v>1.5</v>
      </c>
      <c r="U170" s="358">
        <f t="shared" si="343"/>
        <v>1.5</v>
      </c>
      <c r="V170" s="358">
        <f t="shared" si="344"/>
        <v>2</v>
      </c>
      <c r="W170" s="358">
        <f t="shared" si="345"/>
        <v>2</v>
      </c>
      <c r="X170" s="358">
        <f t="shared" si="346"/>
        <v>2</v>
      </c>
      <c r="Y170" s="358">
        <f t="shared" si="347"/>
        <v>2</v>
      </c>
      <c r="Z170" s="358">
        <f t="shared" si="348"/>
        <v>2</v>
      </c>
      <c r="AA170" s="358">
        <f t="shared" si="349"/>
        <v>2</v>
      </c>
      <c r="AB170" s="358">
        <f t="shared" si="350"/>
        <v>0.5</v>
      </c>
      <c r="AC170" s="358">
        <f t="shared" si="351"/>
        <v>1</v>
      </c>
      <c r="AD170" s="358">
        <f t="shared" si="352"/>
        <v>1.25</v>
      </c>
      <c r="AE170" s="358">
        <f t="shared" si="353"/>
        <v>1.25</v>
      </c>
      <c r="AF170" s="358">
        <f t="shared" si="354"/>
        <v>1.5</v>
      </c>
      <c r="AG170" s="358">
        <f t="shared" si="355"/>
        <v>1.5</v>
      </c>
      <c r="AH170" s="358">
        <f t="shared" si="356"/>
        <v>2</v>
      </c>
      <c r="AI170" s="358">
        <f t="shared" si="357"/>
        <v>2</v>
      </c>
      <c r="AJ170" s="358">
        <f t="shared" si="358"/>
        <v>2</v>
      </c>
      <c r="AK170" s="358">
        <f t="shared" si="359"/>
        <v>2</v>
      </c>
      <c r="AL170" s="359">
        <f t="shared" si="360"/>
        <v>2</v>
      </c>
      <c r="AM170" s="636"/>
      <c r="AN170" s="285">
        <f t="shared" ref="AN170:BV170" si="365">$C$170*D170</f>
        <v>117.19200000000001</v>
      </c>
      <c r="AO170" s="286">
        <f t="shared" si="365"/>
        <v>234.38400000000001</v>
      </c>
      <c r="AP170" s="286">
        <f t="shared" si="365"/>
        <v>292.98</v>
      </c>
      <c r="AQ170" s="286">
        <f t="shared" si="365"/>
        <v>292.98</v>
      </c>
      <c r="AR170" s="286">
        <f t="shared" si="365"/>
        <v>351.57600000000002</v>
      </c>
      <c r="AS170" s="286">
        <f t="shared" si="365"/>
        <v>351.57600000000002</v>
      </c>
      <c r="AT170" s="286">
        <f t="shared" si="365"/>
        <v>468.76800000000003</v>
      </c>
      <c r="AU170" s="286">
        <f t="shared" si="365"/>
        <v>468.76800000000003</v>
      </c>
      <c r="AV170" s="376">
        <f t="shared" si="365"/>
        <v>468.76800000000003</v>
      </c>
      <c r="AW170" s="376">
        <f t="shared" si="365"/>
        <v>468.76800000000003</v>
      </c>
      <c r="AX170" s="376">
        <f t="shared" si="365"/>
        <v>468.76800000000003</v>
      </c>
      <c r="AY170" s="376">
        <f t="shared" si="365"/>
        <v>468.76800000000003</v>
      </c>
      <c r="AZ170" s="376">
        <f t="shared" si="365"/>
        <v>117.19200000000001</v>
      </c>
      <c r="BA170" s="376">
        <f t="shared" si="365"/>
        <v>234.38400000000001</v>
      </c>
      <c r="BB170" s="376">
        <f t="shared" si="365"/>
        <v>292.98</v>
      </c>
      <c r="BC170" s="376">
        <f t="shared" si="365"/>
        <v>292.98</v>
      </c>
      <c r="BD170" s="376">
        <f t="shared" si="365"/>
        <v>351.57600000000002</v>
      </c>
      <c r="BE170" s="376">
        <f t="shared" si="365"/>
        <v>351.57600000000002</v>
      </c>
      <c r="BF170" s="376">
        <f t="shared" si="365"/>
        <v>468.76800000000003</v>
      </c>
      <c r="BG170" s="376">
        <f t="shared" si="365"/>
        <v>468.76800000000003</v>
      </c>
      <c r="BH170" s="376">
        <f t="shared" si="365"/>
        <v>468.76800000000003</v>
      </c>
      <c r="BI170" s="376">
        <f t="shared" si="365"/>
        <v>468.76800000000003</v>
      </c>
      <c r="BJ170" s="376">
        <f t="shared" si="365"/>
        <v>468.76800000000003</v>
      </c>
      <c r="BK170" s="376">
        <f t="shared" si="365"/>
        <v>468.76800000000003</v>
      </c>
      <c r="BL170" s="376">
        <f t="shared" si="365"/>
        <v>117.19200000000001</v>
      </c>
      <c r="BM170" s="376">
        <f t="shared" si="365"/>
        <v>234.38400000000001</v>
      </c>
      <c r="BN170" s="376">
        <f t="shared" si="365"/>
        <v>292.98</v>
      </c>
      <c r="BO170" s="376">
        <f t="shared" si="365"/>
        <v>292.98</v>
      </c>
      <c r="BP170" s="376">
        <f t="shared" si="365"/>
        <v>351.57600000000002</v>
      </c>
      <c r="BQ170" s="376">
        <f t="shared" si="365"/>
        <v>351.57600000000002</v>
      </c>
      <c r="BR170" s="376">
        <f t="shared" si="365"/>
        <v>468.76800000000003</v>
      </c>
      <c r="BS170" s="376">
        <f t="shared" si="365"/>
        <v>468.76800000000003</v>
      </c>
      <c r="BT170" s="376">
        <f t="shared" si="365"/>
        <v>468.76800000000003</v>
      </c>
      <c r="BU170" s="376">
        <f t="shared" si="365"/>
        <v>468.76800000000003</v>
      </c>
      <c r="BV170" s="377">
        <f t="shared" si="365"/>
        <v>468.76800000000003</v>
      </c>
    </row>
    <row r="171" spans="1:74" ht="20.149999999999999" hidden="1" customHeight="1" outlineLevel="2" x14ac:dyDescent="0.25">
      <c r="A171" s="46" t="str">
        <f>'Custos Diversos'!A151</f>
        <v>Ferramentas diversas</v>
      </c>
      <c r="B171" s="8" t="str">
        <f>'Custos Diversos'!B151</f>
        <v>vb/ha/ano</v>
      </c>
      <c r="C171" s="284">
        <f>'Custos Diversos'!C151</f>
        <v>600</v>
      </c>
      <c r="D171" s="284">
        <v>1</v>
      </c>
      <c r="E171" s="284">
        <v>1</v>
      </c>
      <c r="F171" s="284">
        <v>1</v>
      </c>
      <c r="G171" s="284">
        <v>1</v>
      </c>
      <c r="H171" s="284">
        <v>1</v>
      </c>
      <c r="I171" s="284">
        <v>1</v>
      </c>
      <c r="J171" s="284">
        <v>1</v>
      </c>
      <c r="K171" s="284">
        <v>1</v>
      </c>
      <c r="L171" s="358">
        <v>1</v>
      </c>
      <c r="M171" s="358">
        <v>1</v>
      </c>
      <c r="N171" s="358">
        <v>1</v>
      </c>
      <c r="O171" s="358">
        <v>1</v>
      </c>
      <c r="P171" s="358">
        <f t="shared" si="338"/>
        <v>1</v>
      </c>
      <c r="Q171" s="358">
        <f t="shared" si="339"/>
        <v>1</v>
      </c>
      <c r="R171" s="358">
        <f t="shared" si="340"/>
        <v>1</v>
      </c>
      <c r="S171" s="358">
        <f t="shared" si="341"/>
        <v>1</v>
      </c>
      <c r="T171" s="358">
        <f t="shared" si="342"/>
        <v>1</v>
      </c>
      <c r="U171" s="358">
        <f t="shared" si="343"/>
        <v>1</v>
      </c>
      <c r="V171" s="358">
        <f t="shared" si="344"/>
        <v>1</v>
      </c>
      <c r="W171" s="358">
        <f t="shared" si="345"/>
        <v>1</v>
      </c>
      <c r="X171" s="358">
        <f t="shared" si="346"/>
        <v>1</v>
      </c>
      <c r="Y171" s="358">
        <f t="shared" si="347"/>
        <v>1</v>
      </c>
      <c r="Z171" s="358">
        <f t="shared" si="348"/>
        <v>1</v>
      </c>
      <c r="AA171" s="358">
        <f t="shared" si="349"/>
        <v>1</v>
      </c>
      <c r="AB171" s="358">
        <f t="shared" si="350"/>
        <v>1</v>
      </c>
      <c r="AC171" s="358">
        <f t="shared" si="351"/>
        <v>1</v>
      </c>
      <c r="AD171" s="358">
        <f t="shared" si="352"/>
        <v>1</v>
      </c>
      <c r="AE171" s="358">
        <f t="shared" si="353"/>
        <v>1</v>
      </c>
      <c r="AF171" s="358">
        <f t="shared" si="354"/>
        <v>1</v>
      </c>
      <c r="AG171" s="358">
        <f t="shared" si="355"/>
        <v>1</v>
      </c>
      <c r="AH171" s="358">
        <f t="shared" si="356"/>
        <v>1</v>
      </c>
      <c r="AI171" s="358">
        <f t="shared" si="357"/>
        <v>1</v>
      </c>
      <c r="AJ171" s="358">
        <f t="shared" si="358"/>
        <v>1</v>
      </c>
      <c r="AK171" s="358">
        <f t="shared" si="359"/>
        <v>1</v>
      </c>
      <c r="AL171" s="359">
        <f t="shared" si="360"/>
        <v>1</v>
      </c>
      <c r="AM171" s="636"/>
      <c r="AN171" s="285">
        <f t="shared" ref="AN171:BV171" si="366">$C$171*D171</f>
        <v>600</v>
      </c>
      <c r="AO171" s="286">
        <f t="shared" si="366"/>
        <v>600</v>
      </c>
      <c r="AP171" s="286">
        <f t="shared" si="366"/>
        <v>600</v>
      </c>
      <c r="AQ171" s="286">
        <f t="shared" si="366"/>
        <v>600</v>
      </c>
      <c r="AR171" s="286">
        <f t="shared" si="366"/>
        <v>600</v>
      </c>
      <c r="AS171" s="286">
        <f t="shared" si="366"/>
        <v>600</v>
      </c>
      <c r="AT171" s="286">
        <f t="shared" si="366"/>
        <v>600</v>
      </c>
      <c r="AU171" s="286">
        <f t="shared" si="366"/>
        <v>600</v>
      </c>
      <c r="AV171" s="376">
        <f t="shared" si="366"/>
        <v>600</v>
      </c>
      <c r="AW171" s="376">
        <f t="shared" si="366"/>
        <v>600</v>
      </c>
      <c r="AX171" s="376">
        <f t="shared" si="366"/>
        <v>600</v>
      </c>
      <c r="AY171" s="376">
        <f t="shared" si="366"/>
        <v>600</v>
      </c>
      <c r="AZ171" s="376">
        <f t="shared" si="366"/>
        <v>600</v>
      </c>
      <c r="BA171" s="376">
        <f t="shared" si="366"/>
        <v>600</v>
      </c>
      <c r="BB171" s="376">
        <f t="shared" si="366"/>
        <v>600</v>
      </c>
      <c r="BC171" s="376">
        <f t="shared" si="366"/>
        <v>600</v>
      </c>
      <c r="BD171" s="376">
        <f t="shared" si="366"/>
        <v>600</v>
      </c>
      <c r="BE171" s="376">
        <f t="shared" si="366"/>
        <v>600</v>
      </c>
      <c r="BF171" s="376">
        <f t="shared" si="366"/>
        <v>600</v>
      </c>
      <c r="BG171" s="376">
        <f t="shared" si="366"/>
        <v>600</v>
      </c>
      <c r="BH171" s="376">
        <f t="shared" si="366"/>
        <v>600</v>
      </c>
      <c r="BI171" s="376">
        <f t="shared" si="366"/>
        <v>600</v>
      </c>
      <c r="BJ171" s="376">
        <f t="shared" si="366"/>
        <v>600</v>
      </c>
      <c r="BK171" s="376">
        <f t="shared" si="366"/>
        <v>600</v>
      </c>
      <c r="BL171" s="376">
        <f t="shared" si="366"/>
        <v>600</v>
      </c>
      <c r="BM171" s="376">
        <f t="shared" si="366"/>
        <v>600</v>
      </c>
      <c r="BN171" s="376">
        <f t="shared" si="366"/>
        <v>600</v>
      </c>
      <c r="BO171" s="376">
        <f t="shared" si="366"/>
        <v>600</v>
      </c>
      <c r="BP171" s="376">
        <f t="shared" si="366"/>
        <v>600</v>
      </c>
      <c r="BQ171" s="376">
        <f t="shared" si="366"/>
        <v>600</v>
      </c>
      <c r="BR171" s="376">
        <f t="shared" si="366"/>
        <v>600</v>
      </c>
      <c r="BS171" s="376">
        <f t="shared" si="366"/>
        <v>600</v>
      </c>
      <c r="BT171" s="376">
        <f t="shared" si="366"/>
        <v>600</v>
      </c>
      <c r="BU171" s="376">
        <f t="shared" si="366"/>
        <v>600</v>
      </c>
      <c r="BV171" s="377">
        <f t="shared" si="366"/>
        <v>600</v>
      </c>
    </row>
    <row r="172" spans="1:74" ht="20.149999999999999" hidden="1" customHeight="1" outlineLevel="2" x14ac:dyDescent="0.25">
      <c r="A172" s="46" t="str">
        <f>'Custos Diversos'!A152</f>
        <v>Transporte funcionários</v>
      </c>
      <c r="B172" s="8" t="str">
        <f>'Custos Diversos'!B152</f>
        <v>vb/ha/ano</v>
      </c>
      <c r="C172" s="284">
        <f>'Custos Diversos'!C152</f>
        <v>580</v>
      </c>
      <c r="D172" s="284">
        <v>1</v>
      </c>
      <c r="E172" s="284">
        <v>1</v>
      </c>
      <c r="F172" s="284">
        <v>1</v>
      </c>
      <c r="G172" s="284">
        <v>1</v>
      </c>
      <c r="H172" s="284">
        <v>1</v>
      </c>
      <c r="I172" s="284">
        <v>1</v>
      </c>
      <c r="J172" s="284">
        <v>1</v>
      </c>
      <c r="K172" s="284">
        <v>1</v>
      </c>
      <c r="L172" s="358">
        <v>1</v>
      </c>
      <c r="M172" s="358">
        <v>1</v>
      </c>
      <c r="N172" s="358">
        <v>1</v>
      </c>
      <c r="O172" s="358">
        <v>1</v>
      </c>
      <c r="P172" s="358">
        <f t="shared" si="338"/>
        <v>1</v>
      </c>
      <c r="Q172" s="358">
        <f t="shared" si="339"/>
        <v>1</v>
      </c>
      <c r="R172" s="358">
        <f t="shared" si="340"/>
        <v>1</v>
      </c>
      <c r="S172" s="358">
        <f t="shared" si="341"/>
        <v>1</v>
      </c>
      <c r="T172" s="358">
        <f t="shared" si="342"/>
        <v>1</v>
      </c>
      <c r="U172" s="358">
        <f t="shared" si="343"/>
        <v>1</v>
      </c>
      <c r="V172" s="358">
        <f t="shared" si="344"/>
        <v>1</v>
      </c>
      <c r="W172" s="358">
        <f t="shared" si="345"/>
        <v>1</v>
      </c>
      <c r="X172" s="358">
        <f t="shared" si="346"/>
        <v>1</v>
      </c>
      <c r="Y172" s="358">
        <f t="shared" si="347"/>
        <v>1</v>
      </c>
      <c r="Z172" s="358">
        <f t="shared" si="348"/>
        <v>1</v>
      </c>
      <c r="AA172" s="358">
        <f t="shared" si="349"/>
        <v>1</v>
      </c>
      <c r="AB172" s="358">
        <f t="shared" si="350"/>
        <v>1</v>
      </c>
      <c r="AC172" s="358">
        <f t="shared" si="351"/>
        <v>1</v>
      </c>
      <c r="AD172" s="358">
        <f t="shared" si="352"/>
        <v>1</v>
      </c>
      <c r="AE172" s="358">
        <f t="shared" si="353"/>
        <v>1</v>
      </c>
      <c r="AF172" s="358">
        <f t="shared" si="354"/>
        <v>1</v>
      </c>
      <c r="AG172" s="358">
        <f t="shared" si="355"/>
        <v>1</v>
      </c>
      <c r="AH172" s="358">
        <f t="shared" si="356"/>
        <v>1</v>
      </c>
      <c r="AI172" s="358">
        <f t="shared" si="357"/>
        <v>1</v>
      </c>
      <c r="AJ172" s="358">
        <f t="shared" si="358"/>
        <v>1</v>
      </c>
      <c r="AK172" s="358">
        <f t="shared" si="359"/>
        <v>1</v>
      </c>
      <c r="AL172" s="359">
        <f t="shared" si="360"/>
        <v>1</v>
      </c>
      <c r="AM172" s="636"/>
      <c r="AN172" s="285">
        <f t="shared" ref="AN172:BV172" si="367">$C$172*D172</f>
        <v>580</v>
      </c>
      <c r="AO172" s="286">
        <f t="shared" si="367"/>
        <v>580</v>
      </c>
      <c r="AP172" s="286">
        <f t="shared" si="367"/>
        <v>580</v>
      </c>
      <c r="AQ172" s="286">
        <f t="shared" si="367"/>
        <v>580</v>
      </c>
      <c r="AR172" s="286">
        <f t="shared" si="367"/>
        <v>580</v>
      </c>
      <c r="AS172" s="286">
        <f t="shared" si="367"/>
        <v>580</v>
      </c>
      <c r="AT172" s="286">
        <f t="shared" si="367"/>
        <v>580</v>
      </c>
      <c r="AU172" s="286">
        <f t="shared" si="367"/>
        <v>580</v>
      </c>
      <c r="AV172" s="376">
        <f t="shared" si="367"/>
        <v>580</v>
      </c>
      <c r="AW172" s="376">
        <f t="shared" si="367"/>
        <v>580</v>
      </c>
      <c r="AX172" s="376">
        <f t="shared" si="367"/>
        <v>580</v>
      </c>
      <c r="AY172" s="376">
        <f t="shared" si="367"/>
        <v>580</v>
      </c>
      <c r="AZ172" s="376">
        <f t="shared" si="367"/>
        <v>580</v>
      </c>
      <c r="BA172" s="376">
        <f t="shared" si="367"/>
        <v>580</v>
      </c>
      <c r="BB172" s="376">
        <f t="shared" si="367"/>
        <v>580</v>
      </c>
      <c r="BC172" s="376">
        <f t="shared" si="367"/>
        <v>580</v>
      </c>
      <c r="BD172" s="376">
        <f t="shared" si="367"/>
        <v>580</v>
      </c>
      <c r="BE172" s="376">
        <f t="shared" si="367"/>
        <v>580</v>
      </c>
      <c r="BF172" s="376">
        <f t="shared" si="367"/>
        <v>580</v>
      </c>
      <c r="BG172" s="376">
        <f t="shared" si="367"/>
        <v>580</v>
      </c>
      <c r="BH172" s="376">
        <f t="shared" si="367"/>
        <v>580</v>
      </c>
      <c r="BI172" s="376">
        <f t="shared" si="367"/>
        <v>580</v>
      </c>
      <c r="BJ172" s="376">
        <f t="shared" si="367"/>
        <v>580</v>
      </c>
      <c r="BK172" s="376">
        <f t="shared" si="367"/>
        <v>580</v>
      </c>
      <c r="BL172" s="376">
        <f t="shared" si="367"/>
        <v>580</v>
      </c>
      <c r="BM172" s="376">
        <f t="shared" si="367"/>
        <v>580</v>
      </c>
      <c r="BN172" s="376">
        <f t="shared" si="367"/>
        <v>580</v>
      </c>
      <c r="BO172" s="376">
        <f t="shared" si="367"/>
        <v>580</v>
      </c>
      <c r="BP172" s="376">
        <f t="shared" si="367"/>
        <v>580</v>
      </c>
      <c r="BQ172" s="376">
        <f t="shared" si="367"/>
        <v>580</v>
      </c>
      <c r="BR172" s="376">
        <f t="shared" si="367"/>
        <v>580</v>
      </c>
      <c r="BS172" s="376">
        <f t="shared" si="367"/>
        <v>580</v>
      </c>
      <c r="BT172" s="376">
        <f t="shared" si="367"/>
        <v>580</v>
      </c>
      <c r="BU172" s="376">
        <f t="shared" si="367"/>
        <v>580</v>
      </c>
      <c r="BV172" s="377">
        <f t="shared" si="367"/>
        <v>580</v>
      </c>
    </row>
    <row r="173" spans="1:74" ht="20.149999999999999" hidden="1" customHeight="1" outlineLevel="2" x14ac:dyDescent="0.25">
      <c r="A173" s="46" t="str">
        <f>'Custos Diversos'!A153</f>
        <v>Assistência Técnica - consultoria/</v>
      </c>
      <c r="B173" s="8" t="str">
        <f>'Custos Diversos'!B153</f>
        <v>vb/ha/ano</v>
      </c>
      <c r="C173" s="284">
        <f>'Custos Diversos'!C153</f>
        <v>300</v>
      </c>
      <c r="D173" s="284">
        <v>1</v>
      </c>
      <c r="E173" s="284">
        <v>1</v>
      </c>
      <c r="F173" s="284">
        <v>1</v>
      </c>
      <c r="G173" s="284">
        <v>1</v>
      </c>
      <c r="H173" s="284">
        <v>1</v>
      </c>
      <c r="I173" s="284">
        <v>1</v>
      </c>
      <c r="J173" s="284">
        <v>1</v>
      </c>
      <c r="K173" s="284">
        <v>1</v>
      </c>
      <c r="L173" s="358">
        <v>1</v>
      </c>
      <c r="M173" s="358">
        <v>1</v>
      </c>
      <c r="N173" s="358">
        <v>1</v>
      </c>
      <c r="O173" s="358">
        <v>1</v>
      </c>
      <c r="P173" s="358">
        <f t="shared" si="338"/>
        <v>1</v>
      </c>
      <c r="Q173" s="358">
        <f t="shared" si="339"/>
        <v>1</v>
      </c>
      <c r="R173" s="358">
        <f t="shared" si="340"/>
        <v>1</v>
      </c>
      <c r="S173" s="358">
        <f t="shared" si="341"/>
        <v>1</v>
      </c>
      <c r="T173" s="358">
        <f t="shared" si="342"/>
        <v>1</v>
      </c>
      <c r="U173" s="358">
        <f t="shared" si="343"/>
        <v>1</v>
      </c>
      <c r="V173" s="358">
        <f t="shared" si="344"/>
        <v>1</v>
      </c>
      <c r="W173" s="358">
        <f t="shared" si="345"/>
        <v>1</v>
      </c>
      <c r="X173" s="358">
        <f t="shared" si="346"/>
        <v>1</v>
      </c>
      <c r="Y173" s="358">
        <f t="shared" si="347"/>
        <v>1</v>
      </c>
      <c r="Z173" s="358">
        <f t="shared" si="348"/>
        <v>1</v>
      </c>
      <c r="AA173" s="358">
        <f t="shared" si="349"/>
        <v>1</v>
      </c>
      <c r="AB173" s="358">
        <f t="shared" si="350"/>
        <v>1</v>
      </c>
      <c r="AC173" s="358">
        <f t="shared" si="351"/>
        <v>1</v>
      </c>
      <c r="AD173" s="358">
        <f t="shared" si="352"/>
        <v>1</v>
      </c>
      <c r="AE173" s="358">
        <f t="shared" si="353"/>
        <v>1</v>
      </c>
      <c r="AF173" s="358">
        <f t="shared" si="354"/>
        <v>1</v>
      </c>
      <c r="AG173" s="358">
        <f t="shared" si="355"/>
        <v>1</v>
      </c>
      <c r="AH173" s="358">
        <f t="shared" si="356"/>
        <v>1</v>
      </c>
      <c r="AI173" s="358">
        <f t="shared" si="357"/>
        <v>1</v>
      </c>
      <c r="AJ173" s="358">
        <f t="shared" si="358"/>
        <v>1</v>
      </c>
      <c r="AK173" s="358">
        <f t="shared" si="359"/>
        <v>1</v>
      </c>
      <c r="AL173" s="359">
        <f t="shared" si="360"/>
        <v>1</v>
      </c>
      <c r="AM173" s="636"/>
      <c r="AN173" s="285">
        <f t="shared" ref="AN173:BV173" si="368">$C$173*D173</f>
        <v>300</v>
      </c>
      <c r="AO173" s="286">
        <f t="shared" si="368"/>
        <v>300</v>
      </c>
      <c r="AP173" s="286">
        <f t="shared" si="368"/>
        <v>300</v>
      </c>
      <c r="AQ173" s="286">
        <f t="shared" si="368"/>
        <v>300</v>
      </c>
      <c r="AR173" s="286">
        <f t="shared" si="368"/>
        <v>300</v>
      </c>
      <c r="AS173" s="286">
        <f t="shared" si="368"/>
        <v>300</v>
      </c>
      <c r="AT173" s="286">
        <f t="shared" si="368"/>
        <v>300</v>
      </c>
      <c r="AU173" s="286">
        <f t="shared" si="368"/>
        <v>300</v>
      </c>
      <c r="AV173" s="376">
        <f t="shared" si="368"/>
        <v>300</v>
      </c>
      <c r="AW173" s="376">
        <f t="shared" si="368"/>
        <v>300</v>
      </c>
      <c r="AX173" s="376">
        <f t="shared" si="368"/>
        <v>300</v>
      </c>
      <c r="AY173" s="376">
        <f t="shared" si="368"/>
        <v>300</v>
      </c>
      <c r="AZ173" s="376">
        <f t="shared" si="368"/>
        <v>300</v>
      </c>
      <c r="BA173" s="376">
        <f t="shared" si="368"/>
        <v>300</v>
      </c>
      <c r="BB173" s="376">
        <f t="shared" si="368"/>
        <v>300</v>
      </c>
      <c r="BC173" s="376">
        <f t="shared" si="368"/>
        <v>300</v>
      </c>
      <c r="BD173" s="376">
        <f t="shared" si="368"/>
        <v>300</v>
      </c>
      <c r="BE173" s="376">
        <f t="shared" si="368"/>
        <v>300</v>
      </c>
      <c r="BF173" s="376">
        <f t="shared" si="368"/>
        <v>300</v>
      </c>
      <c r="BG173" s="376">
        <f t="shared" si="368"/>
        <v>300</v>
      </c>
      <c r="BH173" s="376">
        <f t="shared" si="368"/>
        <v>300</v>
      </c>
      <c r="BI173" s="376">
        <f t="shared" si="368"/>
        <v>300</v>
      </c>
      <c r="BJ173" s="376">
        <f t="shared" si="368"/>
        <v>300</v>
      </c>
      <c r="BK173" s="376">
        <f t="shared" si="368"/>
        <v>300</v>
      </c>
      <c r="BL173" s="376">
        <f t="shared" si="368"/>
        <v>300</v>
      </c>
      <c r="BM173" s="376">
        <f t="shared" si="368"/>
        <v>300</v>
      </c>
      <c r="BN173" s="376">
        <f t="shared" si="368"/>
        <v>300</v>
      </c>
      <c r="BO173" s="376">
        <f t="shared" si="368"/>
        <v>300</v>
      </c>
      <c r="BP173" s="376">
        <f t="shared" si="368"/>
        <v>300</v>
      </c>
      <c r="BQ173" s="376">
        <f t="shared" si="368"/>
        <v>300</v>
      </c>
      <c r="BR173" s="376">
        <f t="shared" si="368"/>
        <v>300</v>
      </c>
      <c r="BS173" s="376">
        <f t="shared" si="368"/>
        <v>300</v>
      </c>
      <c r="BT173" s="376">
        <f t="shared" si="368"/>
        <v>300</v>
      </c>
      <c r="BU173" s="376">
        <f t="shared" si="368"/>
        <v>300</v>
      </c>
      <c r="BV173" s="377">
        <f t="shared" si="368"/>
        <v>300</v>
      </c>
    </row>
    <row r="174" spans="1:74" ht="20.149999999999999" hidden="1" customHeight="1" outlineLevel="2" thickBot="1" x14ac:dyDescent="0.3">
      <c r="A174" s="333" t="str">
        <f>'Custos Diversos'!A155</f>
        <v>Administrativo</v>
      </c>
      <c r="B174" s="35" t="str">
        <f>'Custos Diversos'!B155</f>
        <v>vb/ha/ano</v>
      </c>
      <c r="C174" s="322">
        <f>'Custos Diversos'!C155</f>
        <v>1636.5088214399998</v>
      </c>
      <c r="D174" s="322">
        <v>1</v>
      </c>
      <c r="E174" s="322">
        <v>1</v>
      </c>
      <c r="F174" s="322">
        <v>1</v>
      </c>
      <c r="G174" s="322">
        <v>1</v>
      </c>
      <c r="H174" s="322">
        <v>1</v>
      </c>
      <c r="I174" s="322">
        <v>1</v>
      </c>
      <c r="J174" s="322">
        <v>1</v>
      </c>
      <c r="K174" s="322">
        <v>1</v>
      </c>
      <c r="L174" s="360">
        <v>1</v>
      </c>
      <c r="M174" s="360">
        <v>1</v>
      </c>
      <c r="N174" s="360">
        <v>1</v>
      </c>
      <c r="O174" s="360">
        <v>1</v>
      </c>
      <c r="P174" s="360">
        <f t="shared" si="338"/>
        <v>1</v>
      </c>
      <c r="Q174" s="360">
        <f t="shared" si="339"/>
        <v>1</v>
      </c>
      <c r="R174" s="360">
        <f t="shared" si="340"/>
        <v>1</v>
      </c>
      <c r="S174" s="360">
        <f t="shared" si="341"/>
        <v>1</v>
      </c>
      <c r="T174" s="360">
        <f t="shared" si="342"/>
        <v>1</v>
      </c>
      <c r="U174" s="360">
        <f t="shared" si="343"/>
        <v>1</v>
      </c>
      <c r="V174" s="360">
        <f t="shared" si="344"/>
        <v>1</v>
      </c>
      <c r="W174" s="360">
        <f t="shared" si="345"/>
        <v>1</v>
      </c>
      <c r="X174" s="360">
        <f t="shared" si="346"/>
        <v>1</v>
      </c>
      <c r="Y174" s="360">
        <f t="shared" si="347"/>
        <v>1</v>
      </c>
      <c r="Z174" s="360">
        <f t="shared" si="348"/>
        <v>1</v>
      </c>
      <c r="AA174" s="360">
        <f t="shared" si="349"/>
        <v>1</v>
      </c>
      <c r="AB174" s="360">
        <f t="shared" si="350"/>
        <v>1</v>
      </c>
      <c r="AC174" s="360">
        <f t="shared" si="351"/>
        <v>1</v>
      </c>
      <c r="AD174" s="360">
        <f t="shared" si="352"/>
        <v>1</v>
      </c>
      <c r="AE174" s="360">
        <f t="shared" si="353"/>
        <v>1</v>
      </c>
      <c r="AF174" s="360">
        <f t="shared" si="354"/>
        <v>1</v>
      </c>
      <c r="AG174" s="360">
        <f t="shared" si="355"/>
        <v>1</v>
      </c>
      <c r="AH174" s="360">
        <f t="shared" si="356"/>
        <v>1</v>
      </c>
      <c r="AI174" s="360">
        <f t="shared" si="357"/>
        <v>1</v>
      </c>
      <c r="AJ174" s="360">
        <f t="shared" si="358"/>
        <v>1</v>
      </c>
      <c r="AK174" s="360">
        <f t="shared" si="359"/>
        <v>1</v>
      </c>
      <c r="AL174" s="361">
        <f t="shared" si="360"/>
        <v>1</v>
      </c>
      <c r="AM174" s="636"/>
      <c r="AN174" s="290">
        <f t="shared" ref="AN174:BV174" si="369">$C$174*D174</f>
        <v>1636.5088214399998</v>
      </c>
      <c r="AO174" s="291">
        <f t="shared" si="369"/>
        <v>1636.5088214399998</v>
      </c>
      <c r="AP174" s="291">
        <f t="shared" si="369"/>
        <v>1636.5088214399998</v>
      </c>
      <c r="AQ174" s="291">
        <f t="shared" si="369"/>
        <v>1636.5088214399998</v>
      </c>
      <c r="AR174" s="291">
        <f t="shared" si="369"/>
        <v>1636.5088214399998</v>
      </c>
      <c r="AS174" s="291">
        <f t="shared" si="369"/>
        <v>1636.5088214399998</v>
      </c>
      <c r="AT174" s="291">
        <f t="shared" si="369"/>
        <v>1636.5088214399998</v>
      </c>
      <c r="AU174" s="291">
        <f t="shared" si="369"/>
        <v>1636.5088214399998</v>
      </c>
      <c r="AV174" s="400">
        <f t="shared" si="369"/>
        <v>1636.5088214399998</v>
      </c>
      <c r="AW174" s="400">
        <f t="shared" si="369"/>
        <v>1636.5088214399998</v>
      </c>
      <c r="AX174" s="400">
        <f t="shared" si="369"/>
        <v>1636.5088214399998</v>
      </c>
      <c r="AY174" s="400">
        <f t="shared" si="369"/>
        <v>1636.5088214399998</v>
      </c>
      <c r="AZ174" s="400">
        <f t="shared" si="369"/>
        <v>1636.5088214399998</v>
      </c>
      <c r="BA174" s="400">
        <f t="shared" si="369"/>
        <v>1636.5088214399998</v>
      </c>
      <c r="BB174" s="400">
        <f t="shared" si="369"/>
        <v>1636.5088214399998</v>
      </c>
      <c r="BC174" s="400">
        <f t="shared" si="369"/>
        <v>1636.5088214399998</v>
      </c>
      <c r="BD174" s="400">
        <f t="shared" si="369"/>
        <v>1636.5088214399998</v>
      </c>
      <c r="BE174" s="400">
        <f t="shared" si="369"/>
        <v>1636.5088214399998</v>
      </c>
      <c r="BF174" s="400">
        <f t="shared" si="369"/>
        <v>1636.5088214399998</v>
      </c>
      <c r="BG174" s="400">
        <f t="shared" si="369"/>
        <v>1636.5088214399998</v>
      </c>
      <c r="BH174" s="400">
        <f t="shared" si="369"/>
        <v>1636.5088214399998</v>
      </c>
      <c r="BI174" s="400">
        <f t="shared" si="369"/>
        <v>1636.5088214399998</v>
      </c>
      <c r="BJ174" s="400">
        <f t="shared" si="369"/>
        <v>1636.5088214399998</v>
      </c>
      <c r="BK174" s="400">
        <f t="shared" si="369"/>
        <v>1636.5088214399998</v>
      </c>
      <c r="BL174" s="400">
        <f t="shared" si="369"/>
        <v>1636.5088214399998</v>
      </c>
      <c r="BM174" s="400">
        <f t="shared" si="369"/>
        <v>1636.5088214399998</v>
      </c>
      <c r="BN174" s="400">
        <f t="shared" si="369"/>
        <v>1636.5088214399998</v>
      </c>
      <c r="BO174" s="400">
        <f t="shared" si="369"/>
        <v>1636.5088214399998</v>
      </c>
      <c r="BP174" s="400">
        <f t="shared" si="369"/>
        <v>1636.5088214399998</v>
      </c>
      <c r="BQ174" s="400">
        <f t="shared" si="369"/>
        <v>1636.5088214399998</v>
      </c>
      <c r="BR174" s="400">
        <f t="shared" si="369"/>
        <v>1636.5088214399998</v>
      </c>
      <c r="BS174" s="400">
        <f t="shared" si="369"/>
        <v>1636.5088214399998</v>
      </c>
      <c r="BT174" s="400">
        <f t="shared" si="369"/>
        <v>1636.5088214399998</v>
      </c>
      <c r="BU174" s="400">
        <f t="shared" si="369"/>
        <v>1636.5088214399998</v>
      </c>
      <c r="BV174" s="401">
        <f t="shared" si="369"/>
        <v>1636.5088214399998</v>
      </c>
    </row>
    <row r="175" spans="1:74" s="408" customFormat="1" ht="20.149999999999999" hidden="1" customHeight="1" outlineLevel="2" thickBot="1" x14ac:dyDescent="0.3">
      <c r="A175" s="1107" t="s">
        <v>105</v>
      </c>
      <c r="B175" s="1108"/>
      <c r="C175" s="1108"/>
      <c r="D175" s="1108"/>
      <c r="E175" s="1108"/>
      <c r="F175" s="1108"/>
      <c r="G175" s="1108"/>
      <c r="H175" s="1108"/>
      <c r="I175" s="1108"/>
      <c r="J175" s="1108"/>
      <c r="K175" s="1108"/>
      <c r="L175" s="1108"/>
      <c r="M175" s="1108"/>
      <c r="N175" s="1108"/>
      <c r="O175" s="1108"/>
      <c r="P175" s="1108"/>
      <c r="Q175" s="1108"/>
      <c r="R175" s="1108"/>
      <c r="S175" s="1108"/>
      <c r="T175" s="1108"/>
      <c r="U175" s="1108"/>
      <c r="V175" s="1108"/>
      <c r="W175" s="1108"/>
      <c r="X175" s="1108"/>
      <c r="Y175" s="1108"/>
      <c r="Z175" s="1108"/>
      <c r="AA175" s="1108"/>
      <c r="AB175" s="1108"/>
      <c r="AC175" s="1108"/>
      <c r="AD175" s="1108"/>
      <c r="AE175" s="1108"/>
      <c r="AF175" s="1108"/>
      <c r="AG175" s="1108"/>
      <c r="AH175" s="1108"/>
      <c r="AI175" s="1108"/>
      <c r="AJ175" s="1108"/>
      <c r="AK175" s="1108"/>
      <c r="AL175" s="1108"/>
      <c r="AM175" s="1108"/>
      <c r="AN175" s="406">
        <f t="shared" ref="AN175:BV175" si="370">SUM(AN167:AN174)</f>
        <v>3996.2008214399998</v>
      </c>
      <c r="AO175" s="406">
        <f t="shared" si="370"/>
        <v>4225.8928214400003</v>
      </c>
      <c r="AP175" s="406">
        <f t="shared" si="370"/>
        <v>4340.7388214399998</v>
      </c>
      <c r="AQ175" s="406">
        <f t="shared" si="370"/>
        <v>4340.7388214399998</v>
      </c>
      <c r="AR175" s="406">
        <f t="shared" si="370"/>
        <v>4455.5848214399994</v>
      </c>
      <c r="AS175" s="406">
        <f t="shared" si="370"/>
        <v>4455.5848214399994</v>
      </c>
      <c r="AT175" s="406">
        <f t="shared" si="370"/>
        <v>4685.2768214400003</v>
      </c>
      <c r="AU175" s="406">
        <f t="shared" si="370"/>
        <v>4685.2768214400003</v>
      </c>
      <c r="AV175" s="407">
        <f t="shared" si="370"/>
        <v>4685.2768214400003</v>
      </c>
      <c r="AW175" s="407">
        <f t="shared" si="370"/>
        <v>4685.2768214400003</v>
      </c>
      <c r="AX175" s="407">
        <f t="shared" si="370"/>
        <v>4685.2768214400003</v>
      </c>
      <c r="AY175" s="407">
        <f t="shared" si="370"/>
        <v>4685.2768214400003</v>
      </c>
      <c r="AZ175" s="407">
        <f t="shared" si="370"/>
        <v>3996.2008214399998</v>
      </c>
      <c r="BA175" s="407">
        <f t="shared" si="370"/>
        <v>4225.8928214400003</v>
      </c>
      <c r="BB175" s="407">
        <f t="shared" si="370"/>
        <v>4340.7388214399998</v>
      </c>
      <c r="BC175" s="407">
        <f t="shared" si="370"/>
        <v>4340.7388214399998</v>
      </c>
      <c r="BD175" s="407">
        <f t="shared" si="370"/>
        <v>4455.5848214399994</v>
      </c>
      <c r="BE175" s="407">
        <f t="shared" si="370"/>
        <v>4455.5848214399994</v>
      </c>
      <c r="BF175" s="407">
        <f t="shared" si="370"/>
        <v>4685.2768214400003</v>
      </c>
      <c r="BG175" s="407">
        <f t="shared" si="370"/>
        <v>4685.2768214400003</v>
      </c>
      <c r="BH175" s="407">
        <f t="shared" si="370"/>
        <v>4685.2768214400003</v>
      </c>
      <c r="BI175" s="407">
        <f t="shared" si="370"/>
        <v>4685.2768214400003</v>
      </c>
      <c r="BJ175" s="407">
        <f t="shared" si="370"/>
        <v>4685.2768214400003</v>
      </c>
      <c r="BK175" s="407">
        <f t="shared" si="370"/>
        <v>4685.2768214400003</v>
      </c>
      <c r="BL175" s="407">
        <f t="shared" si="370"/>
        <v>3996.2008214399998</v>
      </c>
      <c r="BM175" s="407">
        <f t="shared" si="370"/>
        <v>4225.8928214400003</v>
      </c>
      <c r="BN175" s="407">
        <f t="shared" si="370"/>
        <v>4340.7388214399998</v>
      </c>
      <c r="BO175" s="407">
        <f t="shared" si="370"/>
        <v>4340.7388214399998</v>
      </c>
      <c r="BP175" s="407">
        <f t="shared" si="370"/>
        <v>4455.5848214399994</v>
      </c>
      <c r="BQ175" s="407">
        <f t="shared" si="370"/>
        <v>4455.5848214399994</v>
      </c>
      <c r="BR175" s="407">
        <f t="shared" si="370"/>
        <v>4685.2768214400003</v>
      </c>
      <c r="BS175" s="407">
        <f t="shared" si="370"/>
        <v>4685.2768214400003</v>
      </c>
      <c r="BT175" s="407">
        <f t="shared" si="370"/>
        <v>4685.2768214400003</v>
      </c>
      <c r="BU175" s="407">
        <f t="shared" si="370"/>
        <v>4685.2768214400003</v>
      </c>
      <c r="BV175" s="407">
        <f t="shared" si="370"/>
        <v>4685.2768214400003</v>
      </c>
    </row>
    <row r="176" spans="1:74" ht="19.5" hidden="1" customHeight="1" outlineLevel="2" collapsed="1" thickBot="1" x14ac:dyDescent="0.3"/>
    <row r="177" spans="1:74" s="123" customFormat="1" ht="27" hidden="1" customHeight="1" outlineLevel="1" thickBot="1" x14ac:dyDescent="0.3">
      <c r="A177" s="1118" t="s">
        <v>506</v>
      </c>
      <c r="B177" s="1118"/>
      <c r="C177" s="1118"/>
      <c r="D177" s="1118"/>
      <c r="E177" s="1118"/>
      <c r="F177" s="1118"/>
      <c r="G177" s="1118"/>
      <c r="H177" s="1118"/>
      <c r="I177" s="1118"/>
      <c r="J177" s="1118"/>
      <c r="K177" s="1118"/>
      <c r="L177" s="1118"/>
      <c r="M177" s="1118"/>
      <c r="N177" s="1118"/>
      <c r="O177" s="1118"/>
      <c r="P177" s="1118"/>
      <c r="Q177" s="1118"/>
      <c r="R177" s="1118"/>
      <c r="S177" s="1118"/>
      <c r="T177" s="1118"/>
      <c r="U177" s="1118"/>
      <c r="V177" s="1118"/>
      <c r="W177" s="1118"/>
      <c r="X177" s="1118"/>
      <c r="Y177" s="1118"/>
      <c r="Z177" s="1118"/>
      <c r="AA177" s="1118"/>
      <c r="AB177" s="1118"/>
      <c r="AC177" s="1118"/>
      <c r="AD177" s="1118"/>
      <c r="AE177" s="1118"/>
      <c r="AF177" s="1118"/>
      <c r="AG177" s="1118"/>
      <c r="AH177" s="1118"/>
      <c r="AI177" s="1118"/>
      <c r="AJ177" s="1118"/>
      <c r="AK177" s="1118"/>
      <c r="AL177" s="1118"/>
      <c r="AM177" s="1118"/>
      <c r="AN177" s="1118"/>
      <c r="AO177" s="1118"/>
      <c r="AP177" s="1118"/>
      <c r="AQ177" s="1118"/>
      <c r="AR177" s="1118"/>
      <c r="AS177" s="1118"/>
      <c r="AT177" s="1118"/>
      <c r="AU177" s="1118"/>
      <c r="AV177" s="1118"/>
      <c r="AW177" s="1118"/>
      <c r="AX177" s="1118"/>
      <c r="AY177" s="1118"/>
      <c r="AZ177" s="1118"/>
      <c r="BA177" s="1118"/>
      <c r="BB177" s="1118"/>
      <c r="BC177" s="1118"/>
      <c r="BD177" s="1118"/>
      <c r="BE177" s="1118"/>
      <c r="BF177" s="1118"/>
      <c r="BG177" s="1118"/>
      <c r="BH177" s="1118"/>
      <c r="BI177" s="1118"/>
      <c r="BJ177" s="1118"/>
      <c r="BK177" s="1118"/>
      <c r="BL177" s="1118"/>
      <c r="BM177" s="1118"/>
      <c r="BN177" s="1118"/>
      <c r="BO177" s="1118"/>
      <c r="BP177" s="1118"/>
      <c r="BQ177" s="1118"/>
      <c r="BR177" s="1118"/>
      <c r="BS177" s="1118"/>
      <c r="BT177" s="1118"/>
      <c r="BU177" s="1118"/>
      <c r="BV177" s="1118"/>
    </row>
    <row r="178" spans="1:74" ht="18" hidden="1" customHeight="1" outlineLevel="2" thickBot="1" x14ac:dyDescent="0.3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1"/>
      <c r="P178" s="631"/>
      <c r="Q178" s="631"/>
      <c r="R178" s="631"/>
      <c r="S178" s="631"/>
      <c r="T178" s="631"/>
      <c r="U178" s="631"/>
      <c r="V178" s="631"/>
      <c r="W178" s="631"/>
      <c r="X178" s="631"/>
      <c r="Y178" s="631"/>
      <c r="Z178" s="631"/>
      <c r="AA178" s="631"/>
      <c r="AB178" s="631"/>
      <c r="AC178" s="631"/>
      <c r="AD178" s="631"/>
      <c r="AE178" s="631"/>
      <c r="AF178" s="631"/>
      <c r="AG178" s="631"/>
      <c r="AH178" s="631"/>
      <c r="AI178" s="631"/>
      <c r="AJ178" s="631"/>
      <c r="AK178" s="631"/>
      <c r="AL178" s="631"/>
      <c r="AM178" s="207"/>
      <c r="AN178" s="1117" t="s">
        <v>99</v>
      </c>
      <c r="AO178" s="1117"/>
      <c r="AP178" s="1117"/>
      <c r="AQ178" s="1117"/>
      <c r="AR178" s="1117"/>
      <c r="AS178" s="1117"/>
      <c r="AT178" s="1117"/>
      <c r="AU178" s="1117"/>
      <c r="AV178" s="1117"/>
      <c r="AW178" s="1117"/>
      <c r="AX178" s="1117"/>
      <c r="AY178" s="1117"/>
      <c r="AZ178" s="1117"/>
      <c r="BA178" s="1117"/>
      <c r="BB178" s="1117"/>
      <c r="BC178" s="1117"/>
      <c r="BD178" s="1117"/>
      <c r="BE178" s="1117"/>
      <c r="BF178" s="1117"/>
      <c r="BG178" s="1117"/>
      <c r="BH178" s="1117"/>
      <c r="BI178" s="1117"/>
      <c r="BJ178" s="1117"/>
      <c r="BK178" s="1117"/>
      <c r="BL178" s="1117"/>
      <c r="BM178" s="1117"/>
      <c r="BN178" s="1117"/>
      <c r="BO178" s="1117"/>
      <c r="BP178" s="1117"/>
      <c r="BQ178" s="1117"/>
      <c r="BR178" s="1117"/>
      <c r="BS178" s="1117"/>
      <c r="BT178" s="1117"/>
      <c r="BU178" s="1117"/>
      <c r="BV178" s="1117"/>
    </row>
    <row r="179" spans="1:74" ht="18" hidden="1" customHeight="1" outlineLevel="2" thickBot="1" x14ac:dyDescent="0.3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1"/>
      <c r="P179" s="631"/>
      <c r="Q179" s="631"/>
      <c r="R179" s="631"/>
      <c r="S179" s="631"/>
      <c r="T179" s="631"/>
      <c r="U179" s="631"/>
      <c r="V179" s="631"/>
      <c r="W179" s="631"/>
      <c r="X179" s="631"/>
      <c r="Y179" s="631"/>
      <c r="Z179" s="631"/>
      <c r="AA179" s="631"/>
      <c r="AB179" s="631"/>
      <c r="AC179" s="631"/>
      <c r="AD179" s="631"/>
      <c r="AE179" s="631"/>
      <c r="AF179" s="631"/>
      <c r="AG179" s="631"/>
      <c r="AH179" s="631"/>
      <c r="AI179" s="631"/>
      <c r="AJ179" s="631"/>
      <c r="AK179" s="631"/>
      <c r="AL179" s="631"/>
      <c r="AM179" s="633"/>
      <c r="AN179" s="491">
        <v>1</v>
      </c>
      <c r="AO179" s="504">
        <v>2</v>
      </c>
      <c r="AP179" s="504">
        <v>3</v>
      </c>
      <c r="AQ179" s="504">
        <v>4</v>
      </c>
      <c r="AR179" s="504">
        <v>5</v>
      </c>
      <c r="AS179" s="504">
        <v>6</v>
      </c>
      <c r="AT179" s="504">
        <v>7</v>
      </c>
      <c r="AU179" s="504">
        <v>8</v>
      </c>
      <c r="AV179" s="504">
        <v>9</v>
      </c>
      <c r="AW179" s="504">
        <v>10</v>
      </c>
      <c r="AX179" s="504">
        <v>11</v>
      </c>
      <c r="AY179" s="504">
        <v>12</v>
      </c>
      <c r="AZ179" s="504">
        <v>13</v>
      </c>
      <c r="BA179" s="504">
        <v>14</v>
      </c>
      <c r="BB179" s="504">
        <v>15</v>
      </c>
      <c r="BC179" s="504">
        <v>16</v>
      </c>
      <c r="BD179" s="504">
        <v>17</v>
      </c>
      <c r="BE179" s="504">
        <v>18</v>
      </c>
      <c r="BF179" s="504">
        <v>19</v>
      </c>
      <c r="BG179" s="504">
        <v>20</v>
      </c>
      <c r="BH179" s="504">
        <v>21</v>
      </c>
      <c r="BI179" s="504">
        <v>22</v>
      </c>
      <c r="BJ179" s="504">
        <v>23</v>
      </c>
      <c r="BK179" s="504">
        <v>24</v>
      </c>
      <c r="BL179" s="504">
        <v>25</v>
      </c>
      <c r="BM179" s="504">
        <v>26</v>
      </c>
      <c r="BN179" s="504">
        <v>27</v>
      </c>
      <c r="BO179" s="504">
        <v>28</v>
      </c>
      <c r="BP179" s="504">
        <v>29</v>
      </c>
      <c r="BQ179" s="504">
        <v>30</v>
      </c>
      <c r="BR179" s="504">
        <v>31</v>
      </c>
      <c r="BS179" s="504">
        <v>32</v>
      </c>
      <c r="BT179" s="504">
        <v>33</v>
      </c>
      <c r="BU179" s="504">
        <v>34</v>
      </c>
      <c r="BV179" s="494">
        <v>35</v>
      </c>
    </row>
    <row r="180" spans="1:74" ht="20.149999999999999" hidden="1" customHeight="1" outlineLevel="2" x14ac:dyDescent="0.25">
      <c r="A180" s="345"/>
      <c r="B180" s="346"/>
      <c r="C180" s="350" t="s">
        <v>106</v>
      </c>
      <c r="D180" s="631"/>
      <c r="E180" s="631"/>
      <c r="F180" s="631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345"/>
      <c r="AK180" s="346"/>
      <c r="AL180" s="346"/>
      <c r="AM180" s="347" t="s">
        <v>106</v>
      </c>
      <c r="AN180" s="715">
        <v>0</v>
      </c>
      <c r="AO180" s="729">
        <v>35.700000000000003</v>
      </c>
      <c r="AP180" s="729">
        <v>32.9</v>
      </c>
      <c r="AQ180" s="729">
        <v>30.1</v>
      </c>
      <c r="AR180" s="729">
        <v>28.2</v>
      </c>
      <c r="AS180" s="729">
        <v>26.3</v>
      </c>
      <c r="AT180" s="729">
        <v>23.5</v>
      </c>
      <c r="AU180" s="729">
        <v>23.5</v>
      </c>
      <c r="AV180" s="729">
        <v>23.5</v>
      </c>
      <c r="AW180" s="729">
        <v>23.5</v>
      </c>
      <c r="AX180" s="729">
        <v>18.8</v>
      </c>
      <c r="AY180" s="729">
        <v>16.899999999999999</v>
      </c>
      <c r="AZ180" s="729">
        <v>0</v>
      </c>
      <c r="BA180" s="729">
        <v>37.6</v>
      </c>
      <c r="BB180" s="729">
        <v>32.9</v>
      </c>
      <c r="BC180" s="729">
        <v>30.1</v>
      </c>
      <c r="BD180" s="729">
        <v>28.2</v>
      </c>
      <c r="BE180" s="729">
        <v>26.3</v>
      </c>
      <c r="BF180" s="729">
        <v>26.3</v>
      </c>
      <c r="BG180" s="729">
        <v>26.3</v>
      </c>
      <c r="BH180" s="729">
        <v>26.3</v>
      </c>
      <c r="BI180" s="729">
        <v>24.4</v>
      </c>
      <c r="BJ180" s="729">
        <v>24.4</v>
      </c>
      <c r="BK180" s="729">
        <v>22.6</v>
      </c>
      <c r="BL180" s="729">
        <v>0</v>
      </c>
      <c r="BM180" s="729">
        <v>37.6</v>
      </c>
      <c r="BN180" s="729">
        <v>32.9</v>
      </c>
      <c r="BO180" s="729">
        <v>30.1</v>
      </c>
      <c r="BP180" s="729">
        <v>28.2</v>
      </c>
      <c r="BQ180" s="729">
        <v>26.3</v>
      </c>
      <c r="BR180" s="729">
        <v>26.3</v>
      </c>
      <c r="BS180" s="729">
        <v>26.3</v>
      </c>
      <c r="BT180" s="729">
        <v>26.3</v>
      </c>
      <c r="BU180" s="729">
        <v>24.4</v>
      </c>
      <c r="BV180" s="729">
        <v>24.4</v>
      </c>
    </row>
    <row r="181" spans="1:74" s="15" customFormat="1" ht="20.149999999999999" hidden="1" customHeight="1" outlineLevel="2" x14ac:dyDescent="0.25">
      <c r="A181" s="348"/>
      <c r="B181" s="349"/>
      <c r="C181" s="350" t="s">
        <v>107</v>
      </c>
      <c r="D181" s="631"/>
      <c r="E181" s="631"/>
      <c r="F181" s="631"/>
      <c r="G181" s="631"/>
      <c r="H181" s="631"/>
      <c r="I181" s="631"/>
      <c r="J181" s="631"/>
      <c r="K181" s="631"/>
      <c r="L181" s="631"/>
      <c r="M181" s="631"/>
      <c r="N181" s="631"/>
      <c r="O181" s="631"/>
      <c r="P181" s="631"/>
      <c r="Q181" s="631"/>
      <c r="R181" s="631"/>
      <c r="S181" s="631"/>
      <c r="T181" s="631"/>
      <c r="U181" s="631"/>
      <c r="V181" s="631"/>
      <c r="W181" s="631"/>
      <c r="X181" s="631"/>
      <c r="Y181" s="631"/>
      <c r="Z181" s="631"/>
      <c r="AA181" s="631"/>
      <c r="AB181" s="631"/>
      <c r="AC181" s="631"/>
      <c r="AD181" s="631"/>
      <c r="AE181" s="631"/>
      <c r="AF181" s="631"/>
      <c r="AG181" s="631"/>
      <c r="AH181" s="631"/>
      <c r="AI181" s="631"/>
      <c r="AJ181" s="348"/>
      <c r="AK181" s="349"/>
      <c r="AL181" s="349"/>
      <c r="AM181" s="347" t="s">
        <v>107</v>
      </c>
      <c r="AN181" s="343">
        <f t="shared" ref="AN181:BV181" si="371">AN115+AN136+AN152+AN162+AN175</f>
        <v>81206.952821440005</v>
      </c>
      <c r="AO181" s="343">
        <f t="shared" si="371"/>
        <v>29390.867321440001</v>
      </c>
      <c r="AP181" s="343">
        <f t="shared" si="371"/>
        <v>28334.713321440002</v>
      </c>
      <c r="AQ181" s="343">
        <f t="shared" si="371"/>
        <v>27731.463321440002</v>
      </c>
      <c r="AR181" s="343">
        <f t="shared" si="371"/>
        <v>26830.055821439997</v>
      </c>
      <c r="AS181" s="343">
        <f t="shared" si="371"/>
        <v>26400.618321439997</v>
      </c>
      <c r="AT181" s="343">
        <f t="shared" si="371"/>
        <v>26152.060321439996</v>
      </c>
      <c r="AU181" s="343">
        <f t="shared" si="371"/>
        <v>26089.560321439996</v>
      </c>
      <c r="AV181" s="386">
        <f t="shared" si="371"/>
        <v>26152.060321439996</v>
      </c>
      <c r="AW181" s="731">
        <f t="shared" si="371"/>
        <v>26089.560321439996</v>
      </c>
      <c r="AX181" s="731">
        <f t="shared" si="371"/>
        <v>25244.372821439996</v>
      </c>
      <c r="AY181" s="731">
        <f t="shared" si="371"/>
        <v>24814.935321439996</v>
      </c>
      <c r="AZ181" s="731">
        <f t="shared" si="371"/>
        <v>40292.552821439996</v>
      </c>
      <c r="BA181" s="731">
        <f t="shared" si="371"/>
        <v>29390.867321440001</v>
      </c>
      <c r="BB181" s="731">
        <f t="shared" si="371"/>
        <v>28334.713321440002</v>
      </c>
      <c r="BC181" s="731">
        <f t="shared" si="371"/>
        <v>27731.463321440002</v>
      </c>
      <c r="BD181" s="731">
        <f t="shared" si="371"/>
        <v>26830.055821439997</v>
      </c>
      <c r="BE181" s="731">
        <f t="shared" si="371"/>
        <v>26400.618321439997</v>
      </c>
      <c r="BF181" s="731">
        <f t="shared" si="371"/>
        <v>26152.060321439996</v>
      </c>
      <c r="BG181" s="731">
        <f t="shared" si="371"/>
        <v>26089.560321439996</v>
      </c>
      <c r="BH181" s="731">
        <f t="shared" si="371"/>
        <v>26152.060321439996</v>
      </c>
      <c r="BI181" s="731">
        <f t="shared" si="371"/>
        <v>26089.560321439996</v>
      </c>
      <c r="BJ181" s="731">
        <f t="shared" si="371"/>
        <v>25244.372821439996</v>
      </c>
      <c r="BK181" s="731">
        <f t="shared" si="371"/>
        <v>24814.935321439996</v>
      </c>
      <c r="BL181" s="731">
        <f t="shared" si="371"/>
        <v>40292.552821439996</v>
      </c>
      <c r="BM181" s="731">
        <f t="shared" si="371"/>
        <v>29390.867321440001</v>
      </c>
      <c r="BN181" s="731">
        <f t="shared" si="371"/>
        <v>28334.713321440002</v>
      </c>
      <c r="BO181" s="731">
        <f t="shared" si="371"/>
        <v>27731.463321440002</v>
      </c>
      <c r="BP181" s="731">
        <f t="shared" si="371"/>
        <v>26830.055821439997</v>
      </c>
      <c r="BQ181" s="731">
        <f t="shared" si="371"/>
        <v>26400.618321439997</v>
      </c>
      <c r="BR181" s="731">
        <f t="shared" si="371"/>
        <v>26152.060321439996</v>
      </c>
      <c r="BS181" s="731">
        <f t="shared" si="371"/>
        <v>26089.560321439996</v>
      </c>
      <c r="BT181" s="731">
        <f t="shared" si="371"/>
        <v>26152.060321439996</v>
      </c>
      <c r="BU181" s="731">
        <f t="shared" si="371"/>
        <v>26089.560321439996</v>
      </c>
      <c r="BV181" s="731">
        <f t="shared" si="371"/>
        <v>25244.372821439996</v>
      </c>
    </row>
    <row r="182" spans="1:74" s="15" customFormat="1" ht="20.149999999999999" hidden="1" customHeight="1" outlineLevel="2" x14ac:dyDescent="0.25">
      <c r="A182" s="348"/>
      <c r="B182" s="349"/>
      <c r="C182" s="350" t="s">
        <v>108</v>
      </c>
      <c r="D182" s="631"/>
      <c r="E182" s="631"/>
      <c r="F182" s="631"/>
      <c r="G182" s="631"/>
      <c r="H182" s="631"/>
      <c r="I182" s="631"/>
      <c r="J182" s="631"/>
      <c r="K182" s="631"/>
      <c r="L182" s="631"/>
      <c r="M182" s="631"/>
      <c r="N182" s="631"/>
      <c r="O182" s="631"/>
      <c r="P182" s="631"/>
      <c r="Q182" s="631"/>
      <c r="R182" s="631"/>
      <c r="S182" s="631"/>
      <c r="T182" s="631"/>
      <c r="U182" s="631"/>
      <c r="V182" s="631"/>
      <c r="W182" s="631"/>
      <c r="X182" s="631"/>
      <c r="Y182" s="631"/>
      <c r="Z182" s="631"/>
      <c r="AA182" s="631"/>
      <c r="AB182" s="631"/>
      <c r="AC182" s="631"/>
      <c r="AD182" s="631"/>
      <c r="AE182" s="631"/>
      <c r="AF182" s="631"/>
      <c r="AG182" s="631"/>
      <c r="AH182" s="631"/>
      <c r="AI182" s="631"/>
      <c r="AJ182" s="348"/>
      <c r="AK182" s="349"/>
      <c r="AL182" s="349"/>
      <c r="AM182" s="347" t="s">
        <v>108</v>
      </c>
      <c r="AN182" s="343">
        <f t="shared" ref="AN182:BV182" si="372">AN180*$AN$186</f>
        <v>0</v>
      </c>
      <c r="AO182" s="343">
        <f t="shared" si="372"/>
        <v>82110</v>
      </c>
      <c r="AP182" s="343">
        <f t="shared" si="372"/>
        <v>75670</v>
      </c>
      <c r="AQ182" s="343">
        <f t="shared" si="372"/>
        <v>69230</v>
      </c>
      <c r="AR182" s="343">
        <f t="shared" si="372"/>
        <v>64860</v>
      </c>
      <c r="AS182" s="343">
        <f t="shared" si="372"/>
        <v>60490</v>
      </c>
      <c r="AT182" s="343">
        <f t="shared" si="372"/>
        <v>54050</v>
      </c>
      <c r="AU182" s="343">
        <f t="shared" si="372"/>
        <v>54050</v>
      </c>
      <c r="AV182" s="386">
        <f t="shared" si="372"/>
        <v>54050</v>
      </c>
      <c r="AW182" s="731">
        <f t="shared" si="372"/>
        <v>54050</v>
      </c>
      <c r="AX182" s="731">
        <f t="shared" si="372"/>
        <v>43240</v>
      </c>
      <c r="AY182" s="731">
        <f t="shared" si="372"/>
        <v>38870</v>
      </c>
      <c r="AZ182" s="731">
        <f t="shared" si="372"/>
        <v>0</v>
      </c>
      <c r="BA182" s="731">
        <f t="shared" si="372"/>
        <v>86480</v>
      </c>
      <c r="BB182" s="731">
        <f t="shared" si="372"/>
        <v>75670</v>
      </c>
      <c r="BC182" s="731">
        <f t="shared" si="372"/>
        <v>69230</v>
      </c>
      <c r="BD182" s="731">
        <f t="shared" si="372"/>
        <v>64860</v>
      </c>
      <c r="BE182" s="731">
        <f t="shared" si="372"/>
        <v>60490</v>
      </c>
      <c r="BF182" s="731">
        <f t="shared" si="372"/>
        <v>60490</v>
      </c>
      <c r="BG182" s="731">
        <f t="shared" si="372"/>
        <v>60490</v>
      </c>
      <c r="BH182" s="731">
        <f t="shared" si="372"/>
        <v>60490</v>
      </c>
      <c r="BI182" s="731">
        <f t="shared" si="372"/>
        <v>56120</v>
      </c>
      <c r="BJ182" s="731">
        <f t="shared" si="372"/>
        <v>56120</v>
      </c>
      <c r="BK182" s="731">
        <f t="shared" si="372"/>
        <v>51980</v>
      </c>
      <c r="BL182" s="731">
        <f t="shared" si="372"/>
        <v>0</v>
      </c>
      <c r="BM182" s="731">
        <f t="shared" si="372"/>
        <v>86480</v>
      </c>
      <c r="BN182" s="731">
        <f t="shared" si="372"/>
        <v>75670</v>
      </c>
      <c r="BO182" s="731">
        <f t="shared" si="372"/>
        <v>69230</v>
      </c>
      <c r="BP182" s="731">
        <f t="shared" si="372"/>
        <v>64860</v>
      </c>
      <c r="BQ182" s="731">
        <f t="shared" si="372"/>
        <v>60490</v>
      </c>
      <c r="BR182" s="731">
        <f t="shared" si="372"/>
        <v>60490</v>
      </c>
      <c r="BS182" s="731">
        <f t="shared" si="372"/>
        <v>60490</v>
      </c>
      <c r="BT182" s="731">
        <f t="shared" si="372"/>
        <v>60490</v>
      </c>
      <c r="BU182" s="731">
        <f t="shared" si="372"/>
        <v>56120</v>
      </c>
      <c r="BV182" s="731">
        <f t="shared" si="372"/>
        <v>56120</v>
      </c>
    </row>
    <row r="183" spans="1:74" s="15" customFormat="1" ht="20.149999999999999" hidden="1" customHeight="1" outlineLevel="2" x14ac:dyDescent="0.25">
      <c r="A183" s="348"/>
      <c r="B183" s="349"/>
      <c r="C183" s="350" t="s">
        <v>109</v>
      </c>
      <c r="D183" s="631"/>
      <c r="E183" s="631"/>
      <c r="F183" s="631"/>
      <c r="G183" s="631"/>
      <c r="H183" s="631"/>
      <c r="I183" s="631"/>
      <c r="J183" s="631"/>
      <c r="K183" s="631"/>
      <c r="L183" s="631"/>
      <c r="M183" s="631"/>
      <c r="N183" s="631"/>
      <c r="O183" s="631"/>
      <c r="P183" s="631"/>
      <c r="Q183" s="631"/>
      <c r="R183" s="631"/>
      <c r="S183" s="631"/>
      <c r="T183" s="631"/>
      <c r="U183" s="631"/>
      <c r="V183" s="631"/>
      <c r="W183" s="631"/>
      <c r="X183" s="631"/>
      <c r="Y183" s="631"/>
      <c r="Z183" s="631"/>
      <c r="AA183" s="631"/>
      <c r="AB183" s="631"/>
      <c r="AC183" s="631"/>
      <c r="AD183" s="631"/>
      <c r="AE183" s="631"/>
      <c r="AF183" s="631"/>
      <c r="AG183" s="631"/>
      <c r="AH183" s="631"/>
      <c r="AI183" s="631"/>
      <c r="AJ183" s="348"/>
      <c r="AK183" s="349"/>
      <c r="AL183" s="349"/>
      <c r="AM183" s="347" t="s">
        <v>109</v>
      </c>
      <c r="AN183" s="343">
        <f t="shared" ref="AN183:BV183" si="373">AN182-AN181</f>
        <v>-81206.952821440005</v>
      </c>
      <c r="AO183" s="343">
        <f t="shared" si="373"/>
        <v>52719.132678559996</v>
      </c>
      <c r="AP183" s="343">
        <f t="shared" si="373"/>
        <v>47335.286678559998</v>
      </c>
      <c r="AQ183" s="343">
        <f t="shared" si="373"/>
        <v>41498.536678559998</v>
      </c>
      <c r="AR183" s="343">
        <f t="shared" si="373"/>
        <v>38029.944178560007</v>
      </c>
      <c r="AS183" s="343">
        <f t="shared" si="373"/>
        <v>34089.381678560007</v>
      </c>
      <c r="AT183" s="343">
        <f t="shared" si="373"/>
        <v>27897.939678560004</v>
      </c>
      <c r="AU183" s="343">
        <f t="shared" si="373"/>
        <v>27960.439678560004</v>
      </c>
      <c r="AV183" s="386">
        <f t="shared" si="373"/>
        <v>27897.939678560004</v>
      </c>
      <c r="AW183" s="731">
        <f t="shared" si="373"/>
        <v>27960.439678560004</v>
      </c>
      <c r="AX183" s="731">
        <f t="shared" si="373"/>
        <v>17995.627178560004</v>
      </c>
      <c r="AY183" s="731">
        <f t="shared" si="373"/>
        <v>14055.064678560004</v>
      </c>
      <c r="AZ183" s="731">
        <f t="shared" si="373"/>
        <v>-40292.552821439996</v>
      </c>
      <c r="BA183" s="731">
        <f t="shared" si="373"/>
        <v>57089.132678559996</v>
      </c>
      <c r="BB183" s="731">
        <f t="shared" si="373"/>
        <v>47335.286678559998</v>
      </c>
      <c r="BC183" s="731">
        <f t="shared" si="373"/>
        <v>41498.536678559998</v>
      </c>
      <c r="BD183" s="731">
        <f t="shared" si="373"/>
        <v>38029.944178560007</v>
      </c>
      <c r="BE183" s="731">
        <f t="shared" si="373"/>
        <v>34089.381678560007</v>
      </c>
      <c r="BF183" s="731">
        <f t="shared" si="373"/>
        <v>34337.939678560004</v>
      </c>
      <c r="BG183" s="731">
        <f t="shared" si="373"/>
        <v>34400.439678560004</v>
      </c>
      <c r="BH183" s="731">
        <f t="shared" si="373"/>
        <v>34337.939678560004</v>
      </c>
      <c r="BI183" s="731">
        <f t="shared" si="373"/>
        <v>30030.439678560004</v>
      </c>
      <c r="BJ183" s="731">
        <f t="shared" si="373"/>
        <v>30875.627178560004</v>
      </c>
      <c r="BK183" s="731">
        <f t="shared" si="373"/>
        <v>27165.064678560004</v>
      </c>
      <c r="BL183" s="731">
        <f t="shared" si="373"/>
        <v>-40292.552821439996</v>
      </c>
      <c r="BM183" s="731">
        <f t="shared" si="373"/>
        <v>57089.132678559996</v>
      </c>
      <c r="BN183" s="731">
        <f t="shared" si="373"/>
        <v>47335.286678559998</v>
      </c>
      <c r="BO183" s="731">
        <f t="shared" si="373"/>
        <v>41498.536678559998</v>
      </c>
      <c r="BP183" s="731">
        <f t="shared" si="373"/>
        <v>38029.944178560007</v>
      </c>
      <c r="BQ183" s="731">
        <f t="shared" si="373"/>
        <v>34089.381678560007</v>
      </c>
      <c r="BR183" s="731">
        <f t="shared" si="373"/>
        <v>34337.939678560004</v>
      </c>
      <c r="BS183" s="731">
        <f t="shared" si="373"/>
        <v>34400.439678560004</v>
      </c>
      <c r="BT183" s="731">
        <f t="shared" si="373"/>
        <v>34337.939678560004</v>
      </c>
      <c r="BU183" s="731">
        <f t="shared" si="373"/>
        <v>30030.439678560004</v>
      </c>
      <c r="BV183" s="731">
        <f t="shared" si="373"/>
        <v>30875.627178560004</v>
      </c>
    </row>
    <row r="184" spans="1:74" s="15" customFormat="1" ht="20.149999999999999" hidden="1" customHeight="1" outlineLevel="2" x14ac:dyDescent="0.25">
      <c r="A184" s="348"/>
      <c r="B184" s="349"/>
      <c r="C184" s="350" t="s">
        <v>110</v>
      </c>
      <c r="D184" s="631"/>
      <c r="E184" s="631"/>
      <c r="F184" s="631"/>
      <c r="G184" s="631"/>
      <c r="H184" s="631"/>
      <c r="I184" s="631"/>
      <c r="J184" s="631"/>
      <c r="K184" s="631"/>
      <c r="L184" s="631"/>
      <c r="M184" s="631"/>
      <c r="N184" s="631"/>
      <c r="O184" s="631"/>
      <c r="P184" s="631"/>
      <c r="Q184" s="631"/>
      <c r="R184" s="631"/>
      <c r="S184" s="631"/>
      <c r="T184" s="631"/>
      <c r="U184" s="631"/>
      <c r="V184" s="631"/>
      <c r="W184" s="631"/>
      <c r="X184" s="631"/>
      <c r="Y184" s="631"/>
      <c r="Z184" s="631"/>
      <c r="AA184" s="631"/>
      <c r="AB184" s="631"/>
      <c r="AC184" s="631"/>
      <c r="AD184" s="631"/>
      <c r="AE184" s="631"/>
      <c r="AF184" s="631"/>
      <c r="AG184" s="631"/>
      <c r="AH184" s="631"/>
      <c r="AI184" s="631"/>
      <c r="AJ184" s="348"/>
      <c r="AK184" s="349"/>
      <c r="AL184" s="349"/>
      <c r="AM184" s="347" t="s">
        <v>110</v>
      </c>
      <c r="AN184" s="343">
        <f>AN183</f>
        <v>-81206.952821440005</v>
      </c>
      <c r="AO184" s="343">
        <f t="shared" ref="AO184:BV184" si="374">AO183+AN184</f>
        <v>-28487.820142880009</v>
      </c>
      <c r="AP184" s="343">
        <f t="shared" si="374"/>
        <v>18847.466535679989</v>
      </c>
      <c r="AQ184" s="343">
        <f t="shared" si="374"/>
        <v>60346.003214239987</v>
      </c>
      <c r="AR184" s="343">
        <f t="shared" si="374"/>
        <v>98375.947392799993</v>
      </c>
      <c r="AS184" s="343">
        <f t="shared" si="374"/>
        <v>132465.32907136</v>
      </c>
      <c r="AT184" s="343">
        <f t="shared" si="374"/>
        <v>160363.26874992001</v>
      </c>
      <c r="AU184" s="343">
        <f t="shared" si="374"/>
        <v>188323.70842848002</v>
      </c>
      <c r="AV184" s="386">
        <f t="shared" si="374"/>
        <v>216221.64810704003</v>
      </c>
      <c r="AW184" s="731">
        <f t="shared" si="374"/>
        <v>244182.08778560004</v>
      </c>
      <c r="AX184" s="731">
        <f t="shared" si="374"/>
        <v>262177.71496416006</v>
      </c>
      <c r="AY184" s="731">
        <f t="shared" si="374"/>
        <v>276232.77964272007</v>
      </c>
      <c r="AZ184" s="731">
        <f t="shared" si="374"/>
        <v>235940.22682128008</v>
      </c>
      <c r="BA184" s="731">
        <f t="shared" si="374"/>
        <v>293029.35949984007</v>
      </c>
      <c r="BB184" s="731">
        <f t="shared" si="374"/>
        <v>340364.64617840009</v>
      </c>
      <c r="BC184" s="731">
        <f t="shared" si="374"/>
        <v>381863.18285696011</v>
      </c>
      <c r="BD184" s="731">
        <f t="shared" si="374"/>
        <v>419893.1270355201</v>
      </c>
      <c r="BE184" s="731">
        <f t="shared" si="374"/>
        <v>453982.50871408009</v>
      </c>
      <c r="BF184" s="731">
        <f t="shared" si="374"/>
        <v>488320.4483926401</v>
      </c>
      <c r="BG184" s="731">
        <f t="shared" si="374"/>
        <v>522720.88807120011</v>
      </c>
      <c r="BH184" s="731">
        <f t="shared" si="374"/>
        <v>557058.82774976012</v>
      </c>
      <c r="BI184" s="731">
        <f t="shared" si="374"/>
        <v>587089.26742832013</v>
      </c>
      <c r="BJ184" s="731">
        <f t="shared" si="374"/>
        <v>617964.89460688015</v>
      </c>
      <c r="BK184" s="731">
        <f t="shared" si="374"/>
        <v>645129.95928544016</v>
      </c>
      <c r="BL184" s="731">
        <f t="shared" si="374"/>
        <v>604837.40646400012</v>
      </c>
      <c r="BM184" s="731">
        <f t="shared" si="374"/>
        <v>661926.5391425601</v>
      </c>
      <c r="BN184" s="731">
        <f t="shared" si="374"/>
        <v>709261.82582112006</v>
      </c>
      <c r="BO184" s="731">
        <f t="shared" si="374"/>
        <v>750760.36249968002</v>
      </c>
      <c r="BP184" s="731">
        <f t="shared" si="374"/>
        <v>788790.30667824007</v>
      </c>
      <c r="BQ184" s="731">
        <f t="shared" si="374"/>
        <v>822879.68835680012</v>
      </c>
      <c r="BR184" s="731">
        <f t="shared" si="374"/>
        <v>857217.62803536013</v>
      </c>
      <c r="BS184" s="731">
        <f t="shared" si="374"/>
        <v>891618.06771392014</v>
      </c>
      <c r="BT184" s="731">
        <f t="shared" si="374"/>
        <v>925956.00739248015</v>
      </c>
      <c r="BU184" s="731">
        <f t="shared" si="374"/>
        <v>955986.44707104017</v>
      </c>
      <c r="BV184" s="731">
        <f t="shared" si="374"/>
        <v>986862.07424960018</v>
      </c>
    </row>
    <row r="185" spans="1:74" ht="20.149999999999999" hidden="1" customHeight="1" outlineLevel="2" x14ac:dyDescent="0.25">
      <c r="A185" s="348"/>
      <c r="B185" s="349"/>
      <c r="C185" s="350" t="s">
        <v>111</v>
      </c>
      <c r="D185" s="631"/>
      <c r="E185" s="631"/>
      <c r="F185" s="631"/>
      <c r="G185" s="626"/>
      <c r="H185" s="626"/>
      <c r="I185" s="626"/>
      <c r="J185" s="631"/>
      <c r="K185" s="631"/>
      <c r="L185" s="631"/>
      <c r="M185" s="631"/>
      <c r="N185" s="631"/>
      <c r="O185" s="631"/>
      <c r="P185" s="631"/>
      <c r="Q185" s="631"/>
      <c r="R185" s="631"/>
      <c r="S185" s="631"/>
      <c r="T185" s="631"/>
      <c r="U185" s="631"/>
      <c r="V185" s="631"/>
      <c r="W185" s="631"/>
      <c r="X185" s="631"/>
      <c r="Y185" s="631"/>
      <c r="Z185" s="631"/>
      <c r="AA185" s="631"/>
      <c r="AB185" s="631"/>
      <c r="AC185" s="631"/>
      <c r="AD185" s="631"/>
      <c r="AE185" s="631"/>
      <c r="AF185" s="631"/>
      <c r="AG185" s="631"/>
      <c r="AH185" s="631"/>
      <c r="AI185" s="631"/>
      <c r="AJ185" s="348"/>
      <c r="AK185" s="349"/>
      <c r="AL185" s="349"/>
      <c r="AM185" s="350" t="s">
        <v>111</v>
      </c>
      <c r="AN185" s="343">
        <f>BV184/BV99</f>
        <v>28196.059264274292</v>
      </c>
      <c r="AO185" s="639"/>
      <c r="AP185" s="639"/>
      <c r="AQ185" s="639"/>
      <c r="AR185" s="639"/>
      <c r="AS185" s="639"/>
      <c r="AT185" s="625"/>
      <c r="AU185" s="625"/>
      <c r="AV185" s="625"/>
      <c r="AW185" s="625"/>
      <c r="AX185" s="625"/>
      <c r="AY185" s="625"/>
      <c r="AZ185" s="625"/>
      <c r="BA185" s="625"/>
      <c r="BB185" s="625"/>
      <c r="BC185" s="625"/>
      <c r="BD185" s="625"/>
      <c r="BE185" s="625"/>
      <c r="BF185" s="625"/>
      <c r="BG185" s="625"/>
      <c r="BH185" s="625"/>
      <c r="BI185" s="625"/>
      <c r="BJ185" s="625"/>
      <c r="BK185" s="625"/>
      <c r="BL185" s="625"/>
      <c r="BM185" s="625"/>
      <c r="BN185" s="625"/>
      <c r="BO185" s="625"/>
      <c r="BP185" s="625"/>
      <c r="BQ185" s="625"/>
      <c r="BR185" s="625"/>
      <c r="BS185" s="625"/>
      <c r="BT185" s="625"/>
      <c r="BU185" s="625"/>
      <c r="BV185" s="625"/>
    </row>
    <row r="186" spans="1:74" ht="20.149999999999999" hidden="1" customHeight="1" outlineLevel="2" x14ac:dyDescent="0.25">
      <c r="A186" s="351"/>
      <c r="B186" s="352"/>
      <c r="C186" s="353" t="s">
        <v>112</v>
      </c>
      <c r="D186" s="631"/>
      <c r="E186" s="631"/>
      <c r="F186" s="631"/>
      <c r="G186" s="626"/>
      <c r="H186" s="626"/>
      <c r="I186" s="626"/>
      <c r="J186" s="626"/>
      <c r="K186" s="626"/>
      <c r="L186" s="626"/>
      <c r="M186" s="626"/>
      <c r="N186" s="626"/>
      <c r="O186" s="626"/>
      <c r="P186" s="626"/>
      <c r="Q186" s="626"/>
      <c r="R186" s="626"/>
      <c r="S186" s="626"/>
      <c r="T186" s="626"/>
      <c r="U186" s="626"/>
      <c r="V186" s="626"/>
      <c r="W186" s="626"/>
      <c r="X186" s="626"/>
      <c r="Y186" s="626"/>
      <c r="Z186" s="626"/>
      <c r="AA186" s="626"/>
      <c r="AB186" s="626"/>
      <c r="AC186" s="626"/>
      <c r="AD186" s="626"/>
      <c r="AE186" s="626"/>
      <c r="AF186" s="626"/>
      <c r="AG186" s="626"/>
      <c r="AH186" s="626"/>
      <c r="AI186" s="626"/>
      <c r="AJ186" s="351"/>
      <c r="AK186" s="352"/>
      <c r="AL186" s="352"/>
      <c r="AM186" s="353" t="s">
        <v>112</v>
      </c>
      <c r="AN186" s="846">
        <f>'Preço de venda - Cult Perm.'!C79</f>
        <v>2300</v>
      </c>
      <c r="AO186" s="625"/>
      <c r="AP186" s="625"/>
      <c r="AQ186" s="625"/>
      <c r="AR186" s="625"/>
      <c r="AS186" s="625"/>
      <c r="AT186" s="625"/>
      <c r="AU186" s="625"/>
      <c r="AV186" s="625"/>
      <c r="AW186" s="625"/>
      <c r="AX186" s="625"/>
      <c r="AY186" s="625"/>
      <c r="AZ186" s="625"/>
      <c r="BA186" s="625"/>
      <c r="BB186" s="625"/>
      <c r="BC186" s="625"/>
      <c r="BD186" s="625"/>
      <c r="BE186" s="625"/>
      <c r="BF186" s="625"/>
      <c r="BG186" s="625"/>
      <c r="BH186" s="625"/>
      <c r="BI186" s="625"/>
      <c r="BJ186" s="625"/>
      <c r="BK186" s="625"/>
      <c r="BL186" s="625"/>
      <c r="BM186" s="625"/>
      <c r="BN186" s="625"/>
      <c r="BO186" s="625"/>
      <c r="BP186" s="625"/>
      <c r="BQ186" s="625"/>
      <c r="BR186" s="625"/>
      <c r="BS186" s="625"/>
      <c r="BT186" s="625"/>
      <c r="BU186" s="625"/>
      <c r="BV186" s="625"/>
    </row>
    <row r="187" spans="1:74" ht="13.5" hidden="1" outlineLevel="1" thickBot="1" x14ac:dyDescent="0.3">
      <c r="I187" s="623"/>
      <c r="J187" s="624"/>
      <c r="K187" s="624"/>
      <c r="L187" s="624"/>
      <c r="M187" s="624"/>
      <c r="N187" s="624"/>
      <c r="O187" s="624"/>
      <c r="P187" s="624"/>
      <c r="Q187" s="624"/>
      <c r="R187" s="624"/>
      <c r="S187" s="624"/>
      <c r="T187" s="624"/>
      <c r="U187" s="624"/>
      <c r="V187" s="624"/>
      <c r="W187" s="624"/>
      <c r="X187" s="624"/>
      <c r="Y187" s="624"/>
      <c r="Z187" s="624"/>
      <c r="AA187" s="624"/>
      <c r="AB187" s="624"/>
      <c r="AC187" s="624"/>
      <c r="AD187" s="624"/>
      <c r="AE187" s="624"/>
      <c r="AF187" s="624"/>
      <c r="AG187" s="624"/>
      <c r="AH187" s="624"/>
      <c r="AI187" s="624"/>
      <c r="AJ187" s="624"/>
      <c r="AK187" s="624"/>
      <c r="AL187" s="624"/>
      <c r="AM187" s="624"/>
      <c r="AN187" s="625"/>
      <c r="AO187" s="625"/>
      <c r="AP187" s="625"/>
      <c r="AQ187" s="625"/>
      <c r="AR187" s="625"/>
      <c r="AS187" s="625"/>
      <c r="AT187" s="625"/>
      <c r="AU187" s="625"/>
      <c r="AV187" s="625"/>
      <c r="AW187" s="625"/>
      <c r="AX187" s="625"/>
      <c r="AY187" s="625"/>
      <c r="AZ187" s="625"/>
      <c r="BA187" s="625"/>
      <c r="BB187" s="625"/>
      <c r="BC187" s="625"/>
      <c r="BD187" s="625"/>
      <c r="BE187" s="625"/>
      <c r="BF187" s="625"/>
      <c r="BG187" s="625"/>
      <c r="BH187" s="625"/>
      <c r="BI187" s="625"/>
      <c r="BJ187" s="625"/>
      <c r="BK187" s="625"/>
      <c r="BL187" s="625"/>
      <c r="BM187" s="625"/>
      <c r="BN187" s="625"/>
      <c r="BO187" s="625"/>
      <c r="BP187" s="625"/>
      <c r="BQ187" s="625"/>
      <c r="BR187" s="625"/>
      <c r="BS187" s="625"/>
      <c r="BT187" s="625"/>
      <c r="BU187" s="625"/>
      <c r="BV187" s="625"/>
    </row>
    <row r="188" spans="1:74" s="563" customFormat="1" ht="30" customHeight="1" collapsed="1" thickBot="1" x14ac:dyDescent="0.3">
      <c r="A188" s="555" t="s">
        <v>163</v>
      </c>
      <c r="B188" s="621"/>
      <c r="C188" s="621"/>
      <c r="D188" s="621"/>
      <c r="E188" s="621"/>
      <c r="F188" s="621"/>
      <c r="G188" s="621"/>
      <c r="H188" s="621"/>
      <c r="I188" s="621"/>
      <c r="J188" s="621"/>
      <c r="K188" s="621"/>
      <c r="L188" s="621"/>
      <c r="M188" s="621"/>
      <c r="N188" s="621"/>
      <c r="O188" s="621"/>
      <c r="P188" s="621"/>
      <c r="Q188" s="621"/>
      <c r="R188" s="621"/>
      <c r="S188" s="621"/>
      <c r="T188" s="621"/>
      <c r="U188" s="621"/>
      <c r="V188" s="621"/>
      <c r="W188" s="621"/>
      <c r="X188" s="621"/>
      <c r="Y188" s="621"/>
      <c r="Z188" s="621"/>
      <c r="AA188" s="621"/>
      <c r="AB188" s="621"/>
      <c r="AC188" s="621"/>
      <c r="AD188" s="621"/>
      <c r="AE188" s="621"/>
      <c r="AF188" s="621"/>
      <c r="AG188" s="621"/>
      <c r="AH188" s="621"/>
      <c r="AI188" s="621"/>
      <c r="AJ188" s="621"/>
      <c r="AK188" s="621"/>
      <c r="AL188" s="621"/>
      <c r="AM188" s="621"/>
      <c r="AN188" s="621"/>
      <c r="AO188" s="621"/>
      <c r="AP188" s="621"/>
      <c r="AQ188" s="621"/>
      <c r="AR188" s="621"/>
      <c r="AS188" s="621"/>
      <c r="AT188" s="621"/>
      <c r="AU188" s="621"/>
    </row>
    <row r="189" spans="1:74" s="123" customFormat="1" ht="27" hidden="1" customHeight="1" outlineLevel="1" collapsed="1" thickBot="1" x14ac:dyDescent="0.3">
      <c r="A189" s="1109" t="s">
        <v>52</v>
      </c>
      <c r="B189" s="1110"/>
      <c r="C189" s="1110"/>
      <c r="D189" s="1110"/>
      <c r="E189" s="1110"/>
      <c r="F189" s="1110"/>
      <c r="G189" s="1110"/>
      <c r="H189" s="1110"/>
      <c r="I189" s="1110"/>
      <c r="J189" s="1110"/>
      <c r="K189" s="1110"/>
      <c r="L189" s="1110"/>
      <c r="M189" s="1110"/>
      <c r="N189" s="1110"/>
      <c r="O189" s="1110"/>
      <c r="P189" s="1110"/>
      <c r="Q189" s="1110"/>
      <c r="R189" s="1110"/>
      <c r="S189" s="1110"/>
      <c r="T189" s="1110"/>
      <c r="U189" s="1110"/>
      <c r="V189" s="1110"/>
      <c r="W189" s="1110"/>
      <c r="X189" s="1110"/>
      <c r="Y189" s="1110"/>
      <c r="Z189" s="1110"/>
      <c r="AA189" s="1110"/>
      <c r="AB189" s="1110"/>
      <c r="AC189" s="1110"/>
      <c r="AD189" s="1110"/>
      <c r="AE189" s="1110"/>
      <c r="AF189" s="1110"/>
      <c r="AG189" s="1110"/>
      <c r="AH189" s="1110"/>
      <c r="AI189" s="1110"/>
      <c r="AJ189" s="1110"/>
      <c r="AK189" s="1110"/>
      <c r="AL189" s="1110"/>
      <c r="AM189" s="1110"/>
      <c r="AN189" s="1110"/>
      <c r="AO189" s="1110"/>
      <c r="AP189" s="1110"/>
      <c r="AQ189" s="1110"/>
      <c r="AR189" s="1110"/>
      <c r="AS189" s="1110"/>
      <c r="AT189" s="1110"/>
      <c r="AU189" s="1110"/>
      <c r="AV189" s="1110"/>
      <c r="AW189" s="1110"/>
      <c r="AX189" s="1110"/>
      <c r="AY189" s="1110"/>
      <c r="AZ189" s="1110"/>
      <c r="BA189" s="1110"/>
      <c r="BB189" s="1110"/>
      <c r="BC189" s="1110"/>
      <c r="BD189" s="1110"/>
      <c r="BE189" s="1110"/>
      <c r="BF189" s="1110"/>
      <c r="BG189" s="1110"/>
      <c r="BH189" s="1110"/>
      <c r="BI189" s="1110"/>
      <c r="BJ189" s="1110"/>
      <c r="BK189" s="1110"/>
      <c r="BL189" s="1110"/>
      <c r="BM189" s="1110"/>
      <c r="BN189" s="1110"/>
      <c r="BO189" s="1110"/>
      <c r="BP189" s="1110"/>
      <c r="BQ189" s="1110"/>
      <c r="BR189" s="1110"/>
      <c r="BS189" s="1110"/>
      <c r="BT189" s="1110"/>
      <c r="BU189" s="1110"/>
      <c r="BV189" s="1111"/>
    </row>
    <row r="190" spans="1:74" ht="18" hidden="1" customHeight="1" outlineLevel="2" thickBot="1" x14ac:dyDescent="0.3">
      <c r="A190" s="1112" t="s">
        <v>113</v>
      </c>
      <c r="B190" s="1112" t="s">
        <v>8</v>
      </c>
      <c r="C190" s="1112" t="s">
        <v>100</v>
      </c>
      <c r="D190" s="1103" t="s">
        <v>504</v>
      </c>
      <c r="E190" s="1104"/>
      <c r="F190" s="1104"/>
      <c r="G190" s="1104"/>
      <c r="H190" s="1104"/>
      <c r="I190" s="1104"/>
      <c r="J190" s="1104"/>
      <c r="K190" s="1104"/>
      <c r="L190" s="1104"/>
      <c r="M190" s="1104"/>
      <c r="N190" s="1104"/>
      <c r="O190" s="1104"/>
      <c r="P190" s="1104"/>
      <c r="Q190" s="1104"/>
      <c r="R190" s="1104"/>
      <c r="S190" s="1104"/>
      <c r="T190" s="1104"/>
      <c r="U190" s="1104"/>
      <c r="V190" s="1104"/>
      <c r="W190" s="1104"/>
      <c r="X190" s="1104"/>
      <c r="Y190" s="1104"/>
      <c r="Z190" s="1104"/>
      <c r="AA190" s="1104"/>
      <c r="AB190" s="1104"/>
      <c r="AC190" s="1104"/>
      <c r="AD190" s="1104"/>
      <c r="AE190" s="1104"/>
      <c r="AF190" s="1104"/>
      <c r="AG190" s="1104"/>
      <c r="AH190" s="1104"/>
      <c r="AI190" s="1104"/>
      <c r="AJ190" s="1104"/>
      <c r="AK190" s="1104"/>
      <c r="AL190" s="1105"/>
      <c r="AM190" s="634"/>
      <c r="AN190" s="1103" t="s">
        <v>99</v>
      </c>
      <c r="AO190" s="1104"/>
      <c r="AP190" s="1104"/>
      <c r="AQ190" s="1104"/>
      <c r="AR190" s="1104"/>
      <c r="AS190" s="1104"/>
      <c r="AT190" s="1104"/>
      <c r="AU190" s="1104"/>
      <c r="AV190" s="1104"/>
      <c r="AW190" s="1104"/>
      <c r="AX190" s="1104"/>
      <c r="AY190" s="1104"/>
      <c r="AZ190" s="1104"/>
      <c r="BA190" s="1104"/>
      <c r="BB190" s="1104"/>
      <c r="BC190" s="1104"/>
      <c r="BD190" s="1104"/>
      <c r="BE190" s="1104"/>
      <c r="BF190" s="1104"/>
      <c r="BG190" s="1104"/>
      <c r="BH190" s="1104"/>
      <c r="BI190" s="1104"/>
      <c r="BJ190" s="1104"/>
      <c r="BK190" s="1104"/>
      <c r="BL190" s="1104"/>
      <c r="BM190" s="1104"/>
      <c r="BN190" s="1104"/>
      <c r="BO190" s="1104"/>
      <c r="BP190" s="1104"/>
      <c r="BQ190" s="1104"/>
      <c r="BR190" s="1104"/>
      <c r="BS190" s="1104"/>
      <c r="BT190" s="1104"/>
      <c r="BU190" s="1104"/>
      <c r="BV190" s="1105"/>
    </row>
    <row r="191" spans="1:74" ht="18" hidden="1" customHeight="1" outlineLevel="2" thickBot="1" x14ac:dyDescent="0.3">
      <c r="A191" s="1113"/>
      <c r="B191" s="1113"/>
      <c r="C191" s="1113"/>
      <c r="D191" s="275">
        <v>1</v>
      </c>
      <c r="E191" s="211">
        <v>2</v>
      </c>
      <c r="F191" s="211">
        <v>3</v>
      </c>
      <c r="G191" s="211">
        <v>4</v>
      </c>
      <c r="H191" s="211">
        <v>5</v>
      </c>
      <c r="I191" s="211">
        <v>6</v>
      </c>
      <c r="J191" s="211">
        <v>7</v>
      </c>
      <c r="K191" s="211">
        <v>8</v>
      </c>
      <c r="L191" s="211">
        <v>9</v>
      </c>
      <c r="M191" s="211">
        <v>10</v>
      </c>
      <c r="N191" s="211">
        <v>11</v>
      </c>
      <c r="O191" s="211">
        <v>12</v>
      </c>
      <c r="P191" s="211">
        <v>13</v>
      </c>
      <c r="Q191" s="211">
        <v>14</v>
      </c>
      <c r="R191" s="211">
        <v>15</v>
      </c>
      <c r="S191" s="211">
        <v>16</v>
      </c>
      <c r="T191" s="211">
        <v>17</v>
      </c>
      <c r="U191" s="211">
        <v>18</v>
      </c>
      <c r="V191" s="211">
        <v>19</v>
      </c>
      <c r="W191" s="211">
        <v>20</v>
      </c>
      <c r="X191" s="211">
        <v>21</v>
      </c>
      <c r="Y191" s="211">
        <v>22</v>
      </c>
      <c r="Z191" s="211">
        <v>23</v>
      </c>
      <c r="AA191" s="211">
        <v>24</v>
      </c>
      <c r="AB191" s="211">
        <v>25</v>
      </c>
      <c r="AC191" s="211">
        <v>26</v>
      </c>
      <c r="AD191" s="211">
        <v>27</v>
      </c>
      <c r="AE191" s="211">
        <v>28</v>
      </c>
      <c r="AF191" s="211">
        <v>29</v>
      </c>
      <c r="AG191" s="211">
        <v>30</v>
      </c>
      <c r="AH191" s="211">
        <v>31</v>
      </c>
      <c r="AI191" s="211">
        <v>32</v>
      </c>
      <c r="AJ191" s="211">
        <v>33</v>
      </c>
      <c r="AK191" s="211">
        <v>34</v>
      </c>
      <c r="AL191" s="212">
        <v>35</v>
      </c>
      <c r="AM191" s="635"/>
      <c r="AN191" s="275">
        <v>1</v>
      </c>
      <c r="AO191" s="211">
        <v>2</v>
      </c>
      <c r="AP191" s="211">
        <v>3</v>
      </c>
      <c r="AQ191" s="211">
        <v>4</v>
      </c>
      <c r="AR191" s="211">
        <v>5</v>
      </c>
      <c r="AS191" s="211">
        <v>6</v>
      </c>
      <c r="AT191" s="211">
        <v>7</v>
      </c>
      <c r="AU191" s="211">
        <v>8</v>
      </c>
      <c r="AV191" s="211">
        <v>9</v>
      </c>
      <c r="AW191" s="211">
        <v>10</v>
      </c>
      <c r="AX191" s="211">
        <v>11</v>
      </c>
      <c r="AY191" s="211">
        <v>12</v>
      </c>
      <c r="AZ191" s="211">
        <v>13</v>
      </c>
      <c r="BA191" s="211">
        <v>14</v>
      </c>
      <c r="BB191" s="211">
        <v>15</v>
      </c>
      <c r="BC191" s="211">
        <v>16</v>
      </c>
      <c r="BD191" s="211">
        <v>17</v>
      </c>
      <c r="BE191" s="211">
        <v>18</v>
      </c>
      <c r="BF191" s="211">
        <v>19</v>
      </c>
      <c r="BG191" s="211">
        <v>20</v>
      </c>
      <c r="BH191" s="211">
        <v>21</v>
      </c>
      <c r="BI191" s="211">
        <v>22</v>
      </c>
      <c r="BJ191" s="211">
        <v>23</v>
      </c>
      <c r="BK191" s="211">
        <v>24</v>
      </c>
      <c r="BL191" s="211">
        <v>25</v>
      </c>
      <c r="BM191" s="211">
        <v>26</v>
      </c>
      <c r="BN191" s="211">
        <v>27</v>
      </c>
      <c r="BO191" s="211">
        <v>28</v>
      </c>
      <c r="BP191" s="211">
        <v>29</v>
      </c>
      <c r="BQ191" s="211">
        <v>30</v>
      </c>
      <c r="BR191" s="211">
        <v>31</v>
      </c>
      <c r="BS191" s="211">
        <v>32</v>
      </c>
      <c r="BT191" s="211">
        <v>33</v>
      </c>
      <c r="BU191" s="211">
        <v>34</v>
      </c>
      <c r="BV191" s="212">
        <v>35</v>
      </c>
    </row>
    <row r="192" spans="1:74" ht="20.149999999999999" hidden="1" customHeight="1" outlineLevel="2" x14ac:dyDescent="0.25">
      <c r="A192" s="56" t="str">
        <f>'Quantidade-Cult.Perma.'!A60</f>
        <v>Ácido Bórico</v>
      </c>
      <c r="B192" s="319" t="str">
        <f>'Quantidade-Cult.Perma.'!B60</f>
        <v>KG</v>
      </c>
      <c r="C192" s="279">
        <f>'Quantidade-Cult.Perma.'!D60</f>
        <v>7.5</v>
      </c>
      <c r="D192" s="279">
        <f>'Quantidade-Cult.Perma.'!X60</f>
        <v>15.52</v>
      </c>
      <c r="E192" s="279">
        <f>'Quantidade-Cult.Perma.'!Y60</f>
        <v>46.56</v>
      </c>
      <c r="F192" s="279">
        <f>'Quantidade-Cult.Perma.'!Z60</f>
        <v>46.56</v>
      </c>
      <c r="G192" s="279">
        <f>'Quantidade-Cult.Perma.'!AA60</f>
        <v>46.56</v>
      </c>
      <c r="H192" s="279">
        <f>'Quantidade-Cult.Perma.'!AB60</f>
        <v>46.56</v>
      </c>
      <c r="I192" s="279">
        <f>'Quantidade-Cult.Perma.'!AC60</f>
        <v>46.56</v>
      </c>
      <c r="J192" s="279">
        <f>'Quantidade-Cult.Perma.'!AD60</f>
        <v>46.56</v>
      </c>
      <c r="K192" s="279">
        <f>'Quantidade-Cult.Perma.'!AE60</f>
        <v>46.56</v>
      </c>
      <c r="L192" s="356">
        <f>'Quantidade-Cult.Perma.'!AF60</f>
        <v>46.56</v>
      </c>
      <c r="M192" s="356">
        <f>'Quantidade-Cult.Perma.'!AG60</f>
        <v>46.56</v>
      </c>
      <c r="N192" s="356">
        <f>'Quantidade-Cult.Perma.'!AH60</f>
        <v>46.56</v>
      </c>
      <c r="O192" s="356">
        <f>'Quantidade-Cult.Perma.'!AI60</f>
        <v>46.56</v>
      </c>
      <c r="P192" s="356">
        <f>'Quantidade-Cult.Perma.'!AJ60</f>
        <v>46.56</v>
      </c>
      <c r="Q192" s="356">
        <f>'Quantidade-Cult.Perma.'!AK60</f>
        <v>46.56</v>
      </c>
      <c r="R192" s="356">
        <f>'Quantidade-Cult.Perma.'!AL60</f>
        <v>46.56</v>
      </c>
      <c r="S192" s="356">
        <f>'Quantidade-Cult.Perma.'!AM60</f>
        <v>46.56</v>
      </c>
      <c r="T192" s="356">
        <f>'Quantidade-Cult.Perma.'!AN60</f>
        <v>46.56</v>
      </c>
      <c r="U192" s="356">
        <f>'Quantidade-Cult.Perma.'!AO60</f>
        <v>46.56</v>
      </c>
      <c r="V192" s="356">
        <f t="shared" ref="V192:V209" si="375">D192</f>
        <v>15.52</v>
      </c>
      <c r="W192" s="356">
        <f t="shared" ref="W192:W209" si="376">E192</f>
        <v>46.56</v>
      </c>
      <c r="X192" s="356">
        <f t="shared" ref="X192:X209" si="377">F192</f>
        <v>46.56</v>
      </c>
      <c r="Y192" s="356">
        <f t="shared" ref="Y192:Y209" si="378">G192</f>
        <v>46.56</v>
      </c>
      <c r="Z192" s="356">
        <f t="shared" ref="Z192:Z209" si="379">H192</f>
        <v>46.56</v>
      </c>
      <c r="AA192" s="356">
        <f t="shared" ref="AA192:AA209" si="380">I192</f>
        <v>46.56</v>
      </c>
      <c r="AB192" s="356">
        <f t="shared" ref="AB192:AB209" si="381">J192</f>
        <v>46.56</v>
      </c>
      <c r="AC192" s="356">
        <f t="shared" ref="AC192:AC209" si="382">K192</f>
        <v>46.56</v>
      </c>
      <c r="AD192" s="356">
        <f t="shared" ref="AD192:AD209" si="383">L192</f>
        <v>46.56</v>
      </c>
      <c r="AE192" s="356">
        <f t="shared" ref="AE192:AE209" si="384">M192</f>
        <v>46.56</v>
      </c>
      <c r="AF192" s="356">
        <f t="shared" ref="AF192:AF209" si="385">N192</f>
        <v>46.56</v>
      </c>
      <c r="AG192" s="356">
        <f t="shared" ref="AG192:AG209" si="386">O192</f>
        <v>46.56</v>
      </c>
      <c r="AH192" s="356">
        <f t="shared" ref="AH192:AH209" si="387">P192</f>
        <v>46.56</v>
      </c>
      <c r="AI192" s="356">
        <f t="shared" ref="AI192:AI209" si="388">Q192</f>
        <v>46.56</v>
      </c>
      <c r="AJ192" s="356">
        <f t="shared" ref="AJ192:AJ209" si="389">R192</f>
        <v>46.56</v>
      </c>
      <c r="AK192" s="356">
        <f t="shared" ref="AK192:AK209" si="390">S192</f>
        <v>46.56</v>
      </c>
      <c r="AL192" s="357">
        <f t="shared" ref="AL192:AL209" si="391">T192</f>
        <v>46.56</v>
      </c>
      <c r="AM192" s="636"/>
      <c r="AN192" s="278">
        <f t="shared" ref="AN192:AN209" si="392">$C192*D192</f>
        <v>116.39999999999999</v>
      </c>
      <c r="AO192" s="279">
        <f t="shared" ref="AO192:AO209" si="393">$C192*E192</f>
        <v>349.20000000000005</v>
      </c>
      <c r="AP192" s="279">
        <f t="shared" ref="AP192:AP209" si="394">$C192*F192</f>
        <v>349.20000000000005</v>
      </c>
      <c r="AQ192" s="279">
        <f t="shared" ref="AQ192:AQ209" si="395">$C192*G192</f>
        <v>349.20000000000005</v>
      </c>
      <c r="AR192" s="279">
        <f t="shared" ref="AR192:AR209" si="396">$C192*H192</f>
        <v>349.20000000000005</v>
      </c>
      <c r="AS192" s="279">
        <f t="shared" ref="AS192:AS209" si="397">$C192*I192</f>
        <v>349.20000000000005</v>
      </c>
      <c r="AT192" s="279">
        <f t="shared" ref="AT192:AT209" si="398">$C192*J192</f>
        <v>349.20000000000005</v>
      </c>
      <c r="AU192" s="279">
        <f t="shared" ref="AU192:AU209" si="399">$C192*K192</f>
        <v>349.20000000000005</v>
      </c>
      <c r="AV192" s="356">
        <f t="shared" ref="AV192:AV209" si="400">$C192*L192</f>
        <v>349.20000000000005</v>
      </c>
      <c r="AW192" s="356">
        <f t="shared" ref="AW192:AW209" si="401">$C192*M192</f>
        <v>349.20000000000005</v>
      </c>
      <c r="AX192" s="356">
        <f t="shared" ref="AX192:AX209" si="402">$C192*N192</f>
        <v>349.20000000000005</v>
      </c>
      <c r="AY192" s="356">
        <f t="shared" ref="AY192:AY209" si="403">$C192*O192</f>
        <v>349.20000000000005</v>
      </c>
      <c r="AZ192" s="356">
        <f t="shared" ref="AZ192:AZ209" si="404">$C192*P192</f>
        <v>349.20000000000005</v>
      </c>
      <c r="BA192" s="356">
        <f t="shared" ref="BA192:BA209" si="405">$C192*Q192</f>
        <v>349.20000000000005</v>
      </c>
      <c r="BB192" s="356">
        <f t="shared" ref="BB192:BB209" si="406">$C192*R192</f>
        <v>349.20000000000005</v>
      </c>
      <c r="BC192" s="356">
        <f t="shared" ref="BC192:BC209" si="407">$C192*S192</f>
        <v>349.20000000000005</v>
      </c>
      <c r="BD192" s="356">
        <f t="shared" ref="BD192:BD209" si="408">$C192*T192</f>
        <v>349.20000000000005</v>
      </c>
      <c r="BE192" s="356">
        <f t="shared" ref="BE192:BE209" si="409">$C192*U192</f>
        <v>349.20000000000005</v>
      </c>
      <c r="BF192" s="356">
        <f t="shared" ref="BF192:BF209" si="410">$C192*V192</f>
        <v>116.39999999999999</v>
      </c>
      <c r="BG192" s="356">
        <f t="shared" ref="BG192:BG209" si="411">$C192*W192</f>
        <v>349.20000000000005</v>
      </c>
      <c r="BH192" s="356">
        <f t="shared" ref="BH192:BH209" si="412">$C192*X192</f>
        <v>349.20000000000005</v>
      </c>
      <c r="BI192" s="356">
        <f t="shared" ref="BI192:BI209" si="413">$C192*Y192</f>
        <v>349.20000000000005</v>
      </c>
      <c r="BJ192" s="356">
        <f t="shared" ref="BJ192:BJ209" si="414">$C192*Z192</f>
        <v>349.20000000000005</v>
      </c>
      <c r="BK192" s="356">
        <f t="shared" ref="BK192:BK209" si="415">$C192*AA192</f>
        <v>349.20000000000005</v>
      </c>
      <c r="BL192" s="356">
        <f t="shared" ref="BL192:BL209" si="416">$C192*AB192</f>
        <v>349.20000000000005</v>
      </c>
      <c r="BM192" s="356">
        <f t="shared" ref="BM192:BM209" si="417">$C192*AC192</f>
        <v>349.20000000000005</v>
      </c>
      <c r="BN192" s="356">
        <f t="shared" ref="BN192:BN209" si="418">$C192*AD192</f>
        <v>349.20000000000005</v>
      </c>
      <c r="BO192" s="356">
        <f t="shared" ref="BO192:BO209" si="419">$C192*AE192</f>
        <v>349.20000000000005</v>
      </c>
      <c r="BP192" s="356">
        <f t="shared" ref="BP192:BP209" si="420">$C192*AF192</f>
        <v>349.20000000000005</v>
      </c>
      <c r="BQ192" s="356">
        <f t="shared" ref="BQ192:BQ209" si="421">$C192*AG192</f>
        <v>349.20000000000005</v>
      </c>
      <c r="BR192" s="356">
        <f t="shared" ref="BR192:BR209" si="422">$C192*AH192</f>
        <v>349.20000000000005</v>
      </c>
      <c r="BS192" s="356">
        <f t="shared" ref="BS192:BS209" si="423">$C192*AI192</f>
        <v>349.20000000000005</v>
      </c>
      <c r="BT192" s="356">
        <f t="shared" ref="BT192:BT209" si="424">$C192*AJ192</f>
        <v>349.20000000000005</v>
      </c>
      <c r="BU192" s="356">
        <f t="shared" ref="BU192:BU209" si="425">$C192*AK192</f>
        <v>349.20000000000005</v>
      </c>
      <c r="BV192" s="357">
        <f t="shared" ref="BV192:BV209" si="426">$C192*AL192</f>
        <v>349.20000000000005</v>
      </c>
    </row>
    <row r="193" spans="1:74" ht="20.149999999999999" hidden="1" customHeight="1" outlineLevel="2" x14ac:dyDescent="0.25">
      <c r="A193" s="23" t="str">
        <f>'Quantidade-Cult.Perma.'!A61</f>
        <v>Calcário</v>
      </c>
      <c r="B193" s="126" t="str">
        <f>'Quantidade-Cult.Perma.'!B61</f>
        <v>T</v>
      </c>
      <c r="C193" s="284">
        <f>'Quantidade-Cult.Perma.'!D61</f>
        <v>450</v>
      </c>
      <c r="D193" s="284">
        <f>'Quantidade-Cult.Perma.'!X61</f>
        <v>1</v>
      </c>
      <c r="E193" s="284">
        <f>'Quantidade-Cult.Perma.'!Y61</f>
        <v>1</v>
      </c>
      <c r="F193" s="284">
        <f>'Quantidade-Cult.Perma.'!Z61</f>
        <v>1</v>
      </c>
      <c r="G193" s="284">
        <f>'Quantidade-Cult.Perma.'!AA61</f>
        <v>1</v>
      </c>
      <c r="H193" s="284">
        <f>'Quantidade-Cult.Perma.'!AB61</f>
        <v>1</v>
      </c>
      <c r="I193" s="284">
        <f>'Quantidade-Cult.Perma.'!AC61</f>
        <v>1</v>
      </c>
      <c r="J193" s="284">
        <f>'Quantidade-Cult.Perma.'!AD61</f>
        <v>1</v>
      </c>
      <c r="K193" s="284">
        <f>'Quantidade-Cult.Perma.'!AE61</f>
        <v>1</v>
      </c>
      <c r="L193" s="358">
        <f>'Quantidade-Cult.Perma.'!AF61</f>
        <v>1</v>
      </c>
      <c r="M193" s="358">
        <f>'Quantidade-Cult.Perma.'!AG61</f>
        <v>1</v>
      </c>
      <c r="N193" s="358">
        <f>'Quantidade-Cult.Perma.'!AH61</f>
        <v>1</v>
      </c>
      <c r="O193" s="358">
        <f>'Quantidade-Cult.Perma.'!AI61</f>
        <v>1</v>
      </c>
      <c r="P193" s="358">
        <f>'Quantidade-Cult.Perma.'!AJ61</f>
        <v>1</v>
      </c>
      <c r="Q193" s="358">
        <f>'Quantidade-Cult.Perma.'!AK61</f>
        <v>1</v>
      </c>
      <c r="R193" s="358">
        <f>'Quantidade-Cult.Perma.'!AL61</f>
        <v>1</v>
      </c>
      <c r="S193" s="358">
        <f>'Quantidade-Cult.Perma.'!AM61</f>
        <v>1</v>
      </c>
      <c r="T193" s="358">
        <f>'Quantidade-Cult.Perma.'!AN61</f>
        <v>1</v>
      </c>
      <c r="U193" s="358">
        <f>'Quantidade-Cult.Perma.'!AO61</f>
        <v>1</v>
      </c>
      <c r="V193" s="358">
        <f t="shared" si="375"/>
        <v>1</v>
      </c>
      <c r="W193" s="358">
        <f t="shared" si="376"/>
        <v>1</v>
      </c>
      <c r="X193" s="358">
        <f t="shared" si="377"/>
        <v>1</v>
      </c>
      <c r="Y193" s="358">
        <f t="shared" si="378"/>
        <v>1</v>
      </c>
      <c r="Z193" s="358">
        <f t="shared" si="379"/>
        <v>1</v>
      </c>
      <c r="AA193" s="358">
        <f t="shared" si="380"/>
        <v>1</v>
      </c>
      <c r="AB193" s="358">
        <f t="shared" si="381"/>
        <v>1</v>
      </c>
      <c r="AC193" s="358">
        <f t="shared" si="382"/>
        <v>1</v>
      </c>
      <c r="AD193" s="358">
        <f t="shared" si="383"/>
        <v>1</v>
      </c>
      <c r="AE193" s="358">
        <f t="shared" si="384"/>
        <v>1</v>
      </c>
      <c r="AF193" s="358">
        <f t="shared" si="385"/>
        <v>1</v>
      </c>
      <c r="AG193" s="358">
        <f t="shared" si="386"/>
        <v>1</v>
      </c>
      <c r="AH193" s="358">
        <f t="shared" si="387"/>
        <v>1</v>
      </c>
      <c r="AI193" s="358">
        <f t="shared" si="388"/>
        <v>1</v>
      </c>
      <c r="AJ193" s="358">
        <f t="shared" si="389"/>
        <v>1</v>
      </c>
      <c r="AK193" s="358">
        <f t="shared" si="390"/>
        <v>1</v>
      </c>
      <c r="AL193" s="359">
        <f t="shared" si="391"/>
        <v>1</v>
      </c>
      <c r="AM193" s="636"/>
      <c r="AN193" s="283">
        <f t="shared" si="392"/>
        <v>450</v>
      </c>
      <c r="AO193" s="284">
        <f t="shared" si="393"/>
        <v>450</v>
      </c>
      <c r="AP193" s="284">
        <f t="shared" si="394"/>
        <v>450</v>
      </c>
      <c r="AQ193" s="284">
        <f t="shared" si="395"/>
        <v>450</v>
      </c>
      <c r="AR193" s="284">
        <f t="shared" si="396"/>
        <v>450</v>
      </c>
      <c r="AS193" s="284">
        <f t="shared" si="397"/>
        <v>450</v>
      </c>
      <c r="AT193" s="284">
        <f t="shared" si="398"/>
        <v>450</v>
      </c>
      <c r="AU193" s="284">
        <f t="shared" si="399"/>
        <v>450</v>
      </c>
      <c r="AV193" s="358">
        <f t="shared" si="400"/>
        <v>450</v>
      </c>
      <c r="AW193" s="358">
        <f t="shared" si="401"/>
        <v>450</v>
      </c>
      <c r="AX193" s="358">
        <f t="shared" si="402"/>
        <v>450</v>
      </c>
      <c r="AY193" s="358">
        <f t="shared" si="403"/>
        <v>450</v>
      </c>
      <c r="AZ193" s="358">
        <f t="shared" si="404"/>
        <v>450</v>
      </c>
      <c r="BA193" s="358">
        <f t="shared" si="405"/>
        <v>450</v>
      </c>
      <c r="BB193" s="358">
        <f t="shared" si="406"/>
        <v>450</v>
      </c>
      <c r="BC193" s="358">
        <f t="shared" si="407"/>
        <v>450</v>
      </c>
      <c r="BD193" s="358">
        <f t="shared" si="408"/>
        <v>450</v>
      </c>
      <c r="BE193" s="358">
        <f t="shared" si="409"/>
        <v>450</v>
      </c>
      <c r="BF193" s="358">
        <f t="shared" si="410"/>
        <v>450</v>
      </c>
      <c r="BG193" s="358">
        <f t="shared" si="411"/>
        <v>450</v>
      </c>
      <c r="BH193" s="358">
        <f t="shared" si="412"/>
        <v>450</v>
      </c>
      <c r="BI193" s="358">
        <f t="shared" si="413"/>
        <v>450</v>
      </c>
      <c r="BJ193" s="358">
        <f t="shared" si="414"/>
        <v>450</v>
      </c>
      <c r="BK193" s="358">
        <f t="shared" si="415"/>
        <v>450</v>
      </c>
      <c r="BL193" s="358">
        <f t="shared" si="416"/>
        <v>450</v>
      </c>
      <c r="BM193" s="358">
        <f t="shared" si="417"/>
        <v>450</v>
      </c>
      <c r="BN193" s="358">
        <f t="shared" si="418"/>
        <v>450</v>
      </c>
      <c r="BO193" s="358">
        <f t="shared" si="419"/>
        <v>450</v>
      </c>
      <c r="BP193" s="358">
        <f t="shared" si="420"/>
        <v>450</v>
      </c>
      <c r="BQ193" s="358">
        <f t="shared" si="421"/>
        <v>450</v>
      </c>
      <c r="BR193" s="358">
        <f t="shared" si="422"/>
        <v>450</v>
      </c>
      <c r="BS193" s="358">
        <f t="shared" si="423"/>
        <v>450</v>
      </c>
      <c r="BT193" s="358">
        <f t="shared" si="424"/>
        <v>450</v>
      </c>
      <c r="BU193" s="358">
        <f t="shared" si="425"/>
        <v>450</v>
      </c>
      <c r="BV193" s="359">
        <f t="shared" si="426"/>
        <v>450</v>
      </c>
    </row>
    <row r="194" spans="1:74" ht="20.149999999999999" hidden="1" customHeight="1" outlineLevel="2" x14ac:dyDescent="0.25">
      <c r="A194" s="23" t="str">
        <f>'Quantidade-Cult.Perma.'!A62</f>
        <v>Fosfatado</v>
      </c>
      <c r="B194" s="126" t="str">
        <f>'Quantidade-Cult.Perma.'!B62</f>
        <v>T</v>
      </c>
      <c r="C194" s="284">
        <f>'Quantidade-Cult.Perma.'!D62</f>
        <v>2650</v>
      </c>
      <c r="D194" s="284">
        <f>'Quantidade-Cult.Perma.'!X62</f>
        <v>1</v>
      </c>
      <c r="E194" s="284">
        <f>'Quantidade-Cult.Perma.'!Y62</f>
        <v>1</v>
      </c>
      <c r="F194" s="284">
        <f>'Quantidade-Cult.Perma.'!Z62</f>
        <v>1</v>
      </c>
      <c r="G194" s="284">
        <f>'Quantidade-Cult.Perma.'!AA62</f>
        <v>1</v>
      </c>
      <c r="H194" s="284">
        <f>'Quantidade-Cult.Perma.'!AB62</f>
        <v>1</v>
      </c>
      <c r="I194" s="284">
        <f>'Quantidade-Cult.Perma.'!AC62</f>
        <v>1</v>
      </c>
      <c r="J194" s="284">
        <f>'Quantidade-Cult.Perma.'!AD62</f>
        <v>1</v>
      </c>
      <c r="K194" s="284">
        <f>'Quantidade-Cult.Perma.'!AE62</f>
        <v>1</v>
      </c>
      <c r="L194" s="358">
        <f>'Quantidade-Cult.Perma.'!AF62</f>
        <v>1</v>
      </c>
      <c r="M194" s="358">
        <f>'Quantidade-Cult.Perma.'!AG62</f>
        <v>1</v>
      </c>
      <c r="N194" s="358">
        <f>'Quantidade-Cult.Perma.'!AH62</f>
        <v>1</v>
      </c>
      <c r="O194" s="358">
        <f>'Quantidade-Cult.Perma.'!AI62</f>
        <v>1</v>
      </c>
      <c r="P194" s="358">
        <f>'Quantidade-Cult.Perma.'!AJ62</f>
        <v>1</v>
      </c>
      <c r="Q194" s="358">
        <f>'Quantidade-Cult.Perma.'!AK62</f>
        <v>1</v>
      </c>
      <c r="R194" s="358">
        <f>'Quantidade-Cult.Perma.'!AL62</f>
        <v>1</v>
      </c>
      <c r="S194" s="358">
        <f>'Quantidade-Cult.Perma.'!AM62</f>
        <v>1</v>
      </c>
      <c r="T194" s="358">
        <f>'Quantidade-Cult.Perma.'!AN62</f>
        <v>1</v>
      </c>
      <c r="U194" s="358">
        <f>'Quantidade-Cult.Perma.'!AO62</f>
        <v>1</v>
      </c>
      <c r="V194" s="358">
        <f t="shared" si="375"/>
        <v>1</v>
      </c>
      <c r="W194" s="358">
        <f t="shared" si="376"/>
        <v>1</v>
      </c>
      <c r="X194" s="358">
        <f t="shared" si="377"/>
        <v>1</v>
      </c>
      <c r="Y194" s="358">
        <f t="shared" si="378"/>
        <v>1</v>
      </c>
      <c r="Z194" s="358">
        <f t="shared" si="379"/>
        <v>1</v>
      </c>
      <c r="AA194" s="358">
        <f t="shared" si="380"/>
        <v>1</v>
      </c>
      <c r="AB194" s="358">
        <f t="shared" si="381"/>
        <v>1</v>
      </c>
      <c r="AC194" s="358">
        <f t="shared" si="382"/>
        <v>1</v>
      </c>
      <c r="AD194" s="358">
        <f t="shared" si="383"/>
        <v>1</v>
      </c>
      <c r="AE194" s="358">
        <f t="shared" si="384"/>
        <v>1</v>
      </c>
      <c r="AF194" s="358">
        <f t="shared" si="385"/>
        <v>1</v>
      </c>
      <c r="AG194" s="358">
        <f t="shared" si="386"/>
        <v>1</v>
      </c>
      <c r="AH194" s="358">
        <f t="shared" si="387"/>
        <v>1</v>
      </c>
      <c r="AI194" s="358">
        <f t="shared" si="388"/>
        <v>1</v>
      </c>
      <c r="AJ194" s="358">
        <f t="shared" si="389"/>
        <v>1</v>
      </c>
      <c r="AK194" s="358">
        <f t="shared" si="390"/>
        <v>1</v>
      </c>
      <c r="AL194" s="359">
        <f t="shared" si="391"/>
        <v>1</v>
      </c>
      <c r="AM194" s="636"/>
      <c r="AN194" s="283">
        <f t="shared" si="392"/>
        <v>2650</v>
      </c>
      <c r="AO194" s="284">
        <f t="shared" si="393"/>
        <v>2650</v>
      </c>
      <c r="AP194" s="284">
        <f t="shared" si="394"/>
        <v>2650</v>
      </c>
      <c r="AQ194" s="284">
        <f t="shared" si="395"/>
        <v>2650</v>
      </c>
      <c r="AR194" s="284">
        <f t="shared" si="396"/>
        <v>2650</v>
      </c>
      <c r="AS194" s="284">
        <f t="shared" si="397"/>
        <v>2650</v>
      </c>
      <c r="AT194" s="284">
        <f t="shared" si="398"/>
        <v>2650</v>
      </c>
      <c r="AU194" s="284">
        <f t="shared" si="399"/>
        <v>2650</v>
      </c>
      <c r="AV194" s="358">
        <f t="shared" si="400"/>
        <v>2650</v>
      </c>
      <c r="AW194" s="358">
        <f t="shared" si="401"/>
        <v>2650</v>
      </c>
      <c r="AX194" s="358">
        <f t="shared" si="402"/>
        <v>2650</v>
      </c>
      <c r="AY194" s="358">
        <f t="shared" si="403"/>
        <v>2650</v>
      </c>
      <c r="AZ194" s="358">
        <f t="shared" si="404"/>
        <v>2650</v>
      </c>
      <c r="BA194" s="358">
        <f t="shared" si="405"/>
        <v>2650</v>
      </c>
      <c r="BB194" s="358">
        <f t="shared" si="406"/>
        <v>2650</v>
      </c>
      <c r="BC194" s="358">
        <f t="shared" si="407"/>
        <v>2650</v>
      </c>
      <c r="BD194" s="358">
        <f t="shared" si="408"/>
        <v>2650</v>
      </c>
      <c r="BE194" s="358">
        <f t="shared" si="409"/>
        <v>2650</v>
      </c>
      <c r="BF194" s="358">
        <f t="shared" si="410"/>
        <v>2650</v>
      </c>
      <c r="BG194" s="358">
        <f t="shared" si="411"/>
        <v>2650</v>
      </c>
      <c r="BH194" s="358">
        <f t="shared" si="412"/>
        <v>2650</v>
      </c>
      <c r="BI194" s="358">
        <f t="shared" si="413"/>
        <v>2650</v>
      </c>
      <c r="BJ194" s="358">
        <f t="shared" si="414"/>
        <v>2650</v>
      </c>
      <c r="BK194" s="358">
        <f t="shared" si="415"/>
        <v>2650</v>
      </c>
      <c r="BL194" s="358">
        <f t="shared" si="416"/>
        <v>2650</v>
      </c>
      <c r="BM194" s="358">
        <f t="shared" si="417"/>
        <v>2650</v>
      </c>
      <c r="BN194" s="358">
        <f t="shared" si="418"/>
        <v>2650</v>
      </c>
      <c r="BO194" s="358">
        <f t="shared" si="419"/>
        <v>2650</v>
      </c>
      <c r="BP194" s="358">
        <f t="shared" si="420"/>
        <v>2650</v>
      </c>
      <c r="BQ194" s="358">
        <f t="shared" si="421"/>
        <v>2650</v>
      </c>
      <c r="BR194" s="358">
        <f t="shared" si="422"/>
        <v>2650</v>
      </c>
      <c r="BS194" s="358">
        <f t="shared" si="423"/>
        <v>2650</v>
      </c>
      <c r="BT194" s="358">
        <f t="shared" si="424"/>
        <v>2650</v>
      </c>
      <c r="BU194" s="358">
        <f t="shared" si="425"/>
        <v>2650</v>
      </c>
      <c r="BV194" s="359">
        <f t="shared" si="426"/>
        <v>2650</v>
      </c>
    </row>
    <row r="195" spans="1:74" ht="20.149999999999999" hidden="1" customHeight="1" outlineLevel="2" x14ac:dyDescent="0.25">
      <c r="A195" s="23" t="str">
        <f>'Quantidade-Cult.Perma.'!A63</f>
        <v>Foliar Completo</v>
      </c>
      <c r="B195" s="126" t="str">
        <f>'Quantidade-Cult.Perma.'!B63</f>
        <v>L</v>
      </c>
      <c r="C195" s="284">
        <f>'Quantidade-Cult.Perma.'!D63</f>
        <v>25</v>
      </c>
      <c r="D195" s="284">
        <f>'Quantidade-Cult.Perma.'!X63</f>
        <v>3</v>
      </c>
      <c r="E195" s="284">
        <f>'Quantidade-Cult.Perma.'!Y63</f>
        <v>12</v>
      </c>
      <c r="F195" s="284">
        <f>'Quantidade-Cult.Perma.'!Z63</f>
        <v>18</v>
      </c>
      <c r="G195" s="284">
        <f>'Quantidade-Cult.Perma.'!AA63</f>
        <v>32</v>
      </c>
      <c r="H195" s="284">
        <f>'Quantidade-Cult.Perma.'!AB63</f>
        <v>84</v>
      </c>
      <c r="I195" s="284">
        <f>'Quantidade-Cult.Perma.'!AC63</f>
        <v>112</v>
      </c>
      <c r="J195" s="284">
        <f>'Quantidade-Cult.Perma.'!AD63</f>
        <v>112</v>
      </c>
      <c r="K195" s="284">
        <f>'Quantidade-Cult.Perma.'!AE63</f>
        <v>112</v>
      </c>
      <c r="L195" s="358">
        <f>'Quantidade-Cult.Perma.'!AF63</f>
        <v>112</v>
      </c>
      <c r="M195" s="358">
        <f>'Quantidade-Cult.Perma.'!AG63</f>
        <v>112</v>
      </c>
      <c r="N195" s="358">
        <f>'Quantidade-Cult.Perma.'!AH63</f>
        <v>112</v>
      </c>
      <c r="O195" s="358">
        <f>'Quantidade-Cult.Perma.'!AI63</f>
        <v>112</v>
      </c>
      <c r="P195" s="358">
        <f>'Quantidade-Cult.Perma.'!AJ63</f>
        <v>112</v>
      </c>
      <c r="Q195" s="358">
        <f>'Quantidade-Cult.Perma.'!AK63</f>
        <v>112</v>
      </c>
      <c r="R195" s="358">
        <f>'Quantidade-Cult.Perma.'!AL63</f>
        <v>112</v>
      </c>
      <c r="S195" s="358">
        <f>'Quantidade-Cult.Perma.'!AM63</f>
        <v>112</v>
      </c>
      <c r="T195" s="358">
        <f>'Quantidade-Cult.Perma.'!AN63</f>
        <v>112</v>
      </c>
      <c r="U195" s="358">
        <f>'Quantidade-Cult.Perma.'!AO63</f>
        <v>112</v>
      </c>
      <c r="V195" s="358">
        <f t="shared" si="375"/>
        <v>3</v>
      </c>
      <c r="W195" s="358">
        <f t="shared" si="376"/>
        <v>12</v>
      </c>
      <c r="X195" s="358">
        <f t="shared" si="377"/>
        <v>18</v>
      </c>
      <c r="Y195" s="358">
        <f t="shared" si="378"/>
        <v>32</v>
      </c>
      <c r="Z195" s="358">
        <f t="shared" si="379"/>
        <v>84</v>
      </c>
      <c r="AA195" s="358">
        <f t="shared" si="380"/>
        <v>112</v>
      </c>
      <c r="AB195" s="358">
        <f t="shared" si="381"/>
        <v>112</v>
      </c>
      <c r="AC195" s="358">
        <f t="shared" si="382"/>
        <v>112</v>
      </c>
      <c r="AD195" s="358">
        <f t="shared" si="383"/>
        <v>112</v>
      </c>
      <c r="AE195" s="358">
        <f t="shared" si="384"/>
        <v>112</v>
      </c>
      <c r="AF195" s="358">
        <f t="shared" si="385"/>
        <v>112</v>
      </c>
      <c r="AG195" s="358">
        <f t="shared" si="386"/>
        <v>112</v>
      </c>
      <c r="AH195" s="358">
        <f t="shared" si="387"/>
        <v>112</v>
      </c>
      <c r="AI195" s="358">
        <f t="shared" si="388"/>
        <v>112</v>
      </c>
      <c r="AJ195" s="358">
        <f t="shared" si="389"/>
        <v>112</v>
      </c>
      <c r="AK195" s="358">
        <f t="shared" si="390"/>
        <v>112</v>
      </c>
      <c r="AL195" s="359">
        <f t="shared" si="391"/>
        <v>112</v>
      </c>
      <c r="AM195" s="636"/>
      <c r="AN195" s="283">
        <f t="shared" si="392"/>
        <v>75</v>
      </c>
      <c r="AO195" s="284">
        <f t="shared" si="393"/>
        <v>300</v>
      </c>
      <c r="AP195" s="284">
        <f t="shared" si="394"/>
        <v>450</v>
      </c>
      <c r="AQ195" s="284">
        <f t="shared" si="395"/>
        <v>800</v>
      </c>
      <c r="AR195" s="284">
        <f t="shared" si="396"/>
        <v>2100</v>
      </c>
      <c r="AS195" s="284">
        <f t="shared" si="397"/>
        <v>2800</v>
      </c>
      <c r="AT195" s="284">
        <f t="shared" si="398"/>
        <v>2800</v>
      </c>
      <c r="AU195" s="284">
        <f t="shared" si="399"/>
        <v>2800</v>
      </c>
      <c r="AV195" s="358">
        <f t="shared" si="400"/>
        <v>2800</v>
      </c>
      <c r="AW195" s="358">
        <f t="shared" si="401"/>
        <v>2800</v>
      </c>
      <c r="AX195" s="358">
        <f t="shared" si="402"/>
        <v>2800</v>
      </c>
      <c r="AY195" s="358">
        <f t="shared" si="403"/>
        <v>2800</v>
      </c>
      <c r="AZ195" s="358">
        <f t="shared" si="404"/>
        <v>2800</v>
      </c>
      <c r="BA195" s="358">
        <f t="shared" si="405"/>
        <v>2800</v>
      </c>
      <c r="BB195" s="358">
        <f t="shared" si="406"/>
        <v>2800</v>
      </c>
      <c r="BC195" s="358">
        <f t="shared" si="407"/>
        <v>2800</v>
      </c>
      <c r="BD195" s="358">
        <f t="shared" si="408"/>
        <v>2800</v>
      </c>
      <c r="BE195" s="358">
        <f t="shared" si="409"/>
        <v>2800</v>
      </c>
      <c r="BF195" s="358">
        <f t="shared" si="410"/>
        <v>75</v>
      </c>
      <c r="BG195" s="358">
        <f t="shared" si="411"/>
        <v>300</v>
      </c>
      <c r="BH195" s="358">
        <f t="shared" si="412"/>
        <v>450</v>
      </c>
      <c r="BI195" s="358">
        <f t="shared" si="413"/>
        <v>800</v>
      </c>
      <c r="BJ195" s="358">
        <f t="shared" si="414"/>
        <v>2100</v>
      </c>
      <c r="BK195" s="358">
        <f t="shared" si="415"/>
        <v>2800</v>
      </c>
      <c r="BL195" s="358">
        <f t="shared" si="416"/>
        <v>2800</v>
      </c>
      <c r="BM195" s="358">
        <f t="shared" si="417"/>
        <v>2800</v>
      </c>
      <c r="BN195" s="358">
        <f t="shared" si="418"/>
        <v>2800</v>
      </c>
      <c r="BO195" s="358">
        <f t="shared" si="419"/>
        <v>2800</v>
      </c>
      <c r="BP195" s="358">
        <f t="shared" si="420"/>
        <v>2800</v>
      </c>
      <c r="BQ195" s="358">
        <f t="shared" si="421"/>
        <v>2800</v>
      </c>
      <c r="BR195" s="358">
        <f t="shared" si="422"/>
        <v>2800</v>
      </c>
      <c r="BS195" s="358">
        <f t="shared" si="423"/>
        <v>2800</v>
      </c>
      <c r="BT195" s="358">
        <f t="shared" si="424"/>
        <v>2800</v>
      </c>
      <c r="BU195" s="358">
        <f t="shared" si="425"/>
        <v>2800</v>
      </c>
      <c r="BV195" s="359">
        <f t="shared" si="426"/>
        <v>2800</v>
      </c>
    </row>
    <row r="196" spans="1:74" ht="20.149999999999999" hidden="1" customHeight="1" outlineLevel="2" x14ac:dyDescent="0.25">
      <c r="A196" s="23" t="str">
        <f>'Quantidade-Cult.Perma.'!A64</f>
        <v>KCL</v>
      </c>
      <c r="B196" s="126" t="str">
        <f>'Quantidade-Cult.Perma.'!B64</f>
        <v>T</v>
      </c>
      <c r="C196" s="284">
        <f>'Quantidade-Cult.Perma.'!D64</f>
        <v>2700</v>
      </c>
      <c r="D196" s="284">
        <f>'Quantidade-Cult.Perma.'!X64</f>
        <v>0.19400000000000001</v>
      </c>
      <c r="E196" s="284">
        <f>'Quantidade-Cult.Perma.'!Y64</f>
        <v>0.27936</v>
      </c>
      <c r="F196" s="284">
        <f>'Quantidade-Cult.Perma.'!Z64</f>
        <v>0.37247999999999998</v>
      </c>
      <c r="G196" s="284">
        <f>'Quantidade-Cult.Perma.'!AA64</f>
        <v>0.55871999999999999</v>
      </c>
      <c r="H196" s="284">
        <f>'Quantidade-Cult.Perma.'!AB64</f>
        <v>0.83808000000000005</v>
      </c>
      <c r="I196" s="284">
        <f>'Quantidade-Cult.Perma.'!AC64</f>
        <v>0.93120000000000003</v>
      </c>
      <c r="J196" s="284">
        <f>'Quantidade-Cult.Perma.'!AD64</f>
        <v>0.93120000000000003</v>
      </c>
      <c r="K196" s="284">
        <f>'Quantidade-Cult.Perma.'!AE64</f>
        <v>0.93120000000000003</v>
      </c>
      <c r="L196" s="358">
        <f>'Quantidade-Cult.Perma.'!AF64</f>
        <v>0.93120000000000003</v>
      </c>
      <c r="M196" s="358">
        <f>'Quantidade-Cult.Perma.'!AG64</f>
        <v>0.93120000000000003</v>
      </c>
      <c r="N196" s="358">
        <f>'Quantidade-Cult.Perma.'!AH64</f>
        <v>0.93120000000000003</v>
      </c>
      <c r="O196" s="358">
        <f>'Quantidade-Cult.Perma.'!AI64</f>
        <v>0.93120000000000003</v>
      </c>
      <c r="P196" s="358">
        <f>'Quantidade-Cult.Perma.'!AJ64</f>
        <v>0.93120000000000003</v>
      </c>
      <c r="Q196" s="358">
        <f>'Quantidade-Cult.Perma.'!AK64</f>
        <v>0.93120000000000003</v>
      </c>
      <c r="R196" s="358">
        <f>'Quantidade-Cult.Perma.'!AL64</f>
        <v>0.93120000000000003</v>
      </c>
      <c r="S196" s="358">
        <f>'Quantidade-Cult.Perma.'!AM64</f>
        <v>0.93120000000000003</v>
      </c>
      <c r="T196" s="358">
        <f>'Quantidade-Cult.Perma.'!AN64</f>
        <v>0.93120000000000003</v>
      </c>
      <c r="U196" s="358">
        <f>'Quantidade-Cult.Perma.'!AO64</f>
        <v>0.93120000000000003</v>
      </c>
      <c r="V196" s="358">
        <f t="shared" si="375"/>
        <v>0.19400000000000001</v>
      </c>
      <c r="W196" s="358">
        <f t="shared" si="376"/>
        <v>0.27936</v>
      </c>
      <c r="X196" s="358">
        <f t="shared" si="377"/>
        <v>0.37247999999999998</v>
      </c>
      <c r="Y196" s="358">
        <f t="shared" si="378"/>
        <v>0.55871999999999999</v>
      </c>
      <c r="Z196" s="358">
        <f t="shared" si="379"/>
        <v>0.83808000000000005</v>
      </c>
      <c r="AA196" s="358">
        <f t="shared" si="380"/>
        <v>0.93120000000000003</v>
      </c>
      <c r="AB196" s="358">
        <f t="shared" si="381"/>
        <v>0.93120000000000003</v>
      </c>
      <c r="AC196" s="358">
        <f t="shared" si="382"/>
        <v>0.93120000000000003</v>
      </c>
      <c r="AD196" s="358">
        <f t="shared" si="383"/>
        <v>0.93120000000000003</v>
      </c>
      <c r="AE196" s="358">
        <f t="shared" si="384"/>
        <v>0.93120000000000003</v>
      </c>
      <c r="AF196" s="358">
        <f t="shared" si="385"/>
        <v>0.93120000000000003</v>
      </c>
      <c r="AG196" s="358">
        <f t="shared" si="386"/>
        <v>0.93120000000000003</v>
      </c>
      <c r="AH196" s="358">
        <f t="shared" si="387"/>
        <v>0.93120000000000003</v>
      </c>
      <c r="AI196" s="358">
        <f t="shared" si="388"/>
        <v>0.93120000000000003</v>
      </c>
      <c r="AJ196" s="358">
        <f t="shared" si="389"/>
        <v>0.93120000000000003</v>
      </c>
      <c r="AK196" s="358">
        <f t="shared" si="390"/>
        <v>0.93120000000000003</v>
      </c>
      <c r="AL196" s="359">
        <f t="shared" si="391"/>
        <v>0.93120000000000003</v>
      </c>
      <c r="AM196" s="636"/>
      <c r="AN196" s="283">
        <f t="shared" si="392"/>
        <v>523.80000000000007</v>
      </c>
      <c r="AO196" s="284">
        <f t="shared" si="393"/>
        <v>754.27200000000005</v>
      </c>
      <c r="AP196" s="284">
        <f t="shared" si="394"/>
        <v>1005.6959999999999</v>
      </c>
      <c r="AQ196" s="284">
        <f t="shared" si="395"/>
        <v>1508.5440000000001</v>
      </c>
      <c r="AR196" s="284">
        <f t="shared" si="396"/>
        <v>2262.8160000000003</v>
      </c>
      <c r="AS196" s="284">
        <f t="shared" si="397"/>
        <v>2514.2400000000002</v>
      </c>
      <c r="AT196" s="284">
        <f t="shared" si="398"/>
        <v>2514.2400000000002</v>
      </c>
      <c r="AU196" s="284">
        <f t="shared" si="399"/>
        <v>2514.2400000000002</v>
      </c>
      <c r="AV196" s="358">
        <f t="shared" si="400"/>
        <v>2514.2400000000002</v>
      </c>
      <c r="AW196" s="358">
        <f t="shared" si="401"/>
        <v>2514.2400000000002</v>
      </c>
      <c r="AX196" s="358">
        <f t="shared" si="402"/>
        <v>2514.2400000000002</v>
      </c>
      <c r="AY196" s="358">
        <f t="shared" si="403"/>
        <v>2514.2400000000002</v>
      </c>
      <c r="AZ196" s="358">
        <f t="shared" si="404"/>
        <v>2514.2400000000002</v>
      </c>
      <c r="BA196" s="358">
        <f t="shared" si="405"/>
        <v>2514.2400000000002</v>
      </c>
      <c r="BB196" s="358">
        <f t="shared" si="406"/>
        <v>2514.2400000000002</v>
      </c>
      <c r="BC196" s="358">
        <f t="shared" si="407"/>
        <v>2514.2400000000002</v>
      </c>
      <c r="BD196" s="358">
        <f t="shared" si="408"/>
        <v>2514.2400000000002</v>
      </c>
      <c r="BE196" s="358">
        <f t="shared" si="409"/>
        <v>2514.2400000000002</v>
      </c>
      <c r="BF196" s="358">
        <f t="shared" si="410"/>
        <v>523.80000000000007</v>
      </c>
      <c r="BG196" s="358">
        <f t="shared" si="411"/>
        <v>754.27200000000005</v>
      </c>
      <c r="BH196" s="358">
        <f t="shared" si="412"/>
        <v>1005.6959999999999</v>
      </c>
      <c r="BI196" s="358">
        <f t="shared" si="413"/>
        <v>1508.5440000000001</v>
      </c>
      <c r="BJ196" s="358">
        <f t="shared" si="414"/>
        <v>2262.8160000000003</v>
      </c>
      <c r="BK196" s="358">
        <f t="shared" si="415"/>
        <v>2514.2400000000002</v>
      </c>
      <c r="BL196" s="358">
        <f t="shared" si="416"/>
        <v>2514.2400000000002</v>
      </c>
      <c r="BM196" s="358">
        <f t="shared" si="417"/>
        <v>2514.2400000000002</v>
      </c>
      <c r="BN196" s="358">
        <f t="shared" si="418"/>
        <v>2514.2400000000002</v>
      </c>
      <c r="BO196" s="358">
        <f t="shared" si="419"/>
        <v>2514.2400000000002</v>
      </c>
      <c r="BP196" s="358">
        <f t="shared" si="420"/>
        <v>2514.2400000000002</v>
      </c>
      <c r="BQ196" s="358">
        <f t="shared" si="421"/>
        <v>2514.2400000000002</v>
      </c>
      <c r="BR196" s="358">
        <f t="shared" si="422"/>
        <v>2514.2400000000002</v>
      </c>
      <c r="BS196" s="358">
        <f t="shared" si="423"/>
        <v>2514.2400000000002</v>
      </c>
      <c r="BT196" s="358">
        <f t="shared" si="424"/>
        <v>2514.2400000000002</v>
      </c>
      <c r="BU196" s="358">
        <f t="shared" si="425"/>
        <v>2514.2400000000002</v>
      </c>
      <c r="BV196" s="359">
        <f t="shared" si="426"/>
        <v>2514.2400000000002</v>
      </c>
    </row>
    <row r="197" spans="1:74" ht="20.149999999999999" hidden="1" customHeight="1" outlineLevel="2" x14ac:dyDescent="0.25">
      <c r="A197" s="23" t="str">
        <f>'Quantidade-Cult.Perma.'!A65</f>
        <v>Nitrato de Cálcio</v>
      </c>
      <c r="B197" s="126" t="str">
        <f>'Quantidade-Cult.Perma.'!B65</f>
        <v>KG</v>
      </c>
      <c r="C197" s="284">
        <f>'Quantidade-Cult.Perma.'!D65</f>
        <v>2.8</v>
      </c>
      <c r="D197" s="284">
        <f>'Quantidade-Cult.Perma.'!X65</f>
        <v>0</v>
      </c>
      <c r="E197" s="284">
        <f>'Quantidade-Cult.Perma.'!Y65</f>
        <v>0</v>
      </c>
      <c r="F197" s="284">
        <f>'Quantidade-Cult.Perma.'!Z65</f>
        <v>150</v>
      </c>
      <c r="G197" s="284">
        <f>'Quantidade-Cult.Perma.'!AA65</f>
        <v>150</v>
      </c>
      <c r="H197" s="284">
        <f>'Quantidade-Cult.Perma.'!AB65</f>
        <v>200</v>
      </c>
      <c r="I197" s="284">
        <f>'Quantidade-Cult.Perma.'!AC65</f>
        <v>250</v>
      </c>
      <c r="J197" s="284">
        <f>'Quantidade-Cult.Perma.'!AD65</f>
        <v>250</v>
      </c>
      <c r="K197" s="284">
        <f>'Quantidade-Cult.Perma.'!AE65</f>
        <v>250</v>
      </c>
      <c r="L197" s="358">
        <f>'Quantidade-Cult.Perma.'!AF65</f>
        <v>250</v>
      </c>
      <c r="M197" s="358">
        <f>'Quantidade-Cult.Perma.'!AG65</f>
        <v>250</v>
      </c>
      <c r="N197" s="358">
        <f>'Quantidade-Cult.Perma.'!AH65</f>
        <v>250</v>
      </c>
      <c r="O197" s="358">
        <f>'Quantidade-Cult.Perma.'!AI65</f>
        <v>250</v>
      </c>
      <c r="P197" s="358">
        <f>'Quantidade-Cult.Perma.'!AJ65</f>
        <v>250</v>
      </c>
      <c r="Q197" s="358">
        <f>'Quantidade-Cult.Perma.'!AK65</f>
        <v>250</v>
      </c>
      <c r="R197" s="358">
        <f>'Quantidade-Cult.Perma.'!AL65</f>
        <v>250</v>
      </c>
      <c r="S197" s="358">
        <f>'Quantidade-Cult.Perma.'!AM65</f>
        <v>250</v>
      </c>
      <c r="T197" s="358">
        <f>'Quantidade-Cult.Perma.'!AN65</f>
        <v>250</v>
      </c>
      <c r="U197" s="358">
        <f>'Quantidade-Cult.Perma.'!AO65</f>
        <v>250</v>
      </c>
      <c r="V197" s="358">
        <f t="shared" si="375"/>
        <v>0</v>
      </c>
      <c r="W197" s="358">
        <f t="shared" si="376"/>
        <v>0</v>
      </c>
      <c r="X197" s="358">
        <f t="shared" si="377"/>
        <v>150</v>
      </c>
      <c r="Y197" s="358">
        <f t="shared" si="378"/>
        <v>150</v>
      </c>
      <c r="Z197" s="358">
        <f t="shared" si="379"/>
        <v>200</v>
      </c>
      <c r="AA197" s="358">
        <f t="shared" si="380"/>
        <v>250</v>
      </c>
      <c r="AB197" s="358">
        <f t="shared" si="381"/>
        <v>250</v>
      </c>
      <c r="AC197" s="358">
        <f t="shared" si="382"/>
        <v>250</v>
      </c>
      <c r="AD197" s="358">
        <f t="shared" si="383"/>
        <v>250</v>
      </c>
      <c r="AE197" s="358">
        <f t="shared" si="384"/>
        <v>250</v>
      </c>
      <c r="AF197" s="358">
        <f t="shared" si="385"/>
        <v>250</v>
      </c>
      <c r="AG197" s="358">
        <f t="shared" si="386"/>
        <v>250</v>
      </c>
      <c r="AH197" s="358">
        <f t="shared" si="387"/>
        <v>250</v>
      </c>
      <c r="AI197" s="358">
        <f t="shared" si="388"/>
        <v>250</v>
      </c>
      <c r="AJ197" s="358">
        <f t="shared" si="389"/>
        <v>250</v>
      </c>
      <c r="AK197" s="358">
        <f t="shared" si="390"/>
        <v>250</v>
      </c>
      <c r="AL197" s="359">
        <f t="shared" si="391"/>
        <v>250</v>
      </c>
      <c r="AM197" s="636"/>
      <c r="AN197" s="283">
        <f>$C197*D197</f>
        <v>0</v>
      </c>
      <c r="AO197" s="284">
        <f t="shared" si="393"/>
        <v>0</v>
      </c>
      <c r="AP197" s="284">
        <f t="shared" si="394"/>
        <v>420</v>
      </c>
      <c r="AQ197" s="284">
        <f t="shared" si="395"/>
        <v>420</v>
      </c>
      <c r="AR197" s="284">
        <f t="shared" si="396"/>
        <v>560</v>
      </c>
      <c r="AS197" s="284">
        <f t="shared" si="397"/>
        <v>700</v>
      </c>
      <c r="AT197" s="284">
        <f t="shared" si="398"/>
        <v>700</v>
      </c>
      <c r="AU197" s="284">
        <f t="shared" si="399"/>
        <v>700</v>
      </c>
      <c r="AV197" s="358">
        <f t="shared" si="400"/>
        <v>700</v>
      </c>
      <c r="AW197" s="358">
        <f t="shared" si="401"/>
        <v>700</v>
      </c>
      <c r="AX197" s="358">
        <f t="shared" si="402"/>
        <v>700</v>
      </c>
      <c r="AY197" s="358">
        <f t="shared" si="403"/>
        <v>700</v>
      </c>
      <c r="AZ197" s="358">
        <f t="shared" si="404"/>
        <v>700</v>
      </c>
      <c r="BA197" s="358">
        <f t="shared" si="405"/>
        <v>700</v>
      </c>
      <c r="BB197" s="358">
        <f t="shared" si="406"/>
        <v>700</v>
      </c>
      <c r="BC197" s="358">
        <f t="shared" si="407"/>
        <v>700</v>
      </c>
      <c r="BD197" s="358">
        <f t="shared" si="408"/>
        <v>700</v>
      </c>
      <c r="BE197" s="358">
        <f t="shared" si="409"/>
        <v>700</v>
      </c>
      <c r="BF197" s="358">
        <f t="shared" si="410"/>
        <v>0</v>
      </c>
      <c r="BG197" s="358">
        <f t="shared" si="411"/>
        <v>0</v>
      </c>
      <c r="BH197" s="358">
        <f t="shared" si="412"/>
        <v>420</v>
      </c>
      <c r="BI197" s="358">
        <f t="shared" si="413"/>
        <v>420</v>
      </c>
      <c r="BJ197" s="358">
        <f t="shared" si="414"/>
        <v>560</v>
      </c>
      <c r="BK197" s="358">
        <f t="shared" si="415"/>
        <v>700</v>
      </c>
      <c r="BL197" s="358">
        <f t="shared" si="416"/>
        <v>700</v>
      </c>
      <c r="BM197" s="358">
        <f t="shared" si="417"/>
        <v>700</v>
      </c>
      <c r="BN197" s="358">
        <f t="shared" si="418"/>
        <v>700</v>
      </c>
      <c r="BO197" s="358">
        <f t="shared" si="419"/>
        <v>700</v>
      </c>
      <c r="BP197" s="358">
        <f t="shared" si="420"/>
        <v>700</v>
      </c>
      <c r="BQ197" s="358">
        <f t="shared" si="421"/>
        <v>700</v>
      </c>
      <c r="BR197" s="358">
        <f t="shared" si="422"/>
        <v>700</v>
      </c>
      <c r="BS197" s="358">
        <f t="shared" si="423"/>
        <v>700</v>
      </c>
      <c r="BT197" s="358">
        <f t="shared" si="424"/>
        <v>700</v>
      </c>
      <c r="BU197" s="358">
        <f t="shared" si="425"/>
        <v>700</v>
      </c>
      <c r="BV197" s="359">
        <f t="shared" si="426"/>
        <v>700</v>
      </c>
    </row>
    <row r="198" spans="1:74" ht="20.149999999999999" hidden="1" customHeight="1" outlineLevel="2" x14ac:dyDescent="0.25">
      <c r="A198" s="23" t="str">
        <f>'Quantidade-Cult.Perma.'!A66</f>
        <v>Nitrato de Potássio</v>
      </c>
      <c r="B198" s="126" t="str">
        <f>'Quantidade-Cult.Perma.'!B66</f>
        <v>KG</v>
      </c>
      <c r="C198" s="284">
        <f>'Quantidade-Cult.Perma.'!D66</f>
        <v>8.9</v>
      </c>
      <c r="D198" s="284">
        <f>'Quantidade-Cult.Perma.'!X66</f>
        <v>0</v>
      </c>
      <c r="E198" s="284">
        <f>'Quantidade-Cult.Perma.'!Y66</f>
        <v>0</v>
      </c>
      <c r="F198" s="284">
        <f>'Quantidade-Cult.Perma.'!Z66</f>
        <v>180</v>
      </c>
      <c r="G198" s="284">
        <f>'Quantidade-Cult.Perma.'!AA66</f>
        <v>180</v>
      </c>
      <c r="H198" s="284">
        <f>'Quantidade-Cult.Perma.'!AB66</f>
        <v>250</v>
      </c>
      <c r="I198" s="284">
        <f>'Quantidade-Cult.Perma.'!AC66</f>
        <v>300</v>
      </c>
      <c r="J198" s="284">
        <f>'Quantidade-Cult.Perma.'!AD66</f>
        <v>300</v>
      </c>
      <c r="K198" s="284">
        <f>'Quantidade-Cult.Perma.'!AE66</f>
        <v>300</v>
      </c>
      <c r="L198" s="358">
        <f>'Quantidade-Cult.Perma.'!AF66</f>
        <v>300</v>
      </c>
      <c r="M198" s="358">
        <f>'Quantidade-Cult.Perma.'!AG66</f>
        <v>300</v>
      </c>
      <c r="N198" s="358">
        <f>'Quantidade-Cult.Perma.'!AH66</f>
        <v>300</v>
      </c>
      <c r="O198" s="358">
        <f>'Quantidade-Cult.Perma.'!AI66</f>
        <v>300</v>
      </c>
      <c r="P198" s="358">
        <f>'Quantidade-Cult.Perma.'!AJ66</f>
        <v>300</v>
      </c>
      <c r="Q198" s="358">
        <f>'Quantidade-Cult.Perma.'!AK66</f>
        <v>300</v>
      </c>
      <c r="R198" s="358">
        <f>'Quantidade-Cult.Perma.'!AL66</f>
        <v>300</v>
      </c>
      <c r="S198" s="358">
        <f>'Quantidade-Cult.Perma.'!AM66</f>
        <v>300</v>
      </c>
      <c r="T198" s="358">
        <f>'Quantidade-Cult.Perma.'!AN66</f>
        <v>300</v>
      </c>
      <c r="U198" s="358">
        <f>'Quantidade-Cult.Perma.'!AO66</f>
        <v>300</v>
      </c>
      <c r="V198" s="358">
        <f t="shared" si="375"/>
        <v>0</v>
      </c>
      <c r="W198" s="358">
        <f t="shared" si="376"/>
        <v>0</v>
      </c>
      <c r="X198" s="358">
        <f t="shared" si="377"/>
        <v>180</v>
      </c>
      <c r="Y198" s="358">
        <f t="shared" si="378"/>
        <v>180</v>
      </c>
      <c r="Z198" s="358">
        <f t="shared" si="379"/>
        <v>250</v>
      </c>
      <c r="AA198" s="358">
        <f t="shared" si="380"/>
        <v>300</v>
      </c>
      <c r="AB198" s="358">
        <f t="shared" si="381"/>
        <v>300</v>
      </c>
      <c r="AC198" s="358">
        <f t="shared" si="382"/>
        <v>300</v>
      </c>
      <c r="AD198" s="358">
        <f t="shared" si="383"/>
        <v>300</v>
      </c>
      <c r="AE198" s="358">
        <f t="shared" si="384"/>
        <v>300</v>
      </c>
      <c r="AF198" s="358">
        <f t="shared" si="385"/>
        <v>300</v>
      </c>
      <c r="AG198" s="358">
        <f t="shared" si="386"/>
        <v>300</v>
      </c>
      <c r="AH198" s="358">
        <f t="shared" si="387"/>
        <v>300</v>
      </c>
      <c r="AI198" s="358">
        <f t="shared" si="388"/>
        <v>300</v>
      </c>
      <c r="AJ198" s="358">
        <f t="shared" si="389"/>
        <v>300</v>
      </c>
      <c r="AK198" s="358">
        <f t="shared" si="390"/>
        <v>300</v>
      </c>
      <c r="AL198" s="359">
        <f t="shared" si="391"/>
        <v>300</v>
      </c>
      <c r="AM198" s="636"/>
      <c r="AN198" s="283">
        <f t="shared" si="392"/>
        <v>0</v>
      </c>
      <c r="AO198" s="284">
        <f t="shared" si="393"/>
        <v>0</v>
      </c>
      <c r="AP198" s="284">
        <f t="shared" si="394"/>
        <v>1602</v>
      </c>
      <c r="AQ198" s="284">
        <f t="shared" si="395"/>
        <v>1602</v>
      </c>
      <c r="AR198" s="284">
        <f t="shared" si="396"/>
        <v>2225</v>
      </c>
      <c r="AS198" s="284">
        <f t="shared" si="397"/>
        <v>2670</v>
      </c>
      <c r="AT198" s="284">
        <f t="shared" si="398"/>
        <v>2670</v>
      </c>
      <c r="AU198" s="284">
        <f t="shared" si="399"/>
        <v>2670</v>
      </c>
      <c r="AV198" s="358">
        <f t="shared" si="400"/>
        <v>2670</v>
      </c>
      <c r="AW198" s="358">
        <f t="shared" si="401"/>
        <v>2670</v>
      </c>
      <c r="AX198" s="358">
        <f t="shared" si="402"/>
        <v>2670</v>
      </c>
      <c r="AY198" s="358">
        <f t="shared" si="403"/>
        <v>2670</v>
      </c>
      <c r="AZ198" s="358">
        <f t="shared" si="404"/>
        <v>2670</v>
      </c>
      <c r="BA198" s="358">
        <f t="shared" si="405"/>
        <v>2670</v>
      </c>
      <c r="BB198" s="358">
        <f t="shared" si="406"/>
        <v>2670</v>
      </c>
      <c r="BC198" s="358">
        <f t="shared" si="407"/>
        <v>2670</v>
      </c>
      <c r="BD198" s="358">
        <f t="shared" si="408"/>
        <v>2670</v>
      </c>
      <c r="BE198" s="358">
        <f t="shared" si="409"/>
        <v>2670</v>
      </c>
      <c r="BF198" s="358">
        <f t="shared" si="410"/>
        <v>0</v>
      </c>
      <c r="BG198" s="358">
        <f t="shared" si="411"/>
        <v>0</v>
      </c>
      <c r="BH198" s="358">
        <f t="shared" si="412"/>
        <v>1602</v>
      </c>
      <c r="BI198" s="358">
        <f t="shared" si="413"/>
        <v>1602</v>
      </c>
      <c r="BJ198" s="358">
        <f t="shared" si="414"/>
        <v>2225</v>
      </c>
      <c r="BK198" s="358">
        <f t="shared" si="415"/>
        <v>2670</v>
      </c>
      <c r="BL198" s="358">
        <f t="shared" si="416"/>
        <v>2670</v>
      </c>
      <c r="BM198" s="358">
        <f t="shared" si="417"/>
        <v>2670</v>
      </c>
      <c r="BN198" s="358">
        <f t="shared" si="418"/>
        <v>2670</v>
      </c>
      <c r="BO198" s="358">
        <f t="shared" si="419"/>
        <v>2670</v>
      </c>
      <c r="BP198" s="358">
        <f t="shared" si="420"/>
        <v>2670</v>
      </c>
      <c r="BQ198" s="358">
        <f t="shared" si="421"/>
        <v>2670</v>
      </c>
      <c r="BR198" s="358">
        <f t="shared" si="422"/>
        <v>2670</v>
      </c>
      <c r="BS198" s="358">
        <f t="shared" si="423"/>
        <v>2670</v>
      </c>
      <c r="BT198" s="358">
        <f t="shared" si="424"/>
        <v>2670</v>
      </c>
      <c r="BU198" s="358">
        <f t="shared" si="425"/>
        <v>2670</v>
      </c>
      <c r="BV198" s="359">
        <f t="shared" si="426"/>
        <v>2670</v>
      </c>
    </row>
    <row r="199" spans="1:74" ht="20.149999999999999" hidden="1" customHeight="1" outlineLevel="2" x14ac:dyDescent="0.25">
      <c r="A199" s="23" t="str">
        <f>'Quantidade-Cult.Perma.'!A67</f>
        <v>Sulfato de Magnésio</v>
      </c>
      <c r="B199" s="126" t="str">
        <f>'Quantidade-Cult.Perma.'!B67</f>
        <v>KG</v>
      </c>
      <c r="C199" s="284">
        <f>'Quantidade-Cult.Perma.'!D67</f>
        <v>1.5</v>
      </c>
      <c r="D199" s="284">
        <f>'Quantidade-Cult.Perma.'!X67</f>
        <v>116.4</v>
      </c>
      <c r="E199" s="284">
        <f>'Quantidade-Cult.Perma.'!Y67</f>
        <v>186.24</v>
      </c>
      <c r="F199" s="284">
        <f>'Quantidade-Cult.Perma.'!Z67</f>
        <v>279.36</v>
      </c>
      <c r="G199" s="284">
        <f>'Quantidade-Cult.Perma.'!AA67</f>
        <v>372.48</v>
      </c>
      <c r="H199" s="284">
        <f>'Quantidade-Cult.Perma.'!AB67</f>
        <v>465.6</v>
      </c>
      <c r="I199" s="284">
        <f>'Quantidade-Cult.Perma.'!AC67</f>
        <v>465.6</v>
      </c>
      <c r="J199" s="284">
        <f>'Quantidade-Cult.Perma.'!AD67</f>
        <v>744.96</v>
      </c>
      <c r="K199" s="284">
        <f>'Quantidade-Cult.Perma.'!AE67</f>
        <v>744.96</v>
      </c>
      <c r="L199" s="358">
        <f>'Quantidade-Cult.Perma.'!AF67</f>
        <v>744.96</v>
      </c>
      <c r="M199" s="358">
        <f>'Quantidade-Cult.Perma.'!AG67</f>
        <v>744.96</v>
      </c>
      <c r="N199" s="358">
        <f>'Quantidade-Cult.Perma.'!AH67</f>
        <v>744.96</v>
      </c>
      <c r="O199" s="358">
        <f>'Quantidade-Cult.Perma.'!AI67</f>
        <v>744.96</v>
      </c>
      <c r="P199" s="358">
        <f>'Quantidade-Cult.Perma.'!AJ67</f>
        <v>744.96</v>
      </c>
      <c r="Q199" s="358">
        <f>'Quantidade-Cult.Perma.'!AK67</f>
        <v>744.96</v>
      </c>
      <c r="R199" s="358">
        <f>'Quantidade-Cult.Perma.'!AL67</f>
        <v>744.96</v>
      </c>
      <c r="S199" s="358">
        <f>'Quantidade-Cult.Perma.'!AM67</f>
        <v>744.96</v>
      </c>
      <c r="T199" s="358">
        <f>'Quantidade-Cult.Perma.'!AN67</f>
        <v>744.96</v>
      </c>
      <c r="U199" s="358">
        <f>'Quantidade-Cult.Perma.'!AO67</f>
        <v>744.96</v>
      </c>
      <c r="V199" s="358">
        <f t="shared" si="375"/>
        <v>116.4</v>
      </c>
      <c r="W199" s="358">
        <f t="shared" si="376"/>
        <v>186.24</v>
      </c>
      <c r="X199" s="358">
        <f t="shared" si="377"/>
        <v>279.36</v>
      </c>
      <c r="Y199" s="358">
        <f t="shared" si="378"/>
        <v>372.48</v>
      </c>
      <c r="Z199" s="358">
        <f t="shared" si="379"/>
        <v>465.6</v>
      </c>
      <c r="AA199" s="358">
        <f t="shared" si="380"/>
        <v>465.6</v>
      </c>
      <c r="AB199" s="358">
        <f t="shared" si="381"/>
        <v>744.96</v>
      </c>
      <c r="AC199" s="358">
        <f t="shared" si="382"/>
        <v>744.96</v>
      </c>
      <c r="AD199" s="358">
        <f t="shared" si="383"/>
        <v>744.96</v>
      </c>
      <c r="AE199" s="358">
        <f t="shared" si="384"/>
        <v>744.96</v>
      </c>
      <c r="AF199" s="358">
        <f t="shared" si="385"/>
        <v>744.96</v>
      </c>
      <c r="AG199" s="358">
        <f t="shared" si="386"/>
        <v>744.96</v>
      </c>
      <c r="AH199" s="358">
        <f t="shared" si="387"/>
        <v>744.96</v>
      </c>
      <c r="AI199" s="358">
        <f t="shared" si="388"/>
        <v>744.96</v>
      </c>
      <c r="AJ199" s="358">
        <f t="shared" si="389"/>
        <v>744.96</v>
      </c>
      <c r="AK199" s="358">
        <f t="shared" si="390"/>
        <v>744.96</v>
      </c>
      <c r="AL199" s="359">
        <f t="shared" si="391"/>
        <v>744.96</v>
      </c>
      <c r="AM199" s="636"/>
      <c r="AN199" s="283">
        <f t="shared" si="392"/>
        <v>174.60000000000002</v>
      </c>
      <c r="AO199" s="284">
        <f t="shared" si="393"/>
        <v>279.36</v>
      </c>
      <c r="AP199" s="284">
        <f t="shared" si="394"/>
        <v>419.04</v>
      </c>
      <c r="AQ199" s="284">
        <f t="shared" si="395"/>
        <v>558.72</v>
      </c>
      <c r="AR199" s="284">
        <f t="shared" si="396"/>
        <v>698.40000000000009</v>
      </c>
      <c r="AS199" s="284">
        <f t="shared" si="397"/>
        <v>698.40000000000009</v>
      </c>
      <c r="AT199" s="284">
        <f t="shared" si="398"/>
        <v>1117.44</v>
      </c>
      <c r="AU199" s="284">
        <f t="shared" si="399"/>
        <v>1117.44</v>
      </c>
      <c r="AV199" s="358">
        <f t="shared" si="400"/>
        <v>1117.44</v>
      </c>
      <c r="AW199" s="358">
        <f t="shared" si="401"/>
        <v>1117.44</v>
      </c>
      <c r="AX199" s="358">
        <f t="shared" si="402"/>
        <v>1117.44</v>
      </c>
      <c r="AY199" s="358">
        <f t="shared" si="403"/>
        <v>1117.44</v>
      </c>
      <c r="AZ199" s="358">
        <f t="shared" si="404"/>
        <v>1117.44</v>
      </c>
      <c r="BA199" s="358">
        <f t="shared" si="405"/>
        <v>1117.44</v>
      </c>
      <c r="BB199" s="358">
        <f t="shared" si="406"/>
        <v>1117.44</v>
      </c>
      <c r="BC199" s="358">
        <f t="shared" si="407"/>
        <v>1117.44</v>
      </c>
      <c r="BD199" s="358">
        <f t="shared" si="408"/>
        <v>1117.44</v>
      </c>
      <c r="BE199" s="358">
        <f t="shared" si="409"/>
        <v>1117.44</v>
      </c>
      <c r="BF199" s="358">
        <f t="shared" si="410"/>
        <v>174.60000000000002</v>
      </c>
      <c r="BG199" s="358">
        <f t="shared" si="411"/>
        <v>279.36</v>
      </c>
      <c r="BH199" s="358">
        <f t="shared" si="412"/>
        <v>419.04</v>
      </c>
      <c r="BI199" s="358">
        <f t="shared" si="413"/>
        <v>558.72</v>
      </c>
      <c r="BJ199" s="358">
        <f t="shared" si="414"/>
        <v>698.40000000000009</v>
      </c>
      <c r="BK199" s="358">
        <f t="shared" si="415"/>
        <v>698.40000000000009</v>
      </c>
      <c r="BL199" s="358">
        <f t="shared" si="416"/>
        <v>1117.44</v>
      </c>
      <c r="BM199" s="358">
        <f t="shared" si="417"/>
        <v>1117.44</v>
      </c>
      <c r="BN199" s="358">
        <f t="shared" si="418"/>
        <v>1117.44</v>
      </c>
      <c r="BO199" s="358">
        <f t="shared" si="419"/>
        <v>1117.44</v>
      </c>
      <c r="BP199" s="358">
        <f t="shared" si="420"/>
        <v>1117.44</v>
      </c>
      <c r="BQ199" s="358">
        <f t="shared" si="421"/>
        <v>1117.44</v>
      </c>
      <c r="BR199" s="358">
        <f t="shared" si="422"/>
        <v>1117.44</v>
      </c>
      <c r="BS199" s="358">
        <f t="shared" si="423"/>
        <v>1117.44</v>
      </c>
      <c r="BT199" s="358">
        <f t="shared" si="424"/>
        <v>1117.44</v>
      </c>
      <c r="BU199" s="358">
        <f t="shared" si="425"/>
        <v>1117.44</v>
      </c>
      <c r="BV199" s="359">
        <f t="shared" si="426"/>
        <v>1117.44</v>
      </c>
    </row>
    <row r="200" spans="1:74" ht="20.149999999999999" hidden="1" customHeight="1" outlineLevel="2" x14ac:dyDescent="0.25">
      <c r="A200" s="23" t="str">
        <f>'Quantidade-Cult.Perma.'!A68</f>
        <v>Sulfato de Zinco</v>
      </c>
      <c r="B200" s="126" t="str">
        <f>'Quantidade-Cult.Perma.'!B68</f>
        <v>KG</v>
      </c>
      <c r="C200" s="284">
        <f>'Quantidade-Cult.Perma.'!D68</f>
        <v>6</v>
      </c>
      <c r="D200" s="284">
        <f>'Quantidade-Cult.Perma.'!X68</f>
        <v>77.599999999999994</v>
      </c>
      <c r="E200" s="284">
        <f>'Quantidade-Cult.Perma.'!Y68</f>
        <v>93.12</v>
      </c>
      <c r="F200" s="284">
        <f>'Quantidade-Cult.Perma.'!Z68</f>
        <v>93.12</v>
      </c>
      <c r="G200" s="284">
        <f>'Quantidade-Cult.Perma.'!AA68</f>
        <v>139.68</v>
      </c>
      <c r="H200" s="284">
        <f>'Quantidade-Cult.Perma.'!AB68</f>
        <v>139.68</v>
      </c>
      <c r="I200" s="284">
        <f>'Quantidade-Cult.Perma.'!AC68</f>
        <v>139.68</v>
      </c>
      <c r="J200" s="284">
        <f>'Quantidade-Cult.Perma.'!AD68</f>
        <v>139.68</v>
      </c>
      <c r="K200" s="284">
        <f>'Quantidade-Cult.Perma.'!AE68</f>
        <v>139.68</v>
      </c>
      <c r="L200" s="358">
        <f>'Quantidade-Cult.Perma.'!AF68</f>
        <v>139.68</v>
      </c>
      <c r="M200" s="358">
        <f>'Quantidade-Cult.Perma.'!AG68</f>
        <v>139.68</v>
      </c>
      <c r="N200" s="358">
        <f>'Quantidade-Cult.Perma.'!AH68</f>
        <v>139.68</v>
      </c>
      <c r="O200" s="358">
        <f>'Quantidade-Cult.Perma.'!AI68</f>
        <v>139.68</v>
      </c>
      <c r="P200" s="358">
        <f>'Quantidade-Cult.Perma.'!AJ68</f>
        <v>139.68</v>
      </c>
      <c r="Q200" s="358">
        <f>'Quantidade-Cult.Perma.'!AK68</f>
        <v>139.68</v>
      </c>
      <c r="R200" s="358">
        <f>'Quantidade-Cult.Perma.'!AL68</f>
        <v>139.68</v>
      </c>
      <c r="S200" s="358">
        <f>'Quantidade-Cult.Perma.'!AM68</f>
        <v>139.68</v>
      </c>
      <c r="T200" s="358">
        <f>'Quantidade-Cult.Perma.'!AN68</f>
        <v>139.68</v>
      </c>
      <c r="U200" s="358">
        <f>'Quantidade-Cult.Perma.'!AO68</f>
        <v>139.68</v>
      </c>
      <c r="V200" s="358">
        <f t="shared" si="375"/>
        <v>77.599999999999994</v>
      </c>
      <c r="W200" s="358">
        <f t="shared" si="376"/>
        <v>93.12</v>
      </c>
      <c r="X200" s="358">
        <f t="shared" si="377"/>
        <v>93.12</v>
      </c>
      <c r="Y200" s="358">
        <f t="shared" si="378"/>
        <v>139.68</v>
      </c>
      <c r="Z200" s="358">
        <f t="shared" si="379"/>
        <v>139.68</v>
      </c>
      <c r="AA200" s="358">
        <f t="shared" si="380"/>
        <v>139.68</v>
      </c>
      <c r="AB200" s="358">
        <f t="shared" si="381"/>
        <v>139.68</v>
      </c>
      <c r="AC200" s="358">
        <f t="shared" si="382"/>
        <v>139.68</v>
      </c>
      <c r="AD200" s="358">
        <f t="shared" si="383"/>
        <v>139.68</v>
      </c>
      <c r="AE200" s="358">
        <f t="shared" si="384"/>
        <v>139.68</v>
      </c>
      <c r="AF200" s="358">
        <f t="shared" si="385"/>
        <v>139.68</v>
      </c>
      <c r="AG200" s="358">
        <f t="shared" si="386"/>
        <v>139.68</v>
      </c>
      <c r="AH200" s="358">
        <f t="shared" si="387"/>
        <v>139.68</v>
      </c>
      <c r="AI200" s="358">
        <f t="shared" si="388"/>
        <v>139.68</v>
      </c>
      <c r="AJ200" s="358">
        <f t="shared" si="389"/>
        <v>139.68</v>
      </c>
      <c r="AK200" s="358">
        <f t="shared" si="390"/>
        <v>139.68</v>
      </c>
      <c r="AL200" s="359">
        <f t="shared" si="391"/>
        <v>139.68</v>
      </c>
      <c r="AM200" s="636"/>
      <c r="AN200" s="283">
        <f t="shared" si="392"/>
        <v>465.59999999999997</v>
      </c>
      <c r="AO200" s="284">
        <f t="shared" si="393"/>
        <v>558.72</v>
      </c>
      <c r="AP200" s="284">
        <f t="shared" si="394"/>
        <v>558.72</v>
      </c>
      <c r="AQ200" s="284">
        <f t="shared" si="395"/>
        <v>838.08</v>
      </c>
      <c r="AR200" s="284">
        <f t="shared" si="396"/>
        <v>838.08</v>
      </c>
      <c r="AS200" s="284">
        <f t="shared" si="397"/>
        <v>838.08</v>
      </c>
      <c r="AT200" s="284">
        <f t="shared" si="398"/>
        <v>838.08</v>
      </c>
      <c r="AU200" s="284">
        <f t="shared" si="399"/>
        <v>838.08</v>
      </c>
      <c r="AV200" s="358">
        <f t="shared" si="400"/>
        <v>838.08</v>
      </c>
      <c r="AW200" s="358">
        <f t="shared" si="401"/>
        <v>838.08</v>
      </c>
      <c r="AX200" s="358">
        <f t="shared" si="402"/>
        <v>838.08</v>
      </c>
      <c r="AY200" s="358">
        <f t="shared" si="403"/>
        <v>838.08</v>
      </c>
      <c r="AZ200" s="358">
        <f t="shared" si="404"/>
        <v>838.08</v>
      </c>
      <c r="BA200" s="358">
        <f t="shared" si="405"/>
        <v>838.08</v>
      </c>
      <c r="BB200" s="358">
        <f t="shared" si="406"/>
        <v>838.08</v>
      </c>
      <c r="BC200" s="358">
        <f t="shared" si="407"/>
        <v>838.08</v>
      </c>
      <c r="BD200" s="358">
        <f t="shared" si="408"/>
        <v>838.08</v>
      </c>
      <c r="BE200" s="358">
        <f t="shared" si="409"/>
        <v>838.08</v>
      </c>
      <c r="BF200" s="358">
        <f t="shared" si="410"/>
        <v>465.59999999999997</v>
      </c>
      <c r="BG200" s="358">
        <f t="shared" si="411"/>
        <v>558.72</v>
      </c>
      <c r="BH200" s="358">
        <f t="shared" si="412"/>
        <v>558.72</v>
      </c>
      <c r="BI200" s="358">
        <f t="shared" si="413"/>
        <v>838.08</v>
      </c>
      <c r="BJ200" s="358">
        <f t="shared" si="414"/>
        <v>838.08</v>
      </c>
      <c r="BK200" s="358">
        <f t="shared" si="415"/>
        <v>838.08</v>
      </c>
      <c r="BL200" s="358">
        <f t="shared" si="416"/>
        <v>838.08</v>
      </c>
      <c r="BM200" s="358">
        <f t="shared" si="417"/>
        <v>838.08</v>
      </c>
      <c r="BN200" s="358">
        <f t="shared" si="418"/>
        <v>838.08</v>
      </c>
      <c r="BO200" s="358">
        <f t="shared" si="419"/>
        <v>838.08</v>
      </c>
      <c r="BP200" s="358">
        <f t="shared" si="420"/>
        <v>838.08</v>
      </c>
      <c r="BQ200" s="358">
        <f t="shared" si="421"/>
        <v>838.08</v>
      </c>
      <c r="BR200" s="358">
        <f t="shared" si="422"/>
        <v>838.08</v>
      </c>
      <c r="BS200" s="358">
        <f t="shared" si="423"/>
        <v>838.08</v>
      </c>
      <c r="BT200" s="358">
        <f t="shared" si="424"/>
        <v>838.08</v>
      </c>
      <c r="BU200" s="358">
        <f t="shared" si="425"/>
        <v>838.08</v>
      </c>
      <c r="BV200" s="359">
        <f t="shared" si="426"/>
        <v>838.08</v>
      </c>
    </row>
    <row r="201" spans="1:74" ht="20.149999999999999" hidden="1" customHeight="1" outlineLevel="2" x14ac:dyDescent="0.25">
      <c r="A201" s="23" t="str">
        <f>'Quantidade-Cult.Perma.'!A69</f>
        <v>Esterco de Gado</v>
      </c>
      <c r="B201" s="126" t="str">
        <f>'Quantidade-Cult.Perma.'!B69</f>
        <v>M3</v>
      </c>
      <c r="C201" s="284">
        <f>'Quantidade-Cult.Perma.'!D69</f>
        <v>80</v>
      </c>
      <c r="D201" s="284">
        <f>'Quantidade-Cult.Perma.'!X69</f>
        <v>7.76</v>
      </c>
      <c r="E201" s="284">
        <f>'Quantidade-Cult.Perma.'!Y69</f>
        <v>7.76</v>
      </c>
      <c r="F201" s="284">
        <f>'Quantidade-Cult.Perma.'!Z69</f>
        <v>15.52</v>
      </c>
      <c r="G201" s="284">
        <f>'Quantidade-Cult.Perma.'!AA69</f>
        <v>15.52</v>
      </c>
      <c r="H201" s="284">
        <f>'Quantidade-Cult.Perma.'!AB69</f>
        <v>0</v>
      </c>
      <c r="I201" s="284">
        <f>'Quantidade-Cult.Perma.'!AC69</f>
        <v>0</v>
      </c>
      <c r="J201" s="284">
        <f>'Quantidade-Cult.Perma.'!AD69</f>
        <v>0</v>
      </c>
      <c r="K201" s="284">
        <f>'Quantidade-Cult.Perma.'!AE69</f>
        <v>0</v>
      </c>
      <c r="L201" s="358">
        <f>'Quantidade-Cult.Perma.'!AF69</f>
        <v>0</v>
      </c>
      <c r="M201" s="358">
        <f>'Quantidade-Cult.Perma.'!AG69</f>
        <v>0</v>
      </c>
      <c r="N201" s="358">
        <f>'Quantidade-Cult.Perma.'!AH69</f>
        <v>0</v>
      </c>
      <c r="O201" s="358">
        <f>'Quantidade-Cult.Perma.'!AI69</f>
        <v>0</v>
      </c>
      <c r="P201" s="358">
        <f>'Quantidade-Cult.Perma.'!AJ69</f>
        <v>0</v>
      </c>
      <c r="Q201" s="358">
        <f>'Quantidade-Cult.Perma.'!AK69</f>
        <v>0</v>
      </c>
      <c r="R201" s="358">
        <f>'Quantidade-Cult.Perma.'!AL69</f>
        <v>0</v>
      </c>
      <c r="S201" s="358">
        <f>'Quantidade-Cult.Perma.'!AM69</f>
        <v>0</v>
      </c>
      <c r="T201" s="358">
        <f>'Quantidade-Cult.Perma.'!AN69</f>
        <v>0</v>
      </c>
      <c r="U201" s="358">
        <f>'Quantidade-Cult.Perma.'!AO69</f>
        <v>0</v>
      </c>
      <c r="V201" s="358">
        <f t="shared" si="375"/>
        <v>7.76</v>
      </c>
      <c r="W201" s="358">
        <f t="shared" si="376"/>
        <v>7.76</v>
      </c>
      <c r="X201" s="358">
        <f t="shared" si="377"/>
        <v>15.52</v>
      </c>
      <c r="Y201" s="358">
        <f t="shared" si="378"/>
        <v>15.52</v>
      </c>
      <c r="Z201" s="358">
        <f t="shared" si="379"/>
        <v>0</v>
      </c>
      <c r="AA201" s="358">
        <f t="shared" si="380"/>
        <v>0</v>
      </c>
      <c r="AB201" s="358">
        <f t="shared" si="381"/>
        <v>0</v>
      </c>
      <c r="AC201" s="358">
        <f t="shared" si="382"/>
        <v>0</v>
      </c>
      <c r="AD201" s="358">
        <f t="shared" si="383"/>
        <v>0</v>
      </c>
      <c r="AE201" s="358">
        <f t="shared" si="384"/>
        <v>0</v>
      </c>
      <c r="AF201" s="358">
        <f t="shared" si="385"/>
        <v>0</v>
      </c>
      <c r="AG201" s="358">
        <f t="shared" si="386"/>
        <v>0</v>
      </c>
      <c r="AH201" s="358">
        <f t="shared" si="387"/>
        <v>0</v>
      </c>
      <c r="AI201" s="358">
        <f t="shared" si="388"/>
        <v>0</v>
      </c>
      <c r="AJ201" s="358">
        <f t="shared" si="389"/>
        <v>0</v>
      </c>
      <c r="AK201" s="358">
        <f t="shared" si="390"/>
        <v>0</v>
      </c>
      <c r="AL201" s="359">
        <f t="shared" si="391"/>
        <v>0</v>
      </c>
      <c r="AM201" s="636"/>
      <c r="AN201" s="283">
        <f t="shared" si="392"/>
        <v>620.79999999999995</v>
      </c>
      <c r="AO201" s="284">
        <f t="shared" si="393"/>
        <v>620.79999999999995</v>
      </c>
      <c r="AP201" s="284">
        <f t="shared" si="394"/>
        <v>1241.5999999999999</v>
      </c>
      <c r="AQ201" s="284">
        <f t="shared" si="395"/>
        <v>1241.5999999999999</v>
      </c>
      <c r="AR201" s="284">
        <f t="shared" si="396"/>
        <v>0</v>
      </c>
      <c r="AS201" s="284">
        <f t="shared" si="397"/>
        <v>0</v>
      </c>
      <c r="AT201" s="284">
        <f t="shared" si="398"/>
        <v>0</v>
      </c>
      <c r="AU201" s="284">
        <f t="shared" si="399"/>
        <v>0</v>
      </c>
      <c r="AV201" s="358">
        <f t="shared" si="400"/>
        <v>0</v>
      </c>
      <c r="AW201" s="358">
        <f t="shared" si="401"/>
        <v>0</v>
      </c>
      <c r="AX201" s="358">
        <f t="shared" si="402"/>
        <v>0</v>
      </c>
      <c r="AY201" s="358">
        <f t="shared" si="403"/>
        <v>0</v>
      </c>
      <c r="AZ201" s="358">
        <f t="shared" si="404"/>
        <v>0</v>
      </c>
      <c r="BA201" s="358">
        <f t="shared" si="405"/>
        <v>0</v>
      </c>
      <c r="BB201" s="358">
        <f t="shared" si="406"/>
        <v>0</v>
      </c>
      <c r="BC201" s="358">
        <f t="shared" si="407"/>
        <v>0</v>
      </c>
      <c r="BD201" s="358">
        <f t="shared" si="408"/>
        <v>0</v>
      </c>
      <c r="BE201" s="358">
        <f t="shared" si="409"/>
        <v>0</v>
      </c>
      <c r="BF201" s="358">
        <f t="shared" si="410"/>
        <v>620.79999999999995</v>
      </c>
      <c r="BG201" s="358">
        <f t="shared" si="411"/>
        <v>620.79999999999995</v>
      </c>
      <c r="BH201" s="358">
        <f t="shared" si="412"/>
        <v>1241.5999999999999</v>
      </c>
      <c r="BI201" s="358">
        <f t="shared" si="413"/>
        <v>1241.5999999999999</v>
      </c>
      <c r="BJ201" s="358">
        <f t="shared" si="414"/>
        <v>0</v>
      </c>
      <c r="BK201" s="358">
        <f t="shared" si="415"/>
        <v>0</v>
      </c>
      <c r="BL201" s="358">
        <f t="shared" si="416"/>
        <v>0</v>
      </c>
      <c r="BM201" s="358">
        <f t="shared" si="417"/>
        <v>0</v>
      </c>
      <c r="BN201" s="358">
        <f t="shared" si="418"/>
        <v>0</v>
      </c>
      <c r="BO201" s="358">
        <f t="shared" si="419"/>
        <v>0</v>
      </c>
      <c r="BP201" s="358">
        <f t="shared" si="420"/>
        <v>0</v>
      </c>
      <c r="BQ201" s="358">
        <f t="shared" si="421"/>
        <v>0</v>
      </c>
      <c r="BR201" s="358">
        <f t="shared" si="422"/>
        <v>0</v>
      </c>
      <c r="BS201" s="358">
        <f t="shared" si="423"/>
        <v>0</v>
      </c>
      <c r="BT201" s="358">
        <f t="shared" si="424"/>
        <v>0</v>
      </c>
      <c r="BU201" s="358">
        <f t="shared" si="425"/>
        <v>0</v>
      </c>
      <c r="BV201" s="359">
        <f t="shared" si="426"/>
        <v>0</v>
      </c>
    </row>
    <row r="202" spans="1:74" ht="20.149999999999999" hidden="1" customHeight="1" outlineLevel="2" x14ac:dyDescent="0.25">
      <c r="A202" s="23" t="str">
        <f>'Quantidade-Cult.Perma.'!A70</f>
        <v>Nitrato de Amonia</v>
      </c>
      <c r="B202" s="126" t="str">
        <f>'Quantidade-Cult.Perma.'!B70</f>
        <v>T</v>
      </c>
      <c r="C202" s="284">
        <f>'Quantidade-Cult.Perma.'!D70</f>
        <v>2200</v>
      </c>
      <c r="D202" s="284">
        <f>'Quantidade-Cult.Perma.'!X70</f>
        <v>0.19400000000000001</v>
      </c>
      <c r="E202" s="284">
        <f>'Quantidade-Cult.Perma.'!Y70</f>
        <v>0.19400000000000001</v>
      </c>
      <c r="F202" s="284">
        <f>'Quantidade-Cult.Perma.'!Z70</f>
        <v>0.24832000000000001</v>
      </c>
      <c r="G202" s="284">
        <f>'Quantidade-Cult.Perma.'!AA70</f>
        <v>0.49664000000000003</v>
      </c>
      <c r="H202" s="284">
        <f>'Quantidade-Cult.Perma.'!AB70</f>
        <v>0.49664000000000003</v>
      </c>
      <c r="I202" s="284">
        <f>'Quantidade-Cult.Perma.'!AC70</f>
        <v>0.65183999999999997</v>
      </c>
      <c r="J202" s="284">
        <f>'Quantidade-Cult.Perma.'!AD70</f>
        <v>0.74495999999999996</v>
      </c>
      <c r="K202" s="284">
        <f>'Quantidade-Cult.Perma.'!AE70</f>
        <v>0.74495999999999996</v>
      </c>
      <c r="L202" s="358">
        <f>'Quantidade-Cult.Perma.'!AF70</f>
        <v>0.74495999999999996</v>
      </c>
      <c r="M202" s="358">
        <f>'Quantidade-Cult.Perma.'!AG70</f>
        <v>0.74495999999999996</v>
      </c>
      <c r="N202" s="358">
        <f>'Quantidade-Cult.Perma.'!AH70</f>
        <v>0.74495999999999996</v>
      </c>
      <c r="O202" s="358">
        <f>'Quantidade-Cult.Perma.'!AI70</f>
        <v>0.74495999999999996</v>
      </c>
      <c r="P202" s="358">
        <f>'Quantidade-Cult.Perma.'!AJ70</f>
        <v>0.74495999999999996</v>
      </c>
      <c r="Q202" s="358">
        <f>'Quantidade-Cult.Perma.'!AK70</f>
        <v>0.74495999999999996</v>
      </c>
      <c r="R202" s="358">
        <f>'Quantidade-Cult.Perma.'!AL70</f>
        <v>0.74495999999999996</v>
      </c>
      <c r="S202" s="358">
        <f>'Quantidade-Cult.Perma.'!AM70</f>
        <v>0.74495999999999996</v>
      </c>
      <c r="T202" s="358">
        <f>'Quantidade-Cult.Perma.'!AN70</f>
        <v>0.74495999999999996</v>
      </c>
      <c r="U202" s="358">
        <f>'Quantidade-Cult.Perma.'!AO70</f>
        <v>0.74495999999999996</v>
      </c>
      <c r="V202" s="358">
        <f t="shared" si="375"/>
        <v>0.19400000000000001</v>
      </c>
      <c r="W202" s="358">
        <f t="shared" si="376"/>
        <v>0.19400000000000001</v>
      </c>
      <c r="X202" s="358">
        <f t="shared" si="377"/>
        <v>0.24832000000000001</v>
      </c>
      <c r="Y202" s="358">
        <f t="shared" si="378"/>
        <v>0.49664000000000003</v>
      </c>
      <c r="Z202" s="358">
        <f t="shared" si="379"/>
        <v>0.49664000000000003</v>
      </c>
      <c r="AA202" s="358">
        <f t="shared" si="380"/>
        <v>0.65183999999999997</v>
      </c>
      <c r="AB202" s="358">
        <f t="shared" si="381"/>
        <v>0.74495999999999996</v>
      </c>
      <c r="AC202" s="358">
        <f t="shared" si="382"/>
        <v>0.74495999999999996</v>
      </c>
      <c r="AD202" s="358">
        <f t="shared" si="383"/>
        <v>0.74495999999999996</v>
      </c>
      <c r="AE202" s="358">
        <f t="shared" si="384"/>
        <v>0.74495999999999996</v>
      </c>
      <c r="AF202" s="358">
        <f t="shared" si="385"/>
        <v>0.74495999999999996</v>
      </c>
      <c r="AG202" s="358">
        <f t="shared" si="386"/>
        <v>0.74495999999999996</v>
      </c>
      <c r="AH202" s="358">
        <f t="shared" si="387"/>
        <v>0.74495999999999996</v>
      </c>
      <c r="AI202" s="358">
        <f t="shared" si="388"/>
        <v>0.74495999999999996</v>
      </c>
      <c r="AJ202" s="358">
        <f t="shared" si="389"/>
        <v>0.74495999999999996</v>
      </c>
      <c r="AK202" s="358">
        <f t="shared" si="390"/>
        <v>0.74495999999999996</v>
      </c>
      <c r="AL202" s="359">
        <f t="shared" si="391"/>
        <v>0.74495999999999996</v>
      </c>
      <c r="AM202" s="636"/>
      <c r="AN202" s="283">
        <f t="shared" si="392"/>
        <v>426.8</v>
      </c>
      <c r="AO202" s="284">
        <f t="shared" si="393"/>
        <v>426.8</v>
      </c>
      <c r="AP202" s="284">
        <f t="shared" si="394"/>
        <v>546.30399999999997</v>
      </c>
      <c r="AQ202" s="284">
        <f t="shared" si="395"/>
        <v>1092.6079999999999</v>
      </c>
      <c r="AR202" s="284">
        <f t="shared" si="396"/>
        <v>1092.6079999999999</v>
      </c>
      <c r="AS202" s="284">
        <f t="shared" si="397"/>
        <v>1434.048</v>
      </c>
      <c r="AT202" s="284">
        <f t="shared" si="398"/>
        <v>1638.9119999999998</v>
      </c>
      <c r="AU202" s="284">
        <f t="shared" si="399"/>
        <v>1638.9119999999998</v>
      </c>
      <c r="AV202" s="358">
        <f t="shared" si="400"/>
        <v>1638.9119999999998</v>
      </c>
      <c r="AW202" s="358">
        <f t="shared" si="401"/>
        <v>1638.9119999999998</v>
      </c>
      <c r="AX202" s="358">
        <f t="shared" si="402"/>
        <v>1638.9119999999998</v>
      </c>
      <c r="AY202" s="358">
        <f t="shared" si="403"/>
        <v>1638.9119999999998</v>
      </c>
      <c r="AZ202" s="358">
        <f t="shared" si="404"/>
        <v>1638.9119999999998</v>
      </c>
      <c r="BA202" s="358">
        <f t="shared" si="405"/>
        <v>1638.9119999999998</v>
      </c>
      <c r="BB202" s="358">
        <f t="shared" si="406"/>
        <v>1638.9119999999998</v>
      </c>
      <c r="BC202" s="358">
        <f t="shared" si="407"/>
        <v>1638.9119999999998</v>
      </c>
      <c r="BD202" s="358">
        <f t="shared" si="408"/>
        <v>1638.9119999999998</v>
      </c>
      <c r="BE202" s="358">
        <f t="shared" si="409"/>
        <v>1638.9119999999998</v>
      </c>
      <c r="BF202" s="358">
        <f t="shared" si="410"/>
        <v>426.8</v>
      </c>
      <c r="BG202" s="358">
        <f t="shared" si="411"/>
        <v>426.8</v>
      </c>
      <c r="BH202" s="358">
        <f t="shared" si="412"/>
        <v>546.30399999999997</v>
      </c>
      <c r="BI202" s="358">
        <f t="shared" si="413"/>
        <v>1092.6079999999999</v>
      </c>
      <c r="BJ202" s="358">
        <f t="shared" si="414"/>
        <v>1092.6079999999999</v>
      </c>
      <c r="BK202" s="358">
        <f t="shared" si="415"/>
        <v>1434.048</v>
      </c>
      <c r="BL202" s="358">
        <f t="shared" si="416"/>
        <v>1638.9119999999998</v>
      </c>
      <c r="BM202" s="358">
        <f t="shared" si="417"/>
        <v>1638.9119999999998</v>
      </c>
      <c r="BN202" s="358">
        <f t="shared" si="418"/>
        <v>1638.9119999999998</v>
      </c>
      <c r="BO202" s="358">
        <f t="shared" si="419"/>
        <v>1638.9119999999998</v>
      </c>
      <c r="BP202" s="358">
        <f t="shared" si="420"/>
        <v>1638.9119999999998</v>
      </c>
      <c r="BQ202" s="358">
        <f t="shared" si="421"/>
        <v>1638.9119999999998</v>
      </c>
      <c r="BR202" s="358">
        <f t="shared" si="422"/>
        <v>1638.9119999999998</v>
      </c>
      <c r="BS202" s="358">
        <f t="shared" si="423"/>
        <v>1638.9119999999998</v>
      </c>
      <c r="BT202" s="358">
        <f t="shared" si="424"/>
        <v>1638.9119999999998</v>
      </c>
      <c r="BU202" s="358">
        <f t="shared" si="425"/>
        <v>1638.9119999999998</v>
      </c>
      <c r="BV202" s="359">
        <f t="shared" si="426"/>
        <v>1638.9119999999998</v>
      </c>
    </row>
    <row r="203" spans="1:74" ht="20.149999999999999" hidden="1" customHeight="1" outlineLevel="2" x14ac:dyDescent="0.25">
      <c r="A203" s="23" t="str">
        <f>'Quantidade-Cult.Perma.'!A71</f>
        <v>Fungicida</v>
      </c>
      <c r="B203" s="126" t="str">
        <f>'Quantidade-Cult.Perma.'!B71</f>
        <v>L</v>
      </c>
      <c r="C203" s="284">
        <f>'Quantidade-Cult.Perma.'!D71</f>
        <v>75</v>
      </c>
      <c r="D203" s="284">
        <f>'Quantidade-Cult.Perma.'!X71</f>
        <v>3</v>
      </c>
      <c r="E203" s="284">
        <f>'Quantidade-Cult.Perma.'!Y71</f>
        <v>8</v>
      </c>
      <c r="F203" s="284">
        <f>'Quantidade-Cult.Perma.'!Z71</f>
        <v>10</v>
      </c>
      <c r="G203" s="284">
        <f>'Quantidade-Cult.Perma.'!AA71</f>
        <v>20</v>
      </c>
      <c r="H203" s="284">
        <f>'Quantidade-Cult.Perma.'!AB71</f>
        <v>20</v>
      </c>
      <c r="I203" s="284">
        <f>'Quantidade-Cult.Perma.'!AC71</f>
        <v>20</v>
      </c>
      <c r="J203" s="284">
        <f>'Quantidade-Cult.Perma.'!AD71</f>
        <v>20</v>
      </c>
      <c r="K203" s="284">
        <f>'Quantidade-Cult.Perma.'!AE71</f>
        <v>20</v>
      </c>
      <c r="L203" s="358">
        <f>'Quantidade-Cult.Perma.'!AF71</f>
        <v>20</v>
      </c>
      <c r="M203" s="358">
        <f>'Quantidade-Cult.Perma.'!AG71</f>
        <v>20</v>
      </c>
      <c r="N203" s="358">
        <f>'Quantidade-Cult.Perma.'!AH71</f>
        <v>20</v>
      </c>
      <c r="O203" s="358">
        <f>'Quantidade-Cult.Perma.'!AI71</f>
        <v>20</v>
      </c>
      <c r="P203" s="358">
        <f>'Quantidade-Cult.Perma.'!AJ71</f>
        <v>20</v>
      </c>
      <c r="Q203" s="358">
        <f>'Quantidade-Cult.Perma.'!AK71</f>
        <v>20</v>
      </c>
      <c r="R203" s="358">
        <f>'Quantidade-Cult.Perma.'!AL71</f>
        <v>20</v>
      </c>
      <c r="S203" s="358">
        <f>'Quantidade-Cult.Perma.'!AM71</f>
        <v>20</v>
      </c>
      <c r="T203" s="358">
        <f>'Quantidade-Cult.Perma.'!AN71</f>
        <v>20</v>
      </c>
      <c r="U203" s="358">
        <f>'Quantidade-Cult.Perma.'!AO71</f>
        <v>20</v>
      </c>
      <c r="V203" s="358">
        <f t="shared" si="375"/>
        <v>3</v>
      </c>
      <c r="W203" s="358">
        <f t="shared" si="376"/>
        <v>8</v>
      </c>
      <c r="X203" s="358">
        <f t="shared" si="377"/>
        <v>10</v>
      </c>
      <c r="Y203" s="358">
        <f t="shared" si="378"/>
        <v>20</v>
      </c>
      <c r="Z203" s="358">
        <f t="shared" si="379"/>
        <v>20</v>
      </c>
      <c r="AA203" s="358">
        <f t="shared" si="380"/>
        <v>20</v>
      </c>
      <c r="AB203" s="358">
        <f t="shared" si="381"/>
        <v>20</v>
      </c>
      <c r="AC203" s="358">
        <f t="shared" si="382"/>
        <v>20</v>
      </c>
      <c r="AD203" s="358">
        <f t="shared" si="383"/>
        <v>20</v>
      </c>
      <c r="AE203" s="358">
        <f t="shared" si="384"/>
        <v>20</v>
      </c>
      <c r="AF203" s="358">
        <f t="shared" si="385"/>
        <v>20</v>
      </c>
      <c r="AG203" s="358">
        <f t="shared" si="386"/>
        <v>20</v>
      </c>
      <c r="AH203" s="358">
        <f t="shared" si="387"/>
        <v>20</v>
      </c>
      <c r="AI203" s="358">
        <f t="shared" si="388"/>
        <v>20</v>
      </c>
      <c r="AJ203" s="358">
        <f t="shared" si="389"/>
        <v>20</v>
      </c>
      <c r="AK203" s="358">
        <f t="shared" si="390"/>
        <v>20</v>
      </c>
      <c r="AL203" s="359">
        <f t="shared" si="391"/>
        <v>20</v>
      </c>
      <c r="AM203" s="636"/>
      <c r="AN203" s="283">
        <f t="shared" si="392"/>
        <v>225</v>
      </c>
      <c r="AO203" s="284">
        <f t="shared" si="393"/>
        <v>600</v>
      </c>
      <c r="AP203" s="284">
        <f t="shared" si="394"/>
        <v>750</v>
      </c>
      <c r="AQ203" s="284">
        <f t="shared" si="395"/>
        <v>1500</v>
      </c>
      <c r="AR203" s="284">
        <f t="shared" si="396"/>
        <v>1500</v>
      </c>
      <c r="AS203" s="284">
        <f t="shared" si="397"/>
        <v>1500</v>
      </c>
      <c r="AT203" s="284">
        <f t="shared" si="398"/>
        <v>1500</v>
      </c>
      <c r="AU203" s="284">
        <f t="shared" si="399"/>
        <v>1500</v>
      </c>
      <c r="AV203" s="358">
        <f t="shared" si="400"/>
        <v>1500</v>
      </c>
      <c r="AW203" s="358">
        <f t="shared" si="401"/>
        <v>1500</v>
      </c>
      <c r="AX203" s="358">
        <f t="shared" si="402"/>
        <v>1500</v>
      </c>
      <c r="AY203" s="358">
        <f t="shared" si="403"/>
        <v>1500</v>
      </c>
      <c r="AZ203" s="358">
        <f t="shared" si="404"/>
        <v>1500</v>
      </c>
      <c r="BA203" s="358">
        <f t="shared" si="405"/>
        <v>1500</v>
      </c>
      <c r="BB203" s="358">
        <f t="shared" si="406"/>
        <v>1500</v>
      </c>
      <c r="BC203" s="358">
        <f t="shared" si="407"/>
        <v>1500</v>
      </c>
      <c r="BD203" s="358">
        <f t="shared" si="408"/>
        <v>1500</v>
      </c>
      <c r="BE203" s="358">
        <f t="shared" si="409"/>
        <v>1500</v>
      </c>
      <c r="BF203" s="358">
        <f t="shared" si="410"/>
        <v>225</v>
      </c>
      <c r="BG203" s="358">
        <f t="shared" si="411"/>
        <v>600</v>
      </c>
      <c r="BH203" s="358">
        <f t="shared" si="412"/>
        <v>750</v>
      </c>
      <c r="BI203" s="358">
        <f t="shared" si="413"/>
        <v>1500</v>
      </c>
      <c r="BJ203" s="358">
        <f t="shared" si="414"/>
        <v>1500</v>
      </c>
      <c r="BK203" s="358">
        <f t="shared" si="415"/>
        <v>1500</v>
      </c>
      <c r="BL203" s="358">
        <f t="shared" si="416"/>
        <v>1500</v>
      </c>
      <c r="BM203" s="358">
        <f t="shared" si="417"/>
        <v>1500</v>
      </c>
      <c r="BN203" s="358">
        <f t="shared" si="418"/>
        <v>1500</v>
      </c>
      <c r="BO203" s="358">
        <f t="shared" si="419"/>
        <v>1500</v>
      </c>
      <c r="BP203" s="358">
        <f t="shared" si="420"/>
        <v>1500</v>
      </c>
      <c r="BQ203" s="358">
        <f t="shared" si="421"/>
        <v>1500</v>
      </c>
      <c r="BR203" s="358">
        <f t="shared" si="422"/>
        <v>1500</v>
      </c>
      <c r="BS203" s="358">
        <f t="shared" si="423"/>
        <v>1500</v>
      </c>
      <c r="BT203" s="358">
        <f t="shared" si="424"/>
        <v>1500</v>
      </c>
      <c r="BU203" s="358">
        <f t="shared" si="425"/>
        <v>1500</v>
      </c>
      <c r="BV203" s="359">
        <f t="shared" si="426"/>
        <v>1500</v>
      </c>
    </row>
    <row r="204" spans="1:74" ht="20.149999999999999" hidden="1" customHeight="1" outlineLevel="2" x14ac:dyDescent="0.25">
      <c r="A204" s="23" t="str">
        <f>'Quantidade-Cult.Perma.'!A72</f>
        <v>Inseticida</v>
      </c>
      <c r="B204" s="126" t="str">
        <f>'Quantidade-Cult.Perma.'!B72</f>
        <v>L</v>
      </c>
      <c r="C204" s="284">
        <f>'Quantidade-Cult.Perma.'!D72</f>
        <v>40</v>
      </c>
      <c r="D204" s="284">
        <f>'Quantidade-Cult.Perma.'!X72</f>
        <v>3</v>
      </c>
      <c r="E204" s="284">
        <f>'Quantidade-Cult.Perma.'!Y72</f>
        <v>4</v>
      </c>
      <c r="F204" s="284">
        <f>'Quantidade-Cult.Perma.'!Z72</f>
        <v>4</v>
      </c>
      <c r="G204" s="284">
        <f>'Quantidade-Cult.Perma.'!AA72</f>
        <v>6</v>
      </c>
      <c r="H204" s="284">
        <f>'Quantidade-Cult.Perma.'!AB72</f>
        <v>8</v>
      </c>
      <c r="I204" s="284">
        <f>'Quantidade-Cult.Perma.'!AC72</f>
        <v>8</v>
      </c>
      <c r="J204" s="284">
        <f>'Quantidade-Cult.Perma.'!AD72</f>
        <v>8</v>
      </c>
      <c r="K204" s="284">
        <f>'Quantidade-Cult.Perma.'!AE72</f>
        <v>8</v>
      </c>
      <c r="L204" s="358">
        <f>'Quantidade-Cult.Perma.'!AF72</f>
        <v>8</v>
      </c>
      <c r="M204" s="358">
        <f>'Quantidade-Cult.Perma.'!AG72</f>
        <v>8</v>
      </c>
      <c r="N204" s="358">
        <f>'Quantidade-Cult.Perma.'!AH72</f>
        <v>8</v>
      </c>
      <c r="O204" s="358">
        <f>'Quantidade-Cult.Perma.'!AI72</f>
        <v>8</v>
      </c>
      <c r="P204" s="358">
        <f>'Quantidade-Cult.Perma.'!AJ72</f>
        <v>8</v>
      </c>
      <c r="Q204" s="358">
        <f>'Quantidade-Cult.Perma.'!AK72</f>
        <v>8</v>
      </c>
      <c r="R204" s="358">
        <f>'Quantidade-Cult.Perma.'!AL72</f>
        <v>8</v>
      </c>
      <c r="S204" s="358">
        <f>'Quantidade-Cult.Perma.'!AM72</f>
        <v>8</v>
      </c>
      <c r="T204" s="358">
        <f>'Quantidade-Cult.Perma.'!AN72</f>
        <v>8</v>
      </c>
      <c r="U204" s="358">
        <f>'Quantidade-Cult.Perma.'!AO72</f>
        <v>8</v>
      </c>
      <c r="V204" s="358">
        <f t="shared" si="375"/>
        <v>3</v>
      </c>
      <c r="W204" s="358">
        <f t="shared" si="376"/>
        <v>4</v>
      </c>
      <c r="X204" s="358">
        <f t="shared" si="377"/>
        <v>4</v>
      </c>
      <c r="Y204" s="358">
        <f t="shared" si="378"/>
        <v>6</v>
      </c>
      <c r="Z204" s="358">
        <f t="shared" si="379"/>
        <v>8</v>
      </c>
      <c r="AA204" s="358">
        <f t="shared" si="380"/>
        <v>8</v>
      </c>
      <c r="AB204" s="358">
        <f t="shared" si="381"/>
        <v>8</v>
      </c>
      <c r="AC204" s="358">
        <f t="shared" si="382"/>
        <v>8</v>
      </c>
      <c r="AD204" s="358">
        <f t="shared" si="383"/>
        <v>8</v>
      </c>
      <c r="AE204" s="358">
        <f t="shared" si="384"/>
        <v>8</v>
      </c>
      <c r="AF204" s="358">
        <f t="shared" si="385"/>
        <v>8</v>
      </c>
      <c r="AG204" s="358">
        <f t="shared" si="386"/>
        <v>8</v>
      </c>
      <c r="AH204" s="358">
        <f t="shared" si="387"/>
        <v>8</v>
      </c>
      <c r="AI204" s="358">
        <f t="shared" si="388"/>
        <v>8</v>
      </c>
      <c r="AJ204" s="358">
        <f t="shared" si="389"/>
        <v>8</v>
      </c>
      <c r="AK204" s="358">
        <f t="shared" si="390"/>
        <v>8</v>
      </c>
      <c r="AL204" s="359">
        <f t="shared" si="391"/>
        <v>8</v>
      </c>
      <c r="AM204" s="636"/>
      <c r="AN204" s="283">
        <f t="shared" si="392"/>
        <v>120</v>
      </c>
      <c r="AO204" s="284">
        <f t="shared" si="393"/>
        <v>160</v>
      </c>
      <c r="AP204" s="284">
        <f t="shared" si="394"/>
        <v>160</v>
      </c>
      <c r="AQ204" s="284">
        <f t="shared" si="395"/>
        <v>240</v>
      </c>
      <c r="AR204" s="284">
        <f t="shared" si="396"/>
        <v>320</v>
      </c>
      <c r="AS204" s="284">
        <f t="shared" si="397"/>
        <v>320</v>
      </c>
      <c r="AT204" s="284">
        <f t="shared" si="398"/>
        <v>320</v>
      </c>
      <c r="AU204" s="284">
        <f t="shared" si="399"/>
        <v>320</v>
      </c>
      <c r="AV204" s="358">
        <f t="shared" si="400"/>
        <v>320</v>
      </c>
      <c r="AW204" s="358">
        <f t="shared" si="401"/>
        <v>320</v>
      </c>
      <c r="AX204" s="358">
        <f t="shared" si="402"/>
        <v>320</v>
      </c>
      <c r="AY204" s="358">
        <f t="shared" si="403"/>
        <v>320</v>
      </c>
      <c r="AZ204" s="358">
        <f t="shared" si="404"/>
        <v>320</v>
      </c>
      <c r="BA204" s="358">
        <f t="shared" si="405"/>
        <v>320</v>
      </c>
      <c r="BB204" s="358">
        <f t="shared" si="406"/>
        <v>320</v>
      </c>
      <c r="BC204" s="358">
        <f t="shared" si="407"/>
        <v>320</v>
      </c>
      <c r="BD204" s="358">
        <f t="shared" si="408"/>
        <v>320</v>
      </c>
      <c r="BE204" s="358">
        <f t="shared" si="409"/>
        <v>320</v>
      </c>
      <c r="BF204" s="358">
        <f t="shared" si="410"/>
        <v>120</v>
      </c>
      <c r="BG204" s="358">
        <f t="shared" si="411"/>
        <v>160</v>
      </c>
      <c r="BH204" s="358">
        <f t="shared" si="412"/>
        <v>160</v>
      </c>
      <c r="BI204" s="358">
        <f t="shared" si="413"/>
        <v>240</v>
      </c>
      <c r="BJ204" s="358">
        <f t="shared" si="414"/>
        <v>320</v>
      </c>
      <c r="BK204" s="358">
        <f t="shared" si="415"/>
        <v>320</v>
      </c>
      <c r="BL204" s="358">
        <f t="shared" si="416"/>
        <v>320</v>
      </c>
      <c r="BM204" s="358">
        <f t="shared" si="417"/>
        <v>320</v>
      </c>
      <c r="BN204" s="358">
        <f t="shared" si="418"/>
        <v>320</v>
      </c>
      <c r="BO204" s="358">
        <f t="shared" si="419"/>
        <v>320</v>
      </c>
      <c r="BP204" s="358">
        <f t="shared" si="420"/>
        <v>320</v>
      </c>
      <c r="BQ204" s="358">
        <f t="shared" si="421"/>
        <v>320</v>
      </c>
      <c r="BR204" s="358">
        <f t="shared" si="422"/>
        <v>320</v>
      </c>
      <c r="BS204" s="358">
        <f t="shared" si="423"/>
        <v>320</v>
      </c>
      <c r="BT204" s="358">
        <f t="shared" si="424"/>
        <v>320</v>
      </c>
      <c r="BU204" s="358">
        <f t="shared" si="425"/>
        <v>320</v>
      </c>
      <c r="BV204" s="359">
        <f t="shared" si="426"/>
        <v>320</v>
      </c>
    </row>
    <row r="205" spans="1:74" ht="20.149999999999999" hidden="1" customHeight="1" outlineLevel="2" x14ac:dyDescent="0.25">
      <c r="A205" s="23" t="str">
        <f>'Quantidade-Cult.Perma.'!A73</f>
        <v>Espalhante</v>
      </c>
      <c r="B205" s="126" t="str">
        <f>'Quantidade-Cult.Perma.'!B73</f>
        <v>L</v>
      </c>
      <c r="C205" s="284">
        <f>'Quantidade-Cult.Perma.'!D73</f>
        <v>15</v>
      </c>
      <c r="D205" s="284">
        <f>'Quantidade-Cult.Perma.'!X73</f>
        <v>0.36</v>
      </c>
      <c r="E205" s="284">
        <f>'Quantidade-Cult.Perma.'!Y73</f>
        <v>0.4</v>
      </c>
      <c r="F205" s="284">
        <f>'Quantidade-Cult.Perma.'!Z73</f>
        <v>0.4</v>
      </c>
      <c r="G205" s="284">
        <f>'Quantidade-Cult.Perma.'!AA73</f>
        <v>0.5</v>
      </c>
      <c r="H205" s="284">
        <f>'Quantidade-Cult.Perma.'!AB73</f>
        <v>0.6</v>
      </c>
      <c r="I205" s="284">
        <f>'Quantidade-Cult.Perma.'!AC73</f>
        <v>0.6</v>
      </c>
      <c r="J205" s="284">
        <f>'Quantidade-Cult.Perma.'!AD73</f>
        <v>0.6</v>
      </c>
      <c r="K205" s="284">
        <f>'Quantidade-Cult.Perma.'!AE73</f>
        <v>0.6</v>
      </c>
      <c r="L205" s="358">
        <f>'Quantidade-Cult.Perma.'!AF73</f>
        <v>0.6</v>
      </c>
      <c r="M205" s="358">
        <f>'Quantidade-Cult.Perma.'!AG73</f>
        <v>0.6</v>
      </c>
      <c r="N205" s="358">
        <f>'Quantidade-Cult.Perma.'!AH73</f>
        <v>0.6</v>
      </c>
      <c r="O205" s="358">
        <f>'Quantidade-Cult.Perma.'!AI73</f>
        <v>0.6</v>
      </c>
      <c r="P205" s="358">
        <f>'Quantidade-Cult.Perma.'!AJ73</f>
        <v>0.6</v>
      </c>
      <c r="Q205" s="358">
        <f>'Quantidade-Cult.Perma.'!AK73</f>
        <v>0.6</v>
      </c>
      <c r="R205" s="358">
        <f>'Quantidade-Cult.Perma.'!AL73</f>
        <v>0.6</v>
      </c>
      <c r="S205" s="358">
        <f>'Quantidade-Cult.Perma.'!AM73</f>
        <v>0.6</v>
      </c>
      <c r="T205" s="358">
        <f>'Quantidade-Cult.Perma.'!AN73</f>
        <v>0.6</v>
      </c>
      <c r="U205" s="358">
        <f>'Quantidade-Cult.Perma.'!AO73</f>
        <v>0.6</v>
      </c>
      <c r="V205" s="358">
        <f t="shared" si="375"/>
        <v>0.36</v>
      </c>
      <c r="W205" s="358">
        <f t="shared" si="376"/>
        <v>0.4</v>
      </c>
      <c r="X205" s="358">
        <f t="shared" si="377"/>
        <v>0.4</v>
      </c>
      <c r="Y205" s="358">
        <f t="shared" si="378"/>
        <v>0.5</v>
      </c>
      <c r="Z205" s="358">
        <f t="shared" si="379"/>
        <v>0.6</v>
      </c>
      <c r="AA205" s="358">
        <f t="shared" si="380"/>
        <v>0.6</v>
      </c>
      <c r="AB205" s="358">
        <f t="shared" si="381"/>
        <v>0.6</v>
      </c>
      <c r="AC205" s="358">
        <f t="shared" si="382"/>
        <v>0.6</v>
      </c>
      <c r="AD205" s="358">
        <f t="shared" si="383"/>
        <v>0.6</v>
      </c>
      <c r="AE205" s="358">
        <f t="shared" si="384"/>
        <v>0.6</v>
      </c>
      <c r="AF205" s="358">
        <f t="shared" si="385"/>
        <v>0.6</v>
      </c>
      <c r="AG205" s="358">
        <f t="shared" si="386"/>
        <v>0.6</v>
      </c>
      <c r="AH205" s="358">
        <f t="shared" si="387"/>
        <v>0.6</v>
      </c>
      <c r="AI205" s="358">
        <f t="shared" si="388"/>
        <v>0.6</v>
      </c>
      <c r="AJ205" s="358">
        <f t="shared" si="389"/>
        <v>0.6</v>
      </c>
      <c r="AK205" s="358">
        <f t="shared" si="390"/>
        <v>0.6</v>
      </c>
      <c r="AL205" s="359">
        <f t="shared" si="391"/>
        <v>0.6</v>
      </c>
      <c r="AM205" s="636"/>
      <c r="AN205" s="283">
        <f t="shared" si="392"/>
        <v>5.3999999999999995</v>
      </c>
      <c r="AO205" s="284">
        <f t="shared" si="393"/>
        <v>6</v>
      </c>
      <c r="AP205" s="284">
        <f t="shared" si="394"/>
        <v>6</v>
      </c>
      <c r="AQ205" s="284">
        <f t="shared" si="395"/>
        <v>7.5</v>
      </c>
      <c r="AR205" s="284">
        <f t="shared" si="396"/>
        <v>9</v>
      </c>
      <c r="AS205" s="284">
        <f t="shared" si="397"/>
        <v>9</v>
      </c>
      <c r="AT205" s="284">
        <f t="shared" si="398"/>
        <v>9</v>
      </c>
      <c r="AU205" s="284">
        <f t="shared" si="399"/>
        <v>9</v>
      </c>
      <c r="AV205" s="358">
        <f t="shared" si="400"/>
        <v>9</v>
      </c>
      <c r="AW205" s="358">
        <f t="shared" si="401"/>
        <v>9</v>
      </c>
      <c r="AX205" s="358">
        <f t="shared" si="402"/>
        <v>9</v>
      </c>
      <c r="AY205" s="358">
        <f t="shared" si="403"/>
        <v>9</v>
      </c>
      <c r="AZ205" s="358">
        <f t="shared" si="404"/>
        <v>9</v>
      </c>
      <c r="BA205" s="358">
        <f t="shared" si="405"/>
        <v>9</v>
      </c>
      <c r="BB205" s="358">
        <f t="shared" si="406"/>
        <v>9</v>
      </c>
      <c r="BC205" s="358">
        <f t="shared" si="407"/>
        <v>9</v>
      </c>
      <c r="BD205" s="358">
        <f t="shared" si="408"/>
        <v>9</v>
      </c>
      <c r="BE205" s="358">
        <f t="shared" si="409"/>
        <v>9</v>
      </c>
      <c r="BF205" s="358">
        <f t="shared" si="410"/>
        <v>5.3999999999999995</v>
      </c>
      <c r="BG205" s="358">
        <f t="shared" si="411"/>
        <v>6</v>
      </c>
      <c r="BH205" s="358">
        <f t="shared" si="412"/>
        <v>6</v>
      </c>
      <c r="BI205" s="358">
        <f t="shared" si="413"/>
        <v>7.5</v>
      </c>
      <c r="BJ205" s="358">
        <f t="shared" si="414"/>
        <v>9</v>
      </c>
      <c r="BK205" s="358">
        <f t="shared" si="415"/>
        <v>9</v>
      </c>
      <c r="BL205" s="358">
        <f t="shared" si="416"/>
        <v>9</v>
      </c>
      <c r="BM205" s="358">
        <f t="shared" si="417"/>
        <v>9</v>
      </c>
      <c r="BN205" s="358">
        <f t="shared" si="418"/>
        <v>9</v>
      </c>
      <c r="BO205" s="358">
        <f t="shared" si="419"/>
        <v>9</v>
      </c>
      <c r="BP205" s="358">
        <f t="shared" si="420"/>
        <v>9</v>
      </c>
      <c r="BQ205" s="358">
        <f t="shared" si="421"/>
        <v>9</v>
      </c>
      <c r="BR205" s="358">
        <f t="shared" si="422"/>
        <v>9</v>
      </c>
      <c r="BS205" s="358">
        <f t="shared" si="423"/>
        <v>9</v>
      </c>
      <c r="BT205" s="358">
        <f t="shared" si="424"/>
        <v>9</v>
      </c>
      <c r="BU205" s="358">
        <f t="shared" si="425"/>
        <v>9</v>
      </c>
      <c r="BV205" s="359">
        <f t="shared" si="426"/>
        <v>9</v>
      </c>
    </row>
    <row r="206" spans="1:74" ht="20.149999999999999" hidden="1" customHeight="1" outlineLevel="2" x14ac:dyDescent="0.25">
      <c r="A206" s="23" t="str">
        <f>'Quantidade-Cult.Perma.'!A74</f>
        <v>Herbicida</v>
      </c>
      <c r="B206" s="126" t="str">
        <f>'Quantidade-Cult.Perma.'!B74</f>
        <v>L</v>
      </c>
      <c r="C206" s="284">
        <f>'Quantidade-Cult.Perma.'!D74</f>
        <v>65</v>
      </c>
      <c r="D206" s="284">
        <f>'Quantidade-Cult.Perma.'!X74</f>
        <v>2</v>
      </c>
      <c r="E206" s="284">
        <f>'Quantidade-Cult.Perma.'!Y74</f>
        <v>2</v>
      </c>
      <c r="F206" s="284">
        <f>'Quantidade-Cult.Perma.'!Z74</f>
        <v>2</v>
      </c>
      <c r="G206" s="284">
        <f>'Quantidade-Cult.Perma.'!AA74</f>
        <v>2</v>
      </c>
      <c r="H206" s="284">
        <f>'Quantidade-Cult.Perma.'!AB74</f>
        <v>1.5</v>
      </c>
      <c r="I206" s="284">
        <f>'Quantidade-Cult.Perma.'!AC74</f>
        <v>1.5</v>
      </c>
      <c r="J206" s="284">
        <f>'Quantidade-Cult.Perma.'!AD74</f>
        <v>1.5</v>
      </c>
      <c r="K206" s="284">
        <f>'Quantidade-Cult.Perma.'!AE74</f>
        <v>1.5</v>
      </c>
      <c r="L206" s="358">
        <f>'Quantidade-Cult.Perma.'!AF74</f>
        <v>1.5</v>
      </c>
      <c r="M206" s="358">
        <f>'Quantidade-Cult.Perma.'!AG74</f>
        <v>1.5</v>
      </c>
      <c r="N206" s="358">
        <f>'Quantidade-Cult.Perma.'!AH74</f>
        <v>1.5</v>
      </c>
      <c r="O206" s="358">
        <f>'Quantidade-Cult.Perma.'!AI74</f>
        <v>1.5</v>
      </c>
      <c r="P206" s="358">
        <f>'Quantidade-Cult.Perma.'!AJ74</f>
        <v>1.5</v>
      </c>
      <c r="Q206" s="358">
        <f>'Quantidade-Cult.Perma.'!AK74</f>
        <v>1.5</v>
      </c>
      <c r="R206" s="358">
        <f>'Quantidade-Cult.Perma.'!AL74</f>
        <v>1.5</v>
      </c>
      <c r="S206" s="358">
        <f>'Quantidade-Cult.Perma.'!AM74</f>
        <v>1.5</v>
      </c>
      <c r="T206" s="358">
        <f>'Quantidade-Cult.Perma.'!AN74</f>
        <v>1.5</v>
      </c>
      <c r="U206" s="358">
        <f>'Quantidade-Cult.Perma.'!AO74</f>
        <v>1.5</v>
      </c>
      <c r="V206" s="358">
        <f t="shared" si="375"/>
        <v>2</v>
      </c>
      <c r="W206" s="358">
        <f t="shared" si="376"/>
        <v>2</v>
      </c>
      <c r="X206" s="358">
        <f t="shared" si="377"/>
        <v>2</v>
      </c>
      <c r="Y206" s="358">
        <f t="shared" si="378"/>
        <v>2</v>
      </c>
      <c r="Z206" s="358">
        <f t="shared" si="379"/>
        <v>1.5</v>
      </c>
      <c r="AA206" s="358">
        <f t="shared" si="380"/>
        <v>1.5</v>
      </c>
      <c r="AB206" s="358">
        <f t="shared" si="381"/>
        <v>1.5</v>
      </c>
      <c r="AC206" s="358">
        <f t="shared" si="382"/>
        <v>1.5</v>
      </c>
      <c r="AD206" s="358">
        <f t="shared" si="383"/>
        <v>1.5</v>
      </c>
      <c r="AE206" s="358">
        <f t="shared" si="384"/>
        <v>1.5</v>
      </c>
      <c r="AF206" s="358">
        <f t="shared" si="385"/>
        <v>1.5</v>
      </c>
      <c r="AG206" s="358">
        <f t="shared" si="386"/>
        <v>1.5</v>
      </c>
      <c r="AH206" s="358">
        <f t="shared" si="387"/>
        <v>1.5</v>
      </c>
      <c r="AI206" s="358">
        <f t="shared" si="388"/>
        <v>1.5</v>
      </c>
      <c r="AJ206" s="358">
        <f t="shared" si="389"/>
        <v>1.5</v>
      </c>
      <c r="AK206" s="358">
        <f t="shared" si="390"/>
        <v>1.5</v>
      </c>
      <c r="AL206" s="359">
        <f t="shared" si="391"/>
        <v>1.5</v>
      </c>
      <c r="AM206" s="636"/>
      <c r="AN206" s="283">
        <f t="shared" si="392"/>
        <v>130</v>
      </c>
      <c r="AO206" s="284">
        <f t="shared" si="393"/>
        <v>130</v>
      </c>
      <c r="AP206" s="284">
        <f t="shared" si="394"/>
        <v>130</v>
      </c>
      <c r="AQ206" s="284">
        <f t="shared" si="395"/>
        <v>130</v>
      </c>
      <c r="AR206" s="284">
        <f t="shared" si="396"/>
        <v>97.5</v>
      </c>
      <c r="AS206" s="284">
        <f t="shared" si="397"/>
        <v>97.5</v>
      </c>
      <c r="AT206" s="284">
        <f t="shared" si="398"/>
        <v>97.5</v>
      </c>
      <c r="AU206" s="284">
        <f t="shared" si="399"/>
        <v>97.5</v>
      </c>
      <c r="AV206" s="358">
        <f t="shared" si="400"/>
        <v>97.5</v>
      </c>
      <c r="AW206" s="358">
        <f t="shared" si="401"/>
        <v>97.5</v>
      </c>
      <c r="AX206" s="358">
        <f t="shared" si="402"/>
        <v>97.5</v>
      </c>
      <c r="AY206" s="358">
        <f t="shared" si="403"/>
        <v>97.5</v>
      </c>
      <c r="AZ206" s="358">
        <f t="shared" si="404"/>
        <v>97.5</v>
      </c>
      <c r="BA206" s="358">
        <f t="shared" si="405"/>
        <v>97.5</v>
      </c>
      <c r="BB206" s="358">
        <f t="shared" si="406"/>
        <v>97.5</v>
      </c>
      <c r="BC206" s="358">
        <f t="shared" si="407"/>
        <v>97.5</v>
      </c>
      <c r="BD206" s="358">
        <f t="shared" si="408"/>
        <v>97.5</v>
      </c>
      <c r="BE206" s="358">
        <f t="shared" si="409"/>
        <v>97.5</v>
      </c>
      <c r="BF206" s="358">
        <f t="shared" si="410"/>
        <v>130</v>
      </c>
      <c r="BG206" s="358">
        <f t="shared" si="411"/>
        <v>130</v>
      </c>
      <c r="BH206" s="358">
        <f t="shared" si="412"/>
        <v>130</v>
      </c>
      <c r="BI206" s="358">
        <f t="shared" si="413"/>
        <v>130</v>
      </c>
      <c r="BJ206" s="358">
        <f t="shared" si="414"/>
        <v>97.5</v>
      </c>
      <c r="BK206" s="358">
        <f t="shared" si="415"/>
        <v>97.5</v>
      </c>
      <c r="BL206" s="358">
        <f t="shared" si="416"/>
        <v>97.5</v>
      </c>
      <c r="BM206" s="358">
        <f t="shared" si="417"/>
        <v>97.5</v>
      </c>
      <c r="BN206" s="358">
        <f t="shared" si="418"/>
        <v>97.5</v>
      </c>
      <c r="BO206" s="358">
        <f t="shared" si="419"/>
        <v>97.5</v>
      </c>
      <c r="BP206" s="358">
        <f t="shared" si="420"/>
        <v>97.5</v>
      </c>
      <c r="BQ206" s="358">
        <f t="shared" si="421"/>
        <v>97.5</v>
      </c>
      <c r="BR206" s="358">
        <f t="shared" si="422"/>
        <v>97.5</v>
      </c>
      <c r="BS206" s="358">
        <f t="shared" si="423"/>
        <v>97.5</v>
      </c>
      <c r="BT206" s="358">
        <f t="shared" si="424"/>
        <v>97.5</v>
      </c>
      <c r="BU206" s="358">
        <f t="shared" si="425"/>
        <v>97.5</v>
      </c>
      <c r="BV206" s="359">
        <f t="shared" si="426"/>
        <v>97.5</v>
      </c>
    </row>
    <row r="207" spans="1:74" ht="20.149999999999999" hidden="1" customHeight="1" outlineLevel="2" x14ac:dyDescent="0.25">
      <c r="A207" s="23" t="str">
        <f>'Quantidade-Cult.Perma.'!A75</f>
        <v>Óleo Mineral</v>
      </c>
      <c r="B207" s="126" t="str">
        <f>'Quantidade-Cult.Perma.'!B75</f>
        <v>L</v>
      </c>
      <c r="C207" s="284">
        <f>'Quantidade-Cult.Perma.'!D75</f>
        <v>10</v>
      </c>
      <c r="D207" s="284">
        <f>'Quantidade-Cult.Perma.'!X75</f>
        <v>3</v>
      </c>
      <c r="E207" s="284">
        <f>'Quantidade-Cult.Perma.'!Y75</f>
        <v>18</v>
      </c>
      <c r="F207" s="284">
        <f>'Quantidade-Cult.Perma.'!Z75</f>
        <v>18</v>
      </c>
      <c r="G207" s="284">
        <f>'Quantidade-Cult.Perma.'!AA75</f>
        <v>24</v>
      </c>
      <c r="H207" s="284">
        <f>'Quantidade-Cult.Perma.'!AB75</f>
        <v>30</v>
      </c>
      <c r="I207" s="284">
        <f>'Quantidade-Cult.Perma.'!AC75</f>
        <v>30</v>
      </c>
      <c r="J207" s="284">
        <f>'Quantidade-Cult.Perma.'!AD75</f>
        <v>30</v>
      </c>
      <c r="K207" s="284">
        <f>'Quantidade-Cult.Perma.'!AE75</f>
        <v>30</v>
      </c>
      <c r="L207" s="358">
        <f>'Quantidade-Cult.Perma.'!AF75</f>
        <v>30</v>
      </c>
      <c r="M207" s="358">
        <f>'Quantidade-Cult.Perma.'!AG75</f>
        <v>30</v>
      </c>
      <c r="N207" s="358">
        <f>'Quantidade-Cult.Perma.'!AH75</f>
        <v>30</v>
      </c>
      <c r="O207" s="358">
        <f>'Quantidade-Cult.Perma.'!AI75</f>
        <v>30</v>
      </c>
      <c r="P207" s="358">
        <f>'Quantidade-Cult.Perma.'!AJ75</f>
        <v>30</v>
      </c>
      <c r="Q207" s="358">
        <f>'Quantidade-Cult.Perma.'!AK75</f>
        <v>30</v>
      </c>
      <c r="R207" s="358">
        <f>'Quantidade-Cult.Perma.'!AL75</f>
        <v>30</v>
      </c>
      <c r="S207" s="358">
        <f>'Quantidade-Cult.Perma.'!AM75</f>
        <v>30</v>
      </c>
      <c r="T207" s="358">
        <f>'Quantidade-Cult.Perma.'!AN75</f>
        <v>30</v>
      </c>
      <c r="U207" s="358">
        <f>'Quantidade-Cult.Perma.'!AO75</f>
        <v>30</v>
      </c>
      <c r="V207" s="358">
        <f t="shared" si="375"/>
        <v>3</v>
      </c>
      <c r="W207" s="358">
        <f t="shared" si="376"/>
        <v>18</v>
      </c>
      <c r="X207" s="358">
        <f t="shared" si="377"/>
        <v>18</v>
      </c>
      <c r="Y207" s="358">
        <f t="shared" si="378"/>
        <v>24</v>
      </c>
      <c r="Z207" s="358">
        <f t="shared" si="379"/>
        <v>30</v>
      </c>
      <c r="AA207" s="358">
        <f t="shared" si="380"/>
        <v>30</v>
      </c>
      <c r="AB207" s="358">
        <f t="shared" si="381"/>
        <v>30</v>
      </c>
      <c r="AC207" s="358">
        <f t="shared" si="382"/>
        <v>30</v>
      </c>
      <c r="AD207" s="358">
        <f t="shared" si="383"/>
        <v>30</v>
      </c>
      <c r="AE207" s="358">
        <f t="shared" si="384"/>
        <v>30</v>
      </c>
      <c r="AF207" s="358">
        <f t="shared" si="385"/>
        <v>30</v>
      </c>
      <c r="AG207" s="358">
        <f t="shared" si="386"/>
        <v>30</v>
      </c>
      <c r="AH207" s="358">
        <f t="shared" si="387"/>
        <v>30</v>
      </c>
      <c r="AI207" s="358">
        <f t="shared" si="388"/>
        <v>30</v>
      </c>
      <c r="AJ207" s="358">
        <f t="shared" si="389"/>
        <v>30</v>
      </c>
      <c r="AK207" s="358">
        <f t="shared" si="390"/>
        <v>30</v>
      </c>
      <c r="AL207" s="359">
        <f t="shared" si="391"/>
        <v>30</v>
      </c>
      <c r="AM207" s="636"/>
      <c r="AN207" s="283">
        <f t="shared" si="392"/>
        <v>30</v>
      </c>
      <c r="AO207" s="284">
        <f t="shared" si="393"/>
        <v>180</v>
      </c>
      <c r="AP207" s="284">
        <f t="shared" si="394"/>
        <v>180</v>
      </c>
      <c r="AQ207" s="284">
        <f t="shared" si="395"/>
        <v>240</v>
      </c>
      <c r="AR207" s="284">
        <f t="shared" si="396"/>
        <v>300</v>
      </c>
      <c r="AS207" s="284">
        <f t="shared" si="397"/>
        <v>300</v>
      </c>
      <c r="AT207" s="284">
        <f t="shared" si="398"/>
        <v>300</v>
      </c>
      <c r="AU207" s="284">
        <f t="shared" si="399"/>
        <v>300</v>
      </c>
      <c r="AV207" s="358">
        <f t="shared" si="400"/>
        <v>300</v>
      </c>
      <c r="AW207" s="358">
        <f t="shared" si="401"/>
        <v>300</v>
      </c>
      <c r="AX207" s="358">
        <f t="shared" si="402"/>
        <v>300</v>
      </c>
      <c r="AY207" s="358">
        <f t="shared" si="403"/>
        <v>300</v>
      </c>
      <c r="AZ207" s="358">
        <f t="shared" si="404"/>
        <v>300</v>
      </c>
      <c r="BA207" s="358">
        <f t="shared" si="405"/>
        <v>300</v>
      </c>
      <c r="BB207" s="358">
        <f t="shared" si="406"/>
        <v>300</v>
      </c>
      <c r="BC207" s="358">
        <f t="shared" si="407"/>
        <v>300</v>
      </c>
      <c r="BD207" s="358">
        <f t="shared" si="408"/>
        <v>300</v>
      </c>
      <c r="BE207" s="358">
        <f t="shared" si="409"/>
        <v>300</v>
      </c>
      <c r="BF207" s="358">
        <f t="shared" si="410"/>
        <v>30</v>
      </c>
      <c r="BG207" s="358">
        <f t="shared" si="411"/>
        <v>180</v>
      </c>
      <c r="BH207" s="358">
        <f t="shared" si="412"/>
        <v>180</v>
      </c>
      <c r="BI207" s="358">
        <f t="shared" si="413"/>
        <v>240</v>
      </c>
      <c r="BJ207" s="358">
        <f t="shared" si="414"/>
        <v>300</v>
      </c>
      <c r="BK207" s="358">
        <f t="shared" si="415"/>
        <v>300</v>
      </c>
      <c r="BL207" s="358">
        <f t="shared" si="416"/>
        <v>300</v>
      </c>
      <c r="BM207" s="358">
        <f t="shared" si="417"/>
        <v>300</v>
      </c>
      <c r="BN207" s="358">
        <f t="shared" si="418"/>
        <v>300</v>
      </c>
      <c r="BO207" s="358">
        <f t="shared" si="419"/>
        <v>300</v>
      </c>
      <c r="BP207" s="358">
        <f t="shared" si="420"/>
        <v>300</v>
      </c>
      <c r="BQ207" s="358">
        <f t="shared" si="421"/>
        <v>300</v>
      </c>
      <c r="BR207" s="358">
        <f t="shared" si="422"/>
        <v>300</v>
      </c>
      <c r="BS207" s="358">
        <f t="shared" si="423"/>
        <v>300</v>
      </c>
      <c r="BT207" s="358">
        <f t="shared" si="424"/>
        <v>300</v>
      </c>
      <c r="BU207" s="358">
        <f t="shared" si="425"/>
        <v>300</v>
      </c>
      <c r="BV207" s="359">
        <f t="shared" si="426"/>
        <v>300</v>
      </c>
    </row>
    <row r="208" spans="1:74" ht="20.149999999999999" hidden="1" customHeight="1" outlineLevel="2" x14ac:dyDescent="0.25">
      <c r="A208" s="23" t="str">
        <f>'Quantidade-Cult.Perma.'!A76</f>
        <v>Indutor floral</v>
      </c>
      <c r="B208" s="126" t="str">
        <f>'Quantidade-Cult.Perma.'!B76</f>
        <v>L</v>
      </c>
      <c r="C208" s="284">
        <f>'Quantidade-Cult.Perma.'!D76</f>
        <v>60</v>
      </c>
      <c r="D208" s="284">
        <f>'Quantidade-Cult.Perma.'!X76</f>
        <v>0</v>
      </c>
      <c r="E208" s="284">
        <f>'Quantidade-Cult.Perma.'!Y76</f>
        <v>0</v>
      </c>
      <c r="F208" s="284">
        <f>'Quantidade-Cult.Perma.'!Z76</f>
        <v>21.728000000000002</v>
      </c>
      <c r="G208" s="284">
        <f>'Quantidade-Cult.Perma.'!AA76</f>
        <v>27.16</v>
      </c>
      <c r="H208" s="284">
        <f>'Quantidade-Cult.Perma.'!AB76</f>
        <v>31.04</v>
      </c>
      <c r="I208" s="284">
        <f>'Quantidade-Cult.Perma.'!AC76</f>
        <v>38.799999999999997</v>
      </c>
      <c r="J208" s="284">
        <f>'Quantidade-Cult.Perma.'!AD76</f>
        <v>38.799999999999997</v>
      </c>
      <c r="K208" s="284">
        <f>'Quantidade-Cult.Perma.'!AE76</f>
        <v>38.799999999999997</v>
      </c>
      <c r="L208" s="358">
        <f>'Quantidade-Cult.Perma.'!AF76</f>
        <v>38.799999999999997</v>
      </c>
      <c r="M208" s="358">
        <f>'Quantidade-Cult.Perma.'!AG76</f>
        <v>38.799999999999997</v>
      </c>
      <c r="N208" s="358">
        <f>'Quantidade-Cult.Perma.'!AH76</f>
        <v>38.799999999999997</v>
      </c>
      <c r="O208" s="358">
        <f>'Quantidade-Cult.Perma.'!AI76</f>
        <v>38.799999999999997</v>
      </c>
      <c r="P208" s="358">
        <f>'Quantidade-Cult.Perma.'!AJ76</f>
        <v>38.799999999999997</v>
      </c>
      <c r="Q208" s="358">
        <f>'Quantidade-Cult.Perma.'!AK76</f>
        <v>38.799999999999997</v>
      </c>
      <c r="R208" s="358">
        <f>'Quantidade-Cult.Perma.'!AL76</f>
        <v>38.799999999999997</v>
      </c>
      <c r="S208" s="358">
        <f>'Quantidade-Cult.Perma.'!AM76</f>
        <v>38.799999999999997</v>
      </c>
      <c r="T208" s="358">
        <f>'Quantidade-Cult.Perma.'!AN76</f>
        <v>38.799999999999997</v>
      </c>
      <c r="U208" s="358">
        <f>'Quantidade-Cult.Perma.'!AO76</f>
        <v>38.799999999999997</v>
      </c>
      <c r="V208" s="358">
        <f t="shared" si="375"/>
        <v>0</v>
      </c>
      <c r="W208" s="358">
        <f t="shared" si="376"/>
        <v>0</v>
      </c>
      <c r="X208" s="358">
        <f t="shared" si="377"/>
        <v>21.728000000000002</v>
      </c>
      <c r="Y208" s="358">
        <f t="shared" si="378"/>
        <v>27.16</v>
      </c>
      <c r="Z208" s="358">
        <f t="shared" si="379"/>
        <v>31.04</v>
      </c>
      <c r="AA208" s="358">
        <f t="shared" si="380"/>
        <v>38.799999999999997</v>
      </c>
      <c r="AB208" s="358">
        <f t="shared" si="381"/>
        <v>38.799999999999997</v>
      </c>
      <c r="AC208" s="358">
        <f t="shared" si="382"/>
        <v>38.799999999999997</v>
      </c>
      <c r="AD208" s="358">
        <f t="shared" si="383"/>
        <v>38.799999999999997</v>
      </c>
      <c r="AE208" s="358">
        <f t="shared" si="384"/>
        <v>38.799999999999997</v>
      </c>
      <c r="AF208" s="358">
        <f t="shared" si="385"/>
        <v>38.799999999999997</v>
      </c>
      <c r="AG208" s="358">
        <f t="shared" si="386"/>
        <v>38.799999999999997</v>
      </c>
      <c r="AH208" s="358">
        <f t="shared" si="387"/>
        <v>38.799999999999997</v>
      </c>
      <c r="AI208" s="358">
        <f t="shared" si="388"/>
        <v>38.799999999999997</v>
      </c>
      <c r="AJ208" s="358">
        <f t="shared" si="389"/>
        <v>38.799999999999997</v>
      </c>
      <c r="AK208" s="358">
        <f t="shared" si="390"/>
        <v>38.799999999999997</v>
      </c>
      <c r="AL208" s="359">
        <f t="shared" si="391"/>
        <v>38.799999999999997</v>
      </c>
      <c r="AM208" s="636"/>
      <c r="AN208" s="283">
        <f t="shared" si="392"/>
        <v>0</v>
      </c>
      <c r="AO208" s="284">
        <f t="shared" si="393"/>
        <v>0</v>
      </c>
      <c r="AP208" s="284">
        <f t="shared" si="394"/>
        <v>1303.68</v>
      </c>
      <c r="AQ208" s="284">
        <f t="shared" si="395"/>
        <v>1629.6</v>
      </c>
      <c r="AR208" s="284">
        <f t="shared" si="396"/>
        <v>1862.3999999999999</v>
      </c>
      <c r="AS208" s="284">
        <f t="shared" si="397"/>
        <v>2328</v>
      </c>
      <c r="AT208" s="284">
        <f t="shared" si="398"/>
        <v>2328</v>
      </c>
      <c r="AU208" s="284">
        <f t="shared" si="399"/>
        <v>2328</v>
      </c>
      <c r="AV208" s="358">
        <f t="shared" si="400"/>
        <v>2328</v>
      </c>
      <c r="AW208" s="358">
        <f t="shared" si="401"/>
        <v>2328</v>
      </c>
      <c r="AX208" s="358">
        <f t="shared" si="402"/>
        <v>2328</v>
      </c>
      <c r="AY208" s="358">
        <f t="shared" si="403"/>
        <v>2328</v>
      </c>
      <c r="AZ208" s="358">
        <f t="shared" si="404"/>
        <v>2328</v>
      </c>
      <c r="BA208" s="358">
        <f t="shared" si="405"/>
        <v>2328</v>
      </c>
      <c r="BB208" s="358">
        <f t="shared" si="406"/>
        <v>2328</v>
      </c>
      <c r="BC208" s="358">
        <f t="shared" si="407"/>
        <v>2328</v>
      </c>
      <c r="BD208" s="358">
        <f t="shared" si="408"/>
        <v>2328</v>
      </c>
      <c r="BE208" s="358">
        <f t="shared" si="409"/>
        <v>2328</v>
      </c>
      <c r="BF208" s="358">
        <f t="shared" si="410"/>
        <v>0</v>
      </c>
      <c r="BG208" s="358">
        <f t="shared" si="411"/>
        <v>0</v>
      </c>
      <c r="BH208" s="358">
        <f t="shared" si="412"/>
        <v>1303.68</v>
      </c>
      <c r="BI208" s="358">
        <f t="shared" si="413"/>
        <v>1629.6</v>
      </c>
      <c r="BJ208" s="358">
        <f t="shared" si="414"/>
        <v>1862.3999999999999</v>
      </c>
      <c r="BK208" s="358">
        <f t="shared" si="415"/>
        <v>2328</v>
      </c>
      <c r="BL208" s="358">
        <f t="shared" si="416"/>
        <v>2328</v>
      </c>
      <c r="BM208" s="358">
        <f t="shared" si="417"/>
        <v>2328</v>
      </c>
      <c r="BN208" s="358">
        <f t="shared" si="418"/>
        <v>2328</v>
      </c>
      <c r="BO208" s="358">
        <f t="shared" si="419"/>
        <v>2328</v>
      </c>
      <c r="BP208" s="358">
        <f t="shared" si="420"/>
        <v>2328</v>
      </c>
      <c r="BQ208" s="358">
        <f t="shared" si="421"/>
        <v>2328</v>
      </c>
      <c r="BR208" s="358">
        <f t="shared" si="422"/>
        <v>2328</v>
      </c>
      <c r="BS208" s="358">
        <f t="shared" si="423"/>
        <v>2328</v>
      </c>
      <c r="BT208" s="358">
        <f t="shared" si="424"/>
        <v>2328</v>
      </c>
      <c r="BU208" s="358">
        <f t="shared" si="425"/>
        <v>2328</v>
      </c>
      <c r="BV208" s="359">
        <f t="shared" si="426"/>
        <v>2328</v>
      </c>
    </row>
    <row r="209" spans="1:74" ht="20.149999999999999" hidden="1" customHeight="1" outlineLevel="2" thickBot="1" x14ac:dyDescent="0.3">
      <c r="A209" s="321" t="str">
        <f>'Quantidade-Cult.Perma.'!A77</f>
        <v>Muda Manga</v>
      </c>
      <c r="B209" s="336" t="str">
        <f>'Quantidade-Cult.Perma.'!B77</f>
        <v>UD</v>
      </c>
      <c r="C209" s="322">
        <f>'Quantidade-Cult.Perma.'!D77</f>
        <v>21</v>
      </c>
      <c r="D209" s="322">
        <f>'Quantidade-Cult.Perma.'!X77</f>
        <v>776</v>
      </c>
      <c r="E209" s="322">
        <f>'Quantidade-Cult.Perma.'!Y77</f>
        <v>0</v>
      </c>
      <c r="F209" s="322">
        <f>'Quantidade-Cult.Perma.'!Z77</f>
        <v>0</v>
      </c>
      <c r="G209" s="322">
        <f>'Quantidade-Cult.Perma.'!AA77</f>
        <v>0</v>
      </c>
      <c r="H209" s="322">
        <f>'Quantidade-Cult.Perma.'!AB77</f>
        <v>0</v>
      </c>
      <c r="I209" s="322">
        <f>'Quantidade-Cult.Perma.'!AC77</f>
        <v>0</v>
      </c>
      <c r="J209" s="322">
        <f>'Quantidade-Cult.Perma.'!AD77</f>
        <v>0</v>
      </c>
      <c r="K209" s="322">
        <f>'Quantidade-Cult.Perma.'!AE77</f>
        <v>0</v>
      </c>
      <c r="L209" s="360">
        <f>'Quantidade-Cult.Perma.'!AF77</f>
        <v>0</v>
      </c>
      <c r="M209" s="360">
        <f>'Quantidade-Cult.Perma.'!AG77</f>
        <v>0</v>
      </c>
      <c r="N209" s="360">
        <f>'Quantidade-Cult.Perma.'!AH77</f>
        <v>0</v>
      </c>
      <c r="O209" s="360">
        <f>'Quantidade-Cult.Perma.'!AI77</f>
        <v>0</v>
      </c>
      <c r="P209" s="360">
        <f>'Quantidade-Cult.Perma.'!AJ77</f>
        <v>0</v>
      </c>
      <c r="Q209" s="360">
        <f>'Quantidade-Cult.Perma.'!AK77</f>
        <v>0</v>
      </c>
      <c r="R209" s="360">
        <f>'Quantidade-Cult.Perma.'!AL77</f>
        <v>0</v>
      </c>
      <c r="S209" s="360">
        <f>'Quantidade-Cult.Perma.'!AM77</f>
        <v>0</v>
      </c>
      <c r="T209" s="360">
        <f>'Quantidade-Cult.Perma.'!AN77</f>
        <v>0</v>
      </c>
      <c r="U209" s="360">
        <f>'Quantidade-Cult.Perma.'!AO77</f>
        <v>0</v>
      </c>
      <c r="V209" s="360">
        <f t="shared" si="375"/>
        <v>776</v>
      </c>
      <c r="W209" s="360">
        <f t="shared" si="376"/>
        <v>0</v>
      </c>
      <c r="X209" s="360">
        <f t="shared" si="377"/>
        <v>0</v>
      </c>
      <c r="Y209" s="360">
        <f t="shared" si="378"/>
        <v>0</v>
      </c>
      <c r="Z209" s="360">
        <f t="shared" si="379"/>
        <v>0</v>
      </c>
      <c r="AA209" s="360">
        <f t="shared" si="380"/>
        <v>0</v>
      </c>
      <c r="AB209" s="360">
        <f t="shared" si="381"/>
        <v>0</v>
      </c>
      <c r="AC209" s="360">
        <f t="shared" si="382"/>
        <v>0</v>
      </c>
      <c r="AD209" s="360">
        <f t="shared" si="383"/>
        <v>0</v>
      </c>
      <c r="AE209" s="360">
        <f t="shared" si="384"/>
        <v>0</v>
      </c>
      <c r="AF209" s="360">
        <f t="shared" si="385"/>
        <v>0</v>
      </c>
      <c r="AG209" s="360">
        <f t="shared" si="386"/>
        <v>0</v>
      </c>
      <c r="AH209" s="360">
        <f t="shared" si="387"/>
        <v>0</v>
      </c>
      <c r="AI209" s="360">
        <f t="shared" si="388"/>
        <v>0</v>
      </c>
      <c r="AJ209" s="360">
        <f t="shared" si="389"/>
        <v>0</v>
      </c>
      <c r="AK209" s="360">
        <f t="shared" si="390"/>
        <v>0</v>
      </c>
      <c r="AL209" s="361">
        <f t="shared" si="391"/>
        <v>0</v>
      </c>
      <c r="AM209" s="636"/>
      <c r="AN209" s="288">
        <f t="shared" si="392"/>
        <v>16296</v>
      </c>
      <c r="AO209" s="289">
        <f t="shared" si="393"/>
        <v>0</v>
      </c>
      <c r="AP209" s="289">
        <f t="shared" si="394"/>
        <v>0</v>
      </c>
      <c r="AQ209" s="289">
        <f t="shared" si="395"/>
        <v>0</v>
      </c>
      <c r="AR209" s="289">
        <f t="shared" si="396"/>
        <v>0</v>
      </c>
      <c r="AS209" s="289">
        <f t="shared" si="397"/>
        <v>0</v>
      </c>
      <c r="AT209" s="289">
        <f t="shared" si="398"/>
        <v>0</v>
      </c>
      <c r="AU209" s="289">
        <f t="shared" si="399"/>
        <v>0</v>
      </c>
      <c r="AV209" s="402">
        <f t="shared" si="400"/>
        <v>0</v>
      </c>
      <c r="AW209" s="402">
        <f t="shared" si="401"/>
        <v>0</v>
      </c>
      <c r="AX209" s="402">
        <f t="shared" si="402"/>
        <v>0</v>
      </c>
      <c r="AY209" s="402">
        <f t="shared" si="403"/>
        <v>0</v>
      </c>
      <c r="AZ209" s="402">
        <f t="shared" si="404"/>
        <v>0</v>
      </c>
      <c r="BA209" s="402">
        <f t="shared" si="405"/>
        <v>0</v>
      </c>
      <c r="BB209" s="402">
        <f t="shared" si="406"/>
        <v>0</v>
      </c>
      <c r="BC209" s="402">
        <f t="shared" si="407"/>
        <v>0</v>
      </c>
      <c r="BD209" s="402">
        <f t="shared" si="408"/>
        <v>0</v>
      </c>
      <c r="BE209" s="402">
        <f t="shared" si="409"/>
        <v>0</v>
      </c>
      <c r="BF209" s="402">
        <f t="shared" si="410"/>
        <v>16296</v>
      </c>
      <c r="BG209" s="402">
        <f t="shared" si="411"/>
        <v>0</v>
      </c>
      <c r="BH209" s="402">
        <f t="shared" si="412"/>
        <v>0</v>
      </c>
      <c r="BI209" s="402">
        <f t="shared" si="413"/>
        <v>0</v>
      </c>
      <c r="BJ209" s="402">
        <f t="shared" si="414"/>
        <v>0</v>
      </c>
      <c r="BK209" s="402">
        <f t="shared" si="415"/>
        <v>0</v>
      </c>
      <c r="BL209" s="402">
        <f t="shared" si="416"/>
        <v>0</v>
      </c>
      <c r="BM209" s="402">
        <f t="shared" si="417"/>
        <v>0</v>
      </c>
      <c r="BN209" s="402">
        <f t="shared" si="418"/>
        <v>0</v>
      </c>
      <c r="BO209" s="402">
        <f t="shared" si="419"/>
        <v>0</v>
      </c>
      <c r="BP209" s="402">
        <f t="shared" si="420"/>
        <v>0</v>
      </c>
      <c r="BQ209" s="402">
        <f t="shared" si="421"/>
        <v>0</v>
      </c>
      <c r="BR209" s="402">
        <f t="shared" si="422"/>
        <v>0</v>
      </c>
      <c r="BS209" s="402">
        <f t="shared" si="423"/>
        <v>0</v>
      </c>
      <c r="BT209" s="402">
        <f t="shared" si="424"/>
        <v>0</v>
      </c>
      <c r="BU209" s="402">
        <f t="shared" si="425"/>
        <v>0</v>
      </c>
      <c r="BV209" s="403">
        <f t="shared" si="426"/>
        <v>0</v>
      </c>
    </row>
    <row r="210" spans="1:74" s="409" customFormat="1" ht="20.149999999999999" hidden="1" customHeight="1" outlineLevel="2" thickBot="1" x14ac:dyDescent="0.3">
      <c r="A210" s="1114" t="s">
        <v>101</v>
      </c>
      <c r="B210" s="1115"/>
      <c r="C210" s="1115"/>
      <c r="D210" s="1115"/>
      <c r="E210" s="1115"/>
      <c r="F210" s="1115"/>
      <c r="G210" s="1115"/>
      <c r="H210" s="1115"/>
      <c r="I210" s="1115"/>
      <c r="J210" s="1115"/>
      <c r="K210" s="1115"/>
      <c r="L210" s="1115"/>
      <c r="M210" s="1115"/>
      <c r="N210" s="1115"/>
      <c r="O210" s="1115"/>
      <c r="P210" s="1115"/>
      <c r="Q210" s="1115"/>
      <c r="R210" s="1115"/>
      <c r="S210" s="1115"/>
      <c r="T210" s="1115"/>
      <c r="U210" s="1115"/>
      <c r="V210" s="1115"/>
      <c r="W210" s="1115"/>
      <c r="X210" s="1115"/>
      <c r="Y210" s="1115"/>
      <c r="Z210" s="1115"/>
      <c r="AA210" s="1115"/>
      <c r="AB210" s="1115"/>
      <c r="AC210" s="1115"/>
      <c r="AD210" s="1115"/>
      <c r="AE210" s="1115"/>
      <c r="AF210" s="1115"/>
      <c r="AG210" s="1115"/>
      <c r="AH210" s="1115"/>
      <c r="AI210" s="1115"/>
      <c r="AJ210" s="1115"/>
      <c r="AK210" s="1115"/>
      <c r="AL210" s="1115"/>
      <c r="AM210" s="1116"/>
      <c r="AN210" s="410">
        <f t="shared" ref="AN210:BV210" si="427">SUM(AN192:AN209)</f>
        <v>22309.4</v>
      </c>
      <c r="AO210" s="410">
        <f t="shared" si="427"/>
        <v>7465.152</v>
      </c>
      <c r="AP210" s="410">
        <f t="shared" si="427"/>
        <v>12222.24</v>
      </c>
      <c r="AQ210" s="410">
        <f t="shared" si="427"/>
        <v>15257.852000000001</v>
      </c>
      <c r="AR210" s="410">
        <f t="shared" si="427"/>
        <v>17315.004000000001</v>
      </c>
      <c r="AS210" s="410">
        <f t="shared" si="427"/>
        <v>19658.468000000001</v>
      </c>
      <c r="AT210" s="410">
        <f t="shared" si="427"/>
        <v>20282.372000000003</v>
      </c>
      <c r="AU210" s="410">
        <f t="shared" si="427"/>
        <v>20282.372000000003</v>
      </c>
      <c r="AV210" s="410">
        <f t="shared" si="427"/>
        <v>20282.372000000003</v>
      </c>
      <c r="AW210" s="410">
        <f t="shared" si="427"/>
        <v>20282.372000000003</v>
      </c>
      <c r="AX210" s="410">
        <f t="shared" si="427"/>
        <v>20282.372000000003</v>
      </c>
      <c r="AY210" s="410">
        <f t="shared" si="427"/>
        <v>20282.372000000003</v>
      </c>
      <c r="AZ210" s="410">
        <f t="shared" si="427"/>
        <v>20282.372000000003</v>
      </c>
      <c r="BA210" s="410">
        <f t="shared" si="427"/>
        <v>20282.372000000003</v>
      </c>
      <c r="BB210" s="410">
        <f t="shared" si="427"/>
        <v>20282.372000000003</v>
      </c>
      <c r="BC210" s="410">
        <f t="shared" si="427"/>
        <v>20282.372000000003</v>
      </c>
      <c r="BD210" s="410">
        <f t="shared" si="427"/>
        <v>20282.372000000003</v>
      </c>
      <c r="BE210" s="410">
        <f t="shared" si="427"/>
        <v>20282.372000000003</v>
      </c>
      <c r="BF210" s="410">
        <f t="shared" si="427"/>
        <v>22309.4</v>
      </c>
      <c r="BG210" s="410">
        <f t="shared" si="427"/>
        <v>7465.152</v>
      </c>
      <c r="BH210" s="410">
        <f t="shared" si="427"/>
        <v>12222.24</v>
      </c>
      <c r="BI210" s="410">
        <f t="shared" si="427"/>
        <v>15257.852000000001</v>
      </c>
      <c r="BJ210" s="410">
        <f t="shared" si="427"/>
        <v>17315.004000000001</v>
      </c>
      <c r="BK210" s="410">
        <f t="shared" si="427"/>
        <v>19658.468000000001</v>
      </c>
      <c r="BL210" s="410">
        <f t="shared" si="427"/>
        <v>20282.372000000003</v>
      </c>
      <c r="BM210" s="410">
        <f t="shared" si="427"/>
        <v>20282.372000000003</v>
      </c>
      <c r="BN210" s="410">
        <f t="shared" si="427"/>
        <v>20282.372000000003</v>
      </c>
      <c r="BO210" s="410">
        <f t="shared" si="427"/>
        <v>20282.372000000003</v>
      </c>
      <c r="BP210" s="410">
        <f t="shared" si="427"/>
        <v>20282.372000000003</v>
      </c>
      <c r="BQ210" s="410">
        <f t="shared" si="427"/>
        <v>20282.372000000003</v>
      </c>
      <c r="BR210" s="410">
        <f t="shared" si="427"/>
        <v>20282.372000000003</v>
      </c>
      <c r="BS210" s="410">
        <f t="shared" si="427"/>
        <v>20282.372000000003</v>
      </c>
      <c r="BT210" s="410">
        <f t="shared" si="427"/>
        <v>20282.372000000003</v>
      </c>
      <c r="BU210" s="410">
        <f t="shared" si="427"/>
        <v>20282.372000000003</v>
      </c>
      <c r="BV210" s="410">
        <f t="shared" si="427"/>
        <v>20282.372000000003</v>
      </c>
    </row>
    <row r="211" spans="1:74" hidden="1" outlineLevel="2" x14ac:dyDescent="0.25"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6"/>
      <c r="AN211" s="6"/>
      <c r="AO211" s="6"/>
      <c r="AP211" s="6"/>
      <c r="AQ211" s="6"/>
      <c r="AR211" s="6"/>
      <c r="AS211" s="6"/>
      <c r="AT211" s="6"/>
      <c r="AU211" s="6"/>
    </row>
    <row r="212" spans="1:74" s="123" customFormat="1" ht="27" hidden="1" customHeight="1" outlineLevel="1" collapsed="1" thickBot="1" x14ac:dyDescent="0.3">
      <c r="A212" s="1109" t="s">
        <v>507</v>
      </c>
      <c r="B212" s="1110"/>
      <c r="C212" s="1110"/>
      <c r="D212" s="1110"/>
      <c r="E212" s="1110"/>
      <c r="F212" s="1110"/>
      <c r="G212" s="1110"/>
      <c r="H212" s="1110"/>
      <c r="I212" s="1110"/>
      <c r="J212" s="1110"/>
      <c r="K212" s="1110"/>
      <c r="L212" s="1110"/>
      <c r="M212" s="1110"/>
      <c r="N212" s="1110"/>
      <c r="O212" s="1110"/>
      <c r="P212" s="1110"/>
      <c r="Q212" s="1110"/>
      <c r="R212" s="1110"/>
      <c r="S212" s="1110"/>
      <c r="T212" s="1110"/>
      <c r="U212" s="1110"/>
      <c r="V212" s="1110"/>
      <c r="W212" s="1110"/>
      <c r="X212" s="1110"/>
      <c r="Y212" s="1110"/>
      <c r="Z212" s="1110"/>
      <c r="AA212" s="1110"/>
      <c r="AB212" s="1110"/>
      <c r="AC212" s="1110"/>
      <c r="AD212" s="1110"/>
      <c r="AE212" s="1110"/>
      <c r="AF212" s="1110"/>
      <c r="AG212" s="1110"/>
      <c r="AH212" s="1110"/>
      <c r="AI212" s="1110"/>
      <c r="AJ212" s="1110"/>
      <c r="AK212" s="1110"/>
      <c r="AL212" s="1110"/>
      <c r="AM212" s="1110"/>
      <c r="AN212" s="1110"/>
      <c r="AO212" s="1110"/>
      <c r="AP212" s="1110"/>
      <c r="AQ212" s="1110"/>
      <c r="AR212" s="1110"/>
      <c r="AS212" s="1110"/>
      <c r="AT212" s="1110"/>
      <c r="AU212" s="1110"/>
      <c r="AV212" s="1110"/>
      <c r="AW212" s="1110"/>
      <c r="AX212" s="1110"/>
      <c r="AY212" s="1110"/>
      <c r="AZ212" s="1110"/>
      <c r="BA212" s="1110"/>
      <c r="BB212" s="1110"/>
      <c r="BC212" s="1110"/>
      <c r="BD212" s="1110"/>
      <c r="BE212" s="1110"/>
      <c r="BF212" s="1110"/>
      <c r="BG212" s="1110"/>
      <c r="BH212" s="1110"/>
      <c r="BI212" s="1110"/>
      <c r="BJ212" s="1110"/>
      <c r="BK212" s="1110"/>
      <c r="BL212" s="1110"/>
      <c r="BM212" s="1110"/>
      <c r="BN212" s="1110"/>
      <c r="BO212" s="1110"/>
      <c r="BP212" s="1110"/>
      <c r="BQ212" s="1110"/>
      <c r="BR212" s="1110"/>
      <c r="BS212" s="1110"/>
      <c r="BT212" s="1110"/>
      <c r="BU212" s="1110"/>
      <c r="BV212" s="1111"/>
    </row>
    <row r="213" spans="1:74" ht="18" hidden="1" customHeight="1" outlineLevel="2" thickBot="1" x14ac:dyDescent="0.3">
      <c r="A213" s="1112" t="s">
        <v>113</v>
      </c>
      <c r="B213" s="1112" t="s">
        <v>8</v>
      </c>
      <c r="C213" s="1112" t="s">
        <v>100</v>
      </c>
      <c r="D213" s="1103" t="s">
        <v>97</v>
      </c>
      <c r="E213" s="1104"/>
      <c r="F213" s="1104"/>
      <c r="G213" s="1104"/>
      <c r="H213" s="1104"/>
      <c r="I213" s="1104"/>
      <c r="J213" s="1104"/>
      <c r="K213" s="1104"/>
      <c r="L213" s="1104"/>
      <c r="M213" s="1104"/>
      <c r="N213" s="1104"/>
      <c r="O213" s="1104"/>
      <c r="P213" s="1104"/>
      <c r="Q213" s="1104"/>
      <c r="R213" s="1104"/>
      <c r="S213" s="1104"/>
      <c r="T213" s="1104"/>
      <c r="U213" s="1104"/>
      <c r="V213" s="1104"/>
      <c r="W213" s="1104"/>
      <c r="X213" s="1104"/>
      <c r="Y213" s="1104"/>
      <c r="Z213" s="1104"/>
      <c r="AA213" s="1104"/>
      <c r="AB213" s="1104"/>
      <c r="AC213" s="1104"/>
      <c r="AD213" s="1104"/>
      <c r="AE213" s="1104"/>
      <c r="AF213" s="1104"/>
      <c r="AG213" s="1104"/>
      <c r="AH213" s="1104"/>
      <c r="AI213" s="1104"/>
      <c r="AJ213" s="1104"/>
      <c r="AK213" s="1104"/>
      <c r="AL213" s="1105"/>
      <c r="AM213" s="634"/>
      <c r="AN213" s="1103" t="s">
        <v>99</v>
      </c>
      <c r="AO213" s="1104"/>
      <c r="AP213" s="1104"/>
      <c r="AQ213" s="1104"/>
      <c r="AR213" s="1104"/>
      <c r="AS213" s="1104"/>
      <c r="AT213" s="1104"/>
      <c r="AU213" s="1104"/>
      <c r="AV213" s="1104"/>
      <c r="AW213" s="1104"/>
      <c r="AX213" s="1104"/>
      <c r="AY213" s="1104"/>
      <c r="AZ213" s="1104"/>
      <c r="BA213" s="1104"/>
      <c r="BB213" s="1104"/>
      <c r="BC213" s="1104"/>
      <c r="BD213" s="1104"/>
      <c r="BE213" s="1104"/>
      <c r="BF213" s="1104"/>
      <c r="BG213" s="1104"/>
      <c r="BH213" s="1104"/>
      <c r="BI213" s="1104"/>
      <c r="BJ213" s="1104"/>
      <c r="BK213" s="1104"/>
      <c r="BL213" s="1104"/>
      <c r="BM213" s="1104"/>
      <c r="BN213" s="1104"/>
      <c r="BO213" s="1104"/>
      <c r="BP213" s="1104"/>
      <c r="BQ213" s="1104"/>
      <c r="BR213" s="1104"/>
      <c r="BS213" s="1104"/>
      <c r="BT213" s="1104"/>
      <c r="BU213" s="1104"/>
      <c r="BV213" s="1105"/>
    </row>
    <row r="214" spans="1:74" ht="18" hidden="1" customHeight="1" outlineLevel="2" thickBot="1" x14ac:dyDescent="0.3">
      <c r="A214" s="1113"/>
      <c r="B214" s="1113"/>
      <c r="C214" s="1113"/>
      <c r="D214" s="275">
        <v>1</v>
      </c>
      <c r="E214" s="211">
        <v>2</v>
      </c>
      <c r="F214" s="211">
        <v>3</v>
      </c>
      <c r="G214" s="211">
        <v>4</v>
      </c>
      <c r="H214" s="211">
        <v>5</v>
      </c>
      <c r="I214" s="211">
        <v>6</v>
      </c>
      <c r="J214" s="211">
        <v>7</v>
      </c>
      <c r="K214" s="211">
        <v>8</v>
      </c>
      <c r="L214" s="211">
        <v>9</v>
      </c>
      <c r="M214" s="211">
        <v>10</v>
      </c>
      <c r="N214" s="211">
        <v>11</v>
      </c>
      <c r="O214" s="211">
        <v>12</v>
      </c>
      <c r="P214" s="211">
        <v>13</v>
      </c>
      <c r="Q214" s="211">
        <v>14</v>
      </c>
      <c r="R214" s="211">
        <v>15</v>
      </c>
      <c r="S214" s="211">
        <v>16</v>
      </c>
      <c r="T214" s="211">
        <v>17</v>
      </c>
      <c r="U214" s="211">
        <v>18</v>
      </c>
      <c r="V214" s="211">
        <v>19</v>
      </c>
      <c r="W214" s="211">
        <v>20</v>
      </c>
      <c r="X214" s="211">
        <v>21</v>
      </c>
      <c r="Y214" s="211">
        <v>22</v>
      </c>
      <c r="Z214" s="211">
        <v>23</v>
      </c>
      <c r="AA214" s="211">
        <v>24</v>
      </c>
      <c r="AB214" s="211">
        <v>25</v>
      </c>
      <c r="AC214" s="211">
        <v>26</v>
      </c>
      <c r="AD214" s="211">
        <v>27</v>
      </c>
      <c r="AE214" s="211">
        <v>28</v>
      </c>
      <c r="AF214" s="211">
        <v>29</v>
      </c>
      <c r="AG214" s="211">
        <v>30</v>
      </c>
      <c r="AH214" s="211">
        <v>31</v>
      </c>
      <c r="AI214" s="211">
        <v>32</v>
      </c>
      <c r="AJ214" s="211">
        <v>33</v>
      </c>
      <c r="AK214" s="211">
        <v>34</v>
      </c>
      <c r="AL214" s="212">
        <v>35</v>
      </c>
      <c r="AM214" s="635"/>
      <c r="AN214" s="275">
        <v>1</v>
      </c>
      <c r="AO214" s="211">
        <v>2</v>
      </c>
      <c r="AP214" s="211">
        <v>3</v>
      </c>
      <c r="AQ214" s="211">
        <v>4</v>
      </c>
      <c r="AR214" s="211">
        <v>5</v>
      </c>
      <c r="AS214" s="211">
        <v>6</v>
      </c>
      <c r="AT214" s="211">
        <v>7</v>
      </c>
      <c r="AU214" s="211">
        <v>8</v>
      </c>
      <c r="AV214" s="211">
        <v>9</v>
      </c>
      <c r="AW214" s="211">
        <v>10</v>
      </c>
      <c r="AX214" s="211">
        <v>11</v>
      </c>
      <c r="AY214" s="211">
        <v>12</v>
      </c>
      <c r="AZ214" s="211">
        <v>13</v>
      </c>
      <c r="BA214" s="211">
        <v>14</v>
      </c>
      <c r="BB214" s="211">
        <v>15</v>
      </c>
      <c r="BC214" s="211">
        <v>16</v>
      </c>
      <c r="BD214" s="211">
        <v>17</v>
      </c>
      <c r="BE214" s="211">
        <v>18</v>
      </c>
      <c r="BF214" s="211">
        <v>19</v>
      </c>
      <c r="BG214" s="211">
        <v>20</v>
      </c>
      <c r="BH214" s="211">
        <v>21</v>
      </c>
      <c r="BI214" s="211">
        <v>22</v>
      </c>
      <c r="BJ214" s="211">
        <v>23</v>
      </c>
      <c r="BK214" s="211">
        <v>24</v>
      </c>
      <c r="BL214" s="211">
        <v>25</v>
      </c>
      <c r="BM214" s="211">
        <v>26</v>
      </c>
      <c r="BN214" s="211">
        <v>27</v>
      </c>
      <c r="BO214" s="211">
        <v>28</v>
      </c>
      <c r="BP214" s="211">
        <v>29</v>
      </c>
      <c r="BQ214" s="211">
        <v>30</v>
      </c>
      <c r="BR214" s="211">
        <v>31</v>
      </c>
      <c r="BS214" s="211">
        <v>32</v>
      </c>
      <c r="BT214" s="211">
        <v>33</v>
      </c>
      <c r="BU214" s="211">
        <v>34</v>
      </c>
      <c r="BV214" s="212">
        <v>35</v>
      </c>
    </row>
    <row r="215" spans="1:74" ht="20.149999999999999" hidden="1" customHeight="1" outlineLevel="2" x14ac:dyDescent="0.25">
      <c r="A215" s="19" t="s">
        <v>46</v>
      </c>
      <c r="B215" s="10" t="s">
        <v>21</v>
      </c>
      <c r="C215" s="279">
        <f>'Custos Diversos'!$C$21</f>
        <v>136</v>
      </c>
      <c r="D215" s="279">
        <v>8</v>
      </c>
      <c r="E215" s="279"/>
      <c r="F215" s="279"/>
      <c r="G215" s="279"/>
      <c r="H215" s="279"/>
      <c r="I215" s="279"/>
      <c r="J215" s="279"/>
      <c r="K215" s="279"/>
      <c r="L215" s="356"/>
      <c r="M215" s="356"/>
      <c r="N215" s="356"/>
      <c r="O215" s="356"/>
      <c r="P215" s="356"/>
      <c r="Q215" s="356"/>
      <c r="R215" s="356"/>
      <c r="S215" s="356"/>
      <c r="T215" s="356"/>
      <c r="U215" s="356"/>
      <c r="V215" s="356">
        <f t="shared" ref="V215:V226" si="428">D215</f>
        <v>8</v>
      </c>
      <c r="W215" s="356">
        <f t="shared" ref="W215:W226" si="429">E215</f>
        <v>0</v>
      </c>
      <c r="X215" s="356">
        <f t="shared" ref="X215:X226" si="430">F215</f>
        <v>0</v>
      </c>
      <c r="Y215" s="356">
        <f t="shared" ref="Y215:Y226" si="431">G215</f>
        <v>0</v>
      </c>
      <c r="Z215" s="356">
        <f t="shared" ref="Z215:Z226" si="432">H215</f>
        <v>0</v>
      </c>
      <c r="AA215" s="356">
        <f t="shared" ref="AA215:AA226" si="433">I215</f>
        <v>0</v>
      </c>
      <c r="AB215" s="356">
        <f t="shared" ref="AB215:AB226" si="434">J215</f>
        <v>0</v>
      </c>
      <c r="AC215" s="356">
        <f t="shared" ref="AC215:AC226" si="435">K215</f>
        <v>0</v>
      </c>
      <c r="AD215" s="356">
        <f t="shared" ref="AD215:AD226" si="436">L215</f>
        <v>0</v>
      </c>
      <c r="AE215" s="356">
        <f t="shared" ref="AE215:AE226" si="437">M215</f>
        <v>0</v>
      </c>
      <c r="AF215" s="356">
        <f t="shared" ref="AF215:AF226" si="438">N215</f>
        <v>0</v>
      </c>
      <c r="AG215" s="356">
        <f t="shared" ref="AG215:AG226" si="439">O215</f>
        <v>0</v>
      </c>
      <c r="AH215" s="356">
        <f t="shared" ref="AH215:AH226" si="440">P215</f>
        <v>0</v>
      </c>
      <c r="AI215" s="356">
        <f t="shared" ref="AI215:AI226" si="441">Q215</f>
        <v>0</v>
      </c>
      <c r="AJ215" s="356">
        <f t="shared" ref="AJ215:AJ226" si="442">R215</f>
        <v>0</v>
      </c>
      <c r="AK215" s="356">
        <f t="shared" ref="AK215:AK226" si="443">S215</f>
        <v>0</v>
      </c>
      <c r="AL215" s="357">
        <f t="shared" ref="AL215:AL226" si="444">T215</f>
        <v>0</v>
      </c>
      <c r="AM215" s="636"/>
      <c r="AN215" s="278">
        <f t="shared" ref="AN215:AN226" si="445">$C215*D215</f>
        <v>1088</v>
      </c>
      <c r="AO215" s="279">
        <f t="shared" ref="AO215:AO226" si="446">$C215*E215</f>
        <v>0</v>
      </c>
      <c r="AP215" s="279">
        <f t="shared" ref="AP215:AP226" si="447">$C215*F215</f>
        <v>0</v>
      </c>
      <c r="AQ215" s="279">
        <f t="shared" ref="AQ215:AQ226" si="448">$C215*G215</f>
        <v>0</v>
      </c>
      <c r="AR215" s="279">
        <f t="shared" ref="AR215:AR226" si="449">$C215*H215</f>
        <v>0</v>
      </c>
      <c r="AS215" s="279">
        <f t="shared" ref="AS215:AS226" si="450">$C215*I215</f>
        <v>0</v>
      </c>
      <c r="AT215" s="279">
        <f t="shared" ref="AT215:AT226" si="451">$C215*J215</f>
        <v>0</v>
      </c>
      <c r="AU215" s="279">
        <f t="shared" ref="AU215:AU226" si="452">$C215*K215</f>
        <v>0</v>
      </c>
      <c r="AV215" s="356">
        <f t="shared" ref="AV215:AV226" si="453">$C215*L215</f>
        <v>0</v>
      </c>
      <c r="AW215" s="356">
        <f t="shared" ref="AW215:AW226" si="454">$C215*M215</f>
        <v>0</v>
      </c>
      <c r="AX215" s="356">
        <f t="shared" ref="AX215:AX226" si="455">$C215*N215</f>
        <v>0</v>
      </c>
      <c r="AY215" s="356">
        <f t="shared" ref="AY215:AY226" si="456">$C215*O215</f>
        <v>0</v>
      </c>
      <c r="AZ215" s="356">
        <f t="shared" ref="AZ215:AZ226" si="457">$C215*P215</f>
        <v>0</v>
      </c>
      <c r="BA215" s="356">
        <f t="shared" ref="BA215:BA226" si="458">$C215*Q215</f>
        <v>0</v>
      </c>
      <c r="BB215" s="356">
        <f t="shared" ref="BB215:BB226" si="459">$C215*R215</f>
        <v>0</v>
      </c>
      <c r="BC215" s="356">
        <f t="shared" ref="BC215:BC226" si="460">$C215*S215</f>
        <v>0</v>
      </c>
      <c r="BD215" s="356">
        <f t="shared" ref="BD215:BD226" si="461">$C215*T215</f>
        <v>0</v>
      </c>
      <c r="BE215" s="356">
        <f t="shared" ref="BE215:BE226" si="462">$C215*U215</f>
        <v>0</v>
      </c>
      <c r="BF215" s="356">
        <f t="shared" ref="BF215:BF226" si="463">$C215*V215</f>
        <v>1088</v>
      </c>
      <c r="BG215" s="356">
        <f t="shared" ref="BG215:BG226" si="464">$C215*W215</f>
        <v>0</v>
      </c>
      <c r="BH215" s="356">
        <f t="shared" ref="BH215:BH226" si="465">$C215*X215</f>
        <v>0</v>
      </c>
      <c r="BI215" s="356">
        <f t="shared" ref="BI215:BI226" si="466">$C215*Y215</f>
        <v>0</v>
      </c>
      <c r="BJ215" s="356">
        <f t="shared" ref="BJ215:BJ226" si="467">$C215*Z215</f>
        <v>0</v>
      </c>
      <c r="BK215" s="356">
        <f t="shared" ref="BK215:BK226" si="468">$C215*AA215</f>
        <v>0</v>
      </c>
      <c r="BL215" s="356">
        <f t="shared" ref="BL215:BL226" si="469">$C215*AB215</f>
        <v>0</v>
      </c>
      <c r="BM215" s="356">
        <f t="shared" ref="BM215:BM226" si="470">$C215*AC215</f>
        <v>0</v>
      </c>
      <c r="BN215" s="356">
        <f t="shared" ref="BN215:BN226" si="471">$C215*AD215</f>
        <v>0</v>
      </c>
      <c r="BO215" s="356">
        <f t="shared" ref="BO215:BO226" si="472">$C215*AE215</f>
        <v>0</v>
      </c>
      <c r="BP215" s="356">
        <f t="shared" ref="BP215:BP226" si="473">$C215*AF215</f>
        <v>0</v>
      </c>
      <c r="BQ215" s="356">
        <f t="shared" ref="BQ215:BQ226" si="474">$C215*AG215</f>
        <v>0</v>
      </c>
      <c r="BR215" s="356">
        <f t="shared" ref="BR215:BR226" si="475">$C215*AH215</f>
        <v>0</v>
      </c>
      <c r="BS215" s="356">
        <f t="shared" ref="BS215:BS226" si="476">$C215*AI215</f>
        <v>0</v>
      </c>
      <c r="BT215" s="356">
        <f t="shared" ref="BT215:BT226" si="477">$C215*AJ215</f>
        <v>0</v>
      </c>
      <c r="BU215" s="356">
        <f t="shared" ref="BU215:BU226" si="478">$C215*AK215</f>
        <v>0</v>
      </c>
      <c r="BV215" s="357">
        <f t="shared" ref="BV215:BV226" si="479">$C215*AL215</f>
        <v>0</v>
      </c>
    </row>
    <row r="216" spans="1:74" ht="20.149999999999999" hidden="1" customHeight="1" outlineLevel="2" x14ac:dyDescent="0.25">
      <c r="A216" s="23" t="s">
        <v>15</v>
      </c>
      <c r="B216" s="8" t="s">
        <v>21</v>
      </c>
      <c r="C216" s="284">
        <f>'Custos Diversos'!$C$21</f>
        <v>136</v>
      </c>
      <c r="D216" s="284">
        <v>8</v>
      </c>
      <c r="E216" s="284"/>
      <c r="F216" s="284"/>
      <c r="G216" s="284"/>
      <c r="H216" s="284"/>
      <c r="I216" s="284"/>
      <c r="J216" s="284"/>
      <c r="K216" s="284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>
        <f t="shared" si="428"/>
        <v>8</v>
      </c>
      <c r="W216" s="358">
        <f t="shared" si="429"/>
        <v>0</v>
      </c>
      <c r="X216" s="358">
        <f t="shared" si="430"/>
        <v>0</v>
      </c>
      <c r="Y216" s="358">
        <f t="shared" si="431"/>
        <v>0</v>
      </c>
      <c r="Z216" s="358">
        <f t="shared" si="432"/>
        <v>0</v>
      </c>
      <c r="AA216" s="358">
        <f t="shared" si="433"/>
        <v>0</v>
      </c>
      <c r="AB216" s="358">
        <f t="shared" si="434"/>
        <v>0</v>
      </c>
      <c r="AC216" s="358">
        <f t="shared" si="435"/>
        <v>0</v>
      </c>
      <c r="AD216" s="358">
        <f t="shared" si="436"/>
        <v>0</v>
      </c>
      <c r="AE216" s="358">
        <f t="shared" si="437"/>
        <v>0</v>
      </c>
      <c r="AF216" s="358">
        <f t="shared" si="438"/>
        <v>0</v>
      </c>
      <c r="AG216" s="358">
        <f t="shared" si="439"/>
        <v>0</v>
      </c>
      <c r="AH216" s="358">
        <f t="shared" si="440"/>
        <v>0</v>
      </c>
      <c r="AI216" s="358">
        <f t="shared" si="441"/>
        <v>0</v>
      </c>
      <c r="AJ216" s="358">
        <f t="shared" si="442"/>
        <v>0</v>
      </c>
      <c r="AK216" s="358">
        <f t="shared" si="443"/>
        <v>0</v>
      </c>
      <c r="AL216" s="359">
        <f t="shared" si="444"/>
        <v>0</v>
      </c>
      <c r="AM216" s="636"/>
      <c r="AN216" s="283">
        <f t="shared" si="445"/>
        <v>1088</v>
      </c>
      <c r="AO216" s="284">
        <f t="shared" si="446"/>
        <v>0</v>
      </c>
      <c r="AP216" s="284">
        <f t="shared" si="447"/>
        <v>0</v>
      </c>
      <c r="AQ216" s="284">
        <f t="shared" si="448"/>
        <v>0</v>
      </c>
      <c r="AR216" s="284">
        <f t="shared" si="449"/>
        <v>0</v>
      </c>
      <c r="AS216" s="284">
        <f t="shared" si="450"/>
        <v>0</v>
      </c>
      <c r="AT216" s="284">
        <f t="shared" si="451"/>
        <v>0</v>
      </c>
      <c r="AU216" s="284">
        <f t="shared" si="452"/>
        <v>0</v>
      </c>
      <c r="AV216" s="358">
        <f t="shared" si="453"/>
        <v>0</v>
      </c>
      <c r="AW216" s="358">
        <f t="shared" si="454"/>
        <v>0</v>
      </c>
      <c r="AX216" s="358">
        <f t="shared" si="455"/>
        <v>0</v>
      </c>
      <c r="AY216" s="358">
        <f t="shared" si="456"/>
        <v>0</v>
      </c>
      <c r="AZ216" s="358">
        <f t="shared" si="457"/>
        <v>0</v>
      </c>
      <c r="BA216" s="358">
        <f t="shared" si="458"/>
        <v>0</v>
      </c>
      <c r="BB216" s="358">
        <f t="shared" si="459"/>
        <v>0</v>
      </c>
      <c r="BC216" s="358">
        <f t="shared" si="460"/>
        <v>0</v>
      </c>
      <c r="BD216" s="358">
        <f t="shared" si="461"/>
        <v>0</v>
      </c>
      <c r="BE216" s="358">
        <f t="shared" si="462"/>
        <v>0</v>
      </c>
      <c r="BF216" s="358">
        <f t="shared" si="463"/>
        <v>1088</v>
      </c>
      <c r="BG216" s="358">
        <f t="shared" si="464"/>
        <v>0</v>
      </c>
      <c r="BH216" s="358">
        <f t="shared" si="465"/>
        <v>0</v>
      </c>
      <c r="BI216" s="358">
        <f t="shared" si="466"/>
        <v>0</v>
      </c>
      <c r="BJ216" s="358">
        <f t="shared" si="467"/>
        <v>0</v>
      </c>
      <c r="BK216" s="358">
        <f t="shared" si="468"/>
        <v>0</v>
      </c>
      <c r="BL216" s="358">
        <f t="shared" si="469"/>
        <v>0</v>
      </c>
      <c r="BM216" s="358">
        <f t="shared" si="470"/>
        <v>0</v>
      </c>
      <c r="BN216" s="358">
        <f t="shared" si="471"/>
        <v>0</v>
      </c>
      <c r="BO216" s="358">
        <f t="shared" si="472"/>
        <v>0</v>
      </c>
      <c r="BP216" s="358">
        <f t="shared" si="473"/>
        <v>0</v>
      </c>
      <c r="BQ216" s="358">
        <f t="shared" si="474"/>
        <v>0</v>
      </c>
      <c r="BR216" s="358">
        <f t="shared" si="475"/>
        <v>0</v>
      </c>
      <c r="BS216" s="358">
        <f t="shared" si="476"/>
        <v>0</v>
      </c>
      <c r="BT216" s="358">
        <f t="shared" si="477"/>
        <v>0</v>
      </c>
      <c r="BU216" s="358">
        <f t="shared" si="478"/>
        <v>0</v>
      </c>
      <c r="BV216" s="359">
        <f t="shared" si="479"/>
        <v>0</v>
      </c>
    </row>
    <row r="217" spans="1:74" ht="20.149999999999999" hidden="1" customHeight="1" outlineLevel="2" x14ac:dyDescent="0.25">
      <c r="A217" s="23" t="s">
        <v>16</v>
      </c>
      <c r="B217" s="8" t="s">
        <v>21</v>
      </c>
      <c r="C217" s="284">
        <f>'Custos Diversos'!$C$21</f>
        <v>136</v>
      </c>
      <c r="D217" s="284">
        <v>4</v>
      </c>
      <c r="E217" s="284"/>
      <c r="F217" s="284"/>
      <c r="G217" s="284"/>
      <c r="H217" s="284"/>
      <c r="I217" s="284"/>
      <c r="J217" s="284"/>
      <c r="K217" s="284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>
        <f t="shared" si="428"/>
        <v>4</v>
      </c>
      <c r="W217" s="358">
        <f t="shared" si="429"/>
        <v>0</v>
      </c>
      <c r="X217" s="358">
        <f t="shared" si="430"/>
        <v>0</v>
      </c>
      <c r="Y217" s="358">
        <f t="shared" si="431"/>
        <v>0</v>
      </c>
      <c r="Z217" s="358">
        <f t="shared" si="432"/>
        <v>0</v>
      </c>
      <c r="AA217" s="358">
        <f t="shared" si="433"/>
        <v>0</v>
      </c>
      <c r="AB217" s="358">
        <f t="shared" si="434"/>
        <v>0</v>
      </c>
      <c r="AC217" s="358">
        <f t="shared" si="435"/>
        <v>0</v>
      </c>
      <c r="AD217" s="358">
        <f t="shared" si="436"/>
        <v>0</v>
      </c>
      <c r="AE217" s="358">
        <f t="shared" si="437"/>
        <v>0</v>
      </c>
      <c r="AF217" s="358">
        <f t="shared" si="438"/>
        <v>0</v>
      </c>
      <c r="AG217" s="358">
        <f t="shared" si="439"/>
        <v>0</v>
      </c>
      <c r="AH217" s="358">
        <f t="shared" si="440"/>
        <v>0</v>
      </c>
      <c r="AI217" s="358">
        <f t="shared" si="441"/>
        <v>0</v>
      </c>
      <c r="AJ217" s="358">
        <f t="shared" si="442"/>
        <v>0</v>
      </c>
      <c r="AK217" s="358">
        <f t="shared" si="443"/>
        <v>0</v>
      </c>
      <c r="AL217" s="359">
        <f t="shared" si="444"/>
        <v>0</v>
      </c>
      <c r="AM217" s="636"/>
      <c r="AN217" s="283">
        <f t="shared" si="445"/>
        <v>544</v>
      </c>
      <c r="AO217" s="284">
        <f t="shared" si="446"/>
        <v>0</v>
      </c>
      <c r="AP217" s="284">
        <f t="shared" si="447"/>
        <v>0</v>
      </c>
      <c r="AQ217" s="284">
        <f t="shared" si="448"/>
        <v>0</v>
      </c>
      <c r="AR217" s="284">
        <f t="shared" si="449"/>
        <v>0</v>
      </c>
      <c r="AS217" s="284">
        <f t="shared" si="450"/>
        <v>0</v>
      </c>
      <c r="AT217" s="284">
        <f t="shared" si="451"/>
        <v>0</v>
      </c>
      <c r="AU217" s="284">
        <f t="shared" si="452"/>
        <v>0</v>
      </c>
      <c r="AV217" s="358">
        <f t="shared" si="453"/>
        <v>0</v>
      </c>
      <c r="AW217" s="358">
        <f t="shared" si="454"/>
        <v>0</v>
      </c>
      <c r="AX217" s="358">
        <f t="shared" si="455"/>
        <v>0</v>
      </c>
      <c r="AY217" s="358">
        <f t="shared" si="456"/>
        <v>0</v>
      </c>
      <c r="AZ217" s="358">
        <f t="shared" si="457"/>
        <v>0</v>
      </c>
      <c r="BA217" s="358">
        <f t="shared" si="458"/>
        <v>0</v>
      </c>
      <c r="BB217" s="358">
        <f t="shared" si="459"/>
        <v>0</v>
      </c>
      <c r="BC217" s="358">
        <f t="shared" si="460"/>
        <v>0</v>
      </c>
      <c r="BD217" s="358">
        <f t="shared" si="461"/>
        <v>0</v>
      </c>
      <c r="BE217" s="358">
        <f t="shared" si="462"/>
        <v>0</v>
      </c>
      <c r="BF217" s="358">
        <f t="shared" si="463"/>
        <v>544</v>
      </c>
      <c r="BG217" s="358">
        <f t="shared" si="464"/>
        <v>0</v>
      </c>
      <c r="BH217" s="358">
        <f t="shared" si="465"/>
        <v>0</v>
      </c>
      <c r="BI217" s="358">
        <f t="shared" si="466"/>
        <v>0</v>
      </c>
      <c r="BJ217" s="358">
        <f t="shared" si="467"/>
        <v>0</v>
      </c>
      <c r="BK217" s="358">
        <f t="shared" si="468"/>
        <v>0</v>
      </c>
      <c r="BL217" s="358">
        <f t="shared" si="469"/>
        <v>0</v>
      </c>
      <c r="BM217" s="358">
        <f t="shared" si="470"/>
        <v>0</v>
      </c>
      <c r="BN217" s="358">
        <f t="shared" si="471"/>
        <v>0</v>
      </c>
      <c r="BO217" s="358">
        <f t="shared" si="472"/>
        <v>0</v>
      </c>
      <c r="BP217" s="358">
        <f t="shared" si="473"/>
        <v>0</v>
      </c>
      <c r="BQ217" s="358">
        <f t="shared" si="474"/>
        <v>0</v>
      </c>
      <c r="BR217" s="358">
        <f t="shared" si="475"/>
        <v>0</v>
      </c>
      <c r="BS217" s="358">
        <f t="shared" si="476"/>
        <v>0</v>
      </c>
      <c r="BT217" s="358">
        <f t="shared" si="477"/>
        <v>0</v>
      </c>
      <c r="BU217" s="358">
        <f t="shared" si="478"/>
        <v>0</v>
      </c>
      <c r="BV217" s="359">
        <f t="shared" si="479"/>
        <v>0</v>
      </c>
    </row>
    <row r="218" spans="1:74" ht="20.149999999999999" hidden="1" customHeight="1" outlineLevel="2" x14ac:dyDescent="0.25">
      <c r="A218" s="23" t="s">
        <v>17</v>
      </c>
      <c r="B218" s="8" t="s">
        <v>21</v>
      </c>
      <c r="C218" s="284">
        <f>'Custos Diversos'!$C$21</f>
        <v>136</v>
      </c>
      <c r="D218" s="284">
        <v>0.5</v>
      </c>
      <c r="E218" s="284">
        <v>0.5</v>
      </c>
      <c r="F218" s="284">
        <v>0.25</v>
      </c>
      <c r="G218" s="284">
        <v>0.25</v>
      </c>
      <c r="H218" s="284">
        <v>0.25</v>
      </c>
      <c r="I218" s="284">
        <v>0.25</v>
      </c>
      <c r="J218" s="284">
        <v>0.25</v>
      </c>
      <c r="K218" s="284">
        <v>0.25</v>
      </c>
      <c r="L218" s="358">
        <v>0.25</v>
      </c>
      <c r="M218" s="358">
        <v>0.25</v>
      </c>
      <c r="N218" s="358">
        <v>0.25</v>
      </c>
      <c r="O218" s="358">
        <v>0.25</v>
      </c>
      <c r="P218" s="358">
        <v>0.25</v>
      </c>
      <c r="Q218" s="358">
        <v>0.25</v>
      </c>
      <c r="R218" s="358">
        <v>0.25</v>
      </c>
      <c r="S218" s="358">
        <v>0.25</v>
      </c>
      <c r="T218" s="358">
        <v>0.25</v>
      </c>
      <c r="U218" s="358">
        <v>0.25</v>
      </c>
      <c r="V218" s="358">
        <f t="shared" si="428"/>
        <v>0.5</v>
      </c>
      <c r="W218" s="358">
        <f t="shared" si="429"/>
        <v>0.5</v>
      </c>
      <c r="X218" s="358">
        <f t="shared" si="430"/>
        <v>0.25</v>
      </c>
      <c r="Y218" s="358">
        <f t="shared" si="431"/>
        <v>0.25</v>
      </c>
      <c r="Z218" s="358">
        <f t="shared" si="432"/>
        <v>0.25</v>
      </c>
      <c r="AA218" s="358">
        <f t="shared" si="433"/>
        <v>0.25</v>
      </c>
      <c r="AB218" s="358">
        <f t="shared" si="434"/>
        <v>0.25</v>
      </c>
      <c r="AC218" s="358">
        <f t="shared" si="435"/>
        <v>0.25</v>
      </c>
      <c r="AD218" s="358">
        <f t="shared" si="436"/>
        <v>0.25</v>
      </c>
      <c r="AE218" s="358">
        <f t="shared" si="437"/>
        <v>0.25</v>
      </c>
      <c r="AF218" s="358">
        <f t="shared" si="438"/>
        <v>0.25</v>
      </c>
      <c r="AG218" s="358">
        <f t="shared" si="439"/>
        <v>0.25</v>
      </c>
      <c r="AH218" s="358">
        <f t="shared" si="440"/>
        <v>0.25</v>
      </c>
      <c r="AI218" s="358">
        <f t="shared" si="441"/>
        <v>0.25</v>
      </c>
      <c r="AJ218" s="358">
        <f t="shared" si="442"/>
        <v>0.25</v>
      </c>
      <c r="AK218" s="358">
        <f t="shared" si="443"/>
        <v>0.25</v>
      </c>
      <c r="AL218" s="359">
        <f t="shared" si="444"/>
        <v>0.25</v>
      </c>
      <c r="AM218" s="636"/>
      <c r="AN218" s="283">
        <f t="shared" si="445"/>
        <v>68</v>
      </c>
      <c r="AO218" s="284">
        <f t="shared" si="446"/>
        <v>68</v>
      </c>
      <c r="AP218" s="284">
        <f t="shared" si="447"/>
        <v>34</v>
      </c>
      <c r="AQ218" s="284">
        <f t="shared" si="448"/>
        <v>34</v>
      </c>
      <c r="AR218" s="284">
        <f t="shared" si="449"/>
        <v>34</v>
      </c>
      <c r="AS218" s="284">
        <f t="shared" si="450"/>
        <v>34</v>
      </c>
      <c r="AT218" s="284">
        <f t="shared" si="451"/>
        <v>34</v>
      </c>
      <c r="AU218" s="284">
        <f t="shared" si="452"/>
        <v>34</v>
      </c>
      <c r="AV218" s="358">
        <f t="shared" si="453"/>
        <v>34</v>
      </c>
      <c r="AW218" s="358">
        <f t="shared" si="454"/>
        <v>34</v>
      </c>
      <c r="AX218" s="358">
        <f t="shared" si="455"/>
        <v>34</v>
      </c>
      <c r="AY218" s="358">
        <f t="shared" si="456"/>
        <v>34</v>
      </c>
      <c r="AZ218" s="358">
        <f t="shared" si="457"/>
        <v>34</v>
      </c>
      <c r="BA218" s="358">
        <f t="shared" si="458"/>
        <v>34</v>
      </c>
      <c r="BB218" s="358">
        <f t="shared" si="459"/>
        <v>34</v>
      </c>
      <c r="BC218" s="358">
        <f t="shared" si="460"/>
        <v>34</v>
      </c>
      <c r="BD218" s="358">
        <f t="shared" si="461"/>
        <v>34</v>
      </c>
      <c r="BE218" s="358">
        <f t="shared" si="462"/>
        <v>34</v>
      </c>
      <c r="BF218" s="358">
        <f t="shared" si="463"/>
        <v>68</v>
      </c>
      <c r="BG218" s="358">
        <f t="shared" si="464"/>
        <v>68</v>
      </c>
      <c r="BH218" s="358">
        <f t="shared" si="465"/>
        <v>34</v>
      </c>
      <c r="BI218" s="358">
        <f t="shared" si="466"/>
        <v>34</v>
      </c>
      <c r="BJ218" s="358">
        <f t="shared" si="467"/>
        <v>34</v>
      </c>
      <c r="BK218" s="358">
        <f t="shared" si="468"/>
        <v>34</v>
      </c>
      <c r="BL218" s="358">
        <f t="shared" si="469"/>
        <v>34</v>
      </c>
      <c r="BM218" s="358">
        <f t="shared" si="470"/>
        <v>34</v>
      </c>
      <c r="BN218" s="358">
        <f t="shared" si="471"/>
        <v>34</v>
      </c>
      <c r="BO218" s="358">
        <f t="shared" si="472"/>
        <v>34</v>
      </c>
      <c r="BP218" s="358">
        <f t="shared" si="473"/>
        <v>34</v>
      </c>
      <c r="BQ218" s="358">
        <f t="shared" si="474"/>
        <v>34</v>
      </c>
      <c r="BR218" s="358">
        <f t="shared" si="475"/>
        <v>34</v>
      </c>
      <c r="BS218" s="358">
        <f t="shared" si="476"/>
        <v>34</v>
      </c>
      <c r="BT218" s="358">
        <f t="shared" si="477"/>
        <v>34</v>
      </c>
      <c r="BU218" s="358">
        <f t="shared" si="478"/>
        <v>34</v>
      </c>
      <c r="BV218" s="359">
        <f t="shared" si="479"/>
        <v>34</v>
      </c>
    </row>
    <row r="219" spans="1:74" ht="20.149999999999999" hidden="1" customHeight="1" outlineLevel="2" x14ac:dyDescent="0.25">
      <c r="A219" s="22" t="s">
        <v>191</v>
      </c>
      <c r="B219" s="8" t="s">
        <v>21</v>
      </c>
      <c r="C219" s="284">
        <f>'Custos Diversos'!$C$21</f>
        <v>136</v>
      </c>
      <c r="D219" s="284">
        <v>1</v>
      </c>
      <c r="E219" s="307">
        <v>1.5</v>
      </c>
      <c r="F219" s="284">
        <v>1.5</v>
      </c>
      <c r="G219" s="284">
        <v>2</v>
      </c>
      <c r="H219" s="284">
        <v>2</v>
      </c>
      <c r="I219" s="284">
        <v>2</v>
      </c>
      <c r="J219" s="284">
        <v>2</v>
      </c>
      <c r="K219" s="284">
        <v>2</v>
      </c>
      <c r="L219" s="358">
        <v>2</v>
      </c>
      <c r="M219" s="358">
        <v>2</v>
      </c>
      <c r="N219" s="358">
        <v>2</v>
      </c>
      <c r="O219" s="358">
        <v>2</v>
      </c>
      <c r="P219" s="358">
        <v>2</v>
      </c>
      <c r="Q219" s="358">
        <v>2</v>
      </c>
      <c r="R219" s="358">
        <v>2</v>
      </c>
      <c r="S219" s="358">
        <v>2</v>
      </c>
      <c r="T219" s="358">
        <v>2</v>
      </c>
      <c r="U219" s="358">
        <v>2</v>
      </c>
      <c r="V219" s="358">
        <f t="shared" si="428"/>
        <v>1</v>
      </c>
      <c r="W219" s="358">
        <f t="shared" si="429"/>
        <v>1.5</v>
      </c>
      <c r="X219" s="358">
        <f t="shared" si="430"/>
        <v>1.5</v>
      </c>
      <c r="Y219" s="358">
        <f t="shared" si="431"/>
        <v>2</v>
      </c>
      <c r="Z219" s="358">
        <f t="shared" si="432"/>
        <v>2</v>
      </c>
      <c r="AA219" s="358">
        <f t="shared" si="433"/>
        <v>2</v>
      </c>
      <c r="AB219" s="358">
        <f t="shared" si="434"/>
        <v>2</v>
      </c>
      <c r="AC219" s="358">
        <f t="shared" si="435"/>
        <v>2</v>
      </c>
      <c r="AD219" s="358">
        <f t="shared" si="436"/>
        <v>2</v>
      </c>
      <c r="AE219" s="358">
        <f t="shared" si="437"/>
        <v>2</v>
      </c>
      <c r="AF219" s="358">
        <f t="shared" si="438"/>
        <v>2</v>
      </c>
      <c r="AG219" s="358">
        <f t="shared" si="439"/>
        <v>2</v>
      </c>
      <c r="AH219" s="358">
        <f t="shared" si="440"/>
        <v>2</v>
      </c>
      <c r="AI219" s="358">
        <f t="shared" si="441"/>
        <v>2</v>
      </c>
      <c r="AJ219" s="358">
        <f t="shared" si="442"/>
        <v>2</v>
      </c>
      <c r="AK219" s="358">
        <f t="shared" si="443"/>
        <v>2</v>
      </c>
      <c r="AL219" s="359">
        <f t="shared" si="444"/>
        <v>2</v>
      </c>
      <c r="AM219" s="636"/>
      <c r="AN219" s="283">
        <f t="shared" si="445"/>
        <v>136</v>
      </c>
      <c r="AO219" s="284">
        <f t="shared" si="446"/>
        <v>204</v>
      </c>
      <c r="AP219" s="284">
        <f t="shared" si="447"/>
        <v>204</v>
      </c>
      <c r="AQ219" s="284">
        <f t="shared" si="448"/>
        <v>272</v>
      </c>
      <c r="AR219" s="284">
        <f t="shared" si="449"/>
        <v>272</v>
      </c>
      <c r="AS219" s="284">
        <f t="shared" si="450"/>
        <v>272</v>
      </c>
      <c r="AT219" s="284">
        <f t="shared" si="451"/>
        <v>272</v>
      </c>
      <c r="AU219" s="284">
        <f t="shared" si="452"/>
        <v>272</v>
      </c>
      <c r="AV219" s="358">
        <f t="shared" si="453"/>
        <v>272</v>
      </c>
      <c r="AW219" s="358">
        <f t="shared" si="454"/>
        <v>272</v>
      </c>
      <c r="AX219" s="358">
        <f t="shared" si="455"/>
        <v>272</v>
      </c>
      <c r="AY219" s="358">
        <f t="shared" si="456"/>
        <v>272</v>
      </c>
      <c r="AZ219" s="358">
        <f t="shared" si="457"/>
        <v>272</v>
      </c>
      <c r="BA219" s="358">
        <f t="shared" si="458"/>
        <v>272</v>
      </c>
      <c r="BB219" s="358">
        <f t="shared" si="459"/>
        <v>272</v>
      </c>
      <c r="BC219" s="358">
        <f t="shared" si="460"/>
        <v>272</v>
      </c>
      <c r="BD219" s="358">
        <f t="shared" si="461"/>
        <v>272</v>
      </c>
      <c r="BE219" s="358">
        <f t="shared" si="462"/>
        <v>272</v>
      </c>
      <c r="BF219" s="358">
        <f t="shared" si="463"/>
        <v>136</v>
      </c>
      <c r="BG219" s="358">
        <f t="shared" si="464"/>
        <v>204</v>
      </c>
      <c r="BH219" s="358">
        <f t="shared" si="465"/>
        <v>204</v>
      </c>
      <c r="BI219" s="358">
        <f t="shared" si="466"/>
        <v>272</v>
      </c>
      <c r="BJ219" s="358">
        <f t="shared" si="467"/>
        <v>272</v>
      </c>
      <c r="BK219" s="358">
        <f t="shared" si="468"/>
        <v>272</v>
      </c>
      <c r="BL219" s="358">
        <f t="shared" si="469"/>
        <v>272</v>
      </c>
      <c r="BM219" s="358">
        <f t="shared" si="470"/>
        <v>272</v>
      </c>
      <c r="BN219" s="358">
        <f t="shared" si="471"/>
        <v>272</v>
      </c>
      <c r="BO219" s="358">
        <f t="shared" si="472"/>
        <v>272</v>
      </c>
      <c r="BP219" s="358">
        <f t="shared" si="473"/>
        <v>272</v>
      </c>
      <c r="BQ219" s="358">
        <f t="shared" si="474"/>
        <v>272</v>
      </c>
      <c r="BR219" s="358">
        <f t="shared" si="475"/>
        <v>272</v>
      </c>
      <c r="BS219" s="358">
        <f t="shared" si="476"/>
        <v>272</v>
      </c>
      <c r="BT219" s="358">
        <f t="shared" si="477"/>
        <v>272</v>
      </c>
      <c r="BU219" s="358">
        <f t="shared" si="478"/>
        <v>272</v>
      </c>
      <c r="BV219" s="359">
        <f t="shared" si="479"/>
        <v>272</v>
      </c>
    </row>
    <row r="220" spans="1:74" ht="20.149999999999999" hidden="1" customHeight="1" outlineLevel="2" x14ac:dyDescent="0.25">
      <c r="A220" s="20" t="s">
        <v>48</v>
      </c>
      <c r="B220" s="8" t="s">
        <v>21</v>
      </c>
      <c r="C220" s="284">
        <f>'Custos Diversos'!$C$21</f>
        <v>136</v>
      </c>
      <c r="D220" s="284">
        <v>1</v>
      </c>
      <c r="E220" s="284">
        <v>0.25</v>
      </c>
      <c r="F220" s="284">
        <v>0.25</v>
      </c>
      <c r="G220" s="284">
        <v>0.25</v>
      </c>
      <c r="H220" s="284">
        <v>0.25</v>
      </c>
      <c r="I220" s="284">
        <v>0.25</v>
      </c>
      <c r="J220" s="284">
        <v>0.25</v>
      </c>
      <c r="K220" s="284">
        <v>0.25</v>
      </c>
      <c r="L220" s="358">
        <v>0.25</v>
      </c>
      <c r="M220" s="358">
        <v>0.25</v>
      </c>
      <c r="N220" s="358">
        <v>0.25</v>
      </c>
      <c r="O220" s="358">
        <v>0.25</v>
      </c>
      <c r="P220" s="358">
        <v>0.25</v>
      </c>
      <c r="Q220" s="358">
        <v>0.25</v>
      </c>
      <c r="R220" s="358">
        <v>0.25</v>
      </c>
      <c r="S220" s="358">
        <v>0.25</v>
      </c>
      <c r="T220" s="358">
        <v>0.25</v>
      </c>
      <c r="U220" s="358">
        <v>0.25</v>
      </c>
      <c r="V220" s="358">
        <f t="shared" si="428"/>
        <v>1</v>
      </c>
      <c r="W220" s="358">
        <f t="shared" si="429"/>
        <v>0.25</v>
      </c>
      <c r="X220" s="358">
        <f t="shared" si="430"/>
        <v>0.25</v>
      </c>
      <c r="Y220" s="358">
        <f t="shared" si="431"/>
        <v>0.25</v>
      </c>
      <c r="Z220" s="358">
        <f t="shared" si="432"/>
        <v>0.25</v>
      </c>
      <c r="AA220" s="358">
        <f t="shared" si="433"/>
        <v>0.25</v>
      </c>
      <c r="AB220" s="358">
        <f t="shared" si="434"/>
        <v>0.25</v>
      </c>
      <c r="AC220" s="358">
        <f t="shared" si="435"/>
        <v>0.25</v>
      </c>
      <c r="AD220" s="358">
        <f t="shared" si="436"/>
        <v>0.25</v>
      </c>
      <c r="AE220" s="358">
        <f t="shared" si="437"/>
        <v>0.25</v>
      </c>
      <c r="AF220" s="358">
        <f t="shared" si="438"/>
        <v>0.25</v>
      </c>
      <c r="AG220" s="358">
        <f t="shared" si="439"/>
        <v>0.25</v>
      </c>
      <c r="AH220" s="358">
        <f t="shared" si="440"/>
        <v>0.25</v>
      </c>
      <c r="AI220" s="358">
        <f t="shared" si="441"/>
        <v>0.25</v>
      </c>
      <c r="AJ220" s="358">
        <f t="shared" si="442"/>
        <v>0.25</v>
      </c>
      <c r="AK220" s="358">
        <f t="shared" si="443"/>
        <v>0.25</v>
      </c>
      <c r="AL220" s="359">
        <f t="shared" si="444"/>
        <v>0.25</v>
      </c>
      <c r="AM220" s="636"/>
      <c r="AN220" s="283">
        <f t="shared" si="445"/>
        <v>136</v>
      </c>
      <c r="AO220" s="284">
        <f t="shared" si="446"/>
        <v>34</v>
      </c>
      <c r="AP220" s="284">
        <f t="shared" si="447"/>
        <v>34</v>
      </c>
      <c r="AQ220" s="284">
        <f t="shared" si="448"/>
        <v>34</v>
      </c>
      <c r="AR220" s="284">
        <f t="shared" si="449"/>
        <v>34</v>
      </c>
      <c r="AS220" s="284">
        <f t="shared" si="450"/>
        <v>34</v>
      </c>
      <c r="AT220" s="284">
        <f t="shared" si="451"/>
        <v>34</v>
      </c>
      <c r="AU220" s="284">
        <f t="shared" si="452"/>
        <v>34</v>
      </c>
      <c r="AV220" s="358">
        <f t="shared" si="453"/>
        <v>34</v>
      </c>
      <c r="AW220" s="358">
        <f t="shared" si="454"/>
        <v>34</v>
      </c>
      <c r="AX220" s="358">
        <f t="shared" si="455"/>
        <v>34</v>
      </c>
      <c r="AY220" s="358">
        <f t="shared" si="456"/>
        <v>34</v>
      </c>
      <c r="AZ220" s="358">
        <f t="shared" si="457"/>
        <v>34</v>
      </c>
      <c r="BA220" s="358">
        <f t="shared" si="458"/>
        <v>34</v>
      </c>
      <c r="BB220" s="358">
        <f t="shared" si="459"/>
        <v>34</v>
      </c>
      <c r="BC220" s="358">
        <f t="shared" si="460"/>
        <v>34</v>
      </c>
      <c r="BD220" s="358">
        <f t="shared" si="461"/>
        <v>34</v>
      </c>
      <c r="BE220" s="358">
        <f t="shared" si="462"/>
        <v>34</v>
      </c>
      <c r="BF220" s="358">
        <f t="shared" si="463"/>
        <v>136</v>
      </c>
      <c r="BG220" s="358">
        <f t="shared" si="464"/>
        <v>34</v>
      </c>
      <c r="BH220" s="358">
        <f t="shared" si="465"/>
        <v>34</v>
      </c>
      <c r="BI220" s="358">
        <f t="shared" si="466"/>
        <v>34</v>
      </c>
      <c r="BJ220" s="358">
        <f t="shared" si="467"/>
        <v>34</v>
      </c>
      <c r="BK220" s="358">
        <f t="shared" si="468"/>
        <v>34</v>
      </c>
      <c r="BL220" s="358">
        <f t="shared" si="469"/>
        <v>34</v>
      </c>
      <c r="BM220" s="358">
        <f t="shared" si="470"/>
        <v>34</v>
      </c>
      <c r="BN220" s="358">
        <f t="shared" si="471"/>
        <v>34</v>
      </c>
      <c r="BO220" s="358">
        <f t="shared" si="472"/>
        <v>34</v>
      </c>
      <c r="BP220" s="358">
        <f t="shared" si="473"/>
        <v>34</v>
      </c>
      <c r="BQ220" s="358">
        <f t="shared" si="474"/>
        <v>34</v>
      </c>
      <c r="BR220" s="358">
        <f t="shared" si="475"/>
        <v>34</v>
      </c>
      <c r="BS220" s="358">
        <f t="shared" si="476"/>
        <v>34</v>
      </c>
      <c r="BT220" s="358">
        <f t="shared" si="477"/>
        <v>34</v>
      </c>
      <c r="BU220" s="358">
        <f t="shared" si="478"/>
        <v>34</v>
      </c>
      <c r="BV220" s="359">
        <f t="shared" si="479"/>
        <v>34</v>
      </c>
    </row>
    <row r="221" spans="1:74" ht="20.149999999999999" hidden="1" customHeight="1" outlineLevel="2" x14ac:dyDescent="0.25">
      <c r="A221" s="22" t="s">
        <v>195</v>
      </c>
      <c r="B221" s="8" t="s">
        <v>21</v>
      </c>
      <c r="C221" s="284">
        <f>'Custos Diversos'!$C$21</f>
        <v>136</v>
      </c>
      <c r="D221" s="284"/>
      <c r="E221" s="284"/>
      <c r="F221" s="284">
        <v>2</v>
      </c>
      <c r="G221" s="284">
        <v>4</v>
      </c>
      <c r="H221" s="284">
        <v>4</v>
      </c>
      <c r="I221" s="284">
        <v>4</v>
      </c>
      <c r="J221" s="284">
        <v>4</v>
      </c>
      <c r="K221" s="284">
        <v>4</v>
      </c>
      <c r="L221" s="358">
        <v>4</v>
      </c>
      <c r="M221" s="358">
        <v>4</v>
      </c>
      <c r="N221" s="358">
        <v>4</v>
      </c>
      <c r="O221" s="358">
        <v>4</v>
      </c>
      <c r="P221" s="358">
        <v>4</v>
      </c>
      <c r="Q221" s="358">
        <v>4</v>
      </c>
      <c r="R221" s="358">
        <v>4</v>
      </c>
      <c r="S221" s="358">
        <v>4</v>
      </c>
      <c r="T221" s="358">
        <v>4</v>
      </c>
      <c r="U221" s="358">
        <v>4</v>
      </c>
      <c r="V221" s="358">
        <f t="shared" si="428"/>
        <v>0</v>
      </c>
      <c r="W221" s="358">
        <f t="shared" si="429"/>
        <v>0</v>
      </c>
      <c r="X221" s="358">
        <f t="shared" si="430"/>
        <v>2</v>
      </c>
      <c r="Y221" s="358">
        <f t="shared" si="431"/>
        <v>4</v>
      </c>
      <c r="Z221" s="358">
        <f t="shared" si="432"/>
        <v>4</v>
      </c>
      <c r="AA221" s="358">
        <f t="shared" si="433"/>
        <v>4</v>
      </c>
      <c r="AB221" s="358">
        <f t="shared" si="434"/>
        <v>4</v>
      </c>
      <c r="AC221" s="358">
        <f t="shared" si="435"/>
        <v>4</v>
      </c>
      <c r="AD221" s="358">
        <f t="shared" si="436"/>
        <v>4</v>
      </c>
      <c r="AE221" s="358">
        <f t="shared" si="437"/>
        <v>4</v>
      </c>
      <c r="AF221" s="358">
        <f t="shared" si="438"/>
        <v>4</v>
      </c>
      <c r="AG221" s="358">
        <f t="shared" si="439"/>
        <v>4</v>
      </c>
      <c r="AH221" s="358">
        <f t="shared" si="440"/>
        <v>4</v>
      </c>
      <c r="AI221" s="358">
        <f t="shared" si="441"/>
        <v>4</v>
      </c>
      <c r="AJ221" s="358">
        <f t="shared" si="442"/>
        <v>4</v>
      </c>
      <c r="AK221" s="358">
        <f t="shared" si="443"/>
        <v>4</v>
      </c>
      <c r="AL221" s="359">
        <f t="shared" si="444"/>
        <v>4</v>
      </c>
      <c r="AM221" s="636"/>
      <c r="AN221" s="283">
        <f t="shared" si="445"/>
        <v>0</v>
      </c>
      <c r="AO221" s="284">
        <f t="shared" si="446"/>
        <v>0</v>
      </c>
      <c r="AP221" s="284">
        <f t="shared" si="447"/>
        <v>272</v>
      </c>
      <c r="AQ221" s="284">
        <f t="shared" si="448"/>
        <v>544</v>
      </c>
      <c r="AR221" s="284">
        <f t="shared" si="449"/>
        <v>544</v>
      </c>
      <c r="AS221" s="284">
        <f t="shared" si="450"/>
        <v>544</v>
      </c>
      <c r="AT221" s="284">
        <f t="shared" si="451"/>
        <v>544</v>
      </c>
      <c r="AU221" s="284">
        <f t="shared" si="452"/>
        <v>544</v>
      </c>
      <c r="AV221" s="358">
        <f t="shared" si="453"/>
        <v>544</v>
      </c>
      <c r="AW221" s="358">
        <f t="shared" si="454"/>
        <v>544</v>
      </c>
      <c r="AX221" s="358">
        <f t="shared" si="455"/>
        <v>544</v>
      </c>
      <c r="AY221" s="358">
        <f t="shared" si="456"/>
        <v>544</v>
      </c>
      <c r="AZ221" s="358">
        <f t="shared" si="457"/>
        <v>544</v>
      </c>
      <c r="BA221" s="358">
        <f t="shared" si="458"/>
        <v>544</v>
      </c>
      <c r="BB221" s="358">
        <f t="shared" si="459"/>
        <v>544</v>
      </c>
      <c r="BC221" s="358">
        <f t="shared" si="460"/>
        <v>544</v>
      </c>
      <c r="BD221" s="358">
        <f t="shared" si="461"/>
        <v>544</v>
      </c>
      <c r="BE221" s="358">
        <f t="shared" si="462"/>
        <v>544</v>
      </c>
      <c r="BF221" s="358">
        <f t="shared" si="463"/>
        <v>0</v>
      </c>
      <c r="BG221" s="358">
        <f t="shared" si="464"/>
        <v>0</v>
      </c>
      <c r="BH221" s="358">
        <f t="shared" si="465"/>
        <v>272</v>
      </c>
      <c r="BI221" s="358">
        <f t="shared" si="466"/>
        <v>544</v>
      </c>
      <c r="BJ221" s="358">
        <f t="shared" si="467"/>
        <v>544</v>
      </c>
      <c r="BK221" s="358">
        <f t="shared" si="468"/>
        <v>544</v>
      </c>
      <c r="BL221" s="358">
        <f t="shared" si="469"/>
        <v>544</v>
      </c>
      <c r="BM221" s="358">
        <f t="shared" si="470"/>
        <v>544</v>
      </c>
      <c r="BN221" s="358">
        <f t="shared" si="471"/>
        <v>544</v>
      </c>
      <c r="BO221" s="358">
        <f t="shared" si="472"/>
        <v>544</v>
      </c>
      <c r="BP221" s="358">
        <f t="shared" si="473"/>
        <v>544</v>
      </c>
      <c r="BQ221" s="358">
        <f t="shared" si="474"/>
        <v>544</v>
      </c>
      <c r="BR221" s="358">
        <f t="shared" si="475"/>
        <v>544</v>
      </c>
      <c r="BS221" s="358">
        <f t="shared" si="476"/>
        <v>544</v>
      </c>
      <c r="BT221" s="358">
        <f t="shared" si="477"/>
        <v>544</v>
      </c>
      <c r="BU221" s="358">
        <f t="shared" si="478"/>
        <v>544</v>
      </c>
      <c r="BV221" s="359">
        <f t="shared" si="479"/>
        <v>544</v>
      </c>
    </row>
    <row r="222" spans="1:74" ht="20.149999999999999" hidden="1" customHeight="1" outlineLevel="2" x14ac:dyDescent="0.25">
      <c r="A222" s="22" t="s">
        <v>193</v>
      </c>
      <c r="B222" s="8" t="s">
        <v>21</v>
      </c>
      <c r="C222" s="284">
        <f>'Custos Diversos'!C84</f>
        <v>145</v>
      </c>
      <c r="D222" s="284">
        <f>AN271*1000/200</f>
        <v>0</v>
      </c>
      <c r="E222" s="284">
        <f>AO271*1000/200</f>
        <v>0</v>
      </c>
      <c r="F222" s="284">
        <f>AP271*1000/800</f>
        <v>9.375</v>
      </c>
      <c r="G222" s="284">
        <f t="shared" ref="G222:U222" si="480">AQ271*1000/1000</f>
        <v>9.4</v>
      </c>
      <c r="H222" s="284">
        <f t="shared" si="480"/>
        <v>16.899999999999999</v>
      </c>
      <c r="I222" s="284">
        <f t="shared" si="480"/>
        <v>18.8</v>
      </c>
      <c r="J222" s="284">
        <f t="shared" si="480"/>
        <v>23.5</v>
      </c>
      <c r="K222" s="284">
        <f t="shared" si="480"/>
        <v>28.2</v>
      </c>
      <c r="L222" s="358">
        <f t="shared" si="480"/>
        <v>28.2</v>
      </c>
      <c r="M222" s="358">
        <f t="shared" si="480"/>
        <v>28.2</v>
      </c>
      <c r="N222" s="358">
        <f t="shared" si="480"/>
        <v>23.5</v>
      </c>
      <c r="O222" s="358">
        <f t="shared" si="480"/>
        <v>26.3</v>
      </c>
      <c r="P222" s="358">
        <f t="shared" si="480"/>
        <v>23.5</v>
      </c>
      <c r="Q222" s="358">
        <f t="shared" si="480"/>
        <v>23.5</v>
      </c>
      <c r="R222" s="358">
        <f t="shared" si="480"/>
        <v>23.5</v>
      </c>
      <c r="S222" s="358">
        <f t="shared" si="480"/>
        <v>18.8</v>
      </c>
      <c r="T222" s="358">
        <f t="shared" si="480"/>
        <v>18.8</v>
      </c>
      <c r="U222" s="358">
        <f t="shared" si="480"/>
        <v>16.899999999999999</v>
      </c>
      <c r="V222" s="358">
        <f t="shared" si="428"/>
        <v>0</v>
      </c>
      <c r="W222" s="358">
        <f t="shared" si="429"/>
        <v>0</v>
      </c>
      <c r="X222" s="358">
        <f t="shared" si="430"/>
        <v>9.375</v>
      </c>
      <c r="Y222" s="358">
        <f t="shared" si="431"/>
        <v>9.4</v>
      </c>
      <c r="Z222" s="358">
        <f t="shared" si="432"/>
        <v>16.899999999999999</v>
      </c>
      <c r="AA222" s="358">
        <f t="shared" si="433"/>
        <v>18.8</v>
      </c>
      <c r="AB222" s="358">
        <f t="shared" si="434"/>
        <v>23.5</v>
      </c>
      <c r="AC222" s="358">
        <f t="shared" si="435"/>
        <v>28.2</v>
      </c>
      <c r="AD222" s="358">
        <f t="shared" si="436"/>
        <v>28.2</v>
      </c>
      <c r="AE222" s="358">
        <f t="shared" si="437"/>
        <v>28.2</v>
      </c>
      <c r="AF222" s="358">
        <f t="shared" si="438"/>
        <v>23.5</v>
      </c>
      <c r="AG222" s="358">
        <f t="shared" si="439"/>
        <v>26.3</v>
      </c>
      <c r="AH222" s="358">
        <f t="shared" si="440"/>
        <v>23.5</v>
      </c>
      <c r="AI222" s="358">
        <f t="shared" si="441"/>
        <v>23.5</v>
      </c>
      <c r="AJ222" s="358">
        <f t="shared" si="442"/>
        <v>23.5</v>
      </c>
      <c r="AK222" s="358">
        <f t="shared" si="443"/>
        <v>18.8</v>
      </c>
      <c r="AL222" s="359">
        <f t="shared" si="444"/>
        <v>18.8</v>
      </c>
      <c r="AM222" s="636"/>
      <c r="AN222" s="283">
        <f t="shared" si="445"/>
        <v>0</v>
      </c>
      <c r="AO222" s="284">
        <f t="shared" si="446"/>
        <v>0</v>
      </c>
      <c r="AP222" s="284">
        <f t="shared" si="447"/>
        <v>1359.375</v>
      </c>
      <c r="AQ222" s="284">
        <f t="shared" si="448"/>
        <v>1363</v>
      </c>
      <c r="AR222" s="284">
        <f t="shared" si="449"/>
        <v>2450.5</v>
      </c>
      <c r="AS222" s="284">
        <f t="shared" si="450"/>
        <v>2726</v>
      </c>
      <c r="AT222" s="284">
        <f t="shared" si="451"/>
        <v>3407.5</v>
      </c>
      <c r="AU222" s="284">
        <f t="shared" si="452"/>
        <v>4089</v>
      </c>
      <c r="AV222" s="358">
        <f t="shared" si="453"/>
        <v>4089</v>
      </c>
      <c r="AW222" s="358">
        <f t="shared" si="454"/>
        <v>4089</v>
      </c>
      <c r="AX222" s="358">
        <f t="shared" si="455"/>
        <v>3407.5</v>
      </c>
      <c r="AY222" s="358">
        <f t="shared" si="456"/>
        <v>3813.5</v>
      </c>
      <c r="AZ222" s="358">
        <f t="shared" si="457"/>
        <v>3407.5</v>
      </c>
      <c r="BA222" s="358">
        <f t="shared" si="458"/>
        <v>3407.5</v>
      </c>
      <c r="BB222" s="358">
        <f t="shared" si="459"/>
        <v>3407.5</v>
      </c>
      <c r="BC222" s="358">
        <f t="shared" si="460"/>
        <v>2726</v>
      </c>
      <c r="BD222" s="358">
        <f t="shared" si="461"/>
        <v>2726</v>
      </c>
      <c r="BE222" s="358">
        <f t="shared" si="462"/>
        <v>2450.5</v>
      </c>
      <c r="BF222" s="358">
        <f t="shared" si="463"/>
        <v>0</v>
      </c>
      <c r="BG222" s="358">
        <f t="shared" si="464"/>
        <v>0</v>
      </c>
      <c r="BH222" s="358">
        <f t="shared" si="465"/>
        <v>1359.375</v>
      </c>
      <c r="BI222" s="358">
        <f t="shared" si="466"/>
        <v>1363</v>
      </c>
      <c r="BJ222" s="358">
        <f t="shared" si="467"/>
        <v>2450.5</v>
      </c>
      <c r="BK222" s="358">
        <f t="shared" si="468"/>
        <v>2726</v>
      </c>
      <c r="BL222" s="358">
        <f t="shared" si="469"/>
        <v>3407.5</v>
      </c>
      <c r="BM222" s="358">
        <f t="shared" si="470"/>
        <v>4089</v>
      </c>
      <c r="BN222" s="358">
        <f t="shared" si="471"/>
        <v>4089</v>
      </c>
      <c r="BO222" s="358">
        <f t="shared" si="472"/>
        <v>4089</v>
      </c>
      <c r="BP222" s="358">
        <f t="shared" si="473"/>
        <v>3407.5</v>
      </c>
      <c r="BQ222" s="358">
        <f t="shared" si="474"/>
        <v>3813.5</v>
      </c>
      <c r="BR222" s="358">
        <f t="shared" si="475"/>
        <v>3407.5</v>
      </c>
      <c r="BS222" s="358">
        <f t="shared" si="476"/>
        <v>3407.5</v>
      </c>
      <c r="BT222" s="358">
        <f t="shared" si="477"/>
        <v>3407.5</v>
      </c>
      <c r="BU222" s="358">
        <f t="shared" si="478"/>
        <v>2726</v>
      </c>
      <c r="BV222" s="359">
        <f t="shared" si="479"/>
        <v>2726</v>
      </c>
    </row>
    <row r="223" spans="1:74" ht="20.149999999999999" hidden="1" customHeight="1" outlineLevel="2" x14ac:dyDescent="0.25">
      <c r="A223" s="22" t="s">
        <v>194</v>
      </c>
      <c r="B223" s="12" t="s">
        <v>21</v>
      </c>
      <c r="C223" s="284">
        <f>'Custos Diversos'!C98</f>
        <v>150</v>
      </c>
      <c r="D223" s="284">
        <f>AN271*1000/200</f>
        <v>0</v>
      </c>
      <c r="E223" s="284">
        <f>AO271*1000/200</f>
        <v>0</v>
      </c>
      <c r="F223" s="284">
        <f t="shared" ref="F223:U223" si="481">AP271*1000/1200</f>
        <v>6.25</v>
      </c>
      <c r="G223" s="284">
        <f t="shared" si="481"/>
        <v>7.833333333333333</v>
      </c>
      <c r="H223" s="284">
        <f t="shared" si="481"/>
        <v>14.083333333333334</v>
      </c>
      <c r="I223" s="284">
        <f t="shared" si="481"/>
        <v>15.666666666666666</v>
      </c>
      <c r="J223" s="284">
        <f t="shared" si="481"/>
        <v>19.583333333333332</v>
      </c>
      <c r="K223" s="284">
        <f t="shared" si="481"/>
        <v>23.5</v>
      </c>
      <c r="L223" s="358">
        <f t="shared" si="481"/>
        <v>23.5</v>
      </c>
      <c r="M223" s="358">
        <f t="shared" si="481"/>
        <v>23.5</v>
      </c>
      <c r="N223" s="358">
        <f t="shared" si="481"/>
        <v>19.583333333333332</v>
      </c>
      <c r="O223" s="358">
        <f t="shared" si="481"/>
        <v>21.916666666666668</v>
      </c>
      <c r="P223" s="358">
        <f t="shared" si="481"/>
        <v>19.583333333333332</v>
      </c>
      <c r="Q223" s="358">
        <f t="shared" si="481"/>
        <v>19.583333333333332</v>
      </c>
      <c r="R223" s="358">
        <f t="shared" si="481"/>
        <v>19.583333333333332</v>
      </c>
      <c r="S223" s="358">
        <f t="shared" si="481"/>
        <v>15.666666666666666</v>
      </c>
      <c r="T223" s="358">
        <f t="shared" si="481"/>
        <v>15.666666666666666</v>
      </c>
      <c r="U223" s="358">
        <f t="shared" si="481"/>
        <v>14.083333333333334</v>
      </c>
      <c r="V223" s="358">
        <f t="shared" si="428"/>
        <v>0</v>
      </c>
      <c r="W223" s="358">
        <f t="shared" si="429"/>
        <v>0</v>
      </c>
      <c r="X223" s="358">
        <f t="shared" si="430"/>
        <v>6.25</v>
      </c>
      <c r="Y223" s="358">
        <f t="shared" si="431"/>
        <v>7.833333333333333</v>
      </c>
      <c r="Z223" s="358">
        <f t="shared" si="432"/>
        <v>14.083333333333334</v>
      </c>
      <c r="AA223" s="358">
        <f t="shared" si="433"/>
        <v>15.666666666666666</v>
      </c>
      <c r="AB223" s="358">
        <f t="shared" si="434"/>
        <v>19.583333333333332</v>
      </c>
      <c r="AC223" s="358">
        <f t="shared" si="435"/>
        <v>23.5</v>
      </c>
      <c r="AD223" s="358">
        <f t="shared" si="436"/>
        <v>23.5</v>
      </c>
      <c r="AE223" s="358">
        <f t="shared" si="437"/>
        <v>23.5</v>
      </c>
      <c r="AF223" s="358">
        <f t="shared" si="438"/>
        <v>19.583333333333332</v>
      </c>
      <c r="AG223" s="358">
        <f t="shared" si="439"/>
        <v>21.916666666666668</v>
      </c>
      <c r="AH223" s="358">
        <f t="shared" si="440"/>
        <v>19.583333333333332</v>
      </c>
      <c r="AI223" s="358">
        <f t="shared" si="441"/>
        <v>19.583333333333332</v>
      </c>
      <c r="AJ223" s="358">
        <f t="shared" si="442"/>
        <v>19.583333333333332</v>
      </c>
      <c r="AK223" s="358">
        <f t="shared" si="443"/>
        <v>15.666666666666666</v>
      </c>
      <c r="AL223" s="359">
        <f t="shared" si="444"/>
        <v>15.666666666666666</v>
      </c>
      <c r="AM223" s="636"/>
      <c r="AN223" s="283">
        <f t="shared" si="445"/>
        <v>0</v>
      </c>
      <c r="AO223" s="284">
        <f t="shared" si="446"/>
        <v>0</v>
      </c>
      <c r="AP223" s="284">
        <f t="shared" si="447"/>
        <v>937.5</v>
      </c>
      <c r="AQ223" s="284">
        <f t="shared" si="448"/>
        <v>1175</v>
      </c>
      <c r="AR223" s="284">
        <f t="shared" si="449"/>
        <v>2112.5</v>
      </c>
      <c r="AS223" s="284">
        <f t="shared" si="450"/>
        <v>2350</v>
      </c>
      <c r="AT223" s="284">
        <f t="shared" si="451"/>
        <v>2937.5</v>
      </c>
      <c r="AU223" s="284">
        <f t="shared" si="452"/>
        <v>3525</v>
      </c>
      <c r="AV223" s="358">
        <f t="shared" si="453"/>
        <v>3525</v>
      </c>
      <c r="AW223" s="358">
        <f t="shared" si="454"/>
        <v>3525</v>
      </c>
      <c r="AX223" s="358">
        <f t="shared" si="455"/>
        <v>2937.5</v>
      </c>
      <c r="AY223" s="358">
        <f t="shared" si="456"/>
        <v>3287.5</v>
      </c>
      <c r="AZ223" s="358">
        <f t="shared" si="457"/>
        <v>2937.5</v>
      </c>
      <c r="BA223" s="358">
        <f t="shared" si="458"/>
        <v>2937.5</v>
      </c>
      <c r="BB223" s="358">
        <f t="shared" si="459"/>
        <v>2937.5</v>
      </c>
      <c r="BC223" s="358">
        <f t="shared" si="460"/>
        <v>2350</v>
      </c>
      <c r="BD223" s="358">
        <f t="shared" si="461"/>
        <v>2350</v>
      </c>
      <c r="BE223" s="358">
        <f t="shared" si="462"/>
        <v>2112.5</v>
      </c>
      <c r="BF223" s="358">
        <f t="shared" si="463"/>
        <v>0</v>
      </c>
      <c r="BG223" s="358">
        <f t="shared" si="464"/>
        <v>0</v>
      </c>
      <c r="BH223" s="358">
        <f t="shared" si="465"/>
        <v>937.5</v>
      </c>
      <c r="BI223" s="358">
        <f t="shared" si="466"/>
        <v>1175</v>
      </c>
      <c r="BJ223" s="358">
        <f t="shared" si="467"/>
        <v>2112.5</v>
      </c>
      <c r="BK223" s="358">
        <f t="shared" si="468"/>
        <v>2350</v>
      </c>
      <c r="BL223" s="358">
        <f t="shared" si="469"/>
        <v>2937.5</v>
      </c>
      <c r="BM223" s="358">
        <f t="shared" si="470"/>
        <v>3525</v>
      </c>
      <c r="BN223" s="358">
        <f t="shared" si="471"/>
        <v>3525</v>
      </c>
      <c r="BO223" s="358">
        <f t="shared" si="472"/>
        <v>3525</v>
      </c>
      <c r="BP223" s="358">
        <f t="shared" si="473"/>
        <v>2937.5</v>
      </c>
      <c r="BQ223" s="358">
        <f t="shared" si="474"/>
        <v>3287.5</v>
      </c>
      <c r="BR223" s="358">
        <f t="shared" si="475"/>
        <v>2937.5</v>
      </c>
      <c r="BS223" s="358">
        <f t="shared" si="476"/>
        <v>2937.5</v>
      </c>
      <c r="BT223" s="358">
        <f t="shared" si="477"/>
        <v>2937.5</v>
      </c>
      <c r="BU223" s="358">
        <f t="shared" si="478"/>
        <v>2350</v>
      </c>
      <c r="BV223" s="359">
        <f t="shared" si="479"/>
        <v>2350</v>
      </c>
    </row>
    <row r="224" spans="1:74" ht="20.149999999999999" hidden="1" customHeight="1" outlineLevel="2" x14ac:dyDescent="0.25">
      <c r="A224" s="22" t="s">
        <v>92</v>
      </c>
      <c r="B224" s="8" t="s">
        <v>21</v>
      </c>
      <c r="C224" s="284">
        <f>'Custos Diversos'!$C$21</f>
        <v>136</v>
      </c>
      <c r="D224" s="284">
        <v>3</v>
      </c>
      <c r="E224" s="284">
        <v>0.25</v>
      </c>
      <c r="F224" s="284">
        <v>0.25</v>
      </c>
      <c r="G224" s="284">
        <v>0.25</v>
      </c>
      <c r="H224" s="284">
        <v>0.25</v>
      </c>
      <c r="I224" s="284">
        <v>0.25</v>
      </c>
      <c r="J224" s="284">
        <v>0.25</v>
      </c>
      <c r="K224" s="284">
        <v>0.25</v>
      </c>
      <c r="L224" s="358">
        <v>0.25</v>
      </c>
      <c r="M224" s="358">
        <v>0.25</v>
      </c>
      <c r="N224" s="358">
        <v>0.25</v>
      </c>
      <c r="O224" s="358">
        <v>0.25</v>
      </c>
      <c r="P224" s="358">
        <v>0.25</v>
      </c>
      <c r="Q224" s="358">
        <v>0.25</v>
      </c>
      <c r="R224" s="358">
        <v>0.25</v>
      </c>
      <c r="S224" s="358">
        <v>0.25</v>
      </c>
      <c r="T224" s="358">
        <v>0.25</v>
      </c>
      <c r="U224" s="358">
        <v>0.25</v>
      </c>
      <c r="V224" s="358">
        <f t="shared" si="428"/>
        <v>3</v>
      </c>
      <c r="W224" s="358">
        <f t="shared" si="429"/>
        <v>0.25</v>
      </c>
      <c r="X224" s="358">
        <f t="shared" si="430"/>
        <v>0.25</v>
      </c>
      <c r="Y224" s="358">
        <f t="shared" si="431"/>
        <v>0.25</v>
      </c>
      <c r="Z224" s="358">
        <f t="shared" si="432"/>
        <v>0.25</v>
      </c>
      <c r="AA224" s="358">
        <f t="shared" si="433"/>
        <v>0.25</v>
      </c>
      <c r="AB224" s="358">
        <f t="shared" si="434"/>
        <v>0.25</v>
      </c>
      <c r="AC224" s="358">
        <f t="shared" si="435"/>
        <v>0.25</v>
      </c>
      <c r="AD224" s="358">
        <f t="shared" si="436"/>
        <v>0.25</v>
      </c>
      <c r="AE224" s="358">
        <f t="shared" si="437"/>
        <v>0.25</v>
      </c>
      <c r="AF224" s="358">
        <f t="shared" si="438"/>
        <v>0.25</v>
      </c>
      <c r="AG224" s="358">
        <f t="shared" si="439"/>
        <v>0.25</v>
      </c>
      <c r="AH224" s="358">
        <f t="shared" si="440"/>
        <v>0.25</v>
      </c>
      <c r="AI224" s="358">
        <f t="shared" si="441"/>
        <v>0.25</v>
      </c>
      <c r="AJ224" s="358">
        <f t="shared" si="442"/>
        <v>0.25</v>
      </c>
      <c r="AK224" s="358">
        <f t="shared" si="443"/>
        <v>0.25</v>
      </c>
      <c r="AL224" s="359">
        <f t="shared" si="444"/>
        <v>0.25</v>
      </c>
      <c r="AM224" s="636"/>
      <c r="AN224" s="283">
        <f t="shared" si="445"/>
        <v>408</v>
      </c>
      <c r="AO224" s="284">
        <f t="shared" si="446"/>
        <v>34</v>
      </c>
      <c r="AP224" s="284">
        <f t="shared" si="447"/>
        <v>34</v>
      </c>
      <c r="AQ224" s="284">
        <f t="shared" si="448"/>
        <v>34</v>
      </c>
      <c r="AR224" s="284">
        <f t="shared" si="449"/>
        <v>34</v>
      </c>
      <c r="AS224" s="284">
        <f t="shared" si="450"/>
        <v>34</v>
      </c>
      <c r="AT224" s="284">
        <f t="shared" si="451"/>
        <v>34</v>
      </c>
      <c r="AU224" s="284">
        <f t="shared" si="452"/>
        <v>34</v>
      </c>
      <c r="AV224" s="358">
        <f t="shared" si="453"/>
        <v>34</v>
      </c>
      <c r="AW224" s="358">
        <f t="shared" si="454"/>
        <v>34</v>
      </c>
      <c r="AX224" s="358">
        <f t="shared" si="455"/>
        <v>34</v>
      </c>
      <c r="AY224" s="358">
        <f t="shared" si="456"/>
        <v>34</v>
      </c>
      <c r="AZ224" s="358">
        <f t="shared" si="457"/>
        <v>34</v>
      </c>
      <c r="BA224" s="358">
        <f t="shared" si="458"/>
        <v>34</v>
      </c>
      <c r="BB224" s="358">
        <f t="shared" si="459"/>
        <v>34</v>
      </c>
      <c r="BC224" s="358">
        <f t="shared" si="460"/>
        <v>34</v>
      </c>
      <c r="BD224" s="358">
        <f t="shared" si="461"/>
        <v>34</v>
      </c>
      <c r="BE224" s="358">
        <f t="shared" si="462"/>
        <v>34</v>
      </c>
      <c r="BF224" s="358">
        <f t="shared" si="463"/>
        <v>408</v>
      </c>
      <c r="BG224" s="358">
        <f t="shared" si="464"/>
        <v>34</v>
      </c>
      <c r="BH224" s="358">
        <f t="shared" si="465"/>
        <v>34</v>
      </c>
      <c r="BI224" s="358">
        <f t="shared" si="466"/>
        <v>34</v>
      </c>
      <c r="BJ224" s="358">
        <f t="shared" si="467"/>
        <v>34</v>
      </c>
      <c r="BK224" s="358">
        <f t="shared" si="468"/>
        <v>34</v>
      </c>
      <c r="BL224" s="358">
        <f t="shared" si="469"/>
        <v>34</v>
      </c>
      <c r="BM224" s="358">
        <f t="shared" si="470"/>
        <v>34</v>
      </c>
      <c r="BN224" s="358">
        <f t="shared" si="471"/>
        <v>34</v>
      </c>
      <c r="BO224" s="358">
        <f t="shared" si="472"/>
        <v>34</v>
      </c>
      <c r="BP224" s="358">
        <f t="shared" si="473"/>
        <v>34</v>
      </c>
      <c r="BQ224" s="358">
        <f t="shared" si="474"/>
        <v>34</v>
      </c>
      <c r="BR224" s="358">
        <f t="shared" si="475"/>
        <v>34</v>
      </c>
      <c r="BS224" s="358">
        <f t="shared" si="476"/>
        <v>34</v>
      </c>
      <c r="BT224" s="358">
        <f t="shared" si="477"/>
        <v>34</v>
      </c>
      <c r="BU224" s="358">
        <f t="shared" si="478"/>
        <v>34</v>
      </c>
      <c r="BV224" s="359">
        <f t="shared" si="479"/>
        <v>34</v>
      </c>
    </row>
    <row r="225" spans="1:74" ht="20.149999999999999" hidden="1" customHeight="1" outlineLevel="2" x14ac:dyDescent="0.25">
      <c r="A225" s="20" t="s">
        <v>50</v>
      </c>
      <c r="B225" s="8" t="s">
        <v>21</v>
      </c>
      <c r="C225" s="284">
        <f>'Custos Diversos'!$C$21</f>
        <v>136</v>
      </c>
      <c r="D225" s="284">
        <v>4</v>
      </c>
      <c r="E225" s="284">
        <v>6</v>
      </c>
      <c r="F225" s="284">
        <v>6</v>
      </c>
      <c r="G225" s="284">
        <v>6</v>
      </c>
      <c r="H225" s="284">
        <v>6</v>
      </c>
      <c r="I225" s="284">
        <v>6</v>
      </c>
      <c r="J225" s="284">
        <v>6</v>
      </c>
      <c r="K225" s="284">
        <v>6</v>
      </c>
      <c r="L225" s="358">
        <v>6</v>
      </c>
      <c r="M225" s="358">
        <v>6</v>
      </c>
      <c r="N225" s="358">
        <v>6</v>
      </c>
      <c r="O225" s="358">
        <v>6</v>
      </c>
      <c r="P225" s="358">
        <v>6</v>
      </c>
      <c r="Q225" s="358">
        <v>6</v>
      </c>
      <c r="R225" s="358">
        <v>6</v>
      </c>
      <c r="S225" s="358">
        <v>6</v>
      </c>
      <c r="T225" s="358">
        <v>6</v>
      </c>
      <c r="U225" s="358">
        <v>6</v>
      </c>
      <c r="V225" s="358">
        <f t="shared" si="428"/>
        <v>4</v>
      </c>
      <c r="W225" s="358">
        <f t="shared" si="429"/>
        <v>6</v>
      </c>
      <c r="X225" s="358">
        <f t="shared" si="430"/>
        <v>6</v>
      </c>
      <c r="Y225" s="358">
        <f t="shared" si="431"/>
        <v>6</v>
      </c>
      <c r="Z225" s="358">
        <f t="shared" si="432"/>
        <v>6</v>
      </c>
      <c r="AA225" s="358">
        <f t="shared" si="433"/>
        <v>6</v>
      </c>
      <c r="AB225" s="358">
        <f t="shared" si="434"/>
        <v>6</v>
      </c>
      <c r="AC225" s="358">
        <f t="shared" si="435"/>
        <v>6</v>
      </c>
      <c r="AD225" s="358">
        <f t="shared" si="436"/>
        <v>6</v>
      </c>
      <c r="AE225" s="358">
        <f t="shared" si="437"/>
        <v>6</v>
      </c>
      <c r="AF225" s="358">
        <f t="shared" si="438"/>
        <v>6</v>
      </c>
      <c r="AG225" s="358">
        <f t="shared" si="439"/>
        <v>6</v>
      </c>
      <c r="AH225" s="358">
        <f t="shared" si="440"/>
        <v>6</v>
      </c>
      <c r="AI225" s="358">
        <f t="shared" si="441"/>
        <v>6</v>
      </c>
      <c r="AJ225" s="358">
        <f t="shared" si="442"/>
        <v>6</v>
      </c>
      <c r="AK225" s="358">
        <f t="shared" si="443"/>
        <v>6</v>
      </c>
      <c r="AL225" s="359">
        <f t="shared" si="444"/>
        <v>6</v>
      </c>
      <c r="AM225" s="636"/>
      <c r="AN225" s="283">
        <f t="shared" si="445"/>
        <v>544</v>
      </c>
      <c r="AO225" s="284">
        <f t="shared" si="446"/>
        <v>816</v>
      </c>
      <c r="AP225" s="284">
        <f t="shared" si="447"/>
        <v>816</v>
      </c>
      <c r="AQ225" s="284">
        <f t="shared" si="448"/>
        <v>816</v>
      </c>
      <c r="AR225" s="284">
        <f t="shared" si="449"/>
        <v>816</v>
      </c>
      <c r="AS225" s="284">
        <f t="shared" si="450"/>
        <v>816</v>
      </c>
      <c r="AT225" s="284">
        <f t="shared" si="451"/>
        <v>816</v>
      </c>
      <c r="AU225" s="284">
        <f t="shared" si="452"/>
        <v>816</v>
      </c>
      <c r="AV225" s="358">
        <f t="shared" si="453"/>
        <v>816</v>
      </c>
      <c r="AW225" s="358">
        <f t="shared" si="454"/>
        <v>816</v>
      </c>
      <c r="AX225" s="358">
        <f t="shared" si="455"/>
        <v>816</v>
      </c>
      <c r="AY225" s="358">
        <f t="shared" si="456"/>
        <v>816</v>
      </c>
      <c r="AZ225" s="358">
        <f t="shared" si="457"/>
        <v>816</v>
      </c>
      <c r="BA225" s="358">
        <f t="shared" si="458"/>
        <v>816</v>
      </c>
      <c r="BB225" s="358">
        <f t="shared" si="459"/>
        <v>816</v>
      </c>
      <c r="BC225" s="358">
        <f t="shared" si="460"/>
        <v>816</v>
      </c>
      <c r="BD225" s="358">
        <f t="shared" si="461"/>
        <v>816</v>
      </c>
      <c r="BE225" s="358">
        <f t="shared" si="462"/>
        <v>816</v>
      </c>
      <c r="BF225" s="358">
        <f t="shared" si="463"/>
        <v>544</v>
      </c>
      <c r="BG225" s="358">
        <f t="shared" si="464"/>
        <v>816</v>
      </c>
      <c r="BH225" s="358">
        <f t="shared" si="465"/>
        <v>816</v>
      </c>
      <c r="BI225" s="358">
        <f t="shared" si="466"/>
        <v>816</v>
      </c>
      <c r="BJ225" s="358">
        <f t="shared" si="467"/>
        <v>816</v>
      </c>
      <c r="BK225" s="358">
        <f t="shared" si="468"/>
        <v>816</v>
      </c>
      <c r="BL225" s="358">
        <f t="shared" si="469"/>
        <v>816</v>
      </c>
      <c r="BM225" s="358">
        <f t="shared" si="470"/>
        <v>816</v>
      </c>
      <c r="BN225" s="358">
        <f t="shared" si="471"/>
        <v>816</v>
      </c>
      <c r="BO225" s="358">
        <f t="shared" si="472"/>
        <v>816</v>
      </c>
      <c r="BP225" s="358">
        <f t="shared" si="473"/>
        <v>816</v>
      </c>
      <c r="BQ225" s="358">
        <f t="shared" si="474"/>
        <v>816</v>
      </c>
      <c r="BR225" s="358">
        <f t="shared" si="475"/>
        <v>816</v>
      </c>
      <c r="BS225" s="358">
        <f t="shared" si="476"/>
        <v>816</v>
      </c>
      <c r="BT225" s="358">
        <f t="shared" si="477"/>
        <v>816</v>
      </c>
      <c r="BU225" s="358">
        <f t="shared" si="478"/>
        <v>816</v>
      </c>
      <c r="BV225" s="359">
        <f t="shared" si="479"/>
        <v>816</v>
      </c>
    </row>
    <row r="226" spans="1:74" ht="20.149999999999999" hidden="1" customHeight="1" outlineLevel="2" thickBot="1" x14ac:dyDescent="0.3">
      <c r="A226" s="326" t="s">
        <v>51</v>
      </c>
      <c r="B226" s="35" t="s">
        <v>21</v>
      </c>
      <c r="C226" s="322">
        <f>'Custos Diversos'!$C$21</f>
        <v>136</v>
      </c>
      <c r="D226" s="322">
        <v>3</v>
      </c>
      <c r="E226" s="322">
        <v>5</v>
      </c>
      <c r="F226" s="322">
        <v>5</v>
      </c>
      <c r="G226" s="322">
        <v>5</v>
      </c>
      <c r="H226" s="322">
        <v>5</v>
      </c>
      <c r="I226" s="322">
        <v>5</v>
      </c>
      <c r="J226" s="322">
        <v>5</v>
      </c>
      <c r="K226" s="322">
        <v>5</v>
      </c>
      <c r="L226" s="360">
        <v>5</v>
      </c>
      <c r="M226" s="360">
        <v>5</v>
      </c>
      <c r="N226" s="360">
        <v>5</v>
      </c>
      <c r="O226" s="360">
        <v>5</v>
      </c>
      <c r="P226" s="360">
        <v>5</v>
      </c>
      <c r="Q226" s="360">
        <v>5</v>
      </c>
      <c r="R226" s="360">
        <v>5</v>
      </c>
      <c r="S226" s="360">
        <v>5</v>
      </c>
      <c r="T226" s="360">
        <v>5</v>
      </c>
      <c r="U226" s="360">
        <v>5</v>
      </c>
      <c r="V226" s="360">
        <f t="shared" si="428"/>
        <v>3</v>
      </c>
      <c r="W226" s="360">
        <f t="shared" si="429"/>
        <v>5</v>
      </c>
      <c r="X226" s="360">
        <f t="shared" si="430"/>
        <v>5</v>
      </c>
      <c r="Y226" s="360">
        <f t="shared" si="431"/>
        <v>5</v>
      </c>
      <c r="Z226" s="360">
        <f t="shared" si="432"/>
        <v>5</v>
      </c>
      <c r="AA226" s="360">
        <f t="shared" si="433"/>
        <v>5</v>
      </c>
      <c r="AB226" s="360">
        <f t="shared" si="434"/>
        <v>5</v>
      </c>
      <c r="AC226" s="360">
        <f t="shared" si="435"/>
        <v>5</v>
      </c>
      <c r="AD226" s="360">
        <f t="shared" si="436"/>
        <v>5</v>
      </c>
      <c r="AE226" s="360">
        <f t="shared" si="437"/>
        <v>5</v>
      </c>
      <c r="AF226" s="360">
        <f t="shared" si="438"/>
        <v>5</v>
      </c>
      <c r="AG226" s="360">
        <f t="shared" si="439"/>
        <v>5</v>
      </c>
      <c r="AH226" s="360">
        <f t="shared" si="440"/>
        <v>5</v>
      </c>
      <c r="AI226" s="360">
        <f t="shared" si="441"/>
        <v>5</v>
      </c>
      <c r="AJ226" s="360">
        <f t="shared" si="442"/>
        <v>5</v>
      </c>
      <c r="AK226" s="360">
        <f t="shared" si="443"/>
        <v>5</v>
      </c>
      <c r="AL226" s="361">
        <f t="shared" si="444"/>
        <v>5</v>
      </c>
      <c r="AM226" s="636"/>
      <c r="AN226" s="288">
        <f t="shared" si="445"/>
        <v>408</v>
      </c>
      <c r="AO226" s="289">
        <f t="shared" si="446"/>
        <v>680</v>
      </c>
      <c r="AP226" s="289">
        <f t="shared" si="447"/>
        <v>680</v>
      </c>
      <c r="AQ226" s="289">
        <f t="shared" si="448"/>
        <v>680</v>
      </c>
      <c r="AR226" s="289">
        <f t="shared" si="449"/>
        <v>680</v>
      </c>
      <c r="AS226" s="289">
        <f t="shared" si="450"/>
        <v>680</v>
      </c>
      <c r="AT226" s="289">
        <f t="shared" si="451"/>
        <v>680</v>
      </c>
      <c r="AU226" s="289">
        <f t="shared" si="452"/>
        <v>680</v>
      </c>
      <c r="AV226" s="402">
        <f t="shared" si="453"/>
        <v>680</v>
      </c>
      <c r="AW226" s="402">
        <f t="shared" si="454"/>
        <v>680</v>
      </c>
      <c r="AX226" s="402">
        <f t="shared" si="455"/>
        <v>680</v>
      </c>
      <c r="AY226" s="402">
        <f t="shared" si="456"/>
        <v>680</v>
      </c>
      <c r="AZ226" s="402">
        <f t="shared" si="457"/>
        <v>680</v>
      </c>
      <c r="BA226" s="402">
        <f t="shared" si="458"/>
        <v>680</v>
      </c>
      <c r="BB226" s="402">
        <f t="shared" si="459"/>
        <v>680</v>
      </c>
      <c r="BC226" s="402">
        <f t="shared" si="460"/>
        <v>680</v>
      </c>
      <c r="BD226" s="402">
        <f t="shared" si="461"/>
        <v>680</v>
      </c>
      <c r="BE226" s="402">
        <f t="shared" si="462"/>
        <v>680</v>
      </c>
      <c r="BF226" s="402">
        <f t="shared" si="463"/>
        <v>408</v>
      </c>
      <c r="BG226" s="402">
        <f t="shared" si="464"/>
        <v>680</v>
      </c>
      <c r="BH226" s="402">
        <f t="shared" si="465"/>
        <v>680</v>
      </c>
      <c r="BI226" s="402">
        <f t="shared" si="466"/>
        <v>680</v>
      </c>
      <c r="BJ226" s="402">
        <f t="shared" si="467"/>
        <v>680</v>
      </c>
      <c r="BK226" s="402">
        <f t="shared" si="468"/>
        <v>680</v>
      </c>
      <c r="BL226" s="402">
        <f t="shared" si="469"/>
        <v>680</v>
      </c>
      <c r="BM226" s="402">
        <f t="shared" si="470"/>
        <v>680</v>
      </c>
      <c r="BN226" s="402">
        <f t="shared" si="471"/>
        <v>680</v>
      </c>
      <c r="BO226" s="402">
        <f t="shared" si="472"/>
        <v>680</v>
      </c>
      <c r="BP226" s="402">
        <f t="shared" si="473"/>
        <v>680</v>
      </c>
      <c r="BQ226" s="402">
        <f t="shared" si="474"/>
        <v>680</v>
      </c>
      <c r="BR226" s="402">
        <f t="shared" si="475"/>
        <v>680</v>
      </c>
      <c r="BS226" s="402">
        <f t="shared" si="476"/>
        <v>680</v>
      </c>
      <c r="BT226" s="402">
        <f t="shared" si="477"/>
        <v>680</v>
      </c>
      <c r="BU226" s="402">
        <f t="shared" si="478"/>
        <v>680</v>
      </c>
      <c r="BV226" s="403">
        <f t="shared" si="479"/>
        <v>680</v>
      </c>
    </row>
    <row r="227" spans="1:74" s="409" customFormat="1" ht="20.149999999999999" hidden="1" customHeight="1" outlineLevel="2" thickBot="1" x14ac:dyDescent="0.3">
      <c r="A227" s="1114" t="s">
        <v>102</v>
      </c>
      <c r="B227" s="1115"/>
      <c r="C227" s="1115"/>
      <c r="D227" s="1115"/>
      <c r="E227" s="1115"/>
      <c r="F227" s="1115"/>
      <c r="G227" s="1115"/>
      <c r="H227" s="1115"/>
      <c r="I227" s="1115"/>
      <c r="J227" s="1115"/>
      <c r="K227" s="1115"/>
      <c r="L227" s="1115"/>
      <c r="M227" s="1115"/>
      <c r="N227" s="1115"/>
      <c r="O227" s="1115"/>
      <c r="P227" s="1115"/>
      <c r="Q227" s="1115"/>
      <c r="R227" s="1115"/>
      <c r="S227" s="1115"/>
      <c r="T227" s="1115"/>
      <c r="U227" s="1115"/>
      <c r="V227" s="1115"/>
      <c r="W227" s="1115"/>
      <c r="X227" s="1115"/>
      <c r="Y227" s="1115"/>
      <c r="Z227" s="1115"/>
      <c r="AA227" s="1115"/>
      <c r="AB227" s="1115"/>
      <c r="AC227" s="1115"/>
      <c r="AD227" s="1115"/>
      <c r="AE227" s="1115"/>
      <c r="AF227" s="1115"/>
      <c r="AG227" s="1115"/>
      <c r="AH227" s="1115"/>
      <c r="AI227" s="1115"/>
      <c r="AJ227" s="1115"/>
      <c r="AK227" s="1115"/>
      <c r="AL227" s="1115"/>
      <c r="AM227" s="1116"/>
      <c r="AN227" s="410">
        <f t="shared" ref="AN227:BV227" si="482">SUM(AN215:AN226)</f>
        <v>4420</v>
      </c>
      <c r="AO227" s="410">
        <f t="shared" si="482"/>
        <v>1836</v>
      </c>
      <c r="AP227" s="410">
        <f t="shared" si="482"/>
        <v>4370.875</v>
      </c>
      <c r="AQ227" s="410">
        <f t="shared" si="482"/>
        <v>4952</v>
      </c>
      <c r="AR227" s="410">
        <f t="shared" si="482"/>
        <v>6977</v>
      </c>
      <c r="AS227" s="410">
        <f t="shared" si="482"/>
        <v>7490</v>
      </c>
      <c r="AT227" s="410">
        <f t="shared" si="482"/>
        <v>8759</v>
      </c>
      <c r="AU227" s="410">
        <f t="shared" si="482"/>
        <v>10028</v>
      </c>
      <c r="AV227" s="410">
        <f t="shared" si="482"/>
        <v>10028</v>
      </c>
      <c r="AW227" s="410">
        <f t="shared" si="482"/>
        <v>10028</v>
      </c>
      <c r="AX227" s="410">
        <f t="shared" si="482"/>
        <v>8759</v>
      </c>
      <c r="AY227" s="410">
        <f t="shared" si="482"/>
        <v>9515</v>
      </c>
      <c r="AZ227" s="410">
        <f t="shared" si="482"/>
        <v>8759</v>
      </c>
      <c r="BA227" s="410">
        <f t="shared" si="482"/>
        <v>8759</v>
      </c>
      <c r="BB227" s="410">
        <f t="shared" si="482"/>
        <v>8759</v>
      </c>
      <c r="BC227" s="410">
        <f t="shared" si="482"/>
        <v>7490</v>
      </c>
      <c r="BD227" s="410">
        <f t="shared" si="482"/>
        <v>7490</v>
      </c>
      <c r="BE227" s="410">
        <f t="shared" si="482"/>
        <v>6977</v>
      </c>
      <c r="BF227" s="410">
        <f t="shared" si="482"/>
        <v>4420</v>
      </c>
      <c r="BG227" s="410">
        <f t="shared" si="482"/>
        <v>1836</v>
      </c>
      <c r="BH227" s="410">
        <f t="shared" si="482"/>
        <v>4370.875</v>
      </c>
      <c r="BI227" s="410">
        <f t="shared" si="482"/>
        <v>4952</v>
      </c>
      <c r="BJ227" s="410">
        <f t="shared" si="482"/>
        <v>6977</v>
      </c>
      <c r="BK227" s="410">
        <f t="shared" si="482"/>
        <v>7490</v>
      </c>
      <c r="BL227" s="410">
        <f t="shared" si="482"/>
        <v>8759</v>
      </c>
      <c r="BM227" s="410">
        <f t="shared" si="482"/>
        <v>10028</v>
      </c>
      <c r="BN227" s="410">
        <f t="shared" si="482"/>
        <v>10028</v>
      </c>
      <c r="BO227" s="410">
        <f t="shared" si="482"/>
        <v>10028</v>
      </c>
      <c r="BP227" s="410">
        <f t="shared" si="482"/>
        <v>8759</v>
      </c>
      <c r="BQ227" s="410">
        <f t="shared" si="482"/>
        <v>9515</v>
      </c>
      <c r="BR227" s="410">
        <f t="shared" si="482"/>
        <v>8759</v>
      </c>
      <c r="BS227" s="410">
        <f t="shared" si="482"/>
        <v>8759</v>
      </c>
      <c r="BT227" s="410">
        <f t="shared" si="482"/>
        <v>8759</v>
      </c>
      <c r="BU227" s="410">
        <f t="shared" si="482"/>
        <v>7490</v>
      </c>
      <c r="BV227" s="410">
        <f t="shared" si="482"/>
        <v>7490</v>
      </c>
    </row>
    <row r="228" spans="1:74" hidden="1" outlineLevel="2" x14ac:dyDescent="0.25"/>
    <row r="229" spans="1:74" s="123" customFormat="1" ht="27" hidden="1" customHeight="1" outlineLevel="1" collapsed="1" thickBot="1" x14ac:dyDescent="0.3">
      <c r="A229" s="1109" t="s">
        <v>59</v>
      </c>
      <c r="B229" s="1110"/>
      <c r="C229" s="1110"/>
      <c r="D229" s="1110"/>
      <c r="E229" s="1110"/>
      <c r="F229" s="1110"/>
      <c r="G229" s="1110"/>
      <c r="H229" s="1110"/>
      <c r="I229" s="1110"/>
      <c r="J229" s="1110"/>
      <c r="K229" s="1110"/>
      <c r="L229" s="1110"/>
      <c r="M229" s="1110"/>
      <c r="N229" s="1110"/>
      <c r="O229" s="1110"/>
      <c r="P229" s="1110"/>
      <c r="Q229" s="1110"/>
      <c r="R229" s="1110"/>
      <c r="S229" s="1110"/>
      <c r="T229" s="1110"/>
      <c r="U229" s="1110"/>
      <c r="V229" s="1110"/>
      <c r="W229" s="1110"/>
      <c r="X229" s="1110"/>
      <c r="Y229" s="1110"/>
      <c r="Z229" s="1110"/>
      <c r="AA229" s="1110"/>
      <c r="AB229" s="1110"/>
      <c r="AC229" s="1110"/>
      <c r="AD229" s="1110"/>
      <c r="AE229" s="1110"/>
      <c r="AF229" s="1110"/>
      <c r="AG229" s="1110"/>
      <c r="AH229" s="1110"/>
      <c r="AI229" s="1110"/>
      <c r="AJ229" s="1110"/>
      <c r="AK229" s="1110"/>
      <c r="AL229" s="1110"/>
      <c r="AM229" s="1110"/>
      <c r="AN229" s="1110"/>
      <c r="AO229" s="1110"/>
      <c r="AP229" s="1110"/>
      <c r="AQ229" s="1110"/>
      <c r="AR229" s="1110"/>
      <c r="AS229" s="1110"/>
      <c r="AT229" s="1110"/>
      <c r="AU229" s="1110"/>
      <c r="AV229" s="1110"/>
      <c r="AW229" s="1110"/>
      <c r="AX229" s="1110"/>
      <c r="AY229" s="1110"/>
      <c r="AZ229" s="1110"/>
      <c r="BA229" s="1110"/>
      <c r="BB229" s="1110"/>
      <c r="BC229" s="1110"/>
      <c r="BD229" s="1110"/>
      <c r="BE229" s="1110"/>
      <c r="BF229" s="1110"/>
      <c r="BG229" s="1110"/>
      <c r="BH229" s="1110"/>
      <c r="BI229" s="1110"/>
      <c r="BJ229" s="1110"/>
      <c r="BK229" s="1110"/>
      <c r="BL229" s="1110"/>
      <c r="BM229" s="1110"/>
      <c r="BN229" s="1110"/>
      <c r="BO229" s="1110"/>
      <c r="BP229" s="1110"/>
      <c r="BQ229" s="1110"/>
      <c r="BR229" s="1110"/>
      <c r="BS229" s="1110"/>
      <c r="BT229" s="1110"/>
      <c r="BU229" s="1110"/>
      <c r="BV229" s="1111"/>
    </row>
    <row r="230" spans="1:74" ht="18" hidden="1" customHeight="1" outlineLevel="2" thickBot="1" x14ac:dyDescent="0.3">
      <c r="A230" s="1112" t="s">
        <v>113</v>
      </c>
      <c r="B230" s="1112" t="s">
        <v>8</v>
      </c>
      <c r="C230" s="1112" t="s">
        <v>100</v>
      </c>
      <c r="D230" s="1103" t="s">
        <v>97</v>
      </c>
      <c r="E230" s="1104"/>
      <c r="F230" s="1104"/>
      <c r="G230" s="1104"/>
      <c r="H230" s="1104"/>
      <c r="I230" s="1104"/>
      <c r="J230" s="1104"/>
      <c r="K230" s="1104"/>
      <c r="L230" s="1104"/>
      <c r="M230" s="1104"/>
      <c r="N230" s="1104"/>
      <c r="O230" s="1104"/>
      <c r="P230" s="1104"/>
      <c r="Q230" s="1104"/>
      <c r="R230" s="1104"/>
      <c r="S230" s="1104"/>
      <c r="T230" s="1104"/>
      <c r="U230" s="1104"/>
      <c r="V230" s="1104"/>
      <c r="W230" s="1104"/>
      <c r="X230" s="1104"/>
      <c r="Y230" s="1104"/>
      <c r="Z230" s="1104"/>
      <c r="AA230" s="1104"/>
      <c r="AB230" s="1104"/>
      <c r="AC230" s="1104"/>
      <c r="AD230" s="1104"/>
      <c r="AE230" s="1104"/>
      <c r="AF230" s="1104"/>
      <c r="AG230" s="1104"/>
      <c r="AH230" s="1104"/>
      <c r="AI230" s="1104"/>
      <c r="AJ230" s="1104"/>
      <c r="AK230" s="1104"/>
      <c r="AL230" s="1105"/>
      <c r="AM230" s="634"/>
      <c r="AN230" s="1103" t="s">
        <v>99</v>
      </c>
      <c r="AO230" s="1104"/>
      <c r="AP230" s="1104"/>
      <c r="AQ230" s="1104"/>
      <c r="AR230" s="1104"/>
      <c r="AS230" s="1104"/>
      <c r="AT230" s="1104"/>
      <c r="AU230" s="1104"/>
      <c r="AV230" s="1104"/>
      <c r="AW230" s="1104"/>
      <c r="AX230" s="1104"/>
      <c r="AY230" s="1104"/>
      <c r="AZ230" s="1104"/>
      <c r="BA230" s="1104"/>
      <c r="BB230" s="1104"/>
      <c r="BC230" s="1104"/>
      <c r="BD230" s="1104"/>
      <c r="BE230" s="1104"/>
      <c r="BF230" s="1104"/>
      <c r="BG230" s="1104"/>
      <c r="BH230" s="1104"/>
      <c r="BI230" s="1104"/>
      <c r="BJ230" s="1104"/>
      <c r="BK230" s="1104"/>
      <c r="BL230" s="1104"/>
      <c r="BM230" s="1104"/>
      <c r="BN230" s="1104"/>
      <c r="BO230" s="1104"/>
      <c r="BP230" s="1104"/>
      <c r="BQ230" s="1104"/>
      <c r="BR230" s="1104"/>
      <c r="BS230" s="1104"/>
      <c r="BT230" s="1104"/>
      <c r="BU230" s="1104"/>
      <c r="BV230" s="1105"/>
    </row>
    <row r="231" spans="1:74" ht="18" hidden="1" customHeight="1" outlineLevel="2" thickBot="1" x14ac:dyDescent="0.3">
      <c r="A231" s="1113"/>
      <c r="B231" s="1113"/>
      <c r="C231" s="1113"/>
      <c r="D231" s="275">
        <v>1</v>
      </c>
      <c r="E231" s="211">
        <v>2</v>
      </c>
      <c r="F231" s="211">
        <v>3</v>
      </c>
      <c r="G231" s="211">
        <v>4</v>
      </c>
      <c r="H231" s="211">
        <v>5</v>
      </c>
      <c r="I231" s="211">
        <v>6</v>
      </c>
      <c r="J231" s="211">
        <v>7</v>
      </c>
      <c r="K231" s="211">
        <v>8</v>
      </c>
      <c r="L231" s="211">
        <v>9</v>
      </c>
      <c r="M231" s="211">
        <v>10</v>
      </c>
      <c r="N231" s="211">
        <v>11</v>
      </c>
      <c r="O231" s="211">
        <v>12</v>
      </c>
      <c r="P231" s="211">
        <v>13</v>
      </c>
      <c r="Q231" s="211">
        <v>14</v>
      </c>
      <c r="R231" s="211">
        <v>15</v>
      </c>
      <c r="S231" s="211">
        <v>16</v>
      </c>
      <c r="T231" s="211">
        <v>17</v>
      </c>
      <c r="U231" s="211">
        <v>18</v>
      </c>
      <c r="V231" s="211">
        <v>19</v>
      </c>
      <c r="W231" s="211">
        <v>20</v>
      </c>
      <c r="X231" s="211">
        <v>21</v>
      </c>
      <c r="Y231" s="211">
        <v>22</v>
      </c>
      <c r="Z231" s="211">
        <v>23</v>
      </c>
      <c r="AA231" s="211">
        <v>24</v>
      </c>
      <c r="AB231" s="211">
        <v>25</v>
      </c>
      <c r="AC231" s="211">
        <v>26</v>
      </c>
      <c r="AD231" s="211">
        <v>27</v>
      </c>
      <c r="AE231" s="211">
        <v>28</v>
      </c>
      <c r="AF231" s="211">
        <v>29</v>
      </c>
      <c r="AG231" s="211">
        <v>30</v>
      </c>
      <c r="AH231" s="211">
        <v>31</v>
      </c>
      <c r="AI231" s="211">
        <v>32</v>
      </c>
      <c r="AJ231" s="211">
        <v>33</v>
      </c>
      <c r="AK231" s="211">
        <v>34</v>
      </c>
      <c r="AL231" s="212">
        <v>35</v>
      </c>
      <c r="AM231" s="635"/>
      <c r="AN231" s="275">
        <v>1</v>
      </c>
      <c r="AO231" s="211">
        <v>2</v>
      </c>
      <c r="AP231" s="211">
        <v>3</v>
      </c>
      <c r="AQ231" s="211">
        <v>4</v>
      </c>
      <c r="AR231" s="211">
        <v>5</v>
      </c>
      <c r="AS231" s="211">
        <v>6</v>
      </c>
      <c r="AT231" s="211">
        <v>7</v>
      </c>
      <c r="AU231" s="211">
        <v>8</v>
      </c>
      <c r="AV231" s="211">
        <v>9</v>
      </c>
      <c r="AW231" s="211">
        <v>10</v>
      </c>
      <c r="AX231" s="211">
        <v>11</v>
      </c>
      <c r="AY231" s="211">
        <v>12</v>
      </c>
      <c r="AZ231" s="211">
        <v>13</v>
      </c>
      <c r="BA231" s="211">
        <v>14</v>
      </c>
      <c r="BB231" s="211">
        <v>15</v>
      </c>
      <c r="BC231" s="211">
        <v>16</v>
      </c>
      <c r="BD231" s="211">
        <v>17</v>
      </c>
      <c r="BE231" s="211">
        <v>18</v>
      </c>
      <c r="BF231" s="211">
        <v>19</v>
      </c>
      <c r="BG231" s="211">
        <v>20</v>
      </c>
      <c r="BH231" s="211">
        <v>21</v>
      </c>
      <c r="BI231" s="211">
        <v>22</v>
      </c>
      <c r="BJ231" s="211">
        <v>23</v>
      </c>
      <c r="BK231" s="211">
        <v>24</v>
      </c>
      <c r="BL231" s="211">
        <v>25</v>
      </c>
      <c r="BM231" s="211">
        <v>26</v>
      </c>
      <c r="BN231" s="211">
        <v>27</v>
      </c>
      <c r="BO231" s="211">
        <v>28</v>
      </c>
      <c r="BP231" s="211">
        <v>29</v>
      </c>
      <c r="BQ231" s="211">
        <v>30</v>
      </c>
      <c r="BR231" s="211">
        <v>31</v>
      </c>
      <c r="BS231" s="211">
        <v>32</v>
      </c>
      <c r="BT231" s="211">
        <v>33</v>
      </c>
      <c r="BU231" s="211">
        <v>34</v>
      </c>
      <c r="BV231" s="212">
        <v>35</v>
      </c>
    </row>
    <row r="232" spans="1:74" ht="20.149999999999999" hidden="1" customHeight="1" outlineLevel="2" x14ac:dyDescent="0.25">
      <c r="A232" s="21" t="s">
        <v>78</v>
      </c>
      <c r="B232" s="11" t="str">
        <f>'Custos Insumos'!$C$41</f>
        <v>HMPP</v>
      </c>
      <c r="C232" s="279">
        <f>'Custos Insumos'!$D$41</f>
        <v>400</v>
      </c>
      <c r="D232" s="279">
        <v>4</v>
      </c>
      <c r="E232" s="279"/>
      <c r="F232" s="279"/>
      <c r="G232" s="279"/>
      <c r="H232" s="279"/>
      <c r="I232" s="279"/>
      <c r="J232" s="279"/>
      <c r="K232" s="279"/>
      <c r="L232" s="356"/>
      <c r="M232" s="356"/>
      <c r="N232" s="356"/>
      <c r="O232" s="356"/>
      <c r="P232" s="356"/>
      <c r="Q232" s="356"/>
      <c r="R232" s="356"/>
      <c r="S232" s="356"/>
      <c r="T232" s="356"/>
      <c r="U232" s="356"/>
      <c r="V232" s="356">
        <f t="shared" ref="V232:V240" si="483">D232</f>
        <v>4</v>
      </c>
      <c r="W232" s="356">
        <f t="shared" ref="W232:W240" si="484">E232</f>
        <v>0</v>
      </c>
      <c r="X232" s="356">
        <f t="shared" ref="X232:X240" si="485">F232</f>
        <v>0</v>
      </c>
      <c r="Y232" s="356">
        <f t="shared" ref="Y232:Y240" si="486">G232</f>
        <v>0</v>
      </c>
      <c r="Z232" s="356">
        <f t="shared" ref="Z232:Z240" si="487">H232</f>
        <v>0</v>
      </c>
      <c r="AA232" s="356">
        <f t="shared" ref="AA232:AA240" si="488">I232</f>
        <v>0</v>
      </c>
      <c r="AB232" s="356">
        <f t="shared" ref="AB232:AB240" si="489">J232</f>
        <v>0</v>
      </c>
      <c r="AC232" s="356">
        <f t="shared" ref="AC232:AC240" si="490">K232</f>
        <v>0</v>
      </c>
      <c r="AD232" s="356">
        <f t="shared" ref="AD232:AD240" si="491">L232</f>
        <v>0</v>
      </c>
      <c r="AE232" s="356">
        <f t="shared" ref="AE232:AE240" si="492">M232</f>
        <v>0</v>
      </c>
      <c r="AF232" s="356">
        <f t="shared" ref="AF232:AF240" si="493">N232</f>
        <v>0</v>
      </c>
      <c r="AG232" s="356">
        <f t="shared" ref="AG232:AG240" si="494">O232</f>
        <v>0</v>
      </c>
      <c r="AH232" s="356">
        <f t="shared" ref="AH232:AH240" si="495">P232</f>
        <v>0</v>
      </c>
      <c r="AI232" s="356">
        <f t="shared" ref="AI232:AI240" si="496">Q232</f>
        <v>0</v>
      </c>
      <c r="AJ232" s="356">
        <f t="shared" ref="AJ232:AJ240" si="497">R232</f>
        <v>0</v>
      </c>
      <c r="AK232" s="356">
        <f t="shared" ref="AK232:AK240" si="498">S232</f>
        <v>0</v>
      </c>
      <c r="AL232" s="357">
        <f t="shared" ref="AL232:AL240" si="499">T232</f>
        <v>0</v>
      </c>
      <c r="AM232" s="636"/>
      <c r="AN232" s="278">
        <f t="shared" ref="AN232:BV232" si="500">$C$232*D232</f>
        <v>1600</v>
      </c>
      <c r="AO232" s="279">
        <f t="shared" si="500"/>
        <v>0</v>
      </c>
      <c r="AP232" s="279">
        <f t="shared" si="500"/>
        <v>0</v>
      </c>
      <c r="AQ232" s="279">
        <f t="shared" si="500"/>
        <v>0</v>
      </c>
      <c r="AR232" s="279">
        <f t="shared" si="500"/>
        <v>0</v>
      </c>
      <c r="AS232" s="279">
        <f t="shared" si="500"/>
        <v>0</v>
      </c>
      <c r="AT232" s="279">
        <f t="shared" si="500"/>
        <v>0</v>
      </c>
      <c r="AU232" s="279">
        <f t="shared" si="500"/>
        <v>0</v>
      </c>
      <c r="AV232" s="356">
        <f t="shared" si="500"/>
        <v>0</v>
      </c>
      <c r="AW232" s="356">
        <f t="shared" si="500"/>
        <v>0</v>
      </c>
      <c r="AX232" s="356">
        <f t="shared" si="500"/>
        <v>0</v>
      </c>
      <c r="AY232" s="356">
        <f t="shared" si="500"/>
        <v>0</v>
      </c>
      <c r="AZ232" s="356">
        <f t="shared" si="500"/>
        <v>0</v>
      </c>
      <c r="BA232" s="356">
        <f t="shared" si="500"/>
        <v>0</v>
      </c>
      <c r="BB232" s="356">
        <f t="shared" si="500"/>
        <v>0</v>
      </c>
      <c r="BC232" s="356">
        <f t="shared" si="500"/>
        <v>0</v>
      </c>
      <c r="BD232" s="356">
        <f t="shared" si="500"/>
        <v>0</v>
      </c>
      <c r="BE232" s="356">
        <f t="shared" si="500"/>
        <v>0</v>
      </c>
      <c r="BF232" s="356">
        <f t="shared" si="500"/>
        <v>1600</v>
      </c>
      <c r="BG232" s="356">
        <f t="shared" si="500"/>
        <v>0</v>
      </c>
      <c r="BH232" s="356">
        <f t="shared" si="500"/>
        <v>0</v>
      </c>
      <c r="BI232" s="356">
        <f t="shared" si="500"/>
        <v>0</v>
      </c>
      <c r="BJ232" s="356">
        <f t="shared" si="500"/>
        <v>0</v>
      </c>
      <c r="BK232" s="356">
        <f t="shared" si="500"/>
        <v>0</v>
      </c>
      <c r="BL232" s="356">
        <f t="shared" si="500"/>
        <v>0</v>
      </c>
      <c r="BM232" s="356">
        <f t="shared" si="500"/>
        <v>0</v>
      </c>
      <c r="BN232" s="356">
        <f t="shared" si="500"/>
        <v>0</v>
      </c>
      <c r="BO232" s="356">
        <f t="shared" si="500"/>
        <v>0</v>
      </c>
      <c r="BP232" s="356">
        <f t="shared" si="500"/>
        <v>0</v>
      </c>
      <c r="BQ232" s="356">
        <f t="shared" si="500"/>
        <v>0</v>
      </c>
      <c r="BR232" s="356">
        <f t="shared" si="500"/>
        <v>0</v>
      </c>
      <c r="BS232" s="356">
        <f t="shared" si="500"/>
        <v>0</v>
      </c>
      <c r="BT232" s="356">
        <f t="shared" si="500"/>
        <v>0</v>
      </c>
      <c r="BU232" s="356">
        <f t="shared" si="500"/>
        <v>0</v>
      </c>
      <c r="BV232" s="357">
        <f t="shared" si="500"/>
        <v>0</v>
      </c>
    </row>
    <row r="233" spans="1:74" ht="20.149999999999999" hidden="1" customHeight="1" outlineLevel="2" x14ac:dyDescent="0.25">
      <c r="A233" s="22" t="s">
        <v>79</v>
      </c>
      <c r="B233" s="12" t="str">
        <f>'Custos Insumos'!$C$42</f>
        <v>HMPM</v>
      </c>
      <c r="C233" s="284">
        <f>'Custos Insumos'!$D$42</f>
        <v>250</v>
      </c>
      <c r="D233" s="284">
        <v>2</v>
      </c>
      <c r="E233" s="284">
        <v>2</v>
      </c>
      <c r="F233" s="284">
        <v>2</v>
      </c>
      <c r="G233" s="284">
        <v>2</v>
      </c>
      <c r="H233" s="284">
        <v>2</v>
      </c>
      <c r="I233" s="284">
        <v>2</v>
      </c>
      <c r="J233" s="284">
        <v>2</v>
      </c>
      <c r="K233" s="284">
        <v>2</v>
      </c>
      <c r="L233" s="358">
        <v>2</v>
      </c>
      <c r="M233" s="358">
        <v>2</v>
      </c>
      <c r="N233" s="358">
        <v>2</v>
      </c>
      <c r="O233" s="358">
        <v>2</v>
      </c>
      <c r="P233" s="358">
        <v>2</v>
      </c>
      <c r="Q233" s="358">
        <v>2</v>
      </c>
      <c r="R233" s="358">
        <v>2</v>
      </c>
      <c r="S233" s="358">
        <v>2</v>
      </c>
      <c r="T233" s="358">
        <v>2</v>
      </c>
      <c r="U233" s="358">
        <v>2</v>
      </c>
      <c r="V233" s="358">
        <f t="shared" si="483"/>
        <v>2</v>
      </c>
      <c r="W233" s="358">
        <f t="shared" si="484"/>
        <v>2</v>
      </c>
      <c r="X233" s="358">
        <f t="shared" si="485"/>
        <v>2</v>
      </c>
      <c r="Y233" s="358">
        <f t="shared" si="486"/>
        <v>2</v>
      </c>
      <c r="Z233" s="358">
        <f t="shared" si="487"/>
        <v>2</v>
      </c>
      <c r="AA233" s="358">
        <f t="shared" si="488"/>
        <v>2</v>
      </c>
      <c r="AB233" s="358">
        <f t="shared" si="489"/>
        <v>2</v>
      </c>
      <c r="AC233" s="358">
        <f t="shared" si="490"/>
        <v>2</v>
      </c>
      <c r="AD233" s="358">
        <f t="shared" si="491"/>
        <v>2</v>
      </c>
      <c r="AE233" s="358">
        <f t="shared" si="492"/>
        <v>2</v>
      </c>
      <c r="AF233" s="358">
        <f t="shared" si="493"/>
        <v>2</v>
      </c>
      <c r="AG233" s="358">
        <f t="shared" si="494"/>
        <v>2</v>
      </c>
      <c r="AH233" s="358">
        <f t="shared" si="495"/>
        <v>2</v>
      </c>
      <c r="AI233" s="358">
        <f t="shared" si="496"/>
        <v>2</v>
      </c>
      <c r="AJ233" s="358">
        <f t="shared" si="497"/>
        <v>2</v>
      </c>
      <c r="AK233" s="358">
        <f t="shared" si="498"/>
        <v>2</v>
      </c>
      <c r="AL233" s="359">
        <f t="shared" si="499"/>
        <v>2</v>
      </c>
      <c r="AM233" s="636"/>
      <c r="AN233" s="283">
        <f t="shared" ref="AN233:BV233" si="501">$C$233*D233</f>
        <v>500</v>
      </c>
      <c r="AO233" s="284">
        <f t="shared" si="501"/>
        <v>500</v>
      </c>
      <c r="AP233" s="284">
        <f t="shared" si="501"/>
        <v>500</v>
      </c>
      <c r="AQ233" s="284">
        <f t="shared" si="501"/>
        <v>500</v>
      </c>
      <c r="AR233" s="284">
        <f t="shared" si="501"/>
        <v>500</v>
      </c>
      <c r="AS233" s="284">
        <f t="shared" si="501"/>
        <v>500</v>
      </c>
      <c r="AT233" s="284">
        <f t="shared" si="501"/>
        <v>500</v>
      </c>
      <c r="AU233" s="284">
        <f t="shared" si="501"/>
        <v>500</v>
      </c>
      <c r="AV233" s="358">
        <f t="shared" si="501"/>
        <v>500</v>
      </c>
      <c r="AW233" s="358">
        <f t="shared" si="501"/>
        <v>500</v>
      </c>
      <c r="AX233" s="358">
        <f t="shared" si="501"/>
        <v>500</v>
      </c>
      <c r="AY233" s="358">
        <f t="shared" si="501"/>
        <v>500</v>
      </c>
      <c r="AZ233" s="358">
        <f t="shared" si="501"/>
        <v>500</v>
      </c>
      <c r="BA233" s="358">
        <f t="shared" si="501"/>
        <v>500</v>
      </c>
      <c r="BB233" s="358">
        <f t="shared" si="501"/>
        <v>500</v>
      </c>
      <c r="BC233" s="358">
        <f t="shared" si="501"/>
        <v>500</v>
      </c>
      <c r="BD233" s="358">
        <f t="shared" si="501"/>
        <v>500</v>
      </c>
      <c r="BE233" s="358">
        <f t="shared" si="501"/>
        <v>500</v>
      </c>
      <c r="BF233" s="358">
        <f t="shared" si="501"/>
        <v>500</v>
      </c>
      <c r="BG233" s="358">
        <f t="shared" si="501"/>
        <v>500</v>
      </c>
      <c r="BH233" s="358">
        <f t="shared" si="501"/>
        <v>500</v>
      </c>
      <c r="BI233" s="358">
        <f t="shared" si="501"/>
        <v>500</v>
      </c>
      <c r="BJ233" s="358">
        <f t="shared" si="501"/>
        <v>500</v>
      </c>
      <c r="BK233" s="358">
        <f t="shared" si="501"/>
        <v>500</v>
      </c>
      <c r="BL233" s="358">
        <f t="shared" si="501"/>
        <v>500</v>
      </c>
      <c r="BM233" s="358">
        <f t="shared" si="501"/>
        <v>500</v>
      </c>
      <c r="BN233" s="358">
        <f t="shared" si="501"/>
        <v>500</v>
      </c>
      <c r="BO233" s="358">
        <f t="shared" si="501"/>
        <v>500</v>
      </c>
      <c r="BP233" s="358">
        <f t="shared" si="501"/>
        <v>500</v>
      </c>
      <c r="BQ233" s="358">
        <f t="shared" si="501"/>
        <v>500</v>
      </c>
      <c r="BR233" s="358">
        <f t="shared" si="501"/>
        <v>500</v>
      </c>
      <c r="BS233" s="358">
        <f t="shared" si="501"/>
        <v>500</v>
      </c>
      <c r="BT233" s="358">
        <f t="shared" si="501"/>
        <v>500</v>
      </c>
      <c r="BU233" s="358">
        <f t="shared" si="501"/>
        <v>500</v>
      </c>
      <c r="BV233" s="359">
        <f t="shared" si="501"/>
        <v>500</v>
      </c>
    </row>
    <row r="234" spans="1:74" ht="20.149999999999999" hidden="1" customHeight="1" outlineLevel="2" x14ac:dyDescent="0.25">
      <c r="A234" s="22" t="s">
        <v>80</v>
      </c>
      <c r="B234" s="12" t="str">
        <f>'Custos Insumos'!$C$42</f>
        <v>HMPM</v>
      </c>
      <c r="C234" s="284">
        <f>'Custos Insumos'!$D$42</f>
        <v>250</v>
      </c>
      <c r="D234" s="284">
        <v>2</v>
      </c>
      <c r="E234" s="284">
        <v>2</v>
      </c>
      <c r="F234" s="284">
        <v>2</v>
      </c>
      <c r="G234" s="284">
        <v>2</v>
      </c>
      <c r="H234" s="284">
        <v>2</v>
      </c>
      <c r="I234" s="284">
        <v>2</v>
      </c>
      <c r="J234" s="284">
        <v>2</v>
      </c>
      <c r="K234" s="284">
        <v>2</v>
      </c>
      <c r="L234" s="358">
        <v>2</v>
      </c>
      <c r="M234" s="358">
        <v>2</v>
      </c>
      <c r="N234" s="358">
        <v>2</v>
      </c>
      <c r="O234" s="358">
        <v>2</v>
      </c>
      <c r="P234" s="358">
        <v>2</v>
      </c>
      <c r="Q234" s="358">
        <v>2</v>
      </c>
      <c r="R234" s="358">
        <v>2</v>
      </c>
      <c r="S234" s="358">
        <v>2</v>
      </c>
      <c r="T234" s="358">
        <v>2</v>
      </c>
      <c r="U234" s="358">
        <v>2</v>
      </c>
      <c r="V234" s="358">
        <f t="shared" si="483"/>
        <v>2</v>
      </c>
      <c r="W234" s="358">
        <f t="shared" si="484"/>
        <v>2</v>
      </c>
      <c r="X234" s="358">
        <f t="shared" si="485"/>
        <v>2</v>
      </c>
      <c r="Y234" s="358">
        <f t="shared" si="486"/>
        <v>2</v>
      </c>
      <c r="Z234" s="358">
        <f t="shared" si="487"/>
        <v>2</v>
      </c>
      <c r="AA234" s="358">
        <f t="shared" si="488"/>
        <v>2</v>
      </c>
      <c r="AB234" s="358">
        <f t="shared" si="489"/>
        <v>2</v>
      </c>
      <c r="AC234" s="358">
        <f t="shared" si="490"/>
        <v>2</v>
      </c>
      <c r="AD234" s="358">
        <f t="shared" si="491"/>
        <v>2</v>
      </c>
      <c r="AE234" s="358">
        <f t="shared" si="492"/>
        <v>2</v>
      </c>
      <c r="AF234" s="358">
        <f t="shared" si="493"/>
        <v>2</v>
      </c>
      <c r="AG234" s="358">
        <f t="shared" si="494"/>
        <v>2</v>
      </c>
      <c r="AH234" s="358">
        <f t="shared" si="495"/>
        <v>2</v>
      </c>
      <c r="AI234" s="358">
        <f t="shared" si="496"/>
        <v>2</v>
      </c>
      <c r="AJ234" s="358">
        <f t="shared" si="497"/>
        <v>2</v>
      </c>
      <c r="AK234" s="358">
        <f t="shared" si="498"/>
        <v>2</v>
      </c>
      <c r="AL234" s="359">
        <f t="shared" si="499"/>
        <v>2</v>
      </c>
      <c r="AM234" s="636"/>
      <c r="AN234" s="283">
        <f t="shared" ref="AN234:BV234" si="502">$C$234*D234</f>
        <v>500</v>
      </c>
      <c r="AO234" s="284">
        <f t="shared" si="502"/>
        <v>500</v>
      </c>
      <c r="AP234" s="284">
        <f t="shared" si="502"/>
        <v>500</v>
      </c>
      <c r="AQ234" s="284">
        <f t="shared" si="502"/>
        <v>500</v>
      </c>
      <c r="AR234" s="284">
        <f t="shared" si="502"/>
        <v>500</v>
      </c>
      <c r="AS234" s="284">
        <f t="shared" si="502"/>
        <v>500</v>
      </c>
      <c r="AT234" s="284">
        <f t="shared" si="502"/>
        <v>500</v>
      </c>
      <c r="AU234" s="284">
        <f t="shared" si="502"/>
        <v>500</v>
      </c>
      <c r="AV234" s="358">
        <f t="shared" si="502"/>
        <v>500</v>
      </c>
      <c r="AW234" s="358">
        <f t="shared" si="502"/>
        <v>500</v>
      </c>
      <c r="AX234" s="358">
        <f t="shared" si="502"/>
        <v>500</v>
      </c>
      <c r="AY234" s="358">
        <f t="shared" si="502"/>
        <v>500</v>
      </c>
      <c r="AZ234" s="358">
        <f t="shared" si="502"/>
        <v>500</v>
      </c>
      <c r="BA234" s="358">
        <f t="shared" si="502"/>
        <v>500</v>
      </c>
      <c r="BB234" s="358">
        <f t="shared" si="502"/>
        <v>500</v>
      </c>
      <c r="BC234" s="358">
        <f t="shared" si="502"/>
        <v>500</v>
      </c>
      <c r="BD234" s="358">
        <f t="shared" si="502"/>
        <v>500</v>
      </c>
      <c r="BE234" s="358">
        <f t="shared" si="502"/>
        <v>500</v>
      </c>
      <c r="BF234" s="358">
        <f t="shared" si="502"/>
        <v>500</v>
      </c>
      <c r="BG234" s="358">
        <f t="shared" si="502"/>
        <v>500</v>
      </c>
      <c r="BH234" s="358">
        <f t="shared" si="502"/>
        <v>500</v>
      </c>
      <c r="BI234" s="358">
        <f t="shared" si="502"/>
        <v>500</v>
      </c>
      <c r="BJ234" s="358">
        <f t="shared" si="502"/>
        <v>500</v>
      </c>
      <c r="BK234" s="358">
        <f t="shared" si="502"/>
        <v>500</v>
      </c>
      <c r="BL234" s="358">
        <f t="shared" si="502"/>
        <v>500</v>
      </c>
      <c r="BM234" s="358">
        <f t="shared" si="502"/>
        <v>500</v>
      </c>
      <c r="BN234" s="358">
        <f t="shared" si="502"/>
        <v>500</v>
      </c>
      <c r="BO234" s="358">
        <f t="shared" si="502"/>
        <v>500</v>
      </c>
      <c r="BP234" s="358">
        <f t="shared" si="502"/>
        <v>500</v>
      </c>
      <c r="BQ234" s="358">
        <f t="shared" si="502"/>
        <v>500</v>
      </c>
      <c r="BR234" s="358">
        <f t="shared" si="502"/>
        <v>500</v>
      </c>
      <c r="BS234" s="358">
        <f t="shared" si="502"/>
        <v>500</v>
      </c>
      <c r="BT234" s="358">
        <f t="shared" si="502"/>
        <v>500</v>
      </c>
      <c r="BU234" s="358">
        <f t="shared" si="502"/>
        <v>500</v>
      </c>
      <c r="BV234" s="359">
        <f t="shared" si="502"/>
        <v>500</v>
      </c>
    </row>
    <row r="235" spans="1:74" ht="20.149999999999999" hidden="1" customHeight="1" outlineLevel="2" x14ac:dyDescent="0.25">
      <c r="A235" s="22" t="s">
        <v>81</v>
      </c>
      <c r="B235" s="8" t="str">
        <f>'Custos Insumos'!$C$41</f>
        <v>HMPP</v>
      </c>
      <c r="C235" s="284">
        <f>'Custos Insumos'!$D$41</f>
        <v>400</v>
      </c>
      <c r="D235" s="284">
        <v>3</v>
      </c>
      <c r="E235" s="284"/>
      <c r="F235" s="284"/>
      <c r="G235" s="284"/>
      <c r="H235" s="284"/>
      <c r="I235" s="284"/>
      <c r="J235" s="284"/>
      <c r="K235" s="284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>
        <f t="shared" si="483"/>
        <v>3</v>
      </c>
      <c r="W235" s="358">
        <f t="shared" si="484"/>
        <v>0</v>
      </c>
      <c r="X235" s="358">
        <f t="shared" si="485"/>
        <v>0</v>
      </c>
      <c r="Y235" s="358">
        <f t="shared" si="486"/>
        <v>0</v>
      </c>
      <c r="Z235" s="358">
        <f t="shared" si="487"/>
        <v>0</v>
      </c>
      <c r="AA235" s="358">
        <f t="shared" si="488"/>
        <v>0</v>
      </c>
      <c r="AB235" s="358">
        <f t="shared" si="489"/>
        <v>0</v>
      </c>
      <c r="AC235" s="358">
        <f t="shared" si="490"/>
        <v>0</v>
      </c>
      <c r="AD235" s="358">
        <f t="shared" si="491"/>
        <v>0</v>
      </c>
      <c r="AE235" s="358">
        <f t="shared" si="492"/>
        <v>0</v>
      </c>
      <c r="AF235" s="358">
        <f t="shared" si="493"/>
        <v>0</v>
      </c>
      <c r="AG235" s="358">
        <f t="shared" si="494"/>
        <v>0</v>
      </c>
      <c r="AH235" s="358">
        <f t="shared" si="495"/>
        <v>0</v>
      </c>
      <c r="AI235" s="358">
        <f t="shared" si="496"/>
        <v>0</v>
      </c>
      <c r="AJ235" s="358">
        <f t="shared" si="497"/>
        <v>0</v>
      </c>
      <c r="AK235" s="358">
        <f t="shared" si="498"/>
        <v>0</v>
      </c>
      <c r="AL235" s="359">
        <f t="shared" si="499"/>
        <v>0</v>
      </c>
      <c r="AM235" s="636"/>
      <c r="AN235" s="283">
        <f t="shared" ref="AN235:BV235" si="503">$C$235*D235</f>
        <v>1200</v>
      </c>
      <c r="AO235" s="284">
        <f t="shared" si="503"/>
        <v>0</v>
      </c>
      <c r="AP235" s="284">
        <f t="shared" si="503"/>
        <v>0</v>
      </c>
      <c r="AQ235" s="284">
        <f t="shared" si="503"/>
        <v>0</v>
      </c>
      <c r="AR235" s="284">
        <f t="shared" si="503"/>
        <v>0</v>
      </c>
      <c r="AS235" s="284">
        <f t="shared" si="503"/>
        <v>0</v>
      </c>
      <c r="AT235" s="284">
        <f t="shared" si="503"/>
        <v>0</v>
      </c>
      <c r="AU235" s="284">
        <f t="shared" si="503"/>
        <v>0</v>
      </c>
      <c r="AV235" s="358">
        <f t="shared" si="503"/>
        <v>0</v>
      </c>
      <c r="AW235" s="358">
        <f t="shared" si="503"/>
        <v>0</v>
      </c>
      <c r="AX235" s="358">
        <f t="shared" si="503"/>
        <v>0</v>
      </c>
      <c r="AY235" s="358">
        <f t="shared" si="503"/>
        <v>0</v>
      </c>
      <c r="AZ235" s="358">
        <f t="shared" si="503"/>
        <v>0</v>
      </c>
      <c r="BA235" s="358">
        <f t="shared" si="503"/>
        <v>0</v>
      </c>
      <c r="BB235" s="358">
        <f t="shared" si="503"/>
        <v>0</v>
      </c>
      <c r="BC235" s="358">
        <f t="shared" si="503"/>
        <v>0</v>
      </c>
      <c r="BD235" s="358">
        <f t="shared" si="503"/>
        <v>0</v>
      </c>
      <c r="BE235" s="358">
        <f t="shared" si="503"/>
        <v>0</v>
      </c>
      <c r="BF235" s="358">
        <f t="shared" si="503"/>
        <v>1200</v>
      </c>
      <c r="BG235" s="358">
        <f t="shared" si="503"/>
        <v>0</v>
      </c>
      <c r="BH235" s="358">
        <f t="shared" si="503"/>
        <v>0</v>
      </c>
      <c r="BI235" s="358">
        <f t="shared" si="503"/>
        <v>0</v>
      </c>
      <c r="BJ235" s="358">
        <f t="shared" si="503"/>
        <v>0</v>
      </c>
      <c r="BK235" s="358">
        <f t="shared" si="503"/>
        <v>0</v>
      </c>
      <c r="BL235" s="358">
        <f t="shared" si="503"/>
        <v>0</v>
      </c>
      <c r="BM235" s="358">
        <f t="shared" si="503"/>
        <v>0</v>
      </c>
      <c r="BN235" s="358">
        <f t="shared" si="503"/>
        <v>0</v>
      </c>
      <c r="BO235" s="358">
        <f t="shared" si="503"/>
        <v>0</v>
      </c>
      <c r="BP235" s="358">
        <f t="shared" si="503"/>
        <v>0</v>
      </c>
      <c r="BQ235" s="358">
        <f t="shared" si="503"/>
        <v>0</v>
      </c>
      <c r="BR235" s="358">
        <f t="shared" si="503"/>
        <v>0</v>
      </c>
      <c r="BS235" s="358">
        <f t="shared" si="503"/>
        <v>0</v>
      </c>
      <c r="BT235" s="358">
        <f t="shared" si="503"/>
        <v>0</v>
      </c>
      <c r="BU235" s="358">
        <f t="shared" si="503"/>
        <v>0</v>
      </c>
      <c r="BV235" s="359">
        <f t="shared" si="503"/>
        <v>0</v>
      </c>
    </row>
    <row r="236" spans="1:74" ht="20.149999999999999" hidden="1" customHeight="1" outlineLevel="2" x14ac:dyDescent="0.25">
      <c r="A236" s="22" t="s">
        <v>82</v>
      </c>
      <c r="B236" s="12" t="str">
        <f>'Custos Insumos'!$C$42</f>
        <v>HMPM</v>
      </c>
      <c r="C236" s="284">
        <f>'Custos Insumos'!$D$42</f>
        <v>250</v>
      </c>
      <c r="D236" s="284">
        <v>3</v>
      </c>
      <c r="E236" s="284"/>
      <c r="F236" s="284"/>
      <c r="G236" s="284"/>
      <c r="H236" s="284"/>
      <c r="I236" s="284"/>
      <c r="J236" s="284"/>
      <c r="K236" s="284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>
        <f t="shared" si="483"/>
        <v>3</v>
      </c>
      <c r="W236" s="358">
        <f t="shared" si="484"/>
        <v>0</v>
      </c>
      <c r="X236" s="358">
        <f t="shared" si="485"/>
        <v>0</v>
      </c>
      <c r="Y236" s="358">
        <f t="shared" si="486"/>
        <v>0</v>
      </c>
      <c r="Z236" s="358">
        <f t="shared" si="487"/>
        <v>0</v>
      </c>
      <c r="AA236" s="358">
        <f t="shared" si="488"/>
        <v>0</v>
      </c>
      <c r="AB236" s="358">
        <f t="shared" si="489"/>
        <v>0</v>
      </c>
      <c r="AC236" s="358">
        <f t="shared" si="490"/>
        <v>0</v>
      </c>
      <c r="AD236" s="358">
        <f t="shared" si="491"/>
        <v>0</v>
      </c>
      <c r="AE236" s="358">
        <f t="shared" si="492"/>
        <v>0</v>
      </c>
      <c r="AF236" s="358">
        <f t="shared" si="493"/>
        <v>0</v>
      </c>
      <c r="AG236" s="358">
        <f t="shared" si="494"/>
        <v>0</v>
      </c>
      <c r="AH236" s="358">
        <f t="shared" si="495"/>
        <v>0</v>
      </c>
      <c r="AI236" s="358">
        <f t="shared" si="496"/>
        <v>0</v>
      </c>
      <c r="AJ236" s="358">
        <f t="shared" si="497"/>
        <v>0</v>
      </c>
      <c r="AK236" s="358">
        <f t="shared" si="498"/>
        <v>0</v>
      </c>
      <c r="AL236" s="359">
        <f t="shared" si="499"/>
        <v>0</v>
      </c>
      <c r="AM236" s="636"/>
      <c r="AN236" s="283">
        <f t="shared" ref="AN236:BV236" si="504">$C$236*D236</f>
        <v>750</v>
      </c>
      <c r="AO236" s="284">
        <f t="shared" si="504"/>
        <v>0</v>
      </c>
      <c r="AP236" s="284">
        <f t="shared" si="504"/>
        <v>0</v>
      </c>
      <c r="AQ236" s="284">
        <f t="shared" si="504"/>
        <v>0</v>
      </c>
      <c r="AR236" s="284">
        <f t="shared" si="504"/>
        <v>0</v>
      </c>
      <c r="AS236" s="284">
        <f t="shared" si="504"/>
        <v>0</v>
      </c>
      <c r="AT236" s="284">
        <f t="shared" si="504"/>
        <v>0</v>
      </c>
      <c r="AU236" s="284">
        <f t="shared" si="504"/>
        <v>0</v>
      </c>
      <c r="AV236" s="358">
        <f t="shared" si="504"/>
        <v>0</v>
      </c>
      <c r="AW236" s="358">
        <f t="shared" si="504"/>
        <v>0</v>
      </c>
      <c r="AX236" s="358">
        <f t="shared" si="504"/>
        <v>0</v>
      </c>
      <c r="AY236" s="358">
        <f t="shared" si="504"/>
        <v>0</v>
      </c>
      <c r="AZ236" s="358">
        <f t="shared" si="504"/>
        <v>0</v>
      </c>
      <c r="BA236" s="358">
        <f t="shared" si="504"/>
        <v>0</v>
      </c>
      <c r="BB236" s="358">
        <f t="shared" si="504"/>
        <v>0</v>
      </c>
      <c r="BC236" s="358">
        <f t="shared" si="504"/>
        <v>0</v>
      </c>
      <c r="BD236" s="358">
        <f t="shared" si="504"/>
        <v>0</v>
      </c>
      <c r="BE236" s="358">
        <f t="shared" si="504"/>
        <v>0</v>
      </c>
      <c r="BF236" s="358">
        <f t="shared" si="504"/>
        <v>750</v>
      </c>
      <c r="BG236" s="358">
        <f t="shared" si="504"/>
        <v>0</v>
      </c>
      <c r="BH236" s="358">
        <f t="shared" si="504"/>
        <v>0</v>
      </c>
      <c r="BI236" s="358">
        <f t="shared" si="504"/>
        <v>0</v>
      </c>
      <c r="BJ236" s="358">
        <f t="shared" si="504"/>
        <v>0</v>
      </c>
      <c r="BK236" s="358">
        <f t="shared" si="504"/>
        <v>0</v>
      </c>
      <c r="BL236" s="358">
        <f t="shared" si="504"/>
        <v>0</v>
      </c>
      <c r="BM236" s="358">
        <f t="shared" si="504"/>
        <v>0</v>
      </c>
      <c r="BN236" s="358">
        <f t="shared" si="504"/>
        <v>0</v>
      </c>
      <c r="BO236" s="358">
        <f t="shared" si="504"/>
        <v>0</v>
      </c>
      <c r="BP236" s="358">
        <f t="shared" si="504"/>
        <v>0</v>
      </c>
      <c r="BQ236" s="358">
        <f t="shared" si="504"/>
        <v>0</v>
      </c>
      <c r="BR236" s="358">
        <f t="shared" si="504"/>
        <v>0</v>
      </c>
      <c r="BS236" s="358">
        <f t="shared" si="504"/>
        <v>0</v>
      </c>
      <c r="BT236" s="358">
        <f t="shared" si="504"/>
        <v>0</v>
      </c>
      <c r="BU236" s="358">
        <f t="shared" si="504"/>
        <v>0</v>
      </c>
      <c r="BV236" s="359">
        <f t="shared" si="504"/>
        <v>0</v>
      </c>
    </row>
    <row r="237" spans="1:74" ht="20.149999999999999" hidden="1" customHeight="1" outlineLevel="2" x14ac:dyDescent="0.25">
      <c r="A237" s="22" t="s">
        <v>86</v>
      </c>
      <c r="B237" s="12" t="str">
        <f>'Custos Insumos'!$C$42</f>
        <v>HMPM</v>
      </c>
      <c r="C237" s="284">
        <f>'Custos Insumos'!$D$42</f>
        <v>250</v>
      </c>
      <c r="D237" s="284">
        <v>4</v>
      </c>
      <c r="E237" s="284">
        <v>10</v>
      </c>
      <c r="F237" s="284">
        <v>12</v>
      </c>
      <c r="G237" s="284">
        <v>12</v>
      </c>
      <c r="H237" s="284">
        <v>12</v>
      </c>
      <c r="I237" s="284">
        <v>12</v>
      </c>
      <c r="J237" s="284">
        <v>12</v>
      </c>
      <c r="K237" s="284">
        <v>12</v>
      </c>
      <c r="L237" s="358">
        <v>12</v>
      </c>
      <c r="M237" s="358">
        <v>12</v>
      </c>
      <c r="N237" s="358">
        <v>12</v>
      </c>
      <c r="O237" s="358">
        <v>12</v>
      </c>
      <c r="P237" s="358">
        <v>12</v>
      </c>
      <c r="Q237" s="358">
        <v>12</v>
      </c>
      <c r="R237" s="358">
        <v>12</v>
      </c>
      <c r="S237" s="358">
        <v>12</v>
      </c>
      <c r="T237" s="358">
        <v>12</v>
      </c>
      <c r="U237" s="358">
        <v>12</v>
      </c>
      <c r="V237" s="358">
        <f t="shared" si="483"/>
        <v>4</v>
      </c>
      <c r="W237" s="358">
        <f t="shared" si="484"/>
        <v>10</v>
      </c>
      <c r="X237" s="358">
        <f t="shared" si="485"/>
        <v>12</v>
      </c>
      <c r="Y237" s="358">
        <f t="shared" si="486"/>
        <v>12</v>
      </c>
      <c r="Z237" s="358">
        <f t="shared" si="487"/>
        <v>12</v>
      </c>
      <c r="AA237" s="358">
        <f t="shared" si="488"/>
        <v>12</v>
      </c>
      <c r="AB237" s="358">
        <f t="shared" si="489"/>
        <v>12</v>
      </c>
      <c r="AC237" s="358">
        <f t="shared" si="490"/>
        <v>12</v>
      </c>
      <c r="AD237" s="358">
        <f t="shared" si="491"/>
        <v>12</v>
      </c>
      <c r="AE237" s="358">
        <f t="shared" si="492"/>
        <v>12</v>
      </c>
      <c r="AF237" s="358">
        <f t="shared" si="493"/>
        <v>12</v>
      </c>
      <c r="AG237" s="358">
        <f t="shared" si="494"/>
        <v>12</v>
      </c>
      <c r="AH237" s="358">
        <f t="shared" si="495"/>
        <v>12</v>
      </c>
      <c r="AI237" s="358">
        <f t="shared" si="496"/>
        <v>12</v>
      </c>
      <c r="AJ237" s="358">
        <f t="shared" si="497"/>
        <v>12</v>
      </c>
      <c r="AK237" s="358">
        <f t="shared" si="498"/>
        <v>12</v>
      </c>
      <c r="AL237" s="359">
        <f t="shared" si="499"/>
        <v>12</v>
      </c>
      <c r="AM237" s="636"/>
      <c r="AN237" s="283">
        <f t="shared" ref="AN237:BV237" si="505">$C$237*D237</f>
        <v>1000</v>
      </c>
      <c r="AO237" s="284">
        <f t="shared" si="505"/>
        <v>2500</v>
      </c>
      <c r="AP237" s="284">
        <f t="shared" si="505"/>
        <v>3000</v>
      </c>
      <c r="AQ237" s="284">
        <f t="shared" si="505"/>
        <v>3000</v>
      </c>
      <c r="AR237" s="284">
        <f t="shared" si="505"/>
        <v>3000</v>
      </c>
      <c r="AS237" s="284">
        <f t="shared" si="505"/>
        <v>3000</v>
      </c>
      <c r="AT237" s="284">
        <f t="shared" si="505"/>
        <v>3000</v>
      </c>
      <c r="AU237" s="284">
        <f t="shared" si="505"/>
        <v>3000</v>
      </c>
      <c r="AV237" s="358">
        <f t="shared" si="505"/>
        <v>3000</v>
      </c>
      <c r="AW237" s="358">
        <f t="shared" si="505"/>
        <v>3000</v>
      </c>
      <c r="AX237" s="358">
        <f t="shared" si="505"/>
        <v>3000</v>
      </c>
      <c r="AY237" s="358">
        <f t="shared" si="505"/>
        <v>3000</v>
      </c>
      <c r="AZ237" s="358">
        <f t="shared" si="505"/>
        <v>3000</v>
      </c>
      <c r="BA237" s="358">
        <f t="shared" si="505"/>
        <v>3000</v>
      </c>
      <c r="BB237" s="358">
        <f t="shared" si="505"/>
        <v>3000</v>
      </c>
      <c r="BC237" s="358">
        <f t="shared" si="505"/>
        <v>3000</v>
      </c>
      <c r="BD237" s="358">
        <f t="shared" si="505"/>
        <v>3000</v>
      </c>
      <c r="BE237" s="358">
        <f t="shared" si="505"/>
        <v>3000</v>
      </c>
      <c r="BF237" s="358">
        <f t="shared" si="505"/>
        <v>1000</v>
      </c>
      <c r="BG237" s="358">
        <f t="shared" si="505"/>
        <v>2500</v>
      </c>
      <c r="BH237" s="358">
        <f t="shared" si="505"/>
        <v>3000</v>
      </c>
      <c r="BI237" s="358">
        <f t="shared" si="505"/>
        <v>3000</v>
      </c>
      <c r="BJ237" s="358">
        <f t="shared" si="505"/>
        <v>3000</v>
      </c>
      <c r="BK237" s="358">
        <f t="shared" si="505"/>
        <v>3000</v>
      </c>
      <c r="BL237" s="358">
        <f t="shared" si="505"/>
        <v>3000</v>
      </c>
      <c r="BM237" s="358">
        <f t="shared" si="505"/>
        <v>3000</v>
      </c>
      <c r="BN237" s="358">
        <f t="shared" si="505"/>
        <v>3000</v>
      </c>
      <c r="BO237" s="358">
        <f t="shared" si="505"/>
        <v>3000</v>
      </c>
      <c r="BP237" s="358">
        <f t="shared" si="505"/>
        <v>3000</v>
      </c>
      <c r="BQ237" s="358">
        <f t="shared" si="505"/>
        <v>3000</v>
      </c>
      <c r="BR237" s="358">
        <f t="shared" si="505"/>
        <v>3000</v>
      </c>
      <c r="BS237" s="358">
        <f t="shared" si="505"/>
        <v>3000</v>
      </c>
      <c r="BT237" s="358">
        <f t="shared" si="505"/>
        <v>3000</v>
      </c>
      <c r="BU237" s="358">
        <f t="shared" si="505"/>
        <v>3000</v>
      </c>
      <c r="BV237" s="359">
        <f t="shared" si="505"/>
        <v>3000</v>
      </c>
    </row>
    <row r="238" spans="1:74" ht="20.149999999999999" hidden="1" customHeight="1" outlineLevel="2" x14ac:dyDescent="0.25">
      <c r="A238" s="22" t="s">
        <v>83</v>
      </c>
      <c r="B238" s="12" t="str">
        <f>'Custos Insumos'!$C$42</f>
        <v>HMPM</v>
      </c>
      <c r="C238" s="284">
        <f>'Custos Insumos'!$D$42</f>
        <v>250</v>
      </c>
      <c r="D238" s="284">
        <f>D224/2</f>
        <v>1.5</v>
      </c>
      <c r="E238" s="284"/>
      <c r="F238" s="284"/>
      <c r="G238" s="284"/>
      <c r="H238" s="284"/>
      <c r="I238" s="284"/>
      <c r="J238" s="284"/>
      <c r="K238" s="284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>
        <f t="shared" si="483"/>
        <v>1.5</v>
      </c>
      <c r="W238" s="358">
        <f t="shared" si="484"/>
        <v>0</v>
      </c>
      <c r="X238" s="358">
        <f t="shared" si="485"/>
        <v>0</v>
      </c>
      <c r="Y238" s="358">
        <f t="shared" si="486"/>
        <v>0</v>
      </c>
      <c r="Z238" s="358">
        <f t="shared" si="487"/>
        <v>0</v>
      </c>
      <c r="AA238" s="358">
        <f t="shared" si="488"/>
        <v>0</v>
      </c>
      <c r="AB238" s="358">
        <f t="shared" si="489"/>
        <v>0</v>
      </c>
      <c r="AC238" s="358">
        <f t="shared" si="490"/>
        <v>0</v>
      </c>
      <c r="AD238" s="358">
        <f t="shared" si="491"/>
        <v>0</v>
      </c>
      <c r="AE238" s="358">
        <f t="shared" si="492"/>
        <v>0</v>
      </c>
      <c r="AF238" s="358">
        <f t="shared" si="493"/>
        <v>0</v>
      </c>
      <c r="AG238" s="358">
        <f t="shared" si="494"/>
        <v>0</v>
      </c>
      <c r="AH238" s="358">
        <f t="shared" si="495"/>
        <v>0</v>
      </c>
      <c r="AI238" s="358">
        <f t="shared" si="496"/>
        <v>0</v>
      </c>
      <c r="AJ238" s="358">
        <f t="shared" si="497"/>
        <v>0</v>
      </c>
      <c r="AK238" s="358">
        <f t="shared" si="498"/>
        <v>0</v>
      </c>
      <c r="AL238" s="359">
        <f t="shared" si="499"/>
        <v>0</v>
      </c>
      <c r="AM238" s="636"/>
      <c r="AN238" s="283">
        <f t="shared" ref="AN238:BV238" si="506">$C$238*D238</f>
        <v>375</v>
      </c>
      <c r="AO238" s="284">
        <f t="shared" si="506"/>
        <v>0</v>
      </c>
      <c r="AP238" s="284">
        <f t="shared" si="506"/>
        <v>0</v>
      </c>
      <c r="AQ238" s="284">
        <f t="shared" si="506"/>
        <v>0</v>
      </c>
      <c r="AR238" s="284">
        <f t="shared" si="506"/>
        <v>0</v>
      </c>
      <c r="AS238" s="284">
        <f t="shared" si="506"/>
        <v>0</v>
      </c>
      <c r="AT238" s="284">
        <f t="shared" si="506"/>
        <v>0</v>
      </c>
      <c r="AU238" s="284">
        <f t="shared" si="506"/>
        <v>0</v>
      </c>
      <c r="AV238" s="358">
        <f t="shared" si="506"/>
        <v>0</v>
      </c>
      <c r="AW238" s="358">
        <f t="shared" si="506"/>
        <v>0</v>
      </c>
      <c r="AX238" s="358">
        <f t="shared" si="506"/>
        <v>0</v>
      </c>
      <c r="AY238" s="358">
        <f t="shared" si="506"/>
        <v>0</v>
      </c>
      <c r="AZ238" s="358">
        <f t="shared" si="506"/>
        <v>0</v>
      </c>
      <c r="BA238" s="358">
        <f t="shared" si="506"/>
        <v>0</v>
      </c>
      <c r="BB238" s="358">
        <f t="shared" si="506"/>
        <v>0</v>
      </c>
      <c r="BC238" s="358">
        <f t="shared" si="506"/>
        <v>0</v>
      </c>
      <c r="BD238" s="358">
        <f t="shared" si="506"/>
        <v>0</v>
      </c>
      <c r="BE238" s="358">
        <f t="shared" si="506"/>
        <v>0</v>
      </c>
      <c r="BF238" s="358">
        <f t="shared" si="506"/>
        <v>375</v>
      </c>
      <c r="BG238" s="358">
        <f t="shared" si="506"/>
        <v>0</v>
      </c>
      <c r="BH238" s="358">
        <f t="shared" si="506"/>
        <v>0</v>
      </c>
      <c r="BI238" s="358">
        <f t="shared" si="506"/>
        <v>0</v>
      </c>
      <c r="BJ238" s="358">
        <f t="shared" si="506"/>
        <v>0</v>
      </c>
      <c r="BK238" s="358">
        <f t="shared" si="506"/>
        <v>0</v>
      </c>
      <c r="BL238" s="358">
        <f t="shared" si="506"/>
        <v>0</v>
      </c>
      <c r="BM238" s="358">
        <f t="shared" si="506"/>
        <v>0</v>
      </c>
      <c r="BN238" s="358">
        <f t="shared" si="506"/>
        <v>0</v>
      </c>
      <c r="BO238" s="358">
        <f t="shared" si="506"/>
        <v>0</v>
      </c>
      <c r="BP238" s="358">
        <f t="shared" si="506"/>
        <v>0</v>
      </c>
      <c r="BQ238" s="358">
        <f t="shared" si="506"/>
        <v>0</v>
      </c>
      <c r="BR238" s="358">
        <f t="shared" si="506"/>
        <v>0</v>
      </c>
      <c r="BS238" s="358">
        <f t="shared" si="506"/>
        <v>0</v>
      </c>
      <c r="BT238" s="358">
        <f t="shared" si="506"/>
        <v>0</v>
      </c>
      <c r="BU238" s="358">
        <f t="shared" si="506"/>
        <v>0</v>
      </c>
      <c r="BV238" s="359">
        <f t="shared" si="506"/>
        <v>0</v>
      </c>
    </row>
    <row r="239" spans="1:74" ht="20.149999999999999" hidden="1" customHeight="1" outlineLevel="2" x14ac:dyDescent="0.25">
      <c r="A239" s="22" t="s">
        <v>84</v>
      </c>
      <c r="B239" s="12" t="str">
        <f>'Custos Insumos'!$C$42</f>
        <v>HMPM</v>
      </c>
      <c r="C239" s="284">
        <f>'Custos Insumos'!$D$42</f>
        <v>250</v>
      </c>
      <c r="D239" s="284">
        <v>6</v>
      </c>
      <c r="E239" s="284">
        <v>3</v>
      </c>
      <c r="F239" s="284">
        <v>3</v>
      </c>
      <c r="G239" s="284">
        <v>3</v>
      </c>
      <c r="H239" s="284">
        <v>3</v>
      </c>
      <c r="I239" s="284">
        <v>3</v>
      </c>
      <c r="J239" s="284">
        <v>3</v>
      </c>
      <c r="K239" s="284">
        <v>3</v>
      </c>
      <c r="L239" s="358">
        <v>3</v>
      </c>
      <c r="M239" s="358">
        <v>3</v>
      </c>
      <c r="N239" s="358">
        <v>3</v>
      </c>
      <c r="O239" s="358">
        <v>3</v>
      </c>
      <c r="P239" s="358">
        <v>3</v>
      </c>
      <c r="Q239" s="358">
        <v>3</v>
      </c>
      <c r="R239" s="358">
        <v>3</v>
      </c>
      <c r="S239" s="358">
        <v>3</v>
      </c>
      <c r="T239" s="358">
        <v>3</v>
      </c>
      <c r="U239" s="358">
        <v>3</v>
      </c>
      <c r="V239" s="358">
        <f t="shared" si="483"/>
        <v>6</v>
      </c>
      <c r="W239" s="358">
        <f t="shared" si="484"/>
        <v>3</v>
      </c>
      <c r="X239" s="358">
        <f t="shared" si="485"/>
        <v>3</v>
      </c>
      <c r="Y239" s="358">
        <f t="shared" si="486"/>
        <v>3</v>
      </c>
      <c r="Z239" s="358">
        <f t="shared" si="487"/>
        <v>3</v>
      </c>
      <c r="AA239" s="358">
        <f t="shared" si="488"/>
        <v>3</v>
      </c>
      <c r="AB239" s="358">
        <f t="shared" si="489"/>
        <v>3</v>
      </c>
      <c r="AC239" s="358">
        <f t="shared" si="490"/>
        <v>3</v>
      </c>
      <c r="AD239" s="358">
        <f t="shared" si="491"/>
        <v>3</v>
      </c>
      <c r="AE239" s="358">
        <f t="shared" si="492"/>
        <v>3</v>
      </c>
      <c r="AF239" s="358">
        <f t="shared" si="493"/>
        <v>3</v>
      </c>
      <c r="AG239" s="358">
        <f t="shared" si="494"/>
        <v>3</v>
      </c>
      <c r="AH239" s="358">
        <f t="shared" si="495"/>
        <v>3</v>
      </c>
      <c r="AI239" s="358">
        <f t="shared" si="496"/>
        <v>3</v>
      </c>
      <c r="AJ239" s="358">
        <f t="shared" si="497"/>
        <v>3</v>
      </c>
      <c r="AK239" s="358">
        <f t="shared" si="498"/>
        <v>3</v>
      </c>
      <c r="AL239" s="359">
        <f t="shared" si="499"/>
        <v>3</v>
      </c>
      <c r="AM239" s="636"/>
      <c r="AN239" s="283">
        <f t="shared" ref="AN239:BV239" si="507">$C$239*D239</f>
        <v>1500</v>
      </c>
      <c r="AO239" s="284">
        <f t="shared" si="507"/>
        <v>750</v>
      </c>
      <c r="AP239" s="284">
        <f t="shared" si="507"/>
        <v>750</v>
      </c>
      <c r="AQ239" s="284">
        <f t="shared" si="507"/>
        <v>750</v>
      </c>
      <c r="AR239" s="284">
        <f t="shared" si="507"/>
        <v>750</v>
      </c>
      <c r="AS239" s="284">
        <f t="shared" si="507"/>
        <v>750</v>
      </c>
      <c r="AT239" s="284">
        <f t="shared" si="507"/>
        <v>750</v>
      </c>
      <c r="AU239" s="284">
        <f t="shared" si="507"/>
        <v>750</v>
      </c>
      <c r="AV239" s="358">
        <f t="shared" si="507"/>
        <v>750</v>
      </c>
      <c r="AW239" s="358">
        <f t="shared" si="507"/>
        <v>750</v>
      </c>
      <c r="AX239" s="358">
        <f t="shared" si="507"/>
        <v>750</v>
      </c>
      <c r="AY239" s="358">
        <f t="shared" si="507"/>
        <v>750</v>
      </c>
      <c r="AZ239" s="358">
        <f t="shared" si="507"/>
        <v>750</v>
      </c>
      <c r="BA239" s="358">
        <f t="shared" si="507"/>
        <v>750</v>
      </c>
      <c r="BB239" s="358">
        <f t="shared" si="507"/>
        <v>750</v>
      </c>
      <c r="BC239" s="358">
        <f t="shared" si="507"/>
        <v>750</v>
      </c>
      <c r="BD239" s="358">
        <f t="shared" si="507"/>
        <v>750</v>
      </c>
      <c r="BE239" s="358">
        <f t="shared" si="507"/>
        <v>750</v>
      </c>
      <c r="BF239" s="358">
        <f t="shared" si="507"/>
        <v>1500</v>
      </c>
      <c r="BG239" s="358">
        <f t="shared" si="507"/>
        <v>750</v>
      </c>
      <c r="BH239" s="358">
        <f t="shared" si="507"/>
        <v>750</v>
      </c>
      <c r="BI239" s="358">
        <f t="shared" si="507"/>
        <v>750</v>
      </c>
      <c r="BJ239" s="358">
        <f t="shared" si="507"/>
        <v>750</v>
      </c>
      <c r="BK239" s="358">
        <f t="shared" si="507"/>
        <v>750</v>
      </c>
      <c r="BL239" s="358">
        <f t="shared" si="507"/>
        <v>750</v>
      </c>
      <c r="BM239" s="358">
        <f t="shared" si="507"/>
        <v>750</v>
      </c>
      <c r="BN239" s="358">
        <f t="shared" si="507"/>
        <v>750</v>
      </c>
      <c r="BO239" s="358">
        <f t="shared" si="507"/>
        <v>750</v>
      </c>
      <c r="BP239" s="358">
        <f t="shared" si="507"/>
        <v>750</v>
      </c>
      <c r="BQ239" s="358">
        <f t="shared" si="507"/>
        <v>750</v>
      </c>
      <c r="BR239" s="358">
        <f t="shared" si="507"/>
        <v>750</v>
      </c>
      <c r="BS239" s="358">
        <f t="shared" si="507"/>
        <v>750</v>
      </c>
      <c r="BT239" s="358">
        <f t="shared" si="507"/>
        <v>750</v>
      </c>
      <c r="BU239" s="358">
        <f t="shared" si="507"/>
        <v>750</v>
      </c>
      <c r="BV239" s="359">
        <f t="shared" si="507"/>
        <v>750</v>
      </c>
    </row>
    <row r="240" spans="1:74" ht="20.149999999999999" hidden="1" customHeight="1" outlineLevel="2" x14ac:dyDescent="0.25">
      <c r="A240" s="22" t="s">
        <v>192</v>
      </c>
      <c r="B240" s="12" t="str">
        <f>'Custos Insumos'!C43</f>
        <v>HMP</v>
      </c>
      <c r="C240" s="284">
        <f>'Custos Insumos'!D43</f>
        <v>450</v>
      </c>
      <c r="D240" s="284"/>
      <c r="E240" s="284"/>
      <c r="F240" s="284">
        <v>2</v>
      </c>
      <c r="G240" s="284">
        <v>3</v>
      </c>
      <c r="H240" s="284">
        <v>4</v>
      </c>
      <c r="I240" s="284">
        <v>4</v>
      </c>
      <c r="J240" s="284">
        <v>4</v>
      </c>
      <c r="K240" s="284">
        <v>4</v>
      </c>
      <c r="L240" s="358">
        <v>4</v>
      </c>
      <c r="M240" s="358">
        <v>4</v>
      </c>
      <c r="N240" s="358">
        <v>4</v>
      </c>
      <c r="O240" s="358">
        <v>4</v>
      </c>
      <c r="P240" s="358">
        <v>4</v>
      </c>
      <c r="Q240" s="358">
        <v>4</v>
      </c>
      <c r="R240" s="358">
        <v>4</v>
      </c>
      <c r="S240" s="358">
        <v>4</v>
      </c>
      <c r="T240" s="358">
        <v>4</v>
      </c>
      <c r="U240" s="358">
        <v>4</v>
      </c>
      <c r="V240" s="358">
        <f t="shared" si="483"/>
        <v>0</v>
      </c>
      <c r="W240" s="358">
        <f t="shared" si="484"/>
        <v>0</v>
      </c>
      <c r="X240" s="358">
        <f t="shared" si="485"/>
        <v>2</v>
      </c>
      <c r="Y240" s="358">
        <f t="shared" si="486"/>
        <v>3</v>
      </c>
      <c r="Z240" s="358">
        <f t="shared" si="487"/>
        <v>4</v>
      </c>
      <c r="AA240" s="358">
        <f t="shared" si="488"/>
        <v>4</v>
      </c>
      <c r="AB240" s="358">
        <f t="shared" si="489"/>
        <v>4</v>
      </c>
      <c r="AC240" s="358">
        <f t="shared" si="490"/>
        <v>4</v>
      </c>
      <c r="AD240" s="358">
        <f t="shared" si="491"/>
        <v>4</v>
      </c>
      <c r="AE240" s="358">
        <f t="shared" si="492"/>
        <v>4</v>
      </c>
      <c r="AF240" s="358">
        <f t="shared" si="493"/>
        <v>4</v>
      </c>
      <c r="AG240" s="358">
        <f t="shared" si="494"/>
        <v>4</v>
      </c>
      <c r="AH240" s="358">
        <f t="shared" si="495"/>
        <v>4</v>
      </c>
      <c r="AI240" s="358">
        <f t="shared" si="496"/>
        <v>4</v>
      </c>
      <c r="AJ240" s="358">
        <f t="shared" si="497"/>
        <v>4</v>
      </c>
      <c r="AK240" s="358">
        <f t="shared" si="498"/>
        <v>4</v>
      </c>
      <c r="AL240" s="359">
        <f t="shared" si="499"/>
        <v>4</v>
      </c>
      <c r="AM240" s="636"/>
      <c r="AN240" s="283">
        <f t="shared" ref="AN240:BV240" si="508">$C$240*D240</f>
        <v>0</v>
      </c>
      <c r="AO240" s="284">
        <f t="shared" si="508"/>
        <v>0</v>
      </c>
      <c r="AP240" s="284">
        <f t="shared" si="508"/>
        <v>900</v>
      </c>
      <c r="AQ240" s="284">
        <f t="shared" si="508"/>
        <v>1350</v>
      </c>
      <c r="AR240" s="284">
        <f t="shared" si="508"/>
        <v>1800</v>
      </c>
      <c r="AS240" s="284">
        <f t="shared" si="508"/>
        <v>1800</v>
      </c>
      <c r="AT240" s="284">
        <f t="shared" si="508"/>
        <v>1800</v>
      </c>
      <c r="AU240" s="284">
        <f t="shared" si="508"/>
        <v>1800</v>
      </c>
      <c r="AV240" s="358">
        <f t="shared" si="508"/>
        <v>1800</v>
      </c>
      <c r="AW240" s="358">
        <f t="shared" si="508"/>
        <v>1800</v>
      </c>
      <c r="AX240" s="358">
        <f t="shared" si="508"/>
        <v>1800</v>
      </c>
      <c r="AY240" s="358">
        <f t="shared" si="508"/>
        <v>1800</v>
      </c>
      <c r="AZ240" s="358">
        <f t="shared" si="508"/>
        <v>1800</v>
      </c>
      <c r="BA240" s="358">
        <f t="shared" si="508"/>
        <v>1800</v>
      </c>
      <c r="BB240" s="358">
        <f t="shared" si="508"/>
        <v>1800</v>
      </c>
      <c r="BC240" s="358">
        <f t="shared" si="508"/>
        <v>1800</v>
      </c>
      <c r="BD240" s="358">
        <f t="shared" si="508"/>
        <v>1800</v>
      </c>
      <c r="BE240" s="358">
        <f t="shared" si="508"/>
        <v>1800</v>
      </c>
      <c r="BF240" s="358">
        <f t="shared" si="508"/>
        <v>0</v>
      </c>
      <c r="BG240" s="358">
        <f t="shared" si="508"/>
        <v>0</v>
      </c>
      <c r="BH240" s="358">
        <f t="shared" si="508"/>
        <v>900</v>
      </c>
      <c r="BI240" s="358">
        <f t="shared" si="508"/>
        <v>1350</v>
      </c>
      <c r="BJ240" s="358">
        <f t="shared" si="508"/>
        <v>1800</v>
      </c>
      <c r="BK240" s="358">
        <f t="shared" si="508"/>
        <v>1800</v>
      </c>
      <c r="BL240" s="358">
        <f t="shared" si="508"/>
        <v>1800</v>
      </c>
      <c r="BM240" s="358">
        <f t="shared" si="508"/>
        <v>1800</v>
      </c>
      <c r="BN240" s="358">
        <f t="shared" si="508"/>
        <v>1800</v>
      </c>
      <c r="BO240" s="358">
        <f t="shared" si="508"/>
        <v>1800</v>
      </c>
      <c r="BP240" s="358">
        <f t="shared" si="508"/>
        <v>1800</v>
      </c>
      <c r="BQ240" s="358">
        <f t="shared" si="508"/>
        <v>1800</v>
      </c>
      <c r="BR240" s="358">
        <f t="shared" si="508"/>
        <v>1800</v>
      </c>
      <c r="BS240" s="358">
        <f t="shared" si="508"/>
        <v>1800</v>
      </c>
      <c r="BT240" s="358">
        <f t="shared" si="508"/>
        <v>1800</v>
      </c>
      <c r="BU240" s="358">
        <f t="shared" si="508"/>
        <v>1800</v>
      </c>
      <c r="BV240" s="359">
        <f t="shared" si="508"/>
        <v>1800</v>
      </c>
    </row>
    <row r="241" spans="1:74" ht="20.149999999999999" hidden="1" customHeight="1" outlineLevel="2" x14ac:dyDescent="0.25">
      <c r="A241" s="22" t="s">
        <v>330</v>
      </c>
      <c r="B241" s="12" t="s">
        <v>331</v>
      </c>
      <c r="C241" s="284">
        <f>'Custos Diversos'!E172</f>
        <v>3766</v>
      </c>
      <c r="D241" s="284"/>
      <c r="E241" s="284"/>
      <c r="F241" s="284"/>
      <c r="G241" s="284"/>
      <c r="H241" s="284"/>
      <c r="I241" s="284"/>
      <c r="J241" s="284"/>
      <c r="K241" s="284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>
        <v>1</v>
      </c>
      <c r="W241" s="358"/>
      <c r="X241" s="358"/>
      <c r="Y241" s="358"/>
      <c r="Z241" s="358"/>
      <c r="AA241" s="358"/>
      <c r="AB241" s="358"/>
      <c r="AC241" s="358"/>
      <c r="AD241" s="358"/>
      <c r="AE241" s="358"/>
      <c r="AF241" s="358"/>
      <c r="AG241" s="358"/>
      <c r="AH241" s="358"/>
      <c r="AI241" s="358"/>
      <c r="AJ241" s="358"/>
      <c r="AK241" s="358"/>
      <c r="AL241" s="359"/>
      <c r="AM241" s="636"/>
      <c r="AN241" s="283">
        <f t="shared" ref="AN241:BV241" si="509">$C$241*D241</f>
        <v>0</v>
      </c>
      <c r="AO241" s="284">
        <f t="shared" si="509"/>
        <v>0</v>
      </c>
      <c r="AP241" s="284">
        <f t="shared" si="509"/>
        <v>0</v>
      </c>
      <c r="AQ241" s="284">
        <f t="shared" si="509"/>
        <v>0</v>
      </c>
      <c r="AR241" s="284">
        <f t="shared" si="509"/>
        <v>0</v>
      </c>
      <c r="AS241" s="284">
        <f t="shared" si="509"/>
        <v>0</v>
      </c>
      <c r="AT241" s="284">
        <f t="shared" si="509"/>
        <v>0</v>
      </c>
      <c r="AU241" s="284">
        <f t="shared" si="509"/>
        <v>0</v>
      </c>
      <c r="AV241" s="358">
        <f t="shared" si="509"/>
        <v>0</v>
      </c>
      <c r="AW241" s="358">
        <f t="shared" si="509"/>
        <v>0</v>
      </c>
      <c r="AX241" s="358">
        <f t="shared" si="509"/>
        <v>0</v>
      </c>
      <c r="AY241" s="358">
        <f t="shared" si="509"/>
        <v>0</v>
      </c>
      <c r="AZ241" s="358">
        <f t="shared" si="509"/>
        <v>0</v>
      </c>
      <c r="BA241" s="358">
        <f t="shared" si="509"/>
        <v>0</v>
      </c>
      <c r="BB241" s="358">
        <f t="shared" si="509"/>
        <v>0</v>
      </c>
      <c r="BC241" s="358">
        <f t="shared" si="509"/>
        <v>0</v>
      </c>
      <c r="BD241" s="358">
        <f t="shared" si="509"/>
        <v>0</v>
      </c>
      <c r="BE241" s="358">
        <f t="shared" si="509"/>
        <v>0</v>
      </c>
      <c r="BF241" s="358">
        <f t="shared" si="509"/>
        <v>3766</v>
      </c>
      <c r="BG241" s="358">
        <f t="shared" si="509"/>
        <v>0</v>
      </c>
      <c r="BH241" s="358">
        <f t="shared" si="509"/>
        <v>0</v>
      </c>
      <c r="BI241" s="358">
        <f t="shared" si="509"/>
        <v>0</v>
      </c>
      <c r="BJ241" s="358">
        <f t="shared" si="509"/>
        <v>0</v>
      </c>
      <c r="BK241" s="358">
        <f t="shared" si="509"/>
        <v>0</v>
      </c>
      <c r="BL241" s="358">
        <f t="shared" si="509"/>
        <v>0</v>
      </c>
      <c r="BM241" s="358">
        <f t="shared" si="509"/>
        <v>0</v>
      </c>
      <c r="BN241" s="358">
        <f t="shared" si="509"/>
        <v>0</v>
      </c>
      <c r="BO241" s="358">
        <f t="shared" si="509"/>
        <v>0</v>
      </c>
      <c r="BP241" s="358">
        <f t="shared" si="509"/>
        <v>0</v>
      </c>
      <c r="BQ241" s="358">
        <f t="shared" si="509"/>
        <v>0</v>
      </c>
      <c r="BR241" s="358">
        <f t="shared" si="509"/>
        <v>0</v>
      </c>
      <c r="BS241" s="358">
        <f t="shared" si="509"/>
        <v>0</v>
      </c>
      <c r="BT241" s="358">
        <f t="shared" si="509"/>
        <v>0</v>
      </c>
      <c r="BU241" s="358">
        <f t="shared" si="509"/>
        <v>0</v>
      </c>
      <c r="BV241" s="359">
        <f t="shared" si="509"/>
        <v>0</v>
      </c>
    </row>
    <row r="242" spans="1:74" ht="20.149999999999999" hidden="1" customHeight="1" outlineLevel="2" thickBot="1" x14ac:dyDescent="0.3">
      <c r="A242" s="326" t="s">
        <v>62</v>
      </c>
      <c r="B242" s="327" t="str">
        <f>'Custos Insumos'!C45</f>
        <v>HMR</v>
      </c>
      <c r="C242" s="322">
        <f>'Custos Insumos'!D45</f>
        <v>250</v>
      </c>
      <c r="D242" s="322">
        <v>0.5</v>
      </c>
      <c r="E242" s="322"/>
      <c r="F242" s="322">
        <v>0.25</v>
      </c>
      <c r="G242" s="322"/>
      <c r="H242" s="322">
        <v>0.25</v>
      </c>
      <c r="I242" s="322"/>
      <c r="J242" s="322">
        <v>0.25</v>
      </c>
      <c r="K242" s="322"/>
      <c r="L242" s="360">
        <v>0.25</v>
      </c>
      <c r="M242" s="360"/>
      <c r="N242" s="360">
        <v>0.25</v>
      </c>
      <c r="O242" s="360"/>
      <c r="P242" s="360">
        <v>0.25</v>
      </c>
      <c r="Q242" s="360"/>
      <c r="R242" s="360">
        <v>0.25</v>
      </c>
      <c r="S242" s="360"/>
      <c r="T242" s="360">
        <v>0.25</v>
      </c>
      <c r="U242" s="360"/>
      <c r="V242" s="360">
        <f t="shared" ref="V242:AL242" si="510">D242</f>
        <v>0.5</v>
      </c>
      <c r="W242" s="360">
        <f t="shared" si="510"/>
        <v>0</v>
      </c>
      <c r="X242" s="360">
        <f t="shared" si="510"/>
        <v>0.25</v>
      </c>
      <c r="Y242" s="360">
        <f t="shared" si="510"/>
        <v>0</v>
      </c>
      <c r="Z242" s="360">
        <f t="shared" si="510"/>
        <v>0.25</v>
      </c>
      <c r="AA242" s="360">
        <f t="shared" si="510"/>
        <v>0</v>
      </c>
      <c r="AB242" s="360">
        <f t="shared" si="510"/>
        <v>0.25</v>
      </c>
      <c r="AC242" s="360">
        <f t="shared" si="510"/>
        <v>0</v>
      </c>
      <c r="AD242" s="360">
        <f t="shared" si="510"/>
        <v>0.25</v>
      </c>
      <c r="AE242" s="360">
        <f t="shared" si="510"/>
        <v>0</v>
      </c>
      <c r="AF242" s="360">
        <f t="shared" si="510"/>
        <v>0.25</v>
      </c>
      <c r="AG242" s="360">
        <f t="shared" si="510"/>
        <v>0</v>
      </c>
      <c r="AH242" s="360">
        <f t="shared" si="510"/>
        <v>0.25</v>
      </c>
      <c r="AI242" s="360">
        <f t="shared" si="510"/>
        <v>0</v>
      </c>
      <c r="AJ242" s="360">
        <f t="shared" si="510"/>
        <v>0.25</v>
      </c>
      <c r="AK242" s="360">
        <f t="shared" si="510"/>
        <v>0</v>
      </c>
      <c r="AL242" s="361">
        <f t="shared" si="510"/>
        <v>0.25</v>
      </c>
      <c r="AM242" s="636"/>
      <c r="AN242" s="288">
        <f t="shared" ref="AN242:BV242" si="511">$C$242*D242</f>
        <v>125</v>
      </c>
      <c r="AO242" s="289">
        <f t="shared" si="511"/>
        <v>0</v>
      </c>
      <c r="AP242" s="289">
        <f t="shared" si="511"/>
        <v>62.5</v>
      </c>
      <c r="AQ242" s="289">
        <f t="shared" si="511"/>
        <v>0</v>
      </c>
      <c r="AR242" s="289">
        <f t="shared" si="511"/>
        <v>62.5</v>
      </c>
      <c r="AS242" s="289">
        <f t="shared" si="511"/>
        <v>0</v>
      </c>
      <c r="AT242" s="289">
        <f t="shared" si="511"/>
        <v>62.5</v>
      </c>
      <c r="AU242" s="289">
        <f t="shared" si="511"/>
        <v>0</v>
      </c>
      <c r="AV242" s="402">
        <f t="shared" si="511"/>
        <v>62.5</v>
      </c>
      <c r="AW242" s="402">
        <f t="shared" si="511"/>
        <v>0</v>
      </c>
      <c r="AX242" s="402">
        <f t="shared" si="511"/>
        <v>62.5</v>
      </c>
      <c r="AY242" s="402">
        <f t="shared" si="511"/>
        <v>0</v>
      </c>
      <c r="AZ242" s="402">
        <f t="shared" si="511"/>
        <v>62.5</v>
      </c>
      <c r="BA242" s="402">
        <f t="shared" si="511"/>
        <v>0</v>
      </c>
      <c r="BB242" s="402">
        <f t="shared" si="511"/>
        <v>62.5</v>
      </c>
      <c r="BC242" s="402">
        <f t="shared" si="511"/>
        <v>0</v>
      </c>
      <c r="BD242" s="402">
        <f t="shared" si="511"/>
        <v>62.5</v>
      </c>
      <c r="BE242" s="402">
        <f t="shared" si="511"/>
        <v>0</v>
      </c>
      <c r="BF242" s="402">
        <f t="shared" si="511"/>
        <v>125</v>
      </c>
      <c r="BG242" s="402">
        <f t="shared" si="511"/>
        <v>0</v>
      </c>
      <c r="BH242" s="402">
        <f t="shared" si="511"/>
        <v>62.5</v>
      </c>
      <c r="BI242" s="402">
        <f t="shared" si="511"/>
        <v>0</v>
      </c>
      <c r="BJ242" s="402">
        <f t="shared" si="511"/>
        <v>62.5</v>
      </c>
      <c r="BK242" s="402">
        <f t="shared" si="511"/>
        <v>0</v>
      </c>
      <c r="BL242" s="402">
        <f t="shared" si="511"/>
        <v>62.5</v>
      </c>
      <c r="BM242" s="402">
        <f t="shared" si="511"/>
        <v>0</v>
      </c>
      <c r="BN242" s="402">
        <f t="shared" si="511"/>
        <v>62.5</v>
      </c>
      <c r="BO242" s="402">
        <f t="shared" si="511"/>
        <v>0</v>
      </c>
      <c r="BP242" s="402">
        <f t="shared" si="511"/>
        <v>62.5</v>
      </c>
      <c r="BQ242" s="402">
        <f t="shared" si="511"/>
        <v>0</v>
      </c>
      <c r="BR242" s="402">
        <f t="shared" si="511"/>
        <v>62.5</v>
      </c>
      <c r="BS242" s="402">
        <f t="shared" si="511"/>
        <v>0</v>
      </c>
      <c r="BT242" s="402">
        <f t="shared" si="511"/>
        <v>62.5</v>
      </c>
      <c r="BU242" s="402">
        <f t="shared" si="511"/>
        <v>0</v>
      </c>
      <c r="BV242" s="403">
        <f t="shared" si="511"/>
        <v>62.5</v>
      </c>
    </row>
    <row r="243" spans="1:74" s="409" customFormat="1" ht="20.149999999999999" hidden="1" customHeight="1" outlineLevel="2" thickBot="1" x14ac:dyDescent="0.3">
      <c r="A243" s="1114" t="s">
        <v>103</v>
      </c>
      <c r="B243" s="1115"/>
      <c r="C243" s="1115"/>
      <c r="D243" s="1115"/>
      <c r="E243" s="1115"/>
      <c r="F243" s="1115"/>
      <c r="G243" s="1115"/>
      <c r="H243" s="1115"/>
      <c r="I243" s="1115"/>
      <c r="J243" s="1115"/>
      <c r="K243" s="1115"/>
      <c r="L243" s="1115"/>
      <c r="M243" s="1115"/>
      <c r="N243" s="1115"/>
      <c r="O243" s="1115"/>
      <c r="P243" s="1115"/>
      <c r="Q243" s="1115"/>
      <c r="R243" s="1115"/>
      <c r="S243" s="1115"/>
      <c r="T243" s="1115"/>
      <c r="U243" s="1115"/>
      <c r="V243" s="1115"/>
      <c r="W243" s="1115"/>
      <c r="X243" s="1115"/>
      <c r="Y243" s="1115"/>
      <c r="Z243" s="1115"/>
      <c r="AA243" s="1115"/>
      <c r="AB243" s="1115"/>
      <c r="AC243" s="1115"/>
      <c r="AD243" s="1115"/>
      <c r="AE243" s="1115"/>
      <c r="AF243" s="1115"/>
      <c r="AG243" s="1115"/>
      <c r="AH243" s="1115"/>
      <c r="AI243" s="1115"/>
      <c r="AJ243" s="1115"/>
      <c r="AK243" s="1115"/>
      <c r="AL243" s="1115"/>
      <c r="AM243" s="1116"/>
      <c r="AN243" s="410">
        <f t="shared" ref="AN243:BV243" si="512">SUM(AN232:AN242)</f>
        <v>7550</v>
      </c>
      <c r="AO243" s="410">
        <f t="shared" si="512"/>
        <v>4250</v>
      </c>
      <c r="AP243" s="410">
        <f t="shared" si="512"/>
        <v>5712.5</v>
      </c>
      <c r="AQ243" s="410">
        <f t="shared" si="512"/>
        <v>6100</v>
      </c>
      <c r="AR243" s="410">
        <f t="shared" si="512"/>
        <v>6612.5</v>
      </c>
      <c r="AS243" s="410">
        <f t="shared" si="512"/>
        <v>6550</v>
      </c>
      <c r="AT243" s="410">
        <f t="shared" si="512"/>
        <v>6612.5</v>
      </c>
      <c r="AU243" s="410">
        <f t="shared" si="512"/>
        <v>6550</v>
      </c>
      <c r="AV243" s="410">
        <f t="shared" si="512"/>
        <v>6612.5</v>
      </c>
      <c r="AW243" s="410">
        <f t="shared" si="512"/>
        <v>6550</v>
      </c>
      <c r="AX243" s="410">
        <f t="shared" si="512"/>
        <v>6612.5</v>
      </c>
      <c r="AY243" s="410">
        <f t="shared" si="512"/>
        <v>6550</v>
      </c>
      <c r="AZ243" s="410">
        <f t="shared" si="512"/>
        <v>6612.5</v>
      </c>
      <c r="BA243" s="410">
        <f t="shared" si="512"/>
        <v>6550</v>
      </c>
      <c r="BB243" s="410">
        <f t="shared" si="512"/>
        <v>6612.5</v>
      </c>
      <c r="BC243" s="410">
        <f t="shared" si="512"/>
        <v>6550</v>
      </c>
      <c r="BD243" s="410">
        <f t="shared" si="512"/>
        <v>6612.5</v>
      </c>
      <c r="BE243" s="410">
        <f t="shared" si="512"/>
        <v>6550</v>
      </c>
      <c r="BF243" s="410">
        <f t="shared" si="512"/>
        <v>11316</v>
      </c>
      <c r="BG243" s="410">
        <f t="shared" si="512"/>
        <v>4250</v>
      </c>
      <c r="BH243" s="410">
        <f t="shared" si="512"/>
        <v>5712.5</v>
      </c>
      <c r="BI243" s="410">
        <f t="shared" si="512"/>
        <v>6100</v>
      </c>
      <c r="BJ243" s="410">
        <f t="shared" si="512"/>
        <v>6612.5</v>
      </c>
      <c r="BK243" s="410">
        <f t="shared" si="512"/>
        <v>6550</v>
      </c>
      <c r="BL243" s="410">
        <f t="shared" si="512"/>
        <v>6612.5</v>
      </c>
      <c r="BM243" s="410">
        <f t="shared" si="512"/>
        <v>6550</v>
      </c>
      <c r="BN243" s="410">
        <f t="shared" si="512"/>
        <v>6612.5</v>
      </c>
      <c r="BO243" s="410">
        <f t="shared" si="512"/>
        <v>6550</v>
      </c>
      <c r="BP243" s="410">
        <f t="shared" si="512"/>
        <v>6612.5</v>
      </c>
      <c r="BQ243" s="410">
        <f t="shared" si="512"/>
        <v>6550</v>
      </c>
      <c r="BR243" s="410">
        <f t="shared" si="512"/>
        <v>6612.5</v>
      </c>
      <c r="BS243" s="410">
        <f t="shared" si="512"/>
        <v>6550</v>
      </c>
      <c r="BT243" s="410">
        <f t="shared" si="512"/>
        <v>6612.5</v>
      </c>
      <c r="BU243" s="410">
        <f t="shared" si="512"/>
        <v>6550</v>
      </c>
      <c r="BV243" s="410">
        <f t="shared" si="512"/>
        <v>6612.5</v>
      </c>
    </row>
    <row r="244" spans="1:74" hidden="1" outlineLevel="2" x14ac:dyDescent="0.25"/>
    <row r="245" spans="1:74" s="123" customFormat="1" ht="27" hidden="1" customHeight="1" outlineLevel="1" collapsed="1" thickBot="1" x14ac:dyDescent="0.3">
      <c r="A245" s="1109" t="s">
        <v>58</v>
      </c>
      <c r="B245" s="1110"/>
      <c r="C245" s="1110"/>
      <c r="D245" s="1110"/>
      <c r="E245" s="1110"/>
      <c r="F245" s="1110"/>
      <c r="G245" s="1110"/>
      <c r="H245" s="1110"/>
      <c r="I245" s="1110"/>
      <c r="J245" s="1110"/>
      <c r="K245" s="1110"/>
      <c r="L245" s="1110"/>
      <c r="M245" s="1110"/>
      <c r="N245" s="1110"/>
      <c r="O245" s="1110"/>
      <c r="P245" s="1110"/>
      <c r="Q245" s="1110"/>
      <c r="R245" s="1110"/>
      <c r="S245" s="1110"/>
      <c r="T245" s="1110"/>
      <c r="U245" s="1110"/>
      <c r="V245" s="1110"/>
      <c r="W245" s="1110"/>
      <c r="X245" s="1110"/>
      <c r="Y245" s="1110"/>
      <c r="Z245" s="1110"/>
      <c r="AA245" s="1110"/>
      <c r="AB245" s="1110"/>
      <c r="AC245" s="1110"/>
      <c r="AD245" s="1110"/>
      <c r="AE245" s="1110"/>
      <c r="AF245" s="1110"/>
      <c r="AG245" s="1110"/>
      <c r="AH245" s="1110"/>
      <c r="AI245" s="1110"/>
      <c r="AJ245" s="1110"/>
      <c r="AK245" s="1110"/>
      <c r="AL245" s="1110"/>
      <c r="AM245" s="1110"/>
      <c r="AN245" s="1110"/>
      <c r="AO245" s="1110"/>
      <c r="AP245" s="1110"/>
      <c r="AQ245" s="1110"/>
      <c r="AR245" s="1110"/>
      <c r="AS245" s="1110"/>
      <c r="AT245" s="1110"/>
      <c r="AU245" s="1110"/>
      <c r="AV245" s="1110"/>
      <c r="AW245" s="1110"/>
      <c r="AX245" s="1110"/>
      <c r="AY245" s="1110"/>
      <c r="AZ245" s="1110"/>
      <c r="BA245" s="1110"/>
      <c r="BB245" s="1110"/>
      <c r="BC245" s="1110"/>
      <c r="BD245" s="1110"/>
      <c r="BE245" s="1110"/>
      <c r="BF245" s="1110"/>
      <c r="BG245" s="1110"/>
      <c r="BH245" s="1110"/>
      <c r="BI245" s="1110"/>
      <c r="BJ245" s="1110"/>
      <c r="BK245" s="1110"/>
      <c r="BL245" s="1110"/>
      <c r="BM245" s="1110"/>
      <c r="BN245" s="1110"/>
      <c r="BO245" s="1110"/>
      <c r="BP245" s="1110"/>
      <c r="BQ245" s="1110"/>
      <c r="BR245" s="1110"/>
      <c r="BS245" s="1110"/>
      <c r="BT245" s="1110"/>
      <c r="BU245" s="1110"/>
      <c r="BV245" s="1111"/>
    </row>
    <row r="246" spans="1:74" ht="18" hidden="1" customHeight="1" outlineLevel="2" thickBot="1" x14ac:dyDescent="0.3">
      <c r="A246" s="1112" t="s">
        <v>113</v>
      </c>
      <c r="B246" s="1112" t="s">
        <v>8</v>
      </c>
      <c r="C246" s="1112" t="s">
        <v>100</v>
      </c>
      <c r="D246" s="1103" t="s">
        <v>97</v>
      </c>
      <c r="E246" s="1104"/>
      <c r="F246" s="1104"/>
      <c r="G246" s="1104"/>
      <c r="H246" s="1104"/>
      <c r="I246" s="1104"/>
      <c r="J246" s="1104"/>
      <c r="K246" s="1104"/>
      <c r="L246" s="1104"/>
      <c r="M246" s="1104"/>
      <c r="N246" s="1104"/>
      <c r="O246" s="1104"/>
      <c r="P246" s="1104"/>
      <c r="Q246" s="1104"/>
      <c r="R246" s="1104"/>
      <c r="S246" s="1104"/>
      <c r="T246" s="1104"/>
      <c r="U246" s="1104"/>
      <c r="V246" s="1104"/>
      <c r="W246" s="1104"/>
      <c r="X246" s="1104"/>
      <c r="Y246" s="1104"/>
      <c r="Z246" s="1104"/>
      <c r="AA246" s="1104"/>
      <c r="AB246" s="1104"/>
      <c r="AC246" s="1104"/>
      <c r="AD246" s="1104"/>
      <c r="AE246" s="1104"/>
      <c r="AF246" s="1104"/>
      <c r="AG246" s="1104"/>
      <c r="AH246" s="1104"/>
      <c r="AI246" s="1104"/>
      <c r="AJ246" s="1104"/>
      <c r="AK246" s="1104"/>
      <c r="AL246" s="1105"/>
      <c r="AM246" s="634"/>
      <c r="AN246" s="1103" t="s">
        <v>99</v>
      </c>
      <c r="AO246" s="1104"/>
      <c r="AP246" s="1104"/>
      <c r="AQ246" s="1104"/>
      <c r="AR246" s="1104"/>
      <c r="AS246" s="1104"/>
      <c r="AT246" s="1104"/>
      <c r="AU246" s="1104"/>
      <c r="AV246" s="1104"/>
      <c r="AW246" s="1104"/>
      <c r="AX246" s="1104"/>
      <c r="AY246" s="1104"/>
      <c r="AZ246" s="1104"/>
      <c r="BA246" s="1104"/>
      <c r="BB246" s="1104"/>
      <c r="BC246" s="1104"/>
      <c r="BD246" s="1104"/>
      <c r="BE246" s="1104"/>
      <c r="BF246" s="1104"/>
      <c r="BG246" s="1104"/>
      <c r="BH246" s="1104"/>
      <c r="BI246" s="1104"/>
      <c r="BJ246" s="1104"/>
      <c r="BK246" s="1104"/>
      <c r="BL246" s="1104"/>
      <c r="BM246" s="1104"/>
      <c r="BN246" s="1104"/>
      <c r="BO246" s="1104"/>
      <c r="BP246" s="1104"/>
      <c r="BQ246" s="1104"/>
      <c r="BR246" s="1104"/>
      <c r="BS246" s="1104"/>
      <c r="BT246" s="1104"/>
      <c r="BU246" s="1104"/>
      <c r="BV246" s="1105"/>
    </row>
    <row r="247" spans="1:74" ht="18" hidden="1" customHeight="1" outlineLevel="2" thickBot="1" x14ac:dyDescent="0.3">
      <c r="A247" s="1113"/>
      <c r="B247" s="1113"/>
      <c r="C247" s="1113"/>
      <c r="D247" s="275">
        <v>1</v>
      </c>
      <c r="E247" s="211">
        <v>2</v>
      </c>
      <c r="F247" s="211">
        <v>3</v>
      </c>
      <c r="G247" s="211">
        <v>4</v>
      </c>
      <c r="H247" s="211">
        <v>5</v>
      </c>
      <c r="I247" s="211">
        <v>6</v>
      </c>
      <c r="J247" s="211">
        <v>7</v>
      </c>
      <c r="K247" s="211">
        <v>8</v>
      </c>
      <c r="L247" s="211">
        <v>9</v>
      </c>
      <c r="M247" s="211">
        <v>10</v>
      </c>
      <c r="N247" s="211">
        <v>11</v>
      </c>
      <c r="O247" s="211">
        <v>12</v>
      </c>
      <c r="P247" s="211">
        <v>13</v>
      </c>
      <c r="Q247" s="211">
        <v>14</v>
      </c>
      <c r="R247" s="211">
        <v>15</v>
      </c>
      <c r="S247" s="211">
        <v>16</v>
      </c>
      <c r="T247" s="211">
        <v>17</v>
      </c>
      <c r="U247" s="211">
        <v>18</v>
      </c>
      <c r="V247" s="211">
        <v>19</v>
      </c>
      <c r="W247" s="211">
        <v>20</v>
      </c>
      <c r="X247" s="211">
        <v>21</v>
      </c>
      <c r="Y247" s="211">
        <v>22</v>
      </c>
      <c r="Z247" s="211">
        <v>23</v>
      </c>
      <c r="AA247" s="211">
        <v>24</v>
      </c>
      <c r="AB247" s="211">
        <v>25</v>
      </c>
      <c r="AC247" s="211">
        <v>26</v>
      </c>
      <c r="AD247" s="211">
        <v>27</v>
      </c>
      <c r="AE247" s="211">
        <v>28</v>
      </c>
      <c r="AF247" s="211">
        <v>29</v>
      </c>
      <c r="AG247" s="211">
        <v>30</v>
      </c>
      <c r="AH247" s="211">
        <v>31</v>
      </c>
      <c r="AI247" s="211">
        <v>32</v>
      </c>
      <c r="AJ247" s="211">
        <v>33</v>
      </c>
      <c r="AK247" s="211">
        <v>34</v>
      </c>
      <c r="AL247" s="212">
        <v>35</v>
      </c>
      <c r="AM247" s="635"/>
      <c r="AN247" s="275">
        <v>1</v>
      </c>
      <c r="AO247" s="211">
        <v>2</v>
      </c>
      <c r="AP247" s="211">
        <v>3</v>
      </c>
      <c r="AQ247" s="211">
        <v>4</v>
      </c>
      <c r="AR247" s="211">
        <v>5</v>
      </c>
      <c r="AS247" s="211">
        <v>6</v>
      </c>
      <c r="AT247" s="211">
        <v>7</v>
      </c>
      <c r="AU247" s="211">
        <v>8</v>
      </c>
      <c r="AV247" s="211">
        <v>9</v>
      </c>
      <c r="AW247" s="211">
        <v>10</v>
      </c>
      <c r="AX247" s="211">
        <v>11</v>
      </c>
      <c r="AY247" s="211">
        <v>12</v>
      </c>
      <c r="AZ247" s="211">
        <v>13</v>
      </c>
      <c r="BA247" s="211">
        <v>14</v>
      </c>
      <c r="BB247" s="211">
        <v>15</v>
      </c>
      <c r="BC247" s="211">
        <v>16</v>
      </c>
      <c r="BD247" s="211">
        <v>17</v>
      </c>
      <c r="BE247" s="211">
        <v>18</v>
      </c>
      <c r="BF247" s="211">
        <v>19</v>
      </c>
      <c r="BG247" s="211">
        <v>20</v>
      </c>
      <c r="BH247" s="211">
        <v>21</v>
      </c>
      <c r="BI247" s="211">
        <v>22</v>
      </c>
      <c r="BJ247" s="211">
        <v>23</v>
      </c>
      <c r="BK247" s="211">
        <v>24</v>
      </c>
      <c r="BL247" s="211">
        <v>25</v>
      </c>
      <c r="BM247" s="211">
        <v>26</v>
      </c>
      <c r="BN247" s="211">
        <v>27</v>
      </c>
      <c r="BO247" s="211">
        <v>28</v>
      </c>
      <c r="BP247" s="211">
        <v>29</v>
      </c>
      <c r="BQ247" s="211">
        <v>30</v>
      </c>
      <c r="BR247" s="211">
        <v>31</v>
      </c>
      <c r="BS247" s="211">
        <v>32</v>
      </c>
      <c r="BT247" s="211">
        <v>33</v>
      </c>
      <c r="BU247" s="211">
        <v>34</v>
      </c>
      <c r="BV247" s="212">
        <v>35</v>
      </c>
    </row>
    <row r="248" spans="1:74" ht="20.149999999999999" hidden="1" customHeight="1" outlineLevel="2" x14ac:dyDescent="0.25">
      <c r="A248" s="19" t="str">
        <f>'Custos Diversos'!A121</f>
        <v>Sistema de irrigação</v>
      </c>
      <c r="B248" s="10" t="str">
        <f>'Custos Diversos'!B121</f>
        <v>ha</v>
      </c>
      <c r="C248" s="317">
        <f>'Custos Diversos'!C121</f>
        <v>22000</v>
      </c>
      <c r="D248" s="317">
        <f>'Custos Diversos'!D121</f>
        <v>1</v>
      </c>
      <c r="E248" s="292"/>
      <c r="F248" s="292"/>
      <c r="G248" s="292"/>
      <c r="H248" s="292"/>
      <c r="I248" s="292"/>
      <c r="J248" s="292"/>
      <c r="K248" s="292"/>
      <c r="L248" s="362"/>
      <c r="M248" s="362"/>
      <c r="N248" s="362"/>
      <c r="O248" s="362"/>
      <c r="P248" s="362"/>
      <c r="Q248" s="362"/>
      <c r="R248" s="362"/>
      <c r="S248" s="362"/>
      <c r="T248" s="362"/>
      <c r="U248" s="362"/>
      <c r="V248" s="368"/>
      <c r="W248" s="368">
        <f t="shared" ref="W248:AL251" si="513">E248</f>
        <v>0</v>
      </c>
      <c r="X248" s="368">
        <f t="shared" si="513"/>
        <v>0</v>
      </c>
      <c r="Y248" s="368">
        <f t="shared" si="513"/>
        <v>0</v>
      </c>
      <c r="Z248" s="368">
        <f t="shared" si="513"/>
        <v>0</v>
      </c>
      <c r="AA248" s="368">
        <f t="shared" si="513"/>
        <v>0</v>
      </c>
      <c r="AB248" s="368">
        <f t="shared" si="513"/>
        <v>0</v>
      </c>
      <c r="AC248" s="368">
        <f t="shared" si="513"/>
        <v>0</v>
      </c>
      <c r="AD248" s="368">
        <f t="shared" si="513"/>
        <v>0</v>
      </c>
      <c r="AE248" s="368">
        <f t="shared" si="513"/>
        <v>0</v>
      </c>
      <c r="AF248" s="368">
        <f t="shared" si="513"/>
        <v>0</v>
      </c>
      <c r="AG248" s="368">
        <f t="shared" si="513"/>
        <v>0</v>
      </c>
      <c r="AH248" s="368">
        <f t="shared" si="513"/>
        <v>0</v>
      </c>
      <c r="AI248" s="368">
        <f t="shared" si="513"/>
        <v>0</v>
      </c>
      <c r="AJ248" s="368">
        <f t="shared" si="513"/>
        <v>0</v>
      </c>
      <c r="AK248" s="368">
        <f t="shared" si="513"/>
        <v>0</v>
      </c>
      <c r="AL248" s="369">
        <f t="shared" si="513"/>
        <v>0</v>
      </c>
      <c r="AM248" s="637"/>
      <c r="AN248" s="293">
        <f t="shared" ref="AN248:AW251" si="514">$C248*D248</f>
        <v>22000</v>
      </c>
      <c r="AO248" s="308">
        <f t="shared" si="514"/>
        <v>0</v>
      </c>
      <c r="AP248" s="308">
        <f t="shared" si="514"/>
        <v>0</v>
      </c>
      <c r="AQ248" s="308">
        <f t="shared" si="514"/>
        <v>0</v>
      </c>
      <c r="AR248" s="308">
        <f t="shared" si="514"/>
        <v>0</v>
      </c>
      <c r="AS248" s="308">
        <f t="shared" si="514"/>
        <v>0</v>
      </c>
      <c r="AT248" s="308">
        <f t="shared" si="514"/>
        <v>0</v>
      </c>
      <c r="AU248" s="308">
        <f t="shared" si="514"/>
        <v>0</v>
      </c>
      <c r="AV248" s="368">
        <f t="shared" si="514"/>
        <v>0</v>
      </c>
      <c r="AW248" s="368">
        <f t="shared" si="514"/>
        <v>0</v>
      </c>
      <c r="AX248" s="368">
        <f t="shared" ref="AX248:BE251" si="515">$C248*N248</f>
        <v>0</v>
      </c>
      <c r="AY248" s="368">
        <f t="shared" si="515"/>
        <v>0</v>
      </c>
      <c r="AZ248" s="368">
        <f t="shared" si="515"/>
        <v>0</v>
      </c>
      <c r="BA248" s="368">
        <f t="shared" si="515"/>
        <v>0</v>
      </c>
      <c r="BB248" s="368">
        <f t="shared" si="515"/>
        <v>0</v>
      </c>
      <c r="BC248" s="368">
        <f t="shared" si="515"/>
        <v>0</v>
      </c>
      <c r="BD248" s="368">
        <f t="shared" si="515"/>
        <v>0</v>
      </c>
      <c r="BE248" s="368">
        <f t="shared" si="515"/>
        <v>0</v>
      </c>
      <c r="BF248" s="368">
        <v>0</v>
      </c>
      <c r="BG248" s="368">
        <f t="shared" ref="BG248:BV251" si="516">$C248*W248</f>
        <v>0</v>
      </c>
      <c r="BH248" s="368">
        <f t="shared" si="516"/>
        <v>0</v>
      </c>
      <c r="BI248" s="368">
        <f t="shared" si="516"/>
        <v>0</v>
      </c>
      <c r="BJ248" s="368">
        <f t="shared" si="516"/>
        <v>0</v>
      </c>
      <c r="BK248" s="368">
        <f t="shared" si="516"/>
        <v>0</v>
      </c>
      <c r="BL248" s="368">
        <f t="shared" si="516"/>
        <v>0</v>
      </c>
      <c r="BM248" s="368">
        <f t="shared" si="516"/>
        <v>0</v>
      </c>
      <c r="BN248" s="368">
        <f t="shared" si="516"/>
        <v>0</v>
      </c>
      <c r="BO248" s="368">
        <f t="shared" si="516"/>
        <v>0</v>
      </c>
      <c r="BP248" s="368">
        <f t="shared" si="516"/>
        <v>0</v>
      </c>
      <c r="BQ248" s="368">
        <f t="shared" si="516"/>
        <v>0</v>
      </c>
      <c r="BR248" s="368">
        <f t="shared" si="516"/>
        <v>0</v>
      </c>
      <c r="BS248" s="368">
        <f t="shared" si="516"/>
        <v>0</v>
      </c>
      <c r="BT248" s="368">
        <f t="shared" si="516"/>
        <v>0</v>
      </c>
      <c r="BU248" s="368">
        <f t="shared" si="516"/>
        <v>0</v>
      </c>
      <c r="BV248" s="369">
        <f t="shared" si="516"/>
        <v>0</v>
      </c>
    </row>
    <row r="249" spans="1:74" ht="20.149999999999999" hidden="1" customHeight="1" outlineLevel="2" x14ac:dyDescent="0.25">
      <c r="A249" s="20" t="str">
        <f>'Custos Diversos'!A122</f>
        <v>Apoio - alojamento - cozinha e refeitório</v>
      </c>
      <c r="B249" s="13" t="str">
        <f>'Custos Diversos'!B122</f>
        <v>m²/ha</v>
      </c>
      <c r="C249" s="318">
        <f>'Custos Diversos'!C122</f>
        <v>680</v>
      </c>
      <c r="D249" s="318">
        <f>'Custos Diversos'!D122</f>
        <v>3.23</v>
      </c>
      <c r="E249" s="296"/>
      <c r="F249" s="296"/>
      <c r="G249" s="296"/>
      <c r="H249" s="296"/>
      <c r="I249" s="296"/>
      <c r="J249" s="296"/>
      <c r="K249" s="296"/>
      <c r="L249" s="364"/>
      <c r="M249" s="364"/>
      <c r="N249" s="364"/>
      <c r="O249" s="364"/>
      <c r="P249" s="364"/>
      <c r="Q249" s="364"/>
      <c r="R249" s="364"/>
      <c r="S249" s="364"/>
      <c r="T249" s="364"/>
      <c r="U249" s="364"/>
      <c r="V249" s="370"/>
      <c r="W249" s="370">
        <f t="shared" si="513"/>
        <v>0</v>
      </c>
      <c r="X249" s="370">
        <f t="shared" si="513"/>
        <v>0</v>
      </c>
      <c r="Y249" s="370">
        <f t="shared" si="513"/>
        <v>0</v>
      </c>
      <c r="Z249" s="370">
        <f t="shared" si="513"/>
        <v>0</v>
      </c>
      <c r="AA249" s="370">
        <f t="shared" si="513"/>
        <v>0</v>
      </c>
      <c r="AB249" s="370">
        <f t="shared" si="513"/>
        <v>0</v>
      </c>
      <c r="AC249" s="370">
        <f t="shared" si="513"/>
        <v>0</v>
      </c>
      <c r="AD249" s="370">
        <f t="shared" si="513"/>
        <v>0</v>
      </c>
      <c r="AE249" s="370">
        <f t="shared" si="513"/>
        <v>0</v>
      </c>
      <c r="AF249" s="370">
        <f t="shared" si="513"/>
        <v>0</v>
      </c>
      <c r="AG249" s="370">
        <f t="shared" si="513"/>
        <v>0</v>
      </c>
      <c r="AH249" s="370">
        <f t="shared" si="513"/>
        <v>0</v>
      </c>
      <c r="AI249" s="370">
        <f t="shared" si="513"/>
        <v>0</v>
      </c>
      <c r="AJ249" s="370">
        <f t="shared" si="513"/>
        <v>0</v>
      </c>
      <c r="AK249" s="370">
        <f t="shared" si="513"/>
        <v>0</v>
      </c>
      <c r="AL249" s="371">
        <f t="shared" si="513"/>
        <v>0</v>
      </c>
      <c r="AM249" s="637"/>
      <c r="AN249" s="297">
        <f t="shared" si="514"/>
        <v>2196.4</v>
      </c>
      <c r="AO249" s="307">
        <f t="shared" si="514"/>
        <v>0</v>
      </c>
      <c r="AP249" s="307">
        <f t="shared" si="514"/>
        <v>0</v>
      </c>
      <c r="AQ249" s="307">
        <f t="shared" si="514"/>
        <v>0</v>
      </c>
      <c r="AR249" s="307">
        <f t="shared" si="514"/>
        <v>0</v>
      </c>
      <c r="AS249" s="307">
        <f t="shared" si="514"/>
        <v>0</v>
      </c>
      <c r="AT249" s="307">
        <f t="shared" si="514"/>
        <v>0</v>
      </c>
      <c r="AU249" s="307">
        <f t="shared" si="514"/>
        <v>0</v>
      </c>
      <c r="AV249" s="370">
        <f t="shared" si="514"/>
        <v>0</v>
      </c>
      <c r="AW249" s="370">
        <f t="shared" si="514"/>
        <v>0</v>
      </c>
      <c r="AX249" s="370">
        <f t="shared" si="515"/>
        <v>0</v>
      </c>
      <c r="AY249" s="370">
        <f t="shared" si="515"/>
        <v>0</v>
      </c>
      <c r="AZ249" s="370">
        <f t="shared" si="515"/>
        <v>0</v>
      </c>
      <c r="BA249" s="370">
        <f t="shared" si="515"/>
        <v>0</v>
      </c>
      <c r="BB249" s="370">
        <f t="shared" si="515"/>
        <v>0</v>
      </c>
      <c r="BC249" s="370">
        <f t="shared" si="515"/>
        <v>0</v>
      </c>
      <c r="BD249" s="370">
        <f t="shared" si="515"/>
        <v>0</v>
      </c>
      <c r="BE249" s="370">
        <f t="shared" si="515"/>
        <v>0</v>
      </c>
      <c r="BF249" s="370">
        <v>0</v>
      </c>
      <c r="BG249" s="370">
        <f t="shared" si="516"/>
        <v>0</v>
      </c>
      <c r="BH249" s="370">
        <f t="shared" si="516"/>
        <v>0</v>
      </c>
      <c r="BI249" s="370">
        <f t="shared" si="516"/>
        <v>0</v>
      </c>
      <c r="BJ249" s="370">
        <f t="shared" si="516"/>
        <v>0</v>
      </c>
      <c r="BK249" s="370">
        <f t="shared" si="516"/>
        <v>0</v>
      </c>
      <c r="BL249" s="370">
        <f t="shared" si="516"/>
        <v>0</v>
      </c>
      <c r="BM249" s="370">
        <f t="shared" si="516"/>
        <v>0</v>
      </c>
      <c r="BN249" s="370">
        <f t="shared" si="516"/>
        <v>0</v>
      </c>
      <c r="BO249" s="370">
        <f t="shared" si="516"/>
        <v>0</v>
      </c>
      <c r="BP249" s="370">
        <f t="shared" si="516"/>
        <v>0</v>
      </c>
      <c r="BQ249" s="370">
        <f t="shared" si="516"/>
        <v>0</v>
      </c>
      <c r="BR249" s="370">
        <f t="shared" si="516"/>
        <v>0</v>
      </c>
      <c r="BS249" s="370">
        <f t="shared" si="516"/>
        <v>0</v>
      </c>
      <c r="BT249" s="370">
        <f t="shared" si="516"/>
        <v>0</v>
      </c>
      <c r="BU249" s="370">
        <f t="shared" si="516"/>
        <v>0</v>
      </c>
      <c r="BV249" s="371">
        <f t="shared" si="516"/>
        <v>0</v>
      </c>
    </row>
    <row r="250" spans="1:74" ht="20.149999999999999" hidden="1" customHeight="1" outlineLevel="2" x14ac:dyDescent="0.25">
      <c r="A250" s="20" t="str">
        <f>'Custos Diversos'!A123</f>
        <v>Galpão insumos e maquinas</v>
      </c>
      <c r="B250" s="13" t="str">
        <f>'Custos Diversos'!B123</f>
        <v>m²/ha</v>
      </c>
      <c r="C250" s="318">
        <f>'Custos Diversos'!C123</f>
        <v>530</v>
      </c>
      <c r="D250" s="318">
        <f>'Custos Diversos'!D123</f>
        <v>3.9</v>
      </c>
      <c r="E250" s="296"/>
      <c r="F250" s="296"/>
      <c r="G250" s="296"/>
      <c r="H250" s="296"/>
      <c r="I250" s="296"/>
      <c r="J250" s="296"/>
      <c r="K250" s="296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70"/>
      <c r="W250" s="370">
        <f t="shared" si="513"/>
        <v>0</v>
      </c>
      <c r="X250" s="370">
        <f t="shared" si="513"/>
        <v>0</v>
      </c>
      <c r="Y250" s="370">
        <f t="shared" si="513"/>
        <v>0</v>
      </c>
      <c r="Z250" s="370">
        <f t="shared" si="513"/>
        <v>0</v>
      </c>
      <c r="AA250" s="370">
        <f t="shared" si="513"/>
        <v>0</v>
      </c>
      <c r="AB250" s="370">
        <f t="shared" si="513"/>
        <v>0</v>
      </c>
      <c r="AC250" s="370">
        <f t="shared" si="513"/>
        <v>0</v>
      </c>
      <c r="AD250" s="370">
        <f t="shared" si="513"/>
        <v>0</v>
      </c>
      <c r="AE250" s="370">
        <f t="shared" si="513"/>
        <v>0</v>
      </c>
      <c r="AF250" s="370">
        <f t="shared" si="513"/>
        <v>0</v>
      </c>
      <c r="AG250" s="370">
        <f t="shared" si="513"/>
        <v>0</v>
      </c>
      <c r="AH250" s="370">
        <f t="shared" si="513"/>
        <v>0</v>
      </c>
      <c r="AI250" s="370">
        <f t="shared" si="513"/>
        <v>0</v>
      </c>
      <c r="AJ250" s="370">
        <f t="shared" si="513"/>
        <v>0</v>
      </c>
      <c r="AK250" s="370">
        <f t="shared" si="513"/>
        <v>0</v>
      </c>
      <c r="AL250" s="371">
        <f t="shared" si="513"/>
        <v>0</v>
      </c>
      <c r="AM250" s="637"/>
      <c r="AN250" s="297">
        <f t="shared" si="514"/>
        <v>2067</v>
      </c>
      <c r="AO250" s="307">
        <f t="shared" si="514"/>
        <v>0</v>
      </c>
      <c r="AP250" s="307">
        <f t="shared" si="514"/>
        <v>0</v>
      </c>
      <c r="AQ250" s="307">
        <f t="shared" si="514"/>
        <v>0</v>
      </c>
      <c r="AR250" s="307">
        <f t="shared" si="514"/>
        <v>0</v>
      </c>
      <c r="AS250" s="307">
        <f t="shared" si="514"/>
        <v>0</v>
      </c>
      <c r="AT250" s="307">
        <f t="shared" si="514"/>
        <v>0</v>
      </c>
      <c r="AU250" s="307">
        <f t="shared" si="514"/>
        <v>0</v>
      </c>
      <c r="AV250" s="370">
        <f t="shared" si="514"/>
        <v>0</v>
      </c>
      <c r="AW250" s="370">
        <f t="shared" si="514"/>
        <v>0</v>
      </c>
      <c r="AX250" s="370">
        <f t="shared" si="515"/>
        <v>0</v>
      </c>
      <c r="AY250" s="370">
        <f t="shared" si="515"/>
        <v>0</v>
      </c>
      <c r="AZ250" s="370">
        <f t="shared" si="515"/>
        <v>0</v>
      </c>
      <c r="BA250" s="370">
        <f t="shared" si="515"/>
        <v>0</v>
      </c>
      <c r="BB250" s="370">
        <f t="shared" si="515"/>
        <v>0</v>
      </c>
      <c r="BC250" s="370">
        <f t="shared" si="515"/>
        <v>0</v>
      </c>
      <c r="BD250" s="370">
        <f t="shared" si="515"/>
        <v>0</v>
      </c>
      <c r="BE250" s="370">
        <f t="shared" si="515"/>
        <v>0</v>
      </c>
      <c r="BF250" s="370">
        <v>0</v>
      </c>
      <c r="BG250" s="370">
        <f t="shared" si="516"/>
        <v>0</v>
      </c>
      <c r="BH250" s="370">
        <f t="shared" si="516"/>
        <v>0</v>
      </c>
      <c r="BI250" s="370">
        <f t="shared" si="516"/>
        <v>0</v>
      </c>
      <c r="BJ250" s="370">
        <f t="shared" si="516"/>
        <v>0</v>
      </c>
      <c r="BK250" s="370">
        <f t="shared" si="516"/>
        <v>0</v>
      </c>
      <c r="BL250" s="370">
        <f t="shared" si="516"/>
        <v>0</v>
      </c>
      <c r="BM250" s="370">
        <f t="shared" si="516"/>
        <v>0</v>
      </c>
      <c r="BN250" s="370">
        <f t="shared" si="516"/>
        <v>0</v>
      </c>
      <c r="BO250" s="370">
        <f t="shared" si="516"/>
        <v>0</v>
      </c>
      <c r="BP250" s="370">
        <f t="shared" si="516"/>
        <v>0</v>
      </c>
      <c r="BQ250" s="370">
        <f t="shared" si="516"/>
        <v>0</v>
      </c>
      <c r="BR250" s="370">
        <f t="shared" si="516"/>
        <v>0</v>
      </c>
      <c r="BS250" s="370">
        <f t="shared" si="516"/>
        <v>0</v>
      </c>
      <c r="BT250" s="370">
        <f t="shared" si="516"/>
        <v>0</v>
      </c>
      <c r="BU250" s="370">
        <f t="shared" si="516"/>
        <v>0</v>
      </c>
      <c r="BV250" s="371">
        <f t="shared" si="516"/>
        <v>0</v>
      </c>
    </row>
    <row r="251" spans="1:74" ht="20.149999999999999" hidden="1" customHeight="1" outlineLevel="2" thickBot="1" x14ac:dyDescent="0.3">
      <c r="A251" s="326" t="str">
        <f>'Custos Diversos'!A124</f>
        <v>Packing hause</v>
      </c>
      <c r="B251" s="327" t="str">
        <f>'Custos Diversos'!B124</f>
        <v>m²/ha</v>
      </c>
      <c r="C251" s="328">
        <f>'Custos Diversos'!C124</f>
        <v>850</v>
      </c>
      <c r="D251" s="328">
        <f>'Custos Diversos'!D124</f>
        <v>10</v>
      </c>
      <c r="E251" s="329"/>
      <c r="F251" s="329"/>
      <c r="G251" s="329"/>
      <c r="H251" s="329"/>
      <c r="I251" s="329"/>
      <c r="J251" s="329"/>
      <c r="K251" s="329"/>
      <c r="L251" s="366"/>
      <c r="M251" s="366"/>
      <c r="N251" s="366"/>
      <c r="O251" s="366"/>
      <c r="P251" s="366"/>
      <c r="Q251" s="366"/>
      <c r="R251" s="366"/>
      <c r="S251" s="366"/>
      <c r="T251" s="366"/>
      <c r="U251" s="366"/>
      <c r="V251" s="372"/>
      <c r="W251" s="372">
        <f t="shared" si="513"/>
        <v>0</v>
      </c>
      <c r="X251" s="372">
        <f t="shared" si="513"/>
        <v>0</v>
      </c>
      <c r="Y251" s="372">
        <f t="shared" si="513"/>
        <v>0</v>
      </c>
      <c r="Z251" s="372">
        <f t="shared" si="513"/>
        <v>0</v>
      </c>
      <c r="AA251" s="372">
        <f t="shared" si="513"/>
        <v>0</v>
      </c>
      <c r="AB251" s="372">
        <f t="shared" si="513"/>
        <v>0</v>
      </c>
      <c r="AC251" s="372">
        <f t="shared" si="513"/>
        <v>0</v>
      </c>
      <c r="AD251" s="372">
        <f t="shared" si="513"/>
        <v>0</v>
      </c>
      <c r="AE251" s="372">
        <f t="shared" si="513"/>
        <v>0</v>
      </c>
      <c r="AF251" s="372">
        <f t="shared" si="513"/>
        <v>0</v>
      </c>
      <c r="AG251" s="372">
        <f t="shared" si="513"/>
        <v>0</v>
      </c>
      <c r="AH251" s="372">
        <f t="shared" si="513"/>
        <v>0</v>
      </c>
      <c r="AI251" s="372">
        <f t="shared" si="513"/>
        <v>0</v>
      </c>
      <c r="AJ251" s="372">
        <f t="shared" si="513"/>
        <v>0</v>
      </c>
      <c r="AK251" s="372">
        <f t="shared" si="513"/>
        <v>0</v>
      </c>
      <c r="AL251" s="373">
        <f t="shared" si="513"/>
        <v>0</v>
      </c>
      <c r="AM251" s="637"/>
      <c r="AN251" s="300">
        <f t="shared" si="514"/>
        <v>8500</v>
      </c>
      <c r="AO251" s="309">
        <f t="shared" si="514"/>
        <v>0</v>
      </c>
      <c r="AP251" s="309">
        <f t="shared" si="514"/>
        <v>0</v>
      </c>
      <c r="AQ251" s="309">
        <f t="shared" si="514"/>
        <v>0</v>
      </c>
      <c r="AR251" s="309">
        <f t="shared" si="514"/>
        <v>0</v>
      </c>
      <c r="AS251" s="309">
        <f t="shared" si="514"/>
        <v>0</v>
      </c>
      <c r="AT251" s="309">
        <f t="shared" si="514"/>
        <v>0</v>
      </c>
      <c r="AU251" s="309">
        <f t="shared" si="514"/>
        <v>0</v>
      </c>
      <c r="AV251" s="404">
        <f t="shared" si="514"/>
        <v>0</v>
      </c>
      <c r="AW251" s="404">
        <f t="shared" si="514"/>
        <v>0</v>
      </c>
      <c r="AX251" s="404">
        <f t="shared" si="515"/>
        <v>0</v>
      </c>
      <c r="AY251" s="404">
        <f t="shared" si="515"/>
        <v>0</v>
      </c>
      <c r="AZ251" s="404">
        <f t="shared" si="515"/>
        <v>0</v>
      </c>
      <c r="BA251" s="404">
        <f t="shared" si="515"/>
        <v>0</v>
      </c>
      <c r="BB251" s="404">
        <f t="shared" si="515"/>
        <v>0</v>
      </c>
      <c r="BC251" s="404">
        <f t="shared" si="515"/>
        <v>0</v>
      </c>
      <c r="BD251" s="404">
        <f t="shared" si="515"/>
        <v>0</v>
      </c>
      <c r="BE251" s="404">
        <f t="shared" si="515"/>
        <v>0</v>
      </c>
      <c r="BF251" s="404">
        <v>0</v>
      </c>
      <c r="BG251" s="404">
        <f t="shared" si="516"/>
        <v>0</v>
      </c>
      <c r="BH251" s="404">
        <f t="shared" si="516"/>
        <v>0</v>
      </c>
      <c r="BI251" s="404">
        <f t="shared" si="516"/>
        <v>0</v>
      </c>
      <c r="BJ251" s="404">
        <f t="shared" si="516"/>
        <v>0</v>
      </c>
      <c r="BK251" s="404">
        <f t="shared" si="516"/>
        <v>0</v>
      </c>
      <c r="BL251" s="404">
        <f t="shared" si="516"/>
        <v>0</v>
      </c>
      <c r="BM251" s="404">
        <f t="shared" si="516"/>
        <v>0</v>
      </c>
      <c r="BN251" s="404">
        <f t="shared" si="516"/>
        <v>0</v>
      </c>
      <c r="BO251" s="404">
        <f t="shared" si="516"/>
        <v>0</v>
      </c>
      <c r="BP251" s="404">
        <f t="shared" si="516"/>
        <v>0</v>
      </c>
      <c r="BQ251" s="404">
        <f t="shared" si="516"/>
        <v>0</v>
      </c>
      <c r="BR251" s="404">
        <f t="shared" si="516"/>
        <v>0</v>
      </c>
      <c r="BS251" s="404">
        <f t="shared" si="516"/>
        <v>0</v>
      </c>
      <c r="BT251" s="404">
        <f t="shared" si="516"/>
        <v>0</v>
      </c>
      <c r="BU251" s="404">
        <f t="shared" si="516"/>
        <v>0</v>
      </c>
      <c r="BV251" s="405">
        <f t="shared" si="516"/>
        <v>0</v>
      </c>
    </row>
    <row r="252" spans="1:74" s="409" customFormat="1" ht="20.149999999999999" hidden="1" customHeight="1" outlineLevel="2" thickBot="1" x14ac:dyDescent="0.3">
      <c r="A252" s="1114" t="s">
        <v>104</v>
      </c>
      <c r="B252" s="1115"/>
      <c r="C252" s="1115"/>
      <c r="D252" s="1115"/>
      <c r="E252" s="1115"/>
      <c r="F252" s="1115"/>
      <c r="G252" s="1115"/>
      <c r="H252" s="1115"/>
      <c r="I252" s="1115"/>
      <c r="J252" s="1115"/>
      <c r="K252" s="1115"/>
      <c r="L252" s="1115"/>
      <c r="M252" s="1115"/>
      <c r="N252" s="1115"/>
      <c r="O252" s="1115"/>
      <c r="P252" s="1115"/>
      <c r="Q252" s="1115"/>
      <c r="R252" s="1115"/>
      <c r="S252" s="1115"/>
      <c r="T252" s="1115"/>
      <c r="U252" s="1115"/>
      <c r="V252" s="1115"/>
      <c r="W252" s="1115"/>
      <c r="X252" s="1115"/>
      <c r="Y252" s="1115"/>
      <c r="Z252" s="1115"/>
      <c r="AA252" s="1115"/>
      <c r="AB252" s="1115"/>
      <c r="AC252" s="1115"/>
      <c r="AD252" s="1115"/>
      <c r="AE252" s="1115"/>
      <c r="AF252" s="1115"/>
      <c r="AG252" s="1115"/>
      <c r="AH252" s="1115"/>
      <c r="AI252" s="1115"/>
      <c r="AJ252" s="1115"/>
      <c r="AK252" s="1115"/>
      <c r="AL252" s="1115"/>
      <c r="AM252" s="1116"/>
      <c r="AN252" s="410">
        <f t="shared" ref="AN252:BV252" si="517">SUM(AN248:AN251)</f>
        <v>34763.4</v>
      </c>
      <c r="AO252" s="410">
        <f t="shared" si="517"/>
        <v>0</v>
      </c>
      <c r="AP252" s="410">
        <f t="shared" si="517"/>
        <v>0</v>
      </c>
      <c r="AQ252" s="410">
        <f t="shared" si="517"/>
        <v>0</v>
      </c>
      <c r="AR252" s="410">
        <f t="shared" si="517"/>
        <v>0</v>
      </c>
      <c r="AS252" s="410">
        <f t="shared" si="517"/>
        <v>0</v>
      </c>
      <c r="AT252" s="410">
        <f t="shared" si="517"/>
        <v>0</v>
      </c>
      <c r="AU252" s="410">
        <f t="shared" si="517"/>
        <v>0</v>
      </c>
      <c r="AV252" s="410">
        <f t="shared" si="517"/>
        <v>0</v>
      </c>
      <c r="AW252" s="410">
        <f t="shared" si="517"/>
        <v>0</v>
      </c>
      <c r="AX252" s="410">
        <f t="shared" si="517"/>
        <v>0</v>
      </c>
      <c r="AY252" s="410">
        <f t="shared" si="517"/>
        <v>0</v>
      </c>
      <c r="AZ252" s="410">
        <f t="shared" si="517"/>
        <v>0</v>
      </c>
      <c r="BA252" s="410">
        <f t="shared" si="517"/>
        <v>0</v>
      </c>
      <c r="BB252" s="410">
        <f t="shared" si="517"/>
        <v>0</v>
      </c>
      <c r="BC252" s="410">
        <f t="shared" si="517"/>
        <v>0</v>
      </c>
      <c r="BD252" s="410">
        <f t="shared" si="517"/>
        <v>0</v>
      </c>
      <c r="BE252" s="410">
        <f t="shared" si="517"/>
        <v>0</v>
      </c>
      <c r="BF252" s="410">
        <f t="shared" si="517"/>
        <v>0</v>
      </c>
      <c r="BG252" s="410">
        <f t="shared" si="517"/>
        <v>0</v>
      </c>
      <c r="BH252" s="410">
        <f t="shared" si="517"/>
        <v>0</v>
      </c>
      <c r="BI252" s="410">
        <f t="shared" si="517"/>
        <v>0</v>
      </c>
      <c r="BJ252" s="410">
        <f t="shared" si="517"/>
        <v>0</v>
      </c>
      <c r="BK252" s="410">
        <f t="shared" si="517"/>
        <v>0</v>
      </c>
      <c r="BL252" s="410">
        <f t="shared" si="517"/>
        <v>0</v>
      </c>
      <c r="BM252" s="410">
        <f t="shared" si="517"/>
        <v>0</v>
      </c>
      <c r="BN252" s="410">
        <f t="shared" si="517"/>
        <v>0</v>
      </c>
      <c r="BO252" s="410">
        <f t="shared" si="517"/>
        <v>0</v>
      </c>
      <c r="BP252" s="410">
        <f t="shared" si="517"/>
        <v>0</v>
      </c>
      <c r="BQ252" s="410">
        <f t="shared" si="517"/>
        <v>0</v>
      </c>
      <c r="BR252" s="410">
        <f t="shared" si="517"/>
        <v>0</v>
      </c>
      <c r="BS252" s="410">
        <f t="shared" si="517"/>
        <v>0</v>
      </c>
      <c r="BT252" s="410">
        <f t="shared" si="517"/>
        <v>0</v>
      </c>
      <c r="BU252" s="410">
        <f t="shared" si="517"/>
        <v>0</v>
      </c>
      <c r="BV252" s="410">
        <f t="shared" si="517"/>
        <v>0</v>
      </c>
    </row>
    <row r="253" spans="1:74" hidden="1" outlineLevel="2" x14ac:dyDescent="0.25"/>
    <row r="254" spans="1:74" s="123" customFormat="1" ht="27" hidden="1" customHeight="1" outlineLevel="1" collapsed="1" thickBot="1" x14ac:dyDescent="0.3">
      <c r="A254" s="1109" t="s">
        <v>61</v>
      </c>
      <c r="B254" s="1110"/>
      <c r="C254" s="1110"/>
      <c r="D254" s="1110"/>
      <c r="E254" s="1110"/>
      <c r="F254" s="1110"/>
      <c r="G254" s="1110"/>
      <c r="H254" s="1110"/>
      <c r="I254" s="1110"/>
      <c r="J254" s="1110"/>
      <c r="K254" s="1110"/>
      <c r="L254" s="1110"/>
      <c r="M254" s="1110"/>
      <c r="N254" s="1110"/>
      <c r="O254" s="1110"/>
      <c r="P254" s="1110"/>
      <c r="Q254" s="1110"/>
      <c r="R254" s="1110"/>
      <c r="S254" s="1110"/>
      <c r="T254" s="1110"/>
      <c r="U254" s="1110"/>
      <c r="V254" s="1110"/>
      <c r="W254" s="1110"/>
      <c r="X254" s="1110"/>
      <c r="Y254" s="1110"/>
      <c r="Z254" s="1110"/>
      <c r="AA254" s="1110"/>
      <c r="AB254" s="1110"/>
      <c r="AC254" s="1110"/>
      <c r="AD254" s="1110"/>
      <c r="AE254" s="1110"/>
      <c r="AF254" s="1110"/>
      <c r="AG254" s="1110"/>
      <c r="AH254" s="1110"/>
      <c r="AI254" s="1110"/>
      <c r="AJ254" s="1110"/>
      <c r="AK254" s="1110"/>
      <c r="AL254" s="1110"/>
      <c r="AM254" s="1110"/>
      <c r="AN254" s="1110"/>
      <c r="AO254" s="1110"/>
      <c r="AP254" s="1110"/>
      <c r="AQ254" s="1110"/>
      <c r="AR254" s="1110"/>
      <c r="AS254" s="1110"/>
      <c r="AT254" s="1110"/>
      <c r="AU254" s="1110"/>
      <c r="AV254" s="1110"/>
      <c r="AW254" s="1110"/>
      <c r="AX254" s="1110"/>
      <c r="AY254" s="1110"/>
      <c r="AZ254" s="1110"/>
      <c r="BA254" s="1110"/>
      <c r="BB254" s="1110"/>
      <c r="BC254" s="1110"/>
      <c r="BD254" s="1110"/>
      <c r="BE254" s="1110"/>
      <c r="BF254" s="1110"/>
      <c r="BG254" s="1110"/>
      <c r="BH254" s="1110"/>
      <c r="BI254" s="1110"/>
      <c r="BJ254" s="1110"/>
      <c r="BK254" s="1110"/>
      <c r="BL254" s="1110"/>
      <c r="BM254" s="1110"/>
      <c r="BN254" s="1110"/>
      <c r="BO254" s="1110"/>
      <c r="BP254" s="1110"/>
      <c r="BQ254" s="1110"/>
      <c r="BR254" s="1110"/>
      <c r="BS254" s="1110"/>
      <c r="BT254" s="1110"/>
      <c r="BU254" s="1110"/>
      <c r="BV254" s="1111"/>
    </row>
    <row r="255" spans="1:74" ht="18" hidden="1" customHeight="1" outlineLevel="2" thickBot="1" x14ac:dyDescent="0.3">
      <c r="A255" s="1112" t="s">
        <v>113</v>
      </c>
      <c r="B255" s="1112" t="s">
        <v>8</v>
      </c>
      <c r="C255" s="1112" t="s">
        <v>100</v>
      </c>
      <c r="D255" s="1103" t="s">
        <v>97</v>
      </c>
      <c r="E255" s="1104"/>
      <c r="F255" s="1104"/>
      <c r="G255" s="1104"/>
      <c r="H255" s="1104"/>
      <c r="I255" s="1104"/>
      <c r="J255" s="1104"/>
      <c r="K255" s="1104"/>
      <c r="L255" s="1104"/>
      <c r="M255" s="1104"/>
      <c r="N255" s="1104"/>
      <c r="O255" s="1104"/>
      <c r="P255" s="1104"/>
      <c r="Q255" s="1104"/>
      <c r="R255" s="1104"/>
      <c r="S255" s="1104"/>
      <c r="T255" s="1104"/>
      <c r="U255" s="1104"/>
      <c r="V255" s="1104"/>
      <c r="W255" s="1104"/>
      <c r="X255" s="1104"/>
      <c r="Y255" s="1104"/>
      <c r="Z255" s="1104"/>
      <c r="AA255" s="1104"/>
      <c r="AB255" s="1104"/>
      <c r="AC255" s="1104"/>
      <c r="AD255" s="1104"/>
      <c r="AE255" s="1104"/>
      <c r="AF255" s="1104"/>
      <c r="AG255" s="1104"/>
      <c r="AH255" s="1104"/>
      <c r="AI255" s="1104"/>
      <c r="AJ255" s="1104"/>
      <c r="AK255" s="1104"/>
      <c r="AL255" s="1105"/>
      <c r="AM255" s="634"/>
      <c r="AN255" s="1119" t="s">
        <v>99</v>
      </c>
      <c r="AO255" s="1120"/>
      <c r="AP255" s="1120"/>
      <c r="AQ255" s="1120"/>
      <c r="AR255" s="1120"/>
      <c r="AS255" s="1120"/>
      <c r="AT255" s="1120"/>
      <c r="AU255" s="1120"/>
      <c r="AV255" s="1120"/>
      <c r="AW255" s="1120"/>
      <c r="AX255" s="1120"/>
      <c r="AY255" s="1120"/>
      <c r="AZ255" s="1120"/>
      <c r="BA255" s="1120"/>
      <c r="BB255" s="1120"/>
      <c r="BC255" s="1120"/>
      <c r="BD255" s="1120"/>
      <c r="BE255" s="1120"/>
      <c r="BF255" s="1120"/>
      <c r="BG255" s="1120"/>
      <c r="BH255" s="1120"/>
      <c r="BI255" s="1120"/>
      <c r="BJ255" s="1120"/>
      <c r="BK255" s="1120"/>
      <c r="BL255" s="1120"/>
      <c r="BM255" s="1120"/>
      <c r="BN255" s="1120"/>
      <c r="BO255" s="1120"/>
      <c r="BP255" s="1120"/>
      <c r="BQ255" s="1120"/>
      <c r="BR255" s="1120"/>
      <c r="BS255" s="1120"/>
      <c r="BT255" s="1120"/>
      <c r="BU255" s="1120"/>
      <c r="BV255" s="1121"/>
    </row>
    <row r="256" spans="1:74" ht="18" hidden="1" customHeight="1" outlineLevel="2" thickBot="1" x14ac:dyDescent="0.3">
      <c r="A256" s="1113"/>
      <c r="B256" s="1113"/>
      <c r="C256" s="1113"/>
      <c r="D256" s="275">
        <v>1</v>
      </c>
      <c r="E256" s="211">
        <v>2</v>
      </c>
      <c r="F256" s="211">
        <v>3</v>
      </c>
      <c r="G256" s="211">
        <v>4</v>
      </c>
      <c r="H256" s="211">
        <v>5</v>
      </c>
      <c r="I256" s="211">
        <v>6</v>
      </c>
      <c r="J256" s="211">
        <v>7</v>
      </c>
      <c r="K256" s="211">
        <v>8</v>
      </c>
      <c r="L256" s="211">
        <v>9</v>
      </c>
      <c r="M256" s="211">
        <v>10</v>
      </c>
      <c r="N256" s="211">
        <v>11</v>
      </c>
      <c r="O256" s="211">
        <v>12</v>
      </c>
      <c r="P256" s="211">
        <v>13</v>
      </c>
      <c r="Q256" s="211">
        <v>14</v>
      </c>
      <c r="R256" s="211">
        <v>15</v>
      </c>
      <c r="S256" s="211">
        <v>16</v>
      </c>
      <c r="T256" s="211">
        <v>17</v>
      </c>
      <c r="U256" s="211">
        <v>18</v>
      </c>
      <c r="V256" s="211">
        <v>19</v>
      </c>
      <c r="W256" s="211">
        <v>20</v>
      </c>
      <c r="X256" s="211">
        <v>21</v>
      </c>
      <c r="Y256" s="211">
        <v>22</v>
      </c>
      <c r="Z256" s="211">
        <v>23</v>
      </c>
      <c r="AA256" s="211">
        <v>24</v>
      </c>
      <c r="AB256" s="211">
        <v>25</v>
      </c>
      <c r="AC256" s="211">
        <v>26</v>
      </c>
      <c r="AD256" s="211">
        <v>27</v>
      </c>
      <c r="AE256" s="211">
        <v>28</v>
      </c>
      <c r="AF256" s="211">
        <v>29</v>
      </c>
      <c r="AG256" s="211">
        <v>30</v>
      </c>
      <c r="AH256" s="211">
        <v>31</v>
      </c>
      <c r="AI256" s="211">
        <v>32</v>
      </c>
      <c r="AJ256" s="211">
        <v>33</v>
      </c>
      <c r="AK256" s="211">
        <v>34</v>
      </c>
      <c r="AL256" s="212">
        <v>35</v>
      </c>
      <c r="AM256" s="635"/>
      <c r="AN256" s="275">
        <v>1</v>
      </c>
      <c r="AO256" s="211">
        <v>2</v>
      </c>
      <c r="AP256" s="211">
        <v>3</v>
      </c>
      <c r="AQ256" s="211">
        <v>4</v>
      </c>
      <c r="AR256" s="211">
        <v>5</v>
      </c>
      <c r="AS256" s="211">
        <v>6</v>
      </c>
      <c r="AT256" s="211">
        <v>7</v>
      </c>
      <c r="AU256" s="211">
        <v>8</v>
      </c>
      <c r="AV256" s="211">
        <v>9</v>
      </c>
      <c r="AW256" s="211">
        <v>10</v>
      </c>
      <c r="AX256" s="211">
        <v>11</v>
      </c>
      <c r="AY256" s="211">
        <v>12</v>
      </c>
      <c r="AZ256" s="211">
        <v>13</v>
      </c>
      <c r="BA256" s="211">
        <v>14</v>
      </c>
      <c r="BB256" s="211">
        <v>15</v>
      </c>
      <c r="BC256" s="211">
        <v>16</v>
      </c>
      <c r="BD256" s="211">
        <v>17</v>
      </c>
      <c r="BE256" s="211">
        <v>18</v>
      </c>
      <c r="BF256" s="211">
        <v>19</v>
      </c>
      <c r="BG256" s="211">
        <v>20</v>
      </c>
      <c r="BH256" s="211">
        <v>21</v>
      </c>
      <c r="BI256" s="211">
        <v>22</v>
      </c>
      <c r="BJ256" s="211">
        <v>23</v>
      </c>
      <c r="BK256" s="211">
        <v>24</v>
      </c>
      <c r="BL256" s="211">
        <v>25</v>
      </c>
      <c r="BM256" s="211">
        <v>26</v>
      </c>
      <c r="BN256" s="211">
        <v>27</v>
      </c>
      <c r="BO256" s="211">
        <v>28</v>
      </c>
      <c r="BP256" s="211">
        <v>29</v>
      </c>
      <c r="BQ256" s="211">
        <v>30</v>
      </c>
      <c r="BR256" s="211">
        <v>31</v>
      </c>
      <c r="BS256" s="211">
        <v>32</v>
      </c>
      <c r="BT256" s="211">
        <v>33</v>
      </c>
      <c r="BU256" s="211">
        <v>34</v>
      </c>
      <c r="BV256" s="212">
        <v>35</v>
      </c>
    </row>
    <row r="257" spans="1:74" ht="20.149999999999999" hidden="1" customHeight="1" outlineLevel="2" x14ac:dyDescent="0.25">
      <c r="A257" s="46" t="str">
        <f>'Custos Diversos'!A146</f>
        <v>Energia - parcelar ( consumo )</v>
      </c>
      <c r="B257" s="37" t="str">
        <f>'Custos Diversos'!B146</f>
        <v>kwh/ano</v>
      </c>
      <c r="C257" s="320">
        <f>'Custos Diversos'!E146</f>
        <v>0.23</v>
      </c>
      <c r="D257" s="284">
        <f>'Demanda de água e energia'!G62</f>
        <v>2100</v>
      </c>
      <c r="E257" s="284">
        <f t="shared" ref="E257:U257" si="518">D257</f>
        <v>2100</v>
      </c>
      <c r="F257" s="284">
        <f t="shared" si="518"/>
        <v>2100</v>
      </c>
      <c r="G257" s="284">
        <f t="shared" si="518"/>
        <v>2100</v>
      </c>
      <c r="H257" s="284">
        <f t="shared" si="518"/>
        <v>2100</v>
      </c>
      <c r="I257" s="284">
        <f t="shared" si="518"/>
        <v>2100</v>
      </c>
      <c r="J257" s="284">
        <f t="shared" si="518"/>
        <v>2100</v>
      </c>
      <c r="K257" s="284">
        <f t="shared" si="518"/>
        <v>2100</v>
      </c>
      <c r="L257" s="358">
        <f t="shared" si="518"/>
        <v>2100</v>
      </c>
      <c r="M257" s="358">
        <f t="shared" si="518"/>
        <v>2100</v>
      </c>
      <c r="N257" s="358">
        <f t="shared" si="518"/>
        <v>2100</v>
      </c>
      <c r="O257" s="358">
        <f t="shared" si="518"/>
        <v>2100</v>
      </c>
      <c r="P257" s="358">
        <f t="shared" si="518"/>
        <v>2100</v>
      </c>
      <c r="Q257" s="358">
        <f t="shared" si="518"/>
        <v>2100</v>
      </c>
      <c r="R257" s="358">
        <f t="shared" si="518"/>
        <v>2100</v>
      </c>
      <c r="S257" s="358">
        <f t="shared" si="518"/>
        <v>2100</v>
      </c>
      <c r="T257" s="358">
        <f t="shared" si="518"/>
        <v>2100</v>
      </c>
      <c r="U257" s="358">
        <f t="shared" si="518"/>
        <v>2100</v>
      </c>
      <c r="V257" s="358">
        <f t="shared" ref="V257:V265" si="519">D257</f>
        <v>2100</v>
      </c>
      <c r="W257" s="358">
        <f t="shared" ref="W257:W265" si="520">E257</f>
        <v>2100</v>
      </c>
      <c r="X257" s="358">
        <f t="shared" ref="X257:X265" si="521">F257</f>
        <v>2100</v>
      </c>
      <c r="Y257" s="358">
        <f t="shared" ref="Y257:Y265" si="522">G257</f>
        <v>2100</v>
      </c>
      <c r="Z257" s="358">
        <f t="shared" ref="Z257:Z265" si="523">H257</f>
        <v>2100</v>
      </c>
      <c r="AA257" s="358">
        <f t="shared" ref="AA257:AA265" si="524">I257</f>
        <v>2100</v>
      </c>
      <c r="AB257" s="358">
        <f t="shared" ref="AB257:AB265" si="525">J257</f>
        <v>2100</v>
      </c>
      <c r="AC257" s="358">
        <f t="shared" ref="AC257:AC265" si="526">K257</f>
        <v>2100</v>
      </c>
      <c r="AD257" s="358">
        <f t="shared" ref="AD257:AD265" si="527">L257</f>
        <v>2100</v>
      </c>
      <c r="AE257" s="358">
        <f t="shared" ref="AE257:AE265" si="528">M257</f>
        <v>2100</v>
      </c>
      <c r="AF257" s="358">
        <f t="shared" ref="AF257:AF265" si="529">N257</f>
        <v>2100</v>
      </c>
      <c r="AG257" s="358">
        <f t="shared" ref="AG257:AG265" si="530">O257</f>
        <v>2100</v>
      </c>
      <c r="AH257" s="358">
        <f t="shared" ref="AH257:AH265" si="531">P257</f>
        <v>2100</v>
      </c>
      <c r="AI257" s="358">
        <f t="shared" ref="AI257:AI265" si="532">Q257</f>
        <v>2100</v>
      </c>
      <c r="AJ257" s="358">
        <f t="shared" ref="AJ257:AJ265" si="533">R257</f>
        <v>2100</v>
      </c>
      <c r="AK257" s="358">
        <f t="shared" ref="AK257:AK265" si="534">S257</f>
        <v>2100</v>
      </c>
      <c r="AL257" s="359">
        <f t="shared" ref="AL257:AL265" si="535">T257</f>
        <v>2100</v>
      </c>
      <c r="AM257" s="636"/>
      <c r="AN257" s="283">
        <f t="shared" ref="AN257:BV257" si="536">$C$257*D257</f>
        <v>483</v>
      </c>
      <c r="AO257" s="284">
        <f t="shared" si="536"/>
        <v>483</v>
      </c>
      <c r="AP257" s="284">
        <f t="shared" si="536"/>
        <v>483</v>
      </c>
      <c r="AQ257" s="284">
        <f t="shared" si="536"/>
        <v>483</v>
      </c>
      <c r="AR257" s="284">
        <f t="shared" si="536"/>
        <v>483</v>
      </c>
      <c r="AS257" s="284">
        <f t="shared" si="536"/>
        <v>483</v>
      </c>
      <c r="AT257" s="284">
        <f t="shared" si="536"/>
        <v>483</v>
      </c>
      <c r="AU257" s="284">
        <f t="shared" si="536"/>
        <v>483</v>
      </c>
      <c r="AV257" s="358">
        <f t="shared" si="536"/>
        <v>483</v>
      </c>
      <c r="AW257" s="358">
        <f t="shared" si="536"/>
        <v>483</v>
      </c>
      <c r="AX257" s="358">
        <f t="shared" si="536"/>
        <v>483</v>
      </c>
      <c r="AY257" s="358">
        <f t="shared" si="536"/>
        <v>483</v>
      </c>
      <c r="AZ257" s="358">
        <f t="shared" si="536"/>
        <v>483</v>
      </c>
      <c r="BA257" s="358">
        <f t="shared" si="536"/>
        <v>483</v>
      </c>
      <c r="BB257" s="358">
        <f t="shared" si="536"/>
        <v>483</v>
      </c>
      <c r="BC257" s="358">
        <f t="shared" si="536"/>
        <v>483</v>
      </c>
      <c r="BD257" s="358">
        <f t="shared" si="536"/>
        <v>483</v>
      </c>
      <c r="BE257" s="358">
        <f t="shared" si="536"/>
        <v>483</v>
      </c>
      <c r="BF257" s="358">
        <f t="shared" si="536"/>
        <v>483</v>
      </c>
      <c r="BG257" s="358">
        <f t="shared" si="536"/>
        <v>483</v>
      </c>
      <c r="BH257" s="358">
        <f t="shared" si="536"/>
        <v>483</v>
      </c>
      <c r="BI257" s="358">
        <f t="shared" si="536"/>
        <v>483</v>
      </c>
      <c r="BJ257" s="358">
        <f t="shared" si="536"/>
        <v>483</v>
      </c>
      <c r="BK257" s="358">
        <f t="shared" si="536"/>
        <v>483</v>
      </c>
      <c r="BL257" s="358">
        <f t="shared" si="536"/>
        <v>483</v>
      </c>
      <c r="BM257" s="358">
        <f t="shared" si="536"/>
        <v>483</v>
      </c>
      <c r="BN257" s="358">
        <f t="shared" si="536"/>
        <v>483</v>
      </c>
      <c r="BO257" s="358">
        <f t="shared" si="536"/>
        <v>483</v>
      </c>
      <c r="BP257" s="358">
        <f t="shared" si="536"/>
        <v>483</v>
      </c>
      <c r="BQ257" s="358">
        <f t="shared" si="536"/>
        <v>483</v>
      </c>
      <c r="BR257" s="358">
        <f t="shared" si="536"/>
        <v>483</v>
      </c>
      <c r="BS257" s="358">
        <f t="shared" si="536"/>
        <v>483</v>
      </c>
      <c r="BT257" s="358">
        <f t="shared" si="536"/>
        <v>483</v>
      </c>
      <c r="BU257" s="358">
        <f t="shared" si="536"/>
        <v>483</v>
      </c>
      <c r="BV257" s="359">
        <f t="shared" si="536"/>
        <v>483</v>
      </c>
    </row>
    <row r="258" spans="1:74" ht="20.149999999999999" hidden="1" customHeight="1" outlineLevel="2" x14ac:dyDescent="0.25">
      <c r="A258" s="46" t="str">
        <f>'Custos Diversos'!A147</f>
        <v>Energia - parcelar ( demanda )</v>
      </c>
      <c r="B258" s="37" t="str">
        <f>'Custos Diversos'!B147</f>
        <v>kw/ano</v>
      </c>
      <c r="C258" s="320">
        <f>'Custos Diversos'!E147</f>
        <v>12</v>
      </c>
      <c r="D258" s="284">
        <f t="shared" ref="D258:U258" si="537">1*12</f>
        <v>12</v>
      </c>
      <c r="E258" s="284">
        <f t="shared" si="537"/>
        <v>12</v>
      </c>
      <c r="F258" s="284">
        <f t="shared" si="537"/>
        <v>12</v>
      </c>
      <c r="G258" s="284">
        <f t="shared" si="537"/>
        <v>12</v>
      </c>
      <c r="H258" s="284">
        <f t="shared" si="537"/>
        <v>12</v>
      </c>
      <c r="I258" s="284">
        <f t="shared" si="537"/>
        <v>12</v>
      </c>
      <c r="J258" s="284">
        <f t="shared" si="537"/>
        <v>12</v>
      </c>
      <c r="K258" s="284">
        <f t="shared" si="537"/>
        <v>12</v>
      </c>
      <c r="L258" s="358">
        <f t="shared" si="537"/>
        <v>12</v>
      </c>
      <c r="M258" s="358">
        <f t="shared" si="537"/>
        <v>12</v>
      </c>
      <c r="N258" s="358">
        <f t="shared" si="537"/>
        <v>12</v>
      </c>
      <c r="O258" s="358">
        <f t="shared" si="537"/>
        <v>12</v>
      </c>
      <c r="P258" s="358">
        <f t="shared" si="537"/>
        <v>12</v>
      </c>
      <c r="Q258" s="358">
        <f t="shared" si="537"/>
        <v>12</v>
      </c>
      <c r="R258" s="358">
        <f t="shared" si="537"/>
        <v>12</v>
      </c>
      <c r="S258" s="358">
        <f t="shared" si="537"/>
        <v>12</v>
      </c>
      <c r="T258" s="358">
        <f t="shared" si="537"/>
        <v>12</v>
      </c>
      <c r="U258" s="358">
        <f t="shared" si="537"/>
        <v>12</v>
      </c>
      <c r="V258" s="358">
        <f t="shared" si="519"/>
        <v>12</v>
      </c>
      <c r="W258" s="358">
        <f t="shared" si="520"/>
        <v>12</v>
      </c>
      <c r="X258" s="358">
        <f t="shared" si="521"/>
        <v>12</v>
      </c>
      <c r="Y258" s="358">
        <f t="shared" si="522"/>
        <v>12</v>
      </c>
      <c r="Z258" s="358">
        <f t="shared" si="523"/>
        <v>12</v>
      </c>
      <c r="AA258" s="358">
        <f t="shared" si="524"/>
        <v>12</v>
      </c>
      <c r="AB258" s="358">
        <f t="shared" si="525"/>
        <v>12</v>
      </c>
      <c r="AC258" s="358">
        <f t="shared" si="526"/>
        <v>12</v>
      </c>
      <c r="AD258" s="358">
        <f t="shared" si="527"/>
        <v>12</v>
      </c>
      <c r="AE258" s="358">
        <f t="shared" si="528"/>
        <v>12</v>
      </c>
      <c r="AF258" s="358">
        <f t="shared" si="529"/>
        <v>12</v>
      </c>
      <c r="AG258" s="358">
        <f t="shared" si="530"/>
        <v>12</v>
      </c>
      <c r="AH258" s="358">
        <f t="shared" si="531"/>
        <v>12</v>
      </c>
      <c r="AI258" s="358">
        <f t="shared" si="532"/>
        <v>12</v>
      </c>
      <c r="AJ258" s="358">
        <f t="shared" si="533"/>
        <v>12</v>
      </c>
      <c r="AK258" s="358">
        <f t="shared" si="534"/>
        <v>12</v>
      </c>
      <c r="AL258" s="359">
        <f t="shared" si="535"/>
        <v>12</v>
      </c>
      <c r="AM258" s="636"/>
      <c r="AN258" s="283">
        <f t="shared" ref="AN258:BV258" si="538">$C$258*D258</f>
        <v>144</v>
      </c>
      <c r="AO258" s="284">
        <f t="shared" si="538"/>
        <v>144</v>
      </c>
      <c r="AP258" s="284">
        <f t="shared" si="538"/>
        <v>144</v>
      </c>
      <c r="AQ258" s="284">
        <f t="shared" si="538"/>
        <v>144</v>
      </c>
      <c r="AR258" s="284">
        <f t="shared" si="538"/>
        <v>144</v>
      </c>
      <c r="AS258" s="284">
        <f t="shared" si="538"/>
        <v>144</v>
      </c>
      <c r="AT258" s="284">
        <f t="shared" si="538"/>
        <v>144</v>
      </c>
      <c r="AU258" s="284">
        <f t="shared" si="538"/>
        <v>144</v>
      </c>
      <c r="AV258" s="358">
        <f t="shared" si="538"/>
        <v>144</v>
      </c>
      <c r="AW258" s="358">
        <f t="shared" si="538"/>
        <v>144</v>
      </c>
      <c r="AX258" s="358">
        <f t="shared" si="538"/>
        <v>144</v>
      </c>
      <c r="AY258" s="358">
        <f t="shared" si="538"/>
        <v>144</v>
      </c>
      <c r="AZ258" s="358">
        <f t="shared" si="538"/>
        <v>144</v>
      </c>
      <c r="BA258" s="358">
        <f t="shared" si="538"/>
        <v>144</v>
      </c>
      <c r="BB258" s="358">
        <f t="shared" si="538"/>
        <v>144</v>
      </c>
      <c r="BC258" s="358">
        <f t="shared" si="538"/>
        <v>144</v>
      </c>
      <c r="BD258" s="358">
        <f t="shared" si="538"/>
        <v>144</v>
      </c>
      <c r="BE258" s="358">
        <f t="shared" si="538"/>
        <v>144</v>
      </c>
      <c r="BF258" s="358">
        <f t="shared" si="538"/>
        <v>144</v>
      </c>
      <c r="BG258" s="358">
        <f t="shared" si="538"/>
        <v>144</v>
      </c>
      <c r="BH258" s="358">
        <f t="shared" si="538"/>
        <v>144</v>
      </c>
      <c r="BI258" s="358">
        <f t="shared" si="538"/>
        <v>144</v>
      </c>
      <c r="BJ258" s="358">
        <f t="shared" si="538"/>
        <v>144</v>
      </c>
      <c r="BK258" s="358">
        <f t="shared" si="538"/>
        <v>144</v>
      </c>
      <c r="BL258" s="358">
        <f t="shared" si="538"/>
        <v>144</v>
      </c>
      <c r="BM258" s="358">
        <f t="shared" si="538"/>
        <v>144</v>
      </c>
      <c r="BN258" s="358">
        <f t="shared" si="538"/>
        <v>144</v>
      </c>
      <c r="BO258" s="358">
        <f t="shared" si="538"/>
        <v>144</v>
      </c>
      <c r="BP258" s="358">
        <f t="shared" si="538"/>
        <v>144</v>
      </c>
      <c r="BQ258" s="358">
        <f t="shared" si="538"/>
        <v>144</v>
      </c>
      <c r="BR258" s="358">
        <f t="shared" si="538"/>
        <v>144</v>
      </c>
      <c r="BS258" s="358">
        <f t="shared" si="538"/>
        <v>144</v>
      </c>
      <c r="BT258" s="358">
        <f t="shared" si="538"/>
        <v>144</v>
      </c>
      <c r="BU258" s="358">
        <f t="shared" si="538"/>
        <v>144</v>
      </c>
      <c r="BV258" s="359">
        <f t="shared" si="538"/>
        <v>144</v>
      </c>
    </row>
    <row r="259" spans="1:74" ht="20.149999999999999" hidden="1" customHeight="1" outlineLevel="2" x14ac:dyDescent="0.25">
      <c r="A259" s="46" t="str">
        <f>'Custos Diversos'!A148</f>
        <v>Caixa de papelão - embalagem -6 kg</v>
      </c>
      <c r="B259" s="37" t="str">
        <f>'Custos Diversos'!B148</f>
        <v>ud</v>
      </c>
      <c r="C259" s="320">
        <f>'Custos Diversos'!E148</f>
        <v>6</v>
      </c>
      <c r="D259" s="284">
        <f t="shared" ref="D259:U259" si="539">AN271*1000/6</f>
        <v>0</v>
      </c>
      <c r="E259" s="284">
        <f t="shared" si="539"/>
        <v>0</v>
      </c>
      <c r="F259" s="284">
        <f t="shared" si="539"/>
        <v>1250</v>
      </c>
      <c r="G259" s="284">
        <f t="shared" si="539"/>
        <v>1566.6666666666667</v>
      </c>
      <c r="H259" s="284">
        <f t="shared" si="539"/>
        <v>2816.6666666666665</v>
      </c>
      <c r="I259" s="284">
        <f t="shared" si="539"/>
        <v>3133.3333333333335</v>
      </c>
      <c r="J259" s="284">
        <f t="shared" si="539"/>
        <v>3916.6666666666665</v>
      </c>
      <c r="K259" s="284">
        <f t="shared" si="539"/>
        <v>4700</v>
      </c>
      <c r="L259" s="358">
        <f t="shared" si="539"/>
        <v>4700</v>
      </c>
      <c r="M259" s="358">
        <f t="shared" si="539"/>
        <v>4700</v>
      </c>
      <c r="N259" s="358">
        <f t="shared" si="539"/>
        <v>3916.6666666666665</v>
      </c>
      <c r="O259" s="358">
        <f t="shared" si="539"/>
        <v>4383.333333333333</v>
      </c>
      <c r="P259" s="358">
        <f t="shared" si="539"/>
        <v>3916.6666666666665</v>
      </c>
      <c r="Q259" s="358">
        <f t="shared" si="539"/>
        <v>3916.6666666666665</v>
      </c>
      <c r="R259" s="358">
        <f t="shared" si="539"/>
        <v>3916.6666666666665</v>
      </c>
      <c r="S259" s="358">
        <f t="shared" si="539"/>
        <v>3133.3333333333335</v>
      </c>
      <c r="T259" s="358">
        <f t="shared" si="539"/>
        <v>3133.3333333333335</v>
      </c>
      <c r="U259" s="358">
        <f t="shared" si="539"/>
        <v>2816.6666666666665</v>
      </c>
      <c r="V259" s="358">
        <f t="shared" si="519"/>
        <v>0</v>
      </c>
      <c r="W259" s="358">
        <f t="shared" si="520"/>
        <v>0</v>
      </c>
      <c r="X259" s="358">
        <f t="shared" si="521"/>
        <v>1250</v>
      </c>
      <c r="Y259" s="358">
        <f t="shared" si="522"/>
        <v>1566.6666666666667</v>
      </c>
      <c r="Z259" s="358">
        <f t="shared" si="523"/>
        <v>2816.6666666666665</v>
      </c>
      <c r="AA259" s="358">
        <f t="shared" si="524"/>
        <v>3133.3333333333335</v>
      </c>
      <c r="AB259" s="358">
        <f t="shared" si="525"/>
        <v>3916.6666666666665</v>
      </c>
      <c r="AC259" s="358">
        <f t="shared" si="526"/>
        <v>4700</v>
      </c>
      <c r="AD259" s="358">
        <f t="shared" si="527"/>
        <v>4700</v>
      </c>
      <c r="AE259" s="358">
        <f t="shared" si="528"/>
        <v>4700</v>
      </c>
      <c r="AF259" s="358">
        <f t="shared" si="529"/>
        <v>3916.6666666666665</v>
      </c>
      <c r="AG259" s="358">
        <f t="shared" si="530"/>
        <v>4383.333333333333</v>
      </c>
      <c r="AH259" s="358">
        <f t="shared" si="531"/>
        <v>3916.6666666666665</v>
      </c>
      <c r="AI259" s="358">
        <f t="shared" si="532"/>
        <v>3916.6666666666665</v>
      </c>
      <c r="AJ259" s="358">
        <f t="shared" si="533"/>
        <v>3916.6666666666665</v>
      </c>
      <c r="AK259" s="358">
        <f t="shared" si="534"/>
        <v>3133.3333333333335</v>
      </c>
      <c r="AL259" s="359">
        <f t="shared" si="535"/>
        <v>3133.3333333333335</v>
      </c>
      <c r="AM259" s="636"/>
      <c r="AN259" s="283">
        <f t="shared" ref="AN259:BV259" si="540">D259*$C$259</f>
        <v>0</v>
      </c>
      <c r="AO259" s="284">
        <f t="shared" si="540"/>
        <v>0</v>
      </c>
      <c r="AP259" s="284">
        <f t="shared" si="540"/>
        <v>7500</v>
      </c>
      <c r="AQ259" s="284">
        <f t="shared" si="540"/>
        <v>9400</v>
      </c>
      <c r="AR259" s="284">
        <f t="shared" si="540"/>
        <v>16900</v>
      </c>
      <c r="AS259" s="284">
        <f t="shared" si="540"/>
        <v>18800</v>
      </c>
      <c r="AT259" s="284">
        <f t="shared" si="540"/>
        <v>23500</v>
      </c>
      <c r="AU259" s="284">
        <f t="shared" si="540"/>
        <v>28200</v>
      </c>
      <c r="AV259" s="358">
        <f t="shared" si="540"/>
        <v>28200</v>
      </c>
      <c r="AW259" s="358">
        <f t="shared" si="540"/>
        <v>28200</v>
      </c>
      <c r="AX259" s="358">
        <f t="shared" si="540"/>
        <v>23500</v>
      </c>
      <c r="AY259" s="358">
        <f t="shared" si="540"/>
        <v>26300</v>
      </c>
      <c r="AZ259" s="358">
        <f t="shared" si="540"/>
        <v>23500</v>
      </c>
      <c r="BA259" s="358">
        <f t="shared" si="540"/>
        <v>23500</v>
      </c>
      <c r="BB259" s="358">
        <f t="shared" si="540"/>
        <v>23500</v>
      </c>
      <c r="BC259" s="358">
        <f t="shared" si="540"/>
        <v>18800</v>
      </c>
      <c r="BD259" s="358">
        <f t="shared" si="540"/>
        <v>18800</v>
      </c>
      <c r="BE259" s="358">
        <f t="shared" si="540"/>
        <v>16900</v>
      </c>
      <c r="BF259" s="358">
        <f t="shared" si="540"/>
        <v>0</v>
      </c>
      <c r="BG259" s="358">
        <f t="shared" si="540"/>
        <v>0</v>
      </c>
      <c r="BH259" s="358">
        <f t="shared" si="540"/>
        <v>7500</v>
      </c>
      <c r="BI259" s="358">
        <f t="shared" si="540"/>
        <v>9400</v>
      </c>
      <c r="BJ259" s="358">
        <f t="shared" si="540"/>
        <v>16900</v>
      </c>
      <c r="BK259" s="358">
        <f t="shared" si="540"/>
        <v>18800</v>
      </c>
      <c r="BL259" s="358">
        <f t="shared" si="540"/>
        <v>23500</v>
      </c>
      <c r="BM259" s="358">
        <f t="shared" si="540"/>
        <v>28200</v>
      </c>
      <c r="BN259" s="358">
        <f t="shared" si="540"/>
        <v>28200</v>
      </c>
      <c r="BO259" s="358">
        <f t="shared" si="540"/>
        <v>28200</v>
      </c>
      <c r="BP259" s="358">
        <f t="shared" si="540"/>
        <v>23500</v>
      </c>
      <c r="BQ259" s="358">
        <f t="shared" si="540"/>
        <v>26300</v>
      </c>
      <c r="BR259" s="358">
        <f t="shared" si="540"/>
        <v>23500</v>
      </c>
      <c r="BS259" s="358">
        <f t="shared" si="540"/>
        <v>23500</v>
      </c>
      <c r="BT259" s="358">
        <f t="shared" si="540"/>
        <v>23500</v>
      </c>
      <c r="BU259" s="358">
        <f t="shared" si="540"/>
        <v>18800</v>
      </c>
      <c r="BV259" s="359">
        <f t="shared" si="540"/>
        <v>18800</v>
      </c>
    </row>
    <row r="260" spans="1:74" ht="20.149999999999999" hidden="1" customHeight="1" outlineLevel="2" x14ac:dyDescent="0.25">
      <c r="A260" s="46" t="str">
        <f>'Custos Diversos'!A149</f>
        <v>man sist irrig</v>
      </c>
      <c r="B260" s="37" t="str">
        <f>'Custos Diversos'!B149</f>
        <v>vb/ha/ano</v>
      </c>
      <c r="C260" s="320">
        <f>'Custos Diversos'!E149</f>
        <v>220</v>
      </c>
      <c r="D260" s="284">
        <v>0.5</v>
      </c>
      <c r="E260" s="284">
        <v>1</v>
      </c>
      <c r="F260" s="284">
        <v>1.25</v>
      </c>
      <c r="G260" s="284">
        <v>1.25</v>
      </c>
      <c r="H260" s="284">
        <v>1.5</v>
      </c>
      <c r="I260" s="284">
        <v>1.5</v>
      </c>
      <c r="J260" s="284">
        <v>2</v>
      </c>
      <c r="K260" s="284">
        <v>2</v>
      </c>
      <c r="L260" s="358">
        <v>2</v>
      </c>
      <c r="M260" s="358">
        <v>2</v>
      </c>
      <c r="N260" s="358">
        <v>2</v>
      </c>
      <c r="O260" s="358">
        <v>2</v>
      </c>
      <c r="P260" s="358">
        <v>2</v>
      </c>
      <c r="Q260" s="358">
        <v>2</v>
      </c>
      <c r="R260" s="358">
        <v>2</v>
      </c>
      <c r="S260" s="358">
        <v>2</v>
      </c>
      <c r="T260" s="358">
        <v>2</v>
      </c>
      <c r="U260" s="358">
        <v>2</v>
      </c>
      <c r="V260" s="358">
        <f t="shared" si="519"/>
        <v>0.5</v>
      </c>
      <c r="W260" s="358">
        <f t="shared" si="520"/>
        <v>1</v>
      </c>
      <c r="X260" s="358">
        <f t="shared" si="521"/>
        <v>1.25</v>
      </c>
      <c r="Y260" s="358">
        <f t="shared" si="522"/>
        <v>1.25</v>
      </c>
      <c r="Z260" s="358">
        <f t="shared" si="523"/>
        <v>1.5</v>
      </c>
      <c r="AA260" s="358">
        <f t="shared" si="524"/>
        <v>1.5</v>
      </c>
      <c r="AB260" s="358">
        <f t="shared" si="525"/>
        <v>2</v>
      </c>
      <c r="AC260" s="358">
        <f t="shared" si="526"/>
        <v>2</v>
      </c>
      <c r="AD260" s="358">
        <f t="shared" si="527"/>
        <v>2</v>
      </c>
      <c r="AE260" s="358">
        <f t="shared" si="528"/>
        <v>2</v>
      </c>
      <c r="AF260" s="358">
        <f t="shared" si="529"/>
        <v>2</v>
      </c>
      <c r="AG260" s="358">
        <f t="shared" si="530"/>
        <v>2</v>
      </c>
      <c r="AH260" s="358">
        <f t="shared" si="531"/>
        <v>2</v>
      </c>
      <c r="AI260" s="358">
        <f t="shared" si="532"/>
        <v>2</v>
      </c>
      <c r="AJ260" s="358">
        <f t="shared" si="533"/>
        <v>2</v>
      </c>
      <c r="AK260" s="358">
        <f t="shared" si="534"/>
        <v>2</v>
      </c>
      <c r="AL260" s="359">
        <f t="shared" si="535"/>
        <v>2</v>
      </c>
      <c r="AM260" s="636"/>
      <c r="AN260" s="283">
        <f t="shared" ref="AN260:BV260" si="541">$C$260*D260</f>
        <v>110</v>
      </c>
      <c r="AO260" s="284">
        <f t="shared" si="541"/>
        <v>220</v>
      </c>
      <c r="AP260" s="284">
        <f t="shared" si="541"/>
        <v>275</v>
      </c>
      <c r="AQ260" s="284">
        <f t="shared" si="541"/>
        <v>275</v>
      </c>
      <c r="AR260" s="284">
        <f t="shared" si="541"/>
        <v>330</v>
      </c>
      <c r="AS260" s="284">
        <f t="shared" si="541"/>
        <v>330</v>
      </c>
      <c r="AT260" s="284">
        <f t="shared" si="541"/>
        <v>440</v>
      </c>
      <c r="AU260" s="284">
        <f t="shared" si="541"/>
        <v>440</v>
      </c>
      <c r="AV260" s="358">
        <f t="shared" si="541"/>
        <v>440</v>
      </c>
      <c r="AW260" s="358">
        <f t="shared" si="541"/>
        <v>440</v>
      </c>
      <c r="AX260" s="358">
        <f t="shared" si="541"/>
        <v>440</v>
      </c>
      <c r="AY260" s="358">
        <f t="shared" si="541"/>
        <v>440</v>
      </c>
      <c r="AZ260" s="358">
        <f t="shared" si="541"/>
        <v>440</v>
      </c>
      <c r="BA260" s="358">
        <f t="shared" si="541"/>
        <v>440</v>
      </c>
      <c r="BB260" s="358">
        <f t="shared" si="541"/>
        <v>440</v>
      </c>
      <c r="BC260" s="358">
        <f t="shared" si="541"/>
        <v>440</v>
      </c>
      <c r="BD260" s="358">
        <f t="shared" si="541"/>
        <v>440</v>
      </c>
      <c r="BE260" s="358">
        <f t="shared" si="541"/>
        <v>440</v>
      </c>
      <c r="BF260" s="358">
        <f t="shared" si="541"/>
        <v>110</v>
      </c>
      <c r="BG260" s="358">
        <f t="shared" si="541"/>
        <v>220</v>
      </c>
      <c r="BH260" s="358">
        <f t="shared" si="541"/>
        <v>275</v>
      </c>
      <c r="BI260" s="358">
        <f t="shared" si="541"/>
        <v>275</v>
      </c>
      <c r="BJ260" s="358">
        <f t="shared" si="541"/>
        <v>330</v>
      </c>
      <c r="BK260" s="358">
        <f t="shared" si="541"/>
        <v>330</v>
      </c>
      <c r="BL260" s="358">
        <f t="shared" si="541"/>
        <v>440</v>
      </c>
      <c r="BM260" s="358">
        <f t="shared" si="541"/>
        <v>440</v>
      </c>
      <c r="BN260" s="358">
        <f t="shared" si="541"/>
        <v>440</v>
      </c>
      <c r="BO260" s="358">
        <f t="shared" si="541"/>
        <v>440</v>
      </c>
      <c r="BP260" s="358">
        <f t="shared" si="541"/>
        <v>440</v>
      </c>
      <c r="BQ260" s="358">
        <f t="shared" si="541"/>
        <v>440</v>
      </c>
      <c r="BR260" s="358">
        <f t="shared" si="541"/>
        <v>440</v>
      </c>
      <c r="BS260" s="358">
        <f t="shared" si="541"/>
        <v>440</v>
      </c>
      <c r="BT260" s="358">
        <f t="shared" si="541"/>
        <v>440</v>
      </c>
      <c r="BU260" s="358">
        <f t="shared" si="541"/>
        <v>440</v>
      </c>
      <c r="BV260" s="359">
        <f t="shared" si="541"/>
        <v>440</v>
      </c>
    </row>
    <row r="261" spans="1:74" ht="20.149999999999999" hidden="1" customHeight="1" outlineLevel="2" x14ac:dyDescent="0.25">
      <c r="A261" s="46" t="str">
        <f>'Custos Diversos'!A150</f>
        <v>man estrutura</v>
      </c>
      <c r="B261" s="37" t="str">
        <f>'Custos Diversos'!B150</f>
        <v>vb/ha/ano</v>
      </c>
      <c r="C261" s="320">
        <f>'Custos Diversos'!E150</f>
        <v>127.634</v>
      </c>
      <c r="D261" s="284">
        <v>0.5</v>
      </c>
      <c r="E261" s="284">
        <v>1</v>
      </c>
      <c r="F261" s="284">
        <v>1.25</v>
      </c>
      <c r="G261" s="284">
        <v>1.25</v>
      </c>
      <c r="H261" s="284">
        <v>1.5</v>
      </c>
      <c r="I261" s="284">
        <v>1.5</v>
      </c>
      <c r="J261" s="284">
        <v>2</v>
      </c>
      <c r="K261" s="284">
        <v>2</v>
      </c>
      <c r="L261" s="358">
        <v>2</v>
      </c>
      <c r="M261" s="358">
        <v>2</v>
      </c>
      <c r="N261" s="358">
        <v>2</v>
      </c>
      <c r="O261" s="358">
        <v>2</v>
      </c>
      <c r="P261" s="358">
        <v>2</v>
      </c>
      <c r="Q261" s="358">
        <v>2</v>
      </c>
      <c r="R261" s="358">
        <v>2</v>
      </c>
      <c r="S261" s="358">
        <v>2</v>
      </c>
      <c r="T261" s="358">
        <v>2</v>
      </c>
      <c r="U261" s="358">
        <v>2</v>
      </c>
      <c r="V261" s="358">
        <f t="shared" si="519"/>
        <v>0.5</v>
      </c>
      <c r="W261" s="358">
        <f t="shared" si="520"/>
        <v>1</v>
      </c>
      <c r="X261" s="358">
        <f t="shared" si="521"/>
        <v>1.25</v>
      </c>
      <c r="Y261" s="358">
        <f t="shared" si="522"/>
        <v>1.25</v>
      </c>
      <c r="Z261" s="358">
        <f t="shared" si="523"/>
        <v>1.5</v>
      </c>
      <c r="AA261" s="358">
        <f t="shared" si="524"/>
        <v>1.5</v>
      </c>
      <c r="AB261" s="358">
        <f t="shared" si="525"/>
        <v>2</v>
      </c>
      <c r="AC261" s="358">
        <f t="shared" si="526"/>
        <v>2</v>
      </c>
      <c r="AD261" s="358">
        <f t="shared" si="527"/>
        <v>2</v>
      </c>
      <c r="AE261" s="358">
        <f t="shared" si="528"/>
        <v>2</v>
      </c>
      <c r="AF261" s="358">
        <f t="shared" si="529"/>
        <v>2</v>
      </c>
      <c r="AG261" s="358">
        <f t="shared" si="530"/>
        <v>2</v>
      </c>
      <c r="AH261" s="358">
        <f t="shared" si="531"/>
        <v>2</v>
      </c>
      <c r="AI261" s="358">
        <f t="shared" si="532"/>
        <v>2</v>
      </c>
      <c r="AJ261" s="358">
        <f t="shared" si="533"/>
        <v>2</v>
      </c>
      <c r="AK261" s="358">
        <f t="shared" si="534"/>
        <v>2</v>
      </c>
      <c r="AL261" s="359">
        <f t="shared" si="535"/>
        <v>2</v>
      </c>
      <c r="AM261" s="636"/>
      <c r="AN261" s="283">
        <f t="shared" ref="AN261:BV261" si="542">$C$261*D261</f>
        <v>63.817</v>
      </c>
      <c r="AO261" s="284">
        <f t="shared" si="542"/>
        <v>127.634</v>
      </c>
      <c r="AP261" s="284">
        <f t="shared" si="542"/>
        <v>159.54249999999999</v>
      </c>
      <c r="AQ261" s="284">
        <f t="shared" si="542"/>
        <v>159.54249999999999</v>
      </c>
      <c r="AR261" s="284">
        <f t="shared" si="542"/>
        <v>191.45099999999999</v>
      </c>
      <c r="AS261" s="284">
        <f t="shared" si="542"/>
        <v>191.45099999999999</v>
      </c>
      <c r="AT261" s="284">
        <f t="shared" si="542"/>
        <v>255.268</v>
      </c>
      <c r="AU261" s="284">
        <f t="shared" si="542"/>
        <v>255.268</v>
      </c>
      <c r="AV261" s="358">
        <f t="shared" si="542"/>
        <v>255.268</v>
      </c>
      <c r="AW261" s="358">
        <f t="shared" si="542"/>
        <v>255.268</v>
      </c>
      <c r="AX261" s="358">
        <f t="shared" si="542"/>
        <v>255.268</v>
      </c>
      <c r="AY261" s="358">
        <f t="shared" si="542"/>
        <v>255.268</v>
      </c>
      <c r="AZ261" s="358">
        <f t="shared" si="542"/>
        <v>255.268</v>
      </c>
      <c r="BA261" s="358">
        <f t="shared" si="542"/>
        <v>255.268</v>
      </c>
      <c r="BB261" s="358">
        <f t="shared" si="542"/>
        <v>255.268</v>
      </c>
      <c r="BC261" s="358">
        <f t="shared" si="542"/>
        <v>255.268</v>
      </c>
      <c r="BD261" s="358">
        <f t="shared" si="542"/>
        <v>255.268</v>
      </c>
      <c r="BE261" s="358">
        <f t="shared" si="542"/>
        <v>255.268</v>
      </c>
      <c r="BF261" s="358">
        <f t="shared" si="542"/>
        <v>63.817</v>
      </c>
      <c r="BG261" s="358">
        <f t="shared" si="542"/>
        <v>127.634</v>
      </c>
      <c r="BH261" s="358">
        <f t="shared" si="542"/>
        <v>159.54249999999999</v>
      </c>
      <c r="BI261" s="358">
        <f t="shared" si="542"/>
        <v>159.54249999999999</v>
      </c>
      <c r="BJ261" s="358">
        <f t="shared" si="542"/>
        <v>191.45099999999999</v>
      </c>
      <c r="BK261" s="358">
        <f t="shared" si="542"/>
        <v>191.45099999999999</v>
      </c>
      <c r="BL261" s="358">
        <f t="shared" si="542"/>
        <v>255.268</v>
      </c>
      <c r="BM261" s="358">
        <f t="shared" si="542"/>
        <v>255.268</v>
      </c>
      <c r="BN261" s="358">
        <f t="shared" si="542"/>
        <v>255.268</v>
      </c>
      <c r="BO261" s="358">
        <f t="shared" si="542"/>
        <v>255.268</v>
      </c>
      <c r="BP261" s="358">
        <f t="shared" si="542"/>
        <v>255.268</v>
      </c>
      <c r="BQ261" s="358">
        <f t="shared" si="542"/>
        <v>255.268</v>
      </c>
      <c r="BR261" s="358">
        <f t="shared" si="542"/>
        <v>255.268</v>
      </c>
      <c r="BS261" s="358">
        <f t="shared" si="542"/>
        <v>255.268</v>
      </c>
      <c r="BT261" s="358">
        <f t="shared" si="542"/>
        <v>255.268</v>
      </c>
      <c r="BU261" s="358">
        <f t="shared" si="542"/>
        <v>255.268</v>
      </c>
      <c r="BV261" s="359">
        <f t="shared" si="542"/>
        <v>255.268</v>
      </c>
    </row>
    <row r="262" spans="1:74" ht="20.149999999999999" hidden="1" customHeight="1" outlineLevel="2" x14ac:dyDescent="0.25">
      <c r="A262" s="46" t="str">
        <f>'Custos Diversos'!A151</f>
        <v>Ferramentas diversas</v>
      </c>
      <c r="B262" s="37" t="str">
        <f>'Custos Diversos'!B151</f>
        <v>vb/ha/ano</v>
      </c>
      <c r="C262" s="320">
        <f>'Custos Diversos'!E151</f>
        <v>1100</v>
      </c>
      <c r="D262" s="284">
        <v>1</v>
      </c>
      <c r="E262" s="284">
        <v>1</v>
      </c>
      <c r="F262" s="284">
        <v>1</v>
      </c>
      <c r="G262" s="284">
        <v>1</v>
      </c>
      <c r="H262" s="284">
        <v>1</v>
      </c>
      <c r="I262" s="284">
        <v>1</v>
      </c>
      <c r="J262" s="284">
        <v>1</v>
      </c>
      <c r="K262" s="284">
        <v>1</v>
      </c>
      <c r="L262" s="358">
        <v>1</v>
      </c>
      <c r="M262" s="358">
        <v>1</v>
      </c>
      <c r="N262" s="358">
        <v>1</v>
      </c>
      <c r="O262" s="358">
        <v>1</v>
      </c>
      <c r="P262" s="358">
        <v>1</v>
      </c>
      <c r="Q262" s="358">
        <v>1</v>
      </c>
      <c r="R262" s="358">
        <v>1</v>
      </c>
      <c r="S262" s="358">
        <v>1</v>
      </c>
      <c r="T262" s="358">
        <v>1</v>
      </c>
      <c r="U262" s="358">
        <v>1</v>
      </c>
      <c r="V262" s="358">
        <f t="shared" si="519"/>
        <v>1</v>
      </c>
      <c r="W262" s="358">
        <f t="shared" si="520"/>
        <v>1</v>
      </c>
      <c r="X262" s="358">
        <f t="shared" si="521"/>
        <v>1</v>
      </c>
      <c r="Y262" s="358">
        <f t="shared" si="522"/>
        <v>1</v>
      </c>
      <c r="Z262" s="358">
        <f t="shared" si="523"/>
        <v>1</v>
      </c>
      <c r="AA262" s="358">
        <f t="shared" si="524"/>
        <v>1</v>
      </c>
      <c r="AB262" s="358">
        <f t="shared" si="525"/>
        <v>1</v>
      </c>
      <c r="AC262" s="358">
        <f t="shared" si="526"/>
        <v>1</v>
      </c>
      <c r="AD262" s="358">
        <f t="shared" si="527"/>
        <v>1</v>
      </c>
      <c r="AE262" s="358">
        <f t="shared" si="528"/>
        <v>1</v>
      </c>
      <c r="AF262" s="358">
        <f t="shared" si="529"/>
        <v>1</v>
      </c>
      <c r="AG262" s="358">
        <f t="shared" si="530"/>
        <v>1</v>
      </c>
      <c r="AH262" s="358">
        <f t="shared" si="531"/>
        <v>1</v>
      </c>
      <c r="AI262" s="358">
        <f t="shared" si="532"/>
        <v>1</v>
      </c>
      <c r="AJ262" s="358">
        <f t="shared" si="533"/>
        <v>1</v>
      </c>
      <c r="AK262" s="358">
        <f t="shared" si="534"/>
        <v>1</v>
      </c>
      <c r="AL262" s="359">
        <f t="shared" si="535"/>
        <v>1</v>
      </c>
      <c r="AM262" s="636"/>
      <c r="AN262" s="283">
        <f t="shared" ref="AN262:BV262" si="543">$C$262*D262</f>
        <v>1100</v>
      </c>
      <c r="AO262" s="284">
        <f t="shared" si="543"/>
        <v>1100</v>
      </c>
      <c r="AP262" s="284">
        <f t="shared" si="543"/>
        <v>1100</v>
      </c>
      <c r="AQ262" s="284">
        <f t="shared" si="543"/>
        <v>1100</v>
      </c>
      <c r="AR262" s="284">
        <f t="shared" si="543"/>
        <v>1100</v>
      </c>
      <c r="AS262" s="284">
        <f t="shared" si="543"/>
        <v>1100</v>
      </c>
      <c r="AT262" s="284">
        <f t="shared" si="543"/>
        <v>1100</v>
      </c>
      <c r="AU262" s="284">
        <f t="shared" si="543"/>
        <v>1100</v>
      </c>
      <c r="AV262" s="358">
        <f t="shared" si="543"/>
        <v>1100</v>
      </c>
      <c r="AW262" s="358">
        <f t="shared" si="543"/>
        <v>1100</v>
      </c>
      <c r="AX262" s="358">
        <f t="shared" si="543"/>
        <v>1100</v>
      </c>
      <c r="AY262" s="358">
        <f t="shared" si="543"/>
        <v>1100</v>
      </c>
      <c r="AZ262" s="358">
        <f t="shared" si="543"/>
        <v>1100</v>
      </c>
      <c r="BA262" s="358">
        <f t="shared" si="543"/>
        <v>1100</v>
      </c>
      <c r="BB262" s="358">
        <f t="shared" si="543"/>
        <v>1100</v>
      </c>
      <c r="BC262" s="358">
        <f t="shared" si="543"/>
        <v>1100</v>
      </c>
      <c r="BD262" s="358">
        <f t="shared" si="543"/>
        <v>1100</v>
      </c>
      <c r="BE262" s="358">
        <f t="shared" si="543"/>
        <v>1100</v>
      </c>
      <c r="BF262" s="358">
        <f t="shared" si="543"/>
        <v>1100</v>
      </c>
      <c r="BG262" s="358">
        <f t="shared" si="543"/>
        <v>1100</v>
      </c>
      <c r="BH262" s="358">
        <f t="shared" si="543"/>
        <v>1100</v>
      </c>
      <c r="BI262" s="358">
        <f t="shared" si="543"/>
        <v>1100</v>
      </c>
      <c r="BJ262" s="358">
        <f t="shared" si="543"/>
        <v>1100</v>
      </c>
      <c r="BK262" s="358">
        <f t="shared" si="543"/>
        <v>1100</v>
      </c>
      <c r="BL262" s="358">
        <f t="shared" si="543"/>
        <v>1100</v>
      </c>
      <c r="BM262" s="358">
        <f t="shared" si="543"/>
        <v>1100</v>
      </c>
      <c r="BN262" s="358">
        <f t="shared" si="543"/>
        <v>1100</v>
      </c>
      <c r="BO262" s="358">
        <f t="shared" si="543"/>
        <v>1100</v>
      </c>
      <c r="BP262" s="358">
        <f t="shared" si="543"/>
        <v>1100</v>
      </c>
      <c r="BQ262" s="358">
        <f t="shared" si="543"/>
        <v>1100</v>
      </c>
      <c r="BR262" s="358">
        <f t="shared" si="543"/>
        <v>1100</v>
      </c>
      <c r="BS262" s="358">
        <f t="shared" si="543"/>
        <v>1100</v>
      </c>
      <c r="BT262" s="358">
        <f t="shared" si="543"/>
        <v>1100</v>
      </c>
      <c r="BU262" s="358">
        <f t="shared" si="543"/>
        <v>1100</v>
      </c>
      <c r="BV262" s="359">
        <f t="shared" si="543"/>
        <v>1100</v>
      </c>
    </row>
    <row r="263" spans="1:74" ht="20.149999999999999" hidden="1" customHeight="1" outlineLevel="2" x14ac:dyDescent="0.25">
      <c r="A263" s="46" t="str">
        <f>'Custos Diversos'!A152</f>
        <v>Transporte funcionários</v>
      </c>
      <c r="B263" s="37" t="str">
        <f>'Custos Diversos'!B152</f>
        <v>vb/ha/ano</v>
      </c>
      <c r="C263" s="320">
        <f>'Custos Diversos'!E152</f>
        <v>580</v>
      </c>
      <c r="D263" s="284">
        <v>1</v>
      </c>
      <c r="E263" s="284">
        <v>1</v>
      </c>
      <c r="F263" s="284">
        <v>1</v>
      </c>
      <c r="G263" s="284">
        <v>1</v>
      </c>
      <c r="H263" s="284">
        <v>1</v>
      </c>
      <c r="I263" s="284">
        <v>1</v>
      </c>
      <c r="J263" s="284">
        <v>1</v>
      </c>
      <c r="K263" s="284">
        <v>1</v>
      </c>
      <c r="L263" s="358">
        <v>1</v>
      </c>
      <c r="M263" s="358">
        <v>1</v>
      </c>
      <c r="N263" s="358">
        <v>1</v>
      </c>
      <c r="O263" s="358">
        <v>1</v>
      </c>
      <c r="P263" s="358">
        <v>1</v>
      </c>
      <c r="Q263" s="358">
        <v>1</v>
      </c>
      <c r="R263" s="358">
        <v>1</v>
      </c>
      <c r="S263" s="358">
        <v>1</v>
      </c>
      <c r="T263" s="358">
        <v>1</v>
      </c>
      <c r="U263" s="358">
        <v>1</v>
      </c>
      <c r="V263" s="358">
        <f t="shared" si="519"/>
        <v>1</v>
      </c>
      <c r="W263" s="358">
        <f t="shared" si="520"/>
        <v>1</v>
      </c>
      <c r="X263" s="358">
        <f t="shared" si="521"/>
        <v>1</v>
      </c>
      <c r="Y263" s="358">
        <f t="shared" si="522"/>
        <v>1</v>
      </c>
      <c r="Z263" s="358">
        <f t="shared" si="523"/>
        <v>1</v>
      </c>
      <c r="AA263" s="358">
        <f t="shared" si="524"/>
        <v>1</v>
      </c>
      <c r="AB263" s="358">
        <f t="shared" si="525"/>
        <v>1</v>
      </c>
      <c r="AC263" s="358">
        <f t="shared" si="526"/>
        <v>1</v>
      </c>
      <c r="AD263" s="358">
        <f t="shared" si="527"/>
        <v>1</v>
      </c>
      <c r="AE263" s="358">
        <f t="shared" si="528"/>
        <v>1</v>
      </c>
      <c r="AF263" s="358">
        <f t="shared" si="529"/>
        <v>1</v>
      </c>
      <c r="AG263" s="358">
        <f t="shared" si="530"/>
        <v>1</v>
      </c>
      <c r="AH263" s="358">
        <f t="shared" si="531"/>
        <v>1</v>
      </c>
      <c r="AI263" s="358">
        <f t="shared" si="532"/>
        <v>1</v>
      </c>
      <c r="AJ263" s="358">
        <f t="shared" si="533"/>
        <v>1</v>
      </c>
      <c r="AK263" s="358">
        <f t="shared" si="534"/>
        <v>1</v>
      </c>
      <c r="AL263" s="359">
        <f t="shared" si="535"/>
        <v>1</v>
      </c>
      <c r="AM263" s="636"/>
      <c r="AN263" s="283">
        <f t="shared" ref="AN263:BV263" si="544">$C$263*D263</f>
        <v>580</v>
      </c>
      <c r="AO263" s="284">
        <f t="shared" si="544"/>
        <v>580</v>
      </c>
      <c r="AP263" s="284">
        <f t="shared" si="544"/>
        <v>580</v>
      </c>
      <c r="AQ263" s="284">
        <f t="shared" si="544"/>
        <v>580</v>
      </c>
      <c r="AR263" s="284">
        <f t="shared" si="544"/>
        <v>580</v>
      </c>
      <c r="AS263" s="284">
        <f t="shared" si="544"/>
        <v>580</v>
      </c>
      <c r="AT263" s="284">
        <f t="shared" si="544"/>
        <v>580</v>
      </c>
      <c r="AU263" s="284">
        <f t="shared" si="544"/>
        <v>580</v>
      </c>
      <c r="AV263" s="358">
        <f t="shared" si="544"/>
        <v>580</v>
      </c>
      <c r="AW263" s="358">
        <f t="shared" si="544"/>
        <v>580</v>
      </c>
      <c r="AX263" s="358">
        <f t="shared" si="544"/>
        <v>580</v>
      </c>
      <c r="AY263" s="358">
        <f t="shared" si="544"/>
        <v>580</v>
      </c>
      <c r="AZ263" s="358">
        <f t="shared" si="544"/>
        <v>580</v>
      </c>
      <c r="BA263" s="358">
        <f t="shared" si="544"/>
        <v>580</v>
      </c>
      <c r="BB263" s="358">
        <f t="shared" si="544"/>
        <v>580</v>
      </c>
      <c r="BC263" s="358">
        <f t="shared" si="544"/>
        <v>580</v>
      </c>
      <c r="BD263" s="358">
        <f t="shared" si="544"/>
        <v>580</v>
      </c>
      <c r="BE263" s="358">
        <f t="shared" si="544"/>
        <v>580</v>
      </c>
      <c r="BF263" s="358">
        <f t="shared" si="544"/>
        <v>580</v>
      </c>
      <c r="BG263" s="358">
        <f t="shared" si="544"/>
        <v>580</v>
      </c>
      <c r="BH263" s="358">
        <f t="shared" si="544"/>
        <v>580</v>
      </c>
      <c r="BI263" s="358">
        <f t="shared" si="544"/>
        <v>580</v>
      </c>
      <c r="BJ263" s="358">
        <f t="shared" si="544"/>
        <v>580</v>
      </c>
      <c r="BK263" s="358">
        <f t="shared" si="544"/>
        <v>580</v>
      </c>
      <c r="BL263" s="358">
        <f t="shared" si="544"/>
        <v>580</v>
      </c>
      <c r="BM263" s="358">
        <f t="shared" si="544"/>
        <v>580</v>
      </c>
      <c r="BN263" s="358">
        <f t="shared" si="544"/>
        <v>580</v>
      </c>
      <c r="BO263" s="358">
        <f t="shared" si="544"/>
        <v>580</v>
      </c>
      <c r="BP263" s="358">
        <f t="shared" si="544"/>
        <v>580</v>
      </c>
      <c r="BQ263" s="358">
        <f t="shared" si="544"/>
        <v>580</v>
      </c>
      <c r="BR263" s="358">
        <f t="shared" si="544"/>
        <v>580</v>
      </c>
      <c r="BS263" s="358">
        <f t="shared" si="544"/>
        <v>580</v>
      </c>
      <c r="BT263" s="358">
        <f t="shared" si="544"/>
        <v>580</v>
      </c>
      <c r="BU263" s="358">
        <f t="shared" si="544"/>
        <v>580</v>
      </c>
      <c r="BV263" s="359">
        <f t="shared" si="544"/>
        <v>580</v>
      </c>
    </row>
    <row r="264" spans="1:74" ht="20.149999999999999" hidden="1" customHeight="1" outlineLevel="2" x14ac:dyDescent="0.25">
      <c r="A264" s="46" t="str">
        <f>'Custos Diversos'!A153</f>
        <v>Assistência Técnica - consultoria/</v>
      </c>
      <c r="B264" s="37" t="str">
        <f>'Custos Diversos'!B153</f>
        <v>vb/ha/ano</v>
      </c>
      <c r="C264" s="320">
        <f>'Custos Diversos'!E153</f>
        <v>300</v>
      </c>
      <c r="D264" s="284">
        <v>1</v>
      </c>
      <c r="E264" s="284">
        <v>1</v>
      </c>
      <c r="F264" s="284">
        <v>1</v>
      </c>
      <c r="G264" s="284">
        <v>1</v>
      </c>
      <c r="H264" s="284">
        <v>1</v>
      </c>
      <c r="I264" s="284">
        <v>1</v>
      </c>
      <c r="J264" s="284">
        <v>1</v>
      </c>
      <c r="K264" s="284">
        <v>1</v>
      </c>
      <c r="L264" s="358">
        <v>1</v>
      </c>
      <c r="M264" s="358">
        <v>1</v>
      </c>
      <c r="N264" s="358">
        <v>1</v>
      </c>
      <c r="O264" s="358">
        <v>1</v>
      </c>
      <c r="P264" s="358">
        <v>1</v>
      </c>
      <c r="Q264" s="358">
        <v>1</v>
      </c>
      <c r="R264" s="358">
        <v>1</v>
      </c>
      <c r="S264" s="358">
        <v>1</v>
      </c>
      <c r="T264" s="358">
        <v>1</v>
      </c>
      <c r="U264" s="358">
        <v>1</v>
      </c>
      <c r="V264" s="358">
        <f t="shared" si="519"/>
        <v>1</v>
      </c>
      <c r="W264" s="358">
        <f t="shared" si="520"/>
        <v>1</v>
      </c>
      <c r="X264" s="358">
        <f t="shared" si="521"/>
        <v>1</v>
      </c>
      <c r="Y264" s="358">
        <f t="shared" si="522"/>
        <v>1</v>
      </c>
      <c r="Z264" s="358">
        <f t="shared" si="523"/>
        <v>1</v>
      </c>
      <c r="AA264" s="358">
        <f t="shared" si="524"/>
        <v>1</v>
      </c>
      <c r="AB264" s="358">
        <f t="shared" si="525"/>
        <v>1</v>
      </c>
      <c r="AC264" s="358">
        <f t="shared" si="526"/>
        <v>1</v>
      </c>
      <c r="AD264" s="358">
        <f t="shared" si="527"/>
        <v>1</v>
      </c>
      <c r="AE264" s="358">
        <f t="shared" si="528"/>
        <v>1</v>
      </c>
      <c r="AF264" s="358">
        <f t="shared" si="529"/>
        <v>1</v>
      </c>
      <c r="AG264" s="358">
        <f t="shared" si="530"/>
        <v>1</v>
      </c>
      <c r="AH264" s="358">
        <f t="shared" si="531"/>
        <v>1</v>
      </c>
      <c r="AI264" s="358">
        <f t="shared" si="532"/>
        <v>1</v>
      </c>
      <c r="AJ264" s="358">
        <f t="shared" si="533"/>
        <v>1</v>
      </c>
      <c r="AK264" s="358">
        <f t="shared" si="534"/>
        <v>1</v>
      </c>
      <c r="AL264" s="359">
        <f t="shared" si="535"/>
        <v>1</v>
      </c>
      <c r="AM264" s="636"/>
      <c r="AN264" s="283">
        <f t="shared" ref="AN264:BV264" si="545">$C$264*D264</f>
        <v>300</v>
      </c>
      <c r="AO264" s="284">
        <f t="shared" si="545"/>
        <v>300</v>
      </c>
      <c r="AP264" s="284">
        <f t="shared" si="545"/>
        <v>300</v>
      </c>
      <c r="AQ264" s="284">
        <f t="shared" si="545"/>
        <v>300</v>
      </c>
      <c r="AR264" s="284">
        <f t="shared" si="545"/>
        <v>300</v>
      </c>
      <c r="AS264" s="284">
        <f t="shared" si="545"/>
        <v>300</v>
      </c>
      <c r="AT264" s="284">
        <f t="shared" si="545"/>
        <v>300</v>
      </c>
      <c r="AU264" s="284">
        <f t="shared" si="545"/>
        <v>300</v>
      </c>
      <c r="AV264" s="358">
        <f t="shared" si="545"/>
        <v>300</v>
      </c>
      <c r="AW264" s="358">
        <f t="shared" si="545"/>
        <v>300</v>
      </c>
      <c r="AX264" s="358">
        <f t="shared" si="545"/>
        <v>300</v>
      </c>
      <c r="AY264" s="358">
        <f t="shared" si="545"/>
        <v>300</v>
      </c>
      <c r="AZ264" s="358">
        <f t="shared" si="545"/>
        <v>300</v>
      </c>
      <c r="BA264" s="358">
        <f t="shared" si="545"/>
        <v>300</v>
      </c>
      <c r="BB264" s="358">
        <f t="shared" si="545"/>
        <v>300</v>
      </c>
      <c r="BC264" s="358">
        <f t="shared" si="545"/>
        <v>300</v>
      </c>
      <c r="BD264" s="358">
        <f t="shared" si="545"/>
        <v>300</v>
      </c>
      <c r="BE264" s="358">
        <f t="shared" si="545"/>
        <v>300</v>
      </c>
      <c r="BF264" s="358">
        <f t="shared" si="545"/>
        <v>300</v>
      </c>
      <c r="BG264" s="358">
        <f t="shared" si="545"/>
        <v>300</v>
      </c>
      <c r="BH264" s="358">
        <f t="shared" si="545"/>
        <v>300</v>
      </c>
      <c r="BI264" s="358">
        <f t="shared" si="545"/>
        <v>300</v>
      </c>
      <c r="BJ264" s="358">
        <f t="shared" si="545"/>
        <v>300</v>
      </c>
      <c r="BK264" s="358">
        <f t="shared" si="545"/>
        <v>300</v>
      </c>
      <c r="BL264" s="358">
        <f t="shared" si="545"/>
        <v>300</v>
      </c>
      <c r="BM264" s="358">
        <f t="shared" si="545"/>
        <v>300</v>
      </c>
      <c r="BN264" s="358">
        <f t="shared" si="545"/>
        <v>300</v>
      </c>
      <c r="BO264" s="358">
        <f t="shared" si="545"/>
        <v>300</v>
      </c>
      <c r="BP264" s="358">
        <f t="shared" si="545"/>
        <v>300</v>
      </c>
      <c r="BQ264" s="358">
        <f t="shared" si="545"/>
        <v>300</v>
      </c>
      <c r="BR264" s="358">
        <f t="shared" si="545"/>
        <v>300</v>
      </c>
      <c r="BS264" s="358">
        <f t="shared" si="545"/>
        <v>300</v>
      </c>
      <c r="BT264" s="358">
        <f t="shared" si="545"/>
        <v>300</v>
      </c>
      <c r="BU264" s="358">
        <f t="shared" si="545"/>
        <v>300</v>
      </c>
      <c r="BV264" s="359">
        <f t="shared" si="545"/>
        <v>300</v>
      </c>
    </row>
    <row r="265" spans="1:74" ht="20.149999999999999" hidden="1" customHeight="1" outlineLevel="2" thickBot="1" x14ac:dyDescent="0.3">
      <c r="A265" s="333" t="str">
        <f>'Custos Diversos'!A155</f>
        <v>Administrativo</v>
      </c>
      <c r="B265" s="333" t="str">
        <f>'Custos Diversos'!B148</f>
        <v>ud</v>
      </c>
      <c r="C265" s="931">
        <f>'Custos Diversos'!D155</f>
        <v>1636.5088214399998</v>
      </c>
      <c r="D265" s="322">
        <v>1</v>
      </c>
      <c r="E265" s="322">
        <v>1</v>
      </c>
      <c r="F265" s="322">
        <v>1</v>
      </c>
      <c r="G265" s="322">
        <v>1</v>
      </c>
      <c r="H265" s="322">
        <v>1</v>
      </c>
      <c r="I265" s="322">
        <v>1</v>
      </c>
      <c r="J265" s="322">
        <v>1</v>
      </c>
      <c r="K265" s="322">
        <v>1</v>
      </c>
      <c r="L265" s="360">
        <v>1</v>
      </c>
      <c r="M265" s="360">
        <v>1</v>
      </c>
      <c r="N265" s="360">
        <v>1</v>
      </c>
      <c r="O265" s="360">
        <v>1</v>
      </c>
      <c r="P265" s="360">
        <v>1</v>
      </c>
      <c r="Q265" s="360">
        <v>1</v>
      </c>
      <c r="R265" s="360">
        <v>1</v>
      </c>
      <c r="S265" s="360">
        <v>1</v>
      </c>
      <c r="T265" s="360">
        <v>1</v>
      </c>
      <c r="U265" s="360">
        <v>1</v>
      </c>
      <c r="V265" s="360">
        <f t="shared" si="519"/>
        <v>1</v>
      </c>
      <c r="W265" s="360">
        <f t="shared" si="520"/>
        <v>1</v>
      </c>
      <c r="X265" s="360">
        <f t="shared" si="521"/>
        <v>1</v>
      </c>
      <c r="Y265" s="360">
        <f t="shared" si="522"/>
        <v>1</v>
      </c>
      <c r="Z265" s="360">
        <f t="shared" si="523"/>
        <v>1</v>
      </c>
      <c r="AA265" s="360">
        <f t="shared" si="524"/>
        <v>1</v>
      </c>
      <c r="AB265" s="360">
        <f t="shared" si="525"/>
        <v>1</v>
      </c>
      <c r="AC265" s="360">
        <f t="shared" si="526"/>
        <v>1</v>
      </c>
      <c r="AD265" s="360">
        <f t="shared" si="527"/>
        <v>1</v>
      </c>
      <c r="AE265" s="360">
        <f t="shared" si="528"/>
        <v>1</v>
      </c>
      <c r="AF265" s="360">
        <f t="shared" si="529"/>
        <v>1</v>
      </c>
      <c r="AG265" s="360">
        <f t="shared" si="530"/>
        <v>1</v>
      </c>
      <c r="AH265" s="360">
        <f t="shared" si="531"/>
        <v>1</v>
      </c>
      <c r="AI265" s="360">
        <f t="shared" si="532"/>
        <v>1</v>
      </c>
      <c r="AJ265" s="360">
        <f t="shared" si="533"/>
        <v>1</v>
      </c>
      <c r="AK265" s="360">
        <f t="shared" si="534"/>
        <v>1</v>
      </c>
      <c r="AL265" s="361">
        <f t="shared" si="535"/>
        <v>1</v>
      </c>
      <c r="AM265" s="636"/>
      <c r="AN265" s="288">
        <f t="shared" ref="AN265:BV265" si="546">$C$265*D265</f>
        <v>1636.5088214399998</v>
      </c>
      <c r="AO265" s="289">
        <f t="shared" si="546"/>
        <v>1636.5088214399998</v>
      </c>
      <c r="AP265" s="289">
        <f t="shared" si="546"/>
        <v>1636.5088214399998</v>
      </c>
      <c r="AQ265" s="289">
        <f t="shared" si="546"/>
        <v>1636.5088214399998</v>
      </c>
      <c r="AR265" s="289">
        <f t="shared" si="546"/>
        <v>1636.5088214399998</v>
      </c>
      <c r="AS265" s="289">
        <f t="shared" si="546"/>
        <v>1636.5088214399998</v>
      </c>
      <c r="AT265" s="289">
        <f t="shared" si="546"/>
        <v>1636.5088214399998</v>
      </c>
      <c r="AU265" s="289">
        <f t="shared" si="546"/>
        <v>1636.5088214399998</v>
      </c>
      <c r="AV265" s="402">
        <f t="shared" si="546"/>
        <v>1636.5088214399998</v>
      </c>
      <c r="AW265" s="402">
        <f t="shared" si="546"/>
        <v>1636.5088214399998</v>
      </c>
      <c r="AX265" s="402">
        <f t="shared" si="546"/>
        <v>1636.5088214399998</v>
      </c>
      <c r="AY265" s="402">
        <f t="shared" si="546"/>
        <v>1636.5088214399998</v>
      </c>
      <c r="AZ265" s="402">
        <f t="shared" si="546"/>
        <v>1636.5088214399998</v>
      </c>
      <c r="BA265" s="402">
        <f t="shared" si="546"/>
        <v>1636.5088214399998</v>
      </c>
      <c r="BB265" s="402">
        <f t="shared" si="546"/>
        <v>1636.5088214399998</v>
      </c>
      <c r="BC265" s="402">
        <f t="shared" si="546"/>
        <v>1636.5088214399998</v>
      </c>
      <c r="BD265" s="402">
        <f t="shared" si="546"/>
        <v>1636.5088214399998</v>
      </c>
      <c r="BE265" s="402">
        <f t="shared" si="546"/>
        <v>1636.5088214399998</v>
      </c>
      <c r="BF265" s="402">
        <f t="shared" si="546"/>
        <v>1636.5088214399998</v>
      </c>
      <c r="BG265" s="402">
        <f t="shared" si="546"/>
        <v>1636.5088214399998</v>
      </c>
      <c r="BH265" s="402">
        <f t="shared" si="546"/>
        <v>1636.5088214399998</v>
      </c>
      <c r="BI265" s="402">
        <f t="shared" si="546"/>
        <v>1636.5088214399998</v>
      </c>
      <c r="BJ265" s="402">
        <f t="shared" si="546"/>
        <v>1636.5088214399998</v>
      </c>
      <c r="BK265" s="402">
        <f t="shared" si="546"/>
        <v>1636.5088214399998</v>
      </c>
      <c r="BL265" s="402">
        <f t="shared" si="546"/>
        <v>1636.5088214399998</v>
      </c>
      <c r="BM265" s="402">
        <f t="shared" si="546"/>
        <v>1636.5088214399998</v>
      </c>
      <c r="BN265" s="402">
        <f t="shared" si="546"/>
        <v>1636.5088214399998</v>
      </c>
      <c r="BO265" s="402">
        <f t="shared" si="546"/>
        <v>1636.5088214399998</v>
      </c>
      <c r="BP265" s="402">
        <f t="shared" si="546"/>
        <v>1636.5088214399998</v>
      </c>
      <c r="BQ265" s="402">
        <f t="shared" si="546"/>
        <v>1636.5088214399998</v>
      </c>
      <c r="BR265" s="402">
        <f t="shared" si="546"/>
        <v>1636.5088214399998</v>
      </c>
      <c r="BS265" s="402">
        <f t="shared" si="546"/>
        <v>1636.5088214399998</v>
      </c>
      <c r="BT265" s="402">
        <f t="shared" si="546"/>
        <v>1636.5088214399998</v>
      </c>
      <c r="BU265" s="402">
        <f t="shared" si="546"/>
        <v>1636.5088214399998</v>
      </c>
      <c r="BV265" s="403">
        <f t="shared" si="546"/>
        <v>1636.5088214399998</v>
      </c>
    </row>
    <row r="266" spans="1:74" s="409" customFormat="1" ht="20.149999999999999" hidden="1" customHeight="1" outlineLevel="2" thickBot="1" x14ac:dyDescent="0.3">
      <c r="A266" s="1114" t="s">
        <v>105</v>
      </c>
      <c r="B266" s="1115"/>
      <c r="C266" s="1115"/>
      <c r="D266" s="1115"/>
      <c r="E266" s="1115"/>
      <c r="F266" s="1115"/>
      <c r="G266" s="1115"/>
      <c r="H266" s="1115"/>
      <c r="I266" s="1115"/>
      <c r="J266" s="1115"/>
      <c r="K266" s="1115"/>
      <c r="L266" s="1115"/>
      <c r="M266" s="1115"/>
      <c r="N266" s="1115"/>
      <c r="O266" s="1115"/>
      <c r="P266" s="1115"/>
      <c r="Q266" s="1115"/>
      <c r="R266" s="1115"/>
      <c r="S266" s="1115"/>
      <c r="T266" s="1115"/>
      <c r="U266" s="1115"/>
      <c r="V266" s="1115"/>
      <c r="W266" s="1115"/>
      <c r="X266" s="1115"/>
      <c r="Y266" s="1115"/>
      <c r="Z266" s="1115"/>
      <c r="AA266" s="1115"/>
      <c r="AB266" s="1115"/>
      <c r="AC266" s="1115"/>
      <c r="AD266" s="1115"/>
      <c r="AE266" s="1115"/>
      <c r="AF266" s="1115"/>
      <c r="AG266" s="1115"/>
      <c r="AH266" s="1115"/>
      <c r="AI266" s="1115"/>
      <c r="AJ266" s="1115"/>
      <c r="AK266" s="1115"/>
      <c r="AL266" s="1115"/>
      <c r="AM266" s="1116"/>
      <c r="AN266" s="410">
        <f t="shared" ref="AN266:BV266" si="547">SUM(AN257:AN265)</f>
        <v>4417.3258214399993</v>
      </c>
      <c r="AO266" s="410">
        <f t="shared" si="547"/>
        <v>4591.1428214400003</v>
      </c>
      <c r="AP266" s="410">
        <f t="shared" si="547"/>
        <v>12178.05132144</v>
      </c>
      <c r="AQ266" s="410">
        <f t="shared" si="547"/>
        <v>14078.05132144</v>
      </c>
      <c r="AR266" s="410">
        <f t="shared" si="547"/>
        <v>21664.959821439999</v>
      </c>
      <c r="AS266" s="410">
        <f t="shared" si="547"/>
        <v>23564.959821439999</v>
      </c>
      <c r="AT266" s="410">
        <f t="shared" si="547"/>
        <v>28438.776821439998</v>
      </c>
      <c r="AU266" s="410">
        <f t="shared" si="547"/>
        <v>33138.776821439998</v>
      </c>
      <c r="AV266" s="410">
        <f t="shared" si="547"/>
        <v>33138.776821439998</v>
      </c>
      <c r="AW266" s="410">
        <f t="shared" si="547"/>
        <v>33138.776821439998</v>
      </c>
      <c r="AX266" s="410">
        <f t="shared" si="547"/>
        <v>28438.776821439998</v>
      </c>
      <c r="AY266" s="410">
        <f t="shared" si="547"/>
        <v>31238.776821439998</v>
      </c>
      <c r="AZ266" s="410">
        <f t="shared" si="547"/>
        <v>28438.776821439998</v>
      </c>
      <c r="BA266" s="410">
        <f t="shared" si="547"/>
        <v>28438.776821439998</v>
      </c>
      <c r="BB266" s="410">
        <f t="shared" si="547"/>
        <v>28438.776821439998</v>
      </c>
      <c r="BC266" s="410">
        <f t="shared" si="547"/>
        <v>23738.776821439998</v>
      </c>
      <c r="BD266" s="410">
        <f t="shared" si="547"/>
        <v>23738.776821439998</v>
      </c>
      <c r="BE266" s="410">
        <f t="shared" si="547"/>
        <v>21838.776821439998</v>
      </c>
      <c r="BF266" s="410">
        <f t="shared" si="547"/>
        <v>4417.3258214399993</v>
      </c>
      <c r="BG266" s="410">
        <f t="shared" si="547"/>
        <v>4591.1428214400003</v>
      </c>
      <c r="BH266" s="410">
        <f t="shared" si="547"/>
        <v>12178.05132144</v>
      </c>
      <c r="BI266" s="410">
        <f t="shared" si="547"/>
        <v>14078.05132144</v>
      </c>
      <c r="BJ266" s="410">
        <f t="shared" si="547"/>
        <v>21664.959821439999</v>
      </c>
      <c r="BK266" s="410">
        <f t="shared" si="547"/>
        <v>23564.959821439999</v>
      </c>
      <c r="BL266" s="410">
        <f t="shared" si="547"/>
        <v>28438.776821439998</v>
      </c>
      <c r="BM266" s="410">
        <f t="shared" si="547"/>
        <v>33138.776821439998</v>
      </c>
      <c r="BN266" s="410">
        <f t="shared" si="547"/>
        <v>33138.776821439998</v>
      </c>
      <c r="BO266" s="410">
        <f t="shared" si="547"/>
        <v>33138.776821439998</v>
      </c>
      <c r="BP266" s="410">
        <f t="shared" si="547"/>
        <v>28438.776821439998</v>
      </c>
      <c r="BQ266" s="410">
        <f t="shared" si="547"/>
        <v>31238.776821439998</v>
      </c>
      <c r="BR266" s="410">
        <f t="shared" si="547"/>
        <v>28438.776821439998</v>
      </c>
      <c r="BS266" s="410">
        <f t="shared" si="547"/>
        <v>28438.776821439998</v>
      </c>
      <c r="BT266" s="410">
        <f t="shared" si="547"/>
        <v>28438.776821439998</v>
      </c>
      <c r="BU266" s="410">
        <f t="shared" si="547"/>
        <v>23738.776821439998</v>
      </c>
      <c r="BV266" s="410">
        <f t="shared" si="547"/>
        <v>23738.776821439998</v>
      </c>
    </row>
    <row r="267" spans="1:74" ht="20.149999999999999" hidden="1" customHeight="1" outlineLevel="2" collapsed="1" thickBot="1" x14ac:dyDescent="0.3">
      <c r="D267" s="344"/>
      <c r="E267" s="344"/>
      <c r="F267" s="344"/>
      <c r="G267" s="344"/>
      <c r="H267" s="344"/>
      <c r="I267" s="344"/>
      <c r="J267" s="344"/>
      <c r="K267" s="344"/>
      <c r="L267" s="344"/>
      <c r="M267" s="344"/>
      <c r="N267" s="344"/>
      <c r="O267" s="344"/>
      <c r="P267" s="344"/>
      <c r="Q267" s="344"/>
      <c r="R267" s="344"/>
      <c r="S267" s="344"/>
      <c r="T267" s="344"/>
      <c r="U267" s="344"/>
      <c r="V267" s="344"/>
      <c r="W267" s="344"/>
      <c r="X267" s="344"/>
      <c r="Y267" s="344"/>
      <c r="Z267" s="344"/>
      <c r="AA267" s="344"/>
      <c r="AB267" s="344"/>
      <c r="AC267" s="344"/>
      <c r="AD267" s="344"/>
      <c r="AE267" s="344"/>
      <c r="AF267" s="344"/>
      <c r="AG267" s="344"/>
      <c r="AH267" s="344"/>
      <c r="AI267" s="344"/>
      <c r="AJ267" s="344"/>
      <c r="AK267" s="344"/>
      <c r="AL267" s="344"/>
      <c r="AM267" s="6"/>
      <c r="AN267" s="6"/>
      <c r="AO267" s="6"/>
      <c r="AP267" s="6"/>
      <c r="AQ267" s="6"/>
      <c r="AR267" s="6"/>
      <c r="AS267" s="6"/>
      <c r="AT267" s="6"/>
      <c r="AU267" s="6"/>
    </row>
    <row r="268" spans="1:74" s="123" customFormat="1" ht="27" hidden="1" customHeight="1" outlineLevel="1" thickBot="1" x14ac:dyDescent="0.3">
      <c r="A268" s="1118" t="s">
        <v>506</v>
      </c>
      <c r="B268" s="1118"/>
      <c r="C268" s="1118"/>
      <c r="D268" s="1118"/>
      <c r="E268" s="1118"/>
      <c r="F268" s="1118"/>
      <c r="G268" s="1118"/>
      <c r="H268" s="1118"/>
      <c r="I268" s="1118"/>
      <c r="J268" s="1118"/>
      <c r="K268" s="1118"/>
      <c r="L268" s="1118"/>
      <c r="M268" s="1118"/>
      <c r="N268" s="1118"/>
      <c r="O268" s="1118"/>
      <c r="P268" s="1118"/>
      <c r="Q268" s="1118"/>
      <c r="R268" s="1118"/>
      <c r="S268" s="1118"/>
      <c r="T268" s="1118"/>
      <c r="U268" s="1118"/>
      <c r="V268" s="1118"/>
      <c r="W268" s="1118"/>
      <c r="X268" s="1118"/>
      <c r="Y268" s="1118"/>
      <c r="Z268" s="1118"/>
      <c r="AA268" s="1118"/>
      <c r="AB268" s="1118"/>
      <c r="AC268" s="1118"/>
      <c r="AD268" s="1118"/>
      <c r="AE268" s="1118"/>
      <c r="AF268" s="1118"/>
      <c r="AG268" s="1118"/>
      <c r="AH268" s="1118"/>
      <c r="AI268" s="1118"/>
      <c r="AJ268" s="1118"/>
      <c r="AK268" s="1118"/>
      <c r="AL268" s="1118"/>
      <c r="AM268" s="1118"/>
      <c r="AN268" s="1118"/>
      <c r="AO268" s="1118"/>
      <c r="AP268" s="1118"/>
      <c r="AQ268" s="1118"/>
      <c r="AR268" s="1118"/>
      <c r="AS268" s="1118"/>
      <c r="AT268" s="1118"/>
      <c r="AU268" s="1118"/>
      <c r="AV268" s="1118"/>
      <c r="AW268" s="1118"/>
      <c r="AX268" s="1118"/>
      <c r="AY268" s="1118"/>
      <c r="AZ268" s="1118"/>
      <c r="BA268" s="1118"/>
      <c r="BB268" s="1118"/>
      <c r="BC268" s="1118"/>
      <c r="BD268" s="1118"/>
      <c r="BE268" s="1118"/>
      <c r="BF268" s="1118"/>
      <c r="BG268" s="1118"/>
      <c r="BH268" s="1118"/>
      <c r="BI268" s="1118"/>
      <c r="BJ268" s="1118"/>
      <c r="BK268" s="1118"/>
      <c r="BL268" s="1118"/>
      <c r="BM268" s="1118"/>
      <c r="BN268" s="1118"/>
      <c r="BO268" s="1118"/>
      <c r="BP268" s="1118"/>
      <c r="BQ268" s="1118"/>
      <c r="BR268" s="1118"/>
      <c r="BS268" s="1118"/>
      <c r="BT268" s="1118"/>
      <c r="BU268" s="1118"/>
      <c r="BV268" s="1118"/>
    </row>
    <row r="269" spans="1:74" ht="18" hidden="1" customHeight="1" outlineLevel="2" thickBot="1" x14ac:dyDescent="0.3">
      <c r="A269" s="631"/>
      <c r="B269" s="631"/>
      <c r="C269" s="631"/>
      <c r="D269" s="631"/>
      <c r="E269" s="631"/>
      <c r="F269" s="631"/>
      <c r="G269" s="631"/>
      <c r="H269" s="631"/>
      <c r="I269" s="631"/>
      <c r="J269" s="631"/>
      <c r="K269" s="631"/>
      <c r="L269" s="631"/>
      <c r="M269" s="631"/>
      <c r="N269" s="631"/>
      <c r="O269" s="631"/>
      <c r="P269" s="631"/>
      <c r="Q269" s="631"/>
      <c r="R269" s="631"/>
      <c r="S269" s="631"/>
      <c r="T269" s="631"/>
      <c r="U269" s="631"/>
      <c r="V269" s="631"/>
      <c r="W269" s="631"/>
      <c r="X269" s="631"/>
      <c r="Y269" s="631"/>
      <c r="Z269" s="631"/>
      <c r="AA269" s="631"/>
      <c r="AB269" s="631"/>
      <c r="AC269" s="631"/>
      <c r="AD269" s="631"/>
      <c r="AE269" s="631"/>
      <c r="AF269" s="631"/>
      <c r="AG269" s="631"/>
      <c r="AH269" s="631"/>
      <c r="AI269" s="631"/>
      <c r="AJ269" s="631"/>
      <c r="AK269" s="631"/>
      <c r="AL269" s="631"/>
      <c r="AM269" s="207"/>
      <c r="AN269" s="1117" t="s">
        <v>99</v>
      </c>
      <c r="AO269" s="1117"/>
      <c r="AP269" s="1117"/>
      <c r="AQ269" s="1117"/>
      <c r="AR269" s="1117"/>
      <c r="AS269" s="1117"/>
      <c r="AT269" s="1117"/>
      <c r="AU269" s="1117"/>
      <c r="AV269" s="1117"/>
      <c r="AW269" s="1117"/>
      <c r="AX269" s="1117"/>
      <c r="AY269" s="1117"/>
      <c r="AZ269" s="1117"/>
      <c r="BA269" s="1117"/>
      <c r="BB269" s="1117"/>
      <c r="BC269" s="1117"/>
      <c r="BD269" s="1117"/>
      <c r="BE269" s="1117"/>
      <c r="BF269" s="1117"/>
      <c r="BG269" s="1117"/>
      <c r="BH269" s="1117"/>
      <c r="BI269" s="1117"/>
      <c r="BJ269" s="1117"/>
      <c r="BK269" s="1117"/>
      <c r="BL269" s="1117"/>
      <c r="BM269" s="1117"/>
      <c r="BN269" s="1117"/>
      <c r="BO269" s="1117"/>
      <c r="BP269" s="1117"/>
      <c r="BQ269" s="1117"/>
      <c r="BR269" s="1117"/>
      <c r="BS269" s="1117"/>
      <c r="BT269" s="1117"/>
      <c r="BU269" s="1117"/>
      <c r="BV269" s="1117"/>
    </row>
    <row r="270" spans="1:74" ht="18" hidden="1" customHeight="1" outlineLevel="2" thickBot="1" x14ac:dyDescent="0.3">
      <c r="A270" s="631"/>
      <c r="B270" s="631"/>
      <c r="C270" s="631"/>
      <c r="D270" s="631"/>
      <c r="E270" s="631"/>
      <c r="F270" s="631"/>
      <c r="G270" s="631"/>
      <c r="H270" s="631"/>
      <c r="I270" s="631"/>
      <c r="J270" s="631"/>
      <c r="K270" s="631"/>
      <c r="L270" s="631"/>
      <c r="M270" s="631"/>
      <c r="N270" s="631"/>
      <c r="O270" s="631"/>
      <c r="P270" s="631"/>
      <c r="Q270" s="631"/>
      <c r="R270" s="631"/>
      <c r="S270" s="631"/>
      <c r="T270" s="631"/>
      <c r="U270" s="631"/>
      <c r="V270" s="631"/>
      <c r="W270" s="631"/>
      <c r="X270" s="631"/>
      <c r="Y270" s="631"/>
      <c r="Z270" s="631"/>
      <c r="AA270" s="631"/>
      <c r="AB270" s="631"/>
      <c r="AC270" s="631"/>
      <c r="AD270" s="631"/>
      <c r="AE270" s="631"/>
      <c r="AF270" s="631"/>
      <c r="AG270" s="631"/>
      <c r="AH270" s="631"/>
      <c r="AI270" s="631"/>
      <c r="AJ270" s="631"/>
      <c r="AK270" s="631"/>
      <c r="AL270" s="631"/>
      <c r="AM270" s="633"/>
      <c r="AN270" s="491">
        <v>1</v>
      </c>
      <c r="AO270" s="504">
        <v>2</v>
      </c>
      <c r="AP270" s="504">
        <v>3</v>
      </c>
      <c r="AQ270" s="504">
        <v>4</v>
      </c>
      <c r="AR270" s="504">
        <v>5</v>
      </c>
      <c r="AS270" s="504">
        <v>6</v>
      </c>
      <c r="AT270" s="504">
        <v>7</v>
      </c>
      <c r="AU270" s="504">
        <v>8</v>
      </c>
      <c r="AV270" s="504">
        <v>9</v>
      </c>
      <c r="AW270" s="504">
        <v>10</v>
      </c>
      <c r="AX270" s="504">
        <v>11</v>
      </c>
      <c r="AY270" s="504">
        <v>12</v>
      </c>
      <c r="AZ270" s="504">
        <v>13</v>
      </c>
      <c r="BA270" s="504">
        <v>14</v>
      </c>
      <c r="BB270" s="504">
        <v>15</v>
      </c>
      <c r="BC270" s="504">
        <v>16</v>
      </c>
      <c r="BD270" s="504">
        <v>17</v>
      </c>
      <c r="BE270" s="504">
        <v>18</v>
      </c>
      <c r="BF270" s="504">
        <v>19</v>
      </c>
      <c r="BG270" s="504">
        <v>20</v>
      </c>
      <c r="BH270" s="504">
        <v>21</v>
      </c>
      <c r="BI270" s="504">
        <v>22</v>
      </c>
      <c r="BJ270" s="504">
        <v>23</v>
      </c>
      <c r="BK270" s="504">
        <v>24</v>
      </c>
      <c r="BL270" s="504">
        <v>25</v>
      </c>
      <c r="BM270" s="504">
        <v>26</v>
      </c>
      <c r="BN270" s="504">
        <v>27</v>
      </c>
      <c r="BO270" s="504">
        <v>28</v>
      </c>
      <c r="BP270" s="504">
        <v>29</v>
      </c>
      <c r="BQ270" s="504">
        <v>30</v>
      </c>
      <c r="BR270" s="504">
        <v>31</v>
      </c>
      <c r="BS270" s="504">
        <v>32</v>
      </c>
      <c r="BT270" s="504">
        <v>33</v>
      </c>
      <c r="BU270" s="504">
        <v>34</v>
      </c>
      <c r="BV270" s="494">
        <v>35</v>
      </c>
    </row>
    <row r="271" spans="1:74" ht="20.149999999999999" hidden="1" customHeight="1" outlineLevel="2" x14ac:dyDescent="0.25">
      <c r="A271" s="345"/>
      <c r="B271" s="346"/>
      <c r="C271" s="350" t="s">
        <v>106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345"/>
      <c r="AK271" s="346"/>
      <c r="AL271" s="346"/>
      <c r="AM271" s="347" t="s">
        <v>106</v>
      </c>
      <c r="AN271" s="715">
        <v>0</v>
      </c>
      <c r="AO271" s="729">
        <v>0</v>
      </c>
      <c r="AP271" s="729">
        <v>7.5</v>
      </c>
      <c r="AQ271" s="729">
        <v>9.4</v>
      </c>
      <c r="AR271" s="729">
        <v>16.899999999999999</v>
      </c>
      <c r="AS271" s="729">
        <v>18.8</v>
      </c>
      <c r="AT271" s="729">
        <v>23.5</v>
      </c>
      <c r="AU271" s="729">
        <v>28.2</v>
      </c>
      <c r="AV271" s="729">
        <v>28.2</v>
      </c>
      <c r="AW271" s="729">
        <v>28.2</v>
      </c>
      <c r="AX271" s="729">
        <v>23.5</v>
      </c>
      <c r="AY271" s="729">
        <v>26.3</v>
      </c>
      <c r="AZ271" s="729">
        <v>23.5</v>
      </c>
      <c r="BA271" s="729">
        <v>23.5</v>
      </c>
      <c r="BB271" s="729">
        <v>23.5</v>
      </c>
      <c r="BC271" s="729">
        <v>18.8</v>
      </c>
      <c r="BD271" s="729">
        <v>18.8</v>
      </c>
      <c r="BE271" s="729">
        <v>16.899999999999999</v>
      </c>
      <c r="BF271" s="715">
        <v>0</v>
      </c>
      <c r="BG271" s="715">
        <v>0</v>
      </c>
      <c r="BH271" s="715">
        <v>7.5</v>
      </c>
      <c r="BI271" s="715">
        <v>9.4</v>
      </c>
      <c r="BJ271" s="715">
        <v>16.899999999999999</v>
      </c>
      <c r="BK271" s="715">
        <v>18.8</v>
      </c>
      <c r="BL271" s="715">
        <v>23.5</v>
      </c>
      <c r="BM271" s="715">
        <v>28.2</v>
      </c>
      <c r="BN271" s="715">
        <v>28.2</v>
      </c>
      <c r="BO271" s="715">
        <v>28.2</v>
      </c>
      <c r="BP271" s="715">
        <v>23.5</v>
      </c>
      <c r="BQ271" s="715">
        <v>26.3</v>
      </c>
      <c r="BR271" s="715">
        <v>23.5</v>
      </c>
      <c r="BS271" s="715">
        <v>23.5</v>
      </c>
      <c r="BT271" s="715">
        <v>23.5</v>
      </c>
      <c r="BU271" s="715">
        <v>18.8</v>
      </c>
      <c r="BV271" s="715">
        <v>18.8</v>
      </c>
    </row>
    <row r="272" spans="1:74" ht="20.149999999999999" hidden="1" customHeight="1" outlineLevel="2" x14ac:dyDescent="0.25">
      <c r="A272" s="348"/>
      <c r="B272" s="349"/>
      <c r="C272" s="350" t="s">
        <v>107</v>
      </c>
      <c r="D272" s="626"/>
      <c r="E272" s="626"/>
      <c r="F272" s="626"/>
      <c r="G272" s="626"/>
      <c r="H272" s="626"/>
      <c r="I272" s="626"/>
      <c r="J272" s="631"/>
      <c r="K272" s="631"/>
      <c r="L272" s="631"/>
      <c r="M272" s="631"/>
      <c r="N272" s="631"/>
      <c r="O272" s="631"/>
      <c r="P272" s="631"/>
      <c r="Q272" s="631"/>
      <c r="R272" s="631"/>
      <c r="S272" s="631"/>
      <c r="T272" s="631"/>
      <c r="U272" s="631"/>
      <c r="V272" s="631"/>
      <c r="W272" s="631"/>
      <c r="X272" s="631"/>
      <c r="Y272" s="631"/>
      <c r="Z272" s="631"/>
      <c r="AA272" s="631"/>
      <c r="AB272" s="631"/>
      <c r="AC272" s="631"/>
      <c r="AD272" s="631"/>
      <c r="AE272" s="631"/>
      <c r="AF272" s="631"/>
      <c r="AG272" s="631"/>
      <c r="AH272" s="631"/>
      <c r="AI272" s="631"/>
      <c r="AJ272" s="348"/>
      <c r="AK272" s="349"/>
      <c r="AL272" s="349"/>
      <c r="AM272" s="347" t="s">
        <v>107</v>
      </c>
      <c r="AN272" s="343">
        <f t="shared" ref="AN272:BV272" si="548">AN210+AN227+AN243+AN252+AN266</f>
        <v>73460.12582144</v>
      </c>
      <c r="AO272" s="343">
        <f t="shared" si="548"/>
        <v>18142.294821440002</v>
      </c>
      <c r="AP272" s="343">
        <f t="shared" si="548"/>
        <v>34483.666321439996</v>
      </c>
      <c r="AQ272" s="343">
        <f t="shared" si="548"/>
        <v>40387.903321439997</v>
      </c>
      <c r="AR272" s="343">
        <f t="shared" si="548"/>
        <v>52569.463821440004</v>
      </c>
      <c r="AS272" s="343">
        <f t="shared" si="548"/>
        <v>57263.427821439996</v>
      </c>
      <c r="AT272" s="343">
        <f t="shared" si="548"/>
        <v>64092.648821440001</v>
      </c>
      <c r="AU272" s="343">
        <f t="shared" si="548"/>
        <v>69999.148821440001</v>
      </c>
      <c r="AV272" s="398">
        <f t="shared" si="548"/>
        <v>70061.648821440001</v>
      </c>
      <c r="AW272" s="398">
        <f t="shared" si="548"/>
        <v>69999.148821440001</v>
      </c>
      <c r="AX272" s="398">
        <f t="shared" si="548"/>
        <v>64092.648821440001</v>
      </c>
      <c r="AY272" s="398">
        <f t="shared" si="548"/>
        <v>67586.148821440001</v>
      </c>
      <c r="AZ272" s="398">
        <f t="shared" si="548"/>
        <v>64092.648821440001</v>
      </c>
      <c r="BA272" s="398">
        <f t="shared" si="548"/>
        <v>64030.148821440001</v>
      </c>
      <c r="BB272" s="398">
        <f t="shared" si="548"/>
        <v>64092.648821440001</v>
      </c>
      <c r="BC272" s="398">
        <f t="shared" si="548"/>
        <v>58061.148821440001</v>
      </c>
      <c r="BD272" s="398">
        <f t="shared" si="548"/>
        <v>58123.648821440001</v>
      </c>
      <c r="BE272" s="398">
        <f t="shared" si="548"/>
        <v>55648.148821440001</v>
      </c>
      <c r="BF272" s="398">
        <f t="shared" si="548"/>
        <v>42462.725821439999</v>
      </c>
      <c r="BG272" s="398">
        <f t="shared" si="548"/>
        <v>18142.294821440002</v>
      </c>
      <c r="BH272" s="398">
        <f t="shared" si="548"/>
        <v>34483.666321439996</v>
      </c>
      <c r="BI272" s="398">
        <f t="shared" si="548"/>
        <v>40387.903321439997</v>
      </c>
      <c r="BJ272" s="398">
        <f t="shared" si="548"/>
        <v>52569.463821440004</v>
      </c>
      <c r="BK272" s="398">
        <f t="shared" si="548"/>
        <v>57263.427821439996</v>
      </c>
      <c r="BL272" s="398">
        <f t="shared" si="548"/>
        <v>64092.648821440001</v>
      </c>
      <c r="BM272" s="398">
        <f t="shared" si="548"/>
        <v>69999.148821440001</v>
      </c>
      <c r="BN272" s="398">
        <f t="shared" si="548"/>
        <v>70061.648821440001</v>
      </c>
      <c r="BO272" s="398">
        <f t="shared" si="548"/>
        <v>69999.148821440001</v>
      </c>
      <c r="BP272" s="398">
        <f t="shared" si="548"/>
        <v>64092.648821440001</v>
      </c>
      <c r="BQ272" s="398">
        <f t="shared" si="548"/>
        <v>67586.148821440001</v>
      </c>
      <c r="BR272" s="398">
        <f t="shared" si="548"/>
        <v>64092.648821440001</v>
      </c>
      <c r="BS272" s="398">
        <f t="shared" si="548"/>
        <v>64030.148821440001</v>
      </c>
      <c r="BT272" s="398">
        <f t="shared" si="548"/>
        <v>64092.648821440001</v>
      </c>
      <c r="BU272" s="398">
        <f t="shared" si="548"/>
        <v>58061.148821440001</v>
      </c>
      <c r="BV272" s="398">
        <f t="shared" si="548"/>
        <v>58123.648821440001</v>
      </c>
    </row>
    <row r="273" spans="1:74" ht="20.149999999999999" hidden="1" customHeight="1" outlineLevel="2" x14ac:dyDescent="0.25">
      <c r="A273" s="348"/>
      <c r="B273" s="349"/>
      <c r="C273" s="350" t="s">
        <v>108</v>
      </c>
      <c r="D273" s="626"/>
      <c r="E273" s="626"/>
      <c r="F273" s="626"/>
      <c r="G273" s="626"/>
      <c r="H273" s="626"/>
      <c r="I273" s="626"/>
      <c r="J273" s="631"/>
      <c r="K273" s="631"/>
      <c r="L273" s="631"/>
      <c r="M273" s="631"/>
      <c r="N273" s="631"/>
      <c r="O273" s="631"/>
      <c r="P273" s="631"/>
      <c r="Q273" s="631"/>
      <c r="R273" s="631"/>
      <c r="S273" s="631"/>
      <c r="T273" s="631"/>
      <c r="U273" s="631"/>
      <c r="V273" s="631"/>
      <c r="W273" s="631"/>
      <c r="X273" s="631"/>
      <c r="Y273" s="631"/>
      <c r="Z273" s="631"/>
      <c r="AA273" s="631"/>
      <c r="AB273" s="631"/>
      <c r="AC273" s="631"/>
      <c r="AD273" s="631"/>
      <c r="AE273" s="631"/>
      <c r="AF273" s="631"/>
      <c r="AG273" s="631"/>
      <c r="AH273" s="631"/>
      <c r="AI273" s="631"/>
      <c r="AJ273" s="348"/>
      <c r="AK273" s="349"/>
      <c r="AL273" s="349"/>
      <c r="AM273" s="347" t="s">
        <v>108</v>
      </c>
      <c r="AN273" s="343">
        <f t="shared" ref="AN273:BV273" si="549">AN271*$AN$277</f>
        <v>0</v>
      </c>
      <c r="AO273" s="343">
        <f t="shared" si="549"/>
        <v>0</v>
      </c>
      <c r="AP273" s="343">
        <f>AP271*$AN$277</f>
        <v>34500</v>
      </c>
      <c r="AQ273" s="343">
        <f t="shared" si="549"/>
        <v>43240</v>
      </c>
      <c r="AR273" s="343">
        <f t="shared" si="549"/>
        <v>77740</v>
      </c>
      <c r="AS273" s="343">
        <f t="shared" si="549"/>
        <v>86480</v>
      </c>
      <c r="AT273" s="343">
        <f t="shared" si="549"/>
        <v>108100</v>
      </c>
      <c r="AU273" s="343">
        <f t="shared" si="549"/>
        <v>129720</v>
      </c>
      <c r="AV273" s="398">
        <f t="shared" si="549"/>
        <v>129720</v>
      </c>
      <c r="AW273" s="398">
        <f t="shared" si="549"/>
        <v>129720</v>
      </c>
      <c r="AX273" s="398">
        <f t="shared" si="549"/>
        <v>108100</v>
      </c>
      <c r="AY273" s="398">
        <f t="shared" si="549"/>
        <v>120980</v>
      </c>
      <c r="AZ273" s="398">
        <f t="shared" si="549"/>
        <v>108100</v>
      </c>
      <c r="BA273" s="398">
        <f t="shared" si="549"/>
        <v>108100</v>
      </c>
      <c r="BB273" s="398">
        <f t="shared" si="549"/>
        <v>108100</v>
      </c>
      <c r="BC273" s="398">
        <f t="shared" si="549"/>
        <v>86480</v>
      </c>
      <c r="BD273" s="398">
        <f t="shared" si="549"/>
        <v>86480</v>
      </c>
      <c r="BE273" s="398">
        <f t="shared" si="549"/>
        <v>77740</v>
      </c>
      <c r="BF273" s="398">
        <f t="shared" si="549"/>
        <v>0</v>
      </c>
      <c r="BG273" s="398">
        <f t="shared" si="549"/>
        <v>0</v>
      </c>
      <c r="BH273" s="398">
        <f t="shared" si="549"/>
        <v>34500</v>
      </c>
      <c r="BI273" s="398">
        <f t="shared" si="549"/>
        <v>43240</v>
      </c>
      <c r="BJ273" s="398">
        <f t="shared" si="549"/>
        <v>77740</v>
      </c>
      <c r="BK273" s="398">
        <f t="shared" si="549"/>
        <v>86480</v>
      </c>
      <c r="BL273" s="398">
        <f t="shared" si="549"/>
        <v>108100</v>
      </c>
      <c r="BM273" s="398">
        <f t="shared" si="549"/>
        <v>129720</v>
      </c>
      <c r="BN273" s="398">
        <f t="shared" si="549"/>
        <v>129720</v>
      </c>
      <c r="BO273" s="398">
        <f t="shared" si="549"/>
        <v>129720</v>
      </c>
      <c r="BP273" s="398">
        <f t="shared" si="549"/>
        <v>108100</v>
      </c>
      <c r="BQ273" s="398">
        <f t="shared" si="549"/>
        <v>120980</v>
      </c>
      <c r="BR273" s="398">
        <f t="shared" si="549"/>
        <v>108100</v>
      </c>
      <c r="BS273" s="398">
        <f t="shared" si="549"/>
        <v>108100</v>
      </c>
      <c r="BT273" s="398">
        <f t="shared" si="549"/>
        <v>108100</v>
      </c>
      <c r="BU273" s="398">
        <f t="shared" si="549"/>
        <v>86480</v>
      </c>
      <c r="BV273" s="398">
        <f t="shared" si="549"/>
        <v>86480</v>
      </c>
    </row>
    <row r="274" spans="1:74" ht="20.149999999999999" hidden="1" customHeight="1" outlineLevel="2" x14ac:dyDescent="0.25">
      <c r="A274" s="348"/>
      <c r="B274" s="349"/>
      <c r="C274" s="350" t="s">
        <v>109</v>
      </c>
      <c r="D274" s="631"/>
      <c r="E274" s="626"/>
      <c r="F274" s="626"/>
      <c r="G274" s="626"/>
      <c r="H274" s="626"/>
      <c r="I274" s="626"/>
      <c r="J274" s="631"/>
      <c r="K274" s="631"/>
      <c r="L274" s="631"/>
      <c r="M274" s="631"/>
      <c r="N274" s="631"/>
      <c r="O274" s="631"/>
      <c r="P274" s="631"/>
      <c r="Q274" s="631"/>
      <c r="R274" s="631"/>
      <c r="S274" s="631"/>
      <c r="T274" s="631"/>
      <c r="U274" s="631"/>
      <c r="V274" s="631"/>
      <c r="W274" s="631"/>
      <c r="X274" s="631"/>
      <c r="Y274" s="631"/>
      <c r="Z274" s="631"/>
      <c r="AA274" s="631"/>
      <c r="AB274" s="631"/>
      <c r="AC274" s="631"/>
      <c r="AD274" s="631"/>
      <c r="AE274" s="631"/>
      <c r="AF274" s="631"/>
      <c r="AG274" s="631"/>
      <c r="AH274" s="631"/>
      <c r="AI274" s="631"/>
      <c r="AJ274" s="348"/>
      <c r="AK274" s="349"/>
      <c r="AL274" s="349"/>
      <c r="AM274" s="347" t="s">
        <v>109</v>
      </c>
      <c r="AN274" s="343">
        <f t="shared" ref="AN274:BV274" si="550">AN273-AN272</f>
        <v>-73460.12582144</v>
      </c>
      <c r="AO274" s="343">
        <f t="shared" si="550"/>
        <v>-18142.294821440002</v>
      </c>
      <c r="AP274" s="343">
        <f t="shared" si="550"/>
        <v>16.333678560004046</v>
      </c>
      <c r="AQ274" s="343">
        <f t="shared" si="550"/>
        <v>2852.0966785600031</v>
      </c>
      <c r="AR274" s="343">
        <f t="shared" si="550"/>
        <v>25170.536178559996</v>
      </c>
      <c r="AS274" s="343">
        <f t="shared" si="550"/>
        <v>29216.572178560004</v>
      </c>
      <c r="AT274" s="343">
        <f t="shared" si="550"/>
        <v>44007.351178559999</v>
      </c>
      <c r="AU274" s="343">
        <f t="shared" si="550"/>
        <v>59720.851178559999</v>
      </c>
      <c r="AV274" s="398">
        <f t="shared" si="550"/>
        <v>59658.351178559999</v>
      </c>
      <c r="AW274" s="398">
        <f t="shared" si="550"/>
        <v>59720.851178559999</v>
      </c>
      <c r="AX274" s="398">
        <f t="shared" si="550"/>
        <v>44007.351178559999</v>
      </c>
      <c r="AY274" s="398">
        <f t="shared" si="550"/>
        <v>53393.851178559999</v>
      </c>
      <c r="AZ274" s="398">
        <f t="shared" si="550"/>
        <v>44007.351178559999</v>
      </c>
      <c r="BA274" s="398">
        <f t="shared" si="550"/>
        <v>44069.851178559999</v>
      </c>
      <c r="BB274" s="398">
        <f t="shared" si="550"/>
        <v>44007.351178559999</v>
      </c>
      <c r="BC274" s="398">
        <f t="shared" si="550"/>
        <v>28418.851178559999</v>
      </c>
      <c r="BD274" s="398">
        <f t="shared" si="550"/>
        <v>28356.351178559999</v>
      </c>
      <c r="BE274" s="398">
        <f t="shared" si="550"/>
        <v>22091.851178559999</v>
      </c>
      <c r="BF274" s="398">
        <f t="shared" si="550"/>
        <v>-42462.725821439999</v>
      </c>
      <c r="BG274" s="398">
        <f t="shared" si="550"/>
        <v>-18142.294821440002</v>
      </c>
      <c r="BH274" s="398">
        <f t="shared" si="550"/>
        <v>16.333678560004046</v>
      </c>
      <c r="BI274" s="398">
        <f t="shared" si="550"/>
        <v>2852.0966785600031</v>
      </c>
      <c r="BJ274" s="398">
        <f t="shared" si="550"/>
        <v>25170.536178559996</v>
      </c>
      <c r="BK274" s="398">
        <f t="shared" si="550"/>
        <v>29216.572178560004</v>
      </c>
      <c r="BL274" s="398">
        <f t="shared" si="550"/>
        <v>44007.351178559999</v>
      </c>
      <c r="BM274" s="398">
        <f t="shared" si="550"/>
        <v>59720.851178559999</v>
      </c>
      <c r="BN274" s="398">
        <f t="shared" si="550"/>
        <v>59658.351178559999</v>
      </c>
      <c r="BO274" s="398">
        <f t="shared" si="550"/>
        <v>59720.851178559999</v>
      </c>
      <c r="BP274" s="398">
        <f t="shared" si="550"/>
        <v>44007.351178559999</v>
      </c>
      <c r="BQ274" s="398">
        <f t="shared" si="550"/>
        <v>53393.851178559999</v>
      </c>
      <c r="BR274" s="398">
        <f t="shared" si="550"/>
        <v>44007.351178559999</v>
      </c>
      <c r="BS274" s="398">
        <f t="shared" si="550"/>
        <v>44069.851178559999</v>
      </c>
      <c r="BT274" s="398">
        <f t="shared" si="550"/>
        <v>44007.351178559999</v>
      </c>
      <c r="BU274" s="398">
        <f t="shared" si="550"/>
        <v>28418.851178559999</v>
      </c>
      <c r="BV274" s="398">
        <f t="shared" si="550"/>
        <v>28356.351178559999</v>
      </c>
    </row>
    <row r="275" spans="1:74" ht="20.149999999999999" hidden="1" customHeight="1" outlineLevel="2" x14ac:dyDescent="0.25">
      <c r="A275" s="348"/>
      <c r="B275" s="349"/>
      <c r="C275" s="350" t="s">
        <v>110</v>
      </c>
      <c r="D275" s="626"/>
      <c r="E275" s="626"/>
      <c r="F275" s="626"/>
      <c r="G275" s="626"/>
      <c r="H275" s="626"/>
      <c r="I275" s="626"/>
      <c r="J275" s="631"/>
      <c r="K275" s="631"/>
      <c r="L275" s="631"/>
      <c r="M275" s="631"/>
      <c r="N275" s="631"/>
      <c r="O275" s="631"/>
      <c r="P275" s="631"/>
      <c r="Q275" s="631"/>
      <c r="R275" s="631"/>
      <c r="S275" s="631"/>
      <c r="T275" s="631"/>
      <c r="U275" s="631"/>
      <c r="V275" s="631"/>
      <c r="W275" s="631"/>
      <c r="X275" s="631"/>
      <c r="Y275" s="631"/>
      <c r="Z275" s="631"/>
      <c r="AA275" s="631"/>
      <c r="AB275" s="631"/>
      <c r="AC275" s="631"/>
      <c r="AD275" s="631"/>
      <c r="AE275" s="631"/>
      <c r="AF275" s="631"/>
      <c r="AG275" s="631"/>
      <c r="AH275" s="631"/>
      <c r="AI275" s="631"/>
      <c r="AJ275" s="348"/>
      <c r="AK275" s="349"/>
      <c r="AL275" s="349"/>
      <c r="AM275" s="347" t="s">
        <v>110</v>
      </c>
      <c r="AN275" s="343">
        <f>AN274</f>
        <v>-73460.12582144</v>
      </c>
      <c r="AO275" s="343">
        <f t="shared" ref="AO275:BV275" si="551">AO274+AN275</f>
        <v>-91602.420642879995</v>
      </c>
      <c r="AP275" s="343">
        <f t="shared" si="551"/>
        <v>-91586.086964319984</v>
      </c>
      <c r="AQ275" s="343">
        <f t="shared" si="551"/>
        <v>-88733.990285759981</v>
      </c>
      <c r="AR275" s="343">
        <f t="shared" si="551"/>
        <v>-63563.454107199985</v>
      </c>
      <c r="AS275" s="343">
        <f t="shared" si="551"/>
        <v>-34346.881928639981</v>
      </c>
      <c r="AT275" s="343">
        <f t="shared" si="551"/>
        <v>9660.4692499200173</v>
      </c>
      <c r="AU275" s="343">
        <f t="shared" si="551"/>
        <v>69381.320428480016</v>
      </c>
      <c r="AV275" s="398">
        <f t="shared" si="551"/>
        <v>129039.67160704001</v>
      </c>
      <c r="AW275" s="398">
        <f t="shared" si="551"/>
        <v>188760.52278560001</v>
      </c>
      <c r="AX275" s="398">
        <f t="shared" si="551"/>
        <v>232767.87396416001</v>
      </c>
      <c r="AY275" s="398">
        <f t="shared" si="551"/>
        <v>286161.72514272004</v>
      </c>
      <c r="AZ275" s="398">
        <f t="shared" si="551"/>
        <v>330169.07632128004</v>
      </c>
      <c r="BA275" s="398">
        <f t="shared" si="551"/>
        <v>374238.92749984004</v>
      </c>
      <c r="BB275" s="398">
        <f t="shared" si="551"/>
        <v>418246.27867840003</v>
      </c>
      <c r="BC275" s="398">
        <f t="shared" si="551"/>
        <v>446665.12985696003</v>
      </c>
      <c r="BD275" s="398">
        <f t="shared" si="551"/>
        <v>475021.48103552003</v>
      </c>
      <c r="BE275" s="398">
        <f t="shared" si="551"/>
        <v>497113.33221408003</v>
      </c>
      <c r="BF275" s="398">
        <f t="shared" si="551"/>
        <v>454650.60639264004</v>
      </c>
      <c r="BG275" s="398">
        <f t="shared" si="551"/>
        <v>436508.31157120003</v>
      </c>
      <c r="BH275" s="398">
        <f t="shared" si="551"/>
        <v>436524.64524976001</v>
      </c>
      <c r="BI275" s="398">
        <f t="shared" si="551"/>
        <v>439376.74192832003</v>
      </c>
      <c r="BJ275" s="398">
        <f t="shared" si="551"/>
        <v>464547.27810688003</v>
      </c>
      <c r="BK275" s="398">
        <f t="shared" si="551"/>
        <v>493763.85028544004</v>
      </c>
      <c r="BL275" s="398">
        <f t="shared" si="551"/>
        <v>537771.20146400004</v>
      </c>
      <c r="BM275" s="398">
        <f t="shared" si="551"/>
        <v>597492.0526425601</v>
      </c>
      <c r="BN275" s="398">
        <f t="shared" si="551"/>
        <v>657150.40382112004</v>
      </c>
      <c r="BO275" s="398">
        <f t="shared" si="551"/>
        <v>716871.25499967998</v>
      </c>
      <c r="BP275" s="398">
        <f t="shared" si="551"/>
        <v>760878.60617823992</v>
      </c>
      <c r="BQ275" s="398">
        <f t="shared" si="551"/>
        <v>814272.45735679986</v>
      </c>
      <c r="BR275" s="398">
        <f t="shared" si="551"/>
        <v>858279.8085353598</v>
      </c>
      <c r="BS275" s="398">
        <f t="shared" si="551"/>
        <v>902349.65971391974</v>
      </c>
      <c r="BT275" s="398">
        <f t="shared" si="551"/>
        <v>946357.01089247968</v>
      </c>
      <c r="BU275" s="398">
        <f t="shared" si="551"/>
        <v>974775.86207103962</v>
      </c>
      <c r="BV275" s="398">
        <f t="shared" si="551"/>
        <v>1003132.2132495996</v>
      </c>
    </row>
    <row r="276" spans="1:74" ht="20.149999999999999" hidden="1" customHeight="1" outlineLevel="2" x14ac:dyDescent="0.25">
      <c r="A276" s="348"/>
      <c r="B276" s="349"/>
      <c r="C276" s="350" t="s">
        <v>111</v>
      </c>
      <c r="D276" s="626"/>
      <c r="E276" s="626"/>
      <c r="F276" s="626"/>
      <c r="G276" s="626"/>
      <c r="H276" s="626"/>
      <c r="I276" s="626"/>
      <c r="J276" s="631"/>
      <c r="K276" s="631"/>
      <c r="L276" s="631"/>
      <c r="M276" s="631"/>
      <c r="N276" s="631"/>
      <c r="O276" s="631"/>
      <c r="P276" s="631"/>
      <c r="Q276" s="631"/>
      <c r="R276" s="631"/>
      <c r="S276" s="631"/>
      <c r="T276" s="631"/>
      <c r="U276" s="631"/>
      <c r="V276" s="631"/>
      <c r="W276" s="631"/>
      <c r="X276" s="631"/>
      <c r="Y276" s="631"/>
      <c r="Z276" s="631"/>
      <c r="AA276" s="631"/>
      <c r="AB276" s="631"/>
      <c r="AC276" s="631"/>
      <c r="AD276" s="631"/>
      <c r="AE276" s="631"/>
      <c r="AF276" s="631"/>
      <c r="AG276" s="631"/>
      <c r="AH276" s="631"/>
      <c r="AI276" s="631"/>
      <c r="AJ276" s="348"/>
      <c r="AK276" s="349"/>
      <c r="AL276" s="349"/>
      <c r="AM276" s="350" t="s">
        <v>111</v>
      </c>
      <c r="AN276" s="343">
        <f>BV275/BV256</f>
        <v>28660.920378559986</v>
      </c>
      <c r="AO276" s="639"/>
      <c r="AP276" s="639"/>
      <c r="AQ276" s="639"/>
      <c r="AR276" s="639"/>
      <c r="AS276" s="639"/>
      <c r="AT276" s="625"/>
      <c r="AU276" s="625"/>
      <c r="AV276" s="625"/>
      <c r="AW276" s="625"/>
      <c r="AX276" s="625"/>
      <c r="AY276" s="625"/>
      <c r="AZ276" s="625"/>
      <c r="BA276" s="625"/>
      <c r="BB276" s="625"/>
      <c r="BC276" s="625"/>
      <c r="BD276" s="625"/>
      <c r="BE276" s="625"/>
      <c r="BF276" s="625"/>
      <c r="BG276" s="625"/>
      <c r="BH276" s="625"/>
      <c r="BI276" s="625"/>
      <c r="BJ276" s="625"/>
      <c r="BK276" s="625"/>
      <c r="BL276" s="625"/>
      <c r="BM276" s="625"/>
      <c r="BN276" s="625"/>
      <c r="BO276" s="625"/>
      <c r="BP276" s="625"/>
      <c r="BQ276" s="625"/>
      <c r="BR276" s="625"/>
      <c r="BS276" s="625"/>
      <c r="BT276" s="625"/>
      <c r="BU276" s="625"/>
      <c r="BV276" s="625"/>
    </row>
    <row r="277" spans="1:74" ht="20.149999999999999" hidden="1" customHeight="1" outlineLevel="2" x14ac:dyDescent="0.25">
      <c r="A277" s="351"/>
      <c r="B277" s="352"/>
      <c r="C277" s="353" t="s">
        <v>112</v>
      </c>
      <c r="D277" s="626"/>
      <c r="E277" s="626"/>
      <c r="F277" s="626"/>
      <c r="G277" s="626"/>
      <c r="H277" s="626"/>
      <c r="I277" s="626"/>
      <c r="J277" s="626"/>
      <c r="K277" s="626"/>
      <c r="L277" s="626"/>
      <c r="M277" s="626"/>
      <c r="N277" s="626"/>
      <c r="O277" s="626"/>
      <c r="P277" s="626"/>
      <c r="Q277" s="626"/>
      <c r="R277" s="626"/>
      <c r="S277" s="626"/>
      <c r="T277" s="626"/>
      <c r="U277" s="626"/>
      <c r="V277" s="626"/>
      <c r="W277" s="626"/>
      <c r="X277" s="626"/>
      <c r="Y277" s="626"/>
      <c r="Z277" s="626"/>
      <c r="AA277" s="626"/>
      <c r="AB277" s="626"/>
      <c r="AC277" s="626"/>
      <c r="AD277" s="626"/>
      <c r="AE277" s="626"/>
      <c r="AF277" s="626"/>
      <c r="AG277" s="626"/>
      <c r="AH277" s="626"/>
      <c r="AI277" s="626"/>
      <c r="AJ277" s="351"/>
      <c r="AK277" s="352"/>
      <c r="AL277" s="352"/>
      <c r="AM277" s="353" t="s">
        <v>112</v>
      </c>
      <c r="AN277" s="846">
        <f>'Preço de venda - Cult Perm.'!D79</f>
        <v>4600</v>
      </c>
      <c r="AO277" s="625"/>
      <c r="AP277" s="625"/>
      <c r="AQ277" s="625"/>
      <c r="AR277" s="625"/>
      <c r="AS277" s="625"/>
      <c r="AT277" s="625"/>
      <c r="AU277" s="625"/>
      <c r="AV277" s="625"/>
      <c r="AW277" s="625"/>
      <c r="AX277" s="625"/>
      <c r="AY277" s="625"/>
      <c r="AZ277" s="625"/>
      <c r="BA277" s="625"/>
      <c r="BB277" s="625"/>
      <c r="BC277" s="625"/>
      <c r="BD277" s="625"/>
      <c r="BE277" s="625"/>
      <c r="BF277" s="625"/>
      <c r="BG277" s="625"/>
      <c r="BH277" s="625"/>
      <c r="BI277" s="625"/>
      <c r="BJ277" s="625"/>
      <c r="BK277" s="625"/>
      <c r="BL277" s="625"/>
      <c r="BM277" s="625"/>
      <c r="BN277" s="625"/>
      <c r="BO277" s="625"/>
      <c r="BP277" s="625"/>
      <c r="BQ277" s="625"/>
      <c r="BR277" s="625"/>
      <c r="BS277" s="625"/>
      <c r="BT277" s="625"/>
      <c r="BU277" s="625"/>
      <c r="BV277" s="625"/>
    </row>
    <row r="278" spans="1:74" ht="13.5" hidden="1" outlineLevel="1" thickBot="1" x14ac:dyDescent="0.3">
      <c r="I278" s="623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24"/>
      <c r="AB278" s="624"/>
      <c r="AC278" s="624"/>
      <c r="AD278" s="624"/>
      <c r="AE278" s="624"/>
      <c r="AF278" s="624"/>
      <c r="AG278" s="624"/>
      <c r="AH278" s="624"/>
      <c r="AI278" s="624"/>
      <c r="AJ278" s="624"/>
      <c r="AK278" s="624"/>
      <c r="AL278" s="624"/>
      <c r="AM278" s="624"/>
    </row>
    <row r="279" spans="1:74" s="563" customFormat="1" ht="30" customHeight="1" thickBot="1" x14ac:dyDescent="0.3">
      <c r="A279" s="555" t="s">
        <v>162</v>
      </c>
      <c r="B279" s="621"/>
      <c r="C279" s="621"/>
      <c r="D279" s="621"/>
      <c r="E279" s="621"/>
      <c r="F279" s="621"/>
      <c r="G279" s="621"/>
      <c r="H279" s="621"/>
      <c r="I279" s="621"/>
      <c r="J279" s="621"/>
      <c r="K279" s="621"/>
      <c r="L279" s="621"/>
      <c r="M279" s="621"/>
      <c r="N279" s="621"/>
      <c r="O279" s="621"/>
      <c r="P279" s="621"/>
      <c r="Q279" s="621"/>
      <c r="R279" s="621"/>
      <c r="S279" s="621"/>
      <c r="T279" s="621"/>
      <c r="U279" s="621"/>
      <c r="V279" s="621"/>
      <c r="W279" s="621"/>
      <c r="X279" s="621"/>
      <c r="Y279" s="621"/>
      <c r="Z279" s="621"/>
      <c r="AA279" s="621"/>
      <c r="AB279" s="621"/>
      <c r="AC279" s="621"/>
      <c r="AD279" s="621"/>
      <c r="AE279" s="621"/>
      <c r="AF279" s="621"/>
      <c r="AG279" s="621"/>
      <c r="AH279" s="621"/>
      <c r="AI279" s="621"/>
      <c r="AJ279" s="621"/>
      <c r="AK279" s="621"/>
      <c r="AL279" s="621"/>
      <c r="AM279" s="621"/>
      <c r="AN279" s="621"/>
      <c r="AO279" s="621"/>
      <c r="AP279" s="621"/>
      <c r="AQ279" s="621"/>
      <c r="AR279" s="621"/>
      <c r="AS279" s="621"/>
      <c r="AT279" s="621"/>
      <c r="AU279" s="621"/>
      <c r="AV279" s="622"/>
    </row>
    <row r="280" spans="1:74" s="123" customFormat="1" ht="27" customHeight="1" outlineLevel="1" collapsed="1" thickBot="1" x14ac:dyDescent="0.3">
      <c r="A280" s="1109" t="s">
        <v>52</v>
      </c>
      <c r="B280" s="1110"/>
      <c r="C280" s="1110"/>
      <c r="D280" s="1110"/>
      <c r="E280" s="1110"/>
      <c r="F280" s="1110"/>
      <c r="G280" s="1110"/>
      <c r="H280" s="1110"/>
      <c r="I280" s="1110"/>
      <c r="J280" s="1110"/>
      <c r="K280" s="1110"/>
      <c r="L280" s="1110"/>
      <c r="M280" s="1110"/>
      <c r="N280" s="1110"/>
      <c r="O280" s="1110"/>
      <c r="P280" s="1110"/>
      <c r="Q280" s="1110"/>
      <c r="R280" s="1110"/>
      <c r="S280" s="1110"/>
      <c r="T280" s="1110"/>
      <c r="U280" s="1110"/>
      <c r="V280" s="1110"/>
      <c r="W280" s="1110"/>
      <c r="X280" s="1110"/>
      <c r="Y280" s="1110"/>
      <c r="Z280" s="1110"/>
      <c r="AA280" s="1110"/>
      <c r="AB280" s="1110"/>
      <c r="AC280" s="1110"/>
      <c r="AD280" s="1110"/>
      <c r="AE280" s="1110"/>
      <c r="AF280" s="1110"/>
      <c r="AG280" s="1110"/>
      <c r="AH280" s="1110"/>
      <c r="AI280" s="1110"/>
      <c r="AJ280" s="1110"/>
      <c r="AK280" s="1110"/>
      <c r="AL280" s="1110"/>
      <c r="AM280" s="1110"/>
      <c r="AN280" s="1110"/>
      <c r="AO280" s="1110"/>
      <c r="AP280" s="1110"/>
      <c r="AQ280" s="1110"/>
      <c r="AR280" s="1110"/>
      <c r="AS280" s="1110"/>
      <c r="AT280" s="1110"/>
      <c r="AU280" s="1110"/>
      <c r="AV280" s="1110"/>
      <c r="AW280" s="1110"/>
      <c r="AX280" s="1110"/>
      <c r="AY280" s="1110"/>
      <c r="AZ280" s="1110"/>
      <c r="BA280" s="1110"/>
      <c r="BB280" s="1110"/>
      <c r="BC280" s="1110"/>
      <c r="BD280" s="1110"/>
      <c r="BE280" s="1110"/>
      <c r="BF280" s="1110"/>
      <c r="BG280" s="1110"/>
      <c r="BH280" s="1110"/>
      <c r="BI280" s="1110"/>
      <c r="BJ280" s="1110"/>
      <c r="BK280" s="1110"/>
      <c r="BL280" s="1110"/>
      <c r="BM280" s="1110"/>
      <c r="BN280" s="1110"/>
      <c r="BO280" s="1110"/>
      <c r="BP280" s="1110"/>
      <c r="BQ280" s="1110"/>
      <c r="BR280" s="1110"/>
      <c r="BS280" s="1110"/>
      <c r="BT280" s="1110"/>
      <c r="BU280" s="1110"/>
      <c r="BV280" s="1111"/>
    </row>
    <row r="281" spans="1:74" ht="18" hidden="1" customHeight="1" outlineLevel="2" thickBot="1" x14ac:dyDescent="0.3">
      <c r="A281" s="1112" t="s">
        <v>113</v>
      </c>
      <c r="B281" s="1112" t="s">
        <v>8</v>
      </c>
      <c r="C281" s="1112" t="s">
        <v>100</v>
      </c>
      <c r="D281" s="1103" t="s">
        <v>97</v>
      </c>
      <c r="E281" s="1104"/>
      <c r="F281" s="1104"/>
      <c r="G281" s="1104"/>
      <c r="H281" s="1104"/>
      <c r="I281" s="1104"/>
      <c r="J281" s="1104"/>
      <c r="K281" s="1104"/>
      <c r="L281" s="1104"/>
      <c r="M281" s="1104"/>
      <c r="N281" s="1104"/>
      <c r="O281" s="1104"/>
      <c r="P281" s="1104"/>
      <c r="Q281" s="1104"/>
      <c r="R281" s="1104"/>
      <c r="S281" s="1104"/>
      <c r="T281" s="1104"/>
      <c r="U281" s="1104"/>
      <c r="V281" s="1104"/>
      <c r="W281" s="1104"/>
      <c r="X281" s="1104"/>
      <c r="Y281" s="1104"/>
      <c r="Z281" s="1104"/>
      <c r="AA281" s="1104"/>
      <c r="AB281" s="1104"/>
      <c r="AC281" s="1104"/>
      <c r="AD281" s="1104"/>
      <c r="AE281" s="1104"/>
      <c r="AF281" s="1104"/>
      <c r="AG281" s="1104"/>
      <c r="AH281" s="1104"/>
      <c r="AI281" s="1104"/>
      <c r="AJ281" s="1104"/>
      <c r="AK281" s="1104"/>
      <c r="AL281" s="1105"/>
      <c r="AM281" s="634"/>
      <c r="AN281" s="1103" t="s">
        <v>99</v>
      </c>
      <c r="AO281" s="1104"/>
      <c r="AP281" s="1104"/>
      <c r="AQ281" s="1104"/>
      <c r="AR281" s="1104"/>
      <c r="AS281" s="1104"/>
      <c r="AT281" s="1104"/>
      <c r="AU281" s="1104"/>
      <c r="AV281" s="1104"/>
      <c r="AW281" s="1104"/>
      <c r="AX281" s="1104"/>
      <c r="AY281" s="1104"/>
      <c r="AZ281" s="1104"/>
      <c r="BA281" s="1104"/>
      <c r="BB281" s="1104"/>
      <c r="BC281" s="1104"/>
      <c r="BD281" s="1104"/>
      <c r="BE281" s="1104"/>
      <c r="BF281" s="1104"/>
      <c r="BG281" s="1104"/>
      <c r="BH281" s="1104"/>
      <c r="BI281" s="1104"/>
      <c r="BJ281" s="1104"/>
      <c r="BK281" s="1104"/>
      <c r="BL281" s="1104"/>
      <c r="BM281" s="1104"/>
      <c r="BN281" s="1104"/>
      <c r="BO281" s="1104"/>
      <c r="BP281" s="1104"/>
      <c r="BQ281" s="1104"/>
      <c r="BR281" s="1104"/>
      <c r="BS281" s="1104"/>
      <c r="BT281" s="1104"/>
      <c r="BU281" s="1104"/>
      <c r="BV281" s="1105"/>
    </row>
    <row r="282" spans="1:74" ht="18" hidden="1" customHeight="1" outlineLevel="2" thickBot="1" x14ac:dyDescent="0.3">
      <c r="A282" s="1113"/>
      <c r="B282" s="1113"/>
      <c r="C282" s="1113"/>
      <c r="D282" s="275">
        <v>1</v>
      </c>
      <c r="E282" s="211">
        <v>2</v>
      </c>
      <c r="F282" s="211">
        <v>3</v>
      </c>
      <c r="G282" s="211">
        <v>4</v>
      </c>
      <c r="H282" s="211">
        <v>5</v>
      </c>
      <c r="I282" s="211">
        <v>6</v>
      </c>
      <c r="J282" s="211">
        <v>7</v>
      </c>
      <c r="K282" s="211">
        <v>8</v>
      </c>
      <c r="L282" s="211">
        <v>9</v>
      </c>
      <c r="M282" s="211">
        <v>10</v>
      </c>
      <c r="N282" s="211">
        <v>11</v>
      </c>
      <c r="O282" s="211">
        <v>12</v>
      </c>
      <c r="P282" s="211">
        <v>13</v>
      </c>
      <c r="Q282" s="211">
        <v>14</v>
      </c>
      <c r="R282" s="211">
        <v>15</v>
      </c>
      <c r="S282" s="211">
        <v>16</v>
      </c>
      <c r="T282" s="211">
        <v>17</v>
      </c>
      <c r="U282" s="211">
        <v>18</v>
      </c>
      <c r="V282" s="211">
        <v>19</v>
      </c>
      <c r="W282" s="211">
        <v>20</v>
      </c>
      <c r="X282" s="211">
        <v>21</v>
      </c>
      <c r="Y282" s="211">
        <v>22</v>
      </c>
      <c r="Z282" s="211">
        <v>23</v>
      </c>
      <c r="AA282" s="211">
        <v>24</v>
      </c>
      <c r="AB282" s="211">
        <v>25</v>
      </c>
      <c r="AC282" s="211">
        <v>26</v>
      </c>
      <c r="AD282" s="211">
        <v>27</v>
      </c>
      <c r="AE282" s="211">
        <v>28</v>
      </c>
      <c r="AF282" s="211">
        <v>29</v>
      </c>
      <c r="AG282" s="211">
        <v>30</v>
      </c>
      <c r="AH282" s="211">
        <v>31</v>
      </c>
      <c r="AI282" s="211">
        <v>32</v>
      </c>
      <c r="AJ282" s="211">
        <v>33</v>
      </c>
      <c r="AK282" s="211">
        <v>34</v>
      </c>
      <c r="AL282" s="212">
        <v>35</v>
      </c>
      <c r="AM282" s="635"/>
      <c r="AN282" s="275">
        <v>1</v>
      </c>
      <c r="AO282" s="211">
        <v>2</v>
      </c>
      <c r="AP282" s="211">
        <v>3</v>
      </c>
      <c r="AQ282" s="211">
        <v>4</v>
      </c>
      <c r="AR282" s="211">
        <v>5</v>
      </c>
      <c r="AS282" s="211">
        <v>6</v>
      </c>
      <c r="AT282" s="211">
        <v>7</v>
      </c>
      <c r="AU282" s="211">
        <v>8</v>
      </c>
      <c r="AV282" s="211">
        <v>9</v>
      </c>
      <c r="AW282" s="211">
        <v>10</v>
      </c>
      <c r="AX282" s="211">
        <v>11</v>
      </c>
      <c r="AY282" s="211">
        <v>12</v>
      </c>
      <c r="AZ282" s="211">
        <v>13</v>
      </c>
      <c r="BA282" s="211">
        <v>14</v>
      </c>
      <c r="BB282" s="211">
        <v>15</v>
      </c>
      <c r="BC282" s="211">
        <v>16</v>
      </c>
      <c r="BD282" s="211">
        <v>17</v>
      </c>
      <c r="BE282" s="211">
        <v>18</v>
      </c>
      <c r="BF282" s="211">
        <v>19</v>
      </c>
      <c r="BG282" s="211">
        <v>20</v>
      </c>
      <c r="BH282" s="211">
        <v>21</v>
      </c>
      <c r="BI282" s="211">
        <v>22</v>
      </c>
      <c r="BJ282" s="211">
        <v>23</v>
      </c>
      <c r="BK282" s="211">
        <v>24</v>
      </c>
      <c r="BL282" s="211">
        <v>25</v>
      </c>
      <c r="BM282" s="211">
        <v>26</v>
      </c>
      <c r="BN282" s="211">
        <v>27</v>
      </c>
      <c r="BO282" s="211">
        <v>28</v>
      </c>
      <c r="BP282" s="211">
        <v>29</v>
      </c>
      <c r="BQ282" s="211">
        <v>30</v>
      </c>
      <c r="BR282" s="211">
        <v>31</v>
      </c>
      <c r="BS282" s="211">
        <v>32</v>
      </c>
      <c r="BT282" s="211">
        <v>33</v>
      </c>
      <c r="BU282" s="211">
        <v>34</v>
      </c>
      <c r="BV282" s="212">
        <v>35</v>
      </c>
    </row>
    <row r="283" spans="1:74" ht="20.149999999999999" hidden="1" customHeight="1" outlineLevel="2" x14ac:dyDescent="0.25">
      <c r="A283" s="56" t="str">
        <f>'Quantidade-Cult.Perma.'!A87</f>
        <v>Ácido Bórico</v>
      </c>
      <c r="B283" s="319" t="str">
        <f>'Quantidade-Cult.Perma.'!B87</f>
        <v>KG</v>
      </c>
      <c r="C283" s="279">
        <f>'Quantidade-Cult.Perma.'!D87</f>
        <v>7.5</v>
      </c>
      <c r="D283" s="279">
        <f>'Quantidade-Cult.Perma.'!X87</f>
        <v>5.25</v>
      </c>
      <c r="E283" s="279">
        <f>'Quantidade-Cult.Perma.'!Y87</f>
        <v>21</v>
      </c>
      <c r="F283" s="279">
        <f>'Quantidade-Cult.Perma.'!Z87</f>
        <v>21</v>
      </c>
      <c r="G283" s="279">
        <f>'Quantidade-Cult.Perma.'!AA87</f>
        <v>21</v>
      </c>
      <c r="H283" s="279">
        <f>'Quantidade-Cult.Perma.'!AB87</f>
        <v>21</v>
      </c>
      <c r="I283" s="279">
        <f>'Quantidade-Cult.Perma.'!AC87</f>
        <v>21</v>
      </c>
      <c r="J283" s="279">
        <f>'Quantidade-Cult.Perma.'!AD87</f>
        <v>21</v>
      </c>
      <c r="K283" s="279">
        <f>'Quantidade-Cult.Perma.'!AE87</f>
        <v>21</v>
      </c>
      <c r="L283" s="356">
        <f>'Quantidade-Cult.Perma.'!AF87</f>
        <v>21</v>
      </c>
      <c r="M283" s="356">
        <f>'Quantidade-Cult.Perma.'!AG87</f>
        <v>21</v>
      </c>
      <c r="N283" s="356">
        <f>'Quantidade-Cult.Perma.'!AH87</f>
        <v>21</v>
      </c>
      <c r="O283" s="356">
        <f>'Quantidade-Cult.Perma.'!AI87</f>
        <v>21</v>
      </c>
      <c r="P283" s="356">
        <f>'Quantidade-Cult.Perma.'!AJ87</f>
        <v>21</v>
      </c>
      <c r="Q283" s="356">
        <f>'Quantidade-Cult.Perma.'!AK87</f>
        <v>21</v>
      </c>
      <c r="R283" s="356">
        <f>'Quantidade-Cult.Perma.'!AL87</f>
        <v>21</v>
      </c>
      <c r="S283" s="356">
        <f>'Quantidade-Cult.Perma.'!AM87</f>
        <v>21</v>
      </c>
      <c r="T283" s="356">
        <f>'Quantidade-Cult.Perma.'!AN87</f>
        <v>21</v>
      </c>
      <c r="U283" s="356">
        <f>'Quantidade-Cult.Perma.'!AO87</f>
        <v>21</v>
      </c>
      <c r="V283" s="356">
        <f t="shared" ref="V283:V300" si="552">D283</f>
        <v>5.25</v>
      </c>
      <c r="W283" s="356">
        <f t="shared" ref="W283:W300" si="553">E283</f>
        <v>21</v>
      </c>
      <c r="X283" s="356">
        <f t="shared" ref="X283:X300" si="554">F283</f>
        <v>21</v>
      </c>
      <c r="Y283" s="356">
        <f t="shared" ref="Y283:Y300" si="555">G283</f>
        <v>21</v>
      </c>
      <c r="Z283" s="356">
        <f t="shared" ref="Z283:Z300" si="556">H283</f>
        <v>21</v>
      </c>
      <c r="AA283" s="356">
        <f t="shared" ref="AA283:AA300" si="557">I283</f>
        <v>21</v>
      </c>
      <c r="AB283" s="356">
        <f t="shared" ref="AB283:AB300" si="558">J283</f>
        <v>21</v>
      </c>
      <c r="AC283" s="356">
        <f t="shared" ref="AC283:AC300" si="559">K283</f>
        <v>21</v>
      </c>
      <c r="AD283" s="356">
        <f t="shared" ref="AD283:AD300" si="560">L283</f>
        <v>21</v>
      </c>
      <c r="AE283" s="356">
        <f t="shared" ref="AE283:AE300" si="561">M283</f>
        <v>21</v>
      </c>
      <c r="AF283" s="356">
        <f t="shared" ref="AF283:AF300" si="562">N283</f>
        <v>21</v>
      </c>
      <c r="AG283" s="356">
        <f t="shared" ref="AG283:AG300" si="563">O283</f>
        <v>21</v>
      </c>
      <c r="AH283" s="356">
        <f t="shared" ref="AH283:AH300" si="564">P283</f>
        <v>21</v>
      </c>
      <c r="AI283" s="356">
        <f t="shared" ref="AI283:AI300" si="565">Q283</f>
        <v>21</v>
      </c>
      <c r="AJ283" s="356">
        <f t="shared" ref="AJ283:AJ300" si="566">R283</f>
        <v>21</v>
      </c>
      <c r="AK283" s="356">
        <f t="shared" ref="AK283:AK300" si="567">S283</f>
        <v>21</v>
      </c>
      <c r="AL283" s="357">
        <f t="shared" ref="AL283:AL300" si="568">T283</f>
        <v>21</v>
      </c>
      <c r="AM283" s="636"/>
      <c r="AN283" s="301">
        <f t="shared" ref="AN283:BV283" si="569">$C$283*D283</f>
        <v>39.375</v>
      </c>
      <c r="AO283" s="302">
        <f t="shared" si="569"/>
        <v>157.5</v>
      </c>
      <c r="AP283" s="302">
        <f t="shared" si="569"/>
        <v>157.5</v>
      </c>
      <c r="AQ283" s="302">
        <f t="shared" si="569"/>
        <v>157.5</v>
      </c>
      <c r="AR283" s="302">
        <f t="shared" si="569"/>
        <v>157.5</v>
      </c>
      <c r="AS283" s="302">
        <f t="shared" si="569"/>
        <v>157.5</v>
      </c>
      <c r="AT283" s="302">
        <f t="shared" si="569"/>
        <v>157.5</v>
      </c>
      <c r="AU283" s="302">
        <f t="shared" si="569"/>
        <v>157.5</v>
      </c>
      <c r="AV283" s="387">
        <f t="shared" si="569"/>
        <v>157.5</v>
      </c>
      <c r="AW283" s="374">
        <f t="shared" si="569"/>
        <v>157.5</v>
      </c>
      <c r="AX283" s="374">
        <f t="shared" si="569"/>
        <v>157.5</v>
      </c>
      <c r="AY283" s="374">
        <f t="shared" si="569"/>
        <v>157.5</v>
      </c>
      <c r="AZ283" s="374">
        <f t="shared" si="569"/>
        <v>157.5</v>
      </c>
      <c r="BA283" s="374">
        <f t="shared" si="569"/>
        <v>157.5</v>
      </c>
      <c r="BB283" s="374">
        <f t="shared" si="569"/>
        <v>157.5</v>
      </c>
      <c r="BC283" s="374">
        <f t="shared" si="569"/>
        <v>157.5</v>
      </c>
      <c r="BD283" s="374">
        <f t="shared" si="569"/>
        <v>157.5</v>
      </c>
      <c r="BE283" s="374">
        <f t="shared" si="569"/>
        <v>157.5</v>
      </c>
      <c r="BF283" s="374">
        <f t="shared" si="569"/>
        <v>39.375</v>
      </c>
      <c r="BG283" s="374">
        <f t="shared" si="569"/>
        <v>157.5</v>
      </c>
      <c r="BH283" s="374">
        <f t="shared" si="569"/>
        <v>157.5</v>
      </c>
      <c r="BI283" s="374">
        <f t="shared" si="569"/>
        <v>157.5</v>
      </c>
      <c r="BJ283" s="374">
        <f t="shared" si="569"/>
        <v>157.5</v>
      </c>
      <c r="BK283" s="374">
        <f t="shared" si="569"/>
        <v>157.5</v>
      </c>
      <c r="BL283" s="374">
        <f t="shared" si="569"/>
        <v>157.5</v>
      </c>
      <c r="BM283" s="374">
        <f t="shared" si="569"/>
        <v>157.5</v>
      </c>
      <c r="BN283" s="374">
        <f t="shared" si="569"/>
        <v>157.5</v>
      </c>
      <c r="BO283" s="374">
        <f t="shared" si="569"/>
        <v>157.5</v>
      </c>
      <c r="BP283" s="374">
        <f t="shared" si="569"/>
        <v>157.5</v>
      </c>
      <c r="BQ283" s="374">
        <f t="shared" si="569"/>
        <v>157.5</v>
      </c>
      <c r="BR283" s="374">
        <f t="shared" si="569"/>
        <v>157.5</v>
      </c>
      <c r="BS283" s="374">
        <f t="shared" si="569"/>
        <v>157.5</v>
      </c>
      <c r="BT283" s="374">
        <f t="shared" si="569"/>
        <v>157.5</v>
      </c>
      <c r="BU283" s="374">
        <f t="shared" si="569"/>
        <v>157.5</v>
      </c>
      <c r="BV283" s="375">
        <f t="shared" si="569"/>
        <v>157.5</v>
      </c>
    </row>
    <row r="284" spans="1:74" ht="20.149999999999999" hidden="1" customHeight="1" outlineLevel="2" x14ac:dyDescent="0.25">
      <c r="A284" s="23" t="str">
        <f>'Quantidade-Cult.Perma.'!A88</f>
        <v>Calcário</v>
      </c>
      <c r="B284" s="126" t="str">
        <f>'Quantidade-Cult.Perma.'!B88</f>
        <v>T</v>
      </c>
      <c r="C284" s="284">
        <f>'Quantidade-Cult.Perma.'!D88</f>
        <v>450</v>
      </c>
      <c r="D284" s="284">
        <f>'Quantidade-Cult.Perma.'!X88</f>
        <v>1</v>
      </c>
      <c r="E284" s="284">
        <f>'Quantidade-Cult.Perma.'!Y88</f>
        <v>1</v>
      </c>
      <c r="F284" s="284">
        <f>'Quantidade-Cult.Perma.'!Z88</f>
        <v>1</v>
      </c>
      <c r="G284" s="284">
        <f>'Quantidade-Cult.Perma.'!AA88</f>
        <v>1</v>
      </c>
      <c r="H284" s="284">
        <f>'Quantidade-Cult.Perma.'!AB88</f>
        <v>1</v>
      </c>
      <c r="I284" s="284">
        <f>'Quantidade-Cult.Perma.'!AC88</f>
        <v>1</v>
      </c>
      <c r="J284" s="284">
        <f>'Quantidade-Cult.Perma.'!AD88</f>
        <v>1</v>
      </c>
      <c r="K284" s="284">
        <f>'Quantidade-Cult.Perma.'!AE88</f>
        <v>1</v>
      </c>
      <c r="L284" s="358">
        <f>'Quantidade-Cult.Perma.'!AF88</f>
        <v>1</v>
      </c>
      <c r="M284" s="358">
        <f>'Quantidade-Cult.Perma.'!AG88</f>
        <v>1</v>
      </c>
      <c r="N284" s="358">
        <f>'Quantidade-Cult.Perma.'!AH88</f>
        <v>1</v>
      </c>
      <c r="O284" s="358">
        <f>'Quantidade-Cult.Perma.'!AI88</f>
        <v>1</v>
      </c>
      <c r="P284" s="358">
        <f>'Quantidade-Cult.Perma.'!AJ88</f>
        <v>1</v>
      </c>
      <c r="Q284" s="358">
        <f>'Quantidade-Cult.Perma.'!AK88</f>
        <v>1</v>
      </c>
      <c r="R284" s="358">
        <f>'Quantidade-Cult.Perma.'!AL88</f>
        <v>1</v>
      </c>
      <c r="S284" s="358">
        <f>'Quantidade-Cult.Perma.'!AM88</f>
        <v>1</v>
      </c>
      <c r="T284" s="358">
        <f>'Quantidade-Cult.Perma.'!AN88</f>
        <v>1</v>
      </c>
      <c r="U284" s="358">
        <f>'Quantidade-Cult.Perma.'!AO88</f>
        <v>1</v>
      </c>
      <c r="V284" s="358">
        <f t="shared" si="552"/>
        <v>1</v>
      </c>
      <c r="W284" s="358">
        <f t="shared" si="553"/>
        <v>1</v>
      </c>
      <c r="X284" s="358">
        <f t="shared" si="554"/>
        <v>1</v>
      </c>
      <c r="Y284" s="358">
        <f t="shared" si="555"/>
        <v>1</v>
      </c>
      <c r="Z284" s="358">
        <f t="shared" si="556"/>
        <v>1</v>
      </c>
      <c r="AA284" s="358">
        <f t="shared" si="557"/>
        <v>1</v>
      </c>
      <c r="AB284" s="358">
        <f t="shared" si="558"/>
        <v>1</v>
      </c>
      <c r="AC284" s="358">
        <f t="shared" si="559"/>
        <v>1</v>
      </c>
      <c r="AD284" s="358">
        <f t="shared" si="560"/>
        <v>1</v>
      </c>
      <c r="AE284" s="358">
        <f t="shared" si="561"/>
        <v>1</v>
      </c>
      <c r="AF284" s="358">
        <f t="shared" si="562"/>
        <v>1</v>
      </c>
      <c r="AG284" s="358">
        <f t="shared" si="563"/>
        <v>1</v>
      </c>
      <c r="AH284" s="358">
        <f t="shared" si="564"/>
        <v>1</v>
      </c>
      <c r="AI284" s="358">
        <f t="shared" si="565"/>
        <v>1</v>
      </c>
      <c r="AJ284" s="358">
        <f t="shared" si="566"/>
        <v>1</v>
      </c>
      <c r="AK284" s="358">
        <f t="shared" si="567"/>
        <v>1</v>
      </c>
      <c r="AL284" s="359">
        <f t="shared" si="568"/>
        <v>1</v>
      </c>
      <c r="AM284" s="636"/>
      <c r="AN284" s="303">
        <f t="shared" ref="AN284:BV284" si="570">$C$284*D284</f>
        <v>450</v>
      </c>
      <c r="AO284" s="304">
        <f t="shared" si="570"/>
        <v>450</v>
      </c>
      <c r="AP284" s="304">
        <f t="shared" si="570"/>
        <v>450</v>
      </c>
      <c r="AQ284" s="304">
        <f t="shared" si="570"/>
        <v>450</v>
      </c>
      <c r="AR284" s="304">
        <f t="shared" si="570"/>
        <v>450</v>
      </c>
      <c r="AS284" s="304">
        <f t="shared" si="570"/>
        <v>450</v>
      </c>
      <c r="AT284" s="304">
        <f t="shared" si="570"/>
        <v>450</v>
      </c>
      <c r="AU284" s="304">
        <f t="shared" si="570"/>
        <v>450</v>
      </c>
      <c r="AV284" s="388">
        <f t="shared" si="570"/>
        <v>450</v>
      </c>
      <c r="AW284" s="376">
        <f t="shared" si="570"/>
        <v>450</v>
      </c>
      <c r="AX284" s="376">
        <f t="shared" si="570"/>
        <v>450</v>
      </c>
      <c r="AY284" s="376">
        <f t="shared" si="570"/>
        <v>450</v>
      </c>
      <c r="AZ284" s="376">
        <f t="shared" si="570"/>
        <v>450</v>
      </c>
      <c r="BA284" s="376">
        <f t="shared" si="570"/>
        <v>450</v>
      </c>
      <c r="BB284" s="376">
        <f t="shared" si="570"/>
        <v>450</v>
      </c>
      <c r="BC284" s="376">
        <f t="shared" si="570"/>
        <v>450</v>
      </c>
      <c r="BD284" s="376">
        <f t="shared" si="570"/>
        <v>450</v>
      </c>
      <c r="BE284" s="376">
        <f t="shared" si="570"/>
        <v>450</v>
      </c>
      <c r="BF284" s="376">
        <f t="shared" si="570"/>
        <v>450</v>
      </c>
      <c r="BG284" s="376">
        <f t="shared" si="570"/>
        <v>450</v>
      </c>
      <c r="BH284" s="376">
        <f t="shared" si="570"/>
        <v>450</v>
      </c>
      <c r="BI284" s="376">
        <f t="shared" si="570"/>
        <v>450</v>
      </c>
      <c r="BJ284" s="376">
        <f t="shared" si="570"/>
        <v>450</v>
      </c>
      <c r="BK284" s="376">
        <f t="shared" si="570"/>
        <v>450</v>
      </c>
      <c r="BL284" s="376">
        <f t="shared" si="570"/>
        <v>450</v>
      </c>
      <c r="BM284" s="376">
        <f t="shared" si="570"/>
        <v>450</v>
      </c>
      <c r="BN284" s="376">
        <f t="shared" si="570"/>
        <v>450</v>
      </c>
      <c r="BO284" s="376">
        <f t="shared" si="570"/>
        <v>450</v>
      </c>
      <c r="BP284" s="376">
        <f t="shared" si="570"/>
        <v>450</v>
      </c>
      <c r="BQ284" s="376">
        <f t="shared" si="570"/>
        <v>450</v>
      </c>
      <c r="BR284" s="376">
        <f t="shared" si="570"/>
        <v>450</v>
      </c>
      <c r="BS284" s="376">
        <f t="shared" si="570"/>
        <v>450</v>
      </c>
      <c r="BT284" s="376">
        <f t="shared" si="570"/>
        <v>450</v>
      </c>
      <c r="BU284" s="376">
        <f t="shared" si="570"/>
        <v>450</v>
      </c>
      <c r="BV284" s="377">
        <f t="shared" si="570"/>
        <v>450</v>
      </c>
    </row>
    <row r="285" spans="1:74" ht="20.149999999999999" hidden="1" customHeight="1" outlineLevel="2" x14ac:dyDescent="0.25">
      <c r="A285" s="23" t="str">
        <f>'Quantidade-Cult.Perma.'!A89</f>
        <v>Fosfatado</v>
      </c>
      <c r="B285" s="126" t="str">
        <f>'Quantidade-Cult.Perma.'!B89</f>
        <v>T</v>
      </c>
      <c r="C285" s="284">
        <f>'Quantidade-Cult.Perma.'!D89</f>
        <v>2650</v>
      </c>
      <c r="D285" s="284">
        <f>'Quantidade-Cult.Perma.'!X89</f>
        <v>1</v>
      </c>
      <c r="E285" s="284">
        <f>'Quantidade-Cult.Perma.'!Y89</f>
        <v>1</v>
      </c>
      <c r="F285" s="284">
        <f>'Quantidade-Cult.Perma.'!Z89</f>
        <v>1</v>
      </c>
      <c r="G285" s="284">
        <f>'Quantidade-Cult.Perma.'!AA89</f>
        <v>1</v>
      </c>
      <c r="H285" s="284">
        <f>'Quantidade-Cult.Perma.'!AB89</f>
        <v>1</v>
      </c>
      <c r="I285" s="284">
        <f>'Quantidade-Cult.Perma.'!AC89</f>
        <v>1</v>
      </c>
      <c r="J285" s="284">
        <f>'Quantidade-Cult.Perma.'!AD89</f>
        <v>1</v>
      </c>
      <c r="K285" s="284">
        <f>'Quantidade-Cult.Perma.'!AE89</f>
        <v>1</v>
      </c>
      <c r="L285" s="358">
        <f>'Quantidade-Cult.Perma.'!AF89</f>
        <v>1</v>
      </c>
      <c r="M285" s="358">
        <f>'Quantidade-Cult.Perma.'!AG89</f>
        <v>1</v>
      </c>
      <c r="N285" s="358">
        <f>'Quantidade-Cult.Perma.'!AH89</f>
        <v>1</v>
      </c>
      <c r="O285" s="358">
        <f>'Quantidade-Cult.Perma.'!AI89</f>
        <v>1</v>
      </c>
      <c r="P285" s="358">
        <f>'Quantidade-Cult.Perma.'!AJ89</f>
        <v>1</v>
      </c>
      <c r="Q285" s="358">
        <f>'Quantidade-Cult.Perma.'!AK89</f>
        <v>1</v>
      </c>
      <c r="R285" s="358">
        <f>'Quantidade-Cult.Perma.'!AL89</f>
        <v>1</v>
      </c>
      <c r="S285" s="358">
        <f>'Quantidade-Cult.Perma.'!AM89</f>
        <v>1</v>
      </c>
      <c r="T285" s="358">
        <f>'Quantidade-Cult.Perma.'!AN89</f>
        <v>1</v>
      </c>
      <c r="U285" s="358">
        <f>'Quantidade-Cult.Perma.'!AO89</f>
        <v>1</v>
      </c>
      <c r="V285" s="358">
        <f t="shared" si="552"/>
        <v>1</v>
      </c>
      <c r="W285" s="358">
        <f t="shared" si="553"/>
        <v>1</v>
      </c>
      <c r="X285" s="358">
        <f t="shared" si="554"/>
        <v>1</v>
      </c>
      <c r="Y285" s="358">
        <f t="shared" si="555"/>
        <v>1</v>
      </c>
      <c r="Z285" s="358">
        <f t="shared" si="556"/>
        <v>1</v>
      </c>
      <c r="AA285" s="358">
        <f t="shared" si="557"/>
        <v>1</v>
      </c>
      <c r="AB285" s="358">
        <f t="shared" si="558"/>
        <v>1</v>
      </c>
      <c r="AC285" s="358">
        <f t="shared" si="559"/>
        <v>1</v>
      </c>
      <c r="AD285" s="358">
        <f t="shared" si="560"/>
        <v>1</v>
      </c>
      <c r="AE285" s="358">
        <f t="shared" si="561"/>
        <v>1</v>
      </c>
      <c r="AF285" s="358">
        <f t="shared" si="562"/>
        <v>1</v>
      </c>
      <c r="AG285" s="358">
        <f t="shared" si="563"/>
        <v>1</v>
      </c>
      <c r="AH285" s="358">
        <f t="shared" si="564"/>
        <v>1</v>
      </c>
      <c r="AI285" s="358">
        <f t="shared" si="565"/>
        <v>1</v>
      </c>
      <c r="AJ285" s="358">
        <f t="shared" si="566"/>
        <v>1</v>
      </c>
      <c r="AK285" s="358">
        <f t="shared" si="567"/>
        <v>1</v>
      </c>
      <c r="AL285" s="359">
        <f t="shared" si="568"/>
        <v>1</v>
      </c>
      <c r="AM285" s="636"/>
      <c r="AN285" s="303">
        <f t="shared" ref="AN285:BV285" si="571">$C$285*D285</f>
        <v>2650</v>
      </c>
      <c r="AO285" s="304">
        <f t="shared" si="571"/>
        <v>2650</v>
      </c>
      <c r="AP285" s="304">
        <f t="shared" si="571"/>
        <v>2650</v>
      </c>
      <c r="AQ285" s="304">
        <f t="shared" si="571"/>
        <v>2650</v>
      </c>
      <c r="AR285" s="304">
        <f t="shared" si="571"/>
        <v>2650</v>
      </c>
      <c r="AS285" s="304">
        <f t="shared" si="571"/>
        <v>2650</v>
      </c>
      <c r="AT285" s="304">
        <f t="shared" si="571"/>
        <v>2650</v>
      </c>
      <c r="AU285" s="304">
        <f t="shared" si="571"/>
        <v>2650</v>
      </c>
      <c r="AV285" s="388">
        <f t="shared" si="571"/>
        <v>2650</v>
      </c>
      <c r="AW285" s="376">
        <f t="shared" si="571"/>
        <v>2650</v>
      </c>
      <c r="AX285" s="376">
        <f t="shared" si="571"/>
        <v>2650</v>
      </c>
      <c r="AY285" s="376">
        <f t="shared" si="571"/>
        <v>2650</v>
      </c>
      <c r="AZ285" s="376">
        <f t="shared" si="571"/>
        <v>2650</v>
      </c>
      <c r="BA285" s="376">
        <f t="shared" si="571"/>
        <v>2650</v>
      </c>
      <c r="BB285" s="376">
        <f t="shared" si="571"/>
        <v>2650</v>
      </c>
      <c r="BC285" s="376">
        <f t="shared" si="571"/>
        <v>2650</v>
      </c>
      <c r="BD285" s="376">
        <f t="shared" si="571"/>
        <v>2650</v>
      </c>
      <c r="BE285" s="376">
        <f t="shared" si="571"/>
        <v>2650</v>
      </c>
      <c r="BF285" s="376">
        <f t="shared" si="571"/>
        <v>2650</v>
      </c>
      <c r="BG285" s="376">
        <f t="shared" si="571"/>
        <v>2650</v>
      </c>
      <c r="BH285" s="376">
        <f t="shared" si="571"/>
        <v>2650</v>
      </c>
      <c r="BI285" s="376">
        <f t="shared" si="571"/>
        <v>2650</v>
      </c>
      <c r="BJ285" s="376">
        <f t="shared" si="571"/>
        <v>2650</v>
      </c>
      <c r="BK285" s="376">
        <f t="shared" si="571"/>
        <v>2650</v>
      </c>
      <c r="BL285" s="376">
        <f t="shared" si="571"/>
        <v>2650</v>
      </c>
      <c r="BM285" s="376">
        <f t="shared" si="571"/>
        <v>2650</v>
      </c>
      <c r="BN285" s="376">
        <f t="shared" si="571"/>
        <v>2650</v>
      </c>
      <c r="BO285" s="376">
        <f t="shared" si="571"/>
        <v>2650</v>
      </c>
      <c r="BP285" s="376">
        <f t="shared" si="571"/>
        <v>2650</v>
      </c>
      <c r="BQ285" s="376">
        <f t="shared" si="571"/>
        <v>2650</v>
      </c>
      <c r="BR285" s="376">
        <f t="shared" si="571"/>
        <v>2650</v>
      </c>
      <c r="BS285" s="376">
        <f t="shared" si="571"/>
        <v>2650</v>
      </c>
      <c r="BT285" s="376">
        <f t="shared" si="571"/>
        <v>2650</v>
      </c>
      <c r="BU285" s="376">
        <f t="shared" si="571"/>
        <v>2650</v>
      </c>
      <c r="BV285" s="377">
        <f t="shared" si="571"/>
        <v>2650</v>
      </c>
    </row>
    <row r="286" spans="1:74" ht="20.149999999999999" hidden="1" customHeight="1" outlineLevel="2" x14ac:dyDescent="0.25">
      <c r="A286" s="23" t="str">
        <f>'Quantidade-Cult.Perma.'!A90</f>
        <v>Foliar Completo</v>
      </c>
      <c r="B286" s="126" t="str">
        <f>'Quantidade-Cult.Perma.'!B90</f>
        <v>L</v>
      </c>
      <c r="C286" s="284">
        <f>'Quantidade-Cult.Perma.'!D90</f>
        <v>25</v>
      </c>
      <c r="D286" s="284">
        <f>'Quantidade-Cult.Perma.'!X90</f>
        <v>3</v>
      </c>
      <c r="E286" s="284">
        <f>'Quantidade-Cult.Perma.'!Y90</f>
        <v>12</v>
      </c>
      <c r="F286" s="284">
        <f>'Quantidade-Cult.Perma.'!Z90</f>
        <v>18</v>
      </c>
      <c r="G286" s="284">
        <f>'Quantidade-Cult.Perma.'!AA90</f>
        <v>32</v>
      </c>
      <c r="H286" s="284">
        <f>'Quantidade-Cult.Perma.'!AB90</f>
        <v>84</v>
      </c>
      <c r="I286" s="284">
        <f>'Quantidade-Cult.Perma.'!AC90</f>
        <v>112</v>
      </c>
      <c r="J286" s="284">
        <f>'Quantidade-Cult.Perma.'!AD90</f>
        <v>112</v>
      </c>
      <c r="K286" s="284">
        <f>'Quantidade-Cult.Perma.'!AE90</f>
        <v>112</v>
      </c>
      <c r="L286" s="358">
        <f>'Quantidade-Cult.Perma.'!AF90</f>
        <v>112</v>
      </c>
      <c r="M286" s="358">
        <f>'Quantidade-Cult.Perma.'!AG90</f>
        <v>112</v>
      </c>
      <c r="N286" s="358">
        <f>'Quantidade-Cult.Perma.'!AH90</f>
        <v>112</v>
      </c>
      <c r="O286" s="358">
        <f>'Quantidade-Cult.Perma.'!AI90</f>
        <v>112</v>
      </c>
      <c r="P286" s="358">
        <f>'Quantidade-Cult.Perma.'!AJ90</f>
        <v>112</v>
      </c>
      <c r="Q286" s="358">
        <f>'Quantidade-Cult.Perma.'!AK90</f>
        <v>112</v>
      </c>
      <c r="R286" s="358">
        <f>'Quantidade-Cult.Perma.'!AL90</f>
        <v>112</v>
      </c>
      <c r="S286" s="358">
        <f>'Quantidade-Cult.Perma.'!AM90</f>
        <v>112</v>
      </c>
      <c r="T286" s="358">
        <f>'Quantidade-Cult.Perma.'!AN90</f>
        <v>112</v>
      </c>
      <c r="U286" s="358">
        <f>'Quantidade-Cult.Perma.'!AO90</f>
        <v>112</v>
      </c>
      <c r="V286" s="358">
        <f t="shared" si="552"/>
        <v>3</v>
      </c>
      <c r="W286" s="358">
        <f t="shared" si="553"/>
        <v>12</v>
      </c>
      <c r="X286" s="358">
        <f t="shared" si="554"/>
        <v>18</v>
      </c>
      <c r="Y286" s="358">
        <f t="shared" si="555"/>
        <v>32</v>
      </c>
      <c r="Z286" s="358">
        <f t="shared" si="556"/>
        <v>84</v>
      </c>
      <c r="AA286" s="358">
        <f t="shared" si="557"/>
        <v>112</v>
      </c>
      <c r="AB286" s="358">
        <f t="shared" si="558"/>
        <v>112</v>
      </c>
      <c r="AC286" s="358">
        <f t="shared" si="559"/>
        <v>112</v>
      </c>
      <c r="AD286" s="358">
        <f t="shared" si="560"/>
        <v>112</v>
      </c>
      <c r="AE286" s="358">
        <f t="shared" si="561"/>
        <v>112</v>
      </c>
      <c r="AF286" s="358">
        <f t="shared" si="562"/>
        <v>112</v>
      </c>
      <c r="AG286" s="358">
        <f t="shared" si="563"/>
        <v>112</v>
      </c>
      <c r="AH286" s="358">
        <f t="shared" si="564"/>
        <v>112</v>
      </c>
      <c r="AI286" s="358">
        <f t="shared" si="565"/>
        <v>112</v>
      </c>
      <c r="AJ286" s="358">
        <f t="shared" si="566"/>
        <v>112</v>
      </c>
      <c r="AK286" s="358">
        <f t="shared" si="567"/>
        <v>112</v>
      </c>
      <c r="AL286" s="359">
        <f t="shared" si="568"/>
        <v>112</v>
      </c>
      <c r="AM286" s="636"/>
      <c r="AN286" s="303">
        <f t="shared" ref="AN286:BV286" si="572">$C$286*D286</f>
        <v>75</v>
      </c>
      <c r="AO286" s="304">
        <f t="shared" si="572"/>
        <v>300</v>
      </c>
      <c r="AP286" s="304">
        <f t="shared" si="572"/>
        <v>450</v>
      </c>
      <c r="AQ286" s="304">
        <f t="shared" si="572"/>
        <v>800</v>
      </c>
      <c r="AR286" s="304">
        <f t="shared" si="572"/>
        <v>2100</v>
      </c>
      <c r="AS286" s="304">
        <f t="shared" si="572"/>
        <v>2800</v>
      </c>
      <c r="AT286" s="304">
        <f t="shared" si="572"/>
        <v>2800</v>
      </c>
      <c r="AU286" s="304">
        <f t="shared" si="572"/>
        <v>2800</v>
      </c>
      <c r="AV286" s="388">
        <f t="shared" si="572"/>
        <v>2800</v>
      </c>
      <c r="AW286" s="376">
        <f t="shared" si="572"/>
        <v>2800</v>
      </c>
      <c r="AX286" s="376">
        <f t="shared" si="572"/>
        <v>2800</v>
      </c>
      <c r="AY286" s="376">
        <f t="shared" si="572"/>
        <v>2800</v>
      </c>
      <c r="AZ286" s="376">
        <f t="shared" si="572"/>
        <v>2800</v>
      </c>
      <c r="BA286" s="376">
        <f t="shared" si="572"/>
        <v>2800</v>
      </c>
      <c r="BB286" s="376">
        <f t="shared" si="572"/>
        <v>2800</v>
      </c>
      <c r="BC286" s="376">
        <f t="shared" si="572"/>
        <v>2800</v>
      </c>
      <c r="BD286" s="376">
        <f t="shared" si="572"/>
        <v>2800</v>
      </c>
      <c r="BE286" s="376">
        <f t="shared" si="572"/>
        <v>2800</v>
      </c>
      <c r="BF286" s="376">
        <f t="shared" si="572"/>
        <v>75</v>
      </c>
      <c r="BG286" s="376">
        <f t="shared" si="572"/>
        <v>300</v>
      </c>
      <c r="BH286" s="376">
        <f t="shared" si="572"/>
        <v>450</v>
      </c>
      <c r="BI286" s="376">
        <f t="shared" si="572"/>
        <v>800</v>
      </c>
      <c r="BJ286" s="376">
        <f t="shared" si="572"/>
        <v>2100</v>
      </c>
      <c r="BK286" s="376">
        <f t="shared" si="572"/>
        <v>2800</v>
      </c>
      <c r="BL286" s="376">
        <f t="shared" si="572"/>
        <v>2800</v>
      </c>
      <c r="BM286" s="376">
        <f t="shared" si="572"/>
        <v>2800</v>
      </c>
      <c r="BN286" s="376">
        <f t="shared" si="572"/>
        <v>2800</v>
      </c>
      <c r="BO286" s="376">
        <f t="shared" si="572"/>
        <v>2800</v>
      </c>
      <c r="BP286" s="376">
        <f t="shared" si="572"/>
        <v>2800</v>
      </c>
      <c r="BQ286" s="376">
        <f t="shared" si="572"/>
        <v>2800</v>
      </c>
      <c r="BR286" s="376">
        <f t="shared" si="572"/>
        <v>2800</v>
      </c>
      <c r="BS286" s="376">
        <f t="shared" si="572"/>
        <v>2800</v>
      </c>
      <c r="BT286" s="376">
        <f t="shared" si="572"/>
        <v>2800</v>
      </c>
      <c r="BU286" s="376">
        <f t="shared" si="572"/>
        <v>2800</v>
      </c>
      <c r="BV286" s="377">
        <f t="shared" si="572"/>
        <v>2800</v>
      </c>
    </row>
    <row r="287" spans="1:74" ht="20.149999999999999" hidden="1" customHeight="1" outlineLevel="2" x14ac:dyDescent="0.25">
      <c r="A287" s="23" t="str">
        <f>'Quantidade-Cult.Perma.'!A91</f>
        <v>KCL</v>
      </c>
      <c r="B287" s="126" t="str">
        <f>'Quantidade-Cult.Perma.'!B91</f>
        <v>T</v>
      </c>
      <c r="C287" s="284">
        <f>'Quantidade-Cult.Perma.'!D91</f>
        <v>2700</v>
      </c>
      <c r="D287" s="284">
        <f>'Quantidade-Cult.Perma.'!X91</f>
        <v>6.3E-2</v>
      </c>
      <c r="E287" s="284">
        <f>'Quantidade-Cult.Perma.'!Y91</f>
        <v>0.126</v>
      </c>
      <c r="F287" s="284">
        <f>'Quantidade-Cult.Perma.'!Z91</f>
        <v>0.16800000000000001</v>
      </c>
      <c r="G287" s="284">
        <f>'Quantidade-Cult.Perma.'!AA91</f>
        <v>0.252</v>
      </c>
      <c r="H287" s="284">
        <f>'Quantidade-Cult.Perma.'!AB91</f>
        <v>0.378</v>
      </c>
      <c r="I287" s="284">
        <f>'Quantidade-Cult.Perma.'!AC91</f>
        <v>0.42</v>
      </c>
      <c r="J287" s="284">
        <f>'Quantidade-Cult.Perma.'!AD91</f>
        <v>0.42</v>
      </c>
      <c r="K287" s="284">
        <f>'Quantidade-Cult.Perma.'!AE91</f>
        <v>0.42</v>
      </c>
      <c r="L287" s="358">
        <f>'Quantidade-Cult.Perma.'!AF91</f>
        <v>0.42</v>
      </c>
      <c r="M287" s="358">
        <f>'Quantidade-Cult.Perma.'!AG91</f>
        <v>0.42</v>
      </c>
      <c r="N287" s="358">
        <f>'Quantidade-Cult.Perma.'!AH91</f>
        <v>0.42</v>
      </c>
      <c r="O287" s="358">
        <f>'Quantidade-Cult.Perma.'!AI91</f>
        <v>0.42</v>
      </c>
      <c r="P287" s="358">
        <f>'Quantidade-Cult.Perma.'!AJ91</f>
        <v>0.42</v>
      </c>
      <c r="Q287" s="358">
        <f>'Quantidade-Cult.Perma.'!AK91</f>
        <v>0.42</v>
      </c>
      <c r="R287" s="358">
        <f>'Quantidade-Cult.Perma.'!AL91</f>
        <v>0.42</v>
      </c>
      <c r="S287" s="358">
        <f>'Quantidade-Cult.Perma.'!AM91</f>
        <v>0.42</v>
      </c>
      <c r="T287" s="358">
        <f>'Quantidade-Cult.Perma.'!AN91</f>
        <v>0.42</v>
      </c>
      <c r="U287" s="358">
        <f>'Quantidade-Cult.Perma.'!AO91</f>
        <v>0.42</v>
      </c>
      <c r="V287" s="358">
        <f t="shared" si="552"/>
        <v>6.3E-2</v>
      </c>
      <c r="W287" s="358">
        <f t="shared" si="553"/>
        <v>0.126</v>
      </c>
      <c r="X287" s="358">
        <f t="shared" si="554"/>
        <v>0.16800000000000001</v>
      </c>
      <c r="Y287" s="358">
        <f t="shared" si="555"/>
        <v>0.252</v>
      </c>
      <c r="Z287" s="358">
        <f t="shared" si="556"/>
        <v>0.378</v>
      </c>
      <c r="AA287" s="358">
        <f t="shared" si="557"/>
        <v>0.42</v>
      </c>
      <c r="AB287" s="358">
        <f t="shared" si="558"/>
        <v>0.42</v>
      </c>
      <c r="AC287" s="358">
        <f t="shared" si="559"/>
        <v>0.42</v>
      </c>
      <c r="AD287" s="358">
        <f t="shared" si="560"/>
        <v>0.42</v>
      </c>
      <c r="AE287" s="358">
        <f t="shared" si="561"/>
        <v>0.42</v>
      </c>
      <c r="AF287" s="358">
        <f t="shared" si="562"/>
        <v>0.42</v>
      </c>
      <c r="AG287" s="358">
        <f t="shared" si="563"/>
        <v>0.42</v>
      </c>
      <c r="AH287" s="358">
        <f t="shared" si="564"/>
        <v>0.42</v>
      </c>
      <c r="AI287" s="358">
        <f t="shared" si="565"/>
        <v>0.42</v>
      </c>
      <c r="AJ287" s="358">
        <f t="shared" si="566"/>
        <v>0.42</v>
      </c>
      <c r="AK287" s="358">
        <f t="shared" si="567"/>
        <v>0.42</v>
      </c>
      <c r="AL287" s="359">
        <f t="shared" si="568"/>
        <v>0.42</v>
      </c>
      <c r="AM287" s="636"/>
      <c r="AN287" s="303">
        <f t="shared" ref="AN287:BV287" si="573">$C$287*D287</f>
        <v>170.1</v>
      </c>
      <c r="AO287" s="304">
        <f t="shared" si="573"/>
        <v>340.2</v>
      </c>
      <c r="AP287" s="304">
        <f t="shared" si="573"/>
        <v>453.6</v>
      </c>
      <c r="AQ287" s="304">
        <f t="shared" si="573"/>
        <v>680.4</v>
      </c>
      <c r="AR287" s="304">
        <f t="shared" si="573"/>
        <v>1020.6</v>
      </c>
      <c r="AS287" s="304">
        <f t="shared" si="573"/>
        <v>1134</v>
      </c>
      <c r="AT287" s="304">
        <f t="shared" si="573"/>
        <v>1134</v>
      </c>
      <c r="AU287" s="304">
        <f t="shared" si="573"/>
        <v>1134</v>
      </c>
      <c r="AV287" s="388">
        <f t="shared" si="573"/>
        <v>1134</v>
      </c>
      <c r="AW287" s="376">
        <f t="shared" si="573"/>
        <v>1134</v>
      </c>
      <c r="AX287" s="376">
        <f t="shared" si="573"/>
        <v>1134</v>
      </c>
      <c r="AY287" s="376">
        <f t="shared" si="573"/>
        <v>1134</v>
      </c>
      <c r="AZ287" s="376">
        <f t="shared" si="573"/>
        <v>1134</v>
      </c>
      <c r="BA287" s="376">
        <f t="shared" si="573"/>
        <v>1134</v>
      </c>
      <c r="BB287" s="376">
        <f t="shared" si="573"/>
        <v>1134</v>
      </c>
      <c r="BC287" s="376">
        <f t="shared" si="573"/>
        <v>1134</v>
      </c>
      <c r="BD287" s="376">
        <f t="shared" si="573"/>
        <v>1134</v>
      </c>
      <c r="BE287" s="376">
        <f t="shared" si="573"/>
        <v>1134</v>
      </c>
      <c r="BF287" s="376">
        <f t="shared" si="573"/>
        <v>170.1</v>
      </c>
      <c r="BG287" s="376">
        <f t="shared" si="573"/>
        <v>340.2</v>
      </c>
      <c r="BH287" s="376">
        <f t="shared" si="573"/>
        <v>453.6</v>
      </c>
      <c r="BI287" s="376">
        <f t="shared" si="573"/>
        <v>680.4</v>
      </c>
      <c r="BJ287" s="376">
        <f t="shared" si="573"/>
        <v>1020.6</v>
      </c>
      <c r="BK287" s="376">
        <f t="shared" si="573"/>
        <v>1134</v>
      </c>
      <c r="BL287" s="376">
        <f t="shared" si="573"/>
        <v>1134</v>
      </c>
      <c r="BM287" s="376">
        <f t="shared" si="573"/>
        <v>1134</v>
      </c>
      <c r="BN287" s="376">
        <f t="shared" si="573"/>
        <v>1134</v>
      </c>
      <c r="BO287" s="376">
        <f t="shared" si="573"/>
        <v>1134</v>
      </c>
      <c r="BP287" s="376">
        <f t="shared" si="573"/>
        <v>1134</v>
      </c>
      <c r="BQ287" s="376">
        <f t="shared" si="573"/>
        <v>1134</v>
      </c>
      <c r="BR287" s="376">
        <f t="shared" si="573"/>
        <v>1134</v>
      </c>
      <c r="BS287" s="376">
        <f t="shared" si="573"/>
        <v>1134</v>
      </c>
      <c r="BT287" s="376">
        <f t="shared" si="573"/>
        <v>1134</v>
      </c>
      <c r="BU287" s="376">
        <f t="shared" si="573"/>
        <v>1134</v>
      </c>
      <c r="BV287" s="377">
        <f t="shared" si="573"/>
        <v>1134</v>
      </c>
    </row>
    <row r="288" spans="1:74" ht="20.149999999999999" hidden="1" customHeight="1" outlineLevel="2" x14ac:dyDescent="0.25">
      <c r="A288" s="23" t="str">
        <f>'Quantidade-Cult.Perma.'!A92</f>
        <v>Nitrato de Cálcio</v>
      </c>
      <c r="B288" s="126" t="str">
        <f>'Quantidade-Cult.Perma.'!B92</f>
        <v>KG</v>
      </c>
      <c r="C288" s="284">
        <f>'Quantidade-Cult.Perma.'!D92</f>
        <v>2.8</v>
      </c>
      <c r="D288" s="284">
        <f>'Quantidade-Cult.Perma.'!X92</f>
        <v>0</v>
      </c>
      <c r="E288" s="284">
        <f>'Quantidade-Cult.Perma.'!Y92</f>
        <v>0</v>
      </c>
      <c r="F288" s="284">
        <f>'Quantidade-Cult.Perma.'!Z92</f>
        <v>150</v>
      </c>
      <c r="G288" s="284">
        <f>'Quantidade-Cult.Perma.'!AA92</f>
        <v>150</v>
      </c>
      <c r="H288" s="284">
        <f>'Quantidade-Cult.Perma.'!AB92</f>
        <v>200</v>
      </c>
      <c r="I288" s="284">
        <f>'Quantidade-Cult.Perma.'!AC92</f>
        <v>200</v>
      </c>
      <c r="J288" s="284">
        <f>'Quantidade-Cult.Perma.'!AD92</f>
        <v>200</v>
      </c>
      <c r="K288" s="284">
        <f>'Quantidade-Cult.Perma.'!AE92</f>
        <v>200</v>
      </c>
      <c r="L288" s="358">
        <f>'Quantidade-Cult.Perma.'!AF92</f>
        <v>200</v>
      </c>
      <c r="M288" s="358">
        <f>'Quantidade-Cult.Perma.'!AG92</f>
        <v>200</v>
      </c>
      <c r="N288" s="358">
        <f>'Quantidade-Cult.Perma.'!AH92</f>
        <v>200</v>
      </c>
      <c r="O288" s="358">
        <f>'Quantidade-Cult.Perma.'!AI92</f>
        <v>200</v>
      </c>
      <c r="P288" s="358">
        <f>'Quantidade-Cult.Perma.'!AJ92</f>
        <v>200</v>
      </c>
      <c r="Q288" s="358">
        <f>'Quantidade-Cult.Perma.'!AK92</f>
        <v>200</v>
      </c>
      <c r="R288" s="358">
        <f>'Quantidade-Cult.Perma.'!AL92</f>
        <v>200</v>
      </c>
      <c r="S288" s="358">
        <f>'Quantidade-Cult.Perma.'!AM92</f>
        <v>200</v>
      </c>
      <c r="T288" s="358">
        <f>'Quantidade-Cult.Perma.'!AN92</f>
        <v>200</v>
      </c>
      <c r="U288" s="358">
        <f>'Quantidade-Cult.Perma.'!AO92</f>
        <v>200</v>
      </c>
      <c r="V288" s="358">
        <f t="shared" si="552"/>
        <v>0</v>
      </c>
      <c r="W288" s="358">
        <f t="shared" si="553"/>
        <v>0</v>
      </c>
      <c r="X288" s="358">
        <f t="shared" si="554"/>
        <v>150</v>
      </c>
      <c r="Y288" s="358">
        <f t="shared" si="555"/>
        <v>150</v>
      </c>
      <c r="Z288" s="358">
        <f t="shared" si="556"/>
        <v>200</v>
      </c>
      <c r="AA288" s="358">
        <f t="shared" si="557"/>
        <v>200</v>
      </c>
      <c r="AB288" s="358">
        <f t="shared" si="558"/>
        <v>200</v>
      </c>
      <c r="AC288" s="358">
        <f t="shared" si="559"/>
        <v>200</v>
      </c>
      <c r="AD288" s="358">
        <f t="shared" si="560"/>
        <v>200</v>
      </c>
      <c r="AE288" s="358">
        <f t="shared" si="561"/>
        <v>200</v>
      </c>
      <c r="AF288" s="358">
        <f t="shared" si="562"/>
        <v>200</v>
      </c>
      <c r="AG288" s="358">
        <f t="shared" si="563"/>
        <v>200</v>
      </c>
      <c r="AH288" s="358">
        <f t="shared" si="564"/>
        <v>200</v>
      </c>
      <c r="AI288" s="358">
        <f t="shared" si="565"/>
        <v>200</v>
      </c>
      <c r="AJ288" s="358">
        <f t="shared" si="566"/>
        <v>200</v>
      </c>
      <c r="AK288" s="358">
        <f t="shared" si="567"/>
        <v>200</v>
      </c>
      <c r="AL288" s="359">
        <f t="shared" si="568"/>
        <v>200</v>
      </c>
      <c r="AM288" s="636"/>
      <c r="AN288" s="303">
        <f t="shared" ref="AN288:BV288" si="574">$C$288*D288</f>
        <v>0</v>
      </c>
      <c r="AO288" s="304">
        <f t="shared" si="574"/>
        <v>0</v>
      </c>
      <c r="AP288" s="304">
        <f t="shared" si="574"/>
        <v>420</v>
      </c>
      <c r="AQ288" s="304">
        <f t="shared" si="574"/>
        <v>420</v>
      </c>
      <c r="AR288" s="304">
        <f t="shared" si="574"/>
        <v>560</v>
      </c>
      <c r="AS288" s="304">
        <f t="shared" si="574"/>
        <v>560</v>
      </c>
      <c r="AT288" s="304">
        <f t="shared" si="574"/>
        <v>560</v>
      </c>
      <c r="AU288" s="304">
        <f t="shared" si="574"/>
        <v>560</v>
      </c>
      <c r="AV288" s="388">
        <f t="shared" si="574"/>
        <v>560</v>
      </c>
      <c r="AW288" s="376">
        <f t="shared" si="574"/>
        <v>560</v>
      </c>
      <c r="AX288" s="376">
        <f t="shared" si="574"/>
        <v>560</v>
      </c>
      <c r="AY288" s="376">
        <f t="shared" si="574"/>
        <v>560</v>
      </c>
      <c r="AZ288" s="376">
        <f t="shared" si="574"/>
        <v>560</v>
      </c>
      <c r="BA288" s="376">
        <f t="shared" si="574"/>
        <v>560</v>
      </c>
      <c r="BB288" s="376">
        <f t="shared" si="574"/>
        <v>560</v>
      </c>
      <c r="BC288" s="376">
        <f t="shared" si="574"/>
        <v>560</v>
      </c>
      <c r="BD288" s="376">
        <f t="shared" si="574"/>
        <v>560</v>
      </c>
      <c r="BE288" s="376">
        <f t="shared" si="574"/>
        <v>560</v>
      </c>
      <c r="BF288" s="376">
        <f t="shared" si="574"/>
        <v>0</v>
      </c>
      <c r="BG288" s="376">
        <f t="shared" si="574"/>
        <v>0</v>
      </c>
      <c r="BH288" s="376">
        <f t="shared" si="574"/>
        <v>420</v>
      </c>
      <c r="BI288" s="376">
        <f t="shared" si="574"/>
        <v>420</v>
      </c>
      <c r="BJ288" s="376">
        <f t="shared" si="574"/>
        <v>560</v>
      </c>
      <c r="BK288" s="376">
        <f t="shared" si="574"/>
        <v>560</v>
      </c>
      <c r="BL288" s="376">
        <f t="shared" si="574"/>
        <v>560</v>
      </c>
      <c r="BM288" s="376">
        <f t="shared" si="574"/>
        <v>560</v>
      </c>
      <c r="BN288" s="376">
        <f t="shared" si="574"/>
        <v>560</v>
      </c>
      <c r="BO288" s="376">
        <f t="shared" si="574"/>
        <v>560</v>
      </c>
      <c r="BP288" s="376">
        <f t="shared" si="574"/>
        <v>560</v>
      </c>
      <c r="BQ288" s="376">
        <f t="shared" si="574"/>
        <v>560</v>
      </c>
      <c r="BR288" s="376">
        <f t="shared" si="574"/>
        <v>560</v>
      </c>
      <c r="BS288" s="376">
        <f t="shared" si="574"/>
        <v>560</v>
      </c>
      <c r="BT288" s="376">
        <f t="shared" si="574"/>
        <v>560</v>
      </c>
      <c r="BU288" s="376">
        <f t="shared" si="574"/>
        <v>560</v>
      </c>
      <c r="BV288" s="377">
        <f t="shared" si="574"/>
        <v>560</v>
      </c>
    </row>
    <row r="289" spans="1:74" ht="20.149999999999999" hidden="1" customHeight="1" outlineLevel="2" x14ac:dyDescent="0.25">
      <c r="A289" s="23" t="str">
        <f>'Quantidade-Cult.Perma.'!A93</f>
        <v>Nitrato de Potássio</v>
      </c>
      <c r="B289" s="126" t="str">
        <f>'Quantidade-Cult.Perma.'!B93</f>
        <v>KG</v>
      </c>
      <c r="C289" s="284">
        <f>'Quantidade-Cult.Perma.'!D93</f>
        <v>8.9</v>
      </c>
      <c r="D289" s="284">
        <f>'Quantidade-Cult.Perma.'!X93</f>
        <v>0</v>
      </c>
      <c r="E289" s="284">
        <f>'Quantidade-Cult.Perma.'!Y93</f>
        <v>0</v>
      </c>
      <c r="F289" s="284">
        <f>'Quantidade-Cult.Perma.'!Z93</f>
        <v>180</v>
      </c>
      <c r="G289" s="284">
        <f>'Quantidade-Cult.Perma.'!AA93</f>
        <v>180</v>
      </c>
      <c r="H289" s="284">
        <f>'Quantidade-Cult.Perma.'!AB93</f>
        <v>250</v>
      </c>
      <c r="I289" s="284">
        <f>'Quantidade-Cult.Perma.'!AC93</f>
        <v>300</v>
      </c>
      <c r="J289" s="284">
        <f>'Quantidade-Cult.Perma.'!AD93</f>
        <v>300</v>
      </c>
      <c r="K289" s="284">
        <f>'Quantidade-Cult.Perma.'!AE93</f>
        <v>300</v>
      </c>
      <c r="L289" s="358">
        <f>'Quantidade-Cult.Perma.'!AF93</f>
        <v>300</v>
      </c>
      <c r="M289" s="358">
        <f>'Quantidade-Cult.Perma.'!AG93</f>
        <v>300</v>
      </c>
      <c r="N289" s="358">
        <f>'Quantidade-Cult.Perma.'!AH93</f>
        <v>300</v>
      </c>
      <c r="O289" s="358">
        <f>'Quantidade-Cult.Perma.'!AI93</f>
        <v>300</v>
      </c>
      <c r="P289" s="358">
        <f>'Quantidade-Cult.Perma.'!AJ93</f>
        <v>300</v>
      </c>
      <c r="Q289" s="358">
        <f>'Quantidade-Cult.Perma.'!AK93</f>
        <v>300</v>
      </c>
      <c r="R289" s="358">
        <f>'Quantidade-Cult.Perma.'!AL93</f>
        <v>300</v>
      </c>
      <c r="S289" s="358">
        <f>'Quantidade-Cult.Perma.'!AM93</f>
        <v>300</v>
      </c>
      <c r="T289" s="358">
        <f>'Quantidade-Cult.Perma.'!AN93</f>
        <v>300</v>
      </c>
      <c r="U289" s="358">
        <f>'Quantidade-Cult.Perma.'!AO93</f>
        <v>300</v>
      </c>
      <c r="V289" s="358">
        <f t="shared" si="552"/>
        <v>0</v>
      </c>
      <c r="W289" s="358">
        <f t="shared" si="553"/>
        <v>0</v>
      </c>
      <c r="X289" s="358">
        <f t="shared" si="554"/>
        <v>180</v>
      </c>
      <c r="Y289" s="358">
        <f t="shared" si="555"/>
        <v>180</v>
      </c>
      <c r="Z289" s="358">
        <f t="shared" si="556"/>
        <v>250</v>
      </c>
      <c r="AA289" s="358">
        <f t="shared" si="557"/>
        <v>300</v>
      </c>
      <c r="AB289" s="358">
        <f t="shared" si="558"/>
        <v>300</v>
      </c>
      <c r="AC289" s="358">
        <f t="shared" si="559"/>
        <v>300</v>
      </c>
      <c r="AD289" s="358">
        <f t="shared" si="560"/>
        <v>300</v>
      </c>
      <c r="AE289" s="358">
        <f t="shared" si="561"/>
        <v>300</v>
      </c>
      <c r="AF289" s="358">
        <f t="shared" si="562"/>
        <v>300</v>
      </c>
      <c r="AG289" s="358">
        <f t="shared" si="563"/>
        <v>300</v>
      </c>
      <c r="AH289" s="358">
        <f t="shared" si="564"/>
        <v>300</v>
      </c>
      <c r="AI289" s="358">
        <f t="shared" si="565"/>
        <v>300</v>
      </c>
      <c r="AJ289" s="358">
        <f t="shared" si="566"/>
        <v>300</v>
      </c>
      <c r="AK289" s="358">
        <f t="shared" si="567"/>
        <v>300</v>
      </c>
      <c r="AL289" s="359">
        <f t="shared" si="568"/>
        <v>300</v>
      </c>
      <c r="AM289" s="636"/>
      <c r="AN289" s="303">
        <f t="shared" ref="AN289:BV289" si="575">$C$289*D289</f>
        <v>0</v>
      </c>
      <c r="AO289" s="304">
        <f t="shared" si="575"/>
        <v>0</v>
      </c>
      <c r="AP289" s="304">
        <f t="shared" si="575"/>
        <v>1602</v>
      </c>
      <c r="AQ289" s="304">
        <f t="shared" si="575"/>
        <v>1602</v>
      </c>
      <c r="AR289" s="304">
        <f t="shared" si="575"/>
        <v>2225</v>
      </c>
      <c r="AS289" s="304">
        <f t="shared" si="575"/>
        <v>2670</v>
      </c>
      <c r="AT289" s="304">
        <f t="shared" si="575"/>
        <v>2670</v>
      </c>
      <c r="AU289" s="304">
        <f t="shared" si="575"/>
        <v>2670</v>
      </c>
      <c r="AV289" s="388">
        <f t="shared" si="575"/>
        <v>2670</v>
      </c>
      <c r="AW289" s="376">
        <f t="shared" si="575"/>
        <v>2670</v>
      </c>
      <c r="AX289" s="376">
        <f t="shared" si="575"/>
        <v>2670</v>
      </c>
      <c r="AY289" s="376">
        <f t="shared" si="575"/>
        <v>2670</v>
      </c>
      <c r="AZ289" s="376">
        <f t="shared" si="575"/>
        <v>2670</v>
      </c>
      <c r="BA289" s="376">
        <f t="shared" si="575"/>
        <v>2670</v>
      </c>
      <c r="BB289" s="376">
        <f t="shared" si="575"/>
        <v>2670</v>
      </c>
      <c r="BC289" s="376">
        <f t="shared" si="575"/>
        <v>2670</v>
      </c>
      <c r="BD289" s="376">
        <f t="shared" si="575"/>
        <v>2670</v>
      </c>
      <c r="BE289" s="376">
        <f t="shared" si="575"/>
        <v>2670</v>
      </c>
      <c r="BF289" s="376">
        <f t="shared" si="575"/>
        <v>0</v>
      </c>
      <c r="BG289" s="376">
        <f t="shared" si="575"/>
        <v>0</v>
      </c>
      <c r="BH289" s="376">
        <f t="shared" si="575"/>
        <v>1602</v>
      </c>
      <c r="BI289" s="376">
        <f t="shared" si="575"/>
        <v>1602</v>
      </c>
      <c r="BJ289" s="376">
        <f t="shared" si="575"/>
        <v>2225</v>
      </c>
      <c r="BK289" s="376">
        <f t="shared" si="575"/>
        <v>2670</v>
      </c>
      <c r="BL289" s="376">
        <f t="shared" si="575"/>
        <v>2670</v>
      </c>
      <c r="BM289" s="376">
        <f t="shared" si="575"/>
        <v>2670</v>
      </c>
      <c r="BN289" s="376">
        <f t="shared" si="575"/>
        <v>2670</v>
      </c>
      <c r="BO289" s="376">
        <f t="shared" si="575"/>
        <v>2670</v>
      </c>
      <c r="BP289" s="376">
        <f t="shared" si="575"/>
        <v>2670</v>
      </c>
      <c r="BQ289" s="376">
        <f t="shared" si="575"/>
        <v>2670</v>
      </c>
      <c r="BR289" s="376">
        <f t="shared" si="575"/>
        <v>2670</v>
      </c>
      <c r="BS289" s="376">
        <f t="shared" si="575"/>
        <v>2670</v>
      </c>
      <c r="BT289" s="376">
        <f t="shared" si="575"/>
        <v>2670</v>
      </c>
      <c r="BU289" s="376">
        <f t="shared" si="575"/>
        <v>2670</v>
      </c>
      <c r="BV289" s="377">
        <f t="shared" si="575"/>
        <v>2670</v>
      </c>
    </row>
    <row r="290" spans="1:74" ht="20.149999999999999" hidden="1" customHeight="1" outlineLevel="2" x14ac:dyDescent="0.25">
      <c r="A290" s="23" t="str">
        <f>'Quantidade-Cult.Perma.'!A94</f>
        <v>Sulfato de Magnésio</v>
      </c>
      <c r="B290" s="126" t="str">
        <f>'Quantidade-Cult.Perma.'!B94</f>
        <v>KG</v>
      </c>
      <c r="C290" s="284">
        <f>'Quantidade-Cult.Perma.'!D94</f>
        <v>1.5</v>
      </c>
      <c r="D290" s="284">
        <f>'Quantidade-Cult.Perma.'!X94</f>
        <v>31.5</v>
      </c>
      <c r="E290" s="284">
        <f>'Quantidade-Cult.Perma.'!Y94</f>
        <v>84</v>
      </c>
      <c r="F290" s="284">
        <f>'Quantidade-Cult.Perma.'!Z94</f>
        <v>126</v>
      </c>
      <c r="G290" s="284">
        <f>'Quantidade-Cult.Perma.'!AA94</f>
        <v>168</v>
      </c>
      <c r="H290" s="284">
        <f>'Quantidade-Cult.Perma.'!AB94</f>
        <v>210</v>
      </c>
      <c r="I290" s="284">
        <f>'Quantidade-Cult.Perma.'!AC94</f>
        <v>210</v>
      </c>
      <c r="J290" s="284">
        <f>'Quantidade-Cult.Perma.'!AD94</f>
        <v>336</v>
      </c>
      <c r="K290" s="284">
        <f>'Quantidade-Cult.Perma.'!AE94</f>
        <v>336</v>
      </c>
      <c r="L290" s="358">
        <f>'Quantidade-Cult.Perma.'!AF94</f>
        <v>336</v>
      </c>
      <c r="M290" s="358">
        <f>'Quantidade-Cult.Perma.'!AG94</f>
        <v>336</v>
      </c>
      <c r="N290" s="358">
        <f>'Quantidade-Cult.Perma.'!AH94</f>
        <v>336</v>
      </c>
      <c r="O290" s="358">
        <f>'Quantidade-Cult.Perma.'!AI94</f>
        <v>336</v>
      </c>
      <c r="P290" s="358">
        <f>'Quantidade-Cult.Perma.'!AJ94</f>
        <v>336</v>
      </c>
      <c r="Q290" s="358">
        <f>'Quantidade-Cult.Perma.'!AK94</f>
        <v>336</v>
      </c>
      <c r="R290" s="358">
        <f>'Quantidade-Cult.Perma.'!AL94</f>
        <v>336</v>
      </c>
      <c r="S290" s="358">
        <f>'Quantidade-Cult.Perma.'!AM94</f>
        <v>336</v>
      </c>
      <c r="T290" s="358">
        <f>'Quantidade-Cult.Perma.'!AN94</f>
        <v>336</v>
      </c>
      <c r="U290" s="358">
        <f>'Quantidade-Cult.Perma.'!AO94</f>
        <v>336</v>
      </c>
      <c r="V290" s="358">
        <f t="shared" si="552"/>
        <v>31.5</v>
      </c>
      <c r="W290" s="358">
        <f t="shared" si="553"/>
        <v>84</v>
      </c>
      <c r="X290" s="358">
        <f t="shared" si="554"/>
        <v>126</v>
      </c>
      <c r="Y290" s="358">
        <f t="shared" si="555"/>
        <v>168</v>
      </c>
      <c r="Z290" s="358">
        <f t="shared" si="556"/>
        <v>210</v>
      </c>
      <c r="AA290" s="358">
        <f t="shared" si="557"/>
        <v>210</v>
      </c>
      <c r="AB290" s="358">
        <f t="shared" si="558"/>
        <v>336</v>
      </c>
      <c r="AC290" s="358">
        <f t="shared" si="559"/>
        <v>336</v>
      </c>
      <c r="AD290" s="358">
        <f t="shared" si="560"/>
        <v>336</v>
      </c>
      <c r="AE290" s="358">
        <f t="shared" si="561"/>
        <v>336</v>
      </c>
      <c r="AF290" s="358">
        <f t="shared" si="562"/>
        <v>336</v>
      </c>
      <c r="AG290" s="358">
        <f t="shared" si="563"/>
        <v>336</v>
      </c>
      <c r="AH290" s="358">
        <f t="shared" si="564"/>
        <v>336</v>
      </c>
      <c r="AI290" s="358">
        <f t="shared" si="565"/>
        <v>336</v>
      </c>
      <c r="AJ290" s="358">
        <f t="shared" si="566"/>
        <v>336</v>
      </c>
      <c r="AK290" s="358">
        <f t="shared" si="567"/>
        <v>336</v>
      </c>
      <c r="AL290" s="359">
        <f t="shared" si="568"/>
        <v>336</v>
      </c>
      <c r="AM290" s="636"/>
      <c r="AN290" s="303">
        <f t="shared" ref="AN290:BV290" si="576">$C$290*D290</f>
        <v>47.25</v>
      </c>
      <c r="AO290" s="304">
        <f t="shared" si="576"/>
        <v>126</v>
      </c>
      <c r="AP290" s="304">
        <f t="shared" si="576"/>
        <v>189</v>
      </c>
      <c r="AQ290" s="304">
        <f t="shared" si="576"/>
        <v>252</v>
      </c>
      <c r="AR290" s="304">
        <f t="shared" si="576"/>
        <v>315</v>
      </c>
      <c r="AS290" s="304">
        <f t="shared" si="576"/>
        <v>315</v>
      </c>
      <c r="AT290" s="304">
        <f t="shared" si="576"/>
        <v>504</v>
      </c>
      <c r="AU290" s="304">
        <f t="shared" si="576"/>
        <v>504</v>
      </c>
      <c r="AV290" s="388">
        <f t="shared" si="576"/>
        <v>504</v>
      </c>
      <c r="AW290" s="376">
        <f t="shared" si="576"/>
        <v>504</v>
      </c>
      <c r="AX290" s="376">
        <f t="shared" si="576"/>
        <v>504</v>
      </c>
      <c r="AY290" s="376">
        <f t="shared" si="576"/>
        <v>504</v>
      </c>
      <c r="AZ290" s="376">
        <f t="shared" si="576"/>
        <v>504</v>
      </c>
      <c r="BA290" s="376">
        <f t="shared" si="576"/>
        <v>504</v>
      </c>
      <c r="BB290" s="376">
        <f t="shared" si="576"/>
        <v>504</v>
      </c>
      <c r="BC290" s="376">
        <f t="shared" si="576"/>
        <v>504</v>
      </c>
      <c r="BD290" s="376">
        <f t="shared" si="576"/>
        <v>504</v>
      </c>
      <c r="BE290" s="376">
        <f t="shared" si="576"/>
        <v>504</v>
      </c>
      <c r="BF290" s="376">
        <f t="shared" si="576"/>
        <v>47.25</v>
      </c>
      <c r="BG290" s="376">
        <f t="shared" si="576"/>
        <v>126</v>
      </c>
      <c r="BH290" s="376">
        <f t="shared" si="576"/>
        <v>189</v>
      </c>
      <c r="BI290" s="376">
        <f t="shared" si="576"/>
        <v>252</v>
      </c>
      <c r="BJ290" s="376">
        <f t="shared" si="576"/>
        <v>315</v>
      </c>
      <c r="BK290" s="376">
        <f t="shared" si="576"/>
        <v>315</v>
      </c>
      <c r="BL290" s="376">
        <f t="shared" si="576"/>
        <v>504</v>
      </c>
      <c r="BM290" s="376">
        <f t="shared" si="576"/>
        <v>504</v>
      </c>
      <c r="BN290" s="376">
        <f t="shared" si="576"/>
        <v>504</v>
      </c>
      <c r="BO290" s="376">
        <f t="shared" si="576"/>
        <v>504</v>
      </c>
      <c r="BP290" s="376">
        <f t="shared" si="576"/>
        <v>504</v>
      </c>
      <c r="BQ290" s="376">
        <f t="shared" si="576"/>
        <v>504</v>
      </c>
      <c r="BR290" s="376">
        <f t="shared" si="576"/>
        <v>504</v>
      </c>
      <c r="BS290" s="376">
        <f t="shared" si="576"/>
        <v>504</v>
      </c>
      <c r="BT290" s="376">
        <f t="shared" si="576"/>
        <v>504</v>
      </c>
      <c r="BU290" s="376">
        <f t="shared" si="576"/>
        <v>504</v>
      </c>
      <c r="BV290" s="377">
        <f t="shared" si="576"/>
        <v>504</v>
      </c>
    </row>
    <row r="291" spans="1:74" ht="20.149999999999999" hidden="1" customHeight="1" outlineLevel="2" x14ac:dyDescent="0.25">
      <c r="A291" s="23" t="str">
        <f>'Quantidade-Cult.Perma.'!A95</f>
        <v>Sulfato de Zinco</v>
      </c>
      <c r="B291" s="126" t="str">
        <f>'Quantidade-Cult.Perma.'!B95</f>
        <v>KG</v>
      </c>
      <c r="C291" s="284">
        <f>'Quantidade-Cult.Perma.'!D95</f>
        <v>6</v>
      </c>
      <c r="D291" s="284">
        <f>'Quantidade-Cult.Perma.'!X95</f>
        <v>10.5</v>
      </c>
      <c r="E291" s="284">
        <f>'Quantidade-Cult.Perma.'!Y95</f>
        <v>42</v>
      </c>
      <c r="F291" s="284">
        <f>'Quantidade-Cult.Perma.'!Z95</f>
        <v>42</v>
      </c>
      <c r="G291" s="284">
        <f>'Quantidade-Cult.Perma.'!AA95</f>
        <v>63</v>
      </c>
      <c r="H291" s="284">
        <f>'Quantidade-Cult.Perma.'!AB95</f>
        <v>63</v>
      </c>
      <c r="I291" s="284">
        <f>'Quantidade-Cult.Perma.'!AC95</f>
        <v>63</v>
      </c>
      <c r="J291" s="284">
        <f>'Quantidade-Cult.Perma.'!AD95</f>
        <v>63</v>
      </c>
      <c r="K291" s="284">
        <f>'Quantidade-Cult.Perma.'!AE95</f>
        <v>63</v>
      </c>
      <c r="L291" s="358">
        <f>'Quantidade-Cult.Perma.'!AF95</f>
        <v>63</v>
      </c>
      <c r="M291" s="358">
        <f>'Quantidade-Cult.Perma.'!AG95</f>
        <v>63</v>
      </c>
      <c r="N291" s="358">
        <f>'Quantidade-Cult.Perma.'!AH95</f>
        <v>63</v>
      </c>
      <c r="O291" s="358">
        <f>'Quantidade-Cult.Perma.'!AI95</f>
        <v>63</v>
      </c>
      <c r="P291" s="358">
        <f>'Quantidade-Cult.Perma.'!AJ95</f>
        <v>63</v>
      </c>
      <c r="Q291" s="358">
        <f>'Quantidade-Cult.Perma.'!AK95</f>
        <v>63</v>
      </c>
      <c r="R291" s="358">
        <f>'Quantidade-Cult.Perma.'!AL95</f>
        <v>63</v>
      </c>
      <c r="S291" s="358">
        <f>'Quantidade-Cult.Perma.'!AM95</f>
        <v>63</v>
      </c>
      <c r="T291" s="358">
        <f>'Quantidade-Cult.Perma.'!AN95</f>
        <v>63</v>
      </c>
      <c r="U291" s="358">
        <f>'Quantidade-Cult.Perma.'!AO95</f>
        <v>63</v>
      </c>
      <c r="V291" s="358">
        <f t="shared" si="552"/>
        <v>10.5</v>
      </c>
      <c r="W291" s="358">
        <f t="shared" si="553"/>
        <v>42</v>
      </c>
      <c r="X291" s="358">
        <f t="shared" si="554"/>
        <v>42</v>
      </c>
      <c r="Y291" s="358">
        <f t="shared" si="555"/>
        <v>63</v>
      </c>
      <c r="Z291" s="358">
        <f t="shared" si="556"/>
        <v>63</v>
      </c>
      <c r="AA291" s="358">
        <f t="shared" si="557"/>
        <v>63</v>
      </c>
      <c r="AB291" s="358">
        <f t="shared" si="558"/>
        <v>63</v>
      </c>
      <c r="AC291" s="358">
        <f t="shared" si="559"/>
        <v>63</v>
      </c>
      <c r="AD291" s="358">
        <f t="shared" si="560"/>
        <v>63</v>
      </c>
      <c r="AE291" s="358">
        <f t="shared" si="561"/>
        <v>63</v>
      </c>
      <c r="AF291" s="358">
        <f t="shared" si="562"/>
        <v>63</v>
      </c>
      <c r="AG291" s="358">
        <f t="shared" si="563"/>
        <v>63</v>
      </c>
      <c r="AH291" s="358">
        <f t="shared" si="564"/>
        <v>63</v>
      </c>
      <c r="AI291" s="358">
        <f t="shared" si="565"/>
        <v>63</v>
      </c>
      <c r="AJ291" s="358">
        <f t="shared" si="566"/>
        <v>63</v>
      </c>
      <c r="AK291" s="358">
        <f t="shared" si="567"/>
        <v>63</v>
      </c>
      <c r="AL291" s="359">
        <f t="shared" si="568"/>
        <v>63</v>
      </c>
      <c r="AM291" s="636"/>
      <c r="AN291" s="303">
        <f t="shared" ref="AN291:BV291" si="577">$C$291*D291</f>
        <v>63</v>
      </c>
      <c r="AO291" s="304">
        <f t="shared" si="577"/>
        <v>252</v>
      </c>
      <c r="AP291" s="304">
        <f t="shared" si="577"/>
        <v>252</v>
      </c>
      <c r="AQ291" s="304">
        <f t="shared" si="577"/>
        <v>378</v>
      </c>
      <c r="AR291" s="304">
        <f t="shared" si="577"/>
        <v>378</v>
      </c>
      <c r="AS291" s="304">
        <f t="shared" si="577"/>
        <v>378</v>
      </c>
      <c r="AT291" s="304">
        <f t="shared" si="577"/>
        <v>378</v>
      </c>
      <c r="AU291" s="304">
        <f t="shared" si="577"/>
        <v>378</v>
      </c>
      <c r="AV291" s="388">
        <f t="shared" si="577"/>
        <v>378</v>
      </c>
      <c r="AW291" s="376">
        <f t="shared" si="577"/>
        <v>378</v>
      </c>
      <c r="AX291" s="376">
        <f t="shared" si="577"/>
        <v>378</v>
      </c>
      <c r="AY291" s="376">
        <f t="shared" si="577"/>
        <v>378</v>
      </c>
      <c r="AZ291" s="376">
        <f t="shared" si="577"/>
        <v>378</v>
      </c>
      <c r="BA291" s="376">
        <f t="shared" si="577"/>
        <v>378</v>
      </c>
      <c r="BB291" s="376">
        <f t="shared" si="577"/>
        <v>378</v>
      </c>
      <c r="BC291" s="376">
        <f t="shared" si="577"/>
        <v>378</v>
      </c>
      <c r="BD291" s="376">
        <f t="shared" si="577"/>
        <v>378</v>
      </c>
      <c r="BE291" s="376">
        <f t="shared" si="577"/>
        <v>378</v>
      </c>
      <c r="BF291" s="376">
        <f t="shared" si="577"/>
        <v>63</v>
      </c>
      <c r="BG291" s="376">
        <f t="shared" si="577"/>
        <v>252</v>
      </c>
      <c r="BH291" s="376">
        <f t="shared" si="577"/>
        <v>252</v>
      </c>
      <c r="BI291" s="376">
        <f t="shared" si="577"/>
        <v>378</v>
      </c>
      <c r="BJ291" s="376">
        <f t="shared" si="577"/>
        <v>378</v>
      </c>
      <c r="BK291" s="376">
        <f t="shared" si="577"/>
        <v>378</v>
      </c>
      <c r="BL291" s="376">
        <f t="shared" si="577"/>
        <v>378</v>
      </c>
      <c r="BM291" s="376">
        <f t="shared" si="577"/>
        <v>378</v>
      </c>
      <c r="BN291" s="376">
        <f t="shared" si="577"/>
        <v>378</v>
      </c>
      <c r="BO291" s="376">
        <f t="shared" si="577"/>
        <v>378</v>
      </c>
      <c r="BP291" s="376">
        <f t="shared" si="577"/>
        <v>378</v>
      </c>
      <c r="BQ291" s="376">
        <f t="shared" si="577"/>
        <v>378</v>
      </c>
      <c r="BR291" s="376">
        <f t="shared" si="577"/>
        <v>378</v>
      </c>
      <c r="BS291" s="376">
        <f t="shared" si="577"/>
        <v>378</v>
      </c>
      <c r="BT291" s="376">
        <f t="shared" si="577"/>
        <v>378</v>
      </c>
      <c r="BU291" s="376">
        <f t="shared" si="577"/>
        <v>378</v>
      </c>
      <c r="BV291" s="377">
        <f t="shared" si="577"/>
        <v>378</v>
      </c>
    </row>
    <row r="292" spans="1:74" ht="20.149999999999999" hidden="1" customHeight="1" outlineLevel="2" x14ac:dyDescent="0.25">
      <c r="A292" s="23" t="str">
        <f>'Quantidade-Cult.Perma.'!A96</f>
        <v>Esterco de Gado</v>
      </c>
      <c r="B292" s="126" t="str">
        <f>'Quantidade-Cult.Perma.'!B96</f>
        <v>M3</v>
      </c>
      <c r="C292" s="284">
        <f>'Quantidade-Cult.Perma.'!D96</f>
        <v>80</v>
      </c>
      <c r="D292" s="284">
        <f>'Quantidade-Cult.Perma.'!X96</f>
        <v>7</v>
      </c>
      <c r="E292" s="284">
        <f>'Quantidade-Cult.Perma.'!Y96</f>
        <v>7</v>
      </c>
      <c r="F292" s="284">
        <f>'Quantidade-Cult.Perma.'!Z96</f>
        <v>3.5</v>
      </c>
      <c r="G292" s="284">
        <f>'Quantidade-Cult.Perma.'!AA96</f>
        <v>0</v>
      </c>
      <c r="H292" s="284">
        <f>'Quantidade-Cult.Perma.'!AB96</f>
        <v>0</v>
      </c>
      <c r="I292" s="284">
        <f>'Quantidade-Cult.Perma.'!AC96</f>
        <v>0</v>
      </c>
      <c r="J292" s="284">
        <f>'Quantidade-Cult.Perma.'!AD96</f>
        <v>0</v>
      </c>
      <c r="K292" s="284">
        <f>'Quantidade-Cult.Perma.'!AE96</f>
        <v>0</v>
      </c>
      <c r="L292" s="358">
        <f>'Quantidade-Cult.Perma.'!AF96</f>
        <v>0</v>
      </c>
      <c r="M292" s="358">
        <f>'Quantidade-Cult.Perma.'!AG96</f>
        <v>0</v>
      </c>
      <c r="N292" s="358">
        <f>'Quantidade-Cult.Perma.'!AH96</f>
        <v>0</v>
      </c>
      <c r="O292" s="358">
        <f>'Quantidade-Cult.Perma.'!AI96</f>
        <v>0</v>
      </c>
      <c r="P292" s="358">
        <f>'Quantidade-Cult.Perma.'!AJ96</f>
        <v>0</v>
      </c>
      <c r="Q292" s="358">
        <f>'Quantidade-Cult.Perma.'!AK96</f>
        <v>0</v>
      </c>
      <c r="R292" s="358">
        <f>'Quantidade-Cult.Perma.'!AL96</f>
        <v>0</v>
      </c>
      <c r="S292" s="358">
        <f>'Quantidade-Cult.Perma.'!AM96</f>
        <v>0</v>
      </c>
      <c r="T292" s="358">
        <f>'Quantidade-Cult.Perma.'!AN96</f>
        <v>0</v>
      </c>
      <c r="U292" s="358">
        <f>'Quantidade-Cult.Perma.'!AO96</f>
        <v>0</v>
      </c>
      <c r="V292" s="358">
        <f t="shared" si="552"/>
        <v>7</v>
      </c>
      <c r="W292" s="358">
        <f t="shared" si="553"/>
        <v>7</v>
      </c>
      <c r="X292" s="358">
        <f t="shared" si="554"/>
        <v>3.5</v>
      </c>
      <c r="Y292" s="358">
        <f t="shared" si="555"/>
        <v>0</v>
      </c>
      <c r="Z292" s="358">
        <f t="shared" si="556"/>
        <v>0</v>
      </c>
      <c r="AA292" s="358">
        <f t="shared" si="557"/>
        <v>0</v>
      </c>
      <c r="AB292" s="358">
        <f t="shared" si="558"/>
        <v>0</v>
      </c>
      <c r="AC292" s="358">
        <f t="shared" si="559"/>
        <v>0</v>
      </c>
      <c r="AD292" s="358">
        <f t="shared" si="560"/>
        <v>0</v>
      </c>
      <c r="AE292" s="358">
        <f t="shared" si="561"/>
        <v>0</v>
      </c>
      <c r="AF292" s="358">
        <f t="shared" si="562"/>
        <v>0</v>
      </c>
      <c r="AG292" s="358">
        <f t="shared" si="563"/>
        <v>0</v>
      </c>
      <c r="AH292" s="358">
        <f t="shared" si="564"/>
        <v>0</v>
      </c>
      <c r="AI292" s="358">
        <f t="shared" si="565"/>
        <v>0</v>
      </c>
      <c r="AJ292" s="358">
        <f t="shared" si="566"/>
        <v>0</v>
      </c>
      <c r="AK292" s="358">
        <f t="shared" si="567"/>
        <v>0</v>
      </c>
      <c r="AL292" s="359">
        <f t="shared" si="568"/>
        <v>0</v>
      </c>
      <c r="AM292" s="636"/>
      <c r="AN292" s="303">
        <f t="shared" ref="AN292:BV292" si="578">$C$292*D292</f>
        <v>560</v>
      </c>
      <c r="AO292" s="304">
        <f t="shared" si="578"/>
        <v>560</v>
      </c>
      <c r="AP292" s="304">
        <f t="shared" si="578"/>
        <v>280</v>
      </c>
      <c r="AQ292" s="304">
        <f t="shared" si="578"/>
        <v>0</v>
      </c>
      <c r="AR292" s="304">
        <f t="shared" si="578"/>
        <v>0</v>
      </c>
      <c r="AS292" s="304">
        <f t="shared" si="578"/>
        <v>0</v>
      </c>
      <c r="AT292" s="304">
        <f t="shared" si="578"/>
        <v>0</v>
      </c>
      <c r="AU292" s="304">
        <f t="shared" si="578"/>
        <v>0</v>
      </c>
      <c r="AV292" s="388">
        <f t="shared" si="578"/>
        <v>0</v>
      </c>
      <c r="AW292" s="376">
        <f t="shared" si="578"/>
        <v>0</v>
      </c>
      <c r="AX292" s="376">
        <f t="shared" si="578"/>
        <v>0</v>
      </c>
      <c r="AY292" s="376">
        <f t="shared" si="578"/>
        <v>0</v>
      </c>
      <c r="AZ292" s="376">
        <f t="shared" si="578"/>
        <v>0</v>
      </c>
      <c r="BA292" s="376">
        <f t="shared" si="578"/>
        <v>0</v>
      </c>
      <c r="BB292" s="376">
        <f t="shared" si="578"/>
        <v>0</v>
      </c>
      <c r="BC292" s="376">
        <f t="shared" si="578"/>
        <v>0</v>
      </c>
      <c r="BD292" s="376">
        <f t="shared" si="578"/>
        <v>0</v>
      </c>
      <c r="BE292" s="376">
        <f t="shared" si="578"/>
        <v>0</v>
      </c>
      <c r="BF292" s="376">
        <f t="shared" si="578"/>
        <v>560</v>
      </c>
      <c r="BG292" s="376">
        <f t="shared" si="578"/>
        <v>560</v>
      </c>
      <c r="BH292" s="376">
        <f t="shared" si="578"/>
        <v>280</v>
      </c>
      <c r="BI292" s="376">
        <f t="shared" si="578"/>
        <v>0</v>
      </c>
      <c r="BJ292" s="376">
        <f t="shared" si="578"/>
        <v>0</v>
      </c>
      <c r="BK292" s="376">
        <f t="shared" si="578"/>
        <v>0</v>
      </c>
      <c r="BL292" s="376">
        <f t="shared" si="578"/>
        <v>0</v>
      </c>
      <c r="BM292" s="376">
        <f t="shared" si="578"/>
        <v>0</v>
      </c>
      <c r="BN292" s="376">
        <f t="shared" si="578"/>
        <v>0</v>
      </c>
      <c r="BO292" s="376">
        <f t="shared" si="578"/>
        <v>0</v>
      </c>
      <c r="BP292" s="376">
        <f t="shared" si="578"/>
        <v>0</v>
      </c>
      <c r="BQ292" s="376">
        <f t="shared" si="578"/>
        <v>0</v>
      </c>
      <c r="BR292" s="376">
        <f t="shared" si="578"/>
        <v>0</v>
      </c>
      <c r="BS292" s="376">
        <f t="shared" si="578"/>
        <v>0</v>
      </c>
      <c r="BT292" s="376">
        <f t="shared" si="578"/>
        <v>0</v>
      </c>
      <c r="BU292" s="376">
        <f t="shared" si="578"/>
        <v>0</v>
      </c>
      <c r="BV292" s="377">
        <f t="shared" si="578"/>
        <v>0</v>
      </c>
    </row>
    <row r="293" spans="1:74" ht="20.149999999999999" hidden="1" customHeight="1" outlineLevel="2" x14ac:dyDescent="0.25">
      <c r="A293" s="23" t="str">
        <f>'Quantidade-Cult.Perma.'!A97</f>
        <v>Nitrato de Amonia</v>
      </c>
      <c r="B293" s="126" t="str">
        <f>'Quantidade-Cult.Perma.'!B97</f>
        <v>T</v>
      </c>
      <c r="C293" s="284">
        <f>'Quantidade-Cult.Perma.'!D97</f>
        <v>2200</v>
      </c>
      <c r="D293" s="284">
        <f>'Quantidade-Cult.Perma.'!X97</f>
        <v>1.0500000000000001E-2</v>
      </c>
      <c r="E293" s="284">
        <f>'Quantidade-Cult.Perma.'!Y97</f>
        <v>6.3E-2</v>
      </c>
      <c r="F293" s="284">
        <f>'Quantidade-Cult.Perma.'!Z97</f>
        <v>0.112</v>
      </c>
      <c r="G293" s="284">
        <f>'Quantidade-Cult.Perma.'!AA97</f>
        <v>0.224</v>
      </c>
      <c r="H293" s="284">
        <f>'Quantidade-Cult.Perma.'!AB97</f>
        <v>0.224</v>
      </c>
      <c r="I293" s="284">
        <f>'Quantidade-Cult.Perma.'!AC97</f>
        <v>0.29399999999999998</v>
      </c>
      <c r="J293" s="284">
        <f>'Quantidade-Cult.Perma.'!AD97</f>
        <v>0.33600000000000002</v>
      </c>
      <c r="K293" s="284">
        <f>'Quantidade-Cult.Perma.'!AE97</f>
        <v>0.33600000000000002</v>
      </c>
      <c r="L293" s="358">
        <f>'Quantidade-Cult.Perma.'!AF97</f>
        <v>0.33600000000000002</v>
      </c>
      <c r="M293" s="358">
        <f>'Quantidade-Cult.Perma.'!AG97</f>
        <v>0.33600000000000002</v>
      </c>
      <c r="N293" s="358">
        <f>'Quantidade-Cult.Perma.'!AH97</f>
        <v>0.33600000000000002</v>
      </c>
      <c r="O293" s="358">
        <f>'Quantidade-Cult.Perma.'!AI97</f>
        <v>0.33600000000000002</v>
      </c>
      <c r="P293" s="358">
        <f>'Quantidade-Cult.Perma.'!AJ97</f>
        <v>0.33600000000000002</v>
      </c>
      <c r="Q293" s="358">
        <f>'Quantidade-Cult.Perma.'!AK97</f>
        <v>0.33600000000000002</v>
      </c>
      <c r="R293" s="358">
        <f>'Quantidade-Cult.Perma.'!AL97</f>
        <v>0.33600000000000002</v>
      </c>
      <c r="S293" s="358">
        <f>'Quantidade-Cult.Perma.'!AM97</f>
        <v>0.33600000000000002</v>
      </c>
      <c r="T293" s="358">
        <f>'Quantidade-Cult.Perma.'!AN97</f>
        <v>0.33600000000000002</v>
      </c>
      <c r="U293" s="358">
        <f>'Quantidade-Cult.Perma.'!AO97</f>
        <v>0.33600000000000002</v>
      </c>
      <c r="V293" s="358">
        <f t="shared" si="552"/>
        <v>1.0500000000000001E-2</v>
      </c>
      <c r="W293" s="358">
        <f t="shared" si="553"/>
        <v>6.3E-2</v>
      </c>
      <c r="X293" s="358">
        <f t="shared" si="554"/>
        <v>0.112</v>
      </c>
      <c r="Y293" s="358">
        <f t="shared" si="555"/>
        <v>0.224</v>
      </c>
      <c r="Z293" s="358">
        <f t="shared" si="556"/>
        <v>0.224</v>
      </c>
      <c r="AA293" s="358">
        <f t="shared" si="557"/>
        <v>0.29399999999999998</v>
      </c>
      <c r="AB293" s="358">
        <f t="shared" si="558"/>
        <v>0.33600000000000002</v>
      </c>
      <c r="AC293" s="358">
        <f t="shared" si="559"/>
        <v>0.33600000000000002</v>
      </c>
      <c r="AD293" s="358">
        <f t="shared" si="560"/>
        <v>0.33600000000000002</v>
      </c>
      <c r="AE293" s="358">
        <f t="shared" si="561"/>
        <v>0.33600000000000002</v>
      </c>
      <c r="AF293" s="358">
        <f t="shared" si="562"/>
        <v>0.33600000000000002</v>
      </c>
      <c r="AG293" s="358">
        <f t="shared" si="563"/>
        <v>0.33600000000000002</v>
      </c>
      <c r="AH293" s="358">
        <f t="shared" si="564"/>
        <v>0.33600000000000002</v>
      </c>
      <c r="AI293" s="358">
        <f t="shared" si="565"/>
        <v>0.33600000000000002</v>
      </c>
      <c r="AJ293" s="358">
        <f t="shared" si="566"/>
        <v>0.33600000000000002</v>
      </c>
      <c r="AK293" s="358">
        <f t="shared" si="567"/>
        <v>0.33600000000000002</v>
      </c>
      <c r="AL293" s="359">
        <f t="shared" si="568"/>
        <v>0.33600000000000002</v>
      </c>
      <c r="AM293" s="636"/>
      <c r="AN293" s="303">
        <f t="shared" ref="AN293:BV293" si="579">$C$293*D293</f>
        <v>23.1</v>
      </c>
      <c r="AO293" s="304">
        <f t="shared" si="579"/>
        <v>138.6</v>
      </c>
      <c r="AP293" s="304">
        <f t="shared" si="579"/>
        <v>246.4</v>
      </c>
      <c r="AQ293" s="304">
        <f t="shared" si="579"/>
        <v>492.8</v>
      </c>
      <c r="AR293" s="304">
        <f t="shared" si="579"/>
        <v>492.8</v>
      </c>
      <c r="AS293" s="304">
        <f t="shared" si="579"/>
        <v>646.79999999999995</v>
      </c>
      <c r="AT293" s="304">
        <f t="shared" si="579"/>
        <v>739.2</v>
      </c>
      <c r="AU293" s="304">
        <f t="shared" si="579"/>
        <v>739.2</v>
      </c>
      <c r="AV293" s="388">
        <f t="shared" si="579"/>
        <v>739.2</v>
      </c>
      <c r="AW293" s="376">
        <f t="shared" si="579"/>
        <v>739.2</v>
      </c>
      <c r="AX293" s="376">
        <f t="shared" si="579"/>
        <v>739.2</v>
      </c>
      <c r="AY293" s="376">
        <f t="shared" si="579"/>
        <v>739.2</v>
      </c>
      <c r="AZ293" s="376">
        <f t="shared" si="579"/>
        <v>739.2</v>
      </c>
      <c r="BA293" s="376">
        <f t="shared" si="579"/>
        <v>739.2</v>
      </c>
      <c r="BB293" s="376">
        <f t="shared" si="579"/>
        <v>739.2</v>
      </c>
      <c r="BC293" s="376">
        <f t="shared" si="579"/>
        <v>739.2</v>
      </c>
      <c r="BD293" s="376">
        <f t="shared" si="579"/>
        <v>739.2</v>
      </c>
      <c r="BE293" s="376">
        <f t="shared" si="579"/>
        <v>739.2</v>
      </c>
      <c r="BF293" s="376">
        <f t="shared" si="579"/>
        <v>23.1</v>
      </c>
      <c r="BG293" s="376">
        <f t="shared" si="579"/>
        <v>138.6</v>
      </c>
      <c r="BH293" s="376">
        <f t="shared" si="579"/>
        <v>246.4</v>
      </c>
      <c r="BI293" s="376">
        <f t="shared" si="579"/>
        <v>492.8</v>
      </c>
      <c r="BJ293" s="376">
        <f t="shared" si="579"/>
        <v>492.8</v>
      </c>
      <c r="BK293" s="376">
        <f t="shared" si="579"/>
        <v>646.79999999999995</v>
      </c>
      <c r="BL293" s="376">
        <f t="shared" si="579"/>
        <v>739.2</v>
      </c>
      <c r="BM293" s="376">
        <f t="shared" si="579"/>
        <v>739.2</v>
      </c>
      <c r="BN293" s="376">
        <f t="shared" si="579"/>
        <v>739.2</v>
      </c>
      <c r="BO293" s="376">
        <f t="shared" si="579"/>
        <v>739.2</v>
      </c>
      <c r="BP293" s="376">
        <f t="shared" si="579"/>
        <v>739.2</v>
      </c>
      <c r="BQ293" s="376">
        <f t="shared" si="579"/>
        <v>739.2</v>
      </c>
      <c r="BR293" s="376">
        <f t="shared" si="579"/>
        <v>739.2</v>
      </c>
      <c r="BS293" s="376">
        <f t="shared" si="579"/>
        <v>739.2</v>
      </c>
      <c r="BT293" s="376">
        <f t="shared" si="579"/>
        <v>739.2</v>
      </c>
      <c r="BU293" s="376">
        <f t="shared" si="579"/>
        <v>739.2</v>
      </c>
      <c r="BV293" s="377">
        <f t="shared" si="579"/>
        <v>739.2</v>
      </c>
    </row>
    <row r="294" spans="1:74" ht="20.149999999999999" hidden="1" customHeight="1" outlineLevel="2" x14ac:dyDescent="0.25">
      <c r="A294" s="23" t="str">
        <f>'Quantidade-Cult.Perma.'!A98</f>
        <v>Fungicida</v>
      </c>
      <c r="B294" s="126" t="str">
        <f>'Quantidade-Cult.Perma.'!B98</f>
        <v>L</v>
      </c>
      <c r="C294" s="284">
        <f>'Quantidade-Cult.Perma.'!D98</f>
        <v>75</v>
      </c>
      <c r="D294" s="284">
        <f>'Quantidade-Cult.Perma.'!X98</f>
        <v>3</v>
      </c>
      <c r="E294" s="284">
        <f>'Quantidade-Cult.Perma.'!Y98</f>
        <v>12</v>
      </c>
      <c r="F294" s="284">
        <f>'Quantidade-Cult.Perma.'!Z98</f>
        <v>12</v>
      </c>
      <c r="G294" s="284">
        <f>'Quantidade-Cult.Perma.'!AA98</f>
        <v>40</v>
      </c>
      <c r="H294" s="284">
        <f>'Quantidade-Cult.Perma.'!AB98</f>
        <v>40</v>
      </c>
      <c r="I294" s="284">
        <f>'Quantidade-Cult.Perma.'!AC98</f>
        <v>40</v>
      </c>
      <c r="J294" s="284">
        <f>'Quantidade-Cult.Perma.'!AD98</f>
        <v>40</v>
      </c>
      <c r="K294" s="284">
        <f>'Quantidade-Cult.Perma.'!AE98</f>
        <v>40</v>
      </c>
      <c r="L294" s="358">
        <f>'Quantidade-Cult.Perma.'!AF98</f>
        <v>40</v>
      </c>
      <c r="M294" s="358">
        <f>'Quantidade-Cult.Perma.'!AG98</f>
        <v>40</v>
      </c>
      <c r="N294" s="358">
        <f>'Quantidade-Cult.Perma.'!AH98</f>
        <v>40</v>
      </c>
      <c r="O294" s="358">
        <f>'Quantidade-Cult.Perma.'!AI98</f>
        <v>40</v>
      </c>
      <c r="P294" s="358">
        <f>'Quantidade-Cult.Perma.'!AJ98</f>
        <v>40</v>
      </c>
      <c r="Q294" s="358">
        <f>'Quantidade-Cult.Perma.'!AK98</f>
        <v>40</v>
      </c>
      <c r="R294" s="358">
        <f>'Quantidade-Cult.Perma.'!AL98</f>
        <v>40</v>
      </c>
      <c r="S294" s="358">
        <f>'Quantidade-Cult.Perma.'!AM98</f>
        <v>40</v>
      </c>
      <c r="T294" s="358">
        <f>'Quantidade-Cult.Perma.'!AN98</f>
        <v>40</v>
      </c>
      <c r="U294" s="358">
        <f>'Quantidade-Cult.Perma.'!AO98</f>
        <v>40</v>
      </c>
      <c r="V294" s="358">
        <f t="shared" si="552"/>
        <v>3</v>
      </c>
      <c r="W294" s="358">
        <f t="shared" si="553"/>
        <v>12</v>
      </c>
      <c r="X294" s="358">
        <f t="shared" si="554"/>
        <v>12</v>
      </c>
      <c r="Y294" s="358">
        <f t="shared" si="555"/>
        <v>40</v>
      </c>
      <c r="Z294" s="358">
        <f t="shared" si="556"/>
        <v>40</v>
      </c>
      <c r="AA294" s="358">
        <f t="shared" si="557"/>
        <v>40</v>
      </c>
      <c r="AB294" s="358">
        <f t="shared" si="558"/>
        <v>40</v>
      </c>
      <c r="AC294" s="358">
        <f t="shared" si="559"/>
        <v>40</v>
      </c>
      <c r="AD294" s="358">
        <f t="shared" si="560"/>
        <v>40</v>
      </c>
      <c r="AE294" s="358">
        <f t="shared" si="561"/>
        <v>40</v>
      </c>
      <c r="AF294" s="358">
        <f t="shared" si="562"/>
        <v>40</v>
      </c>
      <c r="AG294" s="358">
        <f t="shared" si="563"/>
        <v>40</v>
      </c>
      <c r="AH294" s="358">
        <f t="shared" si="564"/>
        <v>40</v>
      </c>
      <c r="AI294" s="358">
        <f t="shared" si="565"/>
        <v>40</v>
      </c>
      <c r="AJ294" s="358">
        <f t="shared" si="566"/>
        <v>40</v>
      </c>
      <c r="AK294" s="358">
        <f t="shared" si="567"/>
        <v>40</v>
      </c>
      <c r="AL294" s="359">
        <f t="shared" si="568"/>
        <v>40</v>
      </c>
      <c r="AM294" s="636"/>
      <c r="AN294" s="303">
        <f t="shared" ref="AN294:BV294" si="580">$C$294*D294</f>
        <v>225</v>
      </c>
      <c r="AO294" s="304">
        <f t="shared" si="580"/>
        <v>900</v>
      </c>
      <c r="AP294" s="304">
        <f t="shared" si="580"/>
        <v>900</v>
      </c>
      <c r="AQ294" s="304">
        <f t="shared" si="580"/>
        <v>3000</v>
      </c>
      <c r="AR294" s="304">
        <f t="shared" si="580"/>
        <v>3000</v>
      </c>
      <c r="AS294" s="304">
        <f t="shared" si="580"/>
        <v>3000</v>
      </c>
      <c r="AT294" s="304">
        <f t="shared" si="580"/>
        <v>3000</v>
      </c>
      <c r="AU294" s="304">
        <f t="shared" si="580"/>
        <v>3000</v>
      </c>
      <c r="AV294" s="388">
        <f t="shared" si="580"/>
        <v>3000</v>
      </c>
      <c r="AW294" s="376">
        <f t="shared" si="580"/>
        <v>3000</v>
      </c>
      <c r="AX294" s="376">
        <f t="shared" si="580"/>
        <v>3000</v>
      </c>
      <c r="AY294" s="376">
        <f t="shared" si="580"/>
        <v>3000</v>
      </c>
      <c r="AZ294" s="376">
        <f t="shared" si="580"/>
        <v>3000</v>
      </c>
      <c r="BA294" s="376">
        <f t="shared" si="580"/>
        <v>3000</v>
      </c>
      <c r="BB294" s="376">
        <f t="shared" si="580"/>
        <v>3000</v>
      </c>
      <c r="BC294" s="376">
        <f t="shared" si="580"/>
        <v>3000</v>
      </c>
      <c r="BD294" s="376">
        <f t="shared" si="580"/>
        <v>3000</v>
      </c>
      <c r="BE294" s="376">
        <f t="shared" si="580"/>
        <v>3000</v>
      </c>
      <c r="BF294" s="376">
        <f t="shared" si="580"/>
        <v>225</v>
      </c>
      <c r="BG294" s="376">
        <f t="shared" si="580"/>
        <v>900</v>
      </c>
      <c r="BH294" s="376">
        <f t="shared" si="580"/>
        <v>900</v>
      </c>
      <c r="BI294" s="376">
        <f t="shared" si="580"/>
        <v>3000</v>
      </c>
      <c r="BJ294" s="376">
        <f t="shared" si="580"/>
        <v>3000</v>
      </c>
      <c r="BK294" s="376">
        <f t="shared" si="580"/>
        <v>3000</v>
      </c>
      <c r="BL294" s="376">
        <f t="shared" si="580"/>
        <v>3000</v>
      </c>
      <c r="BM294" s="376">
        <f t="shared" si="580"/>
        <v>3000</v>
      </c>
      <c r="BN294" s="376">
        <f t="shared" si="580"/>
        <v>3000</v>
      </c>
      <c r="BO294" s="376">
        <f t="shared" si="580"/>
        <v>3000</v>
      </c>
      <c r="BP294" s="376">
        <f t="shared" si="580"/>
        <v>3000</v>
      </c>
      <c r="BQ294" s="376">
        <f t="shared" si="580"/>
        <v>3000</v>
      </c>
      <c r="BR294" s="376">
        <f t="shared" si="580"/>
        <v>3000</v>
      </c>
      <c r="BS294" s="376">
        <f t="shared" si="580"/>
        <v>3000</v>
      </c>
      <c r="BT294" s="376">
        <f t="shared" si="580"/>
        <v>3000</v>
      </c>
      <c r="BU294" s="376">
        <f t="shared" si="580"/>
        <v>3000</v>
      </c>
      <c r="BV294" s="377">
        <f t="shared" si="580"/>
        <v>3000</v>
      </c>
    </row>
    <row r="295" spans="1:74" ht="20.149999999999999" hidden="1" customHeight="1" outlineLevel="2" x14ac:dyDescent="0.25">
      <c r="A295" s="23" t="str">
        <f>'Quantidade-Cult.Perma.'!A99</f>
        <v>Inseticida</v>
      </c>
      <c r="B295" s="126" t="str">
        <f>'Quantidade-Cult.Perma.'!B99</f>
        <v>L</v>
      </c>
      <c r="C295" s="284">
        <f>'Quantidade-Cult.Perma.'!D99</f>
        <v>40</v>
      </c>
      <c r="D295" s="284">
        <f>'Quantidade-Cult.Perma.'!X99</f>
        <v>6</v>
      </c>
      <c r="E295" s="284">
        <f>'Quantidade-Cult.Perma.'!Y99</f>
        <v>6</v>
      </c>
      <c r="F295" s="284">
        <f>'Quantidade-Cult.Perma.'!Z99</f>
        <v>6</v>
      </c>
      <c r="G295" s="284">
        <f>'Quantidade-Cult.Perma.'!AA99</f>
        <v>6</v>
      </c>
      <c r="H295" s="284">
        <f>'Quantidade-Cult.Perma.'!AB99</f>
        <v>12</v>
      </c>
      <c r="I295" s="284">
        <f>'Quantidade-Cult.Perma.'!AC99</f>
        <v>24</v>
      </c>
      <c r="J295" s="284">
        <f>'Quantidade-Cult.Perma.'!AD99</f>
        <v>24</v>
      </c>
      <c r="K295" s="284">
        <f>'Quantidade-Cult.Perma.'!AE99</f>
        <v>24</v>
      </c>
      <c r="L295" s="358">
        <f>'Quantidade-Cult.Perma.'!AF99</f>
        <v>24</v>
      </c>
      <c r="M295" s="358">
        <f>'Quantidade-Cult.Perma.'!AG99</f>
        <v>24</v>
      </c>
      <c r="N295" s="358">
        <f>'Quantidade-Cult.Perma.'!AH99</f>
        <v>24</v>
      </c>
      <c r="O295" s="358">
        <f>'Quantidade-Cult.Perma.'!AI99</f>
        <v>24</v>
      </c>
      <c r="P295" s="358">
        <f>'Quantidade-Cult.Perma.'!AJ99</f>
        <v>24</v>
      </c>
      <c r="Q295" s="358">
        <f>'Quantidade-Cult.Perma.'!AK99</f>
        <v>24</v>
      </c>
      <c r="R295" s="358">
        <f>'Quantidade-Cult.Perma.'!AL99</f>
        <v>24</v>
      </c>
      <c r="S295" s="358">
        <f>'Quantidade-Cult.Perma.'!AM99</f>
        <v>24</v>
      </c>
      <c r="T295" s="358">
        <f>'Quantidade-Cult.Perma.'!AN99</f>
        <v>24</v>
      </c>
      <c r="U295" s="358">
        <f>'Quantidade-Cult.Perma.'!AO99</f>
        <v>24</v>
      </c>
      <c r="V295" s="358">
        <f t="shared" si="552"/>
        <v>6</v>
      </c>
      <c r="W295" s="358">
        <f t="shared" si="553"/>
        <v>6</v>
      </c>
      <c r="X295" s="358">
        <f t="shared" si="554"/>
        <v>6</v>
      </c>
      <c r="Y295" s="358">
        <f t="shared" si="555"/>
        <v>6</v>
      </c>
      <c r="Z295" s="358">
        <f t="shared" si="556"/>
        <v>12</v>
      </c>
      <c r="AA295" s="358">
        <f t="shared" si="557"/>
        <v>24</v>
      </c>
      <c r="AB295" s="358">
        <f t="shared" si="558"/>
        <v>24</v>
      </c>
      <c r="AC295" s="358">
        <f t="shared" si="559"/>
        <v>24</v>
      </c>
      <c r="AD295" s="358">
        <f t="shared" si="560"/>
        <v>24</v>
      </c>
      <c r="AE295" s="358">
        <f t="shared" si="561"/>
        <v>24</v>
      </c>
      <c r="AF295" s="358">
        <f t="shared" si="562"/>
        <v>24</v>
      </c>
      <c r="AG295" s="358">
        <f t="shared" si="563"/>
        <v>24</v>
      </c>
      <c r="AH295" s="358">
        <f t="shared" si="564"/>
        <v>24</v>
      </c>
      <c r="AI295" s="358">
        <f t="shared" si="565"/>
        <v>24</v>
      </c>
      <c r="AJ295" s="358">
        <f t="shared" si="566"/>
        <v>24</v>
      </c>
      <c r="AK295" s="358">
        <f t="shared" si="567"/>
        <v>24</v>
      </c>
      <c r="AL295" s="359">
        <f t="shared" si="568"/>
        <v>24</v>
      </c>
      <c r="AM295" s="636"/>
      <c r="AN295" s="303">
        <f t="shared" ref="AN295:BV295" si="581">$C$295*D295</f>
        <v>240</v>
      </c>
      <c r="AO295" s="304">
        <f t="shared" si="581"/>
        <v>240</v>
      </c>
      <c r="AP295" s="304">
        <f t="shared" si="581"/>
        <v>240</v>
      </c>
      <c r="AQ295" s="304">
        <f t="shared" si="581"/>
        <v>240</v>
      </c>
      <c r="AR295" s="304">
        <f t="shared" si="581"/>
        <v>480</v>
      </c>
      <c r="AS295" s="304">
        <f t="shared" si="581"/>
        <v>960</v>
      </c>
      <c r="AT295" s="304">
        <f t="shared" si="581"/>
        <v>960</v>
      </c>
      <c r="AU295" s="304">
        <f t="shared" si="581"/>
        <v>960</v>
      </c>
      <c r="AV295" s="388">
        <f t="shared" si="581"/>
        <v>960</v>
      </c>
      <c r="AW295" s="376">
        <f t="shared" si="581"/>
        <v>960</v>
      </c>
      <c r="AX295" s="376">
        <f t="shared" si="581"/>
        <v>960</v>
      </c>
      <c r="AY295" s="376">
        <f t="shared" si="581"/>
        <v>960</v>
      </c>
      <c r="AZ295" s="376">
        <f t="shared" si="581"/>
        <v>960</v>
      </c>
      <c r="BA295" s="376">
        <f t="shared" si="581"/>
        <v>960</v>
      </c>
      <c r="BB295" s="376">
        <f t="shared" si="581"/>
        <v>960</v>
      </c>
      <c r="BC295" s="376">
        <f t="shared" si="581"/>
        <v>960</v>
      </c>
      <c r="BD295" s="376">
        <f t="shared" si="581"/>
        <v>960</v>
      </c>
      <c r="BE295" s="376">
        <f t="shared" si="581"/>
        <v>960</v>
      </c>
      <c r="BF295" s="376">
        <f t="shared" si="581"/>
        <v>240</v>
      </c>
      <c r="BG295" s="376">
        <f t="shared" si="581"/>
        <v>240</v>
      </c>
      <c r="BH295" s="376">
        <f t="shared" si="581"/>
        <v>240</v>
      </c>
      <c r="BI295" s="376">
        <f t="shared" si="581"/>
        <v>240</v>
      </c>
      <c r="BJ295" s="376">
        <f t="shared" si="581"/>
        <v>480</v>
      </c>
      <c r="BK295" s="376">
        <f t="shared" si="581"/>
        <v>960</v>
      </c>
      <c r="BL295" s="376">
        <f t="shared" si="581"/>
        <v>960</v>
      </c>
      <c r="BM295" s="376">
        <f t="shared" si="581"/>
        <v>960</v>
      </c>
      <c r="BN295" s="376">
        <f t="shared" si="581"/>
        <v>960</v>
      </c>
      <c r="BO295" s="376">
        <f t="shared" si="581"/>
        <v>960</v>
      </c>
      <c r="BP295" s="376">
        <f t="shared" si="581"/>
        <v>960</v>
      </c>
      <c r="BQ295" s="376">
        <f t="shared" si="581"/>
        <v>960</v>
      </c>
      <c r="BR295" s="376">
        <f t="shared" si="581"/>
        <v>960</v>
      </c>
      <c r="BS295" s="376">
        <f t="shared" si="581"/>
        <v>960</v>
      </c>
      <c r="BT295" s="376">
        <f t="shared" si="581"/>
        <v>960</v>
      </c>
      <c r="BU295" s="376">
        <f t="shared" si="581"/>
        <v>960</v>
      </c>
      <c r="BV295" s="377">
        <f t="shared" si="581"/>
        <v>960</v>
      </c>
    </row>
    <row r="296" spans="1:74" ht="20.149999999999999" hidden="1" customHeight="1" outlineLevel="2" x14ac:dyDescent="0.25">
      <c r="A296" s="23" t="str">
        <f>'Quantidade-Cult.Perma.'!A100</f>
        <v>Espalhante</v>
      </c>
      <c r="B296" s="126" t="str">
        <f>'Quantidade-Cult.Perma.'!B100</f>
        <v>L</v>
      </c>
      <c r="C296" s="284">
        <f>'Quantidade-Cult.Perma.'!D100</f>
        <v>15</v>
      </c>
      <c r="D296" s="284">
        <f>'Quantidade-Cult.Perma.'!X100</f>
        <v>0.36</v>
      </c>
      <c r="E296" s="284">
        <f>'Quantidade-Cult.Perma.'!Y100</f>
        <v>0.48</v>
      </c>
      <c r="F296" s="284">
        <f>'Quantidade-Cult.Perma.'!Z100</f>
        <v>0.6</v>
      </c>
      <c r="G296" s="284">
        <f>'Quantidade-Cult.Perma.'!AA100</f>
        <v>0.6</v>
      </c>
      <c r="H296" s="284">
        <f>'Quantidade-Cult.Perma.'!AB100</f>
        <v>1.2</v>
      </c>
      <c r="I296" s="284">
        <f>'Quantidade-Cult.Perma.'!AC100</f>
        <v>2.4</v>
      </c>
      <c r="J296" s="284">
        <f>'Quantidade-Cult.Perma.'!AD100</f>
        <v>6</v>
      </c>
      <c r="K296" s="284">
        <f>'Quantidade-Cult.Perma.'!AE100</f>
        <v>6</v>
      </c>
      <c r="L296" s="358">
        <f>'Quantidade-Cult.Perma.'!AF100</f>
        <v>6</v>
      </c>
      <c r="M296" s="358">
        <f>'Quantidade-Cult.Perma.'!AG100</f>
        <v>6</v>
      </c>
      <c r="N296" s="358">
        <f>'Quantidade-Cult.Perma.'!AH100</f>
        <v>6</v>
      </c>
      <c r="O296" s="358">
        <f>'Quantidade-Cult.Perma.'!AI100</f>
        <v>6</v>
      </c>
      <c r="P296" s="358">
        <f>'Quantidade-Cult.Perma.'!AJ100</f>
        <v>6</v>
      </c>
      <c r="Q296" s="358">
        <f>'Quantidade-Cult.Perma.'!AK100</f>
        <v>6</v>
      </c>
      <c r="R296" s="358">
        <f>'Quantidade-Cult.Perma.'!AL100</f>
        <v>6</v>
      </c>
      <c r="S296" s="358">
        <f>'Quantidade-Cult.Perma.'!AM100</f>
        <v>6</v>
      </c>
      <c r="T296" s="358">
        <f>'Quantidade-Cult.Perma.'!AN100</f>
        <v>6</v>
      </c>
      <c r="U296" s="358">
        <f>'Quantidade-Cult.Perma.'!AO100</f>
        <v>6</v>
      </c>
      <c r="V296" s="358">
        <f t="shared" si="552"/>
        <v>0.36</v>
      </c>
      <c r="W296" s="358">
        <f t="shared" si="553"/>
        <v>0.48</v>
      </c>
      <c r="X296" s="358">
        <f t="shared" si="554"/>
        <v>0.6</v>
      </c>
      <c r="Y296" s="358">
        <f t="shared" si="555"/>
        <v>0.6</v>
      </c>
      <c r="Z296" s="358">
        <f t="shared" si="556"/>
        <v>1.2</v>
      </c>
      <c r="AA296" s="358">
        <f t="shared" si="557"/>
        <v>2.4</v>
      </c>
      <c r="AB296" s="358">
        <f t="shared" si="558"/>
        <v>6</v>
      </c>
      <c r="AC296" s="358">
        <f t="shared" si="559"/>
        <v>6</v>
      </c>
      <c r="AD296" s="358">
        <f t="shared" si="560"/>
        <v>6</v>
      </c>
      <c r="AE296" s="358">
        <f t="shared" si="561"/>
        <v>6</v>
      </c>
      <c r="AF296" s="358">
        <f t="shared" si="562"/>
        <v>6</v>
      </c>
      <c r="AG296" s="358">
        <f t="shared" si="563"/>
        <v>6</v>
      </c>
      <c r="AH296" s="358">
        <f t="shared" si="564"/>
        <v>6</v>
      </c>
      <c r="AI296" s="358">
        <f t="shared" si="565"/>
        <v>6</v>
      </c>
      <c r="AJ296" s="358">
        <f t="shared" si="566"/>
        <v>6</v>
      </c>
      <c r="AK296" s="358">
        <f t="shared" si="567"/>
        <v>6</v>
      </c>
      <c r="AL296" s="359">
        <f t="shared" si="568"/>
        <v>6</v>
      </c>
      <c r="AM296" s="636"/>
      <c r="AN296" s="303">
        <f t="shared" ref="AN296:BV296" si="582">$C$296*D296</f>
        <v>5.3999999999999995</v>
      </c>
      <c r="AO296" s="304">
        <f t="shared" si="582"/>
        <v>7.1999999999999993</v>
      </c>
      <c r="AP296" s="304">
        <f t="shared" si="582"/>
        <v>9</v>
      </c>
      <c r="AQ296" s="304">
        <f t="shared" si="582"/>
        <v>9</v>
      </c>
      <c r="AR296" s="304">
        <f t="shared" si="582"/>
        <v>18</v>
      </c>
      <c r="AS296" s="304">
        <f t="shared" si="582"/>
        <v>36</v>
      </c>
      <c r="AT296" s="304">
        <f t="shared" si="582"/>
        <v>90</v>
      </c>
      <c r="AU296" s="304">
        <f t="shared" si="582"/>
        <v>90</v>
      </c>
      <c r="AV296" s="388">
        <f t="shared" si="582"/>
        <v>90</v>
      </c>
      <c r="AW296" s="376">
        <f t="shared" si="582"/>
        <v>90</v>
      </c>
      <c r="AX296" s="376">
        <f t="shared" si="582"/>
        <v>90</v>
      </c>
      <c r="AY296" s="376">
        <f t="shared" si="582"/>
        <v>90</v>
      </c>
      <c r="AZ296" s="376">
        <f t="shared" si="582"/>
        <v>90</v>
      </c>
      <c r="BA296" s="376">
        <f t="shared" si="582"/>
        <v>90</v>
      </c>
      <c r="BB296" s="376">
        <f t="shared" si="582"/>
        <v>90</v>
      </c>
      <c r="BC296" s="376">
        <f t="shared" si="582"/>
        <v>90</v>
      </c>
      <c r="BD296" s="376">
        <f t="shared" si="582"/>
        <v>90</v>
      </c>
      <c r="BE296" s="376">
        <f t="shared" si="582"/>
        <v>90</v>
      </c>
      <c r="BF296" s="376">
        <f t="shared" si="582"/>
        <v>5.3999999999999995</v>
      </c>
      <c r="BG296" s="376">
        <f t="shared" si="582"/>
        <v>7.1999999999999993</v>
      </c>
      <c r="BH296" s="376">
        <f t="shared" si="582"/>
        <v>9</v>
      </c>
      <c r="BI296" s="376">
        <f t="shared" si="582"/>
        <v>9</v>
      </c>
      <c r="BJ296" s="376">
        <f t="shared" si="582"/>
        <v>18</v>
      </c>
      <c r="BK296" s="376">
        <f t="shared" si="582"/>
        <v>36</v>
      </c>
      <c r="BL296" s="376">
        <f t="shared" si="582"/>
        <v>90</v>
      </c>
      <c r="BM296" s="376">
        <f t="shared" si="582"/>
        <v>90</v>
      </c>
      <c r="BN296" s="376">
        <f t="shared" si="582"/>
        <v>90</v>
      </c>
      <c r="BO296" s="376">
        <f t="shared" si="582"/>
        <v>90</v>
      </c>
      <c r="BP296" s="376">
        <f t="shared" si="582"/>
        <v>90</v>
      </c>
      <c r="BQ296" s="376">
        <f t="shared" si="582"/>
        <v>90</v>
      </c>
      <c r="BR296" s="376">
        <f t="shared" si="582"/>
        <v>90</v>
      </c>
      <c r="BS296" s="376">
        <f t="shared" si="582"/>
        <v>90</v>
      </c>
      <c r="BT296" s="376">
        <f t="shared" si="582"/>
        <v>90</v>
      </c>
      <c r="BU296" s="376">
        <f t="shared" si="582"/>
        <v>90</v>
      </c>
      <c r="BV296" s="377">
        <f t="shared" si="582"/>
        <v>90</v>
      </c>
    </row>
    <row r="297" spans="1:74" ht="20.149999999999999" hidden="1" customHeight="1" outlineLevel="2" x14ac:dyDescent="0.25">
      <c r="A297" s="23" t="str">
        <f>'Quantidade-Cult.Perma.'!A101</f>
        <v>Herbicida</v>
      </c>
      <c r="B297" s="126" t="str">
        <f>'Quantidade-Cult.Perma.'!B101</f>
        <v>L</v>
      </c>
      <c r="C297" s="284">
        <f>'Quantidade-Cult.Perma.'!D101</f>
        <v>65</v>
      </c>
      <c r="D297" s="284">
        <f>'Quantidade-Cult.Perma.'!X101</f>
        <v>2</v>
      </c>
      <c r="E297" s="284">
        <f>'Quantidade-Cult.Perma.'!Y101</f>
        <v>2</v>
      </c>
      <c r="F297" s="284">
        <f>'Quantidade-Cult.Perma.'!Z101</f>
        <v>2</v>
      </c>
      <c r="G297" s="284">
        <f>'Quantidade-Cult.Perma.'!AA101</f>
        <v>2</v>
      </c>
      <c r="H297" s="284">
        <f>'Quantidade-Cult.Perma.'!AB101</f>
        <v>1.5</v>
      </c>
      <c r="I297" s="284">
        <f>'Quantidade-Cult.Perma.'!AC101</f>
        <v>1.5</v>
      </c>
      <c r="J297" s="284">
        <f>'Quantidade-Cult.Perma.'!AD101</f>
        <v>1.5</v>
      </c>
      <c r="K297" s="284">
        <f>'Quantidade-Cult.Perma.'!AE101</f>
        <v>1.5</v>
      </c>
      <c r="L297" s="358">
        <f>'Quantidade-Cult.Perma.'!AF101</f>
        <v>1.5</v>
      </c>
      <c r="M297" s="358">
        <f>'Quantidade-Cult.Perma.'!AG101</f>
        <v>1.5</v>
      </c>
      <c r="N297" s="358">
        <f>'Quantidade-Cult.Perma.'!AH101</f>
        <v>1.5</v>
      </c>
      <c r="O297" s="358">
        <f>'Quantidade-Cult.Perma.'!AI101</f>
        <v>1.5</v>
      </c>
      <c r="P297" s="358">
        <f>'Quantidade-Cult.Perma.'!AJ101</f>
        <v>1.5</v>
      </c>
      <c r="Q297" s="358">
        <f>'Quantidade-Cult.Perma.'!AK101</f>
        <v>1.5</v>
      </c>
      <c r="R297" s="358">
        <f>'Quantidade-Cult.Perma.'!AL101</f>
        <v>1.5</v>
      </c>
      <c r="S297" s="358">
        <f>'Quantidade-Cult.Perma.'!AM101</f>
        <v>1.5</v>
      </c>
      <c r="T297" s="358">
        <f>'Quantidade-Cult.Perma.'!AN101</f>
        <v>1.5</v>
      </c>
      <c r="U297" s="358">
        <f>'Quantidade-Cult.Perma.'!AO101</f>
        <v>1.5</v>
      </c>
      <c r="V297" s="358">
        <f t="shared" si="552"/>
        <v>2</v>
      </c>
      <c r="W297" s="358">
        <f t="shared" si="553"/>
        <v>2</v>
      </c>
      <c r="X297" s="358">
        <f t="shared" si="554"/>
        <v>2</v>
      </c>
      <c r="Y297" s="358">
        <f t="shared" si="555"/>
        <v>2</v>
      </c>
      <c r="Z297" s="358">
        <f t="shared" si="556"/>
        <v>1.5</v>
      </c>
      <c r="AA297" s="358">
        <f t="shared" si="557"/>
        <v>1.5</v>
      </c>
      <c r="AB297" s="358">
        <f t="shared" si="558"/>
        <v>1.5</v>
      </c>
      <c r="AC297" s="358">
        <f t="shared" si="559"/>
        <v>1.5</v>
      </c>
      <c r="AD297" s="358">
        <f t="shared" si="560"/>
        <v>1.5</v>
      </c>
      <c r="AE297" s="358">
        <f t="shared" si="561"/>
        <v>1.5</v>
      </c>
      <c r="AF297" s="358">
        <f t="shared" si="562"/>
        <v>1.5</v>
      </c>
      <c r="AG297" s="358">
        <f t="shared" si="563"/>
        <v>1.5</v>
      </c>
      <c r="AH297" s="358">
        <f t="shared" si="564"/>
        <v>1.5</v>
      </c>
      <c r="AI297" s="358">
        <f t="shared" si="565"/>
        <v>1.5</v>
      </c>
      <c r="AJ297" s="358">
        <f t="shared" si="566"/>
        <v>1.5</v>
      </c>
      <c r="AK297" s="358">
        <f t="shared" si="567"/>
        <v>1.5</v>
      </c>
      <c r="AL297" s="359">
        <f t="shared" si="568"/>
        <v>1.5</v>
      </c>
      <c r="AM297" s="636"/>
      <c r="AN297" s="303">
        <f t="shared" ref="AN297:BV297" si="583">$C$297*D297</f>
        <v>130</v>
      </c>
      <c r="AO297" s="304">
        <f t="shared" si="583"/>
        <v>130</v>
      </c>
      <c r="AP297" s="304">
        <f t="shared" si="583"/>
        <v>130</v>
      </c>
      <c r="AQ297" s="304">
        <f t="shared" si="583"/>
        <v>130</v>
      </c>
      <c r="AR297" s="304">
        <f t="shared" si="583"/>
        <v>97.5</v>
      </c>
      <c r="AS297" s="304">
        <f t="shared" si="583"/>
        <v>97.5</v>
      </c>
      <c r="AT297" s="304">
        <f t="shared" si="583"/>
        <v>97.5</v>
      </c>
      <c r="AU297" s="304">
        <f t="shared" si="583"/>
        <v>97.5</v>
      </c>
      <c r="AV297" s="388">
        <f t="shared" si="583"/>
        <v>97.5</v>
      </c>
      <c r="AW297" s="376">
        <f t="shared" si="583"/>
        <v>97.5</v>
      </c>
      <c r="AX297" s="376">
        <f t="shared" si="583"/>
        <v>97.5</v>
      </c>
      <c r="AY297" s="376">
        <f t="shared" si="583"/>
        <v>97.5</v>
      </c>
      <c r="AZ297" s="376">
        <f t="shared" si="583"/>
        <v>97.5</v>
      </c>
      <c r="BA297" s="376">
        <f t="shared" si="583"/>
        <v>97.5</v>
      </c>
      <c r="BB297" s="376">
        <f t="shared" si="583"/>
        <v>97.5</v>
      </c>
      <c r="BC297" s="376">
        <f t="shared" si="583"/>
        <v>97.5</v>
      </c>
      <c r="BD297" s="376">
        <f t="shared" si="583"/>
        <v>97.5</v>
      </c>
      <c r="BE297" s="376">
        <f t="shared" si="583"/>
        <v>97.5</v>
      </c>
      <c r="BF297" s="376">
        <f t="shared" si="583"/>
        <v>130</v>
      </c>
      <c r="BG297" s="376">
        <f t="shared" si="583"/>
        <v>130</v>
      </c>
      <c r="BH297" s="376">
        <f t="shared" si="583"/>
        <v>130</v>
      </c>
      <c r="BI297" s="376">
        <f t="shared" si="583"/>
        <v>130</v>
      </c>
      <c r="BJ297" s="376">
        <f t="shared" si="583"/>
        <v>97.5</v>
      </c>
      <c r="BK297" s="376">
        <f t="shared" si="583"/>
        <v>97.5</v>
      </c>
      <c r="BL297" s="376">
        <f t="shared" si="583"/>
        <v>97.5</v>
      </c>
      <c r="BM297" s="376">
        <f t="shared" si="583"/>
        <v>97.5</v>
      </c>
      <c r="BN297" s="376">
        <f t="shared" si="583"/>
        <v>97.5</v>
      </c>
      <c r="BO297" s="376">
        <f t="shared" si="583"/>
        <v>97.5</v>
      </c>
      <c r="BP297" s="376">
        <f t="shared" si="583"/>
        <v>97.5</v>
      </c>
      <c r="BQ297" s="376">
        <f t="shared" si="583"/>
        <v>97.5</v>
      </c>
      <c r="BR297" s="376">
        <f t="shared" si="583"/>
        <v>97.5</v>
      </c>
      <c r="BS297" s="376">
        <f t="shared" si="583"/>
        <v>97.5</v>
      </c>
      <c r="BT297" s="376">
        <f t="shared" si="583"/>
        <v>97.5</v>
      </c>
      <c r="BU297" s="376">
        <f t="shared" si="583"/>
        <v>97.5</v>
      </c>
      <c r="BV297" s="377">
        <f t="shared" si="583"/>
        <v>97.5</v>
      </c>
    </row>
    <row r="298" spans="1:74" ht="20.149999999999999" hidden="1" customHeight="1" outlineLevel="2" x14ac:dyDescent="0.25">
      <c r="A298" s="23" t="str">
        <f>'Quantidade-Cult.Perma.'!A102</f>
        <v>Óleo Mineral</v>
      </c>
      <c r="B298" s="126" t="str">
        <f>'Quantidade-Cult.Perma.'!B102</f>
        <v>L</v>
      </c>
      <c r="C298" s="284">
        <f>'Quantidade-Cult.Perma.'!D102</f>
        <v>10</v>
      </c>
      <c r="D298" s="284">
        <f>'Quantidade-Cult.Perma.'!X102</f>
        <v>3</v>
      </c>
      <c r="E298" s="284">
        <f>'Quantidade-Cult.Perma.'!Y102</f>
        <v>24</v>
      </c>
      <c r="F298" s="284">
        <f>'Quantidade-Cult.Perma.'!Z102</f>
        <v>24</v>
      </c>
      <c r="G298" s="284">
        <f>'Quantidade-Cult.Perma.'!AA102</f>
        <v>48</v>
      </c>
      <c r="H298" s="284">
        <f>'Quantidade-Cult.Perma.'!AB102</f>
        <v>72</v>
      </c>
      <c r="I298" s="284">
        <f>'Quantidade-Cult.Perma.'!AC102</f>
        <v>72</v>
      </c>
      <c r="J298" s="284">
        <f>'Quantidade-Cult.Perma.'!AD102</f>
        <v>72</v>
      </c>
      <c r="K298" s="284">
        <f>'Quantidade-Cult.Perma.'!AE102</f>
        <v>72</v>
      </c>
      <c r="L298" s="358">
        <f>'Quantidade-Cult.Perma.'!AF102</f>
        <v>72</v>
      </c>
      <c r="M298" s="358">
        <f>'Quantidade-Cult.Perma.'!AG102</f>
        <v>72</v>
      </c>
      <c r="N298" s="358">
        <f>'Quantidade-Cult.Perma.'!AH102</f>
        <v>72</v>
      </c>
      <c r="O298" s="358">
        <f>'Quantidade-Cult.Perma.'!AI102</f>
        <v>72</v>
      </c>
      <c r="P298" s="358">
        <f>'Quantidade-Cult.Perma.'!AJ102</f>
        <v>72</v>
      </c>
      <c r="Q298" s="358">
        <f>'Quantidade-Cult.Perma.'!AK102</f>
        <v>72</v>
      </c>
      <c r="R298" s="358">
        <f>'Quantidade-Cult.Perma.'!AL102</f>
        <v>72</v>
      </c>
      <c r="S298" s="358">
        <f>'Quantidade-Cult.Perma.'!AM102</f>
        <v>72</v>
      </c>
      <c r="T298" s="358">
        <f>'Quantidade-Cult.Perma.'!AN102</f>
        <v>72</v>
      </c>
      <c r="U298" s="358">
        <f>'Quantidade-Cult.Perma.'!AO102</f>
        <v>72</v>
      </c>
      <c r="V298" s="358">
        <f t="shared" si="552"/>
        <v>3</v>
      </c>
      <c r="W298" s="358">
        <f t="shared" si="553"/>
        <v>24</v>
      </c>
      <c r="X298" s="358">
        <f t="shared" si="554"/>
        <v>24</v>
      </c>
      <c r="Y298" s="358">
        <f t="shared" si="555"/>
        <v>48</v>
      </c>
      <c r="Z298" s="358">
        <f t="shared" si="556"/>
        <v>72</v>
      </c>
      <c r="AA298" s="358">
        <f t="shared" si="557"/>
        <v>72</v>
      </c>
      <c r="AB298" s="358">
        <f t="shared" si="558"/>
        <v>72</v>
      </c>
      <c r="AC298" s="358">
        <f t="shared" si="559"/>
        <v>72</v>
      </c>
      <c r="AD298" s="358">
        <f t="shared" si="560"/>
        <v>72</v>
      </c>
      <c r="AE298" s="358">
        <f t="shared" si="561"/>
        <v>72</v>
      </c>
      <c r="AF298" s="358">
        <f t="shared" si="562"/>
        <v>72</v>
      </c>
      <c r="AG298" s="358">
        <f t="shared" si="563"/>
        <v>72</v>
      </c>
      <c r="AH298" s="358">
        <f t="shared" si="564"/>
        <v>72</v>
      </c>
      <c r="AI298" s="358">
        <f t="shared" si="565"/>
        <v>72</v>
      </c>
      <c r="AJ298" s="358">
        <f t="shared" si="566"/>
        <v>72</v>
      </c>
      <c r="AK298" s="358">
        <f t="shared" si="567"/>
        <v>72</v>
      </c>
      <c r="AL298" s="359">
        <f t="shared" si="568"/>
        <v>72</v>
      </c>
      <c r="AM298" s="636"/>
      <c r="AN298" s="303">
        <f t="shared" ref="AN298:BV298" si="584">$C$298*D298</f>
        <v>30</v>
      </c>
      <c r="AO298" s="304">
        <f t="shared" si="584"/>
        <v>240</v>
      </c>
      <c r="AP298" s="304">
        <f t="shared" si="584"/>
        <v>240</v>
      </c>
      <c r="AQ298" s="304">
        <f t="shared" si="584"/>
        <v>480</v>
      </c>
      <c r="AR298" s="304">
        <f t="shared" si="584"/>
        <v>720</v>
      </c>
      <c r="AS298" s="304">
        <f t="shared" si="584"/>
        <v>720</v>
      </c>
      <c r="AT298" s="304">
        <f t="shared" si="584"/>
        <v>720</v>
      </c>
      <c r="AU298" s="304">
        <f t="shared" si="584"/>
        <v>720</v>
      </c>
      <c r="AV298" s="388">
        <f t="shared" si="584"/>
        <v>720</v>
      </c>
      <c r="AW298" s="376">
        <f t="shared" si="584"/>
        <v>720</v>
      </c>
      <c r="AX298" s="376">
        <f t="shared" si="584"/>
        <v>720</v>
      </c>
      <c r="AY298" s="376">
        <f t="shared" si="584"/>
        <v>720</v>
      </c>
      <c r="AZ298" s="376">
        <f t="shared" si="584"/>
        <v>720</v>
      </c>
      <c r="BA298" s="376">
        <f t="shared" si="584"/>
        <v>720</v>
      </c>
      <c r="BB298" s="376">
        <f t="shared" si="584"/>
        <v>720</v>
      </c>
      <c r="BC298" s="376">
        <f t="shared" si="584"/>
        <v>720</v>
      </c>
      <c r="BD298" s="376">
        <f t="shared" si="584"/>
        <v>720</v>
      </c>
      <c r="BE298" s="376">
        <f t="shared" si="584"/>
        <v>720</v>
      </c>
      <c r="BF298" s="376">
        <f t="shared" si="584"/>
        <v>30</v>
      </c>
      <c r="BG298" s="376">
        <f t="shared" si="584"/>
        <v>240</v>
      </c>
      <c r="BH298" s="376">
        <f t="shared" si="584"/>
        <v>240</v>
      </c>
      <c r="BI298" s="376">
        <f t="shared" si="584"/>
        <v>480</v>
      </c>
      <c r="BJ298" s="376">
        <f t="shared" si="584"/>
        <v>720</v>
      </c>
      <c r="BK298" s="376">
        <f t="shared" si="584"/>
        <v>720</v>
      </c>
      <c r="BL298" s="376">
        <f t="shared" si="584"/>
        <v>720</v>
      </c>
      <c r="BM298" s="376">
        <f t="shared" si="584"/>
        <v>720</v>
      </c>
      <c r="BN298" s="376">
        <f t="shared" si="584"/>
        <v>720</v>
      </c>
      <c r="BO298" s="376">
        <f t="shared" si="584"/>
        <v>720</v>
      </c>
      <c r="BP298" s="376">
        <f t="shared" si="584"/>
        <v>720</v>
      </c>
      <c r="BQ298" s="376">
        <f t="shared" si="584"/>
        <v>720</v>
      </c>
      <c r="BR298" s="376">
        <f t="shared" si="584"/>
        <v>720</v>
      </c>
      <c r="BS298" s="376">
        <f t="shared" si="584"/>
        <v>720</v>
      </c>
      <c r="BT298" s="376">
        <f t="shared" si="584"/>
        <v>720</v>
      </c>
      <c r="BU298" s="376">
        <f t="shared" si="584"/>
        <v>720</v>
      </c>
      <c r="BV298" s="377">
        <f t="shared" si="584"/>
        <v>720</v>
      </c>
    </row>
    <row r="299" spans="1:74" ht="20.149999999999999" hidden="1" customHeight="1" outlineLevel="2" x14ac:dyDescent="0.25">
      <c r="A299" s="23" t="str">
        <f>'Quantidade-Cult.Perma.'!A103</f>
        <v>Indutor floral</v>
      </c>
      <c r="B299" s="126" t="str">
        <f>'Quantidade-Cult.Perma.'!B103</f>
        <v>L</v>
      </c>
      <c r="C299" s="284">
        <f>'Quantidade-Cult.Perma.'!D103</f>
        <v>60</v>
      </c>
      <c r="D299" s="284">
        <f>'Quantidade-Cult.Perma.'!X103</f>
        <v>0</v>
      </c>
      <c r="E299" s="284">
        <f>'Quantidade-Cult.Perma.'!Y103</f>
        <v>0</v>
      </c>
      <c r="F299" s="284">
        <f>'Quantidade-Cult.Perma.'!Z103</f>
        <v>4.9000000000000004</v>
      </c>
      <c r="G299" s="284">
        <f>'Quantidade-Cult.Perma.'!AA103</f>
        <v>6.3</v>
      </c>
      <c r="H299" s="284">
        <f>'Quantidade-Cult.Perma.'!AB103</f>
        <v>7.7</v>
      </c>
      <c r="I299" s="284">
        <f>'Quantidade-Cult.Perma.'!AC103</f>
        <v>7.7</v>
      </c>
      <c r="J299" s="284">
        <f>'Quantidade-Cult.Perma.'!AD103</f>
        <v>7.7</v>
      </c>
      <c r="K299" s="284">
        <f>'Quantidade-Cult.Perma.'!AE103</f>
        <v>7.7</v>
      </c>
      <c r="L299" s="358">
        <f>'Quantidade-Cult.Perma.'!AF103</f>
        <v>7.7</v>
      </c>
      <c r="M299" s="358">
        <f>'Quantidade-Cult.Perma.'!AG103</f>
        <v>7.7</v>
      </c>
      <c r="N299" s="358">
        <f>'Quantidade-Cult.Perma.'!AH103</f>
        <v>7.7</v>
      </c>
      <c r="O299" s="358">
        <f>'Quantidade-Cult.Perma.'!AI103</f>
        <v>7.7</v>
      </c>
      <c r="P299" s="358">
        <f>'Quantidade-Cult.Perma.'!AJ103</f>
        <v>7.7</v>
      </c>
      <c r="Q299" s="358">
        <f>'Quantidade-Cult.Perma.'!AK103</f>
        <v>7.7</v>
      </c>
      <c r="R299" s="358">
        <f>'Quantidade-Cult.Perma.'!AL103</f>
        <v>7.7</v>
      </c>
      <c r="S299" s="358">
        <f>'Quantidade-Cult.Perma.'!AM103</f>
        <v>7.7</v>
      </c>
      <c r="T299" s="358">
        <f>'Quantidade-Cult.Perma.'!AN103</f>
        <v>7.7</v>
      </c>
      <c r="U299" s="358">
        <f>'Quantidade-Cult.Perma.'!AO103</f>
        <v>7.7</v>
      </c>
      <c r="V299" s="358">
        <f t="shared" si="552"/>
        <v>0</v>
      </c>
      <c r="W299" s="358">
        <f t="shared" si="553"/>
        <v>0</v>
      </c>
      <c r="X299" s="358">
        <f t="shared" si="554"/>
        <v>4.9000000000000004</v>
      </c>
      <c r="Y299" s="358">
        <f t="shared" si="555"/>
        <v>6.3</v>
      </c>
      <c r="Z299" s="358">
        <f t="shared" si="556"/>
        <v>7.7</v>
      </c>
      <c r="AA299" s="358">
        <f t="shared" si="557"/>
        <v>7.7</v>
      </c>
      <c r="AB299" s="358">
        <f t="shared" si="558"/>
        <v>7.7</v>
      </c>
      <c r="AC299" s="358">
        <f t="shared" si="559"/>
        <v>7.7</v>
      </c>
      <c r="AD299" s="358">
        <f t="shared" si="560"/>
        <v>7.7</v>
      </c>
      <c r="AE299" s="358">
        <f t="shared" si="561"/>
        <v>7.7</v>
      </c>
      <c r="AF299" s="358">
        <f t="shared" si="562"/>
        <v>7.7</v>
      </c>
      <c r="AG299" s="358">
        <f t="shared" si="563"/>
        <v>7.7</v>
      </c>
      <c r="AH299" s="358">
        <f t="shared" si="564"/>
        <v>7.7</v>
      </c>
      <c r="AI299" s="358">
        <f t="shared" si="565"/>
        <v>7.7</v>
      </c>
      <c r="AJ299" s="358">
        <f t="shared" si="566"/>
        <v>7.7</v>
      </c>
      <c r="AK299" s="358">
        <f t="shared" si="567"/>
        <v>7.7</v>
      </c>
      <c r="AL299" s="359">
        <f t="shared" si="568"/>
        <v>7.7</v>
      </c>
      <c r="AM299" s="636"/>
      <c r="AN299" s="303">
        <f t="shared" ref="AN299:BV299" si="585">$C$299*D299</f>
        <v>0</v>
      </c>
      <c r="AO299" s="304">
        <f t="shared" si="585"/>
        <v>0</v>
      </c>
      <c r="AP299" s="304">
        <f t="shared" si="585"/>
        <v>294</v>
      </c>
      <c r="AQ299" s="304">
        <f t="shared" si="585"/>
        <v>378</v>
      </c>
      <c r="AR299" s="304">
        <f t="shared" si="585"/>
        <v>462</v>
      </c>
      <c r="AS299" s="304">
        <f t="shared" si="585"/>
        <v>462</v>
      </c>
      <c r="AT299" s="304">
        <f t="shared" si="585"/>
        <v>462</v>
      </c>
      <c r="AU299" s="304">
        <f t="shared" si="585"/>
        <v>462</v>
      </c>
      <c r="AV299" s="388">
        <f t="shared" si="585"/>
        <v>462</v>
      </c>
      <c r="AW299" s="376">
        <f t="shared" si="585"/>
        <v>462</v>
      </c>
      <c r="AX299" s="376">
        <f t="shared" si="585"/>
        <v>462</v>
      </c>
      <c r="AY299" s="376">
        <f t="shared" si="585"/>
        <v>462</v>
      </c>
      <c r="AZ299" s="376">
        <f t="shared" si="585"/>
        <v>462</v>
      </c>
      <c r="BA299" s="376">
        <f t="shared" si="585"/>
        <v>462</v>
      </c>
      <c r="BB299" s="376">
        <f t="shared" si="585"/>
        <v>462</v>
      </c>
      <c r="BC299" s="376">
        <f t="shared" si="585"/>
        <v>462</v>
      </c>
      <c r="BD299" s="376">
        <f t="shared" si="585"/>
        <v>462</v>
      </c>
      <c r="BE299" s="376">
        <f t="shared" si="585"/>
        <v>462</v>
      </c>
      <c r="BF299" s="376">
        <f t="shared" si="585"/>
        <v>0</v>
      </c>
      <c r="BG299" s="376">
        <f t="shared" si="585"/>
        <v>0</v>
      </c>
      <c r="BH299" s="376">
        <f t="shared" si="585"/>
        <v>294</v>
      </c>
      <c r="BI299" s="376">
        <f t="shared" si="585"/>
        <v>378</v>
      </c>
      <c r="BJ299" s="376">
        <f t="shared" si="585"/>
        <v>462</v>
      </c>
      <c r="BK299" s="376">
        <f t="shared" si="585"/>
        <v>462</v>
      </c>
      <c r="BL299" s="376">
        <f t="shared" si="585"/>
        <v>462</v>
      </c>
      <c r="BM299" s="376">
        <f t="shared" si="585"/>
        <v>462</v>
      </c>
      <c r="BN299" s="376">
        <f t="shared" si="585"/>
        <v>462</v>
      </c>
      <c r="BO299" s="376">
        <f t="shared" si="585"/>
        <v>462</v>
      </c>
      <c r="BP299" s="376">
        <f t="shared" si="585"/>
        <v>462</v>
      </c>
      <c r="BQ299" s="376">
        <f t="shared" si="585"/>
        <v>462</v>
      </c>
      <c r="BR299" s="376">
        <f t="shared" si="585"/>
        <v>462</v>
      </c>
      <c r="BS299" s="376">
        <f t="shared" si="585"/>
        <v>462</v>
      </c>
      <c r="BT299" s="376">
        <f t="shared" si="585"/>
        <v>462</v>
      </c>
      <c r="BU299" s="376">
        <f t="shared" si="585"/>
        <v>462</v>
      </c>
      <c r="BV299" s="377">
        <f t="shared" si="585"/>
        <v>462</v>
      </c>
    </row>
    <row r="300" spans="1:74" ht="20.149999999999999" hidden="1" customHeight="1" outlineLevel="2" thickBot="1" x14ac:dyDescent="0.3">
      <c r="A300" s="321" t="str">
        <f>'Quantidade-Cult.Perma.'!A104</f>
        <v>Muda Limao</v>
      </c>
      <c r="B300" s="336" t="str">
        <f>'Quantidade-Cult.Perma.'!B104</f>
        <v>UD</v>
      </c>
      <c r="C300" s="322">
        <f>'Quantidade-Cult.Perma.'!D104</f>
        <v>20</v>
      </c>
      <c r="D300" s="322">
        <f>'Quantidade-Cult.Perma.'!X104</f>
        <v>350</v>
      </c>
      <c r="E300" s="322">
        <f>'Quantidade-Cult.Perma.'!Y104</f>
        <v>0</v>
      </c>
      <c r="F300" s="322">
        <f>'Quantidade-Cult.Perma.'!Z104</f>
        <v>0</v>
      </c>
      <c r="G300" s="322">
        <f>'Quantidade-Cult.Perma.'!AA104</f>
        <v>0</v>
      </c>
      <c r="H300" s="322">
        <f>'Quantidade-Cult.Perma.'!AB104</f>
        <v>0</v>
      </c>
      <c r="I300" s="322">
        <f>'Quantidade-Cult.Perma.'!AC104</f>
        <v>0</v>
      </c>
      <c r="J300" s="322">
        <f>'Quantidade-Cult.Perma.'!AD104</f>
        <v>0</v>
      </c>
      <c r="K300" s="322">
        <f>'Quantidade-Cult.Perma.'!AE104</f>
        <v>0</v>
      </c>
      <c r="L300" s="360">
        <f>'Quantidade-Cult.Perma.'!AF104</f>
        <v>0</v>
      </c>
      <c r="M300" s="360">
        <f>'Quantidade-Cult.Perma.'!AG104</f>
        <v>0</v>
      </c>
      <c r="N300" s="360">
        <f>'Quantidade-Cult.Perma.'!AH104</f>
        <v>0</v>
      </c>
      <c r="O300" s="360">
        <f>'Quantidade-Cult.Perma.'!AI104</f>
        <v>0</v>
      </c>
      <c r="P300" s="360">
        <f>'Quantidade-Cult.Perma.'!AJ104</f>
        <v>0</v>
      </c>
      <c r="Q300" s="360">
        <f>'Quantidade-Cult.Perma.'!AK104</f>
        <v>0</v>
      </c>
      <c r="R300" s="360">
        <f>'Quantidade-Cult.Perma.'!AL104</f>
        <v>0</v>
      </c>
      <c r="S300" s="360">
        <f>'Quantidade-Cult.Perma.'!AM104</f>
        <v>0</v>
      </c>
      <c r="T300" s="360">
        <f>'Quantidade-Cult.Perma.'!AN104</f>
        <v>0</v>
      </c>
      <c r="U300" s="360">
        <f>'Quantidade-Cult.Perma.'!AO104</f>
        <v>0</v>
      </c>
      <c r="V300" s="360">
        <f t="shared" si="552"/>
        <v>350</v>
      </c>
      <c r="W300" s="360">
        <f t="shared" si="553"/>
        <v>0</v>
      </c>
      <c r="X300" s="360">
        <f t="shared" si="554"/>
        <v>0</v>
      </c>
      <c r="Y300" s="360">
        <f t="shared" si="555"/>
        <v>0</v>
      </c>
      <c r="Z300" s="360">
        <f t="shared" si="556"/>
        <v>0</v>
      </c>
      <c r="AA300" s="360">
        <f t="shared" si="557"/>
        <v>0</v>
      </c>
      <c r="AB300" s="360">
        <f t="shared" si="558"/>
        <v>0</v>
      </c>
      <c r="AC300" s="360">
        <f t="shared" si="559"/>
        <v>0</v>
      </c>
      <c r="AD300" s="360">
        <f t="shared" si="560"/>
        <v>0</v>
      </c>
      <c r="AE300" s="360">
        <f t="shared" si="561"/>
        <v>0</v>
      </c>
      <c r="AF300" s="360">
        <f t="shared" si="562"/>
        <v>0</v>
      </c>
      <c r="AG300" s="360">
        <f t="shared" si="563"/>
        <v>0</v>
      </c>
      <c r="AH300" s="360">
        <f t="shared" si="564"/>
        <v>0</v>
      </c>
      <c r="AI300" s="360">
        <f t="shared" si="565"/>
        <v>0</v>
      </c>
      <c r="AJ300" s="360">
        <f t="shared" si="566"/>
        <v>0</v>
      </c>
      <c r="AK300" s="360">
        <f t="shared" si="567"/>
        <v>0</v>
      </c>
      <c r="AL300" s="361">
        <f t="shared" si="568"/>
        <v>0</v>
      </c>
      <c r="AM300" s="636"/>
      <c r="AN300" s="305">
        <f>$C$300*D300</f>
        <v>7000</v>
      </c>
      <c r="AO300" s="306">
        <f t="shared" ref="AO300:BV300" si="586">E300*$C$300</f>
        <v>0</v>
      </c>
      <c r="AP300" s="306">
        <f t="shared" si="586"/>
        <v>0</v>
      </c>
      <c r="AQ300" s="306">
        <f t="shared" si="586"/>
        <v>0</v>
      </c>
      <c r="AR300" s="306">
        <f t="shared" si="586"/>
        <v>0</v>
      </c>
      <c r="AS300" s="306">
        <f t="shared" si="586"/>
        <v>0</v>
      </c>
      <c r="AT300" s="306">
        <f t="shared" si="586"/>
        <v>0</v>
      </c>
      <c r="AU300" s="306">
        <f t="shared" si="586"/>
        <v>0</v>
      </c>
      <c r="AV300" s="399">
        <f t="shared" si="586"/>
        <v>0</v>
      </c>
      <c r="AW300" s="400">
        <f t="shared" si="586"/>
        <v>0</v>
      </c>
      <c r="AX300" s="400">
        <f t="shared" si="586"/>
        <v>0</v>
      </c>
      <c r="AY300" s="400">
        <f t="shared" si="586"/>
        <v>0</v>
      </c>
      <c r="AZ300" s="400">
        <f t="shared" si="586"/>
        <v>0</v>
      </c>
      <c r="BA300" s="400">
        <f t="shared" si="586"/>
        <v>0</v>
      </c>
      <c r="BB300" s="400">
        <f t="shared" si="586"/>
        <v>0</v>
      </c>
      <c r="BC300" s="400">
        <f t="shared" si="586"/>
        <v>0</v>
      </c>
      <c r="BD300" s="400">
        <f t="shared" si="586"/>
        <v>0</v>
      </c>
      <c r="BE300" s="400">
        <f t="shared" si="586"/>
        <v>0</v>
      </c>
      <c r="BF300" s="400">
        <f t="shared" si="586"/>
        <v>7000</v>
      </c>
      <c r="BG300" s="400">
        <f t="shared" si="586"/>
        <v>0</v>
      </c>
      <c r="BH300" s="400">
        <f t="shared" si="586"/>
        <v>0</v>
      </c>
      <c r="BI300" s="400">
        <f t="shared" si="586"/>
        <v>0</v>
      </c>
      <c r="BJ300" s="400">
        <f t="shared" si="586"/>
        <v>0</v>
      </c>
      <c r="BK300" s="400">
        <f t="shared" si="586"/>
        <v>0</v>
      </c>
      <c r="BL300" s="400">
        <f t="shared" si="586"/>
        <v>0</v>
      </c>
      <c r="BM300" s="400">
        <f t="shared" si="586"/>
        <v>0</v>
      </c>
      <c r="BN300" s="400">
        <f t="shared" si="586"/>
        <v>0</v>
      </c>
      <c r="BO300" s="400">
        <f t="shared" si="586"/>
        <v>0</v>
      </c>
      <c r="BP300" s="400">
        <f t="shared" si="586"/>
        <v>0</v>
      </c>
      <c r="BQ300" s="400">
        <f t="shared" si="586"/>
        <v>0</v>
      </c>
      <c r="BR300" s="400">
        <f t="shared" si="586"/>
        <v>0</v>
      </c>
      <c r="BS300" s="400">
        <f t="shared" si="586"/>
        <v>0</v>
      </c>
      <c r="BT300" s="400">
        <f t="shared" si="586"/>
        <v>0</v>
      </c>
      <c r="BU300" s="400">
        <f t="shared" si="586"/>
        <v>0</v>
      </c>
      <c r="BV300" s="401">
        <f t="shared" si="586"/>
        <v>0</v>
      </c>
    </row>
    <row r="301" spans="1:74" s="408" customFormat="1" ht="20.149999999999999" hidden="1" customHeight="1" outlineLevel="2" thickBot="1" x14ac:dyDescent="0.3">
      <c r="A301" s="1114" t="s">
        <v>101</v>
      </c>
      <c r="B301" s="1115"/>
      <c r="C301" s="1115"/>
      <c r="D301" s="1115"/>
      <c r="E301" s="1115"/>
      <c r="F301" s="1115"/>
      <c r="G301" s="1115"/>
      <c r="H301" s="1115"/>
      <c r="I301" s="1115"/>
      <c r="J301" s="1115"/>
      <c r="K301" s="1115"/>
      <c r="L301" s="1115"/>
      <c r="M301" s="1115"/>
      <c r="N301" s="1115"/>
      <c r="O301" s="1115"/>
      <c r="P301" s="1115"/>
      <c r="Q301" s="1115"/>
      <c r="R301" s="1115"/>
      <c r="S301" s="1115"/>
      <c r="T301" s="1115"/>
      <c r="U301" s="1115"/>
      <c r="V301" s="1115"/>
      <c r="W301" s="1115"/>
      <c r="X301" s="1115"/>
      <c r="Y301" s="1115"/>
      <c r="Z301" s="1115"/>
      <c r="AA301" s="1115"/>
      <c r="AB301" s="1115"/>
      <c r="AC301" s="1115"/>
      <c r="AD301" s="1115"/>
      <c r="AE301" s="1115"/>
      <c r="AF301" s="1115"/>
      <c r="AG301" s="1115"/>
      <c r="AH301" s="1115"/>
      <c r="AI301" s="1115"/>
      <c r="AJ301" s="1115"/>
      <c r="AK301" s="1115"/>
      <c r="AL301" s="1115"/>
      <c r="AM301" s="1116"/>
      <c r="AN301" s="406">
        <f t="shared" ref="AN301:BV301" si="587">SUM(AN283:AN300)</f>
        <v>11708.224999999999</v>
      </c>
      <c r="AO301" s="406">
        <f t="shared" si="587"/>
        <v>6491.5</v>
      </c>
      <c r="AP301" s="406">
        <f t="shared" si="587"/>
        <v>8963.5</v>
      </c>
      <c r="AQ301" s="406">
        <f t="shared" si="587"/>
        <v>12119.7</v>
      </c>
      <c r="AR301" s="406">
        <f t="shared" si="587"/>
        <v>15126.4</v>
      </c>
      <c r="AS301" s="406">
        <f t="shared" si="587"/>
        <v>17036.8</v>
      </c>
      <c r="AT301" s="406">
        <f t="shared" si="587"/>
        <v>17372.2</v>
      </c>
      <c r="AU301" s="406">
        <f t="shared" si="587"/>
        <v>17372.2</v>
      </c>
      <c r="AV301" s="406">
        <f t="shared" si="587"/>
        <v>17372.2</v>
      </c>
      <c r="AW301" s="407">
        <f t="shared" si="587"/>
        <v>17372.2</v>
      </c>
      <c r="AX301" s="407">
        <f t="shared" si="587"/>
        <v>17372.2</v>
      </c>
      <c r="AY301" s="407">
        <f t="shared" si="587"/>
        <v>17372.2</v>
      </c>
      <c r="AZ301" s="407">
        <f t="shared" si="587"/>
        <v>17372.2</v>
      </c>
      <c r="BA301" s="407">
        <f t="shared" si="587"/>
        <v>17372.2</v>
      </c>
      <c r="BB301" s="407">
        <f t="shared" si="587"/>
        <v>17372.2</v>
      </c>
      <c r="BC301" s="407">
        <f t="shared" si="587"/>
        <v>17372.2</v>
      </c>
      <c r="BD301" s="407">
        <f t="shared" si="587"/>
        <v>17372.2</v>
      </c>
      <c r="BE301" s="407">
        <f t="shared" si="587"/>
        <v>17372.2</v>
      </c>
      <c r="BF301" s="407">
        <f t="shared" si="587"/>
        <v>11708.224999999999</v>
      </c>
      <c r="BG301" s="407">
        <f t="shared" si="587"/>
        <v>6491.5</v>
      </c>
      <c r="BH301" s="407">
        <f t="shared" si="587"/>
        <v>8963.5</v>
      </c>
      <c r="BI301" s="407">
        <f t="shared" si="587"/>
        <v>12119.7</v>
      </c>
      <c r="BJ301" s="407">
        <f t="shared" si="587"/>
        <v>15126.4</v>
      </c>
      <c r="BK301" s="407">
        <f t="shared" si="587"/>
        <v>17036.8</v>
      </c>
      <c r="BL301" s="407">
        <f t="shared" si="587"/>
        <v>17372.2</v>
      </c>
      <c r="BM301" s="407">
        <f t="shared" si="587"/>
        <v>17372.2</v>
      </c>
      <c r="BN301" s="407">
        <f t="shared" si="587"/>
        <v>17372.2</v>
      </c>
      <c r="BO301" s="407">
        <f t="shared" si="587"/>
        <v>17372.2</v>
      </c>
      <c r="BP301" s="407">
        <f t="shared" si="587"/>
        <v>17372.2</v>
      </c>
      <c r="BQ301" s="407">
        <f t="shared" si="587"/>
        <v>17372.2</v>
      </c>
      <c r="BR301" s="407">
        <f t="shared" si="587"/>
        <v>17372.2</v>
      </c>
      <c r="BS301" s="407">
        <f t="shared" si="587"/>
        <v>17372.2</v>
      </c>
      <c r="BT301" s="407">
        <f t="shared" si="587"/>
        <v>17372.2</v>
      </c>
      <c r="BU301" s="407">
        <f t="shared" si="587"/>
        <v>17372.2</v>
      </c>
      <c r="BV301" s="407">
        <f t="shared" si="587"/>
        <v>17372.2</v>
      </c>
    </row>
    <row r="302" spans="1:74" ht="13" hidden="1" outlineLevel="2" collapsed="1" thickBot="1" x14ac:dyDescent="0.3"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6"/>
      <c r="AN302" s="6"/>
      <c r="AO302" s="6"/>
      <c r="AP302" s="6"/>
      <c r="AQ302" s="6"/>
      <c r="AR302" s="6"/>
      <c r="AS302" s="6"/>
      <c r="AT302" s="6"/>
      <c r="AU302" s="6"/>
    </row>
    <row r="303" spans="1:74" s="123" customFormat="1" ht="27" customHeight="1" outlineLevel="1" collapsed="1" thickBot="1" x14ac:dyDescent="0.3">
      <c r="A303" s="1109" t="s">
        <v>53</v>
      </c>
      <c r="B303" s="1110"/>
      <c r="C303" s="1110"/>
      <c r="D303" s="1110"/>
      <c r="E303" s="1110"/>
      <c r="F303" s="1110"/>
      <c r="G303" s="1110"/>
      <c r="H303" s="1110"/>
      <c r="I303" s="1110"/>
      <c r="J303" s="1110"/>
      <c r="K303" s="1110"/>
      <c r="L303" s="1110"/>
      <c r="M303" s="1110"/>
      <c r="N303" s="1110"/>
      <c r="O303" s="1110"/>
      <c r="P303" s="1110"/>
      <c r="Q303" s="1110"/>
      <c r="R303" s="1110"/>
      <c r="S303" s="1110"/>
      <c r="T303" s="1110"/>
      <c r="U303" s="1110"/>
      <c r="V303" s="1110"/>
      <c r="W303" s="1110"/>
      <c r="X303" s="1110"/>
      <c r="Y303" s="1110"/>
      <c r="Z303" s="1110"/>
      <c r="AA303" s="1110"/>
      <c r="AB303" s="1110"/>
      <c r="AC303" s="1110"/>
      <c r="AD303" s="1110"/>
      <c r="AE303" s="1110"/>
      <c r="AF303" s="1110"/>
      <c r="AG303" s="1110"/>
      <c r="AH303" s="1110"/>
      <c r="AI303" s="1110"/>
      <c r="AJ303" s="1110"/>
      <c r="AK303" s="1110"/>
      <c r="AL303" s="1110"/>
      <c r="AM303" s="1110"/>
      <c r="AN303" s="1110"/>
      <c r="AO303" s="1110"/>
      <c r="AP303" s="1110"/>
      <c r="AQ303" s="1110"/>
      <c r="AR303" s="1110"/>
      <c r="AS303" s="1110"/>
      <c r="AT303" s="1110"/>
      <c r="AU303" s="1110"/>
      <c r="AV303" s="1110"/>
      <c r="AW303" s="1110"/>
      <c r="AX303" s="1110"/>
      <c r="AY303" s="1110"/>
      <c r="AZ303" s="1110"/>
      <c r="BA303" s="1110"/>
      <c r="BB303" s="1110"/>
      <c r="BC303" s="1110"/>
      <c r="BD303" s="1110"/>
      <c r="BE303" s="1110"/>
      <c r="BF303" s="1110"/>
      <c r="BG303" s="1110"/>
      <c r="BH303" s="1110"/>
      <c r="BI303" s="1110"/>
      <c r="BJ303" s="1110"/>
      <c r="BK303" s="1110"/>
      <c r="BL303" s="1110"/>
      <c r="BM303" s="1110"/>
      <c r="BN303" s="1110"/>
      <c r="BO303" s="1110"/>
      <c r="BP303" s="1110"/>
      <c r="BQ303" s="1110"/>
      <c r="BR303" s="1110"/>
      <c r="BS303" s="1110"/>
      <c r="BT303" s="1110"/>
      <c r="BU303" s="1110"/>
      <c r="BV303" s="1111"/>
    </row>
    <row r="304" spans="1:74" ht="18" hidden="1" customHeight="1" outlineLevel="2" thickBot="1" x14ac:dyDescent="0.3">
      <c r="A304" s="1112" t="s">
        <v>113</v>
      </c>
      <c r="B304" s="1112" t="s">
        <v>8</v>
      </c>
      <c r="C304" s="1112" t="s">
        <v>100</v>
      </c>
      <c r="D304" s="1103" t="s">
        <v>97</v>
      </c>
      <c r="E304" s="1104"/>
      <c r="F304" s="1104"/>
      <c r="G304" s="1104"/>
      <c r="H304" s="1104"/>
      <c r="I304" s="1104"/>
      <c r="J304" s="1104"/>
      <c r="K304" s="1104"/>
      <c r="L304" s="1104"/>
      <c r="M304" s="1104"/>
      <c r="N304" s="1104"/>
      <c r="O304" s="1104"/>
      <c r="P304" s="1104"/>
      <c r="Q304" s="1104"/>
      <c r="R304" s="1104"/>
      <c r="S304" s="1104"/>
      <c r="T304" s="1104"/>
      <c r="U304" s="1104"/>
      <c r="V304" s="1104"/>
      <c r="W304" s="1104"/>
      <c r="X304" s="1104"/>
      <c r="Y304" s="1104"/>
      <c r="Z304" s="1104"/>
      <c r="AA304" s="1104"/>
      <c r="AB304" s="1104"/>
      <c r="AC304" s="1104"/>
      <c r="AD304" s="1104"/>
      <c r="AE304" s="1104"/>
      <c r="AF304" s="1104"/>
      <c r="AG304" s="1104"/>
      <c r="AH304" s="1104"/>
      <c r="AI304" s="1104"/>
      <c r="AJ304" s="1104"/>
      <c r="AK304" s="1104"/>
      <c r="AL304" s="1105"/>
      <c r="AM304" s="634"/>
      <c r="AN304" s="1103" t="s">
        <v>99</v>
      </c>
      <c r="AO304" s="1104"/>
      <c r="AP304" s="1104"/>
      <c r="AQ304" s="1104"/>
      <c r="AR304" s="1104"/>
      <c r="AS304" s="1104"/>
      <c r="AT304" s="1104"/>
      <c r="AU304" s="1104"/>
      <c r="AV304" s="1104"/>
      <c r="AW304" s="1104"/>
      <c r="AX304" s="1104"/>
      <c r="AY304" s="1104"/>
      <c r="AZ304" s="1104"/>
      <c r="BA304" s="1104"/>
      <c r="BB304" s="1104"/>
      <c r="BC304" s="1104"/>
      <c r="BD304" s="1104"/>
      <c r="BE304" s="1104"/>
      <c r="BF304" s="1104"/>
      <c r="BG304" s="1104"/>
      <c r="BH304" s="1104"/>
      <c r="BI304" s="1104"/>
      <c r="BJ304" s="1104"/>
      <c r="BK304" s="1104"/>
      <c r="BL304" s="1104"/>
      <c r="BM304" s="1104"/>
      <c r="BN304" s="1104"/>
      <c r="BO304" s="1104"/>
      <c r="BP304" s="1104"/>
      <c r="BQ304" s="1104"/>
      <c r="BR304" s="1104"/>
      <c r="BS304" s="1104"/>
      <c r="BT304" s="1104"/>
      <c r="BU304" s="1104"/>
      <c r="BV304" s="1105"/>
    </row>
    <row r="305" spans="1:74" ht="18" hidden="1" customHeight="1" outlineLevel="2" thickBot="1" x14ac:dyDescent="0.3">
      <c r="A305" s="1113"/>
      <c r="B305" s="1113"/>
      <c r="C305" s="1113"/>
      <c r="D305" s="275">
        <v>1</v>
      </c>
      <c r="E305" s="211">
        <v>2</v>
      </c>
      <c r="F305" s="211">
        <v>3</v>
      </c>
      <c r="G305" s="211">
        <v>4</v>
      </c>
      <c r="H305" s="211">
        <v>5</v>
      </c>
      <c r="I305" s="211">
        <v>6</v>
      </c>
      <c r="J305" s="211">
        <v>7</v>
      </c>
      <c r="K305" s="211">
        <v>8</v>
      </c>
      <c r="L305" s="211">
        <v>9</v>
      </c>
      <c r="M305" s="211">
        <v>10</v>
      </c>
      <c r="N305" s="211">
        <v>11</v>
      </c>
      <c r="O305" s="211">
        <v>12</v>
      </c>
      <c r="P305" s="211">
        <v>13</v>
      </c>
      <c r="Q305" s="211">
        <v>14</v>
      </c>
      <c r="R305" s="211">
        <v>15</v>
      </c>
      <c r="S305" s="211">
        <v>16</v>
      </c>
      <c r="T305" s="211">
        <v>17</v>
      </c>
      <c r="U305" s="211">
        <v>18</v>
      </c>
      <c r="V305" s="211">
        <v>19</v>
      </c>
      <c r="W305" s="211">
        <v>20</v>
      </c>
      <c r="X305" s="211">
        <v>21</v>
      </c>
      <c r="Y305" s="211">
        <v>22</v>
      </c>
      <c r="Z305" s="211">
        <v>23</v>
      </c>
      <c r="AA305" s="211">
        <v>24</v>
      </c>
      <c r="AB305" s="211">
        <v>25</v>
      </c>
      <c r="AC305" s="211">
        <v>26</v>
      </c>
      <c r="AD305" s="211">
        <v>27</v>
      </c>
      <c r="AE305" s="211">
        <v>28</v>
      </c>
      <c r="AF305" s="211">
        <v>29</v>
      </c>
      <c r="AG305" s="211">
        <v>30</v>
      </c>
      <c r="AH305" s="211">
        <v>31</v>
      </c>
      <c r="AI305" s="211">
        <v>32</v>
      </c>
      <c r="AJ305" s="211">
        <v>33</v>
      </c>
      <c r="AK305" s="211">
        <v>34</v>
      </c>
      <c r="AL305" s="212">
        <v>35</v>
      </c>
      <c r="AM305" s="635"/>
      <c r="AN305" s="275">
        <v>1</v>
      </c>
      <c r="AO305" s="211">
        <v>2</v>
      </c>
      <c r="AP305" s="211">
        <v>3</v>
      </c>
      <c r="AQ305" s="211">
        <v>4</v>
      </c>
      <c r="AR305" s="211">
        <v>5</v>
      </c>
      <c r="AS305" s="211">
        <v>6</v>
      </c>
      <c r="AT305" s="211">
        <v>7</v>
      </c>
      <c r="AU305" s="211">
        <v>8</v>
      </c>
      <c r="AV305" s="211">
        <v>9</v>
      </c>
      <c r="AW305" s="211">
        <v>10</v>
      </c>
      <c r="AX305" s="211">
        <v>11</v>
      </c>
      <c r="AY305" s="211">
        <v>12</v>
      </c>
      <c r="AZ305" s="211">
        <v>13</v>
      </c>
      <c r="BA305" s="211">
        <v>14</v>
      </c>
      <c r="BB305" s="211">
        <v>15</v>
      </c>
      <c r="BC305" s="211">
        <v>16</v>
      </c>
      <c r="BD305" s="211">
        <v>17</v>
      </c>
      <c r="BE305" s="211">
        <v>18</v>
      </c>
      <c r="BF305" s="211">
        <v>19</v>
      </c>
      <c r="BG305" s="211">
        <v>20</v>
      </c>
      <c r="BH305" s="211">
        <v>21</v>
      </c>
      <c r="BI305" s="211">
        <v>22</v>
      </c>
      <c r="BJ305" s="211">
        <v>23</v>
      </c>
      <c r="BK305" s="211">
        <v>24</v>
      </c>
      <c r="BL305" s="211">
        <v>25</v>
      </c>
      <c r="BM305" s="211">
        <v>26</v>
      </c>
      <c r="BN305" s="211">
        <v>27</v>
      </c>
      <c r="BO305" s="211">
        <v>28</v>
      </c>
      <c r="BP305" s="211">
        <v>29</v>
      </c>
      <c r="BQ305" s="211">
        <v>30</v>
      </c>
      <c r="BR305" s="211">
        <v>31</v>
      </c>
      <c r="BS305" s="211">
        <v>32</v>
      </c>
      <c r="BT305" s="211">
        <v>33</v>
      </c>
      <c r="BU305" s="211">
        <v>34</v>
      </c>
      <c r="BV305" s="212">
        <v>35</v>
      </c>
    </row>
    <row r="306" spans="1:74" ht="20.149999999999999" hidden="1" customHeight="1" outlineLevel="2" x14ac:dyDescent="0.25">
      <c r="A306" s="19" t="s">
        <v>46</v>
      </c>
      <c r="B306" s="10" t="s">
        <v>21</v>
      </c>
      <c r="C306" s="279">
        <f>'Custos Diversos'!$C$21</f>
        <v>136</v>
      </c>
      <c r="D306" s="279">
        <v>8</v>
      </c>
      <c r="E306" s="279"/>
      <c r="F306" s="279"/>
      <c r="G306" s="279"/>
      <c r="H306" s="279"/>
      <c r="I306" s="279"/>
      <c r="J306" s="279"/>
      <c r="K306" s="279"/>
      <c r="L306" s="356"/>
      <c r="M306" s="356"/>
      <c r="N306" s="356"/>
      <c r="O306" s="356"/>
      <c r="P306" s="356"/>
      <c r="Q306" s="356"/>
      <c r="R306" s="356"/>
      <c r="S306" s="356"/>
      <c r="T306" s="356"/>
      <c r="U306" s="356"/>
      <c r="V306" s="356">
        <f t="shared" ref="V306:V317" si="588">D306</f>
        <v>8</v>
      </c>
      <c r="W306" s="356">
        <f t="shared" ref="W306:W317" si="589">E306</f>
        <v>0</v>
      </c>
      <c r="X306" s="356">
        <f t="shared" ref="X306:X317" si="590">F306</f>
        <v>0</v>
      </c>
      <c r="Y306" s="356">
        <f t="shared" ref="Y306:Y317" si="591">G306</f>
        <v>0</v>
      </c>
      <c r="Z306" s="356">
        <f t="shared" ref="Z306:Z317" si="592">H306</f>
        <v>0</v>
      </c>
      <c r="AA306" s="356">
        <f t="shared" ref="AA306:AA317" si="593">I306</f>
        <v>0</v>
      </c>
      <c r="AB306" s="356">
        <f t="shared" ref="AB306:AB317" si="594">J306</f>
        <v>0</v>
      </c>
      <c r="AC306" s="356">
        <f t="shared" ref="AC306:AC317" si="595">K306</f>
        <v>0</v>
      </c>
      <c r="AD306" s="356">
        <f t="shared" ref="AD306:AD317" si="596">L306</f>
        <v>0</v>
      </c>
      <c r="AE306" s="356">
        <f t="shared" ref="AE306:AE317" si="597">M306</f>
        <v>0</v>
      </c>
      <c r="AF306" s="356">
        <f t="shared" ref="AF306:AF317" si="598">N306</f>
        <v>0</v>
      </c>
      <c r="AG306" s="356">
        <f t="shared" ref="AG306:AG317" si="599">O306</f>
        <v>0</v>
      </c>
      <c r="AH306" s="356">
        <f t="shared" ref="AH306:AH317" si="600">P306</f>
        <v>0</v>
      </c>
      <c r="AI306" s="356">
        <f t="shared" ref="AI306:AI317" si="601">Q306</f>
        <v>0</v>
      </c>
      <c r="AJ306" s="356">
        <f t="shared" ref="AJ306:AJ317" si="602">R306</f>
        <v>0</v>
      </c>
      <c r="AK306" s="356">
        <f t="shared" ref="AK306:AK317" si="603">S306</f>
        <v>0</v>
      </c>
      <c r="AL306" s="357">
        <f t="shared" ref="AL306:AL317" si="604">T306</f>
        <v>0</v>
      </c>
      <c r="AM306" s="636"/>
      <c r="AN306" s="280">
        <f t="shared" ref="AN306:AN317" si="605">$C306*D306</f>
        <v>1088</v>
      </c>
      <c r="AO306" s="281">
        <f t="shared" ref="AO306:AO317" si="606">$C306*E306</f>
        <v>0</v>
      </c>
      <c r="AP306" s="281">
        <f t="shared" ref="AP306:AP317" si="607">$C306*F306</f>
        <v>0</v>
      </c>
      <c r="AQ306" s="281">
        <f t="shared" ref="AQ306:AQ317" si="608">$C306*G306</f>
        <v>0</v>
      </c>
      <c r="AR306" s="281">
        <f t="shared" ref="AR306:AR317" si="609">$C306*H306</f>
        <v>0</v>
      </c>
      <c r="AS306" s="281">
        <f t="shared" ref="AS306:AS317" si="610">$C306*I306</f>
        <v>0</v>
      </c>
      <c r="AT306" s="281">
        <f t="shared" ref="AT306:AT317" si="611">$C306*J306</f>
        <v>0</v>
      </c>
      <c r="AU306" s="281">
        <f t="shared" ref="AU306:AU317" si="612">$C306*K306</f>
        <v>0</v>
      </c>
      <c r="AV306" s="387">
        <f t="shared" ref="AV306:AV317" si="613">$C306*L306</f>
        <v>0</v>
      </c>
      <c r="AW306" s="374">
        <f t="shared" ref="AW306:AW317" si="614">$C306*M306</f>
        <v>0</v>
      </c>
      <c r="AX306" s="374">
        <f t="shared" ref="AX306:AX317" si="615">$C306*N306</f>
        <v>0</v>
      </c>
      <c r="AY306" s="374">
        <f t="shared" ref="AY306:AY317" si="616">$C306*O306</f>
        <v>0</v>
      </c>
      <c r="AZ306" s="374">
        <f t="shared" ref="AZ306:AZ317" si="617">$C306*P306</f>
        <v>0</v>
      </c>
      <c r="BA306" s="374">
        <f t="shared" ref="BA306:BA317" si="618">$C306*Q306</f>
        <v>0</v>
      </c>
      <c r="BB306" s="374">
        <f t="shared" ref="BB306:BB317" si="619">$C306*R306</f>
        <v>0</v>
      </c>
      <c r="BC306" s="374">
        <f t="shared" ref="BC306:BC317" si="620">$C306*S306</f>
        <v>0</v>
      </c>
      <c r="BD306" s="374">
        <f t="shared" ref="BD306:BD317" si="621">$C306*T306</f>
        <v>0</v>
      </c>
      <c r="BE306" s="374">
        <f t="shared" ref="BE306:BE317" si="622">$C306*U306</f>
        <v>0</v>
      </c>
      <c r="BF306" s="374">
        <f t="shared" ref="BF306:BF317" si="623">$C306*V306</f>
        <v>1088</v>
      </c>
      <c r="BG306" s="374">
        <f t="shared" ref="BG306:BG317" si="624">$C306*W306</f>
        <v>0</v>
      </c>
      <c r="BH306" s="374">
        <f t="shared" ref="BH306:BH317" si="625">$C306*X306</f>
        <v>0</v>
      </c>
      <c r="BI306" s="374">
        <f t="shared" ref="BI306:BI317" si="626">$C306*Y306</f>
        <v>0</v>
      </c>
      <c r="BJ306" s="374">
        <f t="shared" ref="BJ306:BJ317" si="627">$C306*Z306</f>
        <v>0</v>
      </c>
      <c r="BK306" s="374">
        <f t="shared" ref="BK306:BK317" si="628">$C306*AA306</f>
        <v>0</v>
      </c>
      <c r="BL306" s="374">
        <f t="shared" ref="BL306:BL317" si="629">$C306*AB306</f>
        <v>0</v>
      </c>
      <c r="BM306" s="374">
        <f t="shared" ref="BM306:BM317" si="630">$C306*AC306</f>
        <v>0</v>
      </c>
      <c r="BN306" s="374">
        <f t="shared" ref="BN306:BN317" si="631">$C306*AD306</f>
        <v>0</v>
      </c>
      <c r="BO306" s="374">
        <f t="shared" ref="BO306:BO317" si="632">$C306*AE306</f>
        <v>0</v>
      </c>
      <c r="BP306" s="374">
        <f t="shared" ref="BP306:BP317" si="633">$C306*AF306</f>
        <v>0</v>
      </c>
      <c r="BQ306" s="374">
        <f t="shared" ref="BQ306:BQ317" si="634">$C306*AG306</f>
        <v>0</v>
      </c>
      <c r="BR306" s="374">
        <f t="shared" ref="BR306:BR317" si="635">$C306*AH306</f>
        <v>0</v>
      </c>
      <c r="BS306" s="374">
        <f t="shared" ref="BS306:BS317" si="636">$C306*AI306</f>
        <v>0</v>
      </c>
      <c r="BT306" s="374">
        <f t="shared" ref="BT306:BT317" si="637">$C306*AJ306</f>
        <v>0</v>
      </c>
      <c r="BU306" s="374">
        <f t="shared" ref="BU306:BU317" si="638">$C306*AK306</f>
        <v>0</v>
      </c>
      <c r="BV306" s="375">
        <f t="shared" ref="BV306:BV317" si="639">$C306*AL306</f>
        <v>0</v>
      </c>
    </row>
    <row r="307" spans="1:74" ht="20.149999999999999" hidden="1" customHeight="1" outlineLevel="2" x14ac:dyDescent="0.25">
      <c r="A307" s="23" t="s">
        <v>15</v>
      </c>
      <c r="B307" s="8" t="s">
        <v>21</v>
      </c>
      <c r="C307" s="284">
        <f>'Custos Diversos'!$C$21</f>
        <v>136</v>
      </c>
      <c r="D307" s="284">
        <v>8</v>
      </c>
      <c r="E307" s="284"/>
      <c r="F307" s="284"/>
      <c r="G307" s="284"/>
      <c r="H307" s="284"/>
      <c r="I307" s="284"/>
      <c r="J307" s="284"/>
      <c r="K307" s="284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>
        <f t="shared" si="588"/>
        <v>8</v>
      </c>
      <c r="W307" s="358">
        <f t="shared" si="589"/>
        <v>0</v>
      </c>
      <c r="X307" s="358">
        <f t="shared" si="590"/>
        <v>0</v>
      </c>
      <c r="Y307" s="358">
        <f t="shared" si="591"/>
        <v>0</v>
      </c>
      <c r="Z307" s="358">
        <f t="shared" si="592"/>
        <v>0</v>
      </c>
      <c r="AA307" s="358">
        <f t="shared" si="593"/>
        <v>0</v>
      </c>
      <c r="AB307" s="358">
        <f t="shared" si="594"/>
        <v>0</v>
      </c>
      <c r="AC307" s="358">
        <f t="shared" si="595"/>
        <v>0</v>
      </c>
      <c r="AD307" s="358">
        <f t="shared" si="596"/>
        <v>0</v>
      </c>
      <c r="AE307" s="358">
        <f t="shared" si="597"/>
        <v>0</v>
      </c>
      <c r="AF307" s="358">
        <f t="shared" si="598"/>
        <v>0</v>
      </c>
      <c r="AG307" s="358">
        <f t="shared" si="599"/>
        <v>0</v>
      </c>
      <c r="AH307" s="358">
        <f t="shared" si="600"/>
        <v>0</v>
      </c>
      <c r="AI307" s="358">
        <f t="shared" si="601"/>
        <v>0</v>
      </c>
      <c r="AJ307" s="358">
        <f t="shared" si="602"/>
        <v>0</v>
      </c>
      <c r="AK307" s="358">
        <f t="shared" si="603"/>
        <v>0</v>
      </c>
      <c r="AL307" s="359">
        <f t="shared" si="604"/>
        <v>0</v>
      </c>
      <c r="AM307" s="636"/>
      <c r="AN307" s="285">
        <f t="shared" si="605"/>
        <v>1088</v>
      </c>
      <c r="AO307" s="286">
        <f t="shared" si="606"/>
        <v>0</v>
      </c>
      <c r="AP307" s="286">
        <f t="shared" si="607"/>
        <v>0</v>
      </c>
      <c r="AQ307" s="286">
        <f t="shared" si="608"/>
        <v>0</v>
      </c>
      <c r="AR307" s="286">
        <f t="shared" si="609"/>
        <v>0</v>
      </c>
      <c r="AS307" s="286">
        <f t="shared" si="610"/>
        <v>0</v>
      </c>
      <c r="AT307" s="286">
        <f t="shared" si="611"/>
        <v>0</v>
      </c>
      <c r="AU307" s="286">
        <f t="shared" si="612"/>
        <v>0</v>
      </c>
      <c r="AV307" s="388">
        <f t="shared" si="613"/>
        <v>0</v>
      </c>
      <c r="AW307" s="376">
        <f t="shared" si="614"/>
        <v>0</v>
      </c>
      <c r="AX307" s="376">
        <f t="shared" si="615"/>
        <v>0</v>
      </c>
      <c r="AY307" s="376">
        <f t="shared" si="616"/>
        <v>0</v>
      </c>
      <c r="AZ307" s="376">
        <f t="shared" si="617"/>
        <v>0</v>
      </c>
      <c r="BA307" s="376">
        <f t="shared" si="618"/>
        <v>0</v>
      </c>
      <c r="BB307" s="376">
        <f t="shared" si="619"/>
        <v>0</v>
      </c>
      <c r="BC307" s="376">
        <f t="shared" si="620"/>
        <v>0</v>
      </c>
      <c r="BD307" s="376">
        <f t="shared" si="621"/>
        <v>0</v>
      </c>
      <c r="BE307" s="376">
        <f t="shared" si="622"/>
        <v>0</v>
      </c>
      <c r="BF307" s="376">
        <f t="shared" si="623"/>
        <v>1088</v>
      </c>
      <c r="BG307" s="376">
        <f t="shared" si="624"/>
        <v>0</v>
      </c>
      <c r="BH307" s="376">
        <f t="shared" si="625"/>
        <v>0</v>
      </c>
      <c r="BI307" s="376">
        <f t="shared" si="626"/>
        <v>0</v>
      </c>
      <c r="BJ307" s="376">
        <f t="shared" si="627"/>
        <v>0</v>
      </c>
      <c r="BK307" s="376">
        <f t="shared" si="628"/>
        <v>0</v>
      </c>
      <c r="BL307" s="376">
        <f t="shared" si="629"/>
        <v>0</v>
      </c>
      <c r="BM307" s="376">
        <f t="shared" si="630"/>
        <v>0</v>
      </c>
      <c r="BN307" s="376">
        <f t="shared" si="631"/>
        <v>0</v>
      </c>
      <c r="BO307" s="376">
        <f t="shared" si="632"/>
        <v>0</v>
      </c>
      <c r="BP307" s="376">
        <f t="shared" si="633"/>
        <v>0</v>
      </c>
      <c r="BQ307" s="376">
        <f t="shared" si="634"/>
        <v>0</v>
      </c>
      <c r="BR307" s="376">
        <f t="shared" si="635"/>
        <v>0</v>
      </c>
      <c r="BS307" s="376">
        <f t="shared" si="636"/>
        <v>0</v>
      </c>
      <c r="BT307" s="376">
        <f t="shared" si="637"/>
        <v>0</v>
      </c>
      <c r="BU307" s="376">
        <f t="shared" si="638"/>
        <v>0</v>
      </c>
      <c r="BV307" s="377">
        <f t="shared" si="639"/>
        <v>0</v>
      </c>
    </row>
    <row r="308" spans="1:74" ht="20.149999999999999" hidden="1" customHeight="1" outlineLevel="2" x14ac:dyDescent="0.25">
      <c r="A308" s="23" t="s">
        <v>16</v>
      </c>
      <c r="B308" s="8" t="s">
        <v>21</v>
      </c>
      <c r="C308" s="284">
        <f>'Custos Diversos'!$C$21</f>
        <v>136</v>
      </c>
      <c r="D308" s="284">
        <v>4</v>
      </c>
      <c r="E308" s="284"/>
      <c r="F308" s="284"/>
      <c r="G308" s="284"/>
      <c r="H308" s="284"/>
      <c r="I308" s="284"/>
      <c r="J308" s="284"/>
      <c r="K308" s="284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>
        <f t="shared" si="588"/>
        <v>4</v>
      </c>
      <c r="W308" s="358">
        <f t="shared" si="589"/>
        <v>0</v>
      </c>
      <c r="X308" s="358">
        <f t="shared" si="590"/>
        <v>0</v>
      </c>
      <c r="Y308" s="358">
        <f t="shared" si="591"/>
        <v>0</v>
      </c>
      <c r="Z308" s="358">
        <f t="shared" si="592"/>
        <v>0</v>
      </c>
      <c r="AA308" s="358">
        <f t="shared" si="593"/>
        <v>0</v>
      </c>
      <c r="AB308" s="358">
        <f t="shared" si="594"/>
        <v>0</v>
      </c>
      <c r="AC308" s="358">
        <f t="shared" si="595"/>
        <v>0</v>
      </c>
      <c r="AD308" s="358">
        <f t="shared" si="596"/>
        <v>0</v>
      </c>
      <c r="AE308" s="358">
        <f t="shared" si="597"/>
        <v>0</v>
      </c>
      <c r="AF308" s="358">
        <f t="shared" si="598"/>
        <v>0</v>
      </c>
      <c r="AG308" s="358">
        <f t="shared" si="599"/>
        <v>0</v>
      </c>
      <c r="AH308" s="358">
        <f t="shared" si="600"/>
        <v>0</v>
      </c>
      <c r="AI308" s="358">
        <f t="shared" si="601"/>
        <v>0</v>
      </c>
      <c r="AJ308" s="358">
        <f t="shared" si="602"/>
        <v>0</v>
      </c>
      <c r="AK308" s="358">
        <f t="shared" si="603"/>
        <v>0</v>
      </c>
      <c r="AL308" s="359">
        <f t="shared" si="604"/>
        <v>0</v>
      </c>
      <c r="AM308" s="636"/>
      <c r="AN308" s="285">
        <f t="shared" si="605"/>
        <v>544</v>
      </c>
      <c r="AO308" s="286">
        <f t="shared" si="606"/>
        <v>0</v>
      </c>
      <c r="AP308" s="286">
        <f t="shared" si="607"/>
        <v>0</v>
      </c>
      <c r="AQ308" s="286">
        <f t="shared" si="608"/>
        <v>0</v>
      </c>
      <c r="AR308" s="286">
        <f t="shared" si="609"/>
        <v>0</v>
      </c>
      <c r="AS308" s="286">
        <f t="shared" si="610"/>
        <v>0</v>
      </c>
      <c r="AT308" s="286">
        <f t="shared" si="611"/>
        <v>0</v>
      </c>
      <c r="AU308" s="286">
        <f t="shared" si="612"/>
        <v>0</v>
      </c>
      <c r="AV308" s="388">
        <f t="shared" si="613"/>
        <v>0</v>
      </c>
      <c r="AW308" s="376">
        <f t="shared" si="614"/>
        <v>0</v>
      </c>
      <c r="AX308" s="376">
        <f t="shared" si="615"/>
        <v>0</v>
      </c>
      <c r="AY308" s="376">
        <f t="shared" si="616"/>
        <v>0</v>
      </c>
      <c r="AZ308" s="376">
        <f t="shared" si="617"/>
        <v>0</v>
      </c>
      <c r="BA308" s="376">
        <f t="shared" si="618"/>
        <v>0</v>
      </c>
      <c r="BB308" s="376">
        <f t="shared" si="619"/>
        <v>0</v>
      </c>
      <c r="BC308" s="376">
        <f t="shared" si="620"/>
        <v>0</v>
      </c>
      <c r="BD308" s="376">
        <f t="shared" si="621"/>
        <v>0</v>
      </c>
      <c r="BE308" s="376">
        <f t="shared" si="622"/>
        <v>0</v>
      </c>
      <c r="BF308" s="376">
        <f t="shared" si="623"/>
        <v>544</v>
      </c>
      <c r="BG308" s="376">
        <f t="shared" si="624"/>
        <v>0</v>
      </c>
      <c r="BH308" s="376">
        <f t="shared" si="625"/>
        <v>0</v>
      </c>
      <c r="BI308" s="376">
        <f t="shared" si="626"/>
        <v>0</v>
      </c>
      <c r="BJ308" s="376">
        <f t="shared" si="627"/>
        <v>0</v>
      </c>
      <c r="BK308" s="376">
        <f t="shared" si="628"/>
        <v>0</v>
      </c>
      <c r="BL308" s="376">
        <f t="shared" si="629"/>
        <v>0</v>
      </c>
      <c r="BM308" s="376">
        <f t="shared" si="630"/>
        <v>0</v>
      </c>
      <c r="BN308" s="376">
        <f t="shared" si="631"/>
        <v>0</v>
      </c>
      <c r="BO308" s="376">
        <f t="shared" si="632"/>
        <v>0</v>
      </c>
      <c r="BP308" s="376">
        <f t="shared" si="633"/>
        <v>0</v>
      </c>
      <c r="BQ308" s="376">
        <f t="shared" si="634"/>
        <v>0</v>
      </c>
      <c r="BR308" s="376">
        <f t="shared" si="635"/>
        <v>0</v>
      </c>
      <c r="BS308" s="376">
        <f t="shared" si="636"/>
        <v>0</v>
      </c>
      <c r="BT308" s="376">
        <f t="shared" si="637"/>
        <v>0</v>
      </c>
      <c r="BU308" s="376">
        <f t="shared" si="638"/>
        <v>0</v>
      </c>
      <c r="BV308" s="377">
        <f t="shared" si="639"/>
        <v>0</v>
      </c>
    </row>
    <row r="309" spans="1:74" ht="20.149999999999999" hidden="1" customHeight="1" outlineLevel="2" x14ac:dyDescent="0.25">
      <c r="A309" s="23" t="s">
        <v>17</v>
      </c>
      <c r="B309" s="8" t="s">
        <v>21</v>
      </c>
      <c r="C309" s="284">
        <f>'Custos Diversos'!$C$21</f>
        <v>136</v>
      </c>
      <c r="D309" s="284">
        <v>0.5</v>
      </c>
      <c r="E309" s="284">
        <v>0.5</v>
      </c>
      <c r="F309" s="284">
        <v>0.25</v>
      </c>
      <c r="G309" s="284">
        <v>0.25</v>
      </c>
      <c r="H309" s="284">
        <v>0.25</v>
      </c>
      <c r="I309" s="284">
        <v>0.25</v>
      </c>
      <c r="J309" s="284">
        <v>0.25</v>
      </c>
      <c r="K309" s="284">
        <v>0.25</v>
      </c>
      <c r="L309" s="358">
        <v>0.25</v>
      </c>
      <c r="M309" s="358">
        <v>0.25</v>
      </c>
      <c r="N309" s="358">
        <v>0.25</v>
      </c>
      <c r="O309" s="358">
        <v>0.25</v>
      </c>
      <c r="P309" s="358">
        <v>0.25</v>
      </c>
      <c r="Q309" s="358">
        <v>0.25</v>
      </c>
      <c r="R309" s="358">
        <v>0.25</v>
      </c>
      <c r="S309" s="358">
        <v>0.25</v>
      </c>
      <c r="T309" s="358">
        <v>0.25</v>
      </c>
      <c r="U309" s="358">
        <v>0.25</v>
      </c>
      <c r="V309" s="358">
        <f t="shared" si="588"/>
        <v>0.5</v>
      </c>
      <c r="W309" s="358">
        <f t="shared" si="589"/>
        <v>0.5</v>
      </c>
      <c r="X309" s="358">
        <f t="shared" si="590"/>
        <v>0.25</v>
      </c>
      <c r="Y309" s="358">
        <f t="shared" si="591"/>
        <v>0.25</v>
      </c>
      <c r="Z309" s="358">
        <f t="shared" si="592"/>
        <v>0.25</v>
      </c>
      <c r="AA309" s="358">
        <f t="shared" si="593"/>
        <v>0.25</v>
      </c>
      <c r="AB309" s="358">
        <f t="shared" si="594"/>
        <v>0.25</v>
      </c>
      <c r="AC309" s="358">
        <f t="shared" si="595"/>
        <v>0.25</v>
      </c>
      <c r="AD309" s="358">
        <f t="shared" si="596"/>
        <v>0.25</v>
      </c>
      <c r="AE309" s="358">
        <f t="shared" si="597"/>
        <v>0.25</v>
      </c>
      <c r="AF309" s="358">
        <f t="shared" si="598"/>
        <v>0.25</v>
      </c>
      <c r="AG309" s="358">
        <f t="shared" si="599"/>
        <v>0.25</v>
      </c>
      <c r="AH309" s="358">
        <f t="shared" si="600"/>
        <v>0.25</v>
      </c>
      <c r="AI309" s="358">
        <f t="shared" si="601"/>
        <v>0.25</v>
      </c>
      <c r="AJ309" s="358">
        <f t="shared" si="602"/>
        <v>0.25</v>
      </c>
      <c r="AK309" s="358">
        <f t="shared" si="603"/>
        <v>0.25</v>
      </c>
      <c r="AL309" s="359">
        <f t="shared" si="604"/>
        <v>0.25</v>
      </c>
      <c r="AM309" s="636"/>
      <c r="AN309" s="285">
        <f t="shared" si="605"/>
        <v>68</v>
      </c>
      <c r="AO309" s="286">
        <f t="shared" si="606"/>
        <v>68</v>
      </c>
      <c r="AP309" s="286">
        <f t="shared" si="607"/>
        <v>34</v>
      </c>
      <c r="AQ309" s="286">
        <f t="shared" si="608"/>
        <v>34</v>
      </c>
      <c r="AR309" s="286">
        <f t="shared" si="609"/>
        <v>34</v>
      </c>
      <c r="AS309" s="286">
        <f t="shared" si="610"/>
        <v>34</v>
      </c>
      <c r="AT309" s="286">
        <f t="shared" si="611"/>
        <v>34</v>
      </c>
      <c r="AU309" s="286">
        <f t="shared" si="612"/>
        <v>34</v>
      </c>
      <c r="AV309" s="388">
        <f t="shared" si="613"/>
        <v>34</v>
      </c>
      <c r="AW309" s="376">
        <f t="shared" si="614"/>
        <v>34</v>
      </c>
      <c r="AX309" s="376">
        <f t="shared" si="615"/>
        <v>34</v>
      </c>
      <c r="AY309" s="376">
        <f t="shared" si="616"/>
        <v>34</v>
      </c>
      <c r="AZ309" s="376">
        <f t="shared" si="617"/>
        <v>34</v>
      </c>
      <c r="BA309" s="376">
        <f t="shared" si="618"/>
        <v>34</v>
      </c>
      <c r="BB309" s="376">
        <f t="shared" si="619"/>
        <v>34</v>
      </c>
      <c r="BC309" s="376">
        <f t="shared" si="620"/>
        <v>34</v>
      </c>
      <c r="BD309" s="376">
        <f t="shared" si="621"/>
        <v>34</v>
      </c>
      <c r="BE309" s="376">
        <f t="shared" si="622"/>
        <v>34</v>
      </c>
      <c r="BF309" s="376">
        <f t="shared" si="623"/>
        <v>68</v>
      </c>
      <c r="BG309" s="376">
        <f t="shared" si="624"/>
        <v>68</v>
      </c>
      <c r="BH309" s="376">
        <f t="shared" si="625"/>
        <v>34</v>
      </c>
      <c r="BI309" s="376">
        <f t="shared" si="626"/>
        <v>34</v>
      </c>
      <c r="BJ309" s="376">
        <f t="shared" si="627"/>
        <v>34</v>
      </c>
      <c r="BK309" s="376">
        <f t="shared" si="628"/>
        <v>34</v>
      </c>
      <c r="BL309" s="376">
        <f t="shared" si="629"/>
        <v>34</v>
      </c>
      <c r="BM309" s="376">
        <f t="shared" si="630"/>
        <v>34</v>
      </c>
      <c r="BN309" s="376">
        <f t="shared" si="631"/>
        <v>34</v>
      </c>
      <c r="BO309" s="376">
        <f t="shared" si="632"/>
        <v>34</v>
      </c>
      <c r="BP309" s="376">
        <f t="shared" si="633"/>
        <v>34</v>
      </c>
      <c r="BQ309" s="376">
        <f t="shared" si="634"/>
        <v>34</v>
      </c>
      <c r="BR309" s="376">
        <f t="shared" si="635"/>
        <v>34</v>
      </c>
      <c r="BS309" s="376">
        <f t="shared" si="636"/>
        <v>34</v>
      </c>
      <c r="BT309" s="376">
        <f t="shared" si="637"/>
        <v>34</v>
      </c>
      <c r="BU309" s="376">
        <f t="shared" si="638"/>
        <v>34</v>
      </c>
      <c r="BV309" s="377">
        <f t="shared" si="639"/>
        <v>34</v>
      </c>
    </row>
    <row r="310" spans="1:74" ht="20.149999999999999" hidden="1" customHeight="1" outlineLevel="2" x14ac:dyDescent="0.25">
      <c r="A310" s="22" t="s">
        <v>191</v>
      </c>
      <c r="B310" s="8" t="s">
        <v>21</v>
      </c>
      <c r="C310" s="284">
        <f>'Custos Diversos'!$C$21</f>
        <v>136</v>
      </c>
      <c r="D310" s="284">
        <v>1</v>
      </c>
      <c r="E310" s="307">
        <v>1.5</v>
      </c>
      <c r="F310" s="284">
        <v>1.5</v>
      </c>
      <c r="G310" s="284">
        <v>2</v>
      </c>
      <c r="H310" s="284">
        <v>2</v>
      </c>
      <c r="I310" s="284">
        <v>2</v>
      </c>
      <c r="J310" s="284">
        <v>2</v>
      </c>
      <c r="K310" s="284">
        <v>2</v>
      </c>
      <c r="L310" s="358">
        <v>2</v>
      </c>
      <c r="M310" s="358">
        <v>2</v>
      </c>
      <c r="N310" s="358">
        <v>2</v>
      </c>
      <c r="O310" s="358">
        <v>2</v>
      </c>
      <c r="P310" s="358">
        <v>2</v>
      </c>
      <c r="Q310" s="358">
        <v>2</v>
      </c>
      <c r="R310" s="358">
        <v>2</v>
      </c>
      <c r="S310" s="358">
        <v>2</v>
      </c>
      <c r="T310" s="358">
        <v>2</v>
      </c>
      <c r="U310" s="358">
        <v>2</v>
      </c>
      <c r="V310" s="358">
        <f t="shared" si="588"/>
        <v>1</v>
      </c>
      <c r="W310" s="358">
        <f t="shared" si="589"/>
        <v>1.5</v>
      </c>
      <c r="X310" s="358">
        <f t="shared" si="590"/>
        <v>1.5</v>
      </c>
      <c r="Y310" s="358">
        <f t="shared" si="591"/>
        <v>2</v>
      </c>
      <c r="Z310" s="358">
        <f t="shared" si="592"/>
        <v>2</v>
      </c>
      <c r="AA310" s="358">
        <f t="shared" si="593"/>
        <v>2</v>
      </c>
      <c r="AB310" s="358">
        <f t="shared" si="594"/>
        <v>2</v>
      </c>
      <c r="AC310" s="358">
        <f t="shared" si="595"/>
        <v>2</v>
      </c>
      <c r="AD310" s="358">
        <f t="shared" si="596"/>
        <v>2</v>
      </c>
      <c r="AE310" s="358">
        <f t="shared" si="597"/>
        <v>2</v>
      </c>
      <c r="AF310" s="358">
        <f t="shared" si="598"/>
        <v>2</v>
      </c>
      <c r="AG310" s="358">
        <f t="shared" si="599"/>
        <v>2</v>
      </c>
      <c r="AH310" s="358">
        <f t="shared" si="600"/>
        <v>2</v>
      </c>
      <c r="AI310" s="358">
        <f t="shared" si="601"/>
        <v>2</v>
      </c>
      <c r="AJ310" s="358">
        <f t="shared" si="602"/>
        <v>2</v>
      </c>
      <c r="AK310" s="358">
        <f t="shared" si="603"/>
        <v>2</v>
      </c>
      <c r="AL310" s="359">
        <f t="shared" si="604"/>
        <v>2</v>
      </c>
      <c r="AM310" s="636"/>
      <c r="AN310" s="285">
        <f t="shared" si="605"/>
        <v>136</v>
      </c>
      <c r="AO310" s="286">
        <f t="shared" si="606"/>
        <v>204</v>
      </c>
      <c r="AP310" s="286">
        <f t="shared" si="607"/>
        <v>204</v>
      </c>
      <c r="AQ310" s="286">
        <f t="shared" si="608"/>
        <v>272</v>
      </c>
      <c r="AR310" s="286">
        <f t="shared" si="609"/>
        <v>272</v>
      </c>
      <c r="AS310" s="286">
        <f t="shared" si="610"/>
        <v>272</v>
      </c>
      <c r="AT310" s="286">
        <f t="shared" si="611"/>
        <v>272</v>
      </c>
      <c r="AU310" s="286">
        <f t="shared" si="612"/>
        <v>272</v>
      </c>
      <c r="AV310" s="388">
        <f t="shared" si="613"/>
        <v>272</v>
      </c>
      <c r="AW310" s="376">
        <f t="shared" si="614"/>
        <v>272</v>
      </c>
      <c r="AX310" s="376">
        <f t="shared" si="615"/>
        <v>272</v>
      </c>
      <c r="AY310" s="376">
        <f t="shared" si="616"/>
        <v>272</v>
      </c>
      <c r="AZ310" s="376">
        <f t="shared" si="617"/>
        <v>272</v>
      </c>
      <c r="BA310" s="376">
        <f t="shared" si="618"/>
        <v>272</v>
      </c>
      <c r="BB310" s="376">
        <f t="shared" si="619"/>
        <v>272</v>
      </c>
      <c r="BC310" s="376">
        <f t="shared" si="620"/>
        <v>272</v>
      </c>
      <c r="BD310" s="376">
        <f t="shared" si="621"/>
        <v>272</v>
      </c>
      <c r="BE310" s="376">
        <f t="shared" si="622"/>
        <v>272</v>
      </c>
      <c r="BF310" s="376">
        <f t="shared" si="623"/>
        <v>136</v>
      </c>
      <c r="BG310" s="376">
        <f t="shared" si="624"/>
        <v>204</v>
      </c>
      <c r="BH310" s="376">
        <f t="shared" si="625"/>
        <v>204</v>
      </c>
      <c r="BI310" s="376">
        <f t="shared" si="626"/>
        <v>272</v>
      </c>
      <c r="BJ310" s="376">
        <f t="shared" si="627"/>
        <v>272</v>
      </c>
      <c r="BK310" s="376">
        <f t="shared" si="628"/>
        <v>272</v>
      </c>
      <c r="BL310" s="376">
        <f t="shared" si="629"/>
        <v>272</v>
      </c>
      <c r="BM310" s="376">
        <f t="shared" si="630"/>
        <v>272</v>
      </c>
      <c r="BN310" s="376">
        <f t="shared" si="631"/>
        <v>272</v>
      </c>
      <c r="BO310" s="376">
        <f t="shared" si="632"/>
        <v>272</v>
      </c>
      <c r="BP310" s="376">
        <f t="shared" si="633"/>
        <v>272</v>
      </c>
      <c r="BQ310" s="376">
        <f t="shared" si="634"/>
        <v>272</v>
      </c>
      <c r="BR310" s="376">
        <f t="shared" si="635"/>
        <v>272</v>
      </c>
      <c r="BS310" s="376">
        <f t="shared" si="636"/>
        <v>272</v>
      </c>
      <c r="BT310" s="376">
        <f t="shared" si="637"/>
        <v>272</v>
      </c>
      <c r="BU310" s="376">
        <f t="shared" si="638"/>
        <v>272</v>
      </c>
      <c r="BV310" s="377">
        <f t="shared" si="639"/>
        <v>272</v>
      </c>
    </row>
    <row r="311" spans="1:74" ht="20.149999999999999" hidden="1" customHeight="1" outlineLevel="2" x14ac:dyDescent="0.25">
      <c r="A311" s="20" t="s">
        <v>48</v>
      </c>
      <c r="B311" s="8" t="s">
        <v>21</v>
      </c>
      <c r="C311" s="284">
        <f>'Custos Diversos'!$C$21</f>
        <v>136</v>
      </c>
      <c r="D311" s="284">
        <v>1</v>
      </c>
      <c r="E311" s="284">
        <v>0.25</v>
      </c>
      <c r="F311" s="284">
        <v>0.25</v>
      </c>
      <c r="G311" s="284">
        <v>0.25</v>
      </c>
      <c r="H311" s="284">
        <v>0.25</v>
      </c>
      <c r="I311" s="284">
        <v>0.25</v>
      </c>
      <c r="J311" s="284">
        <v>0.25</v>
      </c>
      <c r="K311" s="284">
        <v>0.25</v>
      </c>
      <c r="L311" s="358">
        <v>0.25</v>
      </c>
      <c r="M311" s="358">
        <v>0.25</v>
      </c>
      <c r="N311" s="358">
        <v>0.25</v>
      </c>
      <c r="O311" s="358">
        <v>0.25</v>
      </c>
      <c r="P311" s="358">
        <v>0.25</v>
      </c>
      <c r="Q311" s="358">
        <v>0.25</v>
      </c>
      <c r="R311" s="358">
        <v>0.25</v>
      </c>
      <c r="S311" s="358">
        <v>0.25</v>
      </c>
      <c r="T311" s="358">
        <v>0.25</v>
      </c>
      <c r="U311" s="358">
        <v>0.25</v>
      </c>
      <c r="V311" s="358">
        <f t="shared" si="588"/>
        <v>1</v>
      </c>
      <c r="W311" s="358">
        <f t="shared" si="589"/>
        <v>0.25</v>
      </c>
      <c r="X311" s="358">
        <f t="shared" si="590"/>
        <v>0.25</v>
      </c>
      <c r="Y311" s="358">
        <f t="shared" si="591"/>
        <v>0.25</v>
      </c>
      <c r="Z311" s="358">
        <f t="shared" si="592"/>
        <v>0.25</v>
      </c>
      <c r="AA311" s="358">
        <f t="shared" si="593"/>
        <v>0.25</v>
      </c>
      <c r="AB311" s="358">
        <f t="shared" si="594"/>
        <v>0.25</v>
      </c>
      <c r="AC311" s="358">
        <f t="shared" si="595"/>
        <v>0.25</v>
      </c>
      <c r="AD311" s="358">
        <f t="shared" si="596"/>
        <v>0.25</v>
      </c>
      <c r="AE311" s="358">
        <f t="shared" si="597"/>
        <v>0.25</v>
      </c>
      <c r="AF311" s="358">
        <f t="shared" si="598"/>
        <v>0.25</v>
      </c>
      <c r="AG311" s="358">
        <f t="shared" si="599"/>
        <v>0.25</v>
      </c>
      <c r="AH311" s="358">
        <f t="shared" si="600"/>
        <v>0.25</v>
      </c>
      <c r="AI311" s="358">
        <f t="shared" si="601"/>
        <v>0.25</v>
      </c>
      <c r="AJ311" s="358">
        <f t="shared" si="602"/>
        <v>0.25</v>
      </c>
      <c r="AK311" s="358">
        <f t="shared" si="603"/>
        <v>0.25</v>
      </c>
      <c r="AL311" s="359">
        <f t="shared" si="604"/>
        <v>0.25</v>
      </c>
      <c r="AM311" s="636"/>
      <c r="AN311" s="285">
        <f t="shared" si="605"/>
        <v>136</v>
      </c>
      <c r="AO311" s="286">
        <f t="shared" si="606"/>
        <v>34</v>
      </c>
      <c r="AP311" s="286">
        <f t="shared" si="607"/>
        <v>34</v>
      </c>
      <c r="AQ311" s="286">
        <f t="shared" si="608"/>
        <v>34</v>
      </c>
      <c r="AR311" s="286">
        <f t="shared" si="609"/>
        <v>34</v>
      </c>
      <c r="AS311" s="286">
        <f t="shared" si="610"/>
        <v>34</v>
      </c>
      <c r="AT311" s="286">
        <f t="shared" si="611"/>
        <v>34</v>
      </c>
      <c r="AU311" s="286">
        <f t="shared" si="612"/>
        <v>34</v>
      </c>
      <c r="AV311" s="388">
        <f t="shared" si="613"/>
        <v>34</v>
      </c>
      <c r="AW311" s="376">
        <f t="shared" si="614"/>
        <v>34</v>
      </c>
      <c r="AX311" s="376">
        <f t="shared" si="615"/>
        <v>34</v>
      </c>
      <c r="AY311" s="376">
        <f t="shared" si="616"/>
        <v>34</v>
      </c>
      <c r="AZ311" s="376">
        <f t="shared" si="617"/>
        <v>34</v>
      </c>
      <c r="BA311" s="376">
        <f t="shared" si="618"/>
        <v>34</v>
      </c>
      <c r="BB311" s="376">
        <f t="shared" si="619"/>
        <v>34</v>
      </c>
      <c r="BC311" s="376">
        <f t="shared" si="620"/>
        <v>34</v>
      </c>
      <c r="BD311" s="376">
        <f t="shared" si="621"/>
        <v>34</v>
      </c>
      <c r="BE311" s="376">
        <f t="shared" si="622"/>
        <v>34</v>
      </c>
      <c r="BF311" s="376">
        <f t="shared" si="623"/>
        <v>136</v>
      </c>
      <c r="BG311" s="376">
        <f t="shared" si="624"/>
        <v>34</v>
      </c>
      <c r="BH311" s="376">
        <f t="shared" si="625"/>
        <v>34</v>
      </c>
      <c r="BI311" s="376">
        <f t="shared" si="626"/>
        <v>34</v>
      </c>
      <c r="BJ311" s="376">
        <f t="shared" si="627"/>
        <v>34</v>
      </c>
      <c r="BK311" s="376">
        <f t="shared" si="628"/>
        <v>34</v>
      </c>
      <c r="BL311" s="376">
        <f t="shared" si="629"/>
        <v>34</v>
      </c>
      <c r="BM311" s="376">
        <f t="shared" si="630"/>
        <v>34</v>
      </c>
      <c r="BN311" s="376">
        <f t="shared" si="631"/>
        <v>34</v>
      </c>
      <c r="BO311" s="376">
        <f t="shared" si="632"/>
        <v>34</v>
      </c>
      <c r="BP311" s="376">
        <f t="shared" si="633"/>
        <v>34</v>
      </c>
      <c r="BQ311" s="376">
        <f t="shared" si="634"/>
        <v>34</v>
      </c>
      <c r="BR311" s="376">
        <f t="shared" si="635"/>
        <v>34</v>
      </c>
      <c r="BS311" s="376">
        <f t="shared" si="636"/>
        <v>34</v>
      </c>
      <c r="BT311" s="376">
        <f t="shared" si="637"/>
        <v>34</v>
      </c>
      <c r="BU311" s="376">
        <f t="shared" si="638"/>
        <v>34</v>
      </c>
      <c r="BV311" s="377">
        <f t="shared" si="639"/>
        <v>34</v>
      </c>
    </row>
    <row r="312" spans="1:74" ht="20.149999999999999" hidden="1" customHeight="1" outlineLevel="2" x14ac:dyDescent="0.25">
      <c r="A312" s="22" t="s">
        <v>195</v>
      </c>
      <c r="B312" s="8" t="s">
        <v>21</v>
      </c>
      <c r="C312" s="284">
        <f>'Custos Diversos'!$C$21</f>
        <v>136</v>
      </c>
      <c r="D312" s="284"/>
      <c r="E312" s="284"/>
      <c r="F312" s="284">
        <v>2</v>
      </c>
      <c r="G312" s="284">
        <v>4</v>
      </c>
      <c r="H312" s="284">
        <v>4</v>
      </c>
      <c r="I312" s="284">
        <v>4</v>
      </c>
      <c r="J312" s="284">
        <v>4</v>
      </c>
      <c r="K312" s="284">
        <v>4</v>
      </c>
      <c r="L312" s="358">
        <v>4</v>
      </c>
      <c r="M312" s="358">
        <v>4</v>
      </c>
      <c r="N312" s="358">
        <v>4</v>
      </c>
      <c r="O312" s="358">
        <v>4</v>
      </c>
      <c r="P312" s="358">
        <v>4</v>
      </c>
      <c r="Q312" s="358">
        <v>4</v>
      </c>
      <c r="R312" s="358">
        <v>4</v>
      </c>
      <c r="S312" s="358">
        <v>4</v>
      </c>
      <c r="T312" s="358">
        <v>4</v>
      </c>
      <c r="U312" s="358">
        <v>4</v>
      </c>
      <c r="V312" s="358">
        <f t="shared" si="588"/>
        <v>0</v>
      </c>
      <c r="W312" s="358">
        <f t="shared" si="589"/>
        <v>0</v>
      </c>
      <c r="X312" s="358">
        <f t="shared" si="590"/>
        <v>2</v>
      </c>
      <c r="Y312" s="358">
        <f t="shared" si="591"/>
        <v>4</v>
      </c>
      <c r="Z312" s="358">
        <f t="shared" si="592"/>
        <v>4</v>
      </c>
      <c r="AA312" s="358">
        <f t="shared" si="593"/>
        <v>4</v>
      </c>
      <c r="AB312" s="358">
        <f t="shared" si="594"/>
        <v>4</v>
      </c>
      <c r="AC312" s="358">
        <f t="shared" si="595"/>
        <v>4</v>
      </c>
      <c r="AD312" s="358">
        <f t="shared" si="596"/>
        <v>4</v>
      </c>
      <c r="AE312" s="358">
        <f t="shared" si="597"/>
        <v>4</v>
      </c>
      <c r="AF312" s="358">
        <f t="shared" si="598"/>
        <v>4</v>
      </c>
      <c r="AG312" s="358">
        <f t="shared" si="599"/>
        <v>4</v>
      </c>
      <c r="AH312" s="358">
        <f t="shared" si="600"/>
        <v>4</v>
      </c>
      <c r="AI312" s="358">
        <f t="shared" si="601"/>
        <v>4</v>
      </c>
      <c r="AJ312" s="358">
        <f t="shared" si="602"/>
        <v>4</v>
      </c>
      <c r="AK312" s="358">
        <f t="shared" si="603"/>
        <v>4</v>
      </c>
      <c r="AL312" s="359">
        <f t="shared" si="604"/>
        <v>4</v>
      </c>
      <c r="AM312" s="636"/>
      <c r="AN312" s="285">
        <f t="shared" si="605"/>
        <v>0</v>
      </c>
      <c r="AO312" s="286">
        <f t="shared" si="606"/>
        <v>0</v>
      </c>
      <c r="AP312" s="286">
        <f t="shared" si="607"/>
        <v>272</v>
      </c>
      <c r="AQ312" s="286">
        <f t="shared" si="608"/>
        <v>544</v>
      </c>
      <c r="AR312" s="286">
        <f t="shared" si="609"/>
        <v>544</v>
      </c>
      <c r="AS312" s="286">
        <f t="shared" si="610"/>
        <v>544</v>
      </c>
      <c r="AT312" s="286">
        <f t="shared" si="611"/>
        <v>544</v>
      </c>
      <c r="AU312" s="286">
        <f t="shared" si="612"/>
        <v>544</v>
      </c>
      <c r="AV312" s="388">
        <f t="shared" si="613"/>
        <v>544</v>
      </c>
      <c r="AW312" s="376">
        <f t="shared" si="614"/>
        <v>544</v>
      </c>
      <c r="AX312" s="376">
        <f t="shared" si="615"/>
        <v>544</v>
      </c>
      <c r="AY312" s="376">
        <f t="shared" si="616"/>
        <v>544</v>
      </c>
      <c r="AZ312" s="376">
        <f t="shared" si="617"/>
        <v>544</v>
      </c>
      <c r="BA312" s="376">
        <f t="shared" si="618"/>
        <v>544</v>
      </c>
      <c r="BB312" s="376">
        <f t="shared" si="619"/>
        <v>544</v>
      </c>
      <c r="BC312" s="376">
        <f t="shared" si="620"/>
        <v>544</v>
      </c>
      <c r="BD312" s="376">
        <f t="shared" si="621"/>
        <v>544</v>
      </c>
      <c r="BE312" s="376">
        <f t="shared" si="622"/>
        <v>544</v>
      </c>
      <c r="BF312" s="376">
        <f t="shared" si="623"/>
        <v>0</v>
      </c>
      <c r="BG312" s="376">
        <f t="shared" si="624"/>
        <v>0</v>
      </c>
      <c r="BH312" s="376">
        <f t="shared" si="625"/>
        <v>272</v>
      </c>
      <c r="BI312" s="376">
        <f t="shared" si="626"/>
        <v>544</v>
      </c>
      <c r="BJ312" s="376">
        <f t="shared" si="627"/>
        <v>544</v>
      </c>
      <c r="BK312" s="376">
        <f t="shared" si="628"/>
        <v>544</v>
      </c>
      <c r="BL312" s="376">
        <f t="shared" si="629"/>
        <v>544</v>
      </c>
      <c r="BM312" s="376">
        <f t="shared" si="630"/>
        <v>544</v>
      </c>
      <c r="BN312" s="376">
        <f t="shared" si="631"/>
        <v>544</v>
      </c>
      <c r="BO312" s="376">
        <f t="shared" si="632"/>
        <v>544</v>
      </c>
      <c r="BP312" s="376">
        <f t="shared" si="633"/>
        <v>544</v>
      </c>
      <c r="BQ312" s="376">
        <f t="shared" si="634"/>
        <v>544</v>
      </c>
      <c r="BR312" s="376">
        <f t="shared" si="635"/>
        <v>544</v>
      </c>
      <c r="BS312" s="376">
        <f t="shared" si="636"/>
        <v>544</v>
      </c>
      <c r="BT312" s="376">
        <f t="shared" si="637"/>
        <v>544</v>
      </c>
      <c r="BU312" s="376">
        <f t="shared" si="638"/>
        <v>544</v>
      </c>
      <c r="BV312" s="377">
        <f t="shared" si="639"/>
        <v>544</v>
      </c>
    </row>
    <row r="313" spans="1:74" ht="20.149999999999999" hidden="1" customHeight="1" outlineLevel="2" x14ac:dyDescent="0.25">
      <c r="A313" s="23" t="s">
        <v>20</v>
      </c>
      <c r="B313" s="8" t="s">
        <v>21</v>
      </c>
      <c r="C313" s="284">
        <f>'Custos Diversos'!$C$21</f>
        <v>136</v>
      </c>
      <c r="D313" s="284">
        <v>3</v>
      </c>
      <c r="E313" s="284">
        <v>3</v>
      </c>
      <c r="F313" s="284">
        <v>3</v>
      </c>
      <c r="G313" s="284">
        <v>3</v>
      </c>
      <c r="H313" s="284">
        <v>3</v>
      </c>
      <c r="I313" s="284">
        <v>3</v>
      </c>
      <c r="J313" s="284">
        <v>3</v>
      </c>
      <c r="K313" s="284">
        <v>3</v>
      </c>
      <c r="L313" s="358">
        <v>3</v>
      </c>
      <c r="M313" s="358">
        <v>3</v>
      </c>
      <c r="N313" s="358">
        <v>3</v>
      </c>
      <c r="O313" s="358">
        <v>3</v>
      </c>
      <c r="P313" s="358">
        <v>3</v>
      </c>
      <c r="Q313" s="358">
        <v>3</v>
      </c>
      <c r="R313" s="358">
        <v>3</v>
      </c>
      <c r="S313" s="358">
        <v>3</v>
      </c>
      <c r="T313" s="358">
        <v>3</v>
      </c>
      <c r="U313" s="358">
        <v>3</v>
      </c>
      <c r="V313" s="358">
        <f t="shared" si="588"/>
        <v>3</v>
      </c>
      <c r="W313" s="358">
        <f t="shared" si="589"/>
        <v>3</v>
      </c>
      <c r="X313" s="358">
        <f t="shared" si="590"/>
        <v>3</v>
      </c>
      <c r="Y313" s="358">
        <f t="shared" si="591"/>
        <v>3</v>
      </c>
      <c r="Z313" s="358">
        <f t="shared" si="592"/>
        <v>3</v>
      </c>
      <c r="AA313" s="358">
        <f t="shared" si="593"/>
        <v>3</v>
      </c>
      <c r="AB313" s="358">
        <f t="shared" si="594"/>
        <v>3</v>
      </c>
      <c r="AC313" s="358">
        <f t="shared" si="595"/>
        <v>3</v>
      </c>
      <c r="AD313" s="358">
        <f t="shared" si="596"/>
        <v>3</v>
      </c>
      <c r="AE313" s="358">
        <f t="shared" si="597"/>
        <v>3</v>
      </c>
      <c r="AF313" s="358">
        <f t="shared" si="598"/>
        <v>3</v>
      </c>
      <c r="AG313" s="358">
        <f t="shared" si="599"/>
        <v>3</v>
      </c>
      <c r="AH313" s="358">
        <f t="shared" si="600"/>
        <v>3</v>
      </c>
      <c r="AI313" s="358">
        <f t="shared" si="601"/>
        <v>3</v>
      </c>
      <c r="AJ313" s="358">
        <f t="shared" si="602"/>
        <v>3</v>
      </c>
      <c r="AK313" s="358">
        <f t="shared" si="603"/>
        <v>3</v>
      </c>
      <c r="AL313" s="359">
        <f t="shared" si="604"/>
        <v>3</v>
      </c>
      <c r="AM313" s="636"/>
      <c r="AN313" s="285">
        <f t="shared" si="605"/>
        <v>408</v>
      </c>
      <c r="AO313" s="286">
        <f t="shared" si="606"/>
        <v>408</v>
      </c>
      <c r="AP313" s="286">
        <f t="shared" si="607"/>
        <v>408</v>
      </c>
      <c r="AQ313" s="286">
        <f t="shared" si="608"/>
        <v>408</v>
      </c>
      <c r="AR313" s="286">
        <f t="shared" si="609"/>
        <v>408</v>
      </c>
      <c r="AS313" s="286">
        <f t="shared" si="610"/>
        <v>408</v>
      </c>
      <c r="AT313" s="286">
        <f t="shared" si="611"/>
        <v>408</v>
      </c>
      <c r="AU313" s="286">
        <f t="shared" si="612"/>
        <v>408</v>
      </c>
      <c r="AV313" s="388">
        <f t="shared" si="613"/>
        <v>408</v>
      </c>
      <c r="AW313" s="376">
        <f t="shared" si="614"/>
        <v>408</v>
      </c>
      <c r="AX313" s="376">
        <f t="shared" si="615"/>
        <v>408</v>
      </c>
      <c r="AY313" s="376">
        <f t="shared" si="616"/>
        <v>408</v>
      </c>
      <c r="AZ313" s="376">
        <f t="shared" si="617"/>
        <v>408</v>
      </c>
      <c r="BA313" s="376">
        <f t="shared" si="618"/>
        <v>408</v>
      </c>
      <c r="BB313" s="376">
        <f t="shared" si="619"/>
        <v>408</v>
      </c>
      <c r="BC313" s="376">
        <f t="shared" si="620"/>
        <v>408</v>
      </c>
      <c r="BD313" s="376">
        <f t="shared" si="621"/>
        <v>408</v>
      </c>
      <c r="BE313" s="376">
        <f t="shared" si="622"/>
        <v>408</v>
      </c>
      <c r="BF313" s="376">
        <f t="shared" si="623"/>
        <v>408</v>
      </c>
      <c r="BG313" s="376">
        <f t="shared" si="624"/>
        <v>408</v>
      </c>
      <c r="BH313" s="376">
        <f t="shared" si="625"/>
        <v>408</v>
      </c>
      <c r="BI313" s="376">
        <f t="shared" si="626"/>
        <v>408</v>
      </c>
      <c r="BJ313" s="376">
        <f t="shared" si="627"/>
        <v>408</v>
      </c>
      <c r="BK313" s="376">
        <f t="shared" si="628"/>
        <v>408</v>
      </c>
      <c r="BL313" s="376">
        <f t="shared" si="629"/>
        <v>408</v>
      </c>
      <c r="BM313" s="376">
        <f t="shared" si="630"/>
        <v>408</v>
      </c>
      <c r="BN313" s="376">
        <f t="shared" si="631"/>
        <v>408</v>
      </c>
      <c r="BO313" s="376">
        <f t="shared" si="632"/>
        <v>408</v>
      </c>
      <c r="BP313" s="376">
        <f t="shared" si="633"/>
        <v>408</v>
      </c>
      <c r="BQ313" s="376">
        <f t="shared" si="634"/>
        <v>408</v>
      </c>
      <c r="BR313" s="376">
        <f t="shared" si="635"/>
        <v>408</v>
      </c>
      <c r="BS313" s="376">
        <f t="shared" si="636"/>
        <v>408</v>
      </c>
      <c r="BT313" s="376">
        <f t="shared" si="637"/>
        <v>408</v>
      </c>
      <c r="BU313" s="376">
        <f t="shared" si="638"/>
        <v>408</v>
      </c>
      <c r="BV313" s="377">
        <f t="shared" si="639"/>
        <v>408</v>
      </c>
    </row>
    <row r="314" spans="1:74" ht="20.149999999999999" hidden="1" customHeight="1" outlineLevel="2" x14ac:dyDescent="0.25">
      <c r="A314" s="23" t="s">
        <v>22</v>
      </c>
      <c r="B314" s="8" t="s">
        <v>21</v>
      </c>
      <c r="C314" s="284">
        <f>'Custos Diversos'!C84</f>
        <v>145</v>
      </c>
      <c r="D314" s="284">
        <f>AN359*1000/200</f>
        <v>0</v>
      </c>
      <c r="E314" s="284">
        <f>AO359*1000/200</f>
        <v>14</v>
      </c>
      <c r="F314" s="284">
        <f>AP359*1000/400</f>
        <v>35.25</v>
      </c>
      <c r="G314" s="284">
        <f>AQ359*1000/600</f>
        <v>34.5</v>
      </c>
      <c r="H314" s="284">
        <f t="shared" ref="H314:U314" si="640">AR359*1000/800</f>
        <v>52.875</v>
      </c>
      <c r="I314" s="284">
        <f t="shared" si="640"/>
        <v>47</v>
      </c>
      <c r="J314" s="284">
        <f t="shared" si="640"/>
        <v>41.125</v>
      </c>
      <c r="K314" s="284">
        <f t="shared" si="640"/>
        <v>41.125</v>
      </c>
      <c r="L314" s="358">
        <f t="shared" si="640"/>
        <v>41.125</v>
      </c>
      <c r="M314" s="358">
        <f t="shared" si="640"/>
        <v>35.25</v>
      </c>
      <c r="N314" s="358">
        <f t="shared" si="640"/>
        <v>35.25</v>
      </c>
      <c r="O314" s="358">
        <f t="shared" si="640"/>
        <v>35.25</v>
      </c>
      <c r="P314" s="358">
        <f t="shared" si="640"/>
        <v>32.875</v>
      </c>
      <c r="Q314" s="358">
        <f t="shared" si="640"/>
        <v>32.875</v>
      </c>
      <c r="R314" s="358">
        <f t="shared" si="640"/>
        <v>32.875</v>
      </c>
      <c r="S314" s="358">
        <f t="shared" si="640"/>
        <v>29.375</v>
      </c>
      <c r="T314" s="358">
        <f t="shared" si="640"/>
        <v>29.375</v>
      </c>
      <c r="U314" s="358">
        <f t="shared" si="640"/>
        <v>23.5</v>
      </c>
      <c r="V314" s="358">
        <f t="shared" si="588"/>
        <v>0</v>
      </c>
      <c r="W314" s="358">
        <f t="shared" si="589"/>
        <v>14</v>
      </c>
      <c r="X314" s="358">
        <f t="shared" si="590"/>
        <v>35.25</v>
      </c>
      <c r="Y314" s="358">
        <f t="shared" si="591"/>
        <v>34.5</v>
      </c>
      <c r="Z314" s="358">
        <f t="shared" si="592"/>
        <v>52.875</v>
      </c>
      <c r="AA314" s="358">
        <f t="shared" si="593"/>
        <v>47</v>
      </c>
      <c r="AB314" s="358">
        <f t="shared" si="594"/>
        <v>41.125</v>
      </c>
      <c r="AC314" s="358">
        <f t="shared" si="595"/>
        <v>41.125</v>
      </c>
      <c r="AD314" s="358">
        <f t="shared" si="596"/>
        <v>41.125</v>
      </c>
      <c r="AE314" s="358">
        <f t="shared" si="597"/>
        <v>35.25</v>
      </c>
      <c r="AF314" s="358">
        <f t="shared" si="598"/>
        <v>35.25</v>
      </c>
      <c r="AG314" s="358">
        <f t="shared" si="599"/>
        <v>35.25</v>
      </c>
      <c r="AH314" s="358">
        <f t="shared" si="600"/>
        <v>32.875</v>
      </c>
      <c r="AI314" s="358">
        <f t="shared" si="601"/>
        <v>32.875</v>
      </c>
      <c r="AJ314" s="358">
        <f t="shared" si="602"/>
        <v>32.875</v>
      </c>
      <c r="AK314" s="358">
        <f t="shared" si="603"/>
        <v>29.375</v>
      </c>
      <c r="AL314" s="359">
        <f t="shared" si="604"/>
        <v>29.375</v>
      </c>
      <c r="AM314" s="636"/>
      <c r="AN314" s="285">
        <f t="shared" si="605"/>
        <v>0</v>
      </c>
      <c r="AO314" s="286">
        <f t="shared" si="606"/>
        <v>2030</v>
      </c>
      <c r="AP314" s="286">
        <f t="shared" si="607"/>
        <v>5111.25</v>
      </c>
      <c r="AQ314" s="286">
        <f t="shared" si="608"/>
        <v>5002.5</v>
      </c>
      <c r="AR314" s="286">
        <f t="shared" si="609"/>
        <v>7666.875</v>
      </c>
      <c r="AS314" s="286">
        <f t="shared" si="610"/>
        <v>6815</v>
      </c>
      <c r="AT314" s="286">
        <f t="shared" si="611"/>
        <v>5963.125</v>
      </c>
      <c r="AU314" s="286">
        <f t="shared" si="612"/>
        <v>5963.125</v>
      </c>
      <c r="AV314" s="388">
        <f t="shared" si="613"/>
        <v>5963.125</v>
      </c>
      <c r="AW314" s="376">
        <f t="shared" si="614"/>
        <v>5111.25</v>
      </c>
      <c r="AX314" s="376">
        <f t="shared" si="615"/>
        <v>5111.25</v>
      </c>
      <c r="AY314" s="376">
        <f t="shared" si="616"/>
        <v>5111.25</v>
      </c>
      <c r="AZ314" s="376">
        <f t="shared" si="617"/>
        <v>4766.875</v>
      </c>
      <c r="BA314" s="376">
        <f t="shared" si="618"/>
        <v>4766.875</v>
      </c>
      <c r="BB314" s="376">
        <f t="shared" si="619"/>
        <v>4766.875</v>
      </c>
      <c r="BC314" s="376">
        <f t="shared" si="620"/>
        <v>4259.375</v>
      </c>
      <c r="BD314" s="376">
        <f t="shared" si="621"/>
        <v>4259.375</v>
      </c>
      <c r="BE314" s="376">
        <f t="shared" si="622"/>
        <v>3407.5</v>
      </c>
      <c r="BF314" s="376">
        <f t="shared" si="623"/>
        <v>0</v>
      </c>
      <c r="BG314" s="376">
        <f t="shared" si="624"/>
        <v>2030</v>
      </c>
      <c r="BH314" s="376">
        <f t="shared" si="625"/>
        <v>5111.25</v>
      </c>
      <c r="BI314" s="376">
        <f t="shared" si="626"/>
        <v>5002.5</v>
      </c>
      <c r="BJ314" s="376">
        <f t="shared" si="627"/>
        <v>7666.875</v>
      </c>
      <c r="BK314" s="376">
        <f t="shared" si="628"/>
        <v>6815</v>
      </c>
      <c r="BL314" s="376">
        <f t="shared" si="629"/>
        <v>5963.125</v>
      </c>
      <c r="BM314" s="376">
        <f t="shared" si="630"/>
        <v>5963.125</v>
      </c>
      <c r="BN314" s="376">
        <f t="shared" si="631"/>
        <v>5963.125</v>
      </c>
      <c r="BO314" s="376">
        <f t="shared" si="632"/>
        <v>5111.25</v>
      </c>
      <c r="BP314" s="376">
        <f t="shared" si="633"/>
        <v>5111.25</v>
      </c>
      <c r="BQ314" s="376">
        <f t="shared" si="634"/>
        <v>5111.25</v>
      </c>
      <c r="BR314" s="376">
        <f t="shared" si="635"/>
        <v>4766.875</v>
      </c>
      <c r="BS314" s="376">
        <f t="shared" si="636"/>
        <v>4766.875</v>
      </c>
      <c r="BT314" s="376">
        <f t="shared" si="637"/>
        <v>4766.875</v>
      </c>
      <c r="BU314" s="376">
        <f t="shared" si="638"/>
        <v>4259.375</v>
      </c>
      <c r="BV314" s="377">
        <f t="shared" si="639"/>
        <v>4259.375</v>
      </c>
    </row>
    <row r="315" spans="1:74" ht="20.149999999999999" hidden="1" customHeight="1" outlineLevel="2" x14ac:dyDescent="0.25">
      <c r="A315" s="22" t="s">
        <v>92</v>
      </c>
      <c r="B315" s="8" t="s">
        <v>21</v>
      </c>
      <c r="C315" s="284">
        <f>'Custos Diversos'!$C$21</f>
        <v>136</v>
      </c>
      <c r="D315" s="284">
        <v>3</v>
      </c>
      <c r="E315" s="284">
        <v>0.25</v>
      </c>
      <c r="F315" s="284">
        <v>0.25</v>
      </c>
      <c r="G315" s="284">
        <v>0.25</v>
      </c>
      <c r="H315" s="284">
        <v>0.25</v>
      </c>
      <c r="I315" s="284">
        <v>0.25</v>
      </c>
      <c r="J315" s="284">
        <v>0.25</v>
      </c>
      <c r="K315" s="284">
        <v>0.25</v>
      </c>
      <c r="L315" s="358">
        <v>0.25</v>
      </c>
      <c r="M315" s="358">
        <v>0.25</v>
      </c>
      <c r="N315" s="358">
        <v>0.25</v>
      </c>
      <c r="O315" s="358">
        <v>0.25</v>
      </c>
      <c r="P315" s="358">
        <v>0.25</v>
      </c>
      <c r="Q315" s="358">
        <v>0.25</v>
      </c>
      <c r="R315" s="358">
        <v>0.25</v>
      </c>
      <c r="S315" s="358">
        <v>0.25</v>
      </c>
      <c r="T315" s="358">
        <v>0.25</v>
      </c>
      <c r="U315" s="358">
        <v>0.25</v>
      </c>
      <c r="V315" s="358">
        <f t="shared" si="588"/>
        <v>3</v>
      </c>
      <c r="W315" s="358">
        <f t="shared" si="589"/>
        <v>0.25</v>
      </c>
      <c r="X315" s="358">
        <f t="shared" si="590"/>
        <v>0.25</v>
      </c>
      <c r="Y315" s="358">
        <f t="shared" si="591"/>
        <v>0.25</v>
      </c>
      <c r="Z315" s="358">
        <f t="shared" si="592"/>
        <v>0.25</v>
      </c>
      <c r="AA315" s="358">
        <f t="shared" si="593"/>
        <v>0.25</v>
      </c>
      <c r="AB315" s="358">
        <f t="shared" si="594"/>
        <v>0.25</v>
      </c>
      <c r="AC315" s="358">
        <f t="shared" si="595"/>
        <v>0.25</v>
      </c>
      <c r="AD315" s="358">
        <f t="shared" si="596"/>
        <v>0.25</v>
      </c>
      <c r="AE315" s="358">
        <f t="shared" si="597"/>
        <v>0.25</v>
      </c>
      <c r="AF315" s="358">
        <f t="shared" si="598"/>
        <v>0.25</v>
      </c>
      <c r="AG315" s="358">
        <f t="shared" si="599"/>
        <v>0.25</v>
      </c>
      <c r="AH315" s="358">
        <f t="shared" si="600"/>
        <v>0.25</v>
      </c>
      <c r="AI315" s="358">
        <f t="shared" si="601"/>
        <v>0.25</v>
      </c>
      <c r="AJ315" s="358">
        <f t="shared" si="602"/>
        <v>0.25</v>
      </c>
      <c r="AK315" s="358">
        <f t="shared" si="603"/>
        <v>0.25</v>
      </c>
      <c r="AL315" s="359">
        <f t="shared" si="604"/>
        <v>0.25</v>
      </c>
      <c r="AM315" s="636"/>
      <c r="AN315" s="285">
        <f t="shared" si="605"/>
        <v>408</v>
      </c>
      <c r="AO315" s="286">
        <f t="shared" si="606"/>
        <v>34</v>
      </c>
      <c r="AP315" s="286">
        <f t="shared" si="607"/>
        <v>34</v>
      </c>
      <c r="AQ315" s="286">
        <f t="shared" si="608"/>
        <v>34</v>
      </c>
      <c r="AR315" s="286">
        <f t="shared" si="609"/>
        <v>34</v>
      </c>
      <c r="AS315" s="286">
        <f t="shared" si="610"/>
        <v>34</v>
      </c>
      <c r="AT315" s="286">
        <f t="shared" si="611"/>
        <v>34</v>
      </c>
      <c r="AU315" s="286">
        <f t="shared" si="612"/>
        <v>34</v>
      </c>
      <c r="AV315" s="388">
        <f t="shared" si="613"/>
        <v>34</v>
      </c>
      <c r="AW315" s="376">
        <f t="shared" si="614"/>
        <v>34</v>
      </c>
      <c r="AX315" s="376">
        <f t="shared" si="615"/>
        <v>34</v>
      </c>
      <c r="AY315" s="376">
        <f t="shared" si="616"/>
        <v>34</v>
      </c>
      <c r="AZ315" s="376">
        <f t="shared" si="617"/>
        <v>34</v>
      </c>
      <c r="BA315" s="376">
        <f t="shared" si="618"/>
        <v>34</v>
      </c>
      <c r="BB315" s="376">
        <f t="shared" si="619"/>
        <v>34</v>
      </c>
      <c r="BC315" s="376">
        <f t="shared" si="620"/>
        <v>34</v>
      </c>
      <c r="BD315" s="376">
        <f t="shared" si="621"/>
        <v>34</v>
      </c>
      <c r="BE315" s="376">
        <f t="shared" si="622"/>
        <v>34</v>
      </c>
      <c r="BF315" s="376">
        <f t="shared" si="623"/>
        <v>408</v>
      </c>
      <c r="BG315" s="376">
        <f t="shared" si="624"/>
        <v>34</v>
      </c>
      <c r="BH315" s="376">
        <f t="shared" si="625"/>
        <v>34</v>
      </c>
      <c r="BI315" s="376">
        <f t="shared" si="626"/>
        <v>34</v>
      </c>
      <c r="BJ315" s="376">
        <f t="shared" si="627"/>
        <v>34</v>
      </c>
      <c r="BK315" s="376">
        <f t="shared" si="628"/>
        <v>34</v>
      </c>
      <c r="BL315" s="376">
        <f t="shared" si="629"/>
        <v>34</v>
      </c>
      <c r="BM315" s="376">
        <f t="shared" si="630"/>
        <v>34</v>
      </c>
      <c r="BN315" s="376">
        <f t="shared" si="631"/>
        <v>34</v>
      </c>
      <c r="BO315" s="376">
        <f t="shared" si="632"/>
        <v>34</v>
      </c>
      <c r="BP315" s="376">
        <f t="shared" si="633"/>
        <v>34</v>
      </c>
      <c r="BQ315" s="376">
        <f t="shared" si="634"/>
        <v>34</v>
      </c>
      <c r="BR315" s="376">
        <f t="shared" si="635"/>
        <v>34</v>
      </c>
      <c r="BS315" s="376">
        <f t="shared" si="636"/>
        <v>34</v>
      </c>
      <c r="BT315" s="376">
        <f t="shared" si="637"/>
        <v>34</v>
      </c>
      <c r="BU315" s="376">
        <f t="shared" si="638"/>
        <v>34</v>
      </c>
      <c r="BV315" s="377">
        <f t="shared" si="639"/>
        <v>34</v>
      </c>
    </row>
    <row r="316" spans="1:74" ht="20.149999999999999" hidden="1" customHeight="1" outlineLevel="2" x14ac:dyDescent="0.25">
      <c r="A316" s="20" t="s">
        <v>50</v>
      </c>
      <c r="B316" s="8" t="s">
        <v>21</v>
      </c>
      <c r="C316" s="284">
        <f>'Custos Diversos'!$C$21</f>
        <v>136</v>
      </c>
      <c r="D316" s="284">
        <v>4</v>
      </c>
      <c r="E316" s="284">
        <v>6</v>
      </c>
      <c r="F316" s="284">
        <v>6</v>
      </c>
      <c r="G316" s="284">
        <v>6</v>
      </c>
      <c r="H316" s="284">
        <v>6</v>
      </c>
      <c r="I316" s="284">
        <v>6</v>
      </c>
      <c r="J316" s="284">
        <v>6</v>
      </c>
      <c r="K316" s="284">
        <v>6</v>
      </c>
      <c r="L316" s="358">
        <v>6</v>
      </c>
      <c r="M316" s="358">
        <v>6</v>
      </c>
      <c r="N316" s="358">
        <v>6</v>
      </c>
      <c r="O316" s="358">
        <v>6</v>
      </c>
      <c r="P316" s="358">
        <v>6</v>
      </c>
      <c r="Q316" s="358">
        <v>6</v>
      </c>
      <c r="R316" s="358">
        <v>6</v>
      </c>
      <c r="S316" s="358">
        <v>6</v>
      </c>
      <c r="T316" s="358">
        <v>6</v>
      </c>
      <c r="U316" s="358">
        <v>6</v>
      </c>
      <c r="V316" s="358">
        <f t="shared" si="588"/>
        <v>4</v>
      </c>
      <c r="W316" s="358">
        <f t="shared" si="589"/>
        <v>6</v>
      </c>
      <c r="X316" s="358">
        <f t="shared" si="590"/>
        <v>6</v>
      </c>
      <c r="Y316" s="358">
        <f t="shared" si="591"/>
        <v>6</v>
      </c>
      <c r="Z316" s="358">
        <f t="shared" si="592"/>
        <v>6</v>
      </c>
      <c r="AA316" s="358">
        <f t="shared" si="593"/>
        <v>6</v>
      </c>
      <c r="AB316" s="358">
        <f t="shared" si="594"/>
        <v>6</v>
      </c>
      <c r="AC316" s="358">
        <f t="shared" si="595"/>
        <v>6</v>
      </c>
      <c r="AD316" s="358">
        <f t="shared" si="596"/>
        <v>6</v>
      </c>
      <c r="AE316" s="358">
        <f t="shared" si="597"/>
        <v>6</v>
      </c>
      <c r="AF316" s="358">
        <f t="shared" si="598"/>
        <v>6</v>
      </c>
      <c r="AG316" s="358">
        <f t="shared" si="599"/>
        <v>6</v>
      </c>
      <c r="AH316" s="358">
        <f t="shared" si="600"/>
        <v>6</v>
      </c>
      <c r="AI316" s="358">
        <f t="shared" si="601"/>
        <v>6</v>
      </c>
      <c r="AJ316" s="358">
        <f t="shared" si="602"/>
        <v>6</v>
      </c>
      <c r="AK316" s="358">
        <f t="shared" si="603"/>
        <v>6</v>
      </c>
      <c r="AL316" s="359">
        <f t="shared" si="604"/>
        <v>6</v>
      </c>
      <c r="AM316" s="636"/>
      <c r="AN316" s="285">
        <f t="shared" si="605"/>
        <v>544</v>
      </c>
      <c r="AO316" s="286">
        <f t="shared" si="606"/>
        <v>816</v>
      </c>
      <c r="AP316" s="286">
        <f t="shared" si="607"/>
        <v>816</v>
      </c>
      <c r="AQ316" s="286">
        <f t="shared" si="608"/>
        <v>816</v>
      </c>
      <c r="AR316" s="286">
        <f t="shared" si="609"/>
        <v>816</v>
      </c>
      <c r="AS316" s="286">
        <f t="shared" si="610"/>
        <v>816</v>
      </c>
      <c r="AT316" s="286">
        <f t="shared" si="611"/>
        <v>816</v>
      </c>
      <c r="AU316" s="286">
        <f t="shared" si="612"/>
        <v>816</v>
      </c>
      <c r="AV316" s="388">
        <f t="shared" si="613"/>
        <v>816</v>
      </c>
      <c r="AW316" s="376">
        <f t="shared" si="614"/>
        <v>816</v>
      </c>
      <c r="AX316" s="376">
        <f t="shared" si="615"/>
        <v>816</v>
      </c>
      <c r="AY316" s="376">
        <f t="shared" si="616"/>
        <v>816</v>
      </c>
      <c r="AZ316" s="376">
        <f t="shared" si="617"/>
        <v>816</v>
      </c>
      <c r="BA316" s="376">
        <f t="shared" si="618"/>
        <v>816</v>
      </c>
      <c r="BB316" s="376">
        <f t="shared" si="619"/>
        <v>816</v>
      </c>
      <c r="BC316" s="376">
        <f t="shared" si="620"/>
        <v>816</v>
      </c>
      <c r="BD316" s="376">
        <f t="shared" si="621"/>
        <v>816</v>
      </c>
      <c r="BE316" s="376">
        <f t="shared" si="622"/>
        <v>816</v>
      </c>
      <c r="BF316" s="376">
        <f t="shared" si="623"/>
        <v>544</v>
      </c>
      <c r="BG316" s="376">
        <f t="shared" si="624"/>
        <v>816</v>
      </c>
      <c r="BH316" s="376">
        <f t="shared" si="625"/>
        <v>816</v>
      </c>
      <c r="BI316" s="376">
        <f t="shared" si="626"/>
        <v>816</v>
      </c>
      <c r="BJ316" s="376">
        <f t="shared" si="627"/>
        <v>816</v>
      </c>
      <c r="BK316" s="376">
        <f t="shared" si="628"/>
        <v>816</v>
      </c>
      <c r="BL316" s="376">
        <f t="shared" si="629"/>
        <v>816</v>
      </c>
      <c r="BM316" s="376">
        <f t="shared" si="630"/>
        <v>816</v>
      </c>
      <c r="BN316" s="376">
        <f t="shared" si="631"/>
        <v>816</v>
      </c>
      <c r="BO316" s="376">
        <f t="shared" si="632"/>
        <v>816</v>
      </c>
      <c r="BP316" s="376">
        <f t="shared" si="633"/>
        <v>816</v>
      </c>
      <c r="BQ316" s="376">
        <f t="shared" si="634"/>
        <v>816</v>
      </c>
      <c r="BR316" s="376">
        <f t="shared" si="635"/>
        <v>816</v>
      </c>
      <c r="BS316" s="376">
        <f t="shared" si="636"/>
        <v>816</v>
      </c>
      <c r="BT316" s="376">
        <f t="shared" si="637"/>
        <v>816</v>
      </c>
      <c r="BU316" s="376">
        <f t="shared" si="638"/>
        <v>816</v>
      </c>
      <c r="BV316" s="377">
        <f t="shared" si="639"/>
        <v>816</v>
      </c>
    </row>
    <row r="317" spans="1:74" ht="20.149999999999999" hidden="1" customHeight="1" outlineLevel="2" thickBot="1" x14ac:dyDescent="0.3">
      <c r="A317" s="326" t="s">
        <v>51</v>
      </c>
      <c r="B317" s="35" t="s">
        <v>21</v>
      </c>
      <c r="C317" s="322">
        <f>'Custos Diversos'!$C$21</f>
        <v>136</v>
      </c>
      <c r="D317" s="322">
        <v>3</v>
      </c>
      <c r="E317" s="322">
        <v>5</v>
      </c>
      <c r="F317" s="322">
        <v>5</v>
      </c>
      <c r="G317" s="322">
        <v>5</v>
      </c>
      <c r="H317" s="322">
        <v>5</v>
      </c>
      <c r="I317" s="322">
        <v>5</v>
      </c>
      <c r="J317" s="322">
        <v>5</v>
      </c>
      <c r="K317" s="322">
        <v>5</v>
      </c>
      <c r="L317" s="360">
        <v>5</v>
      </c>
      <c r="M317" s="360">
        <v>5</v>
      </c>
      <c r="N317" s="360">
        <v>5</v>
      </c>
      <c r="O317" s="360">
        <v>5</v>
      </c>
      <c r="P317" s="360">
        <v>5</v>
      </c>
      <c r="Q317" s="360">
        <v>5</v>
      </c>
      <c r="R317" s="360">
        <v>5</v>
      </c>
      <c r="S317" s="360">
        <v>5</v>
      </c>
      <c r="T317" s="360">
        <v>5</v>
      </c>
      <c r="U317" s="360">
        <v>5</v>
      </c>
      <c r="V317" s="360">
        <f t="shared" si="588"/>
        <v>3</v>
      </c>
      <c r="W317" s="360">
        <f t="shared" si="589"/>
        <v>5</v>
      </c>
      <c r="X317" s="360">
        <f t="shared" si="590"/>
        <v>5</v>
      </c>
      <c r="Y317" s="360">
        <f t="shared" si="591"/>
        <v>5</v>
      </c>
      <c r="Z317" s="360">
        <f t="shared" si="592"/>
        <v>5</v>
      </c>
      <c r="AA317" s="360">
        <f t="shared" si="593"/>
        <v>5</v>
      </c>
      <c r="AB317" s="360">
        <f t="shared" si="594"/>
        <v>5</v>
      </c>
      <c r="AC317" s="360">
        <f t="shared" si="595"/>
        <v>5</v>
      </c>
      <c r="AD317" s="360">
        <f t="shared" si="596"/>
        <v>5</v>
      </c>
      <c r="AE317" s="360">
        <f t="shared" si="597"/>
        <v>5</v>
      </c>
      <c r="AF317" s="360">
        <f t="shared" si="598"/>
        <v>5</v>
      </c>
      <c r="AG317" s="360">
        <f t="shared" si="599"/>
        <v>5</v>
      </c>
      <c r="AH317" s="360">
        <f t="shared" si="600"/>
        <v>5</v>
      </c>
      <c r="AI317" s="360">
        <f t="shared" si="601"/>
        <v>5</v>
      </c>
      <c r="AJ317" s="360">
        <f t="shared" si="602"/>
        <v>5</v>
      </c>
      <c r="AK317" s="360">
        <f t="shared" si="603"/>
        <v>5</v>
      </c>
      <c r="AL317" s="361">
        <f t="shared" si="604"/>
        <v>5</v>
      </c>
      <c r="AM317" s="636"/>
      <c r="AN317" s="290">
        <f t="shared" si="605"/>
        <v>408</v>
      </c>
      <c r="AO317" s="291">
        <f t="shared" si="606"/>
        <v>680</v>
      </c>
      <c r="AP317" s="291">
        <f t="shared" si="607"/>
        <v>680</v>
      </c>
      <c r="AQ317" s="291">
        <f t="shared" si="608"/>
        <v>680</v>
      </c>
      <c r="AR317" s="291">
        <f t="shared" si="609"/>
        <v>680</v>
      </c>
      <c r="AS317" s="291">
        <f t="shared" si="610"/>
        <v>680</v>
      </c>
      <c r="AT317" s="291">
        <f t="shared" si="611"/>
        <v>680</v>
      </c>
      <c r="AU317" s="291">
        <f t="shared" si="612"/>
        <v>680</v>
      </c>
      <c r="AV317" s="399">
        <f t="shared" si="613"/>
        <v>680</v>
      </c>
      <c r="AW317" s="400">
        <f t="shared" si="614"/>
        <v>680</v>
      </c>
      <c r="AX317" s="400">
        <f t="shared" si="615"/>
        <v>680</v>
      </c>
      <c r="AY317" s="400">
        <f t="shared" si="616"/>
        <v>680</v>
      </c>
      <c r="AZ317" s="400">
        <f t="shared" si="617"/>
        <v>680</v>
      </c>
      <c r="BA317" s="400">
        <f t="shared" si="618"/>
        <v>680</v>
      </c>
      <c r="BB317" s="400">
        <f t="shared" si="619"/>
        <v>680</v>
      </c>
      <c r="BC317" s="400">
        <f t="shared" si="620"/>
        <v>680</v>
      </c>
      <c r="BD317" s="400">
        <f t="shared" si="621"/>
        <v>680</v>
      </c>
      <c r="BE317" s="400">
        <f t="shared" si="622"/>
        <v>680</v>
      </c>
      <c r="BF317" s="400">
        <f t="shared" si="623"/>
        <v>408</v>
      </c>
      <c r="BG317" s="400">
        <f t="shared" si="624"/>
        <v>680</v>
      </c>
      <c r="BH317" s="400">
        <f t="shared" si="625"/>
        <v>680</v>
      </c>
      <c r="BI317" s="400">
        <f t="shared" si="626"/>
        <v>680</v>
      </c>
      <c r="BJ317" s="400">
        <f t="shared" si="627"/>
        <v>680</v>
      </c>
      <c r="BK317" s="400">
        <f t="shared" si="628"/>
        <v>680</v>
      </c>
      <c r="BL317" s="400">
        <f t="shared" si="629"/>
        <v>680</v>
      </c>
      <c r="BM317" s="400">
        <f t="shared" si="630"/>
        <v>680</v>
      </c>
      <c r="BN317" s="400">
        <f t="shared" si="631"/>
        <v>680</v>
      </c>
      <c r="BO317" s="400">
        <f t="shared" si="632"/>
        <v>680</v>
      </c>
      <c r="BP317" s="400">
        <f t="shared" si="633"/>
        <v>680</v>
      </c>
      <c r="BQ317" s="400">
        <f t="shared" si="634"/>
        <v>680</v>
      </c>
      <c r="BR317" s="400">
        <f t="shared" si="635"/>
        <v>680</v>
      </c>
      <c r="BS317" s="400">
        <f t="shared" si="636"/>
        <v>680</v>
      </c>
      <c r="BT317" s="400">
        <f t="shared" si="637"/>
        <v>680</v>
      </c>
      <c r="BU317" s="400">
        <f t="shared" si="638"/>
        <v>680</v>
      </c>
      <c r="BV317" s="401">
        <f t="shared" si="639"/>
        <v>680</v>
      </c>
    </row>
    <row r="318" spans="1:74" s="408" customFormat="1" ht="19.5" hidden="1" customHeight="1" outlineLevel="2" thickBot="1" x14ac:dyDescent="0.3">
      <c r="A318" s="1114" t="s">
        <v>102</v>
      </c>
      <c r="B318" s="1115"/>
      <c r="C318" s="1115"/>
      <c r="D318" s="1115"/>
      <c r="E318" s="1115"/>
      <c r="F318" s="1115"/>
      <c r="G318" s="1115"/>
      <c r="H318" s="1115"/>
      <c r="I318" s="1115"/>
      <c r="J318" s="1115"/>
      <c r="K318" s="1115"/>
      <c r="L318" s="1115"/>
      <c r="M318" s="1115"/>
      <c r="N318" s="1115"/>
      <c r="O318" s="1115"/>
      <c r="P318" s="1115"/>
      <c r="Q318" s="1115"/>
      <c r="R318" s="1115"/>
      <c r="S318" s="1115"/>
      <c r="T318" s="1115"/>
      <c r="U318" s="1115"/>
      <c r="V318" s="1115"/>
      <c r="W318" s="1115"/>
      <c r="X318" s="1115"/>
      <c r="Y318" s="1115"/>
      <c r="Z318" s="1115"/>
      <c r="AA318" s="1115"/>
      <c r="AB318" s="1115"/>
      <c r="AC318" s="1115"/>
      <c r="AD318" s="1115"/>
      <c r="AE318" s="1115"/>
      <c r="AF318" s="1115"/>
      <c r="AG318" s="1115"/>
      <c r="AH318" s="1115"/>
      <c r="AI318" s="1115"/>
      <c r="AJ318" s="1115"/>
      <c r="AK318" s="1115"/>
      <c r="AL318" s="1115"/>
      <c r="AM318" s="1116"/>
      <c r="AN318" s="406">
        <f t="shared" ref="AN318:BV318" si="641">SUM(AN306:AN317)</f>
        <v>4828</v>
      </c>
      <c r="AO318" s="406">
        <f t="shared" si="641"/>
        <v>4274</v>
      </c>
      <c r="AP318" s="406">
        <f t="shared" si="641"/>
        <v>7593.25</v>
      </c>
      <c r="AQ318" s="406">
        <f t="shared" si="641"/>
        <v>7824.5</v>
      </c>
      <c r="AR318" s="406">
        <f t="shared" si="641"/>
        <v>10488.875</v>
      </c>
      <c r="AS318" s="406">
        <f t="shared" si="641"/>
        <v>9637</v>
      </c>
      <c r="AT318" s="406">
        <f t="shared" si="641"/>
        <v>8785.125</v>
      </c>
      <c r="AU318" s="406">
        <f t="shared" si="641"/>
        <v>8785.125</v>
      </c>
      <c r="AV318" s="406">
        <f t="shared" si="641"/>
        <v>8785.125</v>
      </c>
      <c r="AW318" s="407">
        <f t="shared" si="641"/>
        <v>7933.25</v>
      </c>
      <c r="AX318" s="407">
        <f t="shared" si="641"/>
        <v>7933.25</v>
      </c>
      <c r="AY318" s="407">
        <f t="shared" si="641"/>
        <v>7933.25</v>
      </c>
      <c r="AZ318" s="407">
        <f t="shared" si="641"/>
        <v>7588.875</v>
      </c>
      <c r="BA318" s="407">
        <f t="shared" si="641"/>
        <v>7588.875</v>
      </c>
      <c r="BB318" s="407">
        <f t="shared" si="641"/>
        <v>7588.875</v>
      </c>
      <c r="BC318" s="407">
        <f t="shared" si="641"/>
        <v>7081.375</v>
      </c>
      <c r="BD318" s="407">
        <f t="shared" si="641"/>
        <v>7081.375</v>
      </c>
      <c r="BE318" s="407">
        <f t="shared" si="641"/>
        <v>6229.5</v>
      </c>
      <c r="BF318" s="407">
        <f t="shared" si="641"/>
        <v>4828</v>
      </c>
      <c r="BG318" s="407">
        <f t="shared" si="641"/>
        <v>4274</v>
      </c>
      <c r="BH318" s="407">
        <f t="shared" si="641"/>
        <v>7593.25</v>
      </c>
      <c r="BI318" s="407">
        <f t="shared" si="641"/>
        <v>7824.5</v>
      </c>
      <c r="BJ318" s="407">
        <f t="shared" si="641"/>
        <v>10488.875</v>
      </c>
      <c r="BK318" s="407">
        <f t="shared" si="641"/>
        <v>9637</v>
      </c>
      <c r="BL318" s="407">
        <f t="shared" si="641"/>
        <v>8785.125</v>
      </c>
      <c r="BM318" s="407">
        <f t="shared" si="641"/>
        <v>8785.125</v>
      </c>
      <c r="BN318" s="407">
        <f t="shared" si="641"/>
        <v>8785.125</v>
      </c>
      <c r="BO318" s="407">
        <f t="shared" si="641"/>
        <v>7933.25</v>
      </c>
      <c r="BP318" s="407">
        <f t="shared" si="641"/>
        <v>7933.25</v>
      </c>
      <c r="BQ318" s="407">
        <f t="shared" si="641"/>
        <v>7933.25</v>
      </c>
      <c r="BR318" s="407">
        <f t="shared" si="641"/>
        <v>7588.875</v>
      </c>
      <c r="BS318" s="407">
        <f t="shared" si="641"/>
        <v>7588.875</v>
      </c>
      <c r="BT318" s="407">
        <f t="shared" si="641"/>
        <v>7588.875</v>
      </c>
      <c r="BU318" s="407">
        <f t="shared" si="641"/>
        <v>7081.375</v>
      </c>
      <c r="BV318" s="407">
        <f t="shared" si="641"/>
        <v>7081.375</v>
      </c>
    </row>
    <row r="319" spans="1:74" ht="13" hidden="1" outlineLevel="2" collapsed="1" thickBot="1" x14ac:dyDescent="0.3">
      <c r="AV319" s="14"/>
    </row>
    <row r="320" spans="1:74" s="123" customFormat="1" ht="27" customHeight="1" outlineLevel="1" collapsed="1" thickBot="1" x14ac:dyDescent="0.3">
      <c r="A320" s="1109" t="s">
        <v>59</v>
      </c>
      <c r="B320" s="1110"/>
      <c r="C320" s="1110"/>
      <c r="D320" s="1110"/>
      <c r="E320" s="1110"/>
      <c r="F320" s="1110"/>
      <c r="G320" s="1110"/>
      <c r="H320" s="1110"/>
      <c r="I320" s="1110"/>
      <c r="J320" s="1110"/>
      <c r="K320" s="1110"/>
      <c r="L320" s="1110"/>
      <c r="M320" s="1110"/>
      <c r="N320" s="1110"/>
      <c r="O320" s="1110"/>
      <c r="P320" s="1110"/>
      <c r="Q320" s="1110"/>
      <c r="R320" s="1110"/>
      <c r="S320" s="1110"/>
      <c r="T320" s="1110"/>
      <c r="U320" s="1110"/>
      <c r="V320" s="1110"/>
      <c r="W320" s="1110"/>
      <c r="X320" s="1110"/>
      <c r="Y320" s="1110"/>
      <c r="Z320" s="1110"/>
      <c r="AA320" s="1110"/>
      <c r="AB320" s="1110"/>
      <c r="AC320" s="1110"/>
      <c r="AD320" s="1110"/>
      <c r="AE320" s="1110"/>
      <c r="AF320" s="1110"/>
      <c r="AG320" s="1110"/>
      <c r="AH320" s="1110"/>
      <c r="AI320" s="1110"/>
      <c r="AJ320" s="1110"/>
      <c r="AK320" s="1110"/>
      <c r="AL320" s="1110"/>
      <c r="AM320" s="1110"/>
      <c r="AN320" s="1110"/>
      <c r="AO320" s="1110"/>
      <c r="AP320" s="1110"/>
      <c r="AQ320" s="1110"/>
      <c r="AR320" s="1110"/>
      <c r="AS320" s="1110"/>
      <c r="AT320" s="1110"/>
      <c r="AU320" s="1110"/>
      <c r="AV320" s="1110"/>
      <c r="AW320" s="1110"/>
      <c r="AX320" s="1110"/>
      <c r="AY320" s="1110"/>
      <c r="AZ320" s="1110"/>
      <c r="BA320" s="1110"/>
      <c r="BB320" s="1110"/>
      <c r="BC320" s="1110"/>
      <c r="BD320" s="1110"/>
      <c r="BE320" s="1110"/>
      <c r="BF320" s="1110"/>
      <c r="BG320" s="1110"/>
      <c r="BH320" s="1110"/>
      <c r="BI320" s="1110"/>
      <c r="BJ320" s="1110"/>
      <c r="BK320" s="1110"/>
      <c r="BL320" s="1110"/>
      <c r="BM320" s="1110"/>
      <c r="BN320" s="1110"/>
      <c r="BO320" s="1110"/>
      <c r="BP320" s="1110"/>
      <c r="BQ320" s="1110"/>
      <c r="BR320" s="1110"/>
      <c r="BS320" s="1110"/>
      <c r="BT320" s="1110"/>
      <c r="BU320" s="1110"/>
      <c r="BV320" s="1111"/>
    </row>
    <row r="321" spans="1:74" ht="18" hidden="1" customHeight="1" outlineLevel="2" thickBot="1" x14ac:dyDescent="0.3">
      <c r="A321" s="1112" t="s">
        <v>113</v>
      </c>
      <c r="B321" s="1112" t="s">
        <v>8</v>
      </c>
      <c r="C321" s="1112" t="s">
        <v>100</v>
      </c>
      <c r="D321" s="1103" t="s">
        <v>97</v>
      </c>
      <c r="E321" s="1104"/>
      <c r="F321" s="1104"/>
      <c r="G321" s="1104"/>
      <c r="H321" s="1104"/>
      <c r="I321" s="1104"/>
      <c r="J321" s="1104"/>
      <c r="K321" s="1104"/>
      <c r="L321" s="1104"/>
      <c r="M321" s="1104"/>
      <c r="N321" s="1104"/>
      <c r="O321" s="1104"/>
      <c r="P321" s="1104"/>
      <c r="Q321" s="1104"/>
      <c r="R321" s="1104"/>
      <c r="S321" s="1104"/>
      <c r="T321" s="1104"/>
      <c r="U321" s="1104"/>
      <c r="V321" s="1104"/>
      <c r="W321" s="1104"/>
      <c r="X321" s="1104"/>
      <c r="Y321" s="1104"/>
      <c r="Z321" s="1104"/>
      <c r="AA321" s="1104"/>
      <c r="AB321" s="1104"/>
      <c r="AC321" s="1104"/>
      <c r="AD321" s="1104"/>
      <c r="AE321" s="1104"/>
      <c r="AF321" s="1104"/>
      <c r="AG321" s="1104"/>
      <c r="AH321" s="1104"/>
      <c r="AI321" s="1104"/>
      <c r="AJ321" s="1104"/>
      <c r="AK321" s="1104"/>
      <c r="AL321" s="1105"/>
      <c r="AM321" s="634"/>
      <c r="AN321" s="1103" t="s">
        <v>99</v>
      </c>
      <c r="AO321" s="1104"/>
      <c r="AP321" s="1104"/>
      <c r="AQ321" s="1104"/>
      <c r="AR321" s="1104"/>
      <c r="AS321" s="1104"/>
      <c r="AT321" s="1104"/>
      <c r="AU321" s="1104"/>
      <c r="AV321" s="1104"/>
      <c r="AW321" s="1104"/>
      <c r="AX321" s="1104"/>
      <c r="AY321" s="1104"/>
      <c r="AZ321" s="1104"/>
      <c r="BA321" s="1104"/>
      <c r="BB321" s="1104"/>
      <c r="BC321" s="1104"/>
      <c r="BD321" s="1104"/>
      <c r="BE321" s="1104"/>
      <c r="BF321" s="1104"/>
      <c r="BG321" s="1104"/>
      <c r="BH321" s="1104"/>
      <c r="BI321" s="1104"/>
      <c r="BJ321" s="1104"/>
      <c r="BK321" s="1104"/>
      <c r="BL321" s="1104"/>
      <c r="BM321" s="1104"/>
      <c r="BN321" s="1104"/>
      <c r="BO321" s="1104"/>
      <c r="BP321" s="1104"/>
      <c r="BQ321" s="1104"/>
      <c r="BR321" s="1104"/>
      <c r="BS321" s="1104"/>
      <c r="BT321" s="1104"/>
      <c r="BU321" s="1104"/>
      <c r="BV321" s="1105"/>
    </row>
    <row r="322" spans="1:74" ht="18" hidden="1" customHeight="1" outlineLevel="2" thickBot="1" x14ac:dyDescent="0.3">
      <c r="A322" s="1113"/>
      <c r="B322" s="1113"/>
      <c r="C322" s="1113"/>
      <c r="D322" s="275">
        <v>1</v>
      </c>
      <c r="E322" s="211">
        <v>2</v>
      </c>
      <c r="F322" s="211">
        <v>3</v>
      </c>
      <c r="G322" s="211">
        <v>4</v>
      </c>
      <c r="H322" s="211">
        <v>5</v>
      </c>
      <c r="I322" s="211">
        <v>6</v>
      </c>
      <c r="J322" s="211">
        <v>7</v>
      </c>
      <c r="K322" s="211">
        <v>8</v>
      </c>
      <c r="L322" s="211">
        <v>9</v>
      </c>
      <c r="M322" s="211">
        <v>10</v>
      </c>
      <c r="N322" s="211">
        <v>11</v>
      </c>
      <c r="O322" s="211">
        <v>12</v>
      </c>
      <c r="P322" s="211">
        <v>13</v>
      </c>
      <c r="Q322" s="211">
        <v>14</v>
      </c>
      <c r="R322" s="211">
        <v>15</v>
      </c>
      <c r="S322" s="211">
        <v>16</v>
      </c>
      <c r="T322" s="211">
        <v>17</v>
      </c>
      <c r="U322" s="211">
        <v>18</v>
      </c>
      <c r="V322" s="211">
        <v>19</v>
      </c>
      <c r="W322" s="211">
        <v>20</v>
      </c>
      <c r="X322" s="211">
        <v>21</v>
      </c>
      <c r="Y322" s="211">
        <v>22</v>
      </c>
      <c r="Z322" s="211">
        <v>23</v>
      </c>
      <c r="AA322" s="211">
        <v>24</v>
      </c>
      <c r="AB322" s="211">
        <v>25</v>
      </c>
      <c r="AC322" s="211">
        <v>26</v>
      </c>
      <c r="AD322" s="211">
        <v>27</v>
      </c>
      <c r="AE322" s="211">
        <v>28</v>
      </c>
      <c r="AF322" s="211">
        <v>29</v>
      </c>
      <c r="AG322" s="211">
        <v>30</v>
      </c>
      <c r="AH322" s="211">
        <v>31</v>
      </c>
      <c r="AI322" s="211">
        <v>32</v>
      </c>
      <c r="AJ322" s="211">
        <v>33</v>
      </c>
      <c r="AK322" s="211">
        <v>34</v>
      </c>
      <c r="AL322" s="212">
        <v>35</v>
      </c>
      <c r="AM322" s="635"/>
      <c r="AN322" s="275">
        <v>1</v>
      </c>
      <c r="AO322" s="211">
        <v>2</v>
      </c>
      <c r="AP322" s="211">
        <v>3</v>
      </c>
      <c r="AQ322" s="211">
        <v>4</v>
      </c>
      <c r="AR322" s="211">
        <v>5</v>
      </c>
      <c r="AS322" s="211">
        <v>6</v>
      </c>
      <c r="AT322" s="211">
        <v>7</v>
      </c>
      <c r="AU322" s="211">
        <v>8</v>
      </c>
      <c r="AV322" s="211">
        <v>9</v>
      </c>
      <c r="AW322" s="211">
        <v>10</v>
      </c>
      <c r="AX322" s="211">
        <v>11</v>
      </c>
      <c r="AY322" s="211">
        <v>12</v>
      </c>
      <c r="AZ322" s="211">
        <v>13</v>
      </c>
      <c r="BA322" s="211">
        <v>14</v>
      </c>
      <c r="BB322" s="211">
        <v>15</v>
      </c>
      <c r="BC322" s="211">
        <v>16</v>
      </c>
      <c r="BD322" s="211">
        <v>17</v>
      </c>
      <c r="BE322" s="211">
        <v>18</v>
      </c>
      <c r="BF322" s="211">
        <v>19</v>
      </c>
      <c r="BG322" s="211">
        <v>20</v>
      </c>
      <c r="BH322" s="211">
        <v>21</v>
      </c>
      <c r="BI322" s="211">
        <v>22</v>
      </c>
      <c r="BJ322" s="211">
        <v>23</v>
      </c>
      <c r="BK322" s="211">
        <v>24</v>
      </c>
      <c r="BL322" s="211">
        <v>25</v>
      </c>
      <c r="BM322" s="211">
        <v>26</v>
      </c>
      <c r="BN322" s="211">
        <v>27</v>
      </c>
      <c r="BO322" s="211">
        <v>28</v>
      </c>
      <c r="BP322" s="211">
        <v>29</v>
      </c>
      <c r="BQ322" s="211">
        <v>30</v>
      </c>
      <c r="BR322" s="211">
        <v>31</v>
      </c>
      <c r="BS322" s="211">
        <v>32</v>
      </c>
      <c r="BT322" s="211">
        <v>33</v>
      </c>
      <c r="BU322" s="211">
        <v>34</v>
      </c>
      <c r="BV322" s="212">
        <v>35</v>
      </c>
    </row>
    <row r="323" spans="1:74" ht="20.149999999999999" hidden="1" customHeight="1" outlineLevel="2" x14ac:dyDescent="0.25">
      <c r="A323" s="21" t="s">
        <v>78</v>
      </c>
      <c r="B323" s="11" t="str">
        <f>'Custos Insumos'!$C$41</f>
        <v>HMPP</v>
      </c>
      <c r="C323" s="279">
        <f>'Custos Insumos'!$D$41</f>
        <v>400</v>
      </c>
      <c r="D323" s="279">
        <v>4</v>
      </c>
      <c r="E323" s="279"/>
      <c r="F323" s="279"/>
      <c r="G323" s="279"/>
      <c r="H323" s="279"/>
      <c r="I323" s="279"/>
      <c r="J323" s="279"/>
      <c r="K323" s="279"/>
      <c r="L323" s="356"/>
      <c r="M323" s="356"/>
      <c r="N323" s="356"/>
      <c r="O323" s="356"/>
      <c r="P323" s="356"/>
      <c r="Q323" s="356"/>
      <c r="R323" s="356"/>
      <c r="S323" s="356"/>
      <c r="T323" s="356"/>
      <c r="U323" s="356"/>
      <c r="V323" s="356">
        <f t="shared" ref="V323:AE327" si="642">D323</f>
        <v>4</v>
      </c>
      <c r="W323" s="356">
        <f t="shared" si="642"/>
        <v>0</v>
      </c>
      <c r="X323" s="356">
        <f t="shared" si="642"/>
        <v>0</v>
      </c>
      <c r="Y323" s="356">
        <f t="shared" si="642"/>
        <v>0</v>
      </c>
      <c r="Z323" s="356">
        <f t="shared" si="642"/>
        <v>0</v>
      </c>
      <c r="AA323" s="356">
        <f t="shared" si="642"/>
        <v>0</v>
      </c>
      <c r="AB323" s="356">
        <f t="shared" si="642"/>
        <v>0</v>
      </c>
      <c r="AC323" s="356">
        <f t="shared" si="642"/>
        <v>0</v>
      </c>
      <c r="AD323" s="356">
        <f t="shared" si="642"/>
        <v>0</v>
      </c>
      <c r="AE323" s="356">
        <f t="shared" si="642"/>
        <v>0</v>
      </c>
      <c r="AF323" s="356">
        <f t="shared" ref="AF323:AL327" si="643">N323</f>
        <v>0</v>
      </c>
      <c r="AG323" s="356">
        <f t="shared" si="643"/>
        <v>0</v>
      </c>
      <c r="AH323" s="356">
        <f t="shared" si="643"/>
        <v>0</v>
      </c>
      <c r="AI323" s="356">
        <f t="shared" si="643"/>
        <v>0</v>
      </c>
      <c r="AJ323" s="356">
        <f t="shared" si="643"/>
        <v>0</v>
      </c>
      <c r="AK323" s="356">
        <f t="shared" si="643"/>
        <v>0</v>
      </c>
      <c r="AL323" s="357">
        <f t="shared" si="643"/>
        <v>0</v>
      </c>
      <c r="AM323" s="636"/>
      <c r="AN323" s="278">
        <f t="shared" ref="AN323:BV323" si="644">$C$323*D323</f>
        <v>1600</v>
      </c>
      <c r="AO323" s="279">
        <f t="shared" si="644"/>
        <v>0</v>
      </c>
      <c r="AP323" s="279">
        <f t="shared" si="644"/>
        <v>0</v>
      </c>
      <c r="AQ323" s="279">
        <f t="shared" si="644"/>
        <v>0</v>
      </c>
      <c r="AR323" s="279">
        <f t="shared" si="644"/>
        <v>0</v>
      </c>
      <c r="AS323" s="279">
        <f t="shared" si="644"/>
        <v>0</v>
      </c>
      <c r="AT323" s="279">
        <f t="shared" si="644"/>
        <v>0</v>
      </c>
      <c r="AU323" s="279">
        <f t="shared" si="644"/>
        <v>0</v>
      </c>
      <c r="AV323" s="356">
        <f t="shared" si="644"/>
        <v>0</v>
      </c>
      <c r="AW323" s="380">
        <f t="shared" si="644"/>
        <v>0</v>
      </c>
      <c r="AX323" s="380">
        <f t="shared" si="644"/>
        <v>0</v>
      </c>
      <c r="AY323" s="380">
        <f t="shared" si="644"/>
        <v>0</v>
      </c>
      <c r="AZ323" s="380">
        <f t="shared" si="644"/>
        <v>0</v>
      </c>
      <c r="BA323" s="380">
        <f t="shared" si="644"/>
        <v>0</v>
      </c>
      <c r="BB323" s="380">
        <f t="shared" si="644"/>
        <v>0</v>
      </c>
      <c r="BC323" s="380">
        <f t="shared" si="644"/>
        <v>0</v>
      </c>
      <c r="BD323" s="380">
        <f t="shared" si="644"/>
        <v>0</v>
      </c>
      <c r="BE323" s="380">
        <f t="shared" si="644"/>
        <v>0</v>
      </c>
      <c r="BF323" s="380">
        <f t="shared" si="644"/>
        <v>1600</v>
      </c>
      <c r="BG323" s="380">
        <f t="shared" si="644"/>
        <v>0</v>
      </c>
      <c r="BH323" s="380">
        <f t="shared" si="644"/>
        <v>0</v>
      </c>
      <c r="BI323" s="380">
        <f t="shared" si="644"/>
        <v>0</v>
      </c>
      <c r="BJ323" s="380">
        <f t="shared" si="644"/>
        <v>0</v>
      </c>
      <c r="BK323" s="380">
        <f t="shared" si="644"/>
        <v>0</v>
      </c>
      <c r="BL323" s="380">
        <f t="shared" si="644"/>
        <v>0</v>
      </c>
      <c r="BM323" s="380">
        <f t="shared" si="644"/>
        <v>0</v>
      </c>
      <c r="BN323" s="380">
        <f t="shared" si="644"/>
        <v>0</v>
      </c>
      <c r="BO323" s="380">
        <f t="shared" si="644"/>
        <v>0</v>
      </c>
      <c r="BP323" s="380">
        <f t="shared" si="644"/>
        <v>0</v>
      </c>
      <c r="BQ323" s="380">
        <f t="shared" si="644"/>
        <v>0</v>
      </c>
      <c r="BR323" s="380">
        <f t="shared" si="644"/>
        <v>0</v>
      </c>
      <c r="BS323" s="380">
        <f t="shared" si="644"/>
        <v>0</v>
      </c>
      <c r="BT323" s="380">
        <f t="shared" si="644"/>
        <v>0</v>
      </c>
      <c r="BU323" s="380">
        <f t="shared" si="644"/>
        <v>0</v>
      </c>
      <c r="BV323" s="381">
        <f t="shared" si="644"/>
        <v>0</v>
      </c>
    </row>
    <row r="324" spans="1:74" ht="20.149999999999999" hidden="1" customHeight="1" outlineLevel="2" x14ac:dyDescent="0.25">
      <c r="A324" s="22" t="s">
        <v>79</v>
      </c>
      <c r="B324" s="12" t="str">
        <f>'Custos Insumos'!$C$42</f>
        <v>HMPM</v>
      </c>
      <c r="C324" s="284">
        <f>'Custos Insumos'!$D$42</f>
        <v>250</v>
      </c>
      <c r="D324" s="284">
        <v>2</v>
      </c>
      <c r="E324" s="284">
        <v>2</v>
      </c>
      <c r="F324" s="284">
        <v>2</v>
      </c>
      <c r="G324" s="284">
        <v>2</v>
      </c>
      <c r="H324" s="284">
        <v>2</v>
      </c>
      <c r="I324" s="284">
        <v>2</v>
      </c>
      <c r="J324" s="284">
        <v>2</v>
      </c>
      <c r="K324" s="284">
        <v>2</v>
      </c>
      <c r="L324" s="358">
        <v>2</v>
      </c>
      <c r="M324" s="358">
        <v>2</v>
      </c>
      <c r="N324" s="358">
        <v>2</v>
      </c>
      <c r="O324" s="358">
        <v>2</v>
      </c>
      <c r="P324" s="358">
        <v>2</v>
      </c>
      <c r="Q324" s="358">
        <v>2</v>
      </c>
      <c r="R324" s="358">
        <v>2</v>
      </c>
      <c r="S324" s="358">
        <v>2</v>
      </c>
      <c r="T324" s="358">
        <v>2</v>
      </c>
      <c r="U324" s="358">
        <v>2</v>
      </c>
      <c r="V324" s="358">
        <f t="shared" si="642"/>
        <v>2</v>
      </c>
      <c r="W324" s="358">
        <f t="shared" si="642"/>
        <v>2</v>
      </c>
      <c r="X324" s="358">
        <f t="shared" si="642"/>
        <v>2</v>
      </c>
      <c r="Y324" s="358">
        <f t="shared" si="642"/>
        <v>2</v>
      </c>
      <c r="Z324" s="358">
        <f t="shared" si="642"/>
        <v>2</v>
      </c>
      <c r="AA324" s="358">
        <f t="shared" si="642"/>
        <v>2</v>
      </c>
      <c r="AB324" s="358">
        <f t="shared" si="642"/>
        <v>2</v>
      </c>
      <c r="AC324" s="358">
        <f t="shared" si="642"/>
        <v>2</v>
      </c>
      <c r="AD324" s="358">
        <f t="shared" si="642"/>
        <v>2</v>
      </c>
      <c r="AE324" s="358">
        <f t="shared" si="642"/>
        <v>2</v>
      </c>
      <c r="AF324" s="358">
        <f t="shared" si="643"/>
        <v>2</v>
      </c>
      <c r="AG324" s="358">
        <f t="shared" si="643"/>
        <v>2</v>
      </c>
      <c r="AH324" s="358">
        <f t="shared" si="643"/>
        <v>2</v>
      </c>
      <c r="AI324" s="358">
        <f t="shared" si="643"/>
        <v>2</v>
      </c>
      <c r="AJ324" s="358">
        <f t="shared" si="643"/>
        <v>2</v>
      </c>
      <c r="AK324" s="358">
        <f t="shared" si="643"/>
        <v>2</v>
      </c>
      <c r="AL324" s="359">
        <f t="shared" si="643"/>
        <v>2</v>
      </c>
      <c r="AM324" s="636"/>
      <c r="AN324" s="283">
        <f t="shared" ref="AN324:BV324" si="645">$C$324*D324</f>
        <v>500</v>
      </c>
      <c r="AO324" s="284">
        <f t="shared" si="645"/>
        <v>500</v>
      </c>
      <c r="AP324" s="284">
        <f t="shared" si="645"/>
        <v>500</v>
      </c>
      <c r="AQ324" s="284">
        <f t="shared" si="645"/>
        <v>500</v>
      </c>
      <c r="AR324" s="284">
        <f t="shared" si="645"/>
        <v>500</v>
      </c>
      <c r="AS324" s="284">
        <f t="shared" si="645"/>
        <v>500</v>
      </c>
      <c r="AT324" s="284">
        <f t="shared" si="645"/>
        <v>500</v>
      </c>
      <c r="AU324" s="284">
        <f t="shared" si="645"/>
        <v>500</v>
      </c>
      <c r="AV324" s="358">
        <f t="shared" si="645"/>
        <v>500</v>
      </c>
      <c r="AW324" s="382">
        <f t="shared" si="645"/>
        <v>500</v>
      </c>
      <c r="AX324" s="382">
        <f t="shared" si="645"/>
        <v>500</v>
      </c>
      <c r="AY324" s="382">
        <f t="shared" si="645"/>
        <v>500</v>
      </c>
      <c r="AZ324" s="382">
        <f t="shared" si="645"/>
        <v>500</v>
      </c>
      <c r="BA324" s="382">
        <f t="shared" si="645"/>
        <v>500</v>
      </c>
      <c r="BB324" s="382">
        <f t="shared" si="645"/>
        <v>500</v>
      </c>
      <c r="BC324" s="382">
        <f t="shared" si="645"/>
        <v>500</v>
      </c>
      <c r="BD324" s="382">
        <f t="shared" si="645"/>
        <v>500</v>
      </c>
      <c r="BE324" s="382">
        <f t="shared" si="645"/>
        <v>500</v>
      </c>
      <c r="BF324" s="382">
        <f t="shared" si="645"/>
        <v>500</v>
      </c>
      <c r="BG324" s="382">
        <f t="shared" si="645"/>
        <v>500</v>
      </c>
      <c r="BH324" s="382">
        <f t="shared" si="645"/>
        <v>500</v>
      </c>
      <c r="BI324" s="382">
        <f t="shared" si="645"/>
        <v>500</v>
      </c>
      <c r="BJ324" s="382">
        <f t="shared" si="645"/>
        <v>500</v>
      </c>
      <c r="BK324" s="382">
        <f t="shared" si="645"/>
        <v>500</v>
      </c>
      <c r="BL324" s="382">
        <f t="shared" si="645"/>
        <v>500</v>
      </c>
      <c r="BM324" s="382">
        <f t="shared" si="645"/>
        <v>500</v>
      </c>
      <c r="BN324" s="382">
        <f t="shared" si="645"/>
        <v>500</v>
      </c>
      <c r="BO324" s="382">
        <f t="shared" si="645"/>
        <v>500</v>
      </c>
      <c r="BP324" s="382">
        <f t="shared" si="645"/>
        <v>500</v>
      </c>
      <c r="BQ324" s="382">
        <f t="shared" si="645"/>
        <v>500</v>
      </c>
      <c r="BR324" s="382">
        <f t="shared" si="645"/>
        <v>500</v>
      </c>
      <c r="BS324" s="382">
        <f t="shared" si="645"/>
        <v>500</v>
      </c>
      <c r="BT324" s="382">
        <f t="shared" si="645"/>
        <v>500</v>
      </c>
      <c r="BU324" s="382">
        <f t="shared" si="645"/>
        <v>500</v>
      </c>
      <c r="BV324" s="383">
        <f t="shared" si="645"/>
        <v>500</v>
      </c>
    </row>
    <row r="325" spans="1:74" ht="20.149999999999999" hidden="1" customHeight="1" outlineLevel="2" x14ac:dyDescent="0.25">
      <c r="A325" s="22" t="s">
        <v>80</v>
      </c>
      <c r="B325" s="12" t="str">
        <f>'Custos Insumos'!$C$42</f>
        <v>HMPM</v>
      </c>
      <c r="C325" s="284">
        <f>'Custos Insumos'!$D$42</f>
        <v>250</v>
      </c>
      <c r="D325" s="284">
        <v>2</v>
      </c>
      <c r="E325" s="284">
        <v>2</v>
      </c>
      <c r="F325" s="284">
        <v>2</v>
      </c>
      <c r="G325" s="284">
        <v>2</v>
      </c>
      <c r="H325" s="284">
        <v>2</v>
      </c>
      <c r="I325" s="284">
        <v>2</v>
      </c>
      <c r="J325" s="284">
        <v>2</v>
      </c>
      <c r="K325" s="284">
        <v>2</v>
      </c>
      <c r="L325" s="358">
        <v>2</v>
      </c>
      <c r="M325" s="358">
        <v>2</v>
      </c>
      <c r="N325" s="358">
        <v>2</v>
      </c>
      <c r="O325" s="358">
        <v>2</v>
      </c>
      <c r="P325" s="358">
        <v>2</v>
      </c>
      <c r="Q325" s="358">
        <v>2</v>
      </c>
      <c r="R325" s="358">
        <v>2</v>
      </c>
      <c r="S325" s="358">
        <v>2</v>
      </c>
      <c r="T325" s="358">
        <v>2</v>
      </c>
      <c r="U325" s="358">
        <v>2</v>
      </c>
      <c r="V325" s="358">
        <f t="shared" si="642"/>
        <v>2</v>
      </c>
      <c r="W325" s="358">
        <f t="shared" si="642"/>
        <v>2</v>
      </c>
      <c r="X325" s="358">
        <f t="shared" si="642"/>
        <v>2</v>
      </c>
      <c r="Y325" s="358">
        <f t="shared" si="642"/>
        <v>2</v>
      </c>
      <c r="Z325" s="358">
        <f t="shared" si="642"/>
        <v>2</v>
      </c>
      <c r="AA325" s="358">
        <f t="shared" si="642"/>
        <v>2</v>
      </c>
      <c r="AB325" s="358">
        <f t="shared" si="642"/>
        <v>2</v>
      </c>
      <c r="AC325" s="358">
        <f t="shared" si="642"/>
        <v>2</v>
      </c>
      <c r="AD325" s="358">
        <f t="shared" si="642"/>
        <v>2</v>
      </c>
      <c r="AE325" s="358">
        <f t="shared" si="642"/>
        <v>2</v>
      </c>
      <c r="AF325" s="358">
        <f t="shared" si="643"/>
        <v>2</v>
      </c>
      <c r="AG325" s="358">
        <f t="shared" si="643"/>
        <v>2</v>
      </c>
      <c r="AH325" s="358">
        <f t="shared" si="643"/>
        <v>2</v>
      </c>
      <c r="AI325" s="358">
        <f t="shared" si="643"/>
        <v>2</v>
      </c>
      <c r="AJ325" s="358">
        <f t="shared" si="643"/>
        <v>2</v>
      </c>
      <c r="AK325" s="358">
        <f t="shared" si="643"/>
        <v>2</v>
      </c>
      <c r="AL325" s="359">
        <f t="shared" si="643"/>
        <v>2</v>
      </c>
      <c r="AM325" s="636"/>
      <c r="AN325" s="283">
        <f t="shared" ref="AN325:BV325" si="646">$C$325*D325</f>
        <v>500</v>
      </c>
      <c r="AO325" s="284">
        <f t="shared" si="646"/>
        <v>500</v>
      </c>
      <c r="AP325" s="284">
        <f t="shared" si="646"/>
        <v>500</v>
      </c>
      <c r="AQ325" s="284">
        <f t="shared" si="646"/>
        <v>500</v>
      </c>
      <c r="AR325" s="284">
        <f t="shared" si="646"/>
        <v>500</v>
      </c>
      <c r="AS325" s="284">
        <f t="shared" si="646"/>
        <v>500</v>
      </c>
      <c r="AT325" s="284">
        <f t="shared" si="646"/>
        <v>500</v>
      </c>
      <c r="AU325" s="284">
        <f t="shared" si="646"/>
        <v>500</v>
      </c>
      <c r="AV325" s="358">
        <f t="shared" si="646"/>
        <v>500</v>
      </c>
      <c r="AW325" s="382">
        <f t="shared" si="646"/>
        <v>500</v>
      </c>
      <c r="AX325" s="382">
        <f t="shared" si="646"/>
        <v>500</v>
      </c>
      <c r="AY325" s="382">
        <f t="shared" si="646"/>
        <v>500</v>
      </c>
      <c r="AZ325" s="382">
        <f t="shared" si="646"/>
        <v>500</v>
      </c>
      <c r="BA325" s="382">
        <f t="shared" si="646"/>
        <v>500</v>
      </c>
      <c r="BB325" s="382">
        <f t="shared" si="646"/>
        <v>500</v>
      </c>
      <c r="BC325" s="382">
        <f t="shared" si="646"/>
        <v>500</v>
      </c>
      <c r="BD325" s="382">
        <f t="shared" si="646"/>
        <v>500</v>
      </c>
      <c r="BE325" s="382">
        <f t="shared" si="646"/>
        <v>500</v>
      </c>
      <c r="BF325" s="382">
        <f t="shared" si="646"/>
        <v>500</v>
      </c>
      <c r="BG325" s="382">
        <f t="shared" si="646"/>
        <v>500</v>
      </c>
      <c r="BH325" s="382">
        <f t="shared" si="646"/>
        <v>500</v>
      </c>
      <c r="BI325" s="382">
        <f t="shared" si="646"/>
        <v>500</v>
      </c>
      <c r="BJ325" s="382">
        <f t="shared" si="646"/>
        <v>500</v>
      </c>
      <c r="BK325" s="382">
        <f t="shared" si="646"/>
        <v>500</v>
      </c>
      <c r="BL325" s="382">
        <f t="shared" si="646"/>
        <v>500</v>
      </c>
      <c r="BM325" s="382">
        <f t="shared" si="646"/>
        <v>500</v>
      </c>
      <c r="BN325" s="382">
        <f t="shared" si="646"/>
        <v>500</v>
      </c>
      <c r="BO325" s="382">
        <f t="shared" si="646"/>
        <v>500</v>
      </c>
      <c r="BP325" s="382">
        <f t="shared" si="646"/>
        <v>500</v>
      </c>
      <c r="BQ325" s="382">
        <f t="shared" si="646"/>
        <v>500</v>
      </c>
      <c r="BR325" s="382">
        <f t="shared" si="646"/>
        <v>500</v>
      </c>
      <c r="BS325" s="382">
        <f t="shared" si="646"/>
        <v>500</v>
      </c>
      <c r="BT325" s="382">
        <f t="shared" si="646"/>
        <v>500</v>
      </c>
      <c r="BU325" s="382">
        <f t="shared" si="646"/>
        <v>500</v>
      </c>
      <c r="BV325" s="383">
        <f t="shared" si="646"/>
        <v>500</v>
      </c>
    </row>
    <row r="326" spans="1:74" ht="20.149999999999999" hidden="1" customHeight="1" outlineLevel="2" x14ac:dyDescent="0.25">
      <c r="A326" s="22" t="s">
        <v>81</v>
      </c>
      <c r="B326" s="8" t="str">
        <f>'Custos Insumos'!$C$41</f>
        <v>HMPP</v>
      </c>
      <c r="C326" s="284">
        <f>'Custos Insumos'!$D$41</f>
        <v>400</v>
      </c>
      <c r="D326" s="284">
        <v>3</v>
      </c>
      <c r="E326" s="284"/>
      <c r="F326" s="284"/>
      <c r="G326" s="284"/>
      <c r="H326" s="284"/>
      <c r="I326" s="284"/>
      <c r="J326" s="284"/>
      <c r="K326" s="284"/>
      <c r="L326" s="358"/>
      <c r="M326" s="358"/>
      <c r="N326" s="358"/>
      <c r="O326" s="358"/>
      <c r="P326" s="358"/>
      <c r="Q326" s="358"/>
      <c r="R326" s="358"/>
      <c r="S326" s="358"/>
      <c r="T326" s="358"/>
      <c r="U326" s="358"/>
      <c r="V326" s="358">
        <f t="shared" si="642"/>
        <v>3</v>
      </c>
      <c r="W326" s="358">
        <f t="shared" si="642"/>
        <v>0</v>
      </c>
      <c r="X326" s="358">
        <f t="shared" si="642"/>
        <v>0</v>
      </c>
      <c r="Y326" s="358">
        <f t="shared" si="642"/>
        <v>0</v>
      </c>
      <c r="Z326" s="358">
        <f t="shared" si="642"/>
        <v>0</v>
      </c>
      <c r="AA326" s="358">
        <f t="shared" si="642"/>
        <v>0</v>
      </c>
      <c r="AB326" s="358">
        <f t="shared" si="642"/>
        <v>0</v>
      </c>
      <c r="AC326" s="358">
        <f t="shared" si="642"/>
        <v>0</v>
      </c>
      <c r="AD326" s="358">
        <f t="shared" si="642"/>
        <v>0</v>
      </c>
      <c r="AE326" s="358">
        <f t="shared" si="642"/>
        <v>0</v>
      </c>
      <c r="AF326" s="358">
        <f t="shared" si="643"/>
        <v>0</v>
      </c>
      <c r="AG326" s="358">
        <f t="shared" si="643"/>
        <v>0</v>
      </c>
      <c r="AH326" s="358">
        <f t="shared" si="643"/>
        <v>0</v>
      </c>
      <c r="AI326" s="358">
        <f t="shared" si="643"/>
        <v>0</v>
      </c>
      <c r="AJ326" s="358">
        <f t="shared" si="643"/>
        <v>0</v>
      </c>
      <c r="AK326" s="358">
        <f t="shared" si="643"/>
        <v>0</v>
      </c>
      <c r="AL326" s="359">
        <f t="shared" si="643"/>
        <v>0</v>
      </c>
      <c r="AM326" s="636"/>
      <c r="AN326" s="283">
        <f t="shared" ref="AN326:BV326" si="647">$C$326*D326</f>
        <v>1200</v>
      </c>
      <c r="AO326" s="284">
        <f t="shared" si="647"/>
        <v>0</v>
      </c>
      <c r="AP326" s="284">
        <f t="shared" si="647"/>
        <v>0</v>
      </c>
      <c r="AQ326" s="284">
        <f t="shared" si="647"/>
        <v>0</v>
      </c>
      <c r="AR326" s="284">
        <f t="shared" si="647"/>
        <v>0</v>
      </c>
      <c r="AS326" s="284">
        <f t="shared" si="647"/>
        <v>0</v>
      </c>
      <c r="AT326" s="284">
        <f t="shared" si="647"/>
        <v>0</v>
      </c>
      <c r="AU326" s="284">
        <f t="shared" si="647"/>
        <v>0</v>
      </c>
      <c r="AV326" s="358">
        <f t="shared" si="647"/>
        <v>0</v>
      </c>
      <c r="AW326" s="382">
        <f t="shared" si="647"/>
        <v>0</v>
      </c>
      <c r="AX326" s="382">
        <f t="shared" si="647"/>
        <v>0</v>
      </c>
      <c r="AY326" s="382">
        <f t="shared" si="647"/>
        <v>0</v>
      </c>
      <c r="AZ326" s="382">
        <f t="shared" si="647"/>
        <v>0</v>
      </c>
      <c r="BA326" s="382">
        <f t="shared" si="647"/>
        <v>0</v>
      </c>
      <c r="BB326" s="382">
        <f t="shared" si="647"/>
        <v>0</v>
      </c>
      <c r="BC326" s="382">
        <f t="shared" si="647"/>
        <v>0</v>
      </c>
      <c r="BD326" s="382">
        <f t="shared" si="647"/>
        <v>0</v>
      </c>
      <c r="BE326" s="382">
        <f t="shared" si="647"/>
        <v>0</v>
      </c>
      <c r="BF326" s="382">
        <f t="shared" si="647"/>
        <v>1200</v>
      </c>
      <c r="BG326" s="382">
        <f t="shared" si="647"/>
        <v>0</v>
      </c>
      <c r="BH326" s="382">
        <f t="shared" si="647"/>
        <v>0</v>
      </c>
      <c r="BI326" s="382">
        <f t="shared" si="647"/>
        <v>0</v>
      </c>
      <c r="BJ326" s="382">
        <f t="shared" si="647"/>
        <v>0</v>
      </c>
      <c r="BK326" s="382">
        <f t="shared" si="647"/>
        <v>0</v>
      </c>
      <c r="BL326" s="382">
        <f t="shared" si="647"/>
        <v>0</v>
      </c>
      <c r="BM326" s="382">
        <f t="shared" si="647"/>
        <v>0</v>
      </c>
      <c r="BN326" s="382">
        <f t="shared" si="647"/>
        <v>0</v>
      </c>
      <c r="BO326" s="382">
        <f t="shared" si="647"/>
        <v>0</v>
      </c>
      <c r="BP326" s="382">
        <f t="shared" si="647"/>
        <v>0</v>
      </c>
      <c r="BQ326" s="382">
        <f t="shared" si="647"/>
        <v>0</v>
      </c>
      <c r="BR326" s="382">
        <f t="shared" si="647"/>
        <v>0</v>
      </c>
      <c r="BS326" s="382">
        <f t="shared" si="647"/>
        <v>0</v>
      </c>
      <c r="BT326" s="382">
        <f t="shared" si="647"/>
        <v>0</v>
      </c>
      <c r="BU326" s="382">
        <f t="shared" si="647"/>
        <v>0</v>
      </c>
      <c r="BV326" s="383">
        <f t="shared" si="647"/>
        <v>0</v>
      </c>
    </row>
    <row r="327" spans="1:74" ht="20.149999999999999" hidden="1" customHeight="1" outlineLevel="2" x14ac:dyDescent="0.25">
      <c r="A327" s="22" t="s">
        <v>82</v>
      </c>
      <c r="B327" s="12" t="str">
        <f>'Custos Insumos'!$C$42</f>
        <v>HMPM</v>
      </c>
      <c r="C327" s="284">
        <f>'Custos Insumos'!$D$42</f>
        <v>250</v>
      </c>
      <c r="D327" s="284">
        <v>3</v>
      </c>
      <c r="E327" s="284"/>
      <c r="F327" s="284"/>
      <c r="G327" s="284"/>
      <c r="H327" s="284"/>
      <c r="I327" s="284"/>
      <c r="J327" s="284"/>
      <c r="K327" s="284"/>
      <c r="L327" s="358"/>
      <c r="M327" s="358"/>
      <c r="N327" s="358"/>
      <c r="O327" s="358"/>
      <c r="P327" s="358"/>
      <c r="Q327" s="358"/>
      <c r="R327" s="358"/>
      <c r="S327" s="358"/>
      <c r="T327" s="358"/>
      <c r="U327" s="358"/>
      <c r="V327" s="358">
        <f t="shared" si="642"/>
        <v>3</v>
      </c>
      <c r="W327" s="358">
        <f t="shared" si="642"/>
        <v>0</v>
      </c>
      <c r="X327" s="358">
        <f t="shared" si="642"/>
        <v>0</v>
      </c>
      <c r="Y327" s="358">
        <f t="shared" si="642"/>
        <v>0</v>
      </c>
      <c r="Z327" s="358">
        <f t="shared" si="642"/>
        <v>0</v>
      </c>
      <c r="AA327" s="358">
        <f t="shared" si="642"/>
        <v>0</v>
      </c>
      <c r="AB327" s="358">
        <f t="shared" si="642"/>
        <v>0</v>
      </c>
      <c r="AC327" s="358">
        <f t="shared" si="642"/>
        <v>0</v>
      </c>
      <c r="AD327" s="358">
        <f t="shared" si="642"/>
        <v>0</v>
      </c>
      <c r="AE327" s="358">
        <f t="shared" si="642"/>
        <v>0</v>
      </c>
      <c r="AF327" s="358">
        <f t="shared" si="643"/>
        <v>0</v>
      </c>
      <c r="AG327" s="358">
        <f t="shared" si="643"/>
        <v>0</v>
      </c>
      <c r="AH327" s="358">
        <f t="shared" si="643"/>
        <v>0</v>
      </c>
      <c r="AI327" s="358">
        <f t="shared" si="643"/>
        <v>0</v>
      </c>
      <c r="AJ327" s="358">
        <f t="shared" si="643"/>
        <v>0</v>
      </c>
      <c r="AK327" s="358">
        <f t="shared" si="643"/>
        <v>0</v>
      </c>
      <c r="AL327" s="359">
        <f t="shared" si="643"/>
        <v>0</v>
      </c>
      <c r="AM327" s="636"/>
      <c r="AN327" s="283">
        <f t="shared" ref="AN327:BV327" si="648">$C$327*D327</f>
        <v>750</v>
      </c>
      <c r="AO327" s="284">
        <f t="shared" si="648"/>
        <v>0</v>
      </c>
      <c r="AP327" s="284">
        <f t="shared" si="648"/>
        <v>0</v>
      </c>
      <c r="AQ327" s="284">
        <f t="shared" si="648"/>
        <v>0</v>
      </c>
      <c r="AR327" s="284">
        <f t="shared" si="648"/>
        <v>0</v>
      </c>
      <c r="AS327" s="284">
        <f t="shared" si="648"/>
        <v>0</v>
      </c>
      <c r="AT327" s="284">
        <f t="shared" si="648"/>
        <v>0</v>
      </c>
      <c r="AU327" s="284">
        <f t="shared" si="648"/>
        <v>0</v>
      </c>
      <c r="AV327" s="358">
        <f t="shared" si="648"/>
        <v>0</v>
      </c>
      <c r="AW327" s="382">
        <f t="shared" si="648"/>
        <v>0</v>
      </c>
      <c r="AX327" s="382">
        <f t="shared" si="648"/>
        <v>0</v>
      </c>
      <c r="AY327" s="382">
        <f t="shared" si="648"/>
        <v>0</v>
      </c>
      <c r="AZ327" s="382">
        <f t="shared" si="648"/>
        <v>0</v>
      </c>
      <c r="BA327" s="382">
        <f t="shared" si="648"/>
        <v>0</v>
      </c>
      <c r="BB327" s="382">
        <f t="shared" si="648"/>
        <v>0</v>
      </c>
      <c r="BC327" s="382">
        <f t="shared" si="648"/>
        <v>0</v>
      </c>
      <c r="BD327" s="382">
        <f t="shared" si="648"/>
        <v>0</v>
      </c>
      <c r="BE327" s="382">
        <f t="shared" si="648"/>
        <v>0</v>
      </c>
      <c r="BF327" s="382">
        <f t="shared" si="648"/>
        <v>750</v>
      </c>
      <c r="BG327" s="382">
        <f t="shared" si="648"/>
        <v>0</v>
      </c>
      <c r="BH327" s="382">
        <f t="shared" si="648"/>
        <v>0</v>
      </c>
      <c r="BI327" s="382">
        <f t="shared" si="648"/>
        <v>0</v>
      </c>
      <c r="BJ327" s="382">
        <f t="shared" si="648"/>
        <v>0</v>
      </c>
      <c r="BK327" s="382">
        <f t="shared" si="648"/>
        <v>0</v>
      </c>
      <c r="BL327" s="382">
        <f t="shared" si="648"/>
        <v>0</v>
      </c>
      <c r="BM327" s="382">
        <f t="shared" si="648"/>
        <v>0</v>
      </c>
      <c r="BN327" s="382">
        <f t="shared" si="648"/>
        <v>0</v>
      </c>
      <c r="BO327" s="382">
        <f t="shared" si="648"/>
        <v>0</v>
      </c>
      <c r="BP327" s="382">
        <f t="shared" si="648"/>
        <v>0</v>
      </c>
      <c r="BQ327" s="382">
        <f t="shared" si="648"/>
        <v>0</v>
      </c>
      <c r="BR327" s="382">
        <f t="shared" si="648"/>
        <v>0</v>
      </c>
      <c r="BS327" s="382">
        <f t="shared" si="648"/>
        <v>0</v>
      </c>
      <c r="BT327" s="382">
        <f t="shared" si="648"/>
        <v>0</v>
      </c>
      <c r="BU327" s="382">
        <f t="shared" si="648"/>
        <v>0</v>
      </c>
      <c r="BV327" s="383">
        <f t="shared" si="648"/>
        <v>0</v>
      </c>
    </row>
    <row r="328" spans="1:74" ht="20.149999999999999" hidden="1" customHeight="1" outlineLevel="2" x14ac:dyDescent="0.25">
      <c r="A328" s="22" t="s">
        <v>330</v>
      </c>
      <c r="B328" s="12" t="s">
        <v>331</v>
      </c>
      <c r="C328" s="284">
        <f>'Custos Diversos'!E179</f>
        <v>4016</v>
      </c>
      <c r="D328" s="284"/>
      <c r="E328" s="284"/>
      <c r="F328" s="284"/>
      <c r="G328" s="284"/>
      <c r="H328" s="284"/>
      <c r="I328" s="284"/>
      <c r="J328" s="284"/>
      <c r="K328" s="284"/>
      <c r="L328" s="358"/>
      <c r="M328" s="358"/>
      <c r="N328" s="358"/>
      <c r="O328" s="358"/>
      <c r="P328" s="358"/>
      <c r="Q328" s="358"/>
      <c r="R328" s="358"/>
      <c r="S328" s="358"/>
      <c r="T328" s="358"/>
      <c r="U328" s="358"/>
      <c r="V328" s="358">
        <v>1</v>
      </c>
      <c r="W328" s="358"/>
      <c r="X328" s="358"/>
      <c r="Y328" s="358"/>
      <c r="Z328" s="358"/>
      <c r="AA328" s="358"/>
      <c r="AB328" s="358"/>
      <c r="AC328" s="358"/>
      <c r="AD328" s="358"/>
      <c r="AE328" s="358"/>
      <c r="AF328" s="358"/>
      <c r="AG328" s="358"/>
      <c r="AH328" s="358"/>
      <c r="AI328" s="358"/>
      <c r="AJ328" s="358"/>
      <c r="AK328" s="358"/>
      <c r="AL328" s="359"/>
      <c r="AM328" s="636"/>
      <c r="AN328" s="283">
        <f t="shared" ref="AN328:BV328" si="649">$C$328*D328</f>
        <v>0</v>
      </c>
      <c r="AO328" s="284">
        <f t="shared" si="649"/>
        <v>0</v>
      </c>
      <c r="AP328" s="284">
        <f t="shared" si="649"/>
        <v>0</v>
      </c>
      <c r="AQ328" s="284">
        <f t="shared" si="649"/>
        <v>0</v>
      </c>
      <c r="AR328" s="284">
        <f t="shared" si="649"/>
        <v>0</v>
      </c>
      <c r="AS328" s="284">
        <f t="shared" si="649"/>
        <v>0</v>
      </c>
      <c r="AT328" s="284">
        <f t="shared" si="649"/>
        <v>0</v>
      </c>
      <c r="AU328" s="284">
        <f t="shared" si="649"/>
        <v>0</v>
      </c>
      <c r="AV328" s="358">
        <f t="shared" si="649"/>
        <v>0</v>
      </c>
      <c r="AW328" s="358">
        <f t="shared" si="649"/>
        <v>0</v>
      </c>
      <c r="AX328" s="358">
        <f t="shared" si="649"/>
        <v>0</v>
      </c>
      <c r="AY328" s="358">
        <f t="shared" si="649"/>
        <v>0</v>
      </c>
      <c r="AZ328" s="358">
        <f t="shared" si="649"/>
        <v>0</v>
      </c>
      <c r="BA328" s="358">
        <f t="shared" si="649"/>
        <v>0</v>
      </c>
      <c r="BB328" s="358">
        <f t="shared" si="649"/>
        <v>0</v>
      </c>
      <c r="BC328" s="358">
        <f t="shared" si="649"/>
        <v>0</v>
      </c>
      <c r="BD328" s="358">
        <f t="shared" si="649"/>
        <v>0</v>
      </c>
      <c r="BE328" s="358">
        <f t="shared" si="649"/>
        <v>0</v>
      </c>
      <c r="BF328" s="358">
        <f t="shared" si="649"/>
        <v>4016</v>
      </c>
      <c r="BG328" s="358">
        <f t="shared" si="649"/>
        <v>0</v>
      </c>
      <c r="BH328" s="358">
        <f t="shared" si="649"/>
        <v>0</v>
      </c>
      <c r="BI328" s="358">
        <f t="shared" si="649"/>
        <v>0</v>
      </c>
      <c r="BJ328" s="358">
        <f t="shared" si="649"/>
        <v>0</v>
      </c>
      <c r="BK328" s="358">
        <f t="shared" si="649"/>
        <v>0</v>
      </c>
      <c r="BL328" s="358">
        <f t="shared" si="649"/>
        <v>0</v>
      </c>
      <c r="BM328" s="358">
        <f t="shared" si="649"/>
        <v>0</v>
      </c>
      <c r="BN328" s="358">
        <f t="shared" si="649"/>
        <v>0</v>
      </c>
      <c r="BO328" s="358">
        <f t="shared" si="649"/>
        <v>0</v>
      </c>
      <c r="BP328" s="358">
        <f t="shared" si="649"/>
        <v>0</v>
      </c>
      <c r="BQ328" s="358">
        <f t="shared" si="649"/>
        <v>0</v>
      </c>
      <c r="BR328" s="358">
        <f t="shared" si="649"/>
        <v>0</v>
      </c>
      <c r="BS328" s="358">
        <f t="shared" si="649"/>
        <v>0</v>
      </c>
      <c r="BT328" s="358">
        <f t="shared" si="649"/>
        <v>0</v>
      </c>
      <c r="BU328" s="358">
        <f t="shared" si="649"/>
        <v>0</v>
      </c>
      <c r="BV328" s="359">
        <f t="shared" si="649"/>
        <v>0</v>
      </c>
    </row>
    <row r="329" spans="1:74" ht="20.149999999999999" hidden="1" customHeight="1" outlineLevel="2" x14ac:dyDescent="0.25">
      <c r="A329" s="22" t="s">
        <v>86</v>
      </c>
      <c r="B329" s="12" t="str">
        <f>'Custos Insumos'!$C$42</f>
        <v>HMPM</v>
      </c>
      <c r="C329" s="284">
        <f>'Custos Insumos'!$D$42</f>
        <v>250</v>
      </c>
      <c r="D329" s="284">
        <v>4</v>
      </c>
      <c r="E329" s="284">
        <v>10</v>
      </c>
      <c r="F329" s="284">
        <v>12</v>
      </c>
      <c r="G329" s="284">
        <v>12</v>
      </c>
      <c r="H329" s="284">
        <v>12</v>
      </c>
      <c r="I329" s="284">
        <v>12</v>
      </c>
      <c r="J329" s="284">
        <v>12</v>
      </c>
      <c r="K329" s="284">
        <v>12</v>
      </c>
      <c r="L329" s="358">
        <v>12</v>
      </c>
      <c r="M329" s="358">
        <v>12</v>
      </c>
      <c r="N329" s="358">
        <v>12</v>
      </c>
      <c r="O329" s="358">
        <v>12</v>
      </c>
      <c r="P329" s="358">
        <v>12</v>
      </c>
      <c r="Q329" s="358">
        <v>12</v>
      </c>
      <c r="R329" s="358">
        <v>12</v>
      </c>
      <c r="S329" s="358">
        <v>12</v>
      </c>
      <c r="T329" s="358">
        <v>12</v>
      </c>
      <c r="U329" s="358">
        <v>12</v>
      </c>
      <c r="V329" s="358">
        <f t="shared" ref="V329:AE333" si="650">D329</f>
        <v>4</v>
      </c>
      <c r="W329" s="358">
        <f t="shared" si="650"/>
        <v>10</v>
      </c>
      <c r="X329" s="358">
        <f t="shared" si="650"/>
        <v>12</v>
      </c>
      <c r="Y329" s="358">
        <f t="shared" si="650"/>
        <v>12</v>
      </c>
      <c r="Z329" s="358">
        <f t="shared" si="650"/>
        <v>12</v>
      </c>
      <c r="AA329" s="358">
        <f t="shared" si="650"/>
        <v>12</v>
      </c>
      <c r="AB329" s="358">
        <f t="shared" si="650"/>
        <v>12</v>
      </c>
      <c r="AC329" s="358">
        <f t="shared" si="650"/>
        <v>12</v>
      </c>
      <c r="AD329" s="358">
        <f t="shared" si="650"/>
        <v>12</v>
      </c>
      <c r="AE329" s="358">
        <f t="shared" si="650"/>
        <v>12</v>
      </c>
      <c r="AF329" s="358">
        <f t="shared" ref="AF329:AL333" si="651">N329</f>
        <v>12</v>
      </c>
      <c r="AG329" s="358">
        <f t="shared" si="651"/>
        <v>12</v>
      </c>
      <c r="AH329" s="358">
        <f t="shared" si="651"/>
        <v>12</v>
      </c>
      <c r="AI329" s="358">
        <f t="shared" si="651"/>
        <v>12</v>
      </c>
      <c r="AJ329" s="358">
        <f t="shared" si="651"/>
        <v>12</v>
      </c>
      <c r="AK329" s="358">
        <f t="shared" si="651"/>
        <v>12</v>
      </c>
      <c r="AL329" s="359">
        <f t="shared" si="651"/>
        <v>12</v>
      </c>
      <c r="AM329" s="636"/>
      <c r="AN329" s="285">
        <f t="shared" ref="AN329:BV329" si="652">$C$329*D329</f>
        <v>1000</v>
      </c>
      <c r="AO329" s="286">
        <f t="shared" si="652"/>
        <v>2500</v>
      </c>
      <c r="AP329" s="286">
        <f t="shared" si="652"/>
        <v>3000</v>
      </c>
      <c r="AQ329" s="286">
        <f t="shared" si="652"/>
        <v>3000</v>
      </c>
      <c r="AR329" s="286">
        <f t="shared" si="652"/>
        <v>3000</v>
      </c>
      <c r="AS329" s="286">
        <f t="shared" si="652"/>
        <v>3000</v>
      </c>
      <c r="AT329" s="286">
        <f t="shared" si="652"/>
        <v>3000</v>
      </c>
      <c r="AU329" s="286">
        <f t="shared" si="652"/>
        <v>3000</v>
      </c>
      <c r="AV329" s="388">
        <f t="shared" si="652"/>
        <v>3000</v>
      </c>
      <c r="AW329" s="376">
        <f t="shared" si="652"/>
        <v>3000</v>
      </c>
      <c r="AX329" s="376">
        <f t="shared" si="652"/>
        <v>3000</v>
      </c>
      <c r="AY329" s="376">
        <f t="shared" si="652"/>
        <v>3000</v>
      </c>
      <c r="AZ329" s="376">
        <f t="shared" si="652"/>
        <v>3000</v>
      </c>
      <c r="BA329" s="376">
        <f t="shared" si="652"/>
        <v>3000</v>
      </c>
      <c r="BB329" s="376">
        <f t="shared" si="652"/>
        <v>3000</v>
      </c>
      <c r="BC329" s="376">
        <f t="shared" si="652"/>
        <v>3000</v>
      </c>
      <c r="BD329" s="376">
        <f t="shared" si="652"/>
        <v>3000</v>
      </c>
      <c r="BE329" s="376">
        <f t="shared" si="652"/>
        <v>3000</v>
      </c>
      <c r="BF329" s="376">
        <f t="shared" si="652"/>
        <v>1000</v>
      </c>
      <c r="BG329" s="376">
        <f t="shared" si="652"/>
        <v>2500</v>
      </c>
      <c r="BH329" s="376">
        <f t="shared" si="652"/>
        <v>3000</v>
      </c>
      <c r="BI329" s="376">
        <f t="shared" si="652"/>
        <v>3000</v>
      </c>
      <c r="BJ329" s="376">
        <f t="shared" si="652"/>
        <v>3000</v>
      </c>
      <c r="BK329" s="376">
        <f t="shared" si="652"/>
        <v>3000</v>
      </c>
      <c r="BL329" s="376">
        <f t="shared" si="652"/>
        <v>3000</v>
      </c>
      <c r="BM329" s="376">
        <f t="shared" si="652"/>
        <v>3000</v>
      </c>
      <c r="BN329" s="376">
        <f t="shared" si="652"/>
        <v>3000</v>
      </c>
      <c r="BO329" s="376">
        <f t="shared" si="652"/>
        <v>3000</v>
      </c>
      <c r="BP329" s="376">
        <f t="shared" si="652"/>
        <v>3000</v>
      </c>
      <c r="BQ329" s="376">
        <f t="shared" si="652"/>
        <v>3000</v>
      </c>
      <c r="BR329" s="376">
        <f t="shared" si="652"/>
        <v>3000</v>
      </c>
      <c r="BS329" s="376">
        <f t="shared" si="652"/>
        <v>3000</v>
      </c>
      <c r="BT329" s="376">
        <f t="shared" si="652"/>
        <v>3000</v>
      </c>
      <c r="BU329" s="376">
        <f t="shared" si="652"/>
        <v>3000</v>
      </c>
      <c r="BV329" s="377">
        <f t="shared" si="652"/>
        <v>3000</v>
      </c>
    </row>
    <row r="330" spans="1:74" ht="20.149999999999999" hidden="1" customHeight="1" outlineLevel="2" x14ac:dyDescent="0.25">
      <c r="A330" s="22" t="s">
        <v>83</v>
      </c>
      <c r="B330" s="12" t="str">
        <f>'Custos Insumos'!$C$42</f>
        <v>HMPM</v>
      </c>
      <c r="C330" s="284">
        <f>'Custos Insumos'!$D$42</f>
        <v>250</v>
      </c>
      <c r="D330" s="284">
        <f>D315/2</f>
        <v>1.5</v>
      </c>
      <c r="E330" s="284"/>
      <c r="F330" s="284"/>
      <c r="G330" s="284"/>
      <c r="H330" s="284"/>
      <c r="I330" s="284"/>
      <c r="J330" s="284"/>
      <c r="K330" s="284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>
        <f t="shared" si="650"/>
        <v>1.5</v>
      </c>
      <c r="W330" s="358">
        <f t="shared" si="650"/>
        <v>0</v>
      </c>
      <c r="X330" s="358">
        <f t="shared" si="650"/>
        <v>0</v>
      </c>
      <c r="Y330" s="358">
        <f t="shared" si="650"/>
        <v>0</v>
      </c>
      <c r="Z330" s="358">
        <f t="shared" si="650"/>
        <v>0</v>
      </c>
      <c r="AA330" s="358">
        <f t="shared" si="650"/>
        <v>0</v>
      </c>
      <c r="AB330" s="358">
        <f t="shared" si="650"/>
        <v>0</v>
      </c>
      <c r="AC330" s="358">
        <f t="shared" si="650"/>
        <v>0</v>
      </c>
      <c r="AD330" s="358">
        <f t="shared" si="650"/>
        <v>0</v>
      </c>
      <c r="AE330" s="358">
        <f t="shared" si="650"/>
        <v>0</v>
      </c>
      <c r="AF330" s="358">
        <f t="shared" si="651"/>
        <v>0</v>
      </c>
      <c r="AG330" s="358">
        <f t="shared" si="651"/>
        <v>0</v>
      </c>
      <c r="AH330" s="358">
        <f t="shared" si="651"/>
        <v>0</v>
      </c>
      <c r="AI330" s="358">
        <f t="shared" si="651"/>
        <v>0</v>
      </c>
      <c r="AJ330" s="358">
        <f t="shared" si="651"/>
        <v>0</v>
      </c>
      <c r="AK330" s="358">
        <f t="shared" si="651"/>
        <v>0</v>
      </c>
      <c r="AL330" s="359">
        <f t="shared" si="651"/>
        <v>0</v>
      </c>
      <c r="AM330" s="636"/>
      <c r="AN330" s="285">
        <f t="shared" ref="AN330:BV330" si="653">$C$330*D330</f>
        <v>375</v>
      </c>
      <c r="AO330" s="286">
        <f t="shared" si="653"/>
        <v>0</v>
      </c>
      <c r="AP330" s="286">
        <f t="shared" si="653"/>
        <v>0</v>
      </c>
      <c r="AQ330" s="286">
        <f t="shared" si="653"/>
        <v>0</v>
      </c>
      <c r="AR330" s="286">
        <f t="shared" si="653"/>
        <v>0</v>
      </c>
      <c r="AS330" s="286">
        <f t="shared" si="653"/>
        <v>0</v>
      </c>
      <c r="AT330" s="286">
        <f t="shared" si="653"/>
        <v>0</v>
      </c>
      <c r="AU330" s="286">
        <f t="shared" si="653"/>
        <v>0</v>
      </c>
      <c r="AV330" s="388">
        <f t="shared" si="653"/>
        <v>0</v>
      </c>
      <c r="AW330" s="376">
        <f t="shared" si="653"/>
        <v>0</v>
      </c>
      <c r="AX330" s="376">
        <f t="shared" si="653"/>
        <v>0</v>
      </c>
      <c r="AY330" s="376">
        <f t="shared" si="653"/>
        <v>0</v>
      </c>
      <c r="AZ330" s="376">
        <f t="shared" si="653"/>
        <v>0</v>
      </c>
      <c r="BA330" s="376">
        <f t="shared" si="653"/>
        <v>0</v>
      </c>
      <c r="BB330" s="376">
        <f t="shared" si="653"/>
        <v>0</v>
      </c>
      <c r="BC330" s="376">
        <f t="shared" si="653"/>
        <v>0</v>
      </c>
      <c r="BD330" s="376">
        <f t="shared" si="653"/>
        <v>0</v>
      </c>
      <c r="BE330" s="376">
        <f t="shared" si="653"/>
        <v>0</v>
      </c>
      <c r="BF330" s="376">
        <f t="shared" si="653"/>
        <v>375</v>
      </c>
      <c r="BG330" s="376">
        <f t="shared" si="653"/>
        <v>0</v>
      </c>
      <c r="BH330" s="376">
        <f t="shared" si="653"/>
        <v>0</v>
      </c>
      <c r="BI330" s="376">
        <f t="shared" si="653"/>
        <v>0</v>
      </c>
      <c r="BJ330" s="376">
        <f t="shared" si="653"/>
        <v>0</v>
      </c>
      <c r="BK330" s="376">
        <f t="shared" si="653"/>
        <v>0</v>
      </c>
      <c r="BL330" s="376">
        <f t="shared" si="653"/>
        <v>0</v>
      </c>
      <c r="BM330" s="376">
        <f t="shared" si="653"/>
        <v>0</v>
      </c>
      <c r="BN330" s="376">
        <f t="shared" si="653"/>
        <v>0</v>
      </c>
      <c r="BO330" s="376">
        <f t="shared" si="653"/>
        <v>0</v>
      </c>
      <c r="BP330" s="376">
        <f t="shared" si="653"/>
        <v>0</v>
      </c>
      <c r="BQ330" s="376">
        <f t="shared" si="653"/>
        <v>0</v>
      </c>
      <c r="BR330" s="376">
        <f t="shared" si="653"/>
        <v>0</v>
      </c>
      <c r="BS330" s="376">
        <f t="shared" si="653"/>
        <v>0</v>
      </c>
      <c r="BT330" s="376">
        <f t="shared" si="653"/>
        <v>0</v>
      </c>
      <c r="BU330" s="376">
        <f t="shared" si="653"/>
        <v>0</v>
      </c>
      <c r="BV330" s="377">
        <f t="shared" si="653"/>
        <v>0</v>
      </c>
    </row>
    <row r="331" spans="1:74" ht="20.149999999999999" hidden="1" customHeight="1" outlineLevel="2" x14ac:dyDescent="0.25">
      <c r="A331" s="22" t="s">
        <v>84</v>
      </c>
      <c r="B331" s="12" t="str">
        <f>'Custos Insumos'!$C$42</f>
        <v>HMPM</v>
      </c>
      <c r="C331" s="284">
        <f>'Custos Insumos'!$D$42</f>
        <v>250</v>
      </c>
      <c r="D331" s="284">
        <v>6</v>
      </c>
      <c r="E331" s="284">
        <v>3</v>
      </c>
      <c r="F331" s="284">
        <v>3</v>
      </c>
      <c r="G331" s="284">
        <v>3</v>
      </c>
      <c r="H331" s="284">
        <v>3</v>
      </c>
      <c r="I331" s="284">
        <v>3</v>
      </c>
      <c r="J331" s="284">
        <v>3</v>
      </c>
      <c r="K331" s="284">
        <v>3</v>
      </c>
      <c r="L331" s="358">
        <v>3</v>
      </c>
      <c r="M331" s="358">
        <v>3</v>
      </c>
      <c r="N331" s="358">
        <v>3</v>
      </c>
      <c r="O331" s="358">
        <v>3</v>
      </c>
      <c r="P331" s="358">
        <v>3</v>
      </c>
      <c r="Q331" s="358">
        <v>3</v>
      </c>
      <c r="R331" s="358">
        <v>3</v>
      </c>
      <c r="S331" s="358">
        <v>3</v>
      </c>
      <c r="T331" s="358">
        <v>3</v>
      </c>
      <c r="U331" s="358">
        <v>3</v>
      </c>
      <c r="V331" s="358">
        <f t="shared" si="650"/>
        <v>6</v>
      </c>
      <c r="W331" s="358">
        <f t="shared" si="650"/>
        <v>3</v>
      </c>
      <c r="X331" s="358">
        <f t="shared" si="650"/>
        <v>3</v>
      </c>
      <c r="Y331" s="358">
        <f t="shared" si="650"/>
        <v>3</v>
      </c>
      <c r="Z331" s="358">
        <f t="shared" si="650"/>
        <v>3</v>
      </c>
      <c r="AA331" s="358">
        <f t="shared" si="650"/>
        <v>3</v>
      </c>
      <c r="AB331" s="358">
        <f t="shared" si="650"/>
        <v>3</v>
      </c>
      <c r="AC331" s="358">
        <f t="shared" si="650"/>
        <v>3</v>
      </c>
      <c r="AD331" s="358">
        <f t="shared" si="650"/>
        <v>3</v>
      </c>
      <c r="AE331" s="358">
        <f t="shared" si="650"/>
        <v>3</v>
      </c>
      <c r="AF331" s="358">
        <f t="shared" si="651"/>
        <v>3</v>
      </c>
      <c r="AG331" s="358">
        <f t="shared" si="651"/>
        <v>3</v>
      </c>
      <c r="AH331" s="358">
        <f t="shared" si="651"/>
        <v>3</v>
      </c>
      <c r="AI331" s="358">
        <f t="shared" si="651"/>
        <v>3</v>
      </c>
      <c r="AJ331" s="358">
        <f t="shared" si="651"/>
        <v>3</v>
      </c>
      <c r="AK331" s="358">
        <f t="shared" si="651"/>
        <v>3</v>
      </c>
      <c r="AL331" s="359">
        <f t="shared" si="651"/>
        <v>3</v>
      </c>
      <c r="AM331" s="636"/>
      <c r="AN331" s="285">
        <f t="shared" ref="AN331:BV331" si="654">$C$331*D331</f>
        <v>1500</v>
      </c>
      <c r="AO331" s="286">
        <f t="shared" si="654"/>
        <v>750</v>
      </c>
      <c r="AP331" s="286">
        <f t="shared" si="654"/>
        <v>750</v>
      </c>
      <c r="AQ331" s="286">
        <f t="shared" si="654"/>
        <v>750</v>
      </c>
      <c r="AR331" s="286">
        <f t="shared" si="654"/>
        <v>750</v>
      </c>
      <c r="AS331" s="286">
        <f t="shared" si="654"/>
        <v>750</v>
      </c>
      <c r="AT331" s="286">
        <f t="shared" si="654"/>
        <v>750</v>
      </c>
      <c r="AU331" s="286">
        <f t="shared" si="654"/>
        <v>750</v>
      </c>
      <c r="AV331" s="388">
        <f t="shared" si="654"/>
        <v>750</v>
      </c>
      <c r="AW331" s="376">
        <f t="shared" si="654"/>
        <v>750</v>
      </c>
      <c r="AX331" s="376">
        <f t="shared" si="654"/>
        <v>750</v>
      </c>
      <c r="AY331" s="376">
        <f t="shared" si="654"/>
        <v>750</v>
      </c>
      <c r="AZ331" s="376">
        <f t="shared" si="654"/>
        <v>750</v>
      </c>
      <c r="BA331" s="376">
        <f t="shared" si="654"/>
        <v>750</v>
      </c>
      <c r="BB331" s="376">
        <f t="shared" si="654"/>
        <v>750</v>
      </c>
      <c r="BC331" s="376">
        <f t="shared" si="654"/>
        <v>750</v>
      </c>
      <c r="BD331" s="376">
        <f t="shared" si="654"/>
        <v>750</v>
      </c>
      <c r="BE331" s="376">
        <f t="shared" si="654"/>
        <v>750</v>
      </c>
      <c r="BF331" s="376">
        <f t="shared" si="654"/>
        <v>1500</v>
      </c>
      <c r="BG331" s="376">
        <f t="shared" si="654"/>
        <v>750</v>
      </c>
      <c r="BH331" s="376">
        <f t="shared" si="654"/>
        <v>750</v>
      </c>
      <c r="BI331" s="376">
        <f t="shared" si="654"/>
        <v>750</v>
      </c>
      <c r="BJ331" s="376">
        <f t="shared" si="654"/>
        <v>750</v>
      </c>
      <c r="BK331" s="376">
        <f t="shared" si="654"/>
        <v>750</v>
      </c>
      <c r="BL331" s="376">
        <f t="shared" si="654"/>
        <v>750</v>
      </c>
      <c r="BM331" s="376">
        <f t="shared" si="654"/>
        <v>750</v>
      </c>
      <c r="BN331" s="376">
        <f t="shared" si="654"/>
        <v>750</v>
      </c>
      <c r="BO331" s="376">
        <f t="shared" si="654"/>
        <v>750</v>
      </c>
      <c r="BP331" s="376">
        <f t="shared" si="654"/>
        <v>750</v>
      </c>
      <c r="BQ331" s="376">
        <f t="shared" si="654"/>
        <v>750</v>
      </c>
      <c r="BR331" s="376">
        <f t="shared" si="654"/>
        <v>750</v>
      </c>
      <c r="BS331" s="376">
        <f t="shared" si="654"/>
        <v>750</v>
      </c>
      <c r="BT331" s="376">
        <f t="shared" si="654"/>
        <v>750</v>
      </c>
      <c r="BU331" s="376">
        <f t="shared" si="654"/>
        <v>750</v>
      </c>
      <c r="BV331" s="377">
        <f t="shared" si="654"/>
        <v>750</v>
      </c>
    </row>
    <row r="332" spans="1:74" ht="20.149999999999999" hidden="1" customHeight="1" outlineLevel="2" x14ac:dyDescent="0.25">
      <c r="A332" s="22" t="s">
        <v>190</v>
      </c>
      <c r="B332" s="12" t="str">
        <f>'Custos Insumos'!C43</f>
        <v>HMP</v>
      </c>
      <c r="C332" s="284">
        <f>'Custos Insumos'!D43</f>
        <v>450</v>
      </c>
      <c r="D332" s="284"/>
      <c r="E332" s="284"/>
      <c r="F332" s="284">
        <v>2</v>
      </c>
      <c r="G332" s="284">
        <v>3</v>
      </c>
      <c r="H332" s="284">
        <v>4</v>
      </c>
      <c r="I332" s="284">
        <v>4</v>
      </c>
      <c r="J332" s="284">
        <v>4</v>
      </c>
      <c r="K332" s="284">
        <v>4</v>
      </c>
      <c r="L332" s="358">
        <v>4</v>
      </c>
      <c r="M332" s="358">
        <v>4</v>
      </c>
      <c r="N332" s="358">
        <v>4</v>
      </c>
      <c r="O332" s="358">
        <v>4</v>
      </c>
      <c r="P332" s="358">
        <v>4</v>
      </c>
      <c r="Q332" s="358">
        <v>4</v>
      </c>
      <c r="R332" s="358">
        <v>4</v>
      </c>
      <c r="S332" s="358">
        <v>4</v>
      </c>
      <c r="T332" s="358">
        <v>4</v>
      </c>
      <c r="U332" s="358">
        <v>4</v>
      </c>
      <c r="V332" s="358">
        <f t="shared" si="650"/>
        <v>0</v>
      </c>
      <c r="W332" s="358">
        <f t="shared" si="650"/>
        <v>0</v>
      </c>
      <c r="X332" s="358">
        <f t="shared" si="650"/>
        <v>2</v>
      </c>
      <c r="Y332" s="358">
        <f t="shared" si="650"/>
        <v>3</v>
      </c>
      <c r="Z332" s="358">
        <f t="shared" si="650"/>
        <v>4</v>
      </c>
      <c r="AA332" s="358">
        <f t="shared" si="650"/>
        <v>4</v>
      </c>
      <c r="AB332" s="358">
        <f t="shared" si="650"/>
        <v>4</v>
      </c>
      <c r="AC332" s="358">
        <f t="shared" si="650"/>
        <v>4</v>
      </c>
      <c r="AD332" s="358">
        <f t="shared" si="650"/>
        <v>4</v>
      </c>
      <c r="AE332" s="358">
        <f t="shared" si="650"/>
        <v>4</v>
      </c>
      <c r="AF332" s="358">
        <f t="shared" si="651"/>
        <v>4</v>
      </c>
      <c r="AG332" s="358">
        <f t="shared" si="651"/>
        <v>4</v>
      </c>
      <c r="AH332" s="358">
        <f t="shared" si="651"/>
        <v>4</v>
      </c>
      <c r="AI332" s="358">
        <f t="shared" si="651"/>
        <v>4</v>
      </c>
      <c r="AJ332" s="358">
        <f t="shared" si="651"/>
        <v>4</v>
      </c>
      <c r="AK332" s="358">
        <f t="shared" si="651"/>
        <v>4</v>
      </c>
      <c r="AL332" s="359">
        <f t="shared" si="651"/>
        <v>4</v>
      </c>
      <c r="AM332" s="636"/>
      <c r="AN332" s="285">
        <f t="shared" ref="AN332:BV332" si="655">$C$332*D332</f>
        <v>0</v>
      </c>
      <c r="AO332" s="286">
        <f t="shared" si="655"/>
        <v>0</v>
      </c>
      <c r="AP332" s="286">
        <f t="shared" si="655"/>
        <v>900</v>
      </c>
      <c r="AQ332" s="286">
        <f t="shared" si="655"/>
        <v>1350</v>
      </c>
      <c r="AR332" s="286">
        <f t="shared" si="655"/>
        <v>1800</v>
      </c>
      <c r="AS332" s="286">
        <f t="shared" si="655"/>
        <v>1800</v>
      </c>
      <c r="AT332" s="286">
        <f t="shared" si="655"/>
        <v>1800</v>
      </c>
      <c r="AU332" s="286">
        <f t="shared" si="655"/>
        <v>1800</v>
      </c>
      <c r="AV332" s="395">
        <f t="shared" si="655"/>
        <v>1800</v>
      </c>
      <c r="AW332" s="395">
        <f t="shared" si="655"/>
        <v>1800</v>
      </c>
      <c r="AX332" s="395">
        <f t="shared" si="655"/>
        <v>1800</v>
      </c>
      <c r="AY332" s="395">
        <f t="shared" si="655"/>
        <v>1800</v>
      </c>
      <c r="AZ332" s="395">
        <f t="shared" si="655"/>
        <v>1800</v>
      </c>
      <c r="BA332" s="395">
        <f t="shared" si="655"/>
        <v>1800</v>
      </c>
      <c r="BB332" s="395">
        <f t="shared" si="655"/>
        <v>1800</v>
      </c>
      <c r="BC332" s="395">
        <f t="shared" si="655"/>
        <v>1800</v>
      </c>
      <c r="BD332" s="395">
        <f t="shared" si="655"/>
        <v>1800</v>
      </c>
      <c r="BE332" s="395">
        <f t="shared" si="655"/>
        <v>1800</v>
      </c>
      <c r="BF332" s="395">
        <f t="shared" si="655"/>
        <v>0</v>
      </c>
      <c r="BG332" s="395">
        <f t="shared" si="655"/>
        <v>0</v>
      </c>
      <c r="BH332" s="395">
        <f t="shared" si="655"/>
        <v>900</v>
      </c>
      <c r="BI332" s="395">
        <f t="shared" si="655"/>
        <v>1350</v>
      </c>
      <c r="BJ332" s="395">
        <f t="shared" si="655"/>
        <v>1800</v>
      </c>
      <c r="BK332" s="395">
        <f t="shared" si="655"/>
        <v>1800</v>
      </c>
      <c r="BL332" s="395">
        <f t="shared" si="655"/>
        <v>1800</v>
      </c>
      <c r="BM332" s="395">
        <f t="shared" si="655"/>
        <v>1800</v>
      </c>
      <c r="BN332" s="395">
        <f t="shared" si="655"/>
        <v>1800</v>
      </c>
      <c r="BO332" s="395">
        <f t="shared" si="655"/>
        <v>1800</v>
      </c>
      <c r="BP332" s="395">
        <f t="shared" si="655"/>
        <v>1800</v>
      </c>
      <c r="BQ332" s="395">
        <f t="shared" si="655"/>
        <v>1800</v>
      </c>
      <c r="BR332" s="395">
        <f t="shared" si="655"/>
        <v>1800</v>
      </c>
      <c r="BS332" s="395">
        <f t="shared" si="655"/>
        <v>1800</v>
      </c>
      <c r="BT332" s="395">
        <f t="shared" si="655"/>
        <v>1800</v>
      </c>
      <c r="BU332" s="395">
        <f t="shared" si="655"/>
        <v>1800</v>
      </c>
      <c r="BV332" s="396">
        <f t="shared" si="655"/>
        <v>1800</v>
      </c>
    </row>
    <row r="333" spans="1:74" ht="20.149999999999999" hidden="1" customHeight="1" outlineLevel="2" thickBot="1" x14ac:dyDescent="0.3">
      <c r="A333" s="326" t="s">
        <v>62</v>
      </c>
      <c r="B333" s="327" t="str">
        <f>'Custos Insumos'!C45</f>
        <v>HMR</v>
      </c>
      <c r="C333" s="322">
        <f>'Custos Insumos'!D45</f>
        <v>250</v>
      </c>
      <c r="D333" s="322">
        <v>0.5</v>
      </c>
      <c r="E333" s="322"/>
      <c r="F333" s="322">
        <v>0.25</v>
      </c>
      <c r="G333" s="322"/>
      <c r="H333" s="322">
        <v>0.25</v>
      </c>
      <c r="I333" s="322"/>
      <c r="J333" s="322">
        <v>0.25</v>
      </c>
      <c r="K333" s="322"/>
      <c r="L333" s="360">
        <v>0.25</v>
      </c>
      <c r="M333" s="360"/>
      <c r="N333" s="360">
        <v>0.25</v>
      </c>
      <c r="O333" s="360"/>
      <c r="P333" s="360">
        <v>0.25</v>
      </c>
      <c r="Q333" s="360"/>
      <c r="R333" s="360">
        <v>0.25</v>
      </c>
      <c r="S333" s="360"/>
      <c r="T333" s="360">
        <v>0.25</v>
      </c>
      <c r="U333" s="360"/>
      <c r="V333" s="360">
        <f t="shared" si="650"/>
        <v>0.5</v>
      </c>
      <c r="W333" s="360">
        <f t="shared" si="650"/>
        <v>0</v>
      </c>
      <c r="X333" s="360">
        <f t="shared" si="650"/>
        <v>0.25</v>
      </c>
      <c r="Y333" s="360">
        <f t="shared" si="650"/>
        <v>0</v>
      </c>
      <c r="Z333" s="360">
        <f t="shared" si="650"/>
        <v>0.25</v>
      </c>
      <c r="AA333" s="360">
        <f t="shared" si="650"/>
        <v>0</v>
      </c>
      <c r="AB333" s="360">
        <f t="shared" si="650"/>
        <v>0.25</v>
      </c>
      <c r="AC333" s="360">
        <f t="shared" si="650"/>
        <v>0</v>
      </c>
      <c r="AD333" s="360">
        <f t="shared" si="650"/>
        <v>0.25</v>
      </c>
      <c r="AE333" s="360">
        <f t="shared" si="650"/>
        <v>0</v>
      </c>
      <c r="AF333" s="360">
        <f t="shared" si="651"/>
        <v>0.25</v>
      </c>
      <c r="AG333" s="360">
        <f t="shared" si="651"/>
        <v>0</v>
      </c>
      <c r="AH333" s="360">
        <f t="shared" si="651"/>
        <v>0.25</v>
      </c>
      <c r="AI333" s="360">
        <f t="shared" si="651"/>
        <v>0</v>
      </c>
      <c r="AJ333" s="360">
        <f t="shared" si="651"/>
        <v>0.25</v>
      </c>
      <c r="AK333" s="360">
        <f t="shared" si="651"/>
        <v>0</v>
      </c>
      <c r="AL333" s="361">
        <f t="shared" si="651"/>
        <v>0.25</v>
      </c>
      <c r="AM333" s="636"/>
      <c r="AN333" s="290">
        <f t="shared" ref="AN333:BV333" si="656">$C$333*D333</f>
        <v>125</v>
      </c>
      <c r="AO333" s="291">
        <f t="shared" si="656"/>
        <v>0</v>
      </c>
      <c r="AP333" s="291">
        <f t="shared" si="656"/>
        <v>62.5</v>
      </c>
      <c r="AQ333" s="291">
        <f t="shared" si="656"/>
        <v>0</v>
      </c>
      <c r="AR333" s="291">
        <f t="shared" si="656"/>
        <v>62.5</v>
      </c>
      <c r="AS333" s="291">
        <f t="shared" si="656"/>
        <v>0</v>
      </c>
      <c r="AT333" s="291">
        <f t="shared" si="656"/>
        <v>62.5</v>
      </c>
      <c r="AU333" s="291">
        <f t="shared" si="656"/>
        <v>0</v>
      </c>
      <c r="AV333" s="399">
        <f t="shared" si="656"/>
        <v>62.5</v>
      </c>
      <c r="AW333" s="400">
        <f t="shared" si="656"/>
        <v>0</v>
      </c>
      <c r="AX333" s="400">
        <f t="shared" si="656"/>
        <v>62.5</v>
      </c>
      <c r="AY333" s="400">
        <f t="shared" si="656"/>
        <v>0</v>
      </c>
      <c r="AZ333" s="400">
        <f t="shared" si="656"/>
        <v>62.5</v>
      </c>
      <c r="BA333" s="400">
        <f t="shared" si="656"/>
        <v>0</v>
      </c>
      <c r="BB333" s="400">
        <f t="shared" si="656"/>
        <v>62.5</v>
      </c>
      <c r="BC333" s="400">
        <f t="shared" si="656"/>
        <v>0</v>
      </c>
      <c r="BD333" s="400">
        <f t="shared" si="656"/>
        <v>62.5</v>
      </c>
      <c r="BE333" s="400">
        <f t="shared" si="656"/>
        <v>0</v>
      </c>
      <c r="BF333" s="400">
        <f t="shared" si="656"/>
        <v>125</v>
      </c>
      <c r="BG333" s="400">
        <f t="shared" si="656"/>
        <v>0</v>
      </c>
      <c r="BH333" s="400">
        <f t="shared" si="656"/>
        <v>62.5</v>
      </c>
      <c r="BI333" s="400">
        <f t="shared" si="656"/>
        <v>0</v>
      </c>
      <c r="BJ333" s="400">
        <f t="shared" si="656"/>
        <v>62.5</v>
      </c>
      <c r="BK333" s="400">
        <f t="shared" si="656"/>
        <v>0</v>
      </c>
      <c r="BL333" s="400">
        <f t="shared" si="656"/>
        <v>62.5</v>
      </c>
      <c r="BM333" s="400">
        <f t="shared" si="656"/>
        <v>0</v>
      </c>
      <c r="BN333" s="400">
        <f t="shared" si="656"/>
        <v>62.5</v>
      </c>
      <c r="BO333" s="400">
        <f t="shared" si="656"/>
        <v>0</v>
      </c>
      <c r="BP333" s="400">
        <f t="shared" si="656"/>
        <v>62.5</v>
      </c>
      <c r="BQ333" s="400">
        <f t="shared" si="656"/>
        <v>0</v>
      </c>
      <c r="BR333" s="400">
        <f t="shared" si="656"/>
        <v>62.5</v>
      </c>
      <c r="BS333" s="400">
        <f t="shared" si="656"/>
        <v>0</v>
      </c>
      <c r="BT333" s="400">
        <f t="shared" si="656"/>
        <v>62.5</v>
      </c>
      <c r="BU333" s="400">
        <f t="shared" si="656"/>
        <v>0</v>
      </c>
      <c r="BV333" s="401">
        <f t="shared" si="656"/>
        <v>62.5</v>
      </c>
    </row>
    <row r="334" spans="1:74" s="408" customFormat="1" ht="20.149999999999999" hidden="1" customHeight="1" outlineLevel="2" thickBot="1" x14ac:dyDescent="0.3">
      <c r="A334" s="1114" t="s">
        <v>103</v>
      </c>
      <c r="B334" s="1115"/>
      <c r="C334" s="1115"/>
      <c r="D334" s="1115"/>
      <c r="E334" s="1115"/>
      <c r="F334" s="1115"/>
      <c r="G334" s="1115"/>
      <c r="H334" s="1115"/>
      <c r="I334" s="1115"/>
      <c r="J334" s="1115"/>
      <c r="K334" s="1115"/>
      <c r="L334" s="1115"/>
      <c r="M334" s="1115"/>
      <c r="N334" s="1115"/>
      <c r="O334" s="1115"/>
      <c r="P334" s="1115"/>
      <c r="Q334" s="1115"/>
      <c r="R334" s="1115"/>
      <c r="S334" s="1115"/>
      <c r="T334" s="1115"/>
      <c r="U334" s="1115"/>
      <c r="V334" s="1115"/>
      <c r="W334" s="1115"/>
      <c r="X334" s="1115"/>
      <c r="Y334" s="1115"/>
      <c r="Z334" s="1115"/>
      <c r="AA334" s="1115"/>
      <c r="AB334" s="1115"/>
      <c r="AC334" s="1115"/>
      <c r="AD334" s="1115"/>
      <c r="AE334" s="1115"/>
      <c r="AF334" s="1115"/>
      <c r="AG334" s="1115"/>
      <c r="AH334" s="1115"/>
      <c r="AI334" s="1115"/>
      <c r="AJ334" s="1115"/>
      <c r="AK334" s="1115"/>
      <c r="AL334" s="1115"/>
      <c r="AM334" s="1116"/>
      <c r="AN334" s="406">
        <f t="shared" ref="AN334:BV334" si="657">SUM(AN323:AN333)</f>
        <v>7550</v>
      </c>
      <c r="AO334" s="406">
        <f t="shared" si="657"/>
        <v>4250</v>
      </c>
      <c r="AP334" s="406">
        <f t="shared" si="657"/>
        <v>5712.5</v>
      </c>
      <c r="AQ334" s="406">
        <f t="shared" si="657"/>
        <v>6100</v>
      </c>
      <c r="AR334" s="406">
        <f t="shared" si="657"/>
        <v>6612.5</v>
      </c>
      <c r="AS334" s="406">
        <f t="shared" si="657"/>
        <v>6550</v>
      </c>
      <c r="AT334" s="406">
        <f t="shared" si="657"/>
        <v>6612.5</v>
      </c>
      <c r="AU334" s="406">
        <f t="shared" si="657"/>
        <v>6550</v>
      </c>
      <c r="AV334" s="406">
        <f t="shared" si="657"/>
        <v>6612.5</v>
      </c>
      <c r="AW334" s="407">
        <f t="shared" si="657"/>
        <v>6550</v>
      </c>
      <c r="AX334" s="407">
        <f t="shared" si="657"/>
        <v>6612.5</v>
      </c>
      <c r="AY334" s="407">
        <f t="shared" si="657"/>
        <v>6550</v>
      </c>
      <c r="AZ334" s="407">
        <f t="shared" si="657"/>
        <v>6612.5</v>
      </c>
      <c r="BA334" s="407">
        <f t="shared" si="657"/>
        <v>6550</v>
      </c>
      <c r="BB334" s="407">
        <f t="shared" si="657"/>
        <v>6612.5</v>
      </c>
      <c r="BC334" s="407">
        <f t="shared" si="657"/>
        <v>6550</v>
      </c>
      <c r="BD334" s="407">
        <f t="shared" si="657"/>
        <v>6612.5</v>
      </c>
      <c r="BE334" s="407">
        <f t="shared" si="657"/>
        <v>6550</v>
      </c>
      <c r="BF334" s="407">
        <f t="shared" si="657"/>
        <v>11566</v>
      </c>
      <c r="BG334" s="407">
        <f t="shared" si="657"/>
        <v>4250</v>
      </c>
      <c r="BH334" s="407">
        <f t="shared" si="657"/>
        <v>5712.5</v>
      </c>
      <c r="BI334" s="407">
        <f t="shared" si="657"/>
        <v>6100</v>
      </c>
      <c r="BJ334" s="407">
        <f t="shared" si="657"/>
        <v>6612.5</v>
      </c>
      <c r="BK334" s="407">
        <f t="shared" si="657"/>
        <v>6550</v>
      </c>
      <c r="BL334" s="407">
        <f t="shared" si="657"/>
        <v>6612.5</v>
      </c>
      <c r="BM334" s="407">
        <f t="shared" si="657"/>
        <v>6550</v>
      </c>
      <c r="BN334" s="407">
        <f t="shared" si="657"/>
        <v>6612.5</v>
      </c>
      <c r="BO334" s="407">
        <f t="shared" si="657"/>
        <v>6550</v>
      </c>
      <c r="BP334" s="407">
        <f t="shared" si="657"/>
        <v>6612.5</v>
      </c>
      <c r="BQ334" s="407">
        <f t="shared" si="657"/>
        <v>6550</v>
      </c>
      <c r="BR334" s="407">
        <f t="shared" si="657"/>
        <v>6612.5</v>
      </c>
      <c r="BS334" s="407">
        <f t="shared" si="657"/>
        <v>6550</v>
      </c>
      <c r="BT334" s="407">
        <f t="shared" si="657"/>
        <v>6612.5</v>
      </c>
      <c r="BU334" s="407">
        <f t="shared" si="657"/>
        <v>6550</v>
      </c>
      <c r="BV334" s="407">
        <f t="shared" si="657"/>
        <v>6612.5</v>
      </c>
    </row>
    <row r="335" spans="1:74" ht="13" hidden="1" outlineLevel="2" collapsed="1" thickBot="1" x14ac:dyDescent="0.3">
      <c r="AV335" s="14"/>
    </row>
    <row r="336" spans="1:74" s="123" customFormat="1" ht="27" customHeight="1" outlineLevel="1" collapsed="1" thickBot="1" x14ac:dyDescent="0.3">
      <c r="A336" s="1109" t="s">
        <v>58</v>
      </c>
      <c r="B336" s="1110"/>
      <c r="C336" s="1110"/>
      <c r="D336" s="1110"/>
      <c r="E336" s="1110"/>
      <c r="F336" s="1110"/>
      <c r="G336" s="1110"/>
      <c r="H336" s="1110"/>
      <c r="I336" s="1110"/>
      <c r="J336" s="1110"/>
      <c r="K336" s="1110"/>
      <c r="L336" s="1110"/>
      <c r="M336" s="1110"/>
      <c r="N336" s="1110"/>
      <c r="O336" s="1110"/>
      <c r="P336" s="1110"/>
      <c r="Q336" s="1110"/>
      <c r="R336" s="1110"/>
      <c r="S336" s="1110"/>
      <c r="T336" s="1110"/>
      <c r="U336" s="1110"/>
      <c r="V336" s="1110"/>
      <c r="W336" s="1110"/>
      <c r="X336" s="1110"/>
      <c r="Y336" s="1110"/>
      <c r="Z336" s="1110"/>
      <c r="AA336" s="1110"/>
      <c r="AB336" s="1110"/>
      <c r="AC336" s="1110"/>
      <c r="AD336" s="1110"/>
      <c r="AE336" s="1110"/>
      <c r="AF336" s="1110"/>
      <c r="AG336" s="1110"/>
      <c r="AH336" s="1110"/>
      <c r="AI336" s="1110"/>
      <c r="AJ336" s="1110"/>
      <c r="AK336" s="1110"/>
      <c r="AL336" s="1110"/>
      <c r="AM336" s="1110"/>
      <c r="AN336" s="1110"/>
      <c r="AO336" s="1110"/>
      <c r="AP336" s="1110"/>
      <c r="AQ336" s="1110"/>
      <c r="AR336" s="1110"/>
      <c r="AS336" s="1110"/>
      <c r="AT336" s="1110"/>
      <c r="AU336" s="1110"/>
      <c r="AV336" s="1110"/>
      <c r="AW336" s="1110"/>
      <c r="AX336" s="1110"/>
      <c r="AY336" s="1110"/>
      <c r="AZ336" s="1110"/>
      <c r="BA336" s="1110"/>
      <c r="BB336" s="1110"/>
      <c r="BC336" s="1110"/>
      <c r="BD336" s="1110"/>
      <c r="BE336" s="1110"/>
      <c r="BF336" s="1110"/>
      <c r="BG336" s="1110"/>
      <c r="BH336" s="1110"/>
      <c r="BI336" s="1110"/>
      <c r="BJ336" s="1110"/>
      <c r="BK336" s="1110"/>
      <c r="BL336" s="1110"/>
      <c r="BM336" s="1110"/>
      <c r="BN336" s="1110"/>
      <c r="BO336" s="1110"/>
      <c r="BP336" s="1110"/>
      <c r="BQ336" s="1110"/>
      <c r="BR336" s="1110"/>
      <c r="BS336" s="1110"/>
      <c r="BT336" s="1110"/>
      <c r="BU336" s="1110"/>
      <c r="BV336" s="1111"/>
    </row>
    <row r="337" spans="1:74" ht="18" hidden="1" customHeight="1" outlineLevel="2" thickBot="1" x14ac:dyDescent="0.3">
      <c r="A337" s="1112" t="s">
        <v>113</v>
      </c>
      <c r="B337" s="1112" t="s">
        <v>8</v>
      </c>
      <c r="C337" s="1112" t="s">
        <v>100</v>
      </c>
      <c r="D337" s="1103" t="s">
        <v>97</v>
      </c>
      <c r="E337" s="1104"/>
      <c r="F337" s="1104"/>
      <c r="G337" s="1104"/>
      <c r="H337" s="1104"/>
      <c r="I337" s="1104"/>
      <c r="J337" s="1104"/>
      <c r="K337" s="1104"/>
      <c r="L337" s="1104"/>
      <c r="M337" s="1104"/>
      <c r="N337" s="1104"/>
      <c r="O337" s="1104"/>
      <c r="P337" s="1104"/>
      <c r="Q337" s="1104"/>
      <c r="R337" s="1104"/>
      <c r="S337" s="1104"/>
      <c r="T337" s="1104"/>
      <c r="U337" s="1104"/>
      <c r="V337" s="1104"/>
      <c r="W337" s="1104"/>
      <c r="X337" s="1104"/>
      <c r="Y337" s="1104"/>
      <c r="Z337" s="1104"/>
      <c r="AA337" s="1104"/>
      <c r="AB337" s="1104"/>
      <c r="AC337" s="1104"/>
      <c r="AD337" s="1104"/>
      <c r="AE337" s="1104"/>
      <c r="AF337" s="1104"/>
      <c r="AG337" s="1104"/>
      <c r="AH337" s="1104"/>
      <c r="AI337" s="1104"/>
      <c r="AJ337" s="1104"/>
      <c r="AK337" s="1104"/>
      <c r="AL337" s="1105"/>
      <c r="AM337" s="634"/>
      <c r="AN337" s="1103" t="s">
        <v>99</v>
      </c>
      <c r="AO337" s="1104"/>
      <c r="AP337" s="1104"/>
      <c r="AQ337" s="1104"/>
      <c r="AR337" s="1104"/>
      <c r="AS337" s="1104"/>
      <c r="AT337" s="1104"/>
      <c r="AU337" s="1104"/>
      <c r="AV337" s="1104"/>
      <c r="AW337" s="1104"/>
      <c r="AX337" s="1104"/>
      <c r="AY337" s="1104"/>
      <c r="AZ337" s="1104"/>
      <c r="BA337" s="1104"/>
      <c r="BB337" s="1104"/>
      <c r="BC337" s="1104"/>
      <c r="BD337" s="1104"/>
      <c r="BE337" s="1104"/>
      <c r="BF337" s="1104"/>
      <c r="BG337" s="1104"/>
      <c r="BH337" s="1104"/>
      <c r="BI337" s="1104"/>
      <c r="BJ337" s="1104"/>
      <c r="BK337" s="1104"/>
      <c r="BL337" s="1104"/>
      <c r="BM337" s="1104"/>
      <c r="BN337" s="1104"/>
      <c r="BO337" s="1104"/>
      <c r="BP337" s="1104"/>
      <c r="BQ337" s="1104"/>
      <c r="BR337" s="1104"/>
      <c r="BS337" s="1104"/>
      <c r="BT337" s="1104"/>
      <c r="BU337" s="1104"/>
      <c r="BV337" s="1105"/>
    </row>
    <row r="338" spans="1:74" ht="18" hidden="1" customHeight="1" outlineLevel="2" thickBot="1" x14ac:dyDescent="0.3">
      <c r="A338" s="1113"/>
      <c r="B338" s="1113"/>
      <c r="C338" s="1113"/>
      <c r="D338" s="275">
        <v>1</v>
      </c>
      <c r="E338" s="211">
        <v>2</v>
      </c>
      <c r="F338" s="211">
        <v>3</v>
      </c>
      <c r="G338" s="211">
        <v>4</v>
      </c>
      <c r="H338" s="211">
        <v>5</v>
      </c>
      <c r="I338" s="211">
        <v>6</v>
      </c>
      <c r="J338" s="211">
        <v>7</v>
      </c>
      <c r="K338" s="211">
        <v>8</v>
      </c>
      <c r="L338" s="211">
        <v>9</v>
      </c>
      <c r="M338" s="211">
        <v>10</v>
      </c>
      <c r="N338" s="211">
        <v>11</v>
      </c>
      <c r="O338" s="211">
        <v>12</v>
      </c>
      <c r="P338" s="211">
        <v>13</v>
      </c>
      <c r="Q338" s="211">
        <v>14</v>
      </c>
      <c r="R338" s="211">
        <v>15</v>
      </c>
      <c r="S338" s="211">
        <v>16</v>
      </c>
      <c r="T338" s="211">
        <v>17</v>
      </c>
      <c r="U338" s="211">
        <v>18</v>
      </c>
      <c r="V338" s="211">
        <v>19</v>
      </c>
      <c r="W338" s="211">
        <v>20</v>
      </c>
      <c r="X338" s="211">
        <v>21</v>
      </c>
      <c r="Y338" s="211">
        <v>22</v>
      </c>
      <c r="Z338" s="211">
        <v>23</v>
      </c>
      <c r="AA338" s="211">
        <v>24</v>
      </c>
      <c r="AB338" s="211">
        <v>25</v>
      </c>
      <c r="AC338" s="211">
        <v>26</v>
      </c>
      <c r="AD338" s="211">
        <v>27</v>
      </c>
      <c r="AE338" s="211">
        <v>28</v>
      </c>
      <c r="AF338" s="211">
        <v>29</v>
      </c>
      <c r="AG338" s="211">
        <v>30</v>
      </c>
      <c r="AH338" s="211">
        <v>31</v>
      </c>
      <c r="AI338" s="211">
        <v>32</v>
      </c>
      <c r="AJ338" s="211">
        <v>33</v>
      </c>
      <c r="AK338" s="211">
        <v>34</v>
      </c>
      <c r="AL338" s="212">
        <v>35</v>
      </c>
      <c r="AM338" s="635"/>
      <c r="AN338" s="275">
        <v>1</v>
      </c>
      <c r="AO338" s="211">
        <v>2</v>
      </c>
      <c r="AP338" s="211">
        <v>3</v>
      </c>
      <c r="AQ338" s="211">
        <v>4</v>
      </c>
      <c r="AR338" s="211">
        <v>5</v>
      </c>
      <c r="AS338" s="211">
        <v>6</v>
      </c>
      <c r="AT338" s="211">
        <v>7</v>
      </c>
      <c r="AU338" s="211">
        <v>8</v>
      </c>
      <c r="AV338" s="211">
        <v>9</v>
      </c>
      <c r="AW338" s="211">
        <v>10</v>
      </c>
      <c r="AX338" s="211">
        <v>11</v>
      </c>
      <c r="AY338" s="211">
        <v>12</v>
      </c>
      <c r="AZ338" s="211">
        <v>13</v>
      </c>
      <c r="BA338" s="211">
        <v>14</v>
      </c>
      <c r="BB338" s="211">
        <v>15</v>
      </c>
      <c r="BC338" s="211">
        <v>16</v>
      </c>
      <c r="BD338" s="211">
        <v>17</v>
      </c>
      <c r="BE338" s="211">
        <v>18</v>
      </c>
      <c r="BF338" s="211">
        <v>19</v>
      </c>
      <c r="BG338" s="211">
        <v>20</v>
      </c>
      <c r="BH338" s="211">
        <v>21</v>
      </c>
      <c r="BI338" s="211">
        <v>22</v>
      </c>
      <c r="BJ338" s="211">
        <v>23</v>
      </c>
      <c r="BK338" s="211">
        <v>24</v>
      </c>
      <c r="BL338" s="211">
        <v>25</v>
      </c>
      <c r="BM338" s="211">
        <v>26</v>
      </c>
      <c r="BN338" s="211">
        <v>27</v>
      </c>
      <c r="BO338" s="211">
        <v>28</v>
      </c>
      <c r="BP338" s="211">
        <v>29</v>
      </c>
      <c r="BQ338" s="211">
        <v>30</v>
      </c>
      <c r="BR338" s="211">
        <v>31</v>
      </c>
      <c r="BS338" s="211">
        <v>32</v>
      </c>
      <c r="BT338" s="211">
        <v>33</v>
      </c>
      <c r="BU338" s="211">
        <v>34</v>
      </c>
      <c r="BV338" s="212">
        <v>35</v>
      </c>
    </row>
    <row r="339" spans="1:74" ht="20.149999999999999" hidden="1" customHeight="1" outlineLevel="2" x14ac:dyDescent="0.25">
      <c r="A339" s="19" t="str">
        <f>'Custos Diversos'!A114</f>
        <v>Sistema de irrigação</v>
      </c>
      <c r="B339" s="10" t="str">
        <f>'Custos Diversos'!B114</f>
        <v>ha</v>
      </c>
      <c r="C339" s="317">
        <f>'Custos Diversos'!C114</f>
        <v>20000</v>
      </c>
      <c r="D339" s="317">
        <f>'Custos Diversos'!D114</f>
        <v>1</v>
      </c>
      <c r="E339" s="292"/>
      <c r="F339" s="292"/>
      <c r="G339" s="292"/>
      <c r="H339" s="292"/>
      <c r="I339" s="292"/>
      <c r="J339" s="292"/>
      <c r="K339" s="292"/>
      <c r="L339" s="362"/>
      <c r="M339" s="362"/>
      <c r="N339" s="362"/>
      <c r="O339" s="362"/>
      <c r="P339" s="362"/>
      <c r="Q339" s="362"/>
      <c r="R339" s="362"/>
      <c r="S339" s="362"/>
      <c r="T339" s="362"/>
      <c r="U339" s="362"/>
      <c r="V339" s="362"/>
      <c r="W339" s="362"/>
      <c r="X339" s="362"/>
      <c r="Y339" s="362"/>
      <c r="Z339" s="362"/>
      <c r="AA339" s="362"/>
      <c r="AB339" s="362"/>
      <c r="AC339" s="362"/>
      <c r="AD339" s="362"/>
      <c r="AE339" s="362"/>
      <c r="AF339" s="362"/>
      <c r="AG339" s="362"/>
      <c r="AH339" s="362"/>
      <c r="AI339" s="362"/>
      <c r="AJ339" s="362"/>
      <c r="AK339" s="362"/>
      <c r="AL339" s="363"/>
      <c r="AM339" s="637"/>
      <c r="AN339" s="310">
        <f>C339*D339</f>
        <v>20000</v>
      </c>
      <c r="AO339" s="292"/>
      <c r="AP339" s="292"/>
      <c r="AQ339" s="292"/>
      <c r="AR339" s="292"/>
      <c r="AS339" s="292"/>
      <c r="AT339" s="292"/>
      <c r="AU339" s="292"/>
      <c r="AV339" s="362"/>
      <c r="AW339" s="380"/>
      <c r="AX339" s="380"/>
      <c r="AY339" s="380"/>
      <c r="AZ339" s="380"/>
      <c r="BA339" s="380"/>
      <c r="BB339" s="380"/>
      <c r="BC339" s="380"/>
      <c r="BD339" s="380"/>
      <c r="BE339" s="389"/>
      <c r="BF339" s="390"/>
      <c r="BG339" s="380"/>
      <c r="BH339" s="380"/>
      <c r="BI339" s="380"/>
      <c r="BJ339" s="380"/>
      <c r="BK339" s="380"/>
      <c r="BL339" s="380"/>
      <c r="BM339" s="380"/>
      <c r="BN339" s="380"/>
      <c r="BO339" s="380"/>
      <c r="BP339" s="380"/>
      <c r="BQ339" s="380"/>
      <c r="BR339" s="380"/>
      <c r="BS339" s="380"/>
      <c r="BT339" s="380"/>
      <c r="BU339" s="380"/>
      <c r="BV339" s="381"/>
    </row>
    <row r="340" spans="1:74" ht="20.149999999999999" hidden="1" customHeight="1" outlineLevel="2" x14ac:dyDescent="0.25">
      <c r="A340" s="20" t="str">
        <f>'Custos Diversos'!A115</f>
        <v>Apoio - alojamento - cozinha e refeitório</v>
      </c>
      <c r="B340" s="13" t="str">
        <f>'Custos Diversos'!B106</f>
        <v>m²/ha</v>
      </c>
      <c r="C340" s="318">
        <f>'Custos Diversos'!C106</f>
        <v>680</v>
      </c>
      <c r="D340" s="318">
        <f>'Custos Diversos'!D115</f>
        <v>3.23</v>
      </c>
      <c r="E340" s="296"/>
      <c r="F340" s="296"/>
      <c r="G340" s="296"/>
      <c r="H340" s="296"/>
      <c r="I340" s="296"/>
      <c r="J340" s="296"/>
      <c r="K340" s="296"/>
      <c r="L340" s="364"/>
      <c r="M340" s="364"/>
      <c r="N340" s="364"/>
      <c r="O340" s="364"/>
      <c r="P340" s="364"/>
      <c r="Q340" s="364"/>
      <c r="R340" s="364"/>
      <c r="S340" s="364"/>
      <c r="T340" s="364"/>
      <c r="U340" s="364"/>
      <c r="V340" s="364"/>
      <c r="W340" s="364"/>
      <c r="X340" s="364"/>
      <c r="Y340" s="364"/>
      <c r="Z340" s="364"/>
      <c r="AA340" s="364"/>
      <c r="AB340" s="364"/>
      <c r="AC340" s="364"/>
      <c r="AD340" s="364"/>
      <c r="AE340" s="364"/>
      <c r="AF340" s="364"/>
      <c r="AG340" s="364"/>
      <c r="AH340" s="364"/>
      <c r="AI340" s="364"/>
      <c r="AJ340" s="364"/>
      <c r="AK340" s="364"/>
      <c r="AL340" s="365"/>
      <c r="AM340" s="637"/>
      <c r="AN340" s="311">
        <f>C340*D340</f>
        <v>2196.4</v>
      </c>
      <c r="AO340" s="296"/>
      <c r="AP340" s="296"/>
      <c r="AQ340" s="296"/>
      <c r="AR340" s="296"/>
      <c r="AS340" s="296"/>
      <c r="AT340" s="296"/>
      <c r="AU340" s="296"/>
      <c r="AV340" s="364"/>
      <c r="AW340" s="382"/>
      <c r="AX340" s="382"/>
      <c r="AY340" s="382"/>
      <c r="AZ340" s="382"/>
      <c r="BA340" s="382"/>
      <c r="BB340" s="382"/>
      <c r="BC340" s="382"/>
      <c r="BD340" s="382"/>
      <c r="BE340" s="391"/>
      <c r="BF340" s="392"/>
      <c r="BG340" s="382"/>
      <c r="BH340" s="382"/>
      <c r="BI340" s="382"/>
      <c r="BJ340" s="382"/>
      <c r="BK340" s="382"/>
      <c r="BL340" s="382"/>
      <c r="BM340" s="382"/>
      <c r="BN340" s="382"/>
      <c r="BO340" s="382"/>
      <c r="BP340" s="382"/>
      <c r="BQ340" s="382"/>
      <c r="BR340" s="382"/>
      <c r="BS340" s="382"/>
      <c r="BT340" s="382"/>
      <c r="BU340" s="382"/>
      <c r="BV340" s="383"/>
    </row>
    <row r="341" spans="1:74" ht="20.149999999999999" hidden="1" customHeight="1" outlineLevel="2" thickBot="1" x14ac:dyDescent="0.3">
      <c r="A341" s="326" t="str">
        <f>'Custos Diversos'!A116</f>
        <v>Galpão insumos e máquinas</v>
      </c>
      <c r="B341" s="327" t="str">
        <f>'Custos Diversos'!B107</f>
        <v>m²/ha</v>
      </c>
      <c r="C341" s="328">
        <f>'Custos Diversos'!C107</f>
        <v>530</v>
      </c>
      <c r="D341" s="328">
        <f>'Custos Diversos'!D116</f>
        <v>3.9</v>
      </c>
      <c r="E341" s="329"/>
      <c r="F341" s="329"/>
      <c r="G341" s="329"/>
      <c r="H341" s="329"/>
      <c r="I341" s="329"/>
      <c r="J341" s="329"/>
      <c r="K341" s="329"/>
      <c r="L341" s="366"/>
      <c r="M341" s="366"/>
      <c r="N341" s="366"/>
      <c r="O341" s="366"/>
      <c r="P341" s="366"/>
      <c r="Q341" s="366"/>
      <c r="R341" s="366"/>
      <c r="S341" s="366"/>
      <c r="T341" s="366"/>
      <c r="U341" s="366"/>
      <c r="V341" s="366"/>
      <c r="W341" s="366"/>
      <c r="X341" s="366"/>
      <c r="Y341" s="366"/>
      <c r="Z341" s="366"/>
      <c r="AA341" s="366"/>
      <c r="AB341" s="366"/>
      <c r="AC341" s="366"/>
      <c r="AD341" s="366"/>
      <c r="AE341" s="366"/>
      <c r="AF341" s="366"/>
      <c r="AG341" s="366"/>
      <c r="AH341" s="366"/>
      <c r="AI341" s="366"/>
      <c r="AJ341" s="366"/>
      <c r="AK341" s="366"/>
      <c r="AL341" s="367"/>
      <c r="AM341" s="637"/>
      <c r="AN341" s="339">
        <f>C341*D341</f>
        <v>2067</v>
      </c>
      <c r="AO341" s="329"/>
      <c r="AP341" s="329"/>
      <c r="AQ341" s="329"/>
      <c r="AR341" s="329"/>
      <c r="AS341" s="329"/>
      <c r="AT341" s="329"/>
      <c r="AU341" s="329"/>
      <c r="AV341" s="366"/>
      <c r="AW341" s="384"/>
      <c r="AX341" s="384"/>
      <c r="AY341" s="384"/>
      <c r="AZ341" s="384"/>
      <c r="BA341" s="384"/>
      <c r="BB341" s="384"/>
      <c r="BC341" s="384"/>
      <c r="BD341" s="384"/>
      <c r="BE341" s="393"/>
      <c r="BF341" s="394"/>
      <c r="BG341" s="384"/>
      <c r="BH341" s="384"/>
      <c r="BI341" s="384"/>
      <c r="BJ341" s="384"/>
      <c r="BK341" s="384"/>
      <c r="BL341" s="384"/>
      <c r="BM341" s="384"/>
      <c r="BN341" s="384"/>
      <c r="BO341" s="384"/>
      <c r="BP341" s="384"/>
      <c r="BQ341" s="384"/>
      <c r="BR341" s="384"/>
      <c r="BS341" s="384"/>
      <c r="BT341" s="384"/>
      <c r="BU341" s="384"/>
      <c r="BV341" s="385"/>
    </row>
    <row r="342" spans="1:74" s="409" customFormat="1" ht="20.149999999999999" hidden="1" customHeight="1" outlineLevel="2" thickBot="1" x14ac:dyDescent="0.3">
      <c r="A342" s="1114" t="s">
        <v>104</v>
      </c>
      <c r="B342" s="1115"/>
      <c r="C342" s="1115"/>
      <c r="D342" s="1115"/>
      <c r="E342" s="1115"/>
      <c r="F342" s="1115"/>
      <c r="G342" s="1115"/>
      <c r="H342" s="1115"/>
      <c r="I342" s="1115"/>
      <c r="J342" s="1115"/>
      <c r="K342" s="1115"/>
      <c r="L342" s="1115"/>
      <c r="M342" s="1115"/>
      <c r="N342" s="1115"/>
      <c r="O342" s="1115"/>
      <c r="P342" s="1115"/>
      <c r="Q342" s="1115"/>
      <c r="R342" s="1115"/>
      <c r="S342" s="1115"/>
      <c r="T342" s="1115"/>
      <c r="U342" s="1115"/>
      <c r="V342" s="1115"/>
      <c r="W342" s="1115"/>
      <c r="X342" s="1115"/>
      <c r="Y342" s="1115"/>
      <c r="Z342" s="1115"/>
      <c r="AA342" s="1115"/>
      <c r="AB342" s="1115"/>
      <c r="AC342" s="1115"/>
      <c r="AD342" s="1115"/>
      <c r="AE342" s="1115"/>
      <c r="AF342" s="1115"/>
      <c r="AG342" s="1115"/>
      <c r="AH342" s="1115"/>
      <c r="AI342" s="1115"/>
      <c r="AJ342" s="1115"/>
      <c r="AK342" s="1115"/>
      <c r="AL342" s="1115"/>
      <c r="AM342" s="1116"/>
      <c r="AN342" s="406">
        <f>SUM(AN339:AN341)</f>
        <v>24263.4</v>
      </c>
      <c r="AO342" s="410"/>
      <c r="AP342" s="410"/>
      <c r="AQ342" s="410"/>
      <c r="AR342" s="410"/>
      <c r="AS342" s="410"/>
      <c r="AT342" s="410"/>
      <c r="AU342" s="410"/>
      <c r="AV342" s="410"/>
    </row>
    <row r="343" spans="1:74" ht="13" hidden="1" outlineLevel="2" collapsed="1" thickBot="1" x14ac:dyDescent="0.3">
      <c r="AV343" s="14"/>
    </row>
    <row r="344" spans="1:74" s="123" customFormat="1" ht="27" customHeight="1" outlineLevel="1" thickBot="1" x14ac:dyDescent="0.3">
      <c r="A344" s="1109" t="s">
        <v>61</v>
      </c>
      <c r="B344" s="1110"/>
      <c r="C344" s="1110"/>
      <c r="D344" s="1110"/>
      <c r="E344" s="1110"/>
      <c r="F344" s="1110"/>
      <c r="G344" s="1110"/>
      <c r="H344" s="1110"/>
      <c r="I344" s="1110"/>
      <c r="J344" s="1110"/>
      <c r="K344" s="1110"/>
      <c r="L344" s="1110"/>
      <c r="M344" s="1110"/>
      <c r="N344" s="1110"/>
      <c r="O344" s="1110"/>
      <c r="P344" s="1110"/>
      <c r="Q344" s="1110"/>
      <c r="R344" s="1110"/>
      <c r="S344" s="1110"/>
      <c r="T344" s="1110"/>
      <c r="U344" s="1110"/>
      <c r="V344" s="1110"/>
      <c r="W344" s="1110"/>
      <c r="X344" s="1110"/>
      <c r="Y344" s="1110"/>
      <c r="Z344" s="1110"/>
      <c r="AA344" s="1110"/>
      <c r="AB344" s="1110"/>
      <c r="AC344" s="1110"/>
      <c r="AD344" s="1110"/>
      <c r="AE344" s="1110"/>
      <c r="AF344" s="1110"/>
      <c r="AG344" s="1110"/>
      <c r="AH344" s="1110"/>
      <c r="AI344" s="1110"/>
      <c r="AJ344" s="1110"/>
      <c r="AK344" s="1110"/>
      <c r="AL344" s="1110"/>
      <c r="AM344" s="1110"/>
      <c r="AN344" s="1110"/>
      <c r="AO344" s="1110"/>
      <c r="AP344" s="1110"/>
      <c r="AQ344" s="1110"/>
      <c r="AR344" s="1110"/>
      <c r="AS344" s="1110"/>
      <c r="AT344" s="1110"/>
      <c r="AU344" s="1110"/>
      <c r="AV344" s="1110"/>
      <c r="AW344" s="1110"/>
      <c r="AX344" s="1110"/>
      <c r="AY344" s="1110"/>
      <c r="AZ344" s="1110"/>
      <c r="BA344" s="1110"/>
      <c r="BB344" s="1110"/>
      <c r="BC344" s="1110"/>
      <c r="BD344" s="1110"/>
      <c r="BE344" s="1110"/>
      <c r="BF344" s="1110"/>
      <c r="BG344" s="1110"/>
      <c r="BH344" s="1110"/>
      <c r="BI344" s="1110"/>
      <c r="BJ344" s="1110"/>
      <c r="BK344" s="1110"/>
      <c r="BL344" s="1110"/>
      <c r="BM344" s="1110"/>
      <c r="BN344" s="1110"/>
      <c r="BO344" s="1110"/>
      <c r="BP344" s="1110"/>
      <c r="BQ344" s="1110"/>
      <c r="BR344" s="1110"/>
      <c r="BS344" s="1110"/>
      <c r="BT344" s="1110"/>
      <c r="BU344" s="1110"/>
      <c r="BV344" s="1111"/>
    </row>
    <row r="345" spans="1:74" ht="18" customHeight="1" outlineLevel="2" thickBot="1" x14ac:dyDescent="0.3">
      <c r="A345" s="1112" t="s">
        <v>113</v>
      </c>
      <c r="B345" s="1112" t="s">
        <v>8</v>
      </c>
      <c r="C345" s="1112" t="s">
        <v>100</v>
      </c>
      <c r="D345" s="1103" t="s">
        <v>97</v>
      </c>
      <c r="E345" s="1104"/>
      <c r="F345" s="1104"/>
      <c r="G345" s="1104"/>
      <c r="H345" s="1104"/>
      <c r="I345" s="1104"/>
      <c r="J345" s="1104"/>
      <c r="K345" s="1104"/>
      <c r="L345" s="1104"/>
      <c r="M345" s="1104"/>
      <c r="N345" s="1104"/>
      <c r="O345" s="1104"/>
      <c r="P345" s="1104"/>
      <c r="Q345" s="1104"/>
      <c r="R345" s="1104"/>
      <c r="S345" s="1104"/>
      <c r="T345" s="1104"/>
      <c r="U345" s="1104"/>
      <c r="V345" s="1104"/>
      <c r="W345" s="1104"/>
      <c r="X345" s="1104"/>
      <c r="Y345" s="1104"/>
      <c r="Z345" s="1104"/>
      <c r="AA345" s="1104"/>
      <c r="AB345" s="1104"/>
      <c r="AC345" s="1104"/>
      <c r="AD345" s="1104"/>
      <c r="AE345" s="1104"/>
      <c r="AF345" s="1104"/>
      <c r="AG345" s="1104"/>
      <c r="AH345" s="1104"/>
      <c r="AI345" s="1104"/>
      <c r="AJ345" s="1104"/>
      <c r="AK345" s="1104"/>
      <c r="AL345" s="1105"/>
      <c r="AM345" s="634"/>
      <c r="AN345" s="1103" t="s">
        <v>99</v>
      </c>
      <c r="AO345" s="1104"/>
      <c r="AP345" s="1104"/>
      <c r="AQ345" s="1104"/>
      <c r="AR345" s="1104"/>
      <c r="AS345" s="1104"/>
      <c r="AT345" s="1104"/>
      <c r="AU345" s="1104"/>
      <c r="AV345" s="1104"/>
      <c r="AW345" s="1104"/>
      <c r="AX345" s="1104"/>
      <c r="AY345" s="1104"/>
      <c r="AZ345" s="1104"/>
      <c r="BA345" s="1104"/>
      <c r="BB345" s="1104"/>
      <c r="BC345" s="1104"/>
      <c r="BD345" s="1104"/>
      <c r="BE345" s="1104"/>
      <c r="BF345" s="1104"/>
      <c r="BG345" s="1104"/>
      <c r="BH345" s="1104"/>
      <c r="BI345" s="1104"/>
      <c r="BJ345" s="1104"/>
      <c r="BK345" s="1104"/>
      <c r="BL345" s="1104"/>
      <c r="BM345" s="1104"/>
      <c r="BN345" s="1104"/>
      <c r="BO345" s="1104"/>
      <c r="BP345" s="1104"/>
      <c r="BQ345" s="1104"/>
      <c r="BR345" s="1104"/>
      <c r="BS345" s="1104"/>
      <c r="BT345" s="1104"/>
      <c r="BU345" s="1104"/>
      <c r="BV345" s="1105"/>
    </row>
    <row r="346" spans="1:74" ht="18" customHeight="1" outlineLevel="2" thickBot="1" x14ac:dyDescent="0.3">
      <c r="A346" s="1113"/>
      <c r="B346" s="1113"/>
      <c r="C346" s="1113"/>
      <c r="D346" s="275">
        <v>1</v>
      </c>
      <c r="E346" s="211">
        <v>2</v>
      </c>
      <c r="F346" s="211">
        <v>3</v>
      </c>
      <c r="G346" s="211">
        <v>4</v>
      </c>
      <c r="H346" s="211">
        <v>5</v>
      </c>
      <c r="I346" s="211">
        <v>6</v>
      </c>
      <c r="J346" s="211">
        <v>7</v>
      </c>
      <c r="K346" s="211">
        <v>8</v>
      </c>
      <c r="L346" s="211">
        <v>9</v>
      </c>
      <c r="M346" s="211">
        <v>10</v>
      </c>
      <c r="N346" s="211">
        <v>11</v>
      </c>
      <c r="O346" s="211">
        <v>12</v>
      </c>
      <c r="P346" s="211">
        <v>13</v>
      </c>
      <c r="Q346" s="211">
        <v>14</v>
      </c>
      <c r="R346" s="211">
        <v>15</v>
      </c>
      <c r="S346" s="211">
        <v>16</v>
      </c>
      <c r="T346" s="211">
        <v>17</v>
      </c>
      <c r="U346" s="211">
        <v>18</v>
      </c>
      <c r="V346" s="211">
        <v>19</v>
      </c>
      <c r="W346" s="211">
        <v>20</v>
      </c>
      <c r="X346" s="211">
        <v>21</v>
      </c>
      <c r="Y346" s="211">
        <v>22</v>
      </c>
      <c r="Z346" s="211">
        <v>23</v>
      </c>
      <c r="AA346" s="211">
        <v>24</v>
      </c>
      <c r="AB346" s="211">
        <v>25</v>
      </c>
      <c r="AC346" s="211">
        <v>26</v>
      </c>
      <c r="AD346" s="211">
        <v>27</v>
      </c>
      <c r="AE346" s="211">
        <v>28</v>
      </c>
      <c r="AF346" s="211">
        <v>29</v>
      </c>
      <c r="AG346" s="211">
        <v>30</v>
      </c>
      <c r="AH346" s="211">
        <v>31</v>
      </c>
      <c r="AI346" s="211">
        <v>32</v>
      </c>
      <c r="AJ346" s="211">
        <v>33</v>
      </c>
      <c r="AK346" s="211">
        <v>34</v>
      </c>
      <c r="AL346" s="212">
        <v>35</v>
      </c>
      <c r="AM346" s="635"/>
      <c r="AN346" s="275">
        <v>1</v>
      </c>
      <c r="AO346" s="211">
        <v>2</v>
      </c>
      <c r="AP346" s="211">
        <v>3</v>
      </c>
      <c r="AQ346" s="211">
        <v>4</v>
      </c>
      <c r="AR346" s="211">
        <v>5</v>
      </c>
      <c r="AS346" s="211">
        <v>6</v>
      </c>
      <c r="AT346" s="211">
        <v>7</v>
      </c>
      <c r="AU346" s="211">
        <v>8</v>
      </c>
      <c r="AV346" s="211">
        <v>9</v>
      </c>
      <c r="AW346" s="211">
        <v>10</v>
      </c>
      <c r="AX346" s="211">
        <v>11</v>
      </c>
      <c r="AY346" s="211">
        <v>12</v>
      </c>
      <c r="AZ346" s="211">
        <v>13</v>
      </c>
      <c r="BA346" s="211">
        <v>14</v>
      </c>
      <c r="BB346" s="211">
        <v>15</v>
      </c>
      <c r="BC346" s="211">
        <v>16</v>
      </c>
      <c r="BD346" s="211">
        <v>17</v>
      </c>
      <c r="BE346" s="211">
        <v>18</v>
      </c>
      <c r="BF346" s="211">
        <v>19</v>
      </c>
      <c r="BG346" s="211">
        <v>20</v>
      </c>
      <c r="BH346" s="211">
        <v>21</v>
      </c>
      <c r="BI346" s="211">
        <v>22</v>
      </c>
      <c r="BJ346" s="211">
        <v>23</v>
      </c>
      <c r="BK346" s="211">
        <v>24</v>
      </c>
      <c r="BL346" s="211">
        <v>25</v>
      </c>
      <c r="BM346" s="211">
        <v>26</v>
      </c>
      <c r="BN346" s="211">
        <v>27</v>
      </c>
      <c r="BO346" s="211">
        <v>28</v>
      </c>
      <c r="BP346" s="211">
        <v>29</v>
      </c>
      <c r="BQ346" s="211">
        <v>30</v>
      </c>
      <c r="BR346" s="211">
        <v>31</v>
      </c>
      <c r="BS346" s="211">
        <v>32</v>
      </c>
      <c r="BT346" s="211">
        <v>33</v>
      </c>
      <c r="BU346" s="211">
        <v>34</v>
      </c>
      <c r="BV346" s="212">
        <v>35</v>
      </c>
    </row>
    <row r="347" spans="1:74" ht="20.149999999999999" customHeight="1" outlineLevel="2" x14ac:dyDescent="0.25">
      <c r="A347" s="46" t="str">
        <f>'Custos Diversos'!A146</f>
        <v>Energia - parcelar ( consumo )</v>
      </c>
      <c r="B347" s="37" t="str">
        <f>'Custos Diversos'!B146</f>
        <v>kwh/ano</v>
      </c>
      <c r="C347" s="320">
        <f>'Custos Diversos'!D146</f>
        <v>0.23</v>
      </c>
      <c r="D347" s="284">
        <f>'Demanda de água e energia'!E62</f>
        <v>2300</v>
      </c>
      <c r="E347" s="284">
        <f t="shared" ref="E347:U347" si="658">D347</f>
        <v>2300</v>
      </c>
      <c r="F347" s="284">
        <f t="shared" si="658"/>
        <v>2300</v>
      </c>
      <c r="G347" s="284">
        <f t="shared" si="658"/>
        <v>2300</v>
      </c>
      <c r="H347" s="284">
        <f t="shared" si="658"/>
        <v>2300</v>
      </c>
      <c r="I347" s="284">
        <f t="shared" si="658"/>
        <v>2300</v>
      </c>
      <c r="J347" s="284">
        <f t="shared" si="658"/>
        <v>2300</v>
      </c>
      <c r="K347" s="284">
        <f t="shared" si="658"/>
        <v>2300</v>
      </c>
      <c r="L347" s="358">
        <f t="shared" si="658"/>
        <v>2300</v>
      </c>
      <c r="M347" s="358">
        <f t="shared" si="658"/>
        <v>2300</v>
      </c>
      <c r="N347" s="358">
        <f t="shared" si="658"/>
        <v>2300</v>
      </c>
      <c r="O347" s="358">
        <f t="shared" si="658"/>
        <v>2300</v>
      </c>
      <c r="P347" s="358">
        <f t="shared" si="658"/>
        <v>2300</v>
      </c>
      <c r="Q347" s="358">
        <f t="shared" si="658"/>
        <v>2300</v>
      </c>
      <c r="R347" s="358">
        <f t="shared" si="658"/>
        <v>2300</v>
      </c>
      <c r="S347" s="358">
        <f t="shared" si="658"/>
        <v>2300</v>
      </c>
      <c r="T347" s="358">
        <f t="shared" si="658"/>
        <v>2300</v>
      </c>
      <c r="U347" s="358">
        <f t="shared" si="658"/>
        <v>2300</v>
      </c>
      <c r="V347" s="358">
        <f t="shared" ref="V347:V354" si="659">D347</f>
        <v>2300</v>
      </c>
      <c r="W347" s="358">
        <f t="shared" ref="W347:W354" si="660">E347</f>
        <v>2300</v>
      </c>
      <c r="X347" s="358">
        <f t="shared" ref="X347:X354" si="661">F347</f>
        <v>2300</v>
      </c>
      <c r="Y347" s="358">
        <f t="shared" ref="Y347:Y354" si="662">G347</f>
        <v>2300</v>
      </c>
      <c r="Z347" s="358">
        <f t="shared" ref="Z347:Z354" si="663">H347</f>
        <v>2300</v>
      </c>
      <c r="AA347" s="358">
        <f t="shared" ref="AA347:AA354" si="664">I347</f>
        <v>2300</v>
      </c>
      <c r="AB347" s="358">
        <f t="shared" ref="AB347:AB354" si="665">J347</f>
        <v>2300</v>
      </c>
      <c r="AC347" s="358">
        <f t="shared" ref="AC347:AC354" si="666">K347</f>
        <v>2300</v>
      </c>
      <c r="AD347" s="358">
        <f t="shared" ref="AD347:AD354" si="667">L347</f>
        <v>2300</v>
      </c>
      <c r="AE347" s="358">
        <f t="shared" ref="AE347:AE354" si="668">M347</f>
        <v>2300</v>
      </c>
      <c r="AF347" s="358">
        <f t="shared" ref="AF347:AF354" si="669">N347</f>
        <v>2300</v>
      </c>
      <c r="AG347" s="358">
        <f t="shared" ref="AG347:AG354" si="670">O347</f>
        <v>2300</v>
      </c>
      <c r="AH347" s="358">
        <f t="shared" ref="AH347:AH354" si="671">P347</f>
        <v>2300</v>
      </c>
      <c r="AI347" s="358">
        <f t="shared" ref="AI347:AI354" si="672">Q347</f>
        <v>2300</v>
      </c>
      <c r="AJ347" s="358">
        <f t="shared" ref="AJ347:AJ354" si="673">R347</f>
        <v>2300</v>
      </c>
      <c r="AK347" s="358">
        <f t="shared" ref="AK347:AK354" si="674">S347</f>
        <v>2300</v>
      </c>
      <c r="AL347" s="359">
        <f t="shared" ref="AL347:AL354" si="675">T347</f>
        <v>2300</v>
      </c>
      <c r="AM347" s="636"/>
      <c r="AN347" s="303">
        <f t="shared" ref="AN347:BV347" si="676">$C$347*D347</f>
        <v>529</v>
      </c>
      <c r="AO347" s="304">
        <f t="shared" si="676"/>
        <v>529</v>
      </c>
      <c r="AP347" s="304">
        <f t="shared" si="676"/>
        <v>529</v>
      </c>
      <c r="AQ347" s="304">
        <f t="shared" si="676"/>
        <v>529</v>
      </c>
      <c r="AR347" s="304">
        <f t="shared" si="676"/>
        <v>529</v>
      </c>
      <c r="AS347" s="304">
        <f t="shared" si="676"/>
        <v>529</v>
      </c>
      <c r="AT347" s="304">
        <f t="shared" si="676"/>
        <v>529</v>
      </c>
      <c r="AU347" s="304">
        <f t="shared" si="676"/>
        <v>529</v>
      </c>
      <c r="AV347" s="388">
        <f t="shared" si="676"/>
        <v>529</v>
      </c>
      <c r="AW347" s="376">
        <f t="shared" si="676"/>
        <v>529</v>
      </c>
      <c r="AX347" s="376">
        <f t="shared" si="676"/>
        <v>529</v>
      </c>
      <c r="AY347" s="376">
        <f t="shared" si="676"/>
        <v>529</v>
      </c>
      <c r="AZ347" s="376">
        <f t="shared" si="676"/>
        <v>529</v>
      </c>
      <c r="BA347" s="376">
        <f t="shared" si="676"/>
        <v>529</v>
      </c>
      <c r="BB347" s="376">
        <f t="shared" si="676"/>
        <v>529</v>
      </c>
      <c r="BC347" s="376">
        <f t="shared" si="676"/>
        <v>529</v>
      </c>
      <c r="BD347" s="376">
        <f t="shared" si="676"/>
        <v>529</v>
      </c>
      <c r="BE347" s="376">
        <f t="shared" si="676"/>
        <v>529</v>
      </c>
      <c r="BF347" s="376">
        <f t="shared" si="676"/>
        <v>529</v>
      </c>
      <c r="BG347" s="376">
        <f t="shared" si="676"/>
        <v>529</v>
      </c>
      <c r="BH347" s="376">
        <f t="shared" si="676"/>
        <v>529</v>
      </c>
      <c r="BI347" s="376">
        <f t="shared" si="676"/>
        <v>529</v>
      </c>
      <c r="BJ347" s="376">
        <f t="shared" si="676"/>
        <v>529</v>
      </c>
      <c r="BK347" s="376">
        <f t="shared" si="676"/>
        <v>529</v>
      </c>
      <c r="BL347" s="376">
        <f t="shared" si="676"/>
        <v>529</v>
      </c>
      <c r="BM347" s="376">
        <f t="shared" si="676"/>
        <v>529</v>
      </c>
      <c r="BN347" s="376">
        <f t="shared" si="676"/>
        <v>529</v>
      </c>
      <c r="BO347" s="376">
        <f t="shared" si="676"/>
        <v>529</v>
      </c>
      <c r="BP347" s="376">
        <f t="shared" si="676"/>
        <v>529</v>
      </c>
      <c r="BQ347" s="376">
        <f t="shared" si="676"/>
        <v>529</v>
      </c>
      <c r="BR347" s="376">
        <f t="shared" si="676"/>
        <v>529</v>
      </c>
      <c r="BS347" s="376">
        <f t="shared" si="676"/>
        <v>529</v>
      </c>
      <c r="BT347" s="376">
        <f t="shared" si="676"/>
        <v>529</v>
      </c>
      <c r="BU347" s="376">
        <f t="shared" si="676"/>
        <v>529</v>
      </c>
      <c r="BV347" s="377">
        <f t="shared" si="676"/>
        <v>529</v>
      </c>
    </row>
    <row r="348" spans="1:74" ht="20.149999999999999" customHeight="1" outlineLevel="2" x14ac:dyDescent="0.25">
      <c r="A348" s="46" t="str">
        <f>'Custos Diversos'!A147</f>
        <v>Energia - parcelar ( demanda )</v>
      </c>
      <c r="B348" s="37" t="str">
        <f>'Custos Diversos'!B147</f>
        <v>kw/ano</v>
      </c>
      <c r="C348" s="320">
        <f>'Custos Diversos'!D147</f>
        <v>12</v>
      </c>
      <c r="D348" s="284">
        <f t="shared" ref="D348:U348" si="677">1*12</f>
        <v>12</v>
      </c>
      <c r="E348" s="284">
        <f t="shared" si="677"/>
        <v>12</v>
      </c>
      <c r="F348" s="284">
        <f t="shared" si="677"/>
        <v>12</v>
      </c>
      <c r="G348" s="284">
        <f t="shared" si="677"/>
        <v>12</v>
      </c>
      <c r="H348" s="284">
        <f t="shared" si="677"/>
        <v>12</v>
      </c>
      <c r="I348" s="284">
        <f t="shared" si="677"/>
        <v>12</v>
      </c>
      <c r="J348" s="284">
        <f t="shared" si="677"/>
        <v>12</v>
      </c>
      <c r="K348" s="284">
        <f t="shared" si="677"/>
        <v>12</v>
      </c>
      <c r="L348" s="358">
        <f t="shared" si="677"/>
        <v>12</v>
      </c>
      <c r="M348" s="358">
        <f t="shared" si="677"/>
        <v>12</v>
      </c>
      <c r="N348" s="358">
        <f t="shared" si="677"/>
        <v>12</v>
      </c>
      <c r="O348" s="358">
        <f t="shared" si="677"/>
        <v>12</v>
      </c>
      <c r="P348" s="358">
        <f t="shared" si="677"/>
        <v>12</v>
      </c>
      <c r="Q348" s="358">
        <f t="shared" si="677"/>
        <v>12</v>
      </c>
      <c r="R348" s="358">
        <f t="shared" si="677"/>
        <v>12</v>
      </c>
      <c r="S348" s="358">
        <f t="shared" si="677"/>
        <v>12</v>
      </c>
      <c r="T348" s="358">
        <f t="shared" si="677"/>
        <v>12</v>
      </c>
      <c r="U348" s="358">
        <f t="shared" si="677"/>
        <v>12</v>
      </c>
      <c r="V348" s="358">
        <f t="shared" si="659"/>
        <v>12</v>
      </c>
      <c r="W348" s="358">
        <f t="shared" si="660"/>
        <v>12</v>
      </c>
      <c r="X348" s="358">
        <f t="shared" si="661"/>
        <v>12</v>
      </c>
      <c r="Y348" s="358">
        <f t="shared" si="662"/>
        <v>12</v>
      </c>
      <c r="Z348" s="358">
        <f t="shared" si="663"/>
        <v>12</v>
      </c>
      <c r="AA348" s="358">
        <f t="shared" si="664"/>
        <v>12</v>
      </c>
      <c r="AB348" s="358">
        <f t="shared" si="665"/>
        <v>12</v>
      </c>
      <c r="AC348" s="358">
        <f t="shared" si="666"/>
        <v>12</v>
      </c>
      <c r="AD348" s="358">
        <f t="shared" si="667"/>
        <v>12</v>
      </c>
      <c r="AE348" s="358">
        <f t="shared" si="668"/>
        <v>12</v>
      </c>
      <c r="AF348" s="358">
        <f t="shared" si="669"/>
        <v>12</v>
      </c>
      <c r="AG348" s="358">
        <f t="shared" si="670"/>
        <v>12</v>
      </c>
      <c r="AH348" s="358">
        <f t="shared" si="671"/>
        <v>12</v>
      </c>
      <c r="AI348" s="358">
        <f t="shared" si="672"/>
        <v>12</v>
      </c>
      <c r="AJ348" s="358">
        <f t="shared" si="673"/>
        <v>12</v>
      </c>
      <c r="AK348" s="358">
        <f t="shared" si="674"/>
        <v>12</v>
      </c>
      <c r="AL348" s="359">
        <f t="shared" si="675"/>
        <v>12</v>
      </c>
      <c r="AM348" s="636"/>
      <c r="AN348" s="303">
        <f t="shared" ref="AN348:BV348" si="678">$C$348*D348</f>
        <v>144</v>
      </c>
      <c r="AO348" s="304">
        <f t="shared" si="678"/>
        <v>144</v>
      </c>
      <c r="AP348" s="304">
        <f t="shared" si="678"/>
        <v>144</v>
      </c>
      <c r="AQ348" s="304">
        <f t="shared" si="678"/>
        <v>144</v>
      </c>
      <c r="AR348" s="304">
        <f t="shared" si="678"/>
        <v>144</v>
      </c>
      <c r="AS348" s="304">
        <f t="shared" si="678"/>
        <v>144</v>
      </c>
      <c r="AT348" s="304">
        <f t="shared" si="678"/>
        <v>144</v>
      </c>
      <c r="AU348" s="304">
        <f t="shared" si="678"/>
        <v>144</v>
      </c>
      <c r="AV348" s="388">
        <f t="shared" si="678"/>
        <v>144</v>
      </c>
      <c r="AW348" s="376">
        <f t="shared" si="678"/>
        <v>144</v>
      </c>
      <c r="AX348" s="376">
        <f t="shared" si="678"/>
        <v>144</v>
      </c>
      <c r="AY348" s="376">
        <f t="shared" si="678"/>
        <v>144</v>
      </c>
      <c r="AZ348" s="376">
        <f t="shared" si="678"/>
        <v>144</v>
      </c>
      <c r="BA348" s="376">
        <f t="shared" si="678"/>
        <v>144</v>
      </c>
      <c r="BB348" s="376">
        <f t="shared" si="678"/>
        <v>144</v>
      </c>
      <c r="BC348" s="376">
        <f t="shared" si="678"/>
        <v>144</v>
      </c>
      <c r="BD348" s="376">
        <f t="shared" si="678"/>
        <v>144</v>
      </c>
      <c r="BE348" s="376">
        <f t="shared" si="678"/>
        <v>144</v>
      </c>
      <c r="BF348" s="376">
        <f t="shared" si="678"/>
        <v>144</v>
      </c>
      <c r="BG348" s="376">
        <f t="shared" si="678"/>
        <v>144</v>
      </c>
      <c r="BH348" s="376">
        <f t="shared" si="678"/>
        <v>144</v>
      </c>
      <c r="BI348" s="376">
        <f t="shared" si="678"/>
        <v>144</v>
      </c>
      <c r="BJ348" s="376">
        <f t="shared" si="678"/>
        <v>144</v>
      </c>
      <c r="BK348" s="376">
        <f t="shared" si="678"/>
        <v>144</v>
      </c>
      <c r="BL348" s="376">
        <f t="shared" si="678"/>
        <v>144</v>
      </c>
      <c r="BM348" s="376">
        <f t="shared" si="678"/>
        <v>144</v>
      </c>
      <c r="BN348" s="376">
        <f t="shared" si="678"/>
        <v>144</v>
      </c>
      <c r="BO348" s="376">
        <f t="shared" si="678"/>
        <v>144</v>
      </c>
      <c r="BP348" s="376">
        <f t="shared" si="678"/>
        <v>144</v>
      </c>
      <c r="BQ348" s="376">
        <f t="shared" si="678"/>
        <v>144</v>
      </c>
      <c r="BR348" s="376">
        <f t="shared" si="678"/>
        <v>144</v>
      </c>
      <c r="BS348" s="376">
        <f t="shared" si="678"/>
        <v>144</v>
      </c>
      <c r="BT348" s="376">
        <f t="shared" si="678"/>
        <v>144</v>
      </c>
      <c r="BU348" s="376">
        <f t="shared" si="678"/>
        <v>144</v>
      </c>
      <c r="BV348" s="377">
        <f t="shared" si="678"/>
        <v>144</v>
      </c>
    </row>
    <row r="349" spans="1:74" ht="20.149999999999999" customHeight="1" outlineLevel="2" x14ac:dyDescent="0.25">
      <c r="A349" s="46" t="str">
        <f>'Custos Diversos'!A149</f>
        <v>man sist irrig</v>
      </c>
      <c r="B349" s="37" t="str">
        <f>'Custos Diversos'!B148</f>
        <v>ud</v>
      </c>
      <c r="C349" s="320">
        <f>'Custos Diversos'!D149</f>
        <v>200</v>
      </c>
      <c r="D349" s="284">
        <v>0.5</v>
      </c>
      <c r="E349" s="284">
        <v>1</v>
      </c>
      <c r="F349" s="284">
        <v>1.25</v>
      </c>
      <c r="G349" s="284">
        <v>1.25</v>
      </c>
      <c r="H349" s="284">
        <v>1.5</v>
      </c>
      <c r="I349" s="284">
        <v>1.5</v>
      </c>
      <c r="J349" s="284">
        <v>2</v>
      </c>
      <c r="K349" s="284">
        <v>2</v>
      </c>
      <c r="L349" s="358">
        <v>2</v>
      </c>
      <c r="M349" s="358">
        <v>2</v>
      </c>
      <c r="N349" s="358">
        <v>2</v>
      </c>
      <c r="O349" s="358">
        <v>2</v>
      </c>
      <c r="P349" s="358">
        <v>2</v>
      </c>
      <c r="Q349" s="358">
        <v>2</v>
      </c>
      <c r="R349" s="358">
        <v>2</v>
      </c>
      <c r="S349" s="358">
        <v>2</v>
      </c>
      <c r="T349" s="358">
        <v>2</v>
      </c>
      <c r="U349" s="358">
        <v>2</v>
      </c>
      <c r="V349" s="358">
        <f t="shared" si="659"/>
        <v>0.5</v>
      </c>
      <c r="W349" s="358">
        <f t="shared" si="660"/>
        <v>1</v>
      </c>
      <c r="X349" s="358">
        <f t="shared" si="661"/>
        <v>1.25</v>
      </c>
      <c r="Y349" s="358">
        <f t="shared" si="662"/>
        <v>1.25</v>
      </c>
      <c r="Z349" s="358">
        <f t="shared" si="663"/>
        <v>1.5</v>
      </c>
      <c r="AA349" s="358">
        <f t="shared" si="664"/>
        <v>1.5</v>
      </c>
      <c r="AB349" s="358">
        <f t="shared" si="665"/>
        <v>2</v>
      </c>
      <c r="AC349" s="358">
        <f t="shared" si="666"/>
        <v>2</v>
      </c>
      <c r="AD349" s="358">
        <f t="shared" si="667"/>
        <v>2</v>
      </c>
      <c r="AE349" s="358">
        <f t="shared" si="668"/>
        <v>2</v>
      </c>
      <c r="AF349" s="358">
        <f t="shared" si="669"/>
        <v>2</v>
      </c>
      <c r="AG349" s="358">
        <f t="shared" si="670"/>
        <v>2</v>
      </c>
      <c r="AH349" s="358">
        <f t="shared" si="671"/>
        <v>2</v>
      </c>
      <c r="AI349" s="358">
        <f t="shared" si="672"/>
        <v>2</v>
      </c>
      <c r="AJ349" s="358">
        <f t="shared" si="673"/>
        <v>2</v>
      </c>
      <c r="AK349" s="358">
        <f t="shared" si="674"/>
        <v>2</v>
      </c>
      <c r="AL349" s="359">
        <f t="shared" si="675"/>
        <v>2</v>
      </c>
      <c r="AM349" s="636"/>
      <c r="AN349" s="303">
        <f t="shared" ref="AN349:BV349" si="679">$C$349*D349</f>
        <v>100</v>
      </c>
      <c r="AO349" s="304">
        <f t="shared" si="679"/>
        <v>200</v>
      </c>
      <c r="AP349" s="304">
        <f t="shared" si="679"/>
        <v>250</v>
      </c>
      <c r="AQ349" s="304">
        <f t="shared" si="679"/>
        <v>250</v>
      </c>
      <c r="AR349" s="304">
        <f t="shared" si="679"/>
        <v>300</v>
      </c>
      <c r="AS349" s="304">
        <f t="shared" si="679"/>
        <v>300</v>
      </c>
      <c r="AT349" s="304">
        <f t="shared" si="679"/>
        <v>400</v>
      </c>
      <c r="AU349" s="304">
        <f t="shared" si="679"/>
        <v>400</v>
      </c>
      <c r="AV349" s="388">
        <f t="shared" si="679"/>
        <v>400</v>
      </c>
      <c r="AW349" s="376">
        <f t="shared" si="679"/>
        <v>400</v>
      </c>
      <c r="AX349" s="376">
        <f t="shared" si="679"/>
        <v>400</v>
      </c>
      <c r="AY349" s="376">
        <f t="shared" si="679"/>
        <v>400</v>
      </c>
      <c r="AZ349" s="376">
        <f t="shared" si="679"/>
        <v>400</v>
      </c>
      <c r="BA349" s="376">
        <f t="shared" si="679"/>
        <v>400</v>
      </c>
      <c r="BB349" s="376">
        <f t="shared" si="679"/>
        <v>400</v>
      </c>
      <c r="BC349" s="376">
        <f t="shared" si="679"/>
        <v>400</v>
      </c>
      <c r="BD349" s="376">
        <f t="shared" si="679"/>
        <v>400</v>
      </c>
      <c r="BE349" s="376">
        <f t="shared" si="679"/>
        <v>400</v>
      </c>
      <c r="BF349" s="376">
        <f t="shared" si="679"/>
        <v>100</v>
      </c>
      <c r="BG349" s="376">
        <f t="shared" si="679"/>
        <v>200</v>
      </c>
      <c r="BH349" s="376">
        <f t="shared" si="679"/>
        <v>250</v>
      </c>
      <c r="BI349" s="376">
        <f t="shared" si="679"/>
        <v>250</v>
      </c>
      <c r="BJ349" s="376">
        <f t="shared" si="679"/>
        <v>300</v>
      </c>
      <c r="BK349" s="376">
        <f t="shared" si="679"/>
        <v>300</v>
      </c>
      <c r="BL349" s="376">
        <f t="shared" si="679"/>
        <v>400</v>
      </c>
      <c r="BM349" s="376">
        <f t="shared" si="679"/>
        <v>400</v>
      </c>
      <c r="BN349" s="376">
        <f t="shared" si="679"/>
        <v>400</v>
      </c>
      <c r="BO349" s="376">
        <f t="shared" si="679"/>
        <v>400</v>
      </c>
      <c r="BP349" s="376">
        <f t="shared" si="679"/>
        <v>400</v>
      </c>
      <c r="BQ349" s="376">
        <f t="shared" si="679"/>
        <v>400</v>
      </c>
      <c r="BR349" s="376">
        <f t="shared" si="679"/>
        <v>400</v>
      </c>
      <c r="BS349" s="376">
        <f t="shared" si="679"/>
        <v>400</v>
      </c>
      <c r="BT349" s="376">
        <f t="shared" si="679"/>
        <v>400</v>
      </c>
      <c r="BU349" s="376">
        <f t="shared" si="679"/>
        <v>400</v>
      </c>
      <c r="BV349" s="377">
        <f t="shared" si="679"/>
        <v>400</v>
      </c>
    </row>
    <row r="350" spans="1:74" ht="20.149999999999999" customHeight="1" outlineLevel="2" x14ac:dyDescent="0.25">
      <c r="A350" s="46" t="str">
        <f>'Custos Diversos'!A150</f>
        <v>man estrutura</v>
      </c>
      <c r="B350" s="37" t="str">
        <f>'Custos Diversos'!B149</f>
        <v>vb/ha/ano</v>
      </c>
      <c r="C350" s="320">
        <f>'Custos Diversos'!D150</f>
        <v>42.634</v>
      </c>
      <c r="D350" s="284">
        <v>0.5</v>
      </c>
      <c r="E350" s="284">
        <v>1</v>
      </c>
      <c r="F350" s="284">
        <v>1.25</v>
      </c>
      <c r="G350" s="284">
        <v>1.25</v>
      </c>
      <c r="H350" s="284">
        <v>1.5</v>
      </c>
      <c r="I350" s="284">
        <v>1.5</v>
      </c>
      <c r="J350" s="284">
        <v>2</v>
      </c>
      <c r="K350" s="284">
        <v>2</v>
      </c>
      <c r="L350" s="358">
        <v>2</v>
      </c>
      <c r="M350" s="358">
        <v>2</v>
      </c>
      <c r="N350" s="358">
        <v>2</v>
      </c>
      <c r="O350" s="358">
        <v>2</v>
      </c>
      <c r="P350" s="358">
        <v>2</v>
      </c>
      <c r="Q350" s="358">
        <v>2</v>
      </c>
      <c r="R350" s="358">
        <v>2</v>
      </c>
      <c r="S350" s="358">
        <v>2</v>
      </c>
      <c r="T350" s="358">
        <v>2</v>
      </c>
      <c r="U350" s="358">
        <v>2</v>
      </c>
      <c r="V350" s="358">
        <f t="shared" si="659"/>
        <v>0.5</v>
      </c>
      <c r="W350" s="358">
        <f t="shared" si="660"/>
        <v>1</v>
      </c>
      <c r="X350" s="358">
        <f t="shared" si="661"/>
        <v>1.25</v>
      </c>
      <c r="Y350" s="358">
        <f t="shared" si="662"/>
        <v>1.25</v>
      </c>
      <c r="Z350" s="358">
        <f t="shared" si="663"/>
        <v>1.5</v>
      </c>
      <c r="AA350" s="358">
        <f t="shared" si="664"/>
        <v>1.5</v>
      </c>
      <c r="AB350" s="358">
        <f t="shared" si="665"/>
        <v>2</v>
      </c>
      <c r="AC350" s="358">
        <f t="shared" si="666"/>
        <v>2</v>
      </c>
      <c r="AD350" s="358">
        <f t="shared" si="667"/>
        <v>2</v>
      </c>
      <c r="AE350" s="358">
        <f t="shared" si="668"/>
        <v>2</v>
      </c>
      <c r="AF350" s="358">
        <f t="shared" si="669"/>
        <v>2</v>
      </c>
      <c r="AG350" s="358">
        <f t="shared" si="670"/>
        <v>2</v>
      </c>
      <c r="AH350" s="358">
        <f t="shared" si="671"/>
        <v>2</v>
      </c>
      <c r="AI350" s="358">
        <f t="shared" si="672"/>
        <v>2</v>
      </c>
      <c r="AJ350" s="358">
        <f t="shared" si="673"/>
        <v>2</v>
      </c>
      <c r="AK350" s="358">
        <f t="shared" si="674"/>
        <v>2</v>
      </c>
      <c r="AL350" s="359">
        <f t="shared" si="675"/>
        <v>2</v>
      </c>
      <c r="AM350" s="636"/>
      <c r="AN350" s="303">
        <f t="shared" ref="AN350:BV350" si="680">$C$350*D350</f>
        <v>21.317</v>
      </c>
      <c r="AO350" s="304">
        <f t="shared" si="680"/>
        <v>42.634</v>
      </c>
      <c r="AP350" s="304">
        <f t="shared" si="680"/>
        <v>53.292500000000004</v>
      </c>
      <c r="AQ350" s="304">
        <f t="shared" si="680"/>
        <v>53.292500000000004</v>
      </c>
      <c r="AR350" s="304">
        <f t="shared" si="680"/>
        <v>63.951000000000001</v>
      </c>
      <c r="AS350" s="304">
        <f t="shared" si="680"/>
        <v>63.951000000000001</v>
      </c>
      <c r="AT350" s="304">
        <f t="shared" si="680"/>
        <v>85.268000000000001</v>
      </c>
      <c r="AU350" s="304">
        <f t="shared" si="680"/>
        <v>85.268000000000001</v>
      </c>
      <c r="AV350" s="388">
        <f t="shared" si="680"/>
        <v>85.268000000000001</v>
      </c>
      <c r="AW350" s="376">
        <f t="shared" si="680"/>
        <v>85.268000000000001</v>
      </c>
      <c r="AX350" s="376">
        <f t="shared" si="680"/>
        <v>85.268000000000001</v>
      </c>
      <c r="AY350" s="376">
        <f t="shared" si="680"/>
        <v>85.268000000000001</v>
      </c>
      <c r="AZ350" s="376">
        <f t="shared" si="680"/>
        <v>85.268000000000001</v>
      </c>
      <c r="BA350" s="376">
        <f t="shared" si="680"/>
        <v>85.268000000000001</v>
      </c>
      <c r="BB350" s="376">
        <f t="shared" si="680"/>
        <v>85.268000000000001</v>
      </c>
      <c r="BC350" s="376">
        <f t="shared" si="680"/>
        <v>85.268000000000001</v>
      </c>
      <c r="BD350" s="376">
        <f t="shared" si="680"/>
        <v>85.268000000000001</v>
      </c>
      <c r="BE350" s="376">
        <f t="shared" si="680"/>
        <v>85.268000000000001</v>
      </c>
      <c r="BF350" s="376">
        <f t="shared" si="680"/>
        <v>21.317</v>
      </c>
      <c r="BG350" s="376">
        <f t="shared" si="680"/>
        <v>42.634</v>
      </c>
      <c r="BH350" s="376">
        <f t="shared" si="680"/>
        <v>53.292500000000004</v>
      </c>
      <c r="BI350" s="376">
        <f t="shared" si="680"/>
        <v>53.292500000000004</v>
      </c>
      <c r="BJ350" s="376">
        <f t="shared" si="680"/>
        <v>63.951000000000001</v>
      </c>
      <c r="BK350" s="376">
        <f t="shared" si="680"/>
        <v>63.951000000000001</v>
      </c>
      <c r="BL350" s="376">
        <f t="shared" si="680"/>
        <v>85.268000000000001</v>
      </c>
      <c r="BM350" s="376">
        <f t="shared" si="680"/>
        <v>85.268000000000001</v>
      </c>
      <c r="BN350" s="376">
        <f t="shared" si="680"/>
        <v>85.268000000000001</v>
      </c>
      <c r="BO350" s="376">
        <f t="shared" si="680"/>
        <v>85.268000000000001</v>
      </c>
      <c r="BP350" s="376">
        <f t="shared" si="680"/>
        <v>85.268000000000001</v>
      </c>
      <c r="BQ350" s="376">
        <f t="shared" si="680"/>
        <v>85.268000000000001</v>
      </c>
      <c r="BR350" s="376">
        <f t="shared" si="680"/>
        <v>85.268000000000001</v>
      </c>
      <c r="BS350" s="376">
        <f t="shared" si="680"/>
        <v>85.268000000000001</v>
      </c>
      <c r="BT350" s="376">
        <f t="shared" si="680"/>
        <v>85.268000000000001</v>
      </c>
      <c r="BU350" s="376">
        <f t="shared" si="680"/>
        <v>85.268000000000001</v>
      </c>
      <c r="BV350" s="377">
        <f t="shared" si="680"/>
        <v>85.268000000000001</v>
      </c>
    </row>
    <row r="351" spans="1:74" ht="20.149999999999999" customHeight="1" outlineLevel="2" x14ac:dyDescent="0.25">
      <c r="A351" s="46" t="str">
        <f>'Custos Diversos'!A151</f>
        <v>Ferramentas diversas</v>
      </c>
      <c r="B351" s="37" t="str">
        <f>'Custos Diversos'!B150</f>
        <v>vb/ha/ano</v>
      </c>
      <c r="C351" s="320">
        <f>'Custos Diversos'!D151</f>
        <v>1100</v>
      </c>
      <c r="D351" s="284">
        <v>1</v>
      </c>
      <c r="E351" s="284">
        <v>1</v>
      </c>
      <c r="F351" s="284">
        <v>1</v>
      </c>
      <c r="G351" s="284">
        <v>1</v>
      </c>
      <c r="H351" s="284">
        <v>1</v>
      </c>
      <c r="I351" s="284">
        <v>1</v>
      </c>
      <c r="J351" s="284">
        <v>1</v>
      </c>
      <c r="K351" s="284">
        <v>1</v>
      </c>
      <c r="L351" s="358">
        <v>1</v>
      </c>
      <c r="M351" s="358">
        <v>1</v>
      </c>
      <c r="N351" s="358">
        <v>1</v>
      </c>
      <c r="O351" s="358">
        <v>1</v>
      </c>
      <c r="P351" s="358">
        <v>1</v>
      </c>
      <c r="Q351" s="358">
        <v>1</v>
      </c>
      <c r="R351" s="358">
        <v>1</v>
      </c>
      <c r="S351" s="358">
        <v>1</v>
      </c>
      <c r="T351" s="358">
        <v>1</v>
      </c>
      <c r="U351" s="358">
        <v>1</v>
      </c>
      <c r="V351" s="358">
        <f t="shared" si="659"/>
        <v>1</v>
      </c>
      <c r="W351" s="358">
        <f t="shared" si="660"/>
        <v>1</v>
      </c>
      <c r="X351" s="358">
        <f t="shared" si="661"/>
        <v>1</v>
      </c>
      <c r="Y351" s="358">
        <f t="shared" si="662"/>
        <v>1</v>
      </c>
      <c r="Z351" s="358">
        <f t="shared" si="663"/>
        <v>1</v>
      </c>
      <c r="AA351" s="358">
        <f t="shared" si="664"/>
        <v>1</v>
      </c>
      <c r="AB351" s="358">
        <f t="shared" si="665"/>
        <v>1</v>
      </c>
      <c r="AC351" s="358">
        <f t="shared" si="666"/>
        <v>1</v>
      </c>
      <c r="AD351" s="358">
        <f t="shared" si="667"/>
        <v>1</v>
      </c>
      <c r="AE351" s="358">
        <f t="shared" si="668"/>
        <v>1</v>
      </c>
      <c r="AF351" s="358">
        <f t="shared" si="669"/>
        <v>1</v>
      </c>
      <c r="AG351" s="358">
        <f t="shared" si="670"/>
        <v>1</v>
      </c>
      <c r="AH351" s="358">
        <f t="shared" si="671"/>
        <v>1</v>
      </c>
      <c r="AI351" s="358">
        <f t="shared" si="672"/>
        <v>1</v>
      </c>
      <c r="AJ351" s="358">
        <f t="shared" si="673"/>
        <v>1</v>
      </c>
      <c r="AK351" s="358">
        <f t="shared" si="674"/>
        <v>1</v>
      </c>
      <c r="AL351" s="359">
        <f t="shared" si="675"/>
        <v>1</v>
      </c>
      <c r="AM351" s="636"/>
      <c r="AN351" s="303">
        <f t="shared" ref="AN351:BV351" si="681">$C$351*D351</f>
        <v>1100</v>
      </c>
      <c r="AO351" s="304">
        <f t="shared" si="681"/>
        <v>1100</v>
      </c>
      <c r="AP351" s="304">
        <f t="shared" si="681"/>
        <v>1100</v>
      </c>
      <c r="AQ351" s="304">
        <f t="shared" si="681"/>
        <v>1100</v>
      </c>
      <c r="AR351" s="304">
        <f t="shared" si="681"/>
        <v>1100</v>
      </c>
      <c r="AS351" s="304">
        <f t="shared" si="681"/>
        <v>1100</v>
      </c>
      <c r="AT351" s="304">
        <f t="shared" si="681"/>
        <v>1100</v>
      </c>
      <c r="AU351" s="304">
        <f t="shared" si="681"/>
        <v>1100</v>
      </c>
      <c r="AV351" s="388">
        <f t="shared" si="681"/>
        <v>1100</v>
      </c>
      <c r="AW351" s="376">
        <f t="shared" si="681"/>
        <v>1100</v>
      </c>
      <c r="AX351" s="376">
        <f t="shared" si="681"/>
        <v>1100</v>
      </c>
      <c r="AY351" s="376">
        <f t="shared" si="681"/>
        <v>1100</v>
      </c>
      <c r="AZ351" s="376">
        <f t="shared" si="681"/>
        <v>1100</v>
      </c>
      <c r="BA351" s="376">
        <f t="shared" si="681"/>
        <v>1100</v>
      </c>
      <c r="BB351" s="376">
        <f t="shared" si="681"/>
        <v>1100</v>
      </c>
      <c r="BC351" s="376">
        <f t="shared" si="681"/>
        <v>1100</v>
      </c>
      <c r="BD351" s="376">
        <f t="shared" si="681"/>
        <v>1100</v>
      </c>
      <c r="BE351" s="376">
        <f t="shared" si="681"/>
        <v>1100</v>
      </c>
      <c r="BF351" s="376">
        <f t="shared" si="681"/>
        <v>1100</v>
      </c>
      <c r="BG351" s="376">
        <f t="shared" si="681"/>
        <v>1100</v>
      </c>
      <c r="BH351" s="376">
        <f t="shared" si="681"/>
        <v>1100</v>
      </c>
      <c r="BI351" s="376">
        <f t="shared" si="681"/>
        <v>1100</v>
      </c>
      <c r="BJ351" s="376">
        <f t="shared" si="681"/>
        <v>1100</v>
      </c>
      <c r="BK351" s="376">
        <f t="shared" si="681"/>
        <v>1100</v>
      </c>
      <c r="BL351" s="376">
        <f t="shared" si="681"/>
        <v>1100</v>
      </c>
      <c r="BM351" s="376">
        <f t="shared" si="681"/>
        <v>1100</v>
      </c>
      <c r="BN351" s="376">
        <f t="shared" si="681"/>
        <v>1100</v>
      </c>
      <c r="BO351" s="376">
        <f t="shared" si="681"/>
        <v>1100</v>
      </c>
      <c r="BP351" s="376">
        <f t="shared" si="681"/>
        <v>1100</v>
      </c>
      <c r="BQ351" s="376">
        <f t="shared" si="681"/>
        <v>1100</v>
      </c>
      <c r="BR351" s="376">
        <f t="shared" si="681"/>
        <v>1100</v>
      </c>
      <c r="BS351" s="376">
        <f t="shared" si="681"/>
        <v>1100</v>
      </c>
      <c r="BT351" s="376">
        <f t="shared" si="681"/>
        <v>1100</v>
      </c>
      <c r="BU351" s="376">
        <f t="shared" si="681"/>
        <v>1100</v>
      </c>
      <c r="BV351" s="377">
        <f t="shared" si="681"/>
        <v>1100</v>
      </c>
    </row>
    <row r="352" spans="1:74" ht="20.149999999999999" customHeight="1" outlineLevel="2" x14ac:dyDescent="0.25">
      <c r="A352" s="46" t="str">
        <f>'Custos Diversos'!A152</f>
        <v>Transporte funcionários</v>
      </c>
      <c r="B352" s="37" t="str">
        <f>'Custos Diversos'!B151</f>
        <v>vb/ha/ano</v>
      </c>
      <c r="C352" s="320">
        <f>'Custos Diversos'!D152</f>
        <v>580</v>
      </c>
      <c r="D352" s="284">
        <v>1</v>
      </c>
      <c r="E352" s="284">
        <v>1</v>
      </c>
      <c r="F352" s="284">
        <v>1</v>
      </c>
      <c r="G352" s="284">
        <v>1</v>
      </c>
      <c r="H352" s="284">
        <v>1</v>
      </c>
      <c r="I352" s="284">
        <v>1</v>
      </c>
      <c r="J352" s="284">
        <v>1</v>
      </c>
      <c r="K352" s="284">
        <v>1</v>
      </c>
      <c r="L352" s="358">
        <v>1</v>
      </c>
      <c r="M352" s="358">
        <v>1</v>
      </c>
      <c r="N352" s="358">
        <v>1</v>
      </c>
      <c r="O352" s="358">
        <v>1</v>
      </c>
      <c r="P352" s="358">
        <v>1</v>
      </c>
      <c r="Q352" s="358">
        <v>1</v>
      </c>
      <c r="R352" s="358">
        <v>1</v>
      </c>
      <c r="S352" s="358">
        <v>1</v>
      </c>
      <c r="T352" s="358">
        <v>1</v>
      </c>
      <c r="U352" s="358">
        <v>1</v>
      </c>
      <c r="V352" s="358">
        <f t="shared" si="659"/>
        <v>1</v>
      </c>
      <c r="W352" s="358">
        <f t="shared" si="660"/>
        <v>1</v>
      </c>
      <c r="X352" s="358">
        <f t="shared" si="661"/>
        <v>1</v>
      </c>
      <c r="Y352" s="358">
        <f t="shared" si="662"/>
        <v>1</v>
      </c>
      <c r="Z352" s="358">
        <f t="shared" si="663"/>
        <v>1</v>
      </c>
      <c r="AA352" s="358">
        <f t="shared" si="664"/>
        <v>1</v>
      </c>
      <c r="AB352" s="358">
        <f t="shared" si="665"/>
        <v>1</v>
      </c>
      <c r="AC352" s="358">
        <f t="shared" si="666"/>
        <v>1</v>
      </c>
      <c r="AD352" s="358">
        <f t="shared" si="667"/>
        <v>1</v>
      </c>
      <c r="AE352" s="358">
        <f t="shared" si="668"/>
        <v>1</v>
      </c>
      <c r="AF352" s="358">
        <f t="shared" si="669"/>
        <v>1</v>
      </c>
      <c r="AG352" s="358">
        <f t="shared" si="670"/>
        <v>1</v>
      </c>
      <c r="AH352" s="358">
        <f t="shared" si="671"/>
        <v>1</v>
      </c>
      <c r="AI352" s="358">
        <f t="shared" si="672"/>
        <v>1</v>
      </c>
      <c r="AJ352" s="358">
        <f t="shared" si="673"/>
        <v>1</v>
      </c>
      <c r="AK352" s="358">
        <f t="shared" si="674"/>
        <v>1</v>
      </c>
      <c r="AL352" s="359">
        <f t="shared" si="675"/>
        <v>1</v>
      </c>
      <c r="AM352" s="636"/>
      <c r="AN352" s="303">
        <f t="shared" ref="AN352:BV352" si="682">$C$352*D352</f>
        <v>580</v>
      </c>
      <c r="AO352" s="304">
        <f t="shared" si="682"/>
        <v>580</v>
      </c>
      <c r="AP352" s="304">
        <f t="shared" si="682"/>
        <v>580</v>
      </c>
      <c r="AQ352" s="304">
        <f t="shared" si="682"/>
        <v>580</v>
      </c>
      <c r="AR352" s="304">
        <f t="shared" si="682"/>
        <v>580</v>
      </c>
      <c r="AS352" s="304">
        <f t="shared" si="682"/>
        <v>580</v>
      </c>
      <c r="AT352" s="304">
        <f t="shared" si="682"/>
        <v>580</v>
      </c>
      <c r="AU352" s="304">
        <f t="shared" si="682"/>
        <v>580</v>
      </c>
      <c r="AV352" s="388">
        <f t="shared" si="682"/>
        <v>580</v>
      </c>
      <c r="AW352" s="376">
        <f t="shared" si="682"/>
        <v>580</v>
      </c>
      <c r="AX352" s="376">
        <f t="shared" si="682"/>
        <v>580</v>
      </c>
      <c r="AY352" s="376">
        <f t="shared" si="682"/>
        <v>580</v>
      </c>
      <c r="AZ352" s="376">
        <f t="shared" si="682"/>
        <v>580</v>
      </c>
      <c r="BA352" s="376">
        <f t="shared" si="682"/>
        <v>580</v>
      </c>
      <c r="BB352" s="376">
        <f t="shared" si="682"/>
        <v>580</v>
      </c>
      <c r="BC352" s="376">
        <f t="shared" si="682"/>
        <v>580</v>
      </c>
      <c r="BD352" s="376">
        <f t="shared" si="682"/>
        <v>580</v>
      </c>
      <c r="BE352" s="376">
        <f t="shared" si="682"/>
        <v>580</v>
      </c>
      <c r="BF352" s="376">
        <f t="shared" si="682"/>
        <v>580</v>
      </c>
      <c r="BG352" s="376">
        <f t="shared" si="682"/>
        <v>580</v>
      </c>
      <c r="BH352" s="376">
        <f t="shared" si="682"/>
        <v>580</v>
      </c>
      <c r="BI352" s="376">
        <f t="shared" si="682"/>
        <v>580</v>
      </c>
      <c r="BJ352" s="376">
        <f t="shared" si="682"/>
        <v>580</v>
      </c>
      <c r="BK352" s="376">
        <f t="shared" si="682"/>
        <v>580</v>
      </c>
      <c r="BL352" s="376">
        <f t="shared" si="682"/>
        <v>580</v>
      </c>
      <c r="BM352" s="376">
        <f t="shared" si="682"/>
        <v>580</v>
      </c>
      <c r="BN352" s="376">
        <f t="shared" si="682"/>
        <v>580</v>
      </c>
      <c r="BO352" s="376">
        <f t="shared" si="682"/>
        <v>580</v>
      </c>
      <c r="BP352" s="376">
        <f t="shared" si="682"/>
        <v>580</v>
      </c>
      <c r="BQ352" s="376">
        <f t="shared" si="682"/>
        <v>580</v>
      </c>
      <c r="BR352" s="376">
        <f t="shared" si="682"/>
        <v>580</v>
      </c>
      <c r="BS352" s="376">
        <f t="shared" si="682"/>
        <v>580</v>
      </c>
      <c r="BT352" s="376">
        <f t="shared" si="682"/>
        <v>580</v>
      </c>
      <c r="BU352" s="376">
        <f t="shared" si="682"/>
        <v>580</v>
      </c>
      <c r="BV352" s="377">
        <f t="shared" si="682"/>
        <v>580</v>
      </c>
    </row>
    <row r="353" spans="1:74" ht="19.5" customHeight="1" outlineLevel="2" x14ac:dyDescent="0.25">
      <c r="A353" s="46" t="str">
        <f>'Custos Diversos'!A153</f>
        <v>Assistência Técnica - consultoria/</v>
      </c>
      <c r="B353" s="37" t="str">
        <f>'Custos Diversos'!B152</f>
        <v>vb/ha/ano</v>
      </c>
      <c r="C353" s="320">
        <f>'Custos Diversos'!D153</f>
        <v>300</v>
      </c>
      <c r="D353" s="284">
        <v>1</v>
      </c>
      <c r="E353" s="284">
        <v>1</v>
      </c>
      <c r="F353" s="284">
        <v>1</v>
      </c>
      <c r="G353" s="284">
        <v>1</v>
      </c>
      <c r="H353" s="284">
        <v>1</v>
      </c>
      <c r="I353" s="284">
        <v>1</v>
      </c>
      <c r="J353" s="284">
        <v>1</v>
      </c>
      <c r="K353" s="284">
        <v>1</v>
      </c>
      <c r="L353" s="358">
        <v>1</v>
      </c>
      <c r="M353" s="358">
        <v>1</v>
      </c>
      <c r="N353" s="358">
        <v>1</v>
      </c>
      <c r="O353" s="358">
        <v>1</v>
      </c>
      <c r="P353" s="358">
        <v>1</v>
      </c>
      <c r="Q353" s="358">
        <v>1</v>
      </c>
      <c r="R353" s="358">
        <v>1</v>
      </c>
      <c r="S353" s="358">
        <v>1</v>
      </c>
      <c r="T353" s="358">
        <v>1</v>
      </c>
      <c r="U353" s="358">
        <v>1</v>
      </c>
      <c r="V353" s="358">
        <f t="shared" si="659"/>
        <v>1</v>
      </c>
      <c r="W353" s="358">
        <f t="shared" si="660"/>
        <v>1</v>
      </c>
      <c r="X353" s="358">
        <f t="shared" si="661"/>
        <v>1</v>
      </c>
      <c r="Y353" s="358">
        <f t="shared" si="662"/>
        <v>1</v>
      </c>
      <c r="Z353" s="358">
        <f t="shared" si="663"/>
        <v>1</v>
      </c>
      <c r="AA353" s="358">
        <f t="shared" si="664"/>
        <v>1</v>
      </c>
      <c r="AB353" s="358">
        <f t="shared" si="665"/>
        <v>1</v>
      </c>
      <c r="AC353" s="358">
        <f t="shared" si="666"/>
        <v>1</v>
      </c>
      <c r="AD353" s="358">
        <f t="shared" si="667"/>
        <v>1</v>
      </c>
      <c r="AE353" s="358">
        <f t="shared" si="668"/>
        <v>1</v>
      </c>
      <c r="AF353" s="358">
        <f t="shared" si="669"/>
        <v>1</v>
      </c>
      <c r="AG353" s="358">
        <f t="shared" si="670"/>
        <v>1</v>
      </c>
      <c r="AH353" s="358">
        <f t="shared" si="671"/>
        <v>1</v>
      </c>
      <c r="AI353" s="358">
        <f t="shared" si="672"/>
        <v>1</v>
      </c>
      <c r="AJ353" s="358">
        <f t="shared" si="673"/>
        <v>1</v>
      </c>
      <c r="AK353" s="358">
        <f t="shared" si="674"/>
        <v>1</v>
      </c>
      <c r="AL353" s="359">
        <f t="shared" si="675"/>
        <v>1</v>
      </c>
      <c r="AM353" s="636"/>
      <c r="AN353" s="303">
        <f t="shared" ref="AN353:BV353" si="683">$C$353*D353</f>
        <v>300</v>
      </c>
      <c r="AO353" s="304">
        <f t="shared" si="683"/>
        <v>300</v>
      </c>
      <c r="AP353" s="304">
        <f t="shared" si="683"/>
        <v>300</v>
      </c>
      <c r="AQ353" s="304">
        <f t="shared" si="683"/>
        <v>300</v>
      </c>
      <c r="AR353" s="304">
        <f t="shared" si="683"/>
        <v>300</v>
      </c>
      <c r="AS353" s="304">
        <f t="shared" si="683"/>
        <v>300</v>
      </c>
      <c r="AT353" s="304">
        <f t="shared" si="683"/>
        <v>300</v>
      </c>
      <c r="AU353" s="304">
        <f t="shared" si="683"/>
        <v>300</v>
      </c>
      <c r="AV353" s="388">
        <f t="shared" si="683"/>
        <v>300</v>
      </c>
      <c r="AW353" s="376">
        <f t="shared" si="683"/>
        <v>300</v>
      </c>
      <c r="AX353" s="376">
        <f t="shared" si="683"/>
        <v>300</v>
      </c>
      <c r="AY353" s="376">
        <f t="shared" si="683"/>
        <v>300</v>
      </c>
      <c r="AZ353" s="376">
        <f t="shared" si="683"/>
        <v>300</v>
      </c>
      <c r="BA353" s="376">
        <f t="shared" si="683"/>
        <v>300</v>
      </c>
      <c r="BB353" s="376">
        <f t="shared" si="683"/>
        <v>300</v>
      </c>
      <c r="BC353" s="376">
        <f t="shared" si="683"/>
        <v>300</v>
      </c>
      <c r="BD353" s="376">
        <f t="shared" si="683"/>
        <v>300</v>
      </c>
      <c r="BE353" s="376">
        <f t="shared" si="683"/>
        <v>300</v>
      </c>
      <c r="BF353" s="376">
        <f t="shared" si="683"/>
        <v>300</v>
      </c>
      <c r="BG353" s="376">
        <f t="shared" si="683"/>
        <v>300</v>
      </c>
      <c r="BH353" s="376">
        <f t="shared" si="683"/>
        <v>300</v>
      </c>
      <c r="BI353" s="376">
        <f t="shared" si="683"/>
        <v>300</v>
      </c>
      <c r="BJ353" s="376">
        <f t="shared" si="683"/>
        <v>300</v>
      </c>
      <c r="BK353" s="376">
        <f t="shared" si="683"/>
        <v>300</v>
      </c>
      <c r="BL353" s="376">
        <f t="shared" si="683"/>
        <v>300</v>
      </c>
      <c r="BM353" s="376">
        <f t="shared" si="683"/>
        <v>300</v>
      </c>
      <c r="BN353" s="376">
        <f t="shared" si="683"/>
        <v>300</v>
      </c>
      <c r="BO353" s="376">
        <f t="shared" si="683"/>
        <v>300</v>
      </c>
      <c r="BP353" s="376">
        <f t="shared" si="683"/>
        <v>300</v>
      </c>
      <c r="BQ353" s="376">
        <f t="shared" si="683"/>
        <v>300</v>
      </c>
      <c r="BR353" s="376">
        <f t="shared" si="683"/>
        <v>300</v>
      </c>
      <c r="BS353" s="376">
        <f t="shared" si="683"/>
        <v>300</v>
      </c>
      <c r="BT353" s="376">
        <f t="shared" si="683"/>
        <v>300</v>
      </c>
      <c r="BU353" s="376">
        <f t="shared" si="683"/>
        <v>300</v>
      </c>
      <c r="BV353" s="377">
        <f t="shared" si="683"/>
        <v>300</v>
      </c>
    </row>
    <row r="354" spans="1:74" ht="20.149999999999999" customHeight="1" outlineLevel="2" thickBot="1" x14ac:dyDescent="0.3">
      <c r="A354" s="333" t="str">
        <f>'Custos Diversos'!A155</f>
        <v>Administrativo</v>
      </c>
      <c r="B354" s="337" t="str">
        <f>'Custos Diversos'!B153</f>
        <v>vb/ha/ano</v>
      </c>
      <c r="C354" s="338">
        <f>'Custos Diversos'!D155</f>
        <v>1636.5088214399998</v>
      </c>
      <c r="D354" s="322">
        <v>1</v>
      </c>
      <c r="E354" s="322">
        <v>1</v>
      </c>
      <c r="F354" s="322">
        <v>1</v>
      </c>
      <c r="G354" s="322">
        <v>1</v>
      </c>
      <c r="H354" s="322">
        <v>1</v>
      </c>
      <c r="I354" s="322">
        <v>1</v>
      </c>
      <c r="J354" s="322">
        <v>1</v>
      </c>
      <c r="K354" s="322">
        <v>1</v>
      </c>
      <c r="L354" s="360">
        <v>1</v>
      </c>
      <c r="M354" s="360">
        <v>1</v>
      </c>
      <c r="N354" s="360">
        <v>1</v>
      </c>
      <c r="O354" s="360">
        <v>1</v>
      </c>
      <c r="P354" s="360">
        <v>1</v>
      </c>
      <c r="Q354" s="360">
        <v>1</v>
      </c>
      <c r="R354" s="360">
        <v>1</v>
      </c>
      <c r="S354" s="360">
        <v>1</v>
      </c>
      <c r="T354" s="360">
        <v>1</v>
      </c>
      <c r="U354" s="360">
        <v>1</v>
      </c>
      <c r="V354" s="360">
        <f t="shared" si="659"/>
        <v>1</v>
      </c>
      <c r="W354" s="360">
        <f t="shared" si="660"/>
        <v>1</v>
      </c>
      <c r="X354" s="360">
        <f t="shared" si="661"/>
        <v>1</v>
      </c>
      <c r="Y354" s="360">
        <f t="shared" si="662"/>
        <v>1</v>
      </c>
      <c r="Z354" s="360">
        <f t="shared" si="663"/>
        <v>1</v>
      </c>
      <c r="AA354" s="360">
        <f t="shared" si="664"/>
        <v>1</v>
      </c>
      <c r="AB354" s="360">
        <f t="shared" si="665"/>
        <v>1</v>
      </c>
      <c r="AC354" s="360">
        <f t="shared" si="666"/>
        <v>1</v>
      </c>
      <c r="AD354" s="360">
        <f t="shared" si="667"/>
        <v>1</v>
      </c>
      <c r="AE354" s="360">
        <f t="shared" si="668"/>
        <v>1</v>
      </c>
      <c r="AF354" s="360">
        <f t="shared" si="669"/>
        <v>1</v>
      </c>
      <c r="AG354" s="360">
        <f t="shared" si="670"/>
        <v>1</v>
      </c>
      <c r="AH354" s="360">
        <f t="shared" si="671"/>
        <v>1</v>
      </c>
      <c r="AI354" s="360">
        <f t="shared" si="672"/>
        <v>1</v>
      </c>
      <c r="AJ354" s="360">
        <f t="shared" si="673"/>
        <v>1</v>
      </c>
      <c r="AK354" s="360">
        <f t="shared" si="674"/>
        <v>1</v>
      </c>
      <c r="AL354" s="361">
        <f t="shared" si="675"/>
        <v>1</v>
      </c>
      <c r="AM354" s="636"/>
      <c r="AN354" s="305">
        <f t="shared" ref="AN354:BV354" si="684">$C$354*D354</f>
        <v>1636.5088214399998</v>
      </c>
      <c r="AO354" s="306">
        <f t="shared" si="684"/>
        <v>1636.5088214399998</v>
      </c>
      <c r="AP354" s="306">
        <f t="shared" si="684"/>
        <v>1636.5088214399998</v>
      </c>
      <c r="AQ354" s="306">
        <f t="shared" si="684"/>
        <v>1636.5088214399998</v>
      </c>
      <c r="AR354" s="306">
        <f t="shared" si="684"/>
        <v>1636.5088214399998</v>
      </c>
      <c r="AS354" s="306">
        <f t="shared" si="684"/>
        <v>1636.5088214399998</v>
      </c>
      <c r="AT354" s="306">
        <f t="shared" si="684"/>
        <v>1636.5088214399998</v>
      </c>
      <c r="AU354" s="306">
        <f t="shared" si="684"/>
        <v>1636.5088214399998</v>
      </c>
      <c r="AV354" s="399">
        <f t="shared" si="684"/>
        <v>1636.5088214399998</v>
      </c>
      <c r="AW354" s="400">
        <f t="shared" si="684"/>
        <v>1636.5088214399998</v>
      </c>
      <c r="AX354" s="400">
        <f t="shared" si="684"/>
        <v>1636.5088214399998</v>
      </c>
      <c r="AY354" s="400">
        <f t="shared" si="684"/>
        <v>1636.5088214399998</v>
      </c>
      <c r="AZ354" s="400">
        <f t="shared" si="684"/>
        <v>1636.5088214399998</v>
      </c>
      <c r="BA354" s="400">
        <f t="shared" si="684"/>
        <v>1636.5088214399998</v>
      </c>
      <c r="BB354" s="400">
        <f t="shared" si="684"/>
        <v>1636.5088214399998</v>
      </c>
      <c r="BC354" s="400">
        <f t="shared" si="684"/>
        <v>1636.5088214399998</v>
      </c>
      <c r="BD354" s="400">
        <f t="shared" si="684"/>
        <v>1636.5088214399998</v>
      </c>
      <c r="BE354" s="400">
        <f t="shared" si="684"/>
        <v>1636.5088214399998</v>
      </c>
      <c r="BF354" s="400">
        <f t="shared" si="684"/>
        <v>1636.5088214399998</v>
      </c>
      <c r="BG354" s="400">
        <f t="shared" si="684"/>
        <v>1636.5088214399998</v>
      </c>
      <c r="BH354" s="400">
        <f t="shared" si="684"/>
        <v>1636.5088214399998</v>
      </c>
      <c r="BI354" s="400">
        <f t="shared" si="684"/>
        <v>1636.5088214399998</v>
      </c>
      <c r="BJ354" s="400">
        <f t="shared" si="684"/>
        <v>1636.5088214399998</v>
      </c>
      <c r="BK354" s="400">
        <f t="shared" si="684"/>
        <v>1636.5088214399998</v>
      </c>
      <c r="BL354" s="400">
        <f t="shared" si="684"/>
        <v>1636.5088214399998</v>
      </c>
      <c r="BM354" s="400">
        <f t="shared" si="684"/>
        <v>1636.5088214399998</v>
      </c>
      <c r="BN354" s="400">
        <f t="shared" si="684"/>
        <v>1636.5088214399998</v>
      </c>
      <c r="BO354" s="400">
        <f t="shared" si="684"/>
        <v>1636.5088214399998</v>
      </c>
      <c r="BP354" s="400">
        <f t="shared" si="684"/>
        <v>1636.5088214399998</v>
      </c>
      <c r="BQ354" s="400">
        <f t="shared" si="684"/>
        <v>1636.5088214399998</v>
      </c>
      <c r="BR354" s="400">
        <f t="shared" si="684"/>
        <v>1636.5088214399998</v>
      </c>
      <c r="BS354" s="400">
        <f t="shared" si="684"/>
        <v>1636.5088214399998</v>
      </c>
      <c r="BT354" s="400">
        <f t="shared" si="684"/>
        <v>1636.5088214399998</v>
      </c>
      <c r="BU354" s="400">
        <f t="shared" si="684"/>
        <v>1636.5088214399998</v>
      </c>
      <c r="BV354" s="401">
        <f t="shared" si="684"/>
        <v>1636.5088214399998</v>
      </c>
    </row>
    <row r="355" spans="1:74" s="409" customFormat="1" ht="20.149999999999999" customHeight="1" outlineLevel="2" thickBot="1" x14ac:dyDescent="0.3">
      <c r="A355" s="1114" t="s">
        <v>105</v>
      </c>
      <c r="B355" s="1115"/>
      <c r="C355" s="1115"/>
      <c r="D355" s="1115"/>
      <c r="E355" s="1115"/>
      <c r="F355" s="1115"/>
      <c r="G355" s="1115"/>
      <c r="H355" s="1115"/>
      <c r="I355" s="1115"/>
      <c r="J355" s="1115"/>
      <c r="K355" s="1115"/>
      <c r="L355" s="1115"/>
      <c r="M355" s="1115"/>
      <c r="N355" s="1115"/>
      <c r="O355" s="1115"/>
      <c r="P355" s="1115"/>
      <c r="Q355" s="1115"/>
      <c r="R355" s="1115"/>
      <c r="S355" s="1115"/>
      <c r="T355" s="1115"/>
      <c r="U355" s="1115"/>
      <c r="V355" s="1115"/>
      <c r="W355" s="1115"/>
      <c r="X355" s="1115"/>
      <c r="Y355" s="1115"/>
      <c r="Z355" s="1115"/>
      <c r="AA355" s="1115"/>
      <c r="AB355" s="1115"/>
      <c r="AC355" s="1115"/>
      <c r="AD355" s="1115"/>
      <c r="AE355" s="1115"/>
      <c r="AF355" s="1115"/>
      <c r="AG355" s="1115"/>
      <c r="AH355" s="1115"/>
      <c r="AI355" s="1115"/>
      <c r="AJ355" s="1115"/>
      <c r="AK355" s="1115"/>
      <c r="AL355" s="1115"/>
      <c r="AM355" s="1116"/>
      <c r="AN355" s="406">
        <f t="shared" ref="AN355:BV355" si="685">SUM(AN347:AN354)</f>
        <v>4410.8258214399993</v>
      </c>
      <c r="AO355" s="406">
        <f t="shared" si="685"/>
        <v>4532.1428214400003</v>
      </c>
      <c r="AP355" s="406">
        <f t="shared" si="685"/>
        <v>4592.8013214399998</v>
      </c>
      <c r="AQ355" s="406">
        <f t="shared" si="685"/>
        <v>4592.8013214399998</v>
      </c>
      <c r="AR355" s="406">
        <f t="shared" si="685"/>
        <v>4653.4598214399994</v>
      </c>
      <c r="AS355" s="406">
        <f t="shared" si="685"/>
        <v>4653.4598214399994</v>
      </c>
      <c r="AT355" s="406">
        <f t="shared" si="685"/>
        <v>4774.7768214400003</v>
      </c>
      <c r="AU355" s="406">
        <f t="shared" si="685"/>
        <v>4774.7768214400003</v>
      </c>
      <c r="AV355" s="406">
        <f t="shared" si="685"/>
        <v>4774.7768214400003</v>
      </c>
      <c r="AW355" s="406">
        <f t="shared" si="685"/>
        <v>4774.7768214400003</v>
      </c>
      <c r="AX355" s="406">
        <f t="shared" si="685"/>
        <v>4774.7768214400003</v>
      </c>
      <c r="AY355" s="406">
        <f t="shared" si="685"/>
        <v>4774.7768214400003</v>
      </c>
      <c r="AZ355" s="406">
        <f t="shared" si="685"/>
        <v>4774.7768214400003</v>
      </c>
      <c r="BA355" s="406">
        <f t="shared" si="685"/>
        <v>4774.7768214400003</v>
      </c>
      <c r="BB355" s="406">
        <f t="shared" si="685"/>
        <v>4774.7768214400003</v>
      </c>
      <c r="BC355" s="406">
        <f t="shared" si="685"/>
        <v>4774.7768214400003</v>
      </c>
      <c r="BD355" s="406">
        <f t="shared" si="685"/>
        <v>4774.7768214400003</v>
      </c>
      <c r="BE355" s="406">
        <f t="shared" si="685"/>
        <v>4774.7768214400003</v>
      </c>
      <c r="BF355" s="406">
        <f t="shared" si="685"/>
        <v>4410.8258214399993</v>
      </c>
      <c r="BG355" s="406">
        <f t="shared" si="685"/>
        <v>4532.1428214400003</v>
      </c>
      <c r="BH355" s="406">
        <f t="shared" si="685"/>
        <v>4592.8013214399998</v>
      </c>
      <c r="BI355" s="406">
        <f t="shared" si="685"/>
        <v>4592.8013214399998</v>
      </c>
      <c r="BJ355" s="406">
        <f t="shared" si="685"/>
        <v>4653.4598214399994</v>
      </c>
      <c r="BK355" s="406">
        <f t="shared" si="685"/>
        <v>4653.4598214399994</v>
      </c>
      <c r="BL355" s="406">
        <f t="shared" si="685"/>
        <v>4774.7768214400003</v>
      </c>
      <c r="BM355" s="406">
        <f t="shared" si="685"/>
        <v>4774.7768214400003</v>
      </c>
      <c r="BN355" s="406">
        <f t="shared" si="685"/>
        <v>4774.7768214400003</v>
      </c>
      <c r="BO355" s="406">
        <f t="shared" si="685"/>
        <v>4774.7768214400003</v>
      </c>
      <c r="BP355" s="406">
        <f t="shared" si="685"/>
        <v>4774.7768214400003</v>
      </c>
      <c r="BQ355" s="406">
        <f t="shared" si="685"/>
        <v>4774.7768214400003</v>
      </c>
      <c r="BR355" s="406">
        <f t="shared" si="685"/>
        <v>4774.7768214400003</v>
      </c>
      <c r="BS355" s="406">
        <f t="shared" si="685"/>
        <v>4774.7768214400003</v>
      </c>
      <c r="BT355" s="406">
        <f t="shared" si="685"/>
        <v>4774.7768214400003</v>
      </c>
      <c r="BU355" s="406">
        <f t="shared" si="685"/>
        <v>4774.7768214400003</v>
      </c>
      <c r="BV355" s="406">
        <f t="shared" si="685"/>
        <v>4774.7768214400003</v>
      </c>
    </row>
    <row r="356" spans="1:74" ht="20.149999999999999" customHeight="1" outlineLevel="2" collapsed="1" thickBot="1" x14ac:dyDescent="0.3">
      <c r="D356" s="344"/>
      <c r="E356" s="344"/>
      <c r="F356" s="344"/>
      <c r="G356" s="344"/>
      <c r="H356" s="344"/>
      <c r="I356" s="344"/>
      <c r="J356" s="344"/>
      <c r="K356" s="344"/>
      <c r="L356" s="344"/>
      <c r="M356" s="344"/>
      <c r="N356" s="344"/>
      <c r="O356" s="344"/>
      <c r="P356" s="344"/>
      <c r="Q356" s="344"/>
      <c r="R356" s="344"/>
      <c r="S356" s="344"/>
      <c r="T356" s="344"/>
      <c r="U356" s="344"/>
      <c r="V356" s="344"/>
      <c r="W356" s="344"/>
      <c r="X356" s="344"/>
      <c r="Y356" s="344"/>
      <c r="Z356" s="344"/>
      <c r="AA356" s="344"/>
      <c r="AB356" s="344"/>
      <c r="AC356" s="344"/>
      <c r="AD356" s="344"/>
      <c r="AE356" s="344"/>
      <c r="AF356" s="344"/>
      <c r="AG356" s="344"/>
      <c r="AH356" s="344"/>
      <c r="AI356" s="344"/>
      <c r="AJ356" s="344"/>
      <c r="AK356" s="344"/>
      <c r="AL356" s="344"/>
      <c r="AM356" s="6"/>
      <c r="AN356" s="6"/>
      <c r="AO356" s="6"/>
      <c r="AP356" s="6"/>
      <c r="AQ356" s="6"/>
      <c r="AR356" s="6"/>
      <c r="AS356" s="6"/>
      <c r="AT356" s="6"/>
      <c r="AU356" s="6"/>
    </row>
    <row r="357" spans="1:74" s="123" customFormat="1" ht="27" customHeight="1" outlineLevel="1" thickBot="1" x14ac:dyDescent="0.3">
      <c r="A357" s="1118" t="s">
        <v>506</v>
      </c>
      <c r="B357" s="1118"/>
      <c r="C357" s="1118"/>
      <c r="D357" s="1118"/>
      <c r="E357" s="1118"/>
      <c r="F357" s="1118"/>
      <c r="G357" s="1118"/>
      <c r="H357" s="1118"/>
      <c r="I357" s="1118"/>
      <c r="J357" s="1118"/>
      <c r="K357" s="1118"/>
      <c r="L357" s="1118"/>
      <c r="M357" s="1118"/>
      <c r="N357" s="1118"/>
      <c r="O357" s="1118"/>
      <c r="P357" s="1118"/>
      <c r="Q357" s="1118"/>
      <c r="R357" s="1118"/>
      <c r="S357" s="1118"/>
      <c r="T357" s="1118"/>
      <c r="U357" s="1118"/>
      <c r="V357" s="1118"/>
      <c r="W357" s="1118"/>
      <c r="X357" s="1118"/>
      <c r="Y357" s="1118"/>
      <c r="Z357" s="1118"/>
      <c r="AA357" s="1118"/>
      <c r="AB357" s="1118"/>
      <c r="AC357" s="1118"/>
      <c r="AD357" s="1118"/>
      <c r="AE357" s="1118"/>
      <c r="AF357" s="1118"/>
      <c r="AG357" s="1118"/>
      <c r="AH357" s="1118"/>
      <c r="AI357" s="1118"/>
      <c r="AJ357" s="1118"/>
      <c r="AK357" s="1118"/>
      <c r="AL357" s="1118"/>
      <c r="AM357" s="1118"/>
      <c r="AN357" s="1118"/>
      <c r="AO357" s="1118"/>
      <c r="AP357" s="1118"/>
      <c r="AQ357" s="1118"/>
      <c r="AR357" s="1118"/>
      <c r="AS357" s="1118"/>
      <c r="AT357" s="1118"/>
      <c r="AU357" s="1118"/>
      <c r="AV357" s="1118"/>
      <c r="AW357" s="1118"/>
      <c r="AX357" s="1118"/>
      <c r="AY357" s="1118"/>
      <c r="AZ357" s="1118"/>
      <c r="BA357" s="1118"/>
      <c r="BB357" s="1118"/>
      <c r="BC357" s="1118"/>
      <c r="BD357" s="1118"/>
      <c r="BE357" s="1118"/>
      <c r="BF357" s="1118"/>
      <c r="BG357" s="1118"/>
      <c r="BH357" s="1118"/>
      <c r="BI357" s="1118"/>
      <c r="BJ357" s="1118"/>
      <c r="BK357" s="1118"/>
      <c r="BL357" s="1118"/>
      <c r="BM357" s="1118"/>
      <c r="BN357" s="1118"/>
      <c r="BO357" s="1118"/>
      <c r="BP357" s="1118"/>
      <c r="BQ357" s="1118"/>
      <c r="BR357" s="1118"/>
      <c r="BS357" s="1118"/>
      <c r="BT357" s="1118"/>
      <c r="BU357" s="1118"/>
      <c r="BV357" s="1118"/>
    </row>
    <row r="358" spans="1:74" ht="18" customHeight="1" outlineLevel="2" thickBot="1" x14ac:dyDescent="0.3">
      <c r="A358" s="631"/>
      <c r="B358" s="631"/>
      <c r="C358" s="631"/>
      <c r="D358" s="631"/>
      <c r="E358" s="631"/>
      <c r="F358" s="631"/>
      <c r="G358" s="631"/>
      <c r="H358" s="631"/>
      <c r="I358" s="631"/>
      <c r="J358" s="631"/>
      <c r="K358" s="631"/>
      <c r="L358" s="631"/>
      <c r="M358" s="631"/>
      <c r="N358" s="631"/>
      <c r="O358" s="631"/>
      <c r="P358" s="631"/>
      <c r="Q358" s="631"/>
      <c r="R358" s="631"/>
      <c r="S358" s="631"/>
      <c r="T358" s="631"/>
      <c r="U358" s="631"/>
      <c r="V358" s="631"/>
      <c r="W358" s="631"/>
      <c r="X358" s="631"/>
      <c r="Y358" s="631"/>
      <c r="Z358" s="631"/>
      <c r="AA358" s="631"/>
      <c r="AB358" s="631"/>
      <c r="AC358" s="631"/>
      <c r="AD358" s="631"/>
      <c r="AE358" s="631"/>
      <c r="AF358" s="631"/>
      <c r="AG358" s="631"/>
      <c r="AH358" s="631"/>
      <c r="AI358" s="631"/>
      <c r="AJ358" s="631"/>
      <c r="AK358" s="631"/>
      <c r="AL358" s="631"/>
      <c r="AM358" s="633"/>
      <c r="AN358" s="491">
        <v>1</v>
      </c>
      <c r="AO358" s="504">
        <v>2</v>
      </c>
      <c r="AP358" s="504">
        <v>3</v>
      </c>
      <c r="AQ358" s="504">
        <v>4</v>
      </c>
      <c r="AR358" s="504">
        <v>5</v>
      </c>
      <c r="AS358" s="504">
        <v>6</v>
      </c>
      <c r="AT358" s="504">
        <v>7</v>
      </c>
      <c r="AU358" s="504">
        <v>8</v>
      </c>
      <c r="AV358" s="504">
        <v>9</v>
      </c>
      <c r="AW358" s="504">
        <v>10</v>
      </c>
      <c r="AX358" s="504">
        <v>11</v>
      </c>
      <c r="AY358" s="504">
        <v>12</v>
      </c>
      <c r="AZ358" s="504">
        <v>13</v>
      </c>
      <c r="BA358" s="504">
        <v>14</v>
      </c>
      <c r="BB358" s="504">
        <v>15</v>
      </c>
      <c r="BC358" s="504">
        <v>16</v>
      </c>
      <c r="BD358" s="504">
        <v>17</v>
      </c>
      <c r="BE358" s="504">
        <v>18</v>
      </c>
      <c r="BF358" s="504">
        <v>19</v>
      </c>
      <c r="BG358" s="504">
        <v>20</v>
      </c>
      <c r="BH358" s="504">
        <v>21</v>
      </c>
      <c r="BI358" s="504">
        <v>22</v>
      </c>
      <c r="BJ358" s="504">
        <v>23</v>
      </c>
      <c r="BK358" s="504">
        <v>24</v>
      </c>
      <c r="BL358" s="504">
        <v>25</v>
      </c>
      <c r="BM358" s="504">
        <v>26</v>
      </c>
      <c r="BN358" s="504">
        <v>27</v>
      </c>
      <c r="BO358" s="504">
        <v>28</v>
      </c>
      <c r="BP358" s="504">
        <v>29</v>
      </c>
      <c r="BQ358" s="504">
        <v>30</v>
      </c>
      <c r="BR358" s="504">
        <v>31</v>
      </c>
      <c r="BS358" s="504">
        <v>32</v>
      </c>
      <c r="BT358" s="504">
        <v>33</v>
      </c>
      <c r="BU358" s="504">
        <v>34</v>
      </c>
      <c r="BV358" s="494">
        <v>35</v>
      </c>
    </row>
    <row r="359" spans="1:74" ht="20.149999999999999" customHeight="1" outlineLevel="2" x14ac:dyDescent="0.25">
      <c r="A359" s="345"/>
      <c r="B359" s="346"/>
      <c r="C359" s="350" t="s">
        <v>106</v>
      </c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345"/>
      <c r="AK359" s="346"/>
      <c r="AL359" s="346"/>
      <c r="AM359" s="347" t="s">
        <v>106</v>
      </c>
      <c r="AN359" s="715">
        <v>0</v>
      </c>
      <c r="AO359" s="729">
        <v>2.8</v>
      </c>
      <c r="AP359" s="729">
        <v>14.1</v>
      </c>
      <c r="AQ359" s="729">
        <v>20.7</v>
      </c>
      <c r="AR359" s="729">
        <v>42.3</v>
      </c>
      <c r="AS359" s="729">
        <v>37.6</v>
      </c>
      <c r="AT359" s="729">
        <v>32.9</v>
      </c>
      <c r="AU359" s="729">
        <v>32.9</v>
      </c>
      <c r="AV359" s="729">
        <v>32.9</v>
      </c>
      <c r="AW359" s="729">
        <v>28.2</v>
      </c>
      <c r="AX359" s="729">
        <v>28.2</v>
      </c>
      <c r="AY359" s="729">
        <v>28.2</v>
      </c>
      <c r="AZ359" s="729">
        <v>26.3</v>
      </c>
      <c r="BA359" s="729">
        <v>26.3</v>
      </c>
      <c r="BB359" s="729">
        <v>26.3</v>
      </c>
      <c r="BC359" s="729">
        <v>23.5</v>
      </c>
      <c r="BD359" s="729">
        <v>23.5</v>
      </c>
      <c r="BE359" s="729">
        <v>18.8</v>
      </c>
      <c r="BF359" s="730">
        <v>0</v>
      </c>
      <c r="BG359" s="730">
        <v>2.8</v>
      </c>
      <c r="BH359" s="730">
        <v>14.1</v>
      </c>
      <c r="BI359" s="730">
        <v>20.7</v>
      </c>
      <c r="BJ359" s="730">
        <v>42.3</v>
      </c>
      <c r="BK359" s="730">
        <v>37.6</v>
      </c>
      <c r="BL359" s="730">
        <v>32.9</v>
      </c>
      <c r="BM359" s="730">
        <v>32.9</v>
      </c>
      <c r="BN359" s="730">
        <v>32.9</v>
      </c>
      <c r="BO359" s="730">
        <v>28.2</v>
      </c>
      <c r="BP359" s="730">
        <v>28.2</v>
      </c>
      <c r="BQ359" s="730">
        <v>28.2</v>
      </c>
      <c r="BR359" s="730">
        <v>26.3</v>
      </c>
      <c r="BS359" s="730">
        <v>26.3</v>
      </c>
      <c r="BT359" s="730">
        <v>26.3</v>
      </c>
      <c r="BU359" s="730">
        <v>23.5</v>
      </c>
      <c r="BV359" s="730">
        <v>23.5</v>
      </c>
    </row>
    <row r="360" spans="1:74" s="15" customFormat="1" ht="20.149999999999999" customHeight="1" outlineLevel="2" x14ac:dyDescent="0.25">
      <c r="A360" s="348"/>
      <c r="B360" s="349"/>
      <c r="C360" s="350" t="s">
        <v>107</v>
      </c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1"/>
      <c r="P360" s="631"/>
      <c r="Q360" s="631"/>
      <c r="R360" s="631"/>
      <c r="S360" s="631"/>
      <c r="T360" s="631"/>
      <c r="U360" s="631"/>
      <c r="V360" s="631"/>
      <c r="W360" s="631"/>
      <c r="X360" s="631"/>
      <c r="Y360" s="631"/>
      <c r="Z360" s="631"/>
      <c r="AA360" s="631"/>
      <c r="AB360" s="631"/>
      <c r="AC360" s="631"/>
      <c r="AD360" s="631"/>
      <c r="AE360" s="631"/>
      <c r="AF360" s="631"/>
      <c r="AG360" s="631"/>
      <c r="AH360" s="631"/>
      <c r="AI360" s="631"/>
      <c r="AJ360" s="348"/>
      <c r="AK360" s="349"/>
      <c r="AL360" s="349"/>
      <c r="AM360" s="347" t="s">
        <v>107</v>
      </c>
      <c r="AN360" s="343">
        <f t="shared" ref="AN360:BV360" si="686">AN301+AN318+AN334+AN342+AN355</f>
        <v>52760.450821439998</v>
      </c>
      <c r="AO360" s="343">
        <f t="shared" si="686"/>
        <v>19547.64282144</v>
      </c>
      <c r="AP360" s="343">
        <f t="shared" si="686"/>
        <v>26862.051321439998</v>
      </c>
      <c r="AQ360" s="343">
        <f t="shared" si="686"/>
        <v>30637.001321440002</v>
      </c>
      <c r="AR360" s="343">
        <f t="shared" si="686"/>
        <v>36881.234821439997</v>
      </c>
      <c r="AS360" s="343">
        <f t="shared" si="686"/>
        <v>37877.259821440006</v>
      </c>
      <c r="AT360" s="343">
        <f t="shared" si="686"/>
        <v>37544.601821439996</v>
      </c>
      <c r="AU360" s="343">
        <f t="shared" si="686"/>
        <v>37482.101821440003</v>
      </c>
      <c r="AV360" s="386">
        <f t="shared" si="686"/>
        <v>37544.601821439996</v>
      </c>
      <c r="AW360" s="731">
        <f t="shared" si="686"/>
        <v>36630.226821440003</v>
      </c>
      <c r="AX360" s="731">
        <f t="shared" si="686"/>
        <v>36692.726821440003</v>
      </c>
      <c r="AY360" s="731">
        <f t="shared" si="686"/>
        <v>36630.226821440003</v>
      </c>
      <c r="AZ360" s="731">
        <f t="shared" si="686"/>
        <v>36348.351821440003</v>
      </c>
      <c r="BA360" s="731">
        <f t="shared" si="686"/>
        <v>36285.851821440003</v>
      </c>
      <c r="BB360" s="731">
        <f t="shared" si="686"/>
        <v>36348.351821440003</v>
      </c>
      <c r="BC360" s="731">
        <f t="shared" si="686"/>
        <v>35778.351821440003</v>
      </c>
      <c r="BD360" s="731">
        <f t="shared" si="686"/>
        <v>35840.851821440003</v>
      </c>
      <c r="BE360" s="731">
        <f t="shared" si="686"/>
        <v>34926.476821440003</v>
      </c>
      <c r="BF360" s="731">
        <f t="shared" si="686"/>
        <v>32513.050821439996</v>
      </c>
      <c r="BG360" s="731">
        <f t="shared" si="686"/>
        <v>19547.64282144</v>
      </c>
      <c r="BH360" s="731">
        <f t="shared" si="686"/>
        <v>26862.051321439998</v>
      </c>
      <c r="BI360" s="731">
        <f t="shared" si="686"/>
        <v>30637.001321440002</v>
      </c>
      <c r="BJ360" s="731">
        <f t="shared" si="686"/>
        <v>36881.234821439997</v>
      </c>
      <c r="BK360" s="731">
        <f t="shared" si="686"/>
        <v>37877.259821440006</v>
      </c>
      <c r="BL360" s="731">
        <f t="shared" si="686"/>
        <v>37544.601821439996</v>
      </c>
      <c r="BM360" s="731">
        <f t="shared" si="686"/>
        <v>37482.101821440003</v>
      </c>
      <c r="BN360" s="731">
        <f t="shared" si="686"/>
        <v>37544.601821439996</v>
      </c>
      <c r="BO360" s="731">
        <f t="shared" si="686"/>
        <v>36630.226821440003</v>
      </c>
      <c r="BP360" s="731">
        <f t="shared" si="686"/>
        <v>36692.726821440003</v>
      </c>
      <c r="BQ360" s="731">
        <f t="shared" si="686"/>
        <v>36630.226821440003</v>
      </c>
      <c r="BR360" s="731">
        <f t="shared" si="686"/>
        <v>36348.351821440003</v>
      </c>
      <c r="BS360" s="731">
        <f t="shared" si="686"/>
        <v>36285.851821440003</v>
      </c>
      <c r="BT360" s="731">
        <f t="shared" si="686"/>
        <v>36348.351821440003</v>
      </c>
      <c r="BU360" s="731">
        <f t="shared" si="686"/>
        <v>35778.351821440003</v>
      </c>
      <c r="BV360" s="731">
        <f t="shared" si="686"/>
        <v>35840.851821440003</v>
      </c>
    </row>
    <row r="361" spans="1:74" s="15" customFormat="1" ht="20.149999999999999" customHeight="1" outlineLevel="2" x14ac:dyDescent="0.25">
      <c r="A361" s="348"/>
      <c r="B361" s="349"/>
      <c r="C361" s="350" t="s">
        <v>108</v>
      </c>
      <c r="D361" s="631"/>
      <c r="E361" s="631"/>
      <c r="F361" s="631"/>
      <c r="G361" s="631"/>
      <c r="H361" s="631"/>
      <c r="I361" s="631"/>
      <c r="J361" s="631"/>
      <c r="K361" s="631"/>
      <c r="L361" s="631"/>
      <c r="M361" s="631"/>
      <c r="N361" s="631"/>
      <c r="O361" s="631"/>
      <c r="P361" s="631"/>
      <c r="Q361" s="631"/>
      <c r="R361" s="631"/>
      <c r="S361" s="631"/>
      <c r="T361" s="631"/>
      <c r="U361" s="631"/>
      <c r="V361" s="631"/>
      <c r="W361" s="631"/>
      <c r="X361" s="631"/>
      <c r="Y361" s="631"/>
      <c r="Z361" s="631"/>
      <c r="AA361" s="631"/>
      <c r="AB361" s="631"/>
      <c r="AC361" s="631"/>
      <c r="AD361" s="631"/>
      <c r="AE361" s="631"/>
      <c r="AF361" s="631"/>
      <c r="AG361" s="631"/>
      <c r="AH361" s="631"/>
      <c r="AI361" s="631"/>
      <c r="AJ361" s="348"/>
      <c r="AK361" s="349"/>
      <c r="AL361" s="349"/>
      <c r="AM361" s="347" t="s">
        <v>108</v>
      </c>
      <c r="AN361" s="343">
        <f t="shared" ref="AN361:BV361" si="687">AN359*$AN$365</f>
        <v>0</v>
      </c>
      <c r="AO361" s="343">
        <f t="shared" si="687"/>
        <v>6720</v>
      </c>
      <c r="AP361" s="343">
        <f t="shared" si="687"/>
        <v>33840</v>
      </c>
      <c r="AQ361" s="343">
        <f t="shared" si="687"/>
        <v>49680</v>
      </c>
      <c r="AR361" s="343">
        <f t="shared" si="687"/>
        <v>101520</v>
      </c>
      <c r="AS361" s="343">
        <f t="shared" si="687"/>
        <v>90240</v>
      </c>
      <c r="AT361" s="343">
        <f t="shared" si="687"/>
        <v>78960</v>
      </c>
      <c r="AU361" s="343">
        <f t="shared" si="687"/>
        <v>78960</v>
      </c>
      <c r="AV361" s="386">
        <f t="shared" si="687"/>
        <v>78960</v>
      </c>
      <c r="AW361" s="731">
        <f t="shared" si="687"/>
        <v>67680</v>
      </c>
      <c r="AX361" s="731">
        <f t="shared" si="687"/>
        <v>67680</v>
      </c>
      <c r="AY361" s="731">
        <f t="shared" si="687"/>
        <v>67680</v>
      </c>
      <c r="AZ361" s="731">
        <f t="shared" si="687"/>
        <v>63120</v>
      </c>
      <c r="BA361" s="731">
        <f t="shared" si="687"/>
        <v>63120</v>
      </c>
      <c r="BB361" s="731">
        <f t="shared" si="687"/>
        <v>63120</v>
      </c>
      <c r="BC361" s="731">
        <f t="shared" si="687"/>
        <v>56400</v>
      </c>
      <c r="BD361" s="731">
        <f t="shared" si="687"/>
        <v>56400</v>
      </c>
      <c r="BE361" s="731">
        <f t="shared" si="687"/>
        <v>45120</v>
      </c>
      <c r="BF361" s="731">
        <f t="shared" si="687"/>
        <v>0</v>
      </c>
      <c r="BG361" s="731">
        <f t="shared" si="687"/>
        <v>6720</v>
      </c>
      <c r="BH361" s="731">
        <f t="shared" si="687"/>
        <v>33840</v>
      </c>
      <c r="BI361" s="731">
        <f t="shared" si="687"/>
        <v>49680</v>
      </c>
      <c r="BJ361" s="731">
        <f t="shared" si="687"/>
        <v>101520</v>
      </c>
      <c r="BK361" s="731">
        <f t="shared" si="687"/>
        <v>90240</v>
      </c>
      <c r="BL361" s="731">
        <f t="shared" si="687"/>
        <v>78960</v>
      </c>
      <c r="BM361" s="731">
        <f t="shared" si="687"/>
        <v>78960</v>
      </c>
      <c r="BN361" s="731">
        <f t="shared" si="687"/>
        <v>78960</v>
      </c>
      <c r="BO361" s="731">
        <f t="shared" si="687"/>
        <v>67680</v>
      </c>
      <c r="BP361" s="731">
        <f t="shared" si="687"/>
        <v>67680</v>
      </c>
      <c r="BQ361" s="731">
        <f t="shared" si="687"/>
        <v>67680</v>
      </c>
      <c r="BR361" s="731">
        <f t="shared" si="687"/>
        <v>63120</v>
      </c>
      <c r="BS361" s="731">
        <f t="shared" si="687"/>
        <v>63120</v>
      </c>
      <c r="BT361" s="731">
        <f t="shared" si="687"/>
        <v>63120</v>
      </c>
      <c r="BU361" s="731">
        <f t="shared" si="687"/>
        <v>56400</v>
      </c>
      <c r="BV361" s="731">
        <f t="shared" si="687"/>
        <v>56400</v>
      </c>
    </row>
    <row r="362" spans="1:74" s="15" customFormat="1" ht="20.149999999999999" customHeight="1" outlineLevel="2" x14ac:dyDescent="0.25">
      <c r="A362" s="348"/>
      <c r="B362" s="349"/>
      <c r="C362" s="350" t="s">
        <v>109</v>
      </c>
      <c r="D362" s="631"/>
      <c r="E362" s="631"/>
      <c r="F362" s="631"/>
      <c r="G362" s="631"/>
      <c r="H362" s="631"/>
      <c r="I362" s="631"/>
      <c r="J362" s="631"/>
      <c r="K362" s="631"/>
      <c r="L362" s="631"/>
      <c r="M362" s="631"/>
      <c r="N362" s="631"/>
      <c r="O362" s="631"/>
      <c r="P362" s="631"/>
      <c r="Q362" s="631"/>
      <c r="R362" s="631"/>
      <c r="S362" s="631"/>
      <c r="T362" s="631"/>
      <c r="U362" s="631"/>
      <c r="V362" s="631"/>
      <c r="W362" s="631"/>
      <c r="X362" s="631"/>
      <c r="Y362" s="631"/>
      <c r="Z362" s="631"/>
      <c r="AA362" s="631"/>
      <c r="AB362" s="631"/>
      <c r="AC362" s="631"/>
      <c r="AD362" s="631"/>
      <c r="AE362" s="631"/>
      <c r="AF362" s="631"/>
      <c r="AG362" s="631"/>
      <c r="AH362" s="631"/>
      <c r="AI362" s="631"/>
      <c r="AJ362" s="348"/>
      <c r="AK362" s="349"/>
      <c r="AL362" s="349"/>
      <c r="AM362" s="347" t="s">
        <v>109</v>
      </c>
      <c r="AN362" s="343">
        <f t="shared" ref="AN362:BV362" si="688">AN361-AN360</f>
        <v>-52760.450821439998</v>
      </c>
      <c r="AO362" s="343">
        <f t="shared" si="688"/>
        <v>-12827.64282144</v>
      </c>
      <c r="AP362" s="343">
        <f t="shared" si="688"/>
        <v>6977.948678560002</v>
      </c>
      <c r="AQ362" s="343">
        <f t="shared" si="688"/>
        <v>19042.998678559998</v>
      </c>
      <c r="AR362" s="343">
        <f t="shared" si="688"/>
        <v>64638.765178560003</v>
      </c>
      <c r="AS362" s="343">
        <f t="shared" si="688"/>
        <v>52362.740178559994</v>
      </c>
      <c r="AT362" s="343">
        <f t="shared" si="688"/>
        <v>41415.398178560004</v>
      </c>
      <c r="AU362" s="343">
        <f t="shared" si="688"/>
        <v>41477.898178559997</v>
      </c>
      <c r="AV362" s="386">
        <f t="shared" si="688"/>
        <v>41415.398178560004</v>
      </c>
      <c r="AW362" s="731">
        <f t="shared" si="688"/>
        <v>31049.773178559997</v>
      </c>
      <c r="AX362" s="731">
        <f t="shared" si="688"/>
        <v>30987.273178559997</v>
      </c>
      <c r="AY362" s="731">
        <f t="shared" si="688"/>
        <v>31049.773178559997</v>
      </c>
      <c r="AZ362" s="731">
        <f t="shared" si="688"/>
        <v>26771.648178559997</v>
      </c>
      <c r="BA362" s="731">
        <f t="shared" si="688"/>
        <v>26834.148178559997</v>
      </c>
      <c r="BB362" s="731">
        <f t="shared" si="688"/>
        <v>26771.648178559997</v>
      </c>
      <c r="BC362" s="731">
        <f t="shared" si="688"/>
        <v>20621.648178559997</v>
      </c>
      <c r="BD362" s="731">
        <f t="shared" si="688"/>
        <v>20559.148178559997</v>
      </c>
      <c r="BE362" s="731">
        <f t="shared" si="688"/>
        <v>10193.523178559997</v>
      </c>
      <c r="BF362" s="731">
        <f t="shared" si="688"/>
        <v>-32513.050821439996</v>
      </c>
      <c r="BG362" s="731">
        <f t="shared" si="688"/>
        <v>-12827.64282144</v>
      </c>
      <c r="BH362" s="731">
        <f t="shared" si="688"/>
        <v>6977.948678560002</v>
      </c>
      <c r="BI362" s="731">
        <f t="shared" si="688"/>
        <v>19042.998678559998</v>
      </c>
      <c r="BJ362" s="731">
        <f t="shared" si="688"/>
        <v>64638.765178560003</v>
      </c>
      <c r="BK362" s="731">
        <f t="shared" si="688"/>
        <v>52362.740178559994</v>
      </c>
      <c r="BL362" s="731">
        <f t="shared" si="688"/>
        <v>41415.398178560004</v>
      </c>
      <c r="BM362" s="731">
        <f t="shared" si="688"/>
        <v>41477.898178559997</v>
      </c>
      <c r="BN362" s="731">
        <f t="shared" si="688"/>
        <v>41415.398178560004</v>
      </c>
      <c r="BO362" s="731">
        <f t="shared" si="688"/>
        <v>31049.773178559997</v>
      </c>
      <c r="BP362" s="731">
        <f t="shared" si="688"/>
        <v>30987.273178559997</v>
      </c>
      <c r="BQ362" s="731">
        <f t="shared" si="688"/>
        <v>31049.773178559997</v>
      </c>
      <c r="BR362" s="731">
        <f t="shared" si="688"/>
        <v>26771.648178559997</v>
      </c>
      <c r="BS362" s="731">
        <f t="shared" si="688"/>
        <v>26834.148178559997</v>
      </c>
      <c r="BT362" s="731">
        <f t="shared" si="688"/>
        <v>26771.648178559997</v>
      </c>
      <c r="BU362" s="731">
        <f t="shared" si="688"/>
        <v>20621.648178559997</v>
      </c>
      <c r="BV362" s="731">
        <f t="shared" si="688"/>
        <v>20559.148178559997</v>
      </c>
    </row>
    <row r="363" spans="1:74" s="15" customFormat="1" ht="20.149999999999999" customHeight="1" outlineLevel="2" x14ac:dyDescent="0.25">
      <c r="A363" s="348"/>
      <c r="B363" s="349"/>
      <c r="C363" s="350" t="s">
        <v>110</v>
      </c>
      <c r="D363" s="631"/>
      <c r="E363" s="631"/>
      <c r="F363" s="631"/>
      <c r="G363" s="631"/>
      <c r="H363" s="631"/>
      <c r="I363" s="631"/>
      <c r="J363" s="631"/>
      <c r="K363" s="631"/>
      <c r="L363" s="631"/>
      <c r="M363" s="631"/>
      <c r="N363" s="631"/>
      <c r="O363" s="631"/>
      <c r="P363" s="631"/>
      <c r="Q363" s="631"/>
      <c r="R363" s="631"/>
      <c r="S363" s="631"/>
      <c r="T363" s="631"/>
      <c r="U363" s="631"/>
      <c r="V363" s="631"/>
      <c r="W363" s="631"/>
      <c r="X363" s="631"/>
      <c r="Y363" s="631"/>
      <c r="Z363" s="631"/>
      <c r="AA363" s="631"/>
      <c r="AB363" s="631"/>
      <c r="AC363" s="631"/>
      <c r="AD363" s="631"/>
      <c r="AE363" s="631"/>
      <c r="AF363" s="631"/>
      <c r="AG363" s="631"/>
      <c r="AH363" s="631"/>
      <c r="AI363" s="631"/>
      <c r="AJ363" s="348"/>
      <c r="AK363" s="349"/>
      <c r="AL363" s="349"/>
      <c r="AM363" s="347" t="s">
        <v>110</v>
      </c>
      <c r="AN363" s="343">
        <f>AN362</f>
        <v>-52760.450821439998</v>
      </c>
      <c r="AO363" s="343">
        <f t="shared" ref="AO363:BV363" si="689">AO362+AN363</f>
        <v>-65588.093642880005</v>
      </c>
      <c r="AP363" s="343">
        <f t="shared" si="689"/>
        <v>-58610.144964320003</v>
      </c>
      <c r="AQ363" s="343">
        <f t="shared" si="689"/>
        <v>-39567.146285760005</v>
      </c>
      <c r="AR363" s="343">
        <f t="shared" si="689"/>
        <v>25071.618892799997</v>
      </c>
      <c r="AS363" s="343">
        <f t="shared" si="689"/>
        <v>77434.359071359999</v>
      </c>
      <c r="AT363" s="343">
        <f t="shared" si="689"/>
        <v>118849.75724992</v>
      </c>
      <c r="AU363" s="343">
        <f t="shared" si="689"/>
        <v>160327.65542848001</v>
      </c>
      <c r="AV363" s="386">
        <f t="shared" si="689"/>
        <v>201743.05360704003</v>
      </c>
      <c r="AW363" s="731">
        <f t="shared" si="689"/>
        <v>232792.82678560002</v>
      </c>
      <c r="AX363" s="731">
        <f t="shared" si="689"/>
        <v>263780.09996416001</v>
      </c>
      <c r="AY363" s="731">
        <f t="shared" si="689"/>
        <v>294829.87314272003</v>
      </c>
      <c r="AZ363" s="731">
        <f t="shared" si="689"/>
        <v>321601.52132128004</v>
      </c>
      <c r="BA363" s="731">
        <f t="shared" si="689"/>
        <v>348435.66949984006</v>
      </c>
      <c r="BB363" s="731">
        <f t="shared" si="689"/>
        <v>375207.31767840008</v>
      </c>
      <c r="BC363" s="731">
        <f t="shared" si="689"/>
        <v>395828.9658569601</v>
      </c>
      <c r="BD363" s="731">
        <f t="shared" si="689"/>
        <v>416388.11403552012</v>
      </c>
      <c r="BE363" s="731">
        <f t="shared" si="689"/>
        <v>426581.63721408014</v>
      </c>
      <c r="BF363" s="731">
        <f t="shared" si="689"/>
        <v>394068.58639264014</v>
      </c>
      <c r="BG363" s="731">
        <f t="shared" si="689"/>
        <v>381240.94357120013</v>
      </c>
      <c r="BH363" s="731">
        <f t="shared" si="689"/>
        <v>388218.8922497601</v>
      </c>
      <c r="BI363" s="731">
        <f t="shared" si="689"/>
        <v>407261.89092832012</v>
      </c>
      <c r="BJ363" s="731">
        <f t="shared" si="689"/>
        <v>471900.65610688011</v>
      </c>
      <c r="BK363" s="731">
        <f t="shared" si="689"/>
        <v>524263.39628544007</v>
      </c>
      <c r="BL363" s="731">
        <f t="shared" si="689"/>
        <v>565678.79446400004</v>
      </c>
      <c r="BM363" s="731">
        <f t="shared" si="689"/>
        <v>607156.69264256</v>
      </c>
      <c r="BN363" s="731">
        <f t="shared" si="689"/>
        <v>648572.09082111996</v>
      </c>
      <c r="BO363" s="731">
        <f t="shared" si="689"/>
        <v>679621.86399967992</v>
      </c>
      <c r="BP363" s="731">
        <f t="shared" si="689"/>
        <v>710609.13717823988</v>
      </c>
      <c r="BQ363" s="731">
        <f t="shared" si="689"/>
        <v>741658.91035679984</v>
      </c>
      <c r="BR363" s="731">
        <f t="shared" si="689"/>
        <v>768430.5585353598</v>
      </c>
      <c r="BS363" s="731">
        <f t="shared" si="689"/>
        <v>795264.70671391976</v>
      </c>
      <c r="BT363" s="731">
        <f t="shared" si="689"/>
        <v>822036.35489247972</v>
      </c>
      <c r="BU363" s="731">
        <f t="shared" si="689"/>
        <v>842658.00307103968</v>
      </c>
      <c r="BV363" s="731">
        <f t="shared" si="689"/>
        <v>863217.15124959964</v>
      </c>
    </row>
    <row r="364" spans="1:74" ht="20.149999999999999" customHeight="1" outlineLevel="2" x14ac:dyDescent="0.25">
      <c r="A364" s="348"/>
      <c r="B364" s="349"/>
      <c r="C364" s="350" t="s">
        <v>111</v>
      </c>
      <c r="D364" s="626"/>
      <c r="E364" s="626"/>
      <c r="F364" s="626"/>
      <c r="G364" s="626"/>
      <c r="H364" s="626"/>
      <c r="I364" s="626"/>
      <c r="J364" s="631"/>
      <c r="K364" s="631"/>
      <c r="L364" s="631"/>
      <c r="M364" s="631"/>
      <c r="N364" s="631"/>
      <c r="O364" s="631"/>
      <c r="P364" s="631"/>
      <c r="Q364" s="631"/>
      <c r="R364" s="631"/>
      <c r="S364" s="631"/>
      <c r="T364" s="631"/>
      <c r="U364" s="631"/>
      <c r="V364" s="631"/>
      <c r="W364" s="631"/>
      <c r="X364" s="631"/>
      <c r="Y364" s="631"/>
      <c r="Z364" s="631"/>
      <c r="AA364" s="631"/>
      <c r="AB364" s="631"/>
      <c r="AC364" s="631"/>
      <c r="AD364" s="631"/>
      <c r="AE364" s="631"/>
      <c r="AF364" s="631"/>
      <c r="AG364" s="631"/>
      <c r="AH364" s="631"/>
      <c r="AI364" s="631"/>
      <c r="AJ364" s="348"/>
      <c r="AK364" s="349"/>
      <c r="AL364" s="349"/>
      <c r="AM364" s="350" t="s">
        <v>111</v>
      </c>
      <c r="AN364" s="343">
        <f>BV363/BV282</f>
        <v>24663.34717855999</v>
      </c>
      <c r="AO364" s="639"/>
      <c r="AP364" s="639"/>
      <c r="AQ364" s="639"/>
      <c r="AR364" s="639"/>
      <c r="AS364" s="639"/>
      <c r="AT364" s="625"/>
      <c r="AU364" s="625"/>
      <c r="AV364" s="625"/>
      <c r="AW364" s="625"/>
      <c r="AX364" s="625"/>
      <c r="AY364" s="625"/>
      <c r="AZ364" s="625"/>
      <c r="BA364" s="625"/>
      <c r="BB364" s="625"/>
      <c r="BC364" s="625"/>
      <c r="BD364" s="625"/>
      <c r="BE364" s="625"/>
      <c r="BF364" s="625"/>
      <c r="BG364" s="625"/>
      <c r="BH364" s="625"/>
      <c r="BI364" s="625"/>
      <c r="BJ364" s="625"/>
      <c r="BK364" s="625"/>
      <c r="BL364" s="625"/>
      <c r="BM364" s="625"/>
      <c r="BN364" s="625"/>
      <c r="BO364" s="625"/>
      <c r="BP364" s="625"/>
      <c r="BQ364" s="625"/>
      <c r="BR364" s="625"/>
      <c r="BS364" s="625"/>
      <c r="BT364" s="625"/>
      <c r="BU364" s="625"/>
      <c r="BV364" s="625"/>
    </row>
    <row r="365" spans="1:74" ht="20.149999999999999" customHeight="1" outlineLevel="2" x14ac:dyDescent="0.25">
      <c r="A365" s="351"/>
      <c r="B365" s="352"/>
      <c r="C365" s="353" t="s">
        <v>112</v>
      </c>
      <c r="D365" s="626"/>
      <c r="E365" s="626"/>
      <c r="F365" s="626"/>
      <c r="G365" s="626"/>
      <c r="H365" s="626"/>
      <c r="I365" s="626"/>
      <c r="J365" s="626"/>
      <c r="K365" s="626"/>
      <c r="L365" s="626"/>
      <c r="M365" s="626"/>
      <c r="N365" s="626"/>
      <c r="O365" s="626"/>
      <c r="P365" s="626"/>
      <c r="Q365" s="626"/>
      <c r="R365" s="626"/>
      <c r="S365" s="626"/>
      <c r="T365" s="626"/>
      <c r="U365" s="626"/>
      <c r="V365" s="626"/>
      <c r="W365" s="626"/>
      <c r="X365" s="626"/>
      <c r="Y365" s="626"/>
      <c r="Z365" s="626"/>
      <c r="AA365" s="626"/>
      <c r="AB365" s="626"/>
      <c r="AC365" s="626"/>
      <c r="AD365" s="626"/>
      <c r="AE365" s="626"/>
      <c r="AF365" s="626"/>
      <c r="AG365" s="626"/>
      <c r="AH365" s="626"/>
      <c r="AI365" s="626"/>
      <c r="AJ365" s="351"/>
      <c r="AK365" s="352"/>
      <c r="AL365" s="352"/>
      <c r="AM365" s="353" t="s">
        <v>112</v>
      </c>
      <c r="AN365" s="846">
        <f>'Preço de venda - Cult Perm.'!E79</f>
        <v>2400</v>
      </c>
      <c r="AO365" s="625"/>
      <c r="AP365" s="625"/>
      <c r="AQ365" s="625"/>
      <c r="AR365" s="625"/>
      <c r="AS365" s="625"/>
      <c r="AT365" s="625"/>
      <c r="AU365" s="625"/>
      <c r="AV365" s="625"/>
      <c r="AW365" s="625"/>
      <c r="AX365" s="625"/>
      <c r="AY365" s="625"/>
      <c r="AZ365" s="625"/>
      <c r="BA365" s="625"/>
      <c r="BB365" s="625"/>
      <c r="BC365" s="625"/>
      <c r="BD365" s="625"/>
      <c r="BE365" s="625"/>
      <c r="BF365" s="625"/>
      <c r="BG365" s="625"/>
      <c r="BH365" s="625"/>
      <c r="BI365" s="625"/>
      <c r="BJ365" s="625"/>
      <c r="BK365" s="625"/>
      <c r="BL365" s="625"/>
      <c r="BM365" s="517"/>
      <c r="BN365" s="625"/>
      <c r="BO365" s="625"/>
      <c r="BP365" s="625"/>
      <c r="BQ365" s="625"/>
      <c r="BR365" s="625"/>
      <c r="BS365" s="625"/>
      <c r="BT365" s="625"/>
      <c r="BU365" s="625"/>
      <c r="BV365" s="625"/>
    </row>
    <row r="366" spans="1:74" ht="13.5" outlineLevel="1" thickBot="1" x14ac:dyDescent="0.3">
      <c r="I366" s="623"/>
      <c r="J366" s="624"/>
      <c r="K366" s="624"/>
      <c r="L366" s="624"/>
      <c r="M366" s="624"/>
      <c r="N366" s="624"/>
      <c r="O366" s="624"/>
      <c r="P366" s="624"/>
      <c r="Q366" s="624"/>
      <c r="R366" s="624"/>
      <c r="S366" s="624"/>
      <c r="T366" s="624"/>
      <c r="U366" s="624"/>
      <c r="V366" s="624"/>
      <c r="W366" s="624"/>
      <c r="X366" s="624"/>
      <c r="Y366" s="624"/>
      <c r="Z366" s="624"/>
      <c r="AA366" s="624"/>
      <c r="AB366" s="624"/>
      <c r="AC366" s="624"/>
      <c r="AD366" s="624"/>
      <c r="AE366" s="624"/>
      <c r="AF366" s="624"/>
      <c r="AG366" s="624"/>
      <c r="AH366" s="624"/>
      <c r="AI366" s="624"/>
      <c r="AJ366" s="624"/>
      <c r="AK366" s="624"/>
      <c r="AL366" s="624"/>
      <c r="AM366" s="624"/>
      <c r="AV366" s="14"/>
    </row>
    <row r="367" spans="1:74" s="563" customFormat="1" ht="30" customHeight="1" thickBot="1" x14ac:dyDescent="0.3">
      <c r="A367" s="555" t="s">
        <v>245</v>
      </c>
      <c r="B367" s="621"/>
      <c r="C367" s="621"/>
      <c r="D367" s="621"/>
      <c r="E367" s="621"/>
      <c r="F367" s="621"/>
      <c r="G367" s="621"/>
      <c r="H367" s="621"/>
      <c r="I367" s="621"/>
      <c r="J367" s="621"/>
      <c r="K367" s="621"/>
      <c r="L367" s="621"/>
      <c r="M367" s="621"/>
      <c r="N367" s="621"/>
      <c r="O367" s="621"/>
      <c r="P367" s="621"/>
      <c r="Q367" s="621"/>
      <c r="R367" s="621"/>
      <c r="S367" s="621"/>
      <c r="T367" s="621"/>
      <c r="U367" s="621"/>
      <c r="V367" s="621"/>
      <c r="W367" s="621"/>
      <c r="X367" s="621"/>
      <c r="Y367" s="621"/>
      <c r="Z367" s="621"/>
      <c r="AA367" s="621"/>
      <c r="AB367" s="621"/>
      <c r="AC367" s="621"/>
      <c r="AD367" s="621"/>
      <c r="AE367" s="621"/>
      <c r="AF367" s="621"/>
      <c r="AG367" s="621"/>
      <c r="AH367" s="621"/>
      <c r="AI367" s="621"/>
      <c r="AJ367" s="621"/>
      <c r="AK367" s="621"/>
      <c r="AL367" s="621"/>
      <c r="AM367" s="621"/>
      <c r="AN367" s="621"/>
      <c r="AO367" s="621"/>
      <c r="AP367" s="621"/>
      <c r="AQ367" s="621"/>
      <c r="AR367" s="621"/>
      <c r="AS367" s="621"/>
      <c r="AT367" s="621"/>
      <c r="AU367" s="621"/>
    </row>
    <row r="368" spans="1:74" s="123" customFormat="1" ht="27" customHeight="1" outlineLevel="1" thickBot="1" x14ac:dyDescent="0.3">
      <c r="A368" s="1106" t="s">
        <v>52</v>
      </c>
      <c r="B368" s="1106"/>
      <c r="C368" s="1106"/>
      <c r="D368" s="1106"/>
      <c r="E368" s="1106"/>
      <c r="F368" s="1106"/>
      <c r="G368" s="1106"/>
      <c r="H368" s="1106"/>
      <c r="I368" s="1106"/>
      <c r="J368" s="1106"/>
      <c r="K368" s="1106"/>
      <c r="L368" s="1106"/>
      <c r="M368" s="1106"/>
      <c r="N368" s="1106"/>
      <c r="O368" s="1106"/>
      <c r="P368" s="1106"/>
      <c r="Q368" s="1106"/>
      <c r="R368" s="1106"/>
      <c r="S368" s="1106"/>
      <c r="T368" s="1106"/>
      <c r="U368" s="1106"/>
      <c r="V368" s="1106"/>
      <c r="W368" s="1106"/>
      <c r="X368" s="1106"/>
      <c r="Y368" s="1106"/>
      <c r="Z368" s="1106"/>
      <c r="AA368" s="1106"/>
      <c r="AB368" s="1106"/>
      <c r="AC368" s="1106"/>
      <c r="AD368" s="1106"/>
      <c r="AE368" s="1106"/>
      <c r="AF368" s="1106"/>
      <c r="AG368" s="1106"/>
      <c r="AH368" s="1106"/>
      <c r="AI368" s="1106"/>
      <c r="AJ368" s="1106"/>
      <c r="AK368" s="1106"/>
      <c r="AL368" s="1106"/>
      <c r="AM368" s="1106"/>
      <c r="AN368" s="1106"/>
      <c r="AO368" s="1106"/>
      <c r="AP368" s="1106"/>
      <c r="AQ368" s="1106"/>
      <c r="AR368" s="1106"/>
      <c r="AS368" s="1106"/>
      <c r="AT368" s="1106"/>
      <c r="AU368" s="1106"/>
      <c r="AV368" s="1106"/>
      <c r="AW368" s="1106"/>
      <c r="AX368" s="1106"/>
      <c r="AY368" s="1106"/>
      <c r="AZ368" s="1106"/>
      <c r="BA368" s="1106"/>
      <c r="BB368" s="1106"/>
      <c r="BC368" s="1106"/>
      <c r="BD368" s="1106"/>
      <c r="BE368" s="1106"/>
      <c r="BF368" s="1106"/>
      <c r="BG368" s="1106"/>
      <c r="BH368" s="1106"/>
      <c r="BI368" s="1106"/>
      <c r="BJ368" s="1106"/>
      <c r="BK368" s="1106"/>
      <c r="BL368" s="1106"/>
      <c r="BM368" s="1106"/>
      <c r="BN368" s="1106"/>
      <c r="BO368" s="1106"/>
      <c r="BP368" s="1106"/>
      <c r="BQ368" s="1106"/>
      <c r="BR368" s="1106"/>
      <c r="BS368" s="1106"/>
      <c r="BT368" s="1106"/>
      <c r="BU368" s="1106"/>
      <c r="BV368" s="1106"/>
    </row>
    <row r="369" spans="1:74" ht="18" customHeight="1" outlineLevel="2" thickBot="1" x14ac:dyDescent="0.3">
      <c r="A369" s="1102" t="s">
        <v>113</v>
      </c>
      <c r="B369" s="1102" t="s">
        <v>8</v>
      </c>
      <c r="C369" s="1102" t="s">
        <v>100</v>
      </c>
      <c r="D369" s="1102" t="s">
        <v>97</v>
      </c>
      <c r="E369" s="1102"/>
      <c r="F369" s="1102"/>
      <c r="G369" s="1102"/>
      <c r="H369" s="1102"/>
      <c r="I369" s="1102"/>
      <c r="J369" s="1102"/>
      <c r="K369" s="1102"/>
      <c r="L369" s="1102"/>
      <c r="M369" s="1102"/>
      <c r="N369" s="1102"/>
      <c r="O369" s="1102"/>
      <c r="P369" s="1102"/>
      <c r="Q369" s="1102"/>
      <c r="R369" s="1102"/>
      <c r="S369" s="1102"/>
      <c r="T369" s="1102"/>
      <c r="U369" s="1102"/>
      <c r="V369" s="1102"/>
      <c r="W369" s="1102"/>
      <c r="X369" s="1102"/>
      <c r="Y369" s="1102"/>
      <c r="Z369" s="1102"/>
      <c r="AA369" s="1102"/>
      <c r="AB369" s="1102"/>
      <c r="AC369" s="1102"/>
      <c r="AD369" s="1102"/>
      <c r="AE369" s="1102"/>
      <c r="AF369" s="1102"/>
      <c r="AG369" s="1102"/>
      <c r="AH369" s="1102"/>
      <c r="AI369" s="1102"/>
      <c r="AJ369" s="1102"/>
      <c r="AK369" s="1102"/>
      <c r="AL369" s="1102"/>
      <c r="AM369" s="634"/>
      <c r="AN369" s="1102" t="s">
        <v>99</v>
      </c>
      <c r="AO369" s="1102"/>
      <c r="AP369" s="1102"/>
      <c r="AQ369" s="1102"/>
      <c r="AR369" s="1102"/>
      <c r="AS369" s="1102"/>
      <c r="AT369" s="1102"/>
      <c r="AU369" s="1102"/>
      <c r="AV369" s="1102"/>
      <c r="AW369" s="1102"/>
      <c r="AX369" s="1102"/>
      <c r="AY369" s="1102"/>
      <c r="AZ369" s="1102"/>
      <c r="BA369" s="1102"/>
      <c r="BB369" s="1102"/>
      <c r="BC369" s="1102"/>
      <c r="BD369" s="1102"/>
      <c r="BE369" s="1102"/>
      <c r="BF369" s="1102"/>
      <c r="BG369" s="1102"/>
      <c r="BH369" s="1102"/>
      <c r="BI369" s="1102"/>
      <c r="BJ369" s="1102"/>
      <c r="BK369" s="1102"/>
      <c r="BL369" s="1102"/>
      <c r="BM369" s="1102"/>
      <c r="BN369" s="1102"/>
      <c r="BO369" s="1102"/>
      <c r="BP369" s="1102"/>
      <c r="BQ369" s="1102"/>
      <c r="BR369" s="1102"/>
      <c r="BS369" s="1102"/>
      <c r="BT369" s="1102"/>
      <c r="BU369" s="1102"/>
      <c r="BV369" s="1102"/>
    </row>
    <row r="370" spans="1:74" ht="18" customHeight="1" outlineLevel="2" thickBot="1" x14ac:dyDescent="0.3">
      <c r="A370" s="1102"/>
      <c r="B370" s="1102"/>
      <c r="C370" s="1102"/>
      <c r="D370" s="275">
        <v>1</v>
      </c>
      <c r="E370" s="211">
        <v>2</v>
      </c>
      <c r="F370" s="211">
        <v>3</v>
      </c>
      <c r="G370" s="211">
        <v>4</v>
      </c>
      <c r="H370" s="211">
        <v>5</v>
      </c>
      <c r="I370" s="211">
        <v>6</v>
      </c>
      <c r="J370" s="211">
        <v>7</v>
      </c>
      <c r="K370" s="211">
        <v>8</v>
      </c>
      <c r="L370" s="211">
        <v>9</v>
      </c>
      <c r="M370" s="211">
        <v>10</v>
      </c>
      <c r="N370" s="211">
        <v>11</v>
      </c>
      <c r="O370" s="211">
        <v>12</v>
      </c>
      <c r="P370" s="211">
        <v>13</v>
      </c>
      <c r="Q370" s="211">
        <v>14</v>
      </c>
      <c r="R370" s="211">
        <v>15</v>
      </c>
      <c r="S370" s="211">
        <v>16</v>
      </c>
      <c r="T370" s="211">
        <v>17</v>
      </c>
      <c r="U370" s="211">
        <v>18</v>
      </c>
      <c r="V370" s="211">
        <v>19</v>
      </c>
      <c r="W370" s="211">
        <v>20</v>
      </c>
      <c r="X370" s="211">
        <v>21</v>
      </c>
      <c r="Y370" s="211">
        <v>22</v>
      </c>
      <c r="Z370" s="211">
        <v>23</v>
      </c>
      <c r="AA370" s="211">
        <v>24</v>
      </c>
      <c r="AB370" s="211">
        <v>25</v>
      </c>
      <c r="AC370" s="211">
        <v>26</v>
      </c>
      <c r="AD370" s="211">
        <v>27</v>
      </c>
      <c r="AE370" s="211">
        <v>28</v>
      </c>
      <c r="AF370" s="211">
        <v>29</v>
      </c>
      <c r="AG370" s="211">
        <v>30</v>
      </c>
      <c r="AH370" s="211">
        <v>31</v>
      </c>
      <c r="AI370" s="211">
        <v>32</v>
      </c>
      <c r="AJ370" s="211">
        <v>33</v>
      </c>
      <c r="AK370" s="211">
        <v>34</v>
      </c>
      <c r="AL370" s="212">
        <v>35</v>
      </c>
      <c r="AM370" s="635"/>
      <c r="AN370" s="275">
        <v>1</v>
      </c>
      <c r="AO370" s="211">
        <v>2</v>
      </c>
      <c r="AP370" s="211">
        <v>3</v>
      </c>
      <c r="AQ370" s="211">
        <v>4</v>
      </c>
      <c r="AR370" s="211">
        <v>5</v>
      </c>
      <c r="AS370" s="211">
        <v>6</v>
      </c>
      <c r="AT370" s="211">
        <v>7</v>
      </c>
      <c r="AU370" s="211">
        <v>8</v>
      </c>
      <c r="AV370" s="211">
        <v>9</v>
      </c>
      <c r="AW370" s="211">
        <v>10</v>
      </c>
      <c r="AX370" s="211">
        <v>11</v>
      </c>
      <c r="AY370" s="211">
        <v>12</v>
      </c>
      <c r="AZ370" s="211">
        <v>13</v>
      </c>
      <c r="BA370" s="211">
        <v>14</v>
      </c>
      <c r="BB370" s="211">
        <v>15</v>
      </c>
      <c r="BC370" s="211">
        <v>16</v>
      </c>
      <c r="BD370" s="211">
        <v>17</v>
      </c>
      <c r="BE370" s="211">
        <v>18</v>
      </c>
      <c r="BF370" s="211">
        <v>19</v>
      </c>
      <c r="BG370" s="211">
        <v>20</v>
      </c>
      <c r="BH370" s="211">
        <v>21</v>
      </c>
      <c r="BI370" s="211">
        <v>22</v>
      </c>
      <c r="BJ370" s="211">
        <v>23</v>
      </c>
      <c r="BK370" s="211">
        <v>24</v>
      </c>
      <c r="BL370" s="211">
        <v>25</v>
      </c>
      <c r="BM370" s="211">
        <v>26</v>
      </c>
      <c r="BN370" s="211">
        <v>27</v>
      </c>
      <c r="BO370" s="211">
        <v>28</v>
      </c>
      <c r="BP370" s="211">
        <v>29</v>
      </c>
      <c r="BQ370" s="211">
        <v>30</v>
      </c>
      <c r="BR370" s="211">
        <v>31</v>
      </c>
      <c r="BS370" s="211">
        <v>32</v>
      </c>
      <c r="BT370" s="211">
        <v>33</v>
      </c>
      <c r="BU370" s="211">
        <v>34</v>
      </c>
      <c r="BV370" s="212">
        <v>35</v>
      </c>
    </row>
    <row r="371" spans="1:74" ht="20.149999999999999" customHeight="1" outlineLevel="2" x14ac:dyDescent="0.25">
      <c r="A371" s="56" t="str">
        <f>'Quantidade-Cult.Perma.'!A113</f>
        <v>Calcário</v>
      </c>
      <c r="B371" s="11" t="str">
        <f>'Quantidade-Cult.Perma.'!B113</f>
        <v>T</v>
      </c>
      <c r="C371" s="279">
        <f>'Quantidade-Cult.Perma.'!D113</f>
        <v>450</v>
      </c>
      <c r="D371" s="279">
        <f>'Quantidade-Cult.Perma.'!E113</f>
        <v>3</v>
      </c>
      <c r="E371" s="279">
        <f>'Quantidade-Cult.Perma.'!F113</f>
        <v>2</v>
      </c>
      <c r="F371" s="279">
        <f>'Quantidade-Cult.Perma.'!G113</f>
        <v>2</v>
      </c>
      <c r="G371" s="279">
        <f>'Quantidade-Cult.Perma.'!H113</f>
        <v>2</v>
      </c>
      <c r="H371" s="279">
        <f>'Quantidade-Cult.Perma.'!I113</f>
        <v>2</v>
      </c>
      <c r="I371" s="279">
        <f>'Quantidade-Cult.Perma.'!J113</f>
        <v>2</v>
      </c>
      <c r="J371" s="279">
        <f>'Quantidade-Cult.Perma.'!K113</f>
        <v>2</v>
      </c>
      <c r="K371" s="279">
        <f>'Quantidade-Cult.Perma.'!L113</f>
        <v>2</v>
      </c>
      <c r="L371" s="356">
        <f>'Quantidade-Cult.Perma.'!M113</f>
        <v>2</v>
      </c>
      <c r="M371" s="356">
        <f>'Quantidade-Cult.Perma.'!N113</f>
        <v>2</v>
      </c>
      <c r="N371" s="356">
        <f t="shared" ref="N371:N386" si="690">D371</f>
        <v>3</v>
      </c>
      <c r="O371" s="356">
        <f t="shared" ref="O371:O386" si="691">E371</f>
        <v>2</v>
      </c>
      <c r="P371" s="356">
        <f t="shared" ref="P371:P386" si="692">F371</f>
        <v>2</v>
      </c>
      <c r="Q371" s="356">
        <f t="shared" ref="Q371:Q386" si="693">G371</f>
        <v>2</v>
      </c>
      <c r="R371" s="356">
        <f t="shared" ref="R371:R386" si="694">H371</f>
        <v>2</v>
      </c>
      <c r="S371" s="356">
        <f t="shared" ref="S371:S386" si="695">I371</f>
        <v>2</v>
      </c>
      <c r="T371" s="356">
        <f t="shared" ref="T371:T386" si="696">J371</f>
        <v>2</v>
      </c>
      <c r="U371" s="356">
        <f t="shared" ref="U371:U386" si="697">K371</f>
        <v>2</v>
      </c>
      <c r="V371" s="356">
        <f t="shared" ref="V371:V386" si="698">L371</f>
        <v>2</v>
      </c>
      <c r="W371" s="356">
        <f t="shared" ref="W371:W386" si="699">M371</f>
        <v>2</v>
      </c>
      <c r="X371" s="356">
        <f t="shared" ref="X371:X386" si="700">D371</f>
        <v>3</v>
      </c>
      <c r="Y371" s="356">
        <f t="shared" ref="Y371:Y386" si="701">E371</f>
        <v>2</v>
      </c>
      <c r="Z371" s="356">
        <f t="shared" ref="Z371:Z386" si="702">F371</f>
        <v>2</v>
      </c>
      <c r="AA371" s="356">
        <f t="shared" ref="AA371:AA386" si="703">G371</f>
        <v>2</v>
      </c>
      <c r="AB371" s="356">
        <f t="shared" ref="AB371:AB386" si="704">H371</f>
        <v>2</v>
      </c>
      <c r="AC371" s="356">
        <f t="shared" ref="AC371:AC386" si="705">I371</f>
        <v>2</v>
      </c>
      <c r="AD371" s="356">
        <f t="shared" ref="AD371:AD386" si="706">J371</f>
        <v>2</v>
      </c>
      <c r="AE371" s="356">
        <f t="shared" ref="AE371:AE386" si="707">K371</f>
        <v>2</v>
      </c>
      <c r="AF371" s="356">
        <f t="shared" ref="AF371:AF386" si="708">L371</f>
        <v>2</v>
      </c>
      <c r="AG371" s="356">
        <f t="shared" ref="AG371:AG386" si="709">M371</f>
        <v>2</v>
      </c>
      <c r="AH371" s="356">
        <f t="shared" ref="AH371:AH386" si="710">D371</f>
        <v>3</v>
      </c>
      <c r="AI371" s="356">
        <f t="shared" ref="AI371:AI386" si="711">E371</f>
        <v>2</v>
      </c>
      <c r="AJ371" s="356">
        <f t="shared" ref="AJ371:AJ386" si="712">F371</f>
        <v>2</v>
      </c>
      <c r="AK371" s="356">
        <f t="shared" ref="AK371:AK386" si="713">G371</f>
        <v>2</v>
      </c>
      <c r="AL371" s="357">
        <f t="shared" ref="AL371:AL386" si="714">H371</f>
        <v>2</v>
      </c>
      <c r="AM371" s="636"/>
      <c r="AN371" s="301">
        <f t="shared" ref="AN371:BV371" si="715">$C$371*D371</f>
        <v>1350</v>
      </c>
      <c r="AO371" s="302">
        <f t="shared" si="715"/>
        <v>900</v>
      </c>
      <c r="AP371" s="302">
        <f t="shared" si="715"/>
        <v>900</v>
      </c>
      <c r="AQ371" s="302">
        <f t="shared" si="715"/>
        <v>900</v>
      </c>
      <c r="AR371" s="302">
        <f t="shared" si="715"/>
        <v>900</v>
      </c>
      <c r="AS371" s="302">
        <f t="shared" si="715"/>
        <v>900</v>
      </c>
      <c r="AT371" s="302">
        <f t="shared" si="715"/>
        <v>900</v>
      </c>
      <c r="AU371" s="281">
        <f t="shared" si="715"/>
        <v>900</v>
      </c>
      <c r="AV371" s="312">
        <f t="shared" si="715"/>
        <v>900</v>
      </c>
      <c r="AW371" s="312">
        <f t="shared" si="715"/>
        <v>900</v>
      </c>
      <c r="AX371" s="374">
        <f t="shared" si="715"/>
        <v>1350</v>
      </c>
      <c r="AY371" s="374">
        <f t="shared" si="715"/>
        <v>900</v>
      </c>
      <c r="AZ371" s="374">
        <f t="shared" si="715"/>
        <v>900</v>
      </c>
      <c r="BA371" s="374">
        <f t="shared" si="715"/>
        <v>900</v>
      </c>
      <c r="BB371" s="374">
        <f t="shared" si="715"/>
        <v>900</v>
      </c>
      <c r="BC371" s="374">
        <f t="shared" si="715"/>
        <v>900</v>
      </c>
      <c r="BD371" s="374">
        <f t="shared" si="715"/>
        <v>900</v>
      </c>
      <c r="BE371" s="374">
        <f t="shared" si="715"/>
        <v>900</v>
      </c>
      <c r="BF371" s="374">
        <f t="shared" si="715"/>
        <v>900</v>
      </c>
      <c r="BG371" s="374">
        <f t="shared" si="715"/>
        <v>900</v>
      </c>
      <c r="BH371" s="374">
        <f t="shared" si="715"/>
        <v>1350</v>
      </c>
      <c r="BI371" s="374">
        <f t="shared" si="715"/>
        <v>900</v>
      </c>
      <c r="BJ371" s="374">
        <f t="shared" si="715"/>
        <v>900</v>
      </c>
      <c r="BK371" s="374">
        <f t="shared" si="715"/>
        <v>900</v>
      </c>
      <c r="BL371" s="374">
        <f t="shared" si="715"/>
        <v>900</v>
      </c>
      <c r="BM371" s="374">
        <f t="shared" si="715"/>
        <v>900</v>
      </c>
      <c r="BN371" s="374">
        <f t="shared" si="715"/>
        <v>900</v>
      </c>
      <c r="BO371" s="374">
        <f t="shared" si="715"/>
        <v>900</v>
      </c>
      <c r="BP371" s="374">
        <f t="shared" si="715"/>
        <v>900</v>
      </c>
      <c r="BQ371" s="374">
        <f t="shared" si="715"/>
        <v>900</v>
      </c>
      <c r="BR371" s="374">
        <f t="shared" si="715"/>
        <v>1350</v>
      </c>
      <c r="BS371" s="374">
        <f t="shared" si="715"/>
        <v>900</v>
      </c>
      <c r="BT371" s="374">
        <f t="shared" si="715"/>
        <v>900</v>
      </c>
      <c r="BU371" s="374">
        <f t="shared" si="715"/>
        <v>900</v>
      </c>
      <c r="BV371" s="375">
        <f t="shared" si="715"/>
        <v>900</v>
      </c>
    </row>
    <row r="372" spans="1:74" ht="20.149999999999999" customHeight="1" outlineLevel="2" x14ac:dyDescent="0.25">
      <c r="A372" s="23" t="str">
        <f>'Quantidade-Cult.Perma.'!A114</f>
        <v>Gesso</v>
      </c>
      <c r="B372" s="8" t="str">
        <f>'Quantidade-Cult.Perma.'!B114</f>
        <v>T</v>
      </c>
      <c r="C372" s="284">
        <f>'Quantidade-Cult.Perma.'!D114</f>
        <v>550</v>
      </c>
      <c r="D372" s="284">
        <f>'Quantidade-Cult.Perma.'!E114</f>
        <v>0</v>
      </c>
      <c r="E372" s="284">
        <f>'Quantidade-Cult.Perma.'!F114</f>
        <v>1</v>
      </c>
      <c r="F372" s="284">
        <f>'Quantidade-Cult.Perma.'!G114</f>
        <v>1</v>
      </c>
      <c r="G372" s="284">
        <f>'Quantidade-Cult.Perma.'!H114</f>
        <v>1</v>
      </c>
      <c r="H372" s="284">
        <f>'Quantidade-Cult.Perma.'!I114</f>
        <v>1</v>
      </c>
      <c r="I372" s="284">
        <f>'Quantidade-Cult.Perma.'!J114</f>
        <v>1</v>
      </c>
      <c r="J372" s="284">
        <f>'Quantidade-Cult.Perma.'!K114</f>
        <v>1</v>
      </c>
      <c r="K372" s="284">
        <f>'Quantidade-Cult.Perma.'!L114</f>
        <v>1</v>
      </c>
      <c r="L372" s="358">
        <f>'Quantidade-Cult.Perma.'!M114</f>
        <v>1</v>
      </c>
      <c r="M372" s="358">
        <f>'Quantidade-Cult.Perma.'!N114</f>
        <v>1</v>
      </c>
      <c r="N372" s="358">
        <f t="shared" si="690"/>
        <v>0</v>
      </c>
      <c r="O372" s="358">
        <f t="shared" si="691"/>
        <v>1</v>
      </c>
      <c r="P372" s="358">
        <f t="shared" si="692"/>
        <v>1</v>
      </c>
      <c r="Q372" s="358">
        <f t="shared" si="693"/>
        <v>1</v>
      </c>
      <c r="R372" s="358">
        <f t="shared" si="694"/>
        <v>1</v>
      </c>
      <c r="S372" s="358">
        <f t="shared" si="695"/>
        <v>1</v>
      </c>
      <c r="T372" s="358">
        <f t="shared" si="696"/>
        <v>1</v>
      </c>
      <c r="U372" s="358">
        <f t="shared" si="697"/>
        <v>1</v>
      </c>
      <c r="V372" s="358">
        <f t="shared" si="698"/>
        <v>1</v>
      </c>
      <c r="W372" s="358">
        <f t="shared" si="699"/>
        <v>1</v>
      </c>
      <c r="X372" s="358">
        <f t="shared" si="700"/>
        <v>0</v>
      </c>
      <c r="Y372" s="358">
        <f t="shared" si="701"/>
        <v>1</v>
      </c>
      <c r="Z372" s="358">
        <f t="shared" si="702"/>
        <v>1</v>
      </c>
      <c r="AA372" s="358">
        <f t="shared" si="703"/>
        <v>1</v>
      </c>
      <c r="AB372" s="358">
        <f t="shared" si="704"/>
        <v>1</v>
      </c>
      <c r="AC372" s="358">
        <f t="shared" si="705"/>
        <v>1</v>
      </c>
      <c r="AD372" s="358">
        <f t="shared" si="706"/>
        <v>1</v>
      </c>
      <c r="AE372" s="358">
        <f t="shared" si="707"/>
        <v>1</v>
      </c>
      <c r="AF372" s="358">
        <f t="shared" si="708"/>
        <v>1</v>
      </c>
      <c r="AG372" s="358">
        <f t="shared" si="709"/>
        <v>1</v>
      </c>
      <c r="AH372" s="358">
        <f t="shared" si="710"/>
        <v>0</v>
      </c>
      <c r="AI372" s="358">
        <f t="shared" si="711"/>
        <v>1</v>
      </c>
      <c r="AJ372" s="358">
        <f t="shared" si="712"/>
        <v>1</v>
      </c>
      <c r="AK372" s="358">
        <f t="shared" si="713"/>
        <v>1</v>
      </c>
      <c r="AL372" s="359">
        <f t="shared" si="714"/>
        <v>1</v>
      </c>
      <c r="AM372" s="636"/>
      <c r="AN372" s="303">
        <f t="shared" ref="AN372:BV372" si="716">$C$372*D372</f>
        <v>0</v>
      </c>
      <c r="AO372" s="304">
        <f t="shared" si="716"/>
        <v>550</v>
      </c>
      <c r="AP372" s="304">
        <f t="shared" si="716"/>
        <v>550</v>
      </c>
      <c r="AQ372" s="304">
        <f t="shared" si="716"/>
        <v>550</v>
      </c>
      <c r="AR372" s="304">
        <f t="shared" si="716"/>
        <v>550</v>
      </c>
      <c r="AS372" s="304">
        <f t="shared" si="716"/>
        <v>550</v>
      </c>
      <c r="AT372" s="304">
        <f t="shared" si="716"/>
        <v>550</v>
      </c>
      <c r="AU372" s="286">
        <f t="shared" si="716"/>
        <v>550</v>
      </c>
      <c r="AV372" s="313">
        <f t="shared" si="716"/>
        <v>550</v>
      </c>
      <c r="AW372" s="313">
        <f t="shared" si="716"/>
        <v>550</v>
      </c>
      <c r="AX372" s="376">
        <f t="shared" si="716"/>
        <v>0</v>
      </c>
      <c r="AY372" s="376">
        <f t="shared" si="716"/>
        <v>550</v>
      </c>
      <c r="AZ372" s="376">
        <f t="shared" si="716"/>
        <v>550</v>
      </c>
      <c r="BA372" s="376">
        <f t="shared" si="716"/>
        <v>550</v>
      </c>
      <c r="BB372" s="376">
        <f t="shared" si="716"/>
        <v>550</v>
      </c>
      <c r="BC372" s="376">
        <f t="shared" si="716"/>
        <v>550</v>
      </c>
      <c r="BD372" s="376">
        <f t="shared" si="716"/>
        <v>550</v>
      </c>
      <c r="BE372" s="376">
        <f t="shared" si="716"/>
        <v>550</v>
      </c>
      <c r="BF372" s="376">
        <f t="shared" si="716"/>
        <v>550</v>
      </c>
      <c r="BG372" s="376">
        <f t="shared" si="716"/>
        <v>550</v>
      </c>
      <c r="BH372" s="376">
        <f t="shared" si="716"/>
        <v>0</v>
      </c>
      <c r="BI372" s="376">
        <f t="shared" si="716"/>
        <v>550</v>
      </c>
      <c r="BJ372" s="376">
        <f t="shared" si="716"/>
        <v>550</v>
      </c>
      <c r="BK372" s="376">
        <f t="shared" si="716"/>
        <v>550</v>
      </c>
      <c r="BL372" s="376">
        <f t="shared" si="716"/>
        <v>550</v>
      </c>
      <c r="BM372" s="376">
        <f t="shared" si="716"/>
        <v>550</v>
      </c>
      <c r="BN372" s="376">
        <f t="shared" si="716"/>
        <v>550</v>
      </c>
      <c r="BO372" s="376">
        <f t="shared" si="716"/>
        <v>550</v>
      </c>
      <c r="BP372" s="376">
        <f t="shared" si="716"/>
        <v>550</v>
      </c>
      <c r="BQ372" s="376">
        <f t="shared" si="716"/>
        <v>550</v>
      </c>
      <c r="BR372" s="376">
        <f t="shared" si="716"/>
        <v>0</v>
      </c>
      <c r="BS372" s="376">
        <f t="shared" si="716"/>
        <v>550</v>
      </c>
      <c r="BT372" s="376">
        <f t="shared" si="716"/>
        <v>550</v>
      </c>
      <c r="BU372" s="376">
        <f t="shared" si="716"/>
        <v>550</v>
      </c>
      <c r="BV372" s="377">
        <f t="shared" si="716"/>
        <v>550</v>
      </c>
    </row>
    <row r="373" spans="1:74" ht="20.149999999999999" customHeight="1" outlineLevel="2" x14ac:dyDescent="0.25">
      <c r="A373" s="23" t="str">
        <f>'Quantidade-Cult.Perma.'!A115</f>
        <v>Fosfatado</v>
      </c>
      <c r="B373" s="8" t="str">
        <f>'Quantidade-Cult.Perma.'!B115</f>
        <v>T</v>
      </c>
      <c r="C373" s="284">
        <f>'Quantidade-Cult.Perma.'!D115</f>
        <v>2650</v>
      </c>
      <c r="D373" s="284">
        <f>'Quantidade-Cult.Perma.'!E115</f>
        <v>0.5</v>
      </c>
      <c r="E373" s="284">
        <f>'Quantidade-Cult.Perma.'!F115</f>
        <v>0</v>
      </c>
      <c r="F373" s="284">
        <f>'Quantidade-Cult.Perma.'!G115</f>
        <v>0</v>
      </c>
      <c r="G373" s="284">
        <f>'Quantidade-Cult.Perma.'!H115</f>
        <v>0</v>
      </c>
      <c r="H373" s="284">
        <f>'Quantidade-Cult.Perma.'!I115</f>
        <v>0</v>
      </c>
      <c r="I373" s="284">
        <f>'Quantidade-Cult.Perma.'!J115</f>
        <v>0</v>
      </c>
      <c r="J373" s="284">
        <f>'Quantidade-Cult.Perma.'!K115</f>
        <v>0</v>
      </c>
      <c r="K373" s="284">
        <f>'Quantidade-Cult.Perma.'!L115</f>
        <v>0</v>
      </c>
      <c r="L373" s="358">
        <f>'Quantidade-Cult.Perma.'!M115</f>
        <v>0</v>
      </c>
      <c r="M373" s="358">
        <f>'Quantidade-Cult.Perma.'!N115</f>
        <v>0</v>
      </c>
      <c r="N373" s="358">
        <f t="shared" si="690"/>
        <v>0.5</v>
      </c>
      <c r="O373" s="358">
        <f t="shared" si="691"/>
        <v>0</v>
      </c>
      <c r="P373" s="358">
        <f t="shared" si="692"/>
        <v>0</v>
      </c>
      <c r="Q373" s="358">
        <f t="shared" si="693"/>
        <v>0</v>
      </c>
      <c r="R373" s="358">
        <f t="shared" si="694"/>
        <v>0</v>
      </c>
      <c r="S373" s="358">
        <f t="shared" si="695"/>
        <v>0</v>
      </c>
      <c r="T373" s="358">
        <f t="shared" si="696"/>
        <v>0</v>
      </c>
      <c r="U373" s="358">
        <f t="shared" si="697"/>
        <v>0</v>
      </c>
      <c r="V373" s="358">
        <f t="shared" si="698"/>
        <v>0</v>
      </c>
      <c r="W373" s="358">
        <f t="shared" si="699"/>
        <v>0</v>
      </c>
      <c r="X373" s="358">
        <f t="shared" si="700"/>
        <v>0.5</v>
      </c>
      <c r="Y373" s="358">
        <f t="shared" si="701"/>
        <v>0</v>
      </c>
      <c r="Z373" s="358">
        <f t="shared" si="702"/>
        <v>0</v>
      </c>
      <c r="AA373" s="358">
        <f t="shared" si="703"/>
        <v>0</v>
      </c>
      <c r="AB373" s="358">
        <f t="shared" si="704"/>
        <v>0</v>
      </c>
      <c r="AC373" s="358">
        <f t="shared" si="705"/>
        <v>0</v>
      </c>
      <c r="AD373" s="358">
        <f t="shared" si="706"/>
        <v>0</v>
      </c>
      <c r="AE373" s="358">
        <f t="shared" si="707"/>
        <v>0</v>
      </c>
      <c r="AF373" s="358">
        <f t="shared" si="708"/>
        <v>0</v>
      </c>
      <c r="AG373" s="358">
        <f t="shared" si="709"/>
        <v>0</v>
      </c>
      <c r="AH373" s="358">
        <f t="shared" si="710"/>
        <v>0.5</v>
      </c>
      <c r="AI373" s="358">
        <f t="shared" si="711"/>
        <v>0</v>
      </c>
      <c r="AJ373" s="358">
        <f t="shared" si="712"/>
        <v>0</v>
      </c>
      <c r="AK373" s="358">
        <f t="shared" si="713"/>
        <v>0</v>
      </c>
      <c r="AL373" s="359">
        <f t="shared" si="714"/>
        <v>0</v>
      </c>
      <c r="AM373" s="636"/>
      <c r="AN373" s="303">
        <f t="shared" ref="AN373:BV373" si="717">$C$373*D373</f>
        <v>1325</v>
      </c>
      <c r="AO373" s="304">
        <f t="shared" si="717"/>
        <v>0</v>
      </c>
      <c r="AP373" s="304">
        <f t="shared" si="717"/>
        <v>0</v>
      </c>
      <c r="AQ373" s="304">
        <f t="shared" si="717"/>
        <v>0</v>
      </c>
      <c r="AR373" s="304">
        <f t="shared" si="717"/>
        <v>0</v>
      </c>
      <c r="AS373" s="304">
        <f t="shared" si="717"/>
        <v>0</v>
      </c>
      <c r="AT373" s="304">
        <f t="shared" si="717"/>
        <v>0</v>
      </c>
      <c r="AU373" s="286">
        <f t="shared" si="717"/>
        <v>0</v>
      </c>
      <c r="AV373" s="313">
        <f t="shared" si="717"/>
        <v>0</v>
      </c>
      <c r="AW373" s="313">
        <f t="shared" si="717"/>
        <v>0</v>
      </c>
      <c r="AX373" s="376">
        <f t="shared" si="717"/>
        <v>1325</v>
      </c>
      <c r="AY373" s="376">
        <f t="shared" si="717"/>
        <v>0</v>
      </c>
      <c r="AZ373" s="376">
        <f t="shared" si="717"/>
        <v>0</v>
      </c>
      <c r="BA373" s="376">
        <f t="shared" si="717"/>
        <v>0</v>
      </c>
      <c r="BB373" s="376">
        <f t="shared" si="717"/>
        <v>0</v>
      </c>
      <c r="BC373" s="376">
        <f t="shared" si="717"/>
        <v>0</v>
      </c>
      <c r="BD373" s="376">
        <f t="shared" si="717"/>
        <v>0</v>
      </c>
      <c r="BE373" s="376">
        <f t="shared" si="717"/>
        <v>0</v>
      </c>
      <c r="BF373" s="376">
        <f t="shared" si="717"/>
        <v>0</v>
      </c>
      <c r="BG373" s="376">
        <f t="shared" si="717"/>
        <v>0</v>
      </c>
      <c r="BH373" s="376">
        <f t="shared" si="717"/>
        <v>1325</v>
      </c>
      <c r="BI373" s="376">
        <f t="shared" si="717"/>
        <v>0</v>
      </c>
      <c r="BJ373" s="376">
        <f t="shared" si="717"/>
        <v>0</v>
      </c>
      <c r="BK373" s="376">
        <f t="shared" si="717"/>
        <v>0</v>
      </c>
      <c r="BL373" s="376">
        <f t="shared" si="717"/>
        <v>0</v>
      </c>
      <c r="BM373" s="376">
        <f t="shared" si="717"/>
        <v>0</v>
      </c>
      <c r="BN373" s="376">
        <f t="shared" si="717"/>
        <v>0</v>
      </c>
      <c r="BO373" s="376">
        <f t="shared" si="717"/>
        <v>0</v>
      </c>
      <c r="BP373" s="376">
        <f t="shared" si="717"/>
        <v>0</v>
      </c>
      <c r="BQ373" s="376">
        <f t="shared" si="717"/>
        <v>0</v>
      </c>
      <c r="BR373" s="376">
        <f t="shared" si="717"/>
        <v>1325</v>
      </c>
      <c r="BS373" s="376">
        <f t="shared" si="717"/>
        <v>0</v>
      </c>
      <c r="BT373" s="376">
        <f t="shared" si="717"/>
        <v>0</v>
      </c>
      <c r="BU373" s="376">
        <f t="shared" si="717"/>
        <v>0</v>
      </c>
      <c r="BV373" s="377">
        <f t="shared" si="717"/>
        <v>0</v>
      </c>
    </row>
    <row r="374" spans="1:74" ht="20.149999999999999" customHeight="1" outlineLevel="2" x14ac:dyDescent="0.25">
      <c r="A374" s="23" t="str">
        <f>'Quantidade-Cult.Perma.'!A116</f>
        <v>KCL</v>
      </c>
      <c r="B374" s="8" t="str">
        <f>'Quantidade-Cult.Perma.'!B116</f>
        <v>T</v>
      </c>
      <c r="C374" s="284">
        <f>'Quantidade-Cult.Perma.'!D116</f>
        <v>2700</v>
      </c>
      <c r="D374" s="284">
        <f>'Quantidade-Cult.Perma.'!E116</f>
        <v>0.3</v>
      </c>
      <c r="E374" s="284">
        <f>'Quantidade-Cult.Perma.'!F116</f>
        <v>0.4</v>
      </c>
      <c r="F374" s="284">
        <f>'Quantidade-Cult.Perma.'!G116</f>
        <v>0.4</v>
      </c>
      <c r="G374" s="284">
        <f>'Quantidade-Cult.Perma.'!H116</f>
        <v>0.4</v>
      </c>
      <c r="H374" s="284">
        <f>'Quantidade-Cult.Perma.'!I116</f>
        <v>0.4</v>
      </c>
      <c r="I374" s="284">
        <f>'Quantidade-Cult.Perma.'!J116</f>
        <v>0.4</v>
      </c>
      <c r="J374" s="284">
        <f>'Quantidade-Cult.Perma.'!K116</f>
        <v>0.4</v>
      </c>
      <c r="K374" s="284">
        <f>'Quantidade-Cult.Perma.'!L116</f>
        <v>0.4</v>
      </c>
      <c r="L374" s="358">
        <f>'Quantidade-Cult.Perma.'!M116</f>
        <v>0.4</v>
      </c>
      <c r="M374" s="358">
        <f>'Quantidade-Cult.Perma.'!N116</f>
        <v>0.4</v>
      </c>
      <c r="N374" s="358">
        <f t="shared" si="690"/>
        <v>0.3</v>
      </c>
      <c r="O374" s="358">
        <f t="shared" si="691"/>
        <v>0.4</v>
      </c>
      <c r="P374" s="358">
        <f t="shared" si="692"/>
        <v>0.4</v>
      </c>
      <c r="Q374" s="358">
        <f t="shared" si="693"/>
        <v>0.4</v>
      </c>
      <c r="R374" s="358">
        <f t="shared" si="694"/>
        <v>0.4</v>
      </c>
      <c r="S374" s="358">
        <f t="shared" si="695"/>
        <v>0.4</v>
      </c>
      <c r="T374" s="358">
        <f t="shared" si="696"/>
        <v>0.4</v>
      </c>
      <c r="U374" s="358">
        <f t="shared" si="697"/>
        <v>0.4</v>
      </c>
      <c r="V374" s="358">
        <f t="shared" si="698"/>
        <v>0.4</v>
      </c>
      <c r="W374" s="358">
        <f t="shared" si="699"/>
        <v>0.4</v>
      </c>
      <c r="X374" s="358">
        <f t="shared" si="700"/>
        <v>0.3</v>
      </c>
      <c r="Y374" s="358">
        <f t="shared" si="701"/>
        <v>0.4</v>
      </c>
      <c r="Z374" s="358">
        <f t="shared" si="702"/>
        <v>0.4</v>
      </c>
      <c r="AA374" s="358">
        <f t="shared" si="703"/>
        <v>0.4</v>
      </c>
      <c r="AB374" s="358">
        <f t="shared" si="704"/>
        <v>0.4</v>
      </c>
      <c r="AC374" s="358">
        <f t="shared" si="705"/>
        <v>0.4</v>
      </c>
      <c r="AD374" s="358">
        <f t="shared" si="706"/>
        <v>0.4</v>
      </c>
      <c r="AE374" s="358">
        <f t="shared" si="707"/>
        <v>0.4</v>
      </c>
      <c r="AF374" s="358">
        <f t="shared" si="708"/>
        <v>0.4</v>
      </c>
      <c r="AG374" s="358">
        <f t="shared" si="709"/>
        <v>0.4</v>
      </c>
      <c r="AH374" s="358">
        <f t="shared" si="710"/>
        <v>0.3</v>
      </c>
      <c r="AI374" s="358">
        <f t="shared" si="711"/>
        <v>0.4</v>
      </c>
      <c r="AJ374" s="358">
        <f t="shared" si="712"/>
        <v>0.4</v>
      </c>
      <c r="AK374" s="358">
        <f t="shared" si="713"/>
        <v>0.4</v>
      </c>
      <c r="AL374" s="359">
        <f t="shared" si="714"/>
        <v>0.4</v>
      </c>
      <c r="AM374" s="636"/>
      <c r="AN374" s="303">
        <f t="shared" ref="AN374:BV374" si="718">$C$374*D374</f>
        <v>810</v>
      </c>
      <c r="AO374" s="304">
        <f t="shared" si="718"/>
        <v>1080</v>
      </c>
      <c r="AP374" s="304">
        <f t="shared" si="718"/>
        <v>1080</v>
      </c>
      <c r="AQ374" s="304">
        <f t="shared" si="718"/>
        <v>1080</v>
      </c>
      <c r="AR374" s="304">
        <f t="shared" si="718"/>
        <v>1080</v>
      </c>
      <c r="AS374" s="304">
        <f t="shared" si="718"/>
        <v>1080</v>
      </c>
      <c r="AT374" s="304">
        <f t="shared" si="718"/>
        <v>1080</v>
      </c>
      <c r="AU374" s="286">
        <f t="shared" si="718"/>
        <v>1080</v>
      </c>
      <c r="AV374" s="313">
        <f t="shared" si="718"/>
        <v>1080</v>
      </c>
      <c r="AW374" s="313">
        <f t="shared" si="718"/>
        <v>1080</v>
      </c>
      <c r="AX374" s="376">
        <f t="shared" si="718"/>
        <v>810</v>
      </c>
      <c r="AY374" s="376">
        <f t="shared" si="718"/>
        <v>1080</v>
      </c>
      <c r="AZ374" s="376">
        <f t="shared" si="718"/>
        <v>1080</v>
      </c>
      <c r="BA374" s="376">
        <f t="shared" si="718"/>
        <v>1080</v>
      </c>
      <c r="BB374" s="376">
        <f t="shared" si="718"/>
        <v>1080</v>
      </c>
      <c r="BC374" s="376">
        <f t="shared" si="718"/>
        <v>1080</v>
      </c>
      <c r="BD374" s="376">
        <f t="shared" si="718"/>
        <v>1080</v>
      </c>
      <c r="BE374" s="376">
        <f t="shared" si="718"/>
        <v>1080</v>
      </c>
      <c r="BF374" s="376">
        <f t="shared" si="718"/>
        <v>1080</v>
      </c>
      <c r="BG374" s="376">
        <f t="shared" si="718"/>
        <v>1080</v>
      </c>
      <c r="BH374" s="376">
        <f t="shared" si="718"/>
        <v>810</v>
      </c>
      <c r="BI374" s="376">
        <f t="shared" si="718"/>
        <v>1080</v>
      </c>
      <c r="BJ374" s="376">
        <f t="shared" si="718"/>
        <v>1080</v>
      </c>
      <c r="BK374" s="376">
        <f t="shared" si="718"/>
        <v>1080</v>
      </c>
      <c r="BL374" s="376">
        <f t="shared" si="718"/>
        <v>1080</v>
      </c>
      <c r="BM374" s="376">
        <f t="shared" si="718"/>
        <v>1080</v>
      </c>
      <c r="BN374" s="376">
        <f t="shared" si="718"/>
        <v>1080</v>
      </c>
      <c r="BO374" s="376">
        <f t="shared" si="718"/>
        <v>1080</v>
      </c>
      <c r="BP374" s="376">
        <f t="shared" si="718"/>
        <v>1080</v>
      </c>
      <c r="BQ374" s="376">
        <f t="shared" si="718"/>
        <v>1080</v>
      </c>
      <c r="BR374" s="376">
        <f t="shared" si="718"/>
        <v>810</v>
      </c>
      <c r="BS374" s="376">
        <f t="shared" si="718"/>
        <v>1080</v>
      </c>
      <c r="BT374" s="376">
        <f t="shared" si="718"/>
        <v>1080</v>
      </c>
      <c r="BU374" s="376">
        <f t="shared" si="718"/>
        <v>1080</v>
      </c>
      <c r="BV374" s="377">
        <f t="shared" si="718"/>
        <v>1080</v>
      </c>
    </row>
    <row r="375" spans="1:74" ht="20.149999999999999" customHeight="1" outlineLevel="2" x14ac:dyDescent="0.25">
      <c r="A375" s="23" t="str">
        <f>'Quantidade-Cult.Perma.'!A117</f>
        <v>Adubo formulado com micronutrientes</v>
      </c>
      <c r="B375" s="8" t="str">
        <f>'Quantidade-Cult.Perma.'!B117</f>
        <v>T</v>
      </c>
      <c r="C375" s="284">
        <f>'Quantidade-Cult.Perma.'!D117</f>
        <v>3550</v>
      </c>
      <c r="D375" s="284">
        <f>'Quantidade-Cult.Perma.'!E117</f>
        <v>0.55000000000000004</v>
      </c>
      <c r="E375" s="284">
        <f>'Quantidade-Cult.Perma.'!F117</f>
        <v>0</v>
      </c>
      <c r="F375" s="284">
        <f>'Quantidade-Cult.Perma.'!G117</f>
        <v>0</v>
      </c>
      <c r="G375" s="284">
        <f>'Quantidade-Cult.Perma.'!H117</f>
        <v>0</v>
      </c>
      <c r="H375" s="284">
        <f>'Quantidade-Cult.Perma.'!I117</f>
        <v>0</v>
      </c>
      <c r="I375" s="284">
        <f>'Quantidade-Cult.Perma.'!J117</f>
        <v>0</v>
      </c>
      <c r="J375" s="284">
        <f>'Quantidade-Cult.Perma.'!K117</f>
        <v>0</v>
      </c>
      <c r="K375" s="284">
        <f>'Quantidade-Cult.Perma.'!L117</f>
        <v>0</v>
      </c>
      <c r="L375" s="358">
        <f>'Quantidade-Cult.Perma.'!M117</f>
        <v>0</v>
      </c>
      <c r="M375" s="358">
        <f>'Quantidade-Cult.Perma.'!N117</f>
        <v>0</v>
      </c>
      <c r="N375" s="358">
        <f t="shared" si="690"/>
        <v>0.55000000000000004</v>
      </c>
      <c r="O375" s="358">
        <f t="shared" si="691"/>
        <v>0</v>
      </c>
      <c r="P375" s="358">
        <f t="shared" si="692"/>
        <v>0</v>
      </c>
      <c r="Q375" s="358">
        <f t="shared" si="693"/>
        <v>0</v>
      </c>
      <c r="R375" s="358">
        <f t="shared" si="694"/>
        <v>0</v>
      </c>
      <c r="S375" s="358">
        <f t="shared" si="695"/>
        <v>0</v>
      </c>
      <c r="T375" s="358">
        <f t="shared" si="696"/>
        <v>0</v>
      </c>
      <c r="U375" s="358">
        <f t="shared" si="697"/>
        <v>0</v>
      </c>
      <c r="V375" s="358">
        <f t="shared" si="698"/>
        <v>0</v>
      </c>
      <c r="W375" s="358">
        <f t="shared" si="699"/>
        <v>0</v>
      </c>
      <c r="X375" s="358">
        <f t="shared" si="700"/>
        <v>0.55000000000000004</v>
      </c>
      <c r="Y375" s="358">
        <f t="shared" si="701"/>
        <v>0</v>
      </c>
      <c r="Z375" s="358">
        <f t="shared" si="702"/>
        <v>0</v>
      </c>
      <c r="AA375" s="358">
        <f t="shared" si="703"/>
        <v>0</v>
      </c>
      <c r="AB375" s="358">
        <f t="shared" si="704"/>
        <v>0</v>
      </c>
      <c r="AC375" s="358">
        <f t="shared" si="705"/>
        <v>0</v>
      </c>
      <c r="AD375" s="358">
        <f t="shared" si="706"/>
        <v>0</v>
      </c>
      <c r="AE375" s="358">
        <f t="shared" si="707"/>
        <v>0</v>
      </c>
      <c r="AF375" s="358">
        <f t="shared" si="708"/>
        <v>0</v>
      </c>
      <c r="AG375" s="358">
        <f t="shared" si="709"/>
        <v>0</v>
      </c>
      <c r="AH375" s="358">
        <f t="shared" si="710"/>
        <v>0.55000000000000004</v>
      </c>
      <c r="AI375" s="358">
        <f t="shared" si="711"/>
        <v>0</v>
      </c>
      <c r="AJ375" s="358">
        <f t="shared" si="712"/>
        <v>0</v>
      </c>
      <c r="AK375" s="358">
        <f t="shared" si="713"/>
        <v>0</v>
      </c>
      <c r="AL375" s="359">
        <f t="shared" si="714"/>
        <v>0</v>
      </c>
      <c r="AM375" s="636"/>
      <c r="AN375" s="303">
        <f t="shared" ref="AN375:BV375" si="719">$C$375*D375</f>
        <v>1952.5000000000002</v>
      </c>
      <c r="AO375" s="304">
        <f t="shared" si="719"/>
        <v>0</v>
      </c>
      <c r="AP375" s="304">
        <f t="shared" si="719"/>
        <v>0</v>
      </c>
      <c r="AQ375" s="304">
        <f t="shared" si="719"/>
        <v>0</v>
      </c>
      <c r="AR375" s="304">
        <f t="shared" si="719"/>
        <v>0</v>
      </c>
      <c r="AS375" s="304">
        <f t="shared" si="719"/>
        <v>0</v>
      </c>
      <c r="AT375" s="304">
        <f t="shared" si="719"/>
        <v>0</v>
      </c>
      <c r="AU375" s="286">
        <f t="shared" si="719"/>
        <v>0</v>
      </c>
      <c r="AV375" s="313">
        <f t="shared" si="719"/>
        <v>0</v>
      </c>
      <c r="AW375" s="313">
        <f t="shared" si="719"/>
        <v>0</v>
      </c>
      <c r="AX375" s="376">
        <f t="shared" si="719"/>
        <v>1952.5000000000002</v>
      </c>
      <c r="AY375" s="376">
        <f t="shared" si="719"/>
        <v>0</v>
      </c>
      <c r="AZ375" s="376">
        <f t="shared" si="719"/>
        <v>0</v>
      </c>
      <c r="BA375" s="376">
        <f t="shared" si="719"/>
        <v>0</v>
      </c>
      <c r="BB375" s="376">
        <f t="shared" si="719"/>
        <v>0</v>
      </c>
      <c r="BC375" s="376">
        <f t="shared" si="719"/>
        <v>0</v>
      </c>
      <c r="BD375" s="376">
        <f t="shared" si="719"/>
        <v>0</v>
      </c>
      <c r="BE375" s="376">
        <f t="shared" si="719"/>
        <v>0</v>
      </c>
      <c r="BF375" s="376">
        <f t="shared" si="719"/>
        <v>0</v>
      </c>
      <c r="BG375" s="376">
        <f t="shared" si="719"/>
        <v>0</v>
      </c>
      <c r="BH375" s="376">
        <f t="shared" si="719"/>
        <v>1952.5000000000002</v>
      </c>
      <c r="BI375" s="376">
        <f t="shared" si="719"/>
        <v>0</v>
      </c>
      <c r="BJ375" s="376">
        <f t="shared" si="719"/>
        <v>0</v>
      </c>
      <c r="BK375" s="376">
        <f t="shared" si="719"/>
        <v>0</v>
      </c>
      <c r="BL375" s="376">
        <f t="shared" si="719"/>
        <v>0</v>
      </c>
      <c r="BM375" s="376">
        <f t="shared" si="719"/>
        <v>0</v>
      </c>
      <c r="BN375" s="376">
        <f t="shared" si="719"/>
        <v>0</v>
      </c>
      <c r="BO375" s="376">
        <f t="shared" si="719"/>
        <v>0</v>
      </c>
      <c r="BP375" s="376">
        <f t="shared" si="719"/>
        <v>0</v>
      </c>
      <c r="BQ375" s="376">
        <f t="shared" si="719"/>
        <v>0</v>
      </c>
      <c r="BR375" s="376">
        <f t="shared" si="719"/>
        <v>1952.5000000000002</v>
      </c>
      <c r="BS375" s="376">
        <f t="shared" si="719"/>
        <v>0</v>
      </c>
      <c r="BT375" s="376">
        <f t="shared" si="719"/>
        <v>0</v>
      </c>
      <c r="BU375" s="376">
        <f t="shared" si="719"/>
        <v>0</v>
      </c>
      <c r="BV375" s="377">
        <f t="shared" si="719"/>
        <v>0</v>
      </c>
    </row>
    <row r="376" spans="1:74" ht="20.149999999999999" customHeight="1" outlineLevel="2" x14ac:dyDescent="0.25">
      <c r="A376" s="23" t="str">
        <f>'Quantidade-Cult.Perma.'!A118</f>
        <v>Uréia</v>
      </c>
      <c r="B376" s="8" t="str">
        <f>'Quantidade-Cult.Perma.'!B118</f>
        <v>T</v>
      </c>
      <c r="C376" s="284">
        <f>'Quantidade-Cult.Perma.'!D118</f>
        <v>3150</v>
      </c>
      <c r="D376" s="284">
        <f>'Quantidade-Cult.Perma.'!E118</f>
        <v>0.4</v>
      </c>
      <c r="E376" s="284">
        <f>'Quantidade-Cult.Perma.'!F118</f>
        <v>0.5</v>
      </c>
      <c r="F376" s="284">
        <f>'Quantidade-Cult.Perma.'!G118</f>
        <v>0.5</v>
      </c>
      <c r="G376" s="284">
        <f>'Quantidade-Cult.Perma.'!H118</f>
        <v>0.5</v>
      </c>
      <c r="H376" s="284">
        <f>'Quantidade-Cult.Perma.'!I118</f>
        <v>0.5</v>
      </c>
      <c r="I376" s="284">
        <f>'Quantidade-Cult.Perma.'!J118</f>
        <v>0.5</v>
      </c>
      <c r="J376" s="284">
        <f>'Quantidade-Cult.Perma.'!K118</f>
        <v>0.5</v>
      </c>
      <c r="K376" s="284">
        <f>'Quantidade-Cult.Perma.'!L118</f>
        <v>0.5</v>
      </c>
      <c r="L376" s="358">
        <f>'Quantidade-Cult.Perma.'!M118</f>
        <v>0.5</v>
      </c>
      <c r="M376" s="358">
        <f>'Quantidade-Cult.Perma.'!N118</f>
        <v>0.5</v>
      </c>
      <c r="N376" s="358">
        <f t="shared" si="690"/>
        <v>0.4</v>
      </c>
      <c r="O376" s="358">
        <f t="shared" si="691"/>
        <v>0.5</v>
      </c>
      <c r="P376" s="358">
        <f t="shared" si="692"/>
        <v>0.5</v>
      </c>
      <c r="Q376" s="358">
        <f t="shared" si="693"/>
        <v>0.5</v>
      </c>
      <c r="R376" s="358">
        <f t="shared" si="694"/>
        <v>0.5</v>
      </c>
      <c r="S376" s="358">
        <f t="shared" si="695"/>
        <v>0.5</v>
      </c>
      <c r="T376" s="358">
        <f t="shared" si="696"/>
        <v>0.5</v>
      </c>
      <c r="U376" s="358">
        <f t="shared" si="697"/>
        <v>0.5</v>
      </c>
      <c r="V376" s="358">
        <f t="shared" si="698"/>
        <v>0.5</v>
      </c>
      <c r="W376" s="358">
        <f t="shared" si="699"/>
        <v>0.5</v>
      </c>
      <c r="X376" s="358">
        <f t="shared" si="700"/>
        <v>0.4</v>
      </c>
      <c r="Y376" s="358">
        <f t="shared" si="701"/>
        <v>0.5</v>
      </c>
      <c r="Z376" s="358">
        <f t="shared" si="702"/>
        <v>0.5</v>
      </c>
      <c r="AA376" s="358">
        <f t="shared" si="703"/>
        <v>0.5</v>
      </c>
      <c r="AB376" s="358">
        <f t="shared" si="704"/>
        <v>0.5</v>
      </c>
      <c r="AC376" s="358">
        <f t="shared" si="705"/>
        <v>0.5</v>
      </c>
      <c r="AD376" s="358">
        <f t="shared" si="706"/>
        <v>0.5</v>
      </c>
      <c r="AE376" s="358">
        <f t="shared" si="707"/>
        <v>0.5</v>
      </c>
      <c r="AF376" s="358">
        <f t="shared" si="708"/>
        <v>0.5</v>
      </c>
      <c r="AG376" s="358">
        <f t="shared" si="709"/>
        <v>0.5</v>
      </c>
      <c r="AH376" s="358">
        <f t="shared" si="710"/>
        <v>0.4</v>
      </c>
      <c r="AI376" s="358">
        <f t="shared" si="711"/>
        <v>0.5</v>
      </c>
      <c r="AJ376" s="358">
        <f t="shared" si="712"/>
        <v>0.5</v>
      </c>
      <c r="AK376" s="358">
        <f t="shared" si="713"/>
        <v>0.5</v>
      </c>
      <c r="AL376" s="359">
        <f t="shared" si="714"/>
        <v>0.5</v>
      </c>
      <c r="AM376" s="636"/>
      <c r="AN376" s="303">
        <f t="shared" ref="AN376:BV376" si="720">$C$376*D376</f>
        <v>1260</v>
      </c>
      <c r="AO376" s="304">
        <f t="shared" si="720"/>
        <v>1575</v>
      </c>
      <c r="AP376" s="304">
        <f t="shared" si="720"/>
        <v>1575</v>
      </c>
      <c r="AQ376" s="304">
        <f t="shared" si="720"/>
        <v>1575</v>
      </c>
      <c r="AR376" s="304">
        <f t="shared" si="720"/>
        <v>1575</v>
      </c>
      <c r="AS376" s="304">
        <f t="shared" si="720"/>
        <v>1575</v>
      </c>
      <c r="AT376" s="304">
        <f t="shared" si="720"/>
        <v>1575</v>
      </c>
      <c r="AU376" s="286">
        <f t="shared" si="720"/>
        <v>1575</v>
      </c>
      <c r="AV376" s="313">
        <f t="shared" si="720"/>
        <v>1575</v>
      </c>
      <c r="AW376" s="313">
        <f t="shared" si="720"/>
        <v>1575</v>
      </c>
      <c r="AX376" s="376">
        <f t="shared" si="720"/>
        <v>1260</v>
      </c>
      <c r="AY376" s="376">
        <f t="shared" si="720"/>
        <v>1575</v>
      </c>
      <c r="AZ376" s="376">
        <f t="shared" si="720"/>
        <v>1575</v>
      </c>
      <c r="BA376" s="376">
        <f t="shared" si="720"/>
        <v>1575</v>
      </c>
      <c r="BB376" s="376">
        <f t="shared" si="720"/>
        <v>1575</v>
      </c>
      <c r="BC376" s="376">
        <f t="shared" si="720"/>
        <v>1575</v>
      </c>
      <c r="BD376" s="376">
        <f t="shared" si="720"/>
        <v>1575</v>
      </c>
      <c r="BE376" s="376">
        <f t="shared" si="720"/>
        <v>1575</v>
      </c>
      <c r="BF376" s="376">
        <f t="shared" si="720"/>
        <v>1575</v>
      </c>
      <c r="BG376" s="376">
        <f t="shared" si="720"/>
        <v>1575</v>
      </c>
      <c r="BH376" s="376">
        <f t="shared" si="720"/>
        <v>1260</v>
      </c>
      <c r="BI376" s="376">
        <f t="shared" si="720"/>
        <v>1575</v>
      </c>
      <c r="BJ376" s="376">
        <f t="shared" si="720"/>
        <v>1575</v>
      </c>
      <c r="BK376" s="376">
        <f t="shared" si="720"/>
        <v>1575</v>
      </c>
      <c r="BL376" s="376">
        <f t="shared" si="720"/>
        <v>1575</v>
      </c>
      <c r="BM376" s="376">
        <f t="shared" si="720"/>
        <v>1575</v>
      </c>
      <c r="BN376" s="376">
        <f t="shared" si="720"/>
        <v>1575</v>
      </c>
      <c r="BO376" s="376">
        <f t="shared" si="720"/>
        <v>1575</v>
      </c>
      <c r="BP376" s="376">
        <f t="shared" si="720"/>
        <v>1575</v>
      </c>
      <c r="BQ376" s="376">
        <f t="shared" si="720"/>
        <v>1575</v>
      </c>
      <c r="BR376" s="376">
        <f t="shared" si="720"/>
        <v>1260</v>
      </c>
      <c r="BS376" s="376">
        <f t="shared" si="720"/>
        <v>1575</v>
      </c>
      <c r="BT376" s="376">
        <f t="shared" si="720"/>
        <v>1575</v>
      </c>
      <c r="BU376" s="376">
        <f t="shared" si="720"/>
        <v>1575</v>
      </c>
      <c r="BV376" s="377">
        <f t="shared" si="720"/>
        <v>1575</v>
      </c>
    </row>
    <row r="377" spans="1:74" ht="20.149999999999999" customHeight="1" outlineLevel="2" x14ac:dyDescent="0.25">
      <c r="A377" s="23" t="str">
        <f>'Quantidade-Cult.Perma.'!A119</f>
        <v>Fungicida</v>
      </c>
      <c r="B377" s="8" t="str">
        <f>'Quantidade-Cult.Perma.'!B119</f>
        <v>L</v>
      </c>
      <c r="C377" s="284">
        <f>'Quantidade-Cult.Perma.'!D119</f>
        <v>75</v>
      </c>
      <c r="D377" s="284">
        <f>'Quantidade-Cult.Perma.'!E119</f>
        <v>0</v>
      </c>
      <c r="E377" s="284">
        <f>'Quantidade-Cult.Perma.'!F119</f>
        <v>0</v>
      </c>
      <c r="F377" s="284">
        <f>'Quantidade-Cult.Perma.'!G119</f>
        <v>0</v>
      </c>
      <c r="G377" s="284">
        <f>'Quantidade-Cult.Perma.'!H119</f>
        <v>0</v>
      </c>
      <c r="H377" s="284">
        <f>'Quantidade-Cult.Perma.'!I119</f>
        <v>0</v>
      </c>
      <c r="I377" s="284">
        <f>'Quantidade-Cult.Perma.'!J119</f>
        <v>0</v>
      </c>
      <c r="J377" s="284">
        <f>'Quantidade-Cult.Perma.'!K119</f>
        <v>0</v>
      </c>
      <c r="K377" s="284">
        <f>'Quantidade-Cult.Perma.'!L119</f>
        <v>0</v>
      </c>
      <c r="L377" s="358">
        <f>'Quantidade-Cult.Perma.'!M119</f>
        <v>0</v>
      </c>
      <c r="M377" s="358">
        <f>'Quantidade-Cult.Perma.'!N119</f>
        <v>0</v>
      </c>
      <c r="N377" s="358">
        <f t="shared" si="690"/>
        <v>0</v>
      </c>
      <c r="O377" s="358">
        <f t="shared" si="691"/>
        <v>0</v>
      </c>
      <c r="P377" s="358">
        <f t="shared" si="692"/>
        <v>0</v>
      </c>
      <c r="Q377" s="358">
        <f t="shared" si="693"/>
        <v>0</v>
      </c>
      <c r="R377" s="358">
        <f t="shared" si="694"/>
        <v>0</v>
      </c>
      <c r="S377" s="358">
        <f t="shared" si="695"/>
        <v>0</v>
      </c>
      <c r="T377" s="358">
        <f t="shared" si="696"/>
        <v>0</v>
      </c>
      <c r="U377" s="358">
        <f t="shared" si="697"/>
        <v>0</v>
      </c>
      <c r="V377" s="358">
        <f t="shared" si="698"/>
        <v>0</v>
      </c>
      <c r="W377" s="358">
        <f t="shared" si="699"/>
        <v>0</v>
      </c>
      <c r="X377" s="358">
        <f t="shared" si="700"/>
        <v>0</v>
      </c>
      <c r="Y377" s="358">
        <f t="shared" si="701"/>
        <v>0</v>
      </c>
      <c r="Z377" s="358">
        <f t="shared" si="702"/>
        <v>0</v>
      </c>
      <c r="AA377" s="358">
        <f t="shared" si="703"/>
        <v>0</v>
      </c>
      <c r="AB377" s="358">
        <f t="shared" si="704"/>
        <v>0</v>
      </c>
      <c r="AC377" s="358">
        <f t="shared" si="705"/>
        <v>0</v>
      </c>
      <c r="AD377" s="358">
        <f t="shared" si="706"/>
        <v>0</v>
      </c>
      <c r="AE377" s="358">
        <f t="shared" si="707"/>
        <v>0</v>
      </c>
      <c r="AF377" s="358">
        <f t="shared" si="708"/>
        <v>0</v>
      </c>
      <c r="AG377" s="358">
        <f t="shared" si="709"/>
        <v>0</v>
      </c>
      <c r="AH377" s="358">
        <f t="shared" si="710"/>
        <v>0</v>
      </c>
      <c r="AI377" s="358">
        <f t="shared" si="711"/>
        <v>0</v>
      </c>
      <c r="AJ377" s="358">
        <f t="shared" si="712"/>
        <v>0</v>
      </c>
      <c r="AK377" s="358">
        <f t="shared" si="713"/>
        <v>0</v>
      </c>
      <c r="AL377" s="359">
        <f t="shared" si="714"/>
        <v>0</v>
      </c>
      <c r="AM377" s="636"/>
      <c r="AN377" s="303">
        <f t="shared" ref="AN377:BV377" si="721">$C$377*D377</f>
        <v>0</v>
      </c>
      <c r="AO377" s="304">
        <f t="shared" si="721"/>
        <v>0</v>
      </c>
      <c r="AP377" s="304">
        <f t="shared" si="721"/>
        <v>0</v>
      </c>
      <c r="AQ377" s="304">
        <f t="shared" si="721"/>
        <v>0</v>
      </c>
      <c r="AR377" s="304">
        <f t="shared" si="721"/>
        <v>0</v>
      </c>
      <c r="AS377" s="304">
        <f t="shared" si="721"/>
        <v>0</v>
      </c>
      <c r="AT377" s="304">
        <f t="shared" si="721"/>
        <v>0</v>
      </c>
      <c r="AU377" s="286">
        <f t="shared" si="721"/>
        <v>0</v>
      </c>
      <c r="AV377" s="313">
        <f t="shared" si="721"/>
        <v>0</v>
      </c>
      <c r="AW377" s="313">
        <f t="shared" si="721"/>
        <v>0</v>
      </c>
      <c r="AX377" s="376">
        <f t="shared" si="721"/>
        <v>0</v>
      </c>
      <c r="AY377" s="376">
        <f t="shared" si="721"/>
        <v>0</v>
      </c>
      <c r="AZ377" s="376">
        <f t="shared" si="721"/>
        <v>0</v>
      </c>
      <c r="BA377" s="376">
        <f t="shared" si="721"/>
        <v>0</v>
      </c>
      <c r="BB377" s="376">
        <f t="shared" si="721"/>
        <v>0</v>
      </c>
      <c r="BC377" s="376">
        <f t="shared" si="721"/>
        <v>0</v>
      </c>
      <c r="BD377" s="376">
        <f t="shared" si="721"/>
        <v>0</v>
      </c>
      <c r="BE377" s="376">
        <f t="shared" si="721"/>
        <v>0</v>
      </c>
      <c r="BF377" s="376">
        <f t="shared" si="721"/>
        <v>0</v>
      </c>
      <c r="BG377" s="376">
        <f t="shared" si="721"/>
        <v>0</v>
      </c>
      <c r="BH377" s="376">
        <f t="shared" si="721"/>
        <v>0</v>
      </c>
      <c r="BI377" s="376">
        <f t="shared" si="721"/>
        <v>0</v>
      </c>
      <c r="BJ377" s="376">
        <f t="shared" si="721"/>
        <v>0</v>
      </c>
      <c r="BK377" s="376">
        <f t="shared" si="721"/>
        <v>0</v>
      </c>
      <c r="BL377" s="376">
        <f t="shared" si="721"/>
        <v>0</v>
      </c>
      <c r="BM377" s="376">
        <f t="shared" si="721"/>
        <v>0</v>
      </c>
      <c r="BN377" s="376">
        <f t="shared" si="721"/>
        <v>0</v>
      </c>
      <c r="BO377" s="376">
        <f t="shared" si="721"/>
        <v>0</v>
      </c>
      <c r="BP377" s="376">
        <f t="shared" si="721"/>
        <v>0</v>
      </c>
      <c r="BQ377" s="376">
        <f t="shared" si="721"/>
        <v>0</v>
      </c>
      <c r="BR377" s="376">
        <f t="shared" si="721"/>
        <v>0</v>
      </c>
      <c r="BS377" s="376">
        <f t="shared" si="721"/>
        <v>0</v>
      </c>
      <c r="BT377" s="376">
        <f t="shared" si="721"/>
        <v>0</v>
      </c>
      <c r="BU377" s="376">
        <f t="shared" si="721"/>
        <v>0</v>
      </c>
      <c r="BV377" s="377">
        <f t="shared" si="721"/>
        <v>0</v>
      </c>
    </row>
    <row r="378" spans="1:74" ht="20.149999999999999" customHeight="1" outlineLevel="2" x14ac:dyDescent="0.25">
      <c r="A378" s="23" t="str">
        <f>'Quantidade-Cult.Perma.'!A120</f>
        <v>Inseticida</v>
      </c>
      <c r="B378" s="8" t="str">
        <f>'Quantidade-Cult.Perma.'!B120</f>
        <v>L</v>
      </c>
      <c r="C378" s="284">
        <f>'Quantidade-Cult.Perma.'!D120</f>
        <v>40</v>
      </c>
      <c r="D378" s="284">
        <f>'Quantidade-Cult.Perma.'!E120</f>
        <v>0</v>
      </c>
      <c r="E378" s="284">
        <f>'Quantidade-Cult.Perma.'!F120</f>
        <v>0</v>
      </c>
      <c r="F378" s="284">
        <f>'Quantidade-Cult.Perma.'!G120</f>
        <v>0</v>
      </c>
      <c r="G378" s="284">
        <f>'Quantidade-Cult.Perma.'!H120</f>
        <v>0</v>
      </c>
      <c r="H378" s="284">
        <f>'Quantidade-Cult.Perma.'!I120</f>
        <v>0</v>
      </c>
      <c r="I378" s="284">
        <f>'Quantidade-Cult.Perma.'!J120</f>
        <v>0</v>
      </c>
      <c r="J378" s="284">
        <f>'Quantidade-Cult.Perma.'!K120</f>
        <v>0</v>
      </c>
      <c r="K378" s="284">
        <f>'Quantidade-Cult.Perma.'!L120</f>
        <v>0</v>
      </c>
      <c r="L378" s="358">
        <f>'Quantidade-Cult.Perma.'!M120</f>
        <v>0</v>
      </c>
      <c r="M378" s="358">
        <f>'Quantidade-Cult.Perma.'!N120</f>
        <v>0</v>
      </c>
      <c r="N378" s="358">
        <f t="shared" si="690"/>
        <v>0</v>
      </c>
      <c r="O378" s="358">
        <f t="shared" si="691"/>
        <v>0</v>
      </c>
      <c r="P378" s="358">
        <f t="shared" si="692"/>
        <v>0</v>
      </c>
      <c r="Q378" s="358">
        <f t="shared" si="693"/>
        <v>0</v>
      </c>
      <c r="R378" s="358">
        <f t="shared" si="694"/>
        <v>0</v>
      </c>
      <c r="S378" s="358">
        <f t="shared" si="695"/>
        <v>0</v>
      </c>
      <c r="T378" s="358">
        <f t="shared" si="696"/>
        <v>0</v>
      </c>
      <c r="U378" s="358">
        <f t="shared" si="697"/>
        <v>0</v>
      </c>
      <c r="V378" s="358">
        <f t="shared" si="698"/>
        <v>0</v>
      </c>
      <c r="W378" s="358">
        <f t="shared" si="699"/>
        <v>0</v>
      </c>
      <c r="X378" s="358">
        <f t="shared" si="700"/>
        <v>0</v>
      </c>
      <c r="Y378" s="358">
        <f t="shared" si="701"/>
        <v>0</v>
      </c>
      <c r="Z378" s="358">
        <f t="shared" si="702"/>
        <v>0</v>
      </c>
      <c r="AA378" s="358">
        <f t="shared" si="703"/>
        <v>0</v>
      </c>
      <c r="AB378" s="358">
        <f t="shared" si="704"/>
        <v>0</v>
      </c>
      <c r="AC378" s="358">
        <f t="shared" si="705"/>
        <v>0</v>
      </c>
      <c r="AD378" s="358">
        <f t="shared" si="706"/>
        <v>0</v>
      </c>
      <c r="AE378" s="358">
        <f t="shared" si="707"/>
        <v>0</v>
      </c>
      <c r="AF378" s="358">
        <f t="shared" si="708"/>
        <v>0</v>
      </c>
      <c r="AG378" s="358">
        <f t="shared" si="709"/>
        <v>0</v>
      </c>
      <c r="AH378" s="358">
        <f t="shared" si="710"/>
        <v>0</v>
      </c>
      <c r="AI378" s="358">
        <f t="shared" si="711"/>
        <v>0</v>
      </c>
      <c r="AJ378" s="358">
        <f t="shared" si="712"/>
        <v>0</v>
      </c>
      <c r="AK378" s="358">
        <f t="shared" si="713"/>
        <v>0</v>
      </c>
      <c r="AL378" s="359">
        <f t="shared" si="714"/>
        <v>0</v>
      </c>
      <c r="AM378" s="636"/>
      <c r="AN378" s="303">
        <f t="shared" ref="AN378:BV378" si="722">$C$378*D378</f>
        <v>0</v>
      </c>
      <c r="AO378" s="304">
        <f t="shared" si="722"/>
        <v>0</v>
      </c>
      <c r="AP378" s="304">
        <f t="shared" si="722"/>
        <v>0</v>
      </c>
      <c r="AQ378" s="304">
        <f t="shared" si="722"/>
        <v>0</v>
      </c>
      <c r="AR378" s="304">
        <f t="shared" si="722"/>
        <v>0</v>
      </c>
      <c r="AS378" s="304">
        <f t="shared" si="722"/>
        <v>0</v>
      </c>
      <c r="AT378" s="304">
        <f t="shared" si="722"/>
        <v>0</v>
      </c>
      <c r="AU378" s="286">
        <f t="shared" si="722"/>
        <v>0</v>
      </c>
      <c r="AV378" s="313">
        <f t="shared" si="722"/>
        <v>0</v>
      </c>
      <c r="AW378" s="313">
        <f t="shared" si="722"/>
        <v>0</v>
      </c>
      <c r="AX378" s="376">
        <f t="shared" si="722"/>
        <v>0</v>
      </c>
      <c r="AY378" s="376">
        <f t="shared" si="722"/>
        <v>0</v>
      </c>
      <c r="AZ378" s="376">
        <f t="shared" si="722"/>
        <v>0</v>
      </c>
      <c r="BA378" s="376">
        <f t="shared" si="722"/>
        <v>0</v>
      </c>
      <c r="BB378" s="376">
        <f t="shared" si="722"/>
        <v>0</v>
      </c>
      <c r="BC378" s="376">
        <f t="shared" si="722"/>
        <v>0</v>
      </c>
      <c r="BD378" s="376">
        <f t="shared" si="722"/>
        <v>0</v>
      </c>
      <c r="BE378" s="376">
        <f t="shared" si="722"/>
        <v>0</v>
      </c>
      <c r="BF378" s="376">
        <f t="shared" si="722"/>
        <v>0</v>
      </c>
      <c r="BG378" s="376">
        <f t="shared" si="722"/>
        <v>0</v>
      </c>
      <c r="BH378" s="376">
        <f t="shared" si="722"/>
        <v>0</v>
      </c>
      <c r="BI378" s="376">
        <f t="shared" si="722"/>
        <v>0</v>
      </c>
      <c r="BJ378" s="376">
        <f t="shared" si="722"/>
        <v>0</v>
      </c>
      <c r="BK378" s="376">
        <f t="shared" si="722"/>
        <v>0</v>
      </c>
      <c r="BL378" s="376">
        <f t="shared" si="722"/>
        <v>0</v>
      </c>
      <c r="BM378" s="376">
        <f t="shared" si="722"/>
        <v>0</v>
      </c>
      <c r="BN378" s="376">
        <f t="shared" si="722"/>
        <v>0</v>
      </c>
      <c r="BO378" s="376">
        <f t="shared" si="722"/>
        <v>0</v>
      </c>
      <c r="BP378" s="376">
        <f t="shared" si="722"/>
        <v>0</v>
      </c>
      <c r="BQ378" s="376">
        <f t="shared" si="722"/>
        <v>0</v>
      </c>
      <c r="BR378" s="376">
        <f t="shared" si="722"/>
        <v>0</v>
      </c>
      <c r="BS378" s="376">
        <f t="shared" si="722"/>
        <v>0</v>
      </c>
      <c r="BT378" s="376">
        <f t="shared" si="722"/>
        <v>0</v>
      </c>
      <c r="BU378" s="376">
        <f t="shared" si="722"/>
        <v>0</v>
      </c>
      <c r="BV378" s="377">
        <f t="shared" si="722"/>
        <v>0</v>
      </c>
    </row>
    <row r="379" spans="1:74" ht="20.149999999999999" customHeight="1" outlineLevel="2" x14ac:dyDescent="0.25">
      <c r="A379" s="23" t="str">
        <f>'Quantidade-Cult.Perma.'!A121</f>
        <v>Cupinicida</v>
      </c>
      <c r="B379" s="8" t="str">
        <f>'Quantidade-Cult.Perma.'!B121</f>
        <v>KG</v>
      </c>
      <c r="C379" s="284">
        <f>'Quantidade-Cult.Perma.'!D121</f>
        <v>800</v>
      </c>
      <c r="D379" s="284">
        <f>'Quantidade-Cult.Perma.'!E121</f>
        <v>0.3</v>
      </c>
      <c r="E379" s="284">
        <f>'Quantidade-Cult.Perma.'!F121</f>
        <v>0</v>
      </c>
      <c r="F379" s="284">
        <f>'Quantidade-Cult.Perma.'!G121</f>
        <v>0</v>
      </c>
      <c r="G379" s="284">
        <f>'Quantidade-Cult.Perma.'!H121</f>
        <v>0</v>
      </c>
      <c r="H379" s="284">
        <f>'Quantidade-Cult.Perma.'!I121</f>
        <v>0</v>
      </c>
      <c r="I379" s="284">
        <f>'Quantidade-Cult.Perma.'!J121</f>
        <v>0</v>
      </c>
      <c r="J379" s="284">
        <f>'Quantidade-Cult.Perma.'!K121</f>
        <v>0</v>
      </c>
      <c r="K379" s="284">
        <f>'Quantidade-Cult.Perma.'!L121</f>
        <v>0</v>
      </c>
      <c r="L379" s="358">
        <f>'Quantidade-Cult.Perma.'!M121</f>
        <v>0</v>
      </c>
      <c r="M379" s="358">
        <f>'Quantidade-Cult.Perma.'!N121</f>
        <v>0</v>
      </c>
      <c r="N379" s="358">
        <f t="shared" si="690"/>
        <v>0.3</v>
      </c>
      <c r="O379" s="358">
        <f t="shared" si="691"/>
        <v>0</v>
      </c>
      <c r="P379" s="358">
        <f t="shared" si="692"/>
        <v>0</v>
      </c>
      <c r="Q379" s="358">
        <f t="shared" si="693"/>
        <v>0</v>
      </c>
      <c r="R379" s="358">
        <f t="shared" si="694"/>
        <v>0</v>
      </c>
      <c r="S379" s="358">
        <f t="shared" si="695"/>
        <v>0</v>
      </c>
      <c r="T379" s="358">
        <f t="shared" si="696"/>
        <v>0</v>
      </c>
      <c r="U379" s="358">
        <f t="shared" si="697"/>
        <v>0</v>
      </c>
      <c r="V379" s="358">
        <f t="shared" si="698"/>
        <v>0</v>
      </c>
      <c r="W379" s="358">
        <f t="shared" si="699"/>
        <v>0</v>
      </c>
      <c r="X379" s="358">
        <f t="shared" si="700"/>
        <v>0.3</v>
      </c>
      <c r="Y379" s="358">
        <f t="shared" si="701"/>
        <v>0</v>
      </c>
      <c r="Z379" s="358">
        <f t="shared" si="702"/>
        <v>0</v>
      </c>
      <c r="AA379" s="358">
        <f t="shared" si="703"/>
        <v>0</v>
      </c>
      <c r="AB379" s="358">
        <f t="shared" si="704"/>
        <v>0</v>
      </c>
      <c r="AC379" s="358">
        <f t="shared" si="705"/>
        <v>0</v>
      </c>
      <c r="AD379" s="358">
        <f t="shared" si="706"/>
        <v>0</v>
      </c>
      <c r="AE379" s="358">
        <f t="shared" si="707"/>
        <v>0</v>
      </c>
      <c r="AF379" s="358">
        <f t="shared" si="708"/>
        <v>0</v>
      </c>
      <c r="AG379" s="358">
        <f t="shared" si="709"/>
        <v>0</v>
      </c>
      <c r="AH379" s="358">
        <f t="shared" si="710"/>
        <v>0.3</v>
      </c>
      <c r="AI379" s="358">
        <f t="shared" si="711"/>
        <v>0</v>
      </c>
      <c r="AJ379" s="358">
        <f t="shared" si="712"/>
        <v>0</v>
      </c>
      <c r="AK379" s="358">
        <f t="shared" si="713"/>
        <v>0</v>
      </c>
      <c r="AL379" s="359">
        <f t="shared" si="714"/>
        <v>0</v>
      </c>
      <c r="AM379" s="636"/>
      <c r="AN379" s="303">
        <f t="shared" ref="AN379:BV379" si="723">$C$379*D379</f>
        <v>240</v>
      </c>
      <c r="AO379" s="304">
        <f t="shared" si="723"/>
        <v>0</v>
      </c>
      <c r="AP379" s="304">
        <f t="shared" si="723"/>
        <v>0</v>
      </c>
      <c r="AQ379" s="304">
        <f t="shared" si="723"/>
        <v>0</v>
      </c>
      <c r="AR379" s="304">
        <f t="shared" si="723"/>
        <v>0</v>
      </c>
      <c r="AS379" s="304">
        <f t="shared" si="723"/>
        <v>0</v>
      </c>
      <c r="AT379" s="304">
        <f t="shared" si="723"/>
        <v>0</v>
      </c>
      <c r="AU379" s="286">
        <f t="shared" si="723"/>
        <v>0</v>
      </c>
      <c r="AV379" s="313">
        <f t="shared" si="723"/>
        <v>0</v>
      </c>
      <c r="AW379" s="313">
        <f t="shared" si="723"/>
        <v>0</v>
      </c>
      <c r="AX379" s="376">
        <f t="shared" si="723"/>
        <v>240</v>
      </c>
      <c r="AY379" s="376">
        <f t="shared" si="723"/>
        <v>0</v>
      </c>
      <c r="AZ379" s="376">
        <f t="shared" si="723"/>
        <v>0</v>
      </c>
      <c r="BA379" s="376">
        <f t="shared" si="723"/>
        <v>0</v>
      </c>
      <c r="BB379" s="376">
        <f t="shared" si="723"/>
        <v>0</v>
      </c>
      <c r="BC379" s="376">
        <f t="shared" si="723"/>
        <v>0</v>
      </c>
      <c r="BD379" s="376">
        <f t="shared" si="723"/>
        <v>0</v>
      </c>
      <c r="BE379" s="376">
        <f t="shared" si="723"/>
        <v>0</v>
      </c>
      <c r="BF379" s="376">
        <f t="shared" si="723"/>
        <v>0</v>
      </c>
      <c r="BG379" s="376">
        <f t="shared" si="723"/>
        <v>0</v>
      </c>
      <c r="BH379" s="376">
        <f t="shared" si="723"/>
        <v>240</v>
      </c>
      <c r="BI379" s="376">
        <f t="shared" si="723"/>
        <v>0</v>
      </c>
      <c r="BJ379" s="376">
        <f t="shared" si="723"/>
        <v>0</v>
      </c>
      <c r="BK379" s="376">
        <f t="shared" si="723"/>
        <v>0</v>
      </c>
      <c r="BL379" s="376">
        <f t="shared" si="723"/>
        <v>0</v>
      </c>
      <c r="BM379" s="376">
        <f t="shared" si="723"/>
        <v>0</v>
      </c>
      <c r="BN379" s="376">
        <f t="shared" si="723"/>
        <v>0</v>
      </c>
      <c r="BO379" s="376">
        <f t="shared" si="723"/>
        <v>0</v>
      </c>
      <c r="BP379" s="376">
        <f t="shared" si="723"/>
        <v>0</v>
      </c>
      <c r="BQ379" s="376">
        <f t="shared" si="723"/>
        <v>0</v>
      </c>
      <c r="BR379" s="376">
        <f t="shared" si="723"/>
        <v>240</v>
      </c>
      <c r="BS379" s="376">
        <f t="shared" si="723"/>
        <v>0</v>
      </c>
      <c r="BT379" s="376">
        <f t="shared" si="723"/>
        <v>0</v>
      </c>
      <c r="BU379" s="376">
        <f t="shared" si="723"/>
        <v>0</v>
      </c>
      <c r="BV379" s="377">
        <f t="shared" si="723"/>
        <v>0</v>
      </c>
    </row>
    <row r="380" spans="1:74" ht="20.149999999999999" customHeight="1" outlineLevel="2" x14ac:dyDescent="0.25">
      <c r="A380" s="23" t="str">
        <f>'Quantidade-Cult.Perma.'!A122</f>
        <v>Nematicida</v>
      </c>
      <c r="B380" s="8" t="str">
        <f>'Quantidade-Cult.Perma.'!B122</f>
        <v>L</v>
      </c>
      <c r="C380" s="284">
        <f>'Quantidade-Cult.Perma.'!D122</f>
        <v>210</v>
      </c>
      <c r="D380" s="284">
        <f>'Quantidade-Cult.Perma.'!E122</f>
        <v>0.2</v>
      </c>
      <c r="E380" s="284">
        <f>'Quantidade-Cult.Perma.'!F122</f>
        <v>0</v>
      </c>
      <c r="F380" s="284">
        <f>'Quantidade-Cult.Perma.'!G122</f>
        <v>0</v>
      </c>
      <c r="G380" s="284">
        <f>'Quantidade-Cult.Perma.'!H122</f>
        <v>0</v>
      </c>
      <c r="H380" s="284">
        <f>'Quantidade-Cult.Perma.'!I122</f>
        <v>0</v>
      </c>
      <c r="I380" s="284">
        <f>'Quantidade-Cult.Perma.'!J122</f>
        <v>0</v>
      </c>
      <c r="J380" s="284">
        <f>'Quantidade-Cult.Perma.'!K122</f>
        <v>0</v>
      </c>
      <c r="K380" s="284">
        <f>'Quantidade-Cult.Perma.'!L122</f>
        <v>0</v>
      </c>
      <c r="L380" s="358">
        <f>'Quantidade-Cult.Perma.'!M122</f>
        <v>0</v>
      </c>
      <c r="M380" s="358">
        <f>'Quantidade-Cult.Perma.'!N122</f>
        <v>0</v>
      </c>
      <c r="N380" s="358">
        <f t="shared" si="690"/>
        <v>0.2</v>
      </c>
      <c r="O380" s="358">
        <f t="shared" si="691"/>
        <v>0</v>
      </c>
      <c r="P380" s="358">
        <f t="shared" si="692"/>
        <v>0</v>
      </c>
      <c r="Q380" s="358">
        <f t="shared" si="693"/>
        <v>0</v>
      </c>
      <c r="R380" s="358">
        <f t="shared" si="694"/>
        <v>0</v>
      </c>
      <c r="S380" s="358">
        <f t="shared" si="695"/>
        <v>0</v>
      </c>
      <c r="T380" s="358">
        <f t="shared" si="696"/>
        <v>0</v>
      </c>
      <c r="U380" s="358">
        <f t="shared" si="697"/>
        <v>0</v>
      </c>
      <c r="V380" s="358">
        <f t="shared" si="698"/>
        <v>0</v>
      </c>
      <c r="W380" s="358">
        <f t="shared" si="699"/>
        <v>0</v>
      </c>
      <c r="X380" s="358">
        <f t="shared" si="700"/>
        <v>0.2</v>
      </c>
      <c r="Y380" s="358">
        <f t="shared" si="701"/>
        <v>0</v>
      </c>
      <c r="Z380" s="358">
        <f t="shared" si="702"/>
        <v>0</v>
      </c>
      <c r="AA380" s="358">
        <f t="shared" si="703"/>
        <v>0</v>
      </c>
      <c r="AB380" s="358">
        <f t="shared" si="704"/>
        <v>0</v>
      </c>
      <c r="AC380" s="358">
        <f t="shared" si="705"/>
        <v>0</v>
      </c>
      <c r="AD380" s="358">
        <f t="shared" si="706"/>
        <v>0</v>
      </c>
      <c r="AE380" s="358">
        <f t="shared" si="707"/>
        <v>0</v>
      </c>
      <c r="AF380" s="358">
        <f t="shared" si="708"/>
        <v>0</v>
      </c>
      <c r="AG380" s="358">
        <f t="shared" si="709"/>
        <v>0</v>
      </c>
      <c r="AH380" s="358">
        <f t="shared" si="710"/>
        <v>0.2</v>
      </c>
      <c r="AI380" s="358">
        <f t="shared" si="711"/>
        <v>0</v>
      </c>
      <c r="AJ380" s="358">
        <f t="shared" si="712"/>
        <v>0</v>
      </c>
      <c r="AK380" s="358">
        <f t="shared" si="713"/>
        <v>0</v>
      </c>
      <c r="AL380" s="359">
        <f t="shared" si="714"/>
        <v>0</v>
      </c>
      <c r="AM380" s="636"/>
      <c r="AN380" s="303">
        <f t="shared" ref="AN380:BV380" si="724">$C$380*D380</f>
        <v>42</v>
      </c>
      <c r="AO380" s="304">
        <f t="shared" si="724"/>
        <v>0</v>
      </c>
      <c r="AP380" s="304">
        <f t="shared" si="724"/>
        <v>0</v>
      </c>
      <c r="AQ380" s="304">
        <f t="shared" si="724"/>
        <v>0</v>
      </c>
      <c r="AR380" s="304">
        <f t="shared" si="724"/>
        <v>0</v>
      </c>
      <c r="AS380" s="304">
        <f t="shared" si="724"/>
        <v>0</v>
      </c>
      <c r="AT380" s="304">
        <f t="shared" si="724"/>
        <v>0</v>
      </c>
      <c r="AU380" s="286">
        <f t="shared" si="724"/>
        <v>0</v>
      </c>
      <c r="AV380" s="313">
        <f t="shared" si="724"/>
        <v>0</v>
      </c>
      <c r="AW380" s="313">
        <f t="shared" si="724"/>
        <v>0</v>
      </c>
      <c r="AX380" s="376">
        <f t="shared" si="724"/>
        <v>42</v>
      </c>
      <c r="AY380" s="376">
        <f t="shared" si="724"/>
        <v>0</v>
      </c>
      <c r="AZ380" s="376">
        <f t="shared" si="724"/>
        <v>0</v>
      </c>
      <c r="BA380" s="376">
        <f t="shared" si="724"/>
        <v>0</v>
      </c>
      <c r="BB380" s="376">
        <f t="shared" si="724"/>
        <v>0</v>
      </c>
      <c r="BC380" s="376">
        <f t="shared" si="724"/>
        <v>0</v>
      </c>
      <c r="BD380" s="376">
        <f t="shared" si="724"/>
        <v>0</v>
      </c>
      <c r="BE380" s="376">
        <f t="shared" si="724"/>
        <v>0</v>
      </c>
      <c r="BF380" s="376">
        <f t="shared" si="724"/>
        <v>0</v>
      </c>
      <c r="BG380" s="376">
        <f t="shared" si="724"/>
        <v>0</v>
      </c>
      <c r="BH380" s="376">
        <f t="shared" si="724"/>
        <v>42</v>
      </c>
      <c r="BI380" s="376">
        <f t="shared" si="724"/>
        <v>0</v>
      </c>
      <c r="BJ380" s="376">
        <f t="shared" si="724"/>
        <v>0</v>
      </c>
      <c r="BK380" s="376">
        <f t="shared" si="724"/>
        <v>0</v>
      </c>
      <c r="BL380" s="376">
        <f t="shared" si="724"/>
        <v>0</v>
      </c>
      <c r="BM380" s="376">
        <f t="shared" si="724"/>
        <v>0</v>
      </c>
      <c r="BN380" s="376">
        <f t="shared" si="724"/>
        <v>0</v>
      </c>
      <c r="BO380" s="376">
        <f t="shared" si="724"/>
        <v>0</v>
      </c>
      <c r="BP380" s="376">
        <f t="shared" si="724"/>
        <v>0</v>
      </c>
      <c r="BQ380" s="376">
        <f t="shared" si="724"/>
        <v>0</v>
      </c>
      <c r="BR380" s="376">
        <f t="shared" si="724"/>
        <v>42</v>
      </c>
      <c r="BS380" s="376">
        <f t="shared" si="724"/>
        <v>0</v>
      </c>
      <c r="BT380" s="376">
        <f t="shared" si="724"/>
        <v>0</v>
      </c>
      <c r="BU380" s="376">
        <f t="shared" si="724"/>
        <v>0</v>
      </c>
      <c r="BV380" s="377">
        <f t="shared" si="724"/>
        <v>0</v>
      </c>
    </row>
    <row r="381" spans="1:74" ht="20.149999999999999" customHeight="1" outlineLevel="2" x14ac:dyDescent="0.25">
      <c r="A381" s="23" t="str">
        <f>'Quantidade-Cult.Perma.'!A123</f>
        <v>Formicida</v>
      </c>
      <c r="B381" s="8" t="str">
        <f>'Quantidade-Cult.Perma.'!B123</f>
        <v>KG</v>
      </c>
      <c r="C381" s="284">
        <f>'Quantidade-Cult.Perma.'!D123</f>
        <v>7.5</v>
      </c>
      <c r="D381" s="284">
        <f>'Quantidade-Cult.Perma.'!E123</f>
        <v>0</v>
      </c>
      <c r="E381" s="284">
        <f>'Quantidade-Cult.Perma.'!F123</f>
        <v>0</v>
      </c>
      <c r="F381" s="284">
        <f>'Quantidade-Cult.Perma.'!G123</f>
        <v>0</v>
      </c>
      <c r="G381" s="284">
        <f>'Quantidade-Cult.Perma.'!H123</f>
        <v>0</v>
      </c>
      <c r="H381" s="284">
        <f>'Quantidade-Cult.Perma.'!I123</f>
        <v>0</v>
      </c>
      <c r="I381" s="284">
        <f>'Quantidade-Cult.Perma.'!J123</f>
        <v>0</v>
      </c>
      <c r="J381" s="284">
        <f>'Quantidade-Cult.Perma.'!K123</f>
        <v>0</v>
      </c>
      <c r="K381" s="284">
        <f>'Quantidade-Cult.Perma.'!L123</f>
        <v>0</v>
      </c>
      <c r="L381" s="358">
        <f>'Quantidade-Cult.Perma.'!M123</f>
        <v>0</v>
      </c>
      <c r="M381" s="358">
        <f>'Quantidade-Cult.Perma.'!N123</f>
        <v>0</v>
      </c>
      <c r="N381" s="358">
        <f t="shared" si="690"/>
        <v>0</v>
      </c>
      <c r="O381" s="358">
        <f t="shared" si="691"/>
        <v>0</v>
      </c>
      <c r="P381" s="358">
        <f t="shared" si="692"/>
        <v>0</v>
      </c>
      <c r="Q381" s="358">
        <f t="shared" si="693"/>
        <v>0</v>
      </c>
      <c r="R381" s="358">
        <f t="shared" si="694"/>
        <v>0</v>
      </c>
      <c r="S381" s="358">
        <f t="shared" si="695"/>
        <v>0</v>
      </c>
      <c r="T381" s="358">
        <f t="shared" si="696"/>
        <v>0</v>
      </c>
      <c r="U381" s="358">
        <f t="shared" si="697"/>
        <v>0</v>
      </c>
      <c r="V381" s="358">
        <f t="shared" si="698"/>
        <v>0</v>
      </c>
      <c r="W381" s="358">
        <f t="shared" si="699"/>
        <v>0</v>
      </c>
      <c r="X381" s="358">
        <f t="shared" si="700"/>
        <v>0</v>
      </c>
      <c r="Y381" s="358">
        <f t="shared" si="701"/>
        <v>0</v>
      </c>
      <c r="Z381" s="358">
        <f t="shared" si="702"/>
        <v>0</v>
      </c>
      <c r="AA381" s="358">
        <f t="shared" si="703"/>
        <v>0</v>
      </c>
      <c r="AB381" s="358">
        <f t="shared" si="704"/>
        <v>0</v>
      </c>
      <c r="AC381" s="358">
        <f t="shared" si="705"/>
        <v>0</v>
      </c>
      <c r="AD381" s="358">
        <f t="shared" si="706"/>
        <v>0</v>
      </c>
      <c r="AE381" s="358">
        <f t="shared" si="707"/>
        <v>0</v>
      </c>
      <c r="AF381" s="358">
        <f t="shared" si="708"/>
        <v>0</v>
      </c>
      <c r="AG381" s="358">
        <f t="shared" si="709"/>
        <v>0</v>
      </c>
      <c r="AH381" s="358">
        <f t="shared" si="710"/>
        <v>0</v>
      </c>
      <c r="AI381" s="358">
        <f t="shared" si="711"/>
        <v>0</v>
      </c>
      <c r="AJ381" s="358">
        <f t="shared" si="712"/>
        <v>0</v>
      </c>
      <c r="AK381" s="358">
        <f t="shared" si="713"/>
        <v>0</v>
      </c>
      <c r="AL381" s="359">
        <f t="shared" si="714"/>
        <v>0</v>
      </c>
      <c r="AM381" s="636"/>
      <c r="AN381" s="303">
        <f t="shared" ref="AN381:BV381" si="725">$C$381*D381</f>
        <v>0</v>
      </c>
      <c r="AO381" s="304">
        <f t="shared" si="725"/>
        <v>0</v>
      </c>
      <c r="AP381" s="304">
        <f t="shared" si="725"/>
        <v>0</v>
      </c>
      <c r="AQ381" s="304">
        <f t="shared" si="725"/>
        <v>0</v>
      </c>
      <c r="AR381" s="304">
        <f t="shared" si="725"/>
        <v>0</v>
      </c>
      <c r="AS381" s="304">
        <f t="shared" si="725"/>
        <v>0</v>
      </c>
      <c r="AT381" s="304">
        <f t="shared" si="725"/>
        <v>0</v>
      </c>
      <c r="AU381" s="286">
        <f t="shared" si="725"/>
        <v>0</v>
      </c>
      <c r="AV381" s="313">
        <f t="shared" si="725"/>
        <v>0</v>
      </c>
      <c r="AW381" s="313">
        <f t="shared" si="725"/>
        <v>0</v>
      </c>
      <c r="AX381" s="376">
        <f t="shared" si="725"/>
        <v>0</v>
      </c>
      <c r="AY381" s="376">
        <f t="shared" si="725"/>
        <v>0</v>
      </c>
      <c r="AZ381" s="376">
        <f t="shared" si="725"/>
        <v>0</v>
      </c>
      <c r="BA381" s="376">
        <f t="shared" si="725"/>
        <v>0</v>
      </c>
      <c r="BB381" s="376">
        <f t="shared" si="725"/>
        <v>0</v>
      </c>
      <c r="BC381" s="376">
        <f t="shared" si="725"/>
        <v>0</v>
      </c>
      <c r="BD381" s="376">
        <f t="shared" si="725"/>
        <v>0</v>
      </c>
      <c r="BE381" s="376">
        <f t="shared" si="725"/>
        <v>0</v>
      </c>
      <c r="BF381" s="376">
        <f t="shared" si="725"/>
        <v>0</v>
      </c>
      <c r="BG381" s="376">
        <f t="shared" si="725"/>
        <v>0</v>
      </c>
      <c r="BH381" s="376">
        <f t="shared" si="725"/>
        <v>0</v>
      </c>
      <c r="BI381" s="376">
        <f t="shared" si="725"/>
        <v>0</v>
      </c>
      <c r="BJ381" s="376">
        <f t="shared" si="725"/>
        <v>0</v>
      </c>
      <c r="BK381" s="376">
        <f t="shared" si="725"/>
        <v>0</v>
      </c>
      <c r="BL381" s="376">
        <f t="shared" si="725"/>
        <v>0</v>
      </c>
      <c r="BM381" s="376">
        <f t="shared" si="725"/>
        <v>0</v>
      </c>
      <c r="BN381" s="376">
        <f t="shared" si="725"/>
        <v>0</v>
      </c>
      <c r="BO381" s="376">
        <f t="shared" si="725"/>
        <v>0</v>
      </c>
      <c r="BP381" s="376">
        <f t="shared" si="725"/>
        <v>0</v>
      </c>
      <c r="BQ381" s="376">
        <f t="shared" si="725"/>
        <v>0</v>
      </c>
      <c r="BR381" s="376">
        <f t="shared" si="725"/>
        <v>0</v>
      </c>
      <c r="BS381" s="376">
        <f t="shared" si="725"/>
        <v>0</v>
      </c>
      <c r="BT381" s="376">
        <f t="shared" si="725"/>
        <v>0</v>
      </c>
      <c r="BU381" s="376">
        <f t="shared" si="725"/>
        <v>0</v>
      </c>
      <c r="BV381" s="377">
        <f t="shared" si="725"/>
        <v>0</v>
      </c>
    </row>
    <row r="382" spans="1:74" ht="20.149999999999999" customHeight="1" outlineLevel="2" x14ac:dyDescent="0.25">
      <c r="A382" s="23" t="str">
        <f>'Quantidade-Cult.Perma.'!A124</f>
        <v>Herbicida</v>
      </c>
      <c r="B382" s="8" t="str">
        <f>'Quantidade-Cult.Perma.'!B124</f>
        <v>L</v>
      </c>
      <c r="C382" s="284">
        <f>'Quantidade-Cult.Perma.'!D124</f>
        <v>65</v>
      </c>
      <c r="D382" s="284">
        <f>'Quantidade-Cult.Perma.'!E124</f>
        <v>0.8</v>
      </c>
      <c r="E382" s="284">
        <f>'Quantidade-Cult.Perma.'!F124</f>
        <v>1.5</v>
      </c>
      <c r="F382" s="284">
        <f>'Quantidade-Cult.Perma.'!G124</f>
        <v>1.5</v>
      </c>
      <c r="G382" s="284">
        <f>'Quantidade-Cult.Perma.'!H124</f>
        <v>1.5</v>
      </c>
      <c r="H382" s="284">
        <f>'Quantidade-Cult.Perma.'!I124</f>
        <v>1.5</v>
      </c>
      <c r="I382" s="284">
        <f>'Quantidade-Cult.Perma.'!J124</f>
        <v>1.5</v>
      </c>
      <c r="J382" s="284">
        <f>'Quantidade-Cult.Perma.'!K124</f>
        <v>1.5</v>
      </c>
      <c r="K382" s="284">
        <f>'Quantidade-Cult.Perma.'!L124</f>
        <v>1.5</v>
      </c>
      <c r="L382" s="358">
        <f>'Quantidade-Cult.Perma.'!M124</f>
        <v>1.5</v>
      </c>
      <c r="M382" s="358">
        <f>'Quantidade-Cult.Perma.'!N124</f>
        <v>1.5</v>
      </c>
      <c r="N382" s="358">
        <f t="shared" si="690"/>
        <v>0.8</v>
      </c>
      <c r="O382" s="358">
        <f t="shared" si="691"/>
        <v>1.5</v>
      </c>
      <c r="P382" s="358">
        <f t="shared" si="692"/>
        <v>1.5</v>
      </c>
      <c r="Q382" s="358">
        <f t="shared" si="693"/>
        <v>1.5</v>
      </c>
      <c r="R382" s="358">
        <f t="shared" si="694"/>
        <v>1.5</v>
      </c>
      <c r="S382" s="358">
        <f t="shared" si="695"/>
        <v>1.5</v>
      </c>
      <c r="T382" s="358">
        <f t="shared" si="696"/>
        <v>1.5</v>
      </c>
      <c r="U382" s="358">
        <f t="shared" si="697"/>
        <v>1.5</v>
      </c>
      <c r="V382" s="358">
        <f t="shared" si="698"/>
        <v>1.5</v>
      </c>
      <c r="W382" s="358">
        <f t="shared" si="699"/>
        <v>1.5</v>
      </c>
      <c r="X382" s="358">
        <f t="shared" si="700"/>
        <v>0.8</v>
      </c>
      <c r="Y382" s="358">
        <f t="shared" si="701"/>
        <v>1.5</v>
      </c>
      <c r="Z382" s="358">
        <f t="shared" si="702"/>
        <v>1.5</v>
      </c>
      <c r="AA382" s="358">
        <f t="shared" si="703"/>
        <v>1.5</v>
      </c>
      <c r="AB382" s="358">
        <f t="shared" si="704"/>
        <v>1.5</v>
      </c>
      <c r="AC382" s="358">
        <f t="shared" si="705"/>
        <v>1.5</v>
      </c>
      <c r="AD382" s="358">
        <f t="shared" si="706"/>
        <v>1.5</v>
      </c>
      <c r="AE382" s="358">
        <f t="shared" si="707"/>
        <v>1.5</v>
      </c>
      <c r="AF382" s="358">
        <f t="shared" si="708"/>
        <v>1.5</v>
      </c>
      <c r="AG382" s="358">
        <f t="shared" si="709"/>
        <v>1.5</v>
      </c>
      <c r="AH382" s="358">
        <f t="shared" si="710"/>
        <v>0.8</v>
      </c>
      <c r="AI382" s="358">
        <f t="shared" si="711"/>
        <v>1.5</v>
      </c>
      <c r="AJ382" s="358">
        <f t="shared" si="712"/>
        <v>1.5</v>
      </c>
      <c r="AK382" s="358">
        <f t="shared" si="713"/>
        <v>1.5</v>
      </c>
      <c r="AL382" s="359">
        <f t="shared" si="714"/>
        <v>1.5</v>
      </c>
      <c r="AM382" s="636"/>
      <c r="AN382" s="303">
        <f>$C$382*D382</f>
        <v>52</v>
      </c>
      <c r="AO382" s="304">
        <f t="shared" ref="AO382:BV382" si="726">E382*$C$382</f>
        <v>97.5</v>
      </c>
      <c r="AP382" s="304">
        <f t="shared" si="726"/>
        <v>97.5</v>
      </c>
      <c r="AQ382" s="304">
        <f t="shared" si="726"/>
        <v>97.5</v>
      </c>
      <c r="AR382" s="304">
        <f t="shared" si="726"/>
        <v>97.5</v>
      </c>
      <c r="AS382" s="304">
        <f t="shared" si="726"/>
        <v>97.5</v>
      </c>
      <c r="AT382" s="304">
        <f t="shared" si="726"/>
        <v>97.5</v>
      </c>
      <c r="AU382" s="286">
        <f t="shared" si="726"/>
        <v>97.5</v>
      </c>
      <c r="AV382" s="313">
        <f t="shared" si="726"/>
        <v>97.5</v>
      </c>
      <c r="AW382" s="313">
        <f t="shared" si="726"/>
        <v>97.5</v>
      </c>
      <c r="AX382" s="376">
        <f t="shared" si="726"/>
        <v>52</v>
      </c>
      <c r="AY382" s="376">
        <f t="shared" si="726"/>
        <v>97.5</v>
      </c>
      <c r="AZ382" s="376">
        <f t="shared" si="726"/>
        <v>97.5</v>
      </c>
      <c r="BA382" s="376">
        <f t="shared" si="726"/>
        <v>97.5</v>
      </c>
      <c r="BB382" s="376">
        <f t="shared" si="726"/>
        <v>97.5</v>
      </c>
      <c r="BC382" s="376">
        <f t="shared" si="726"/>
        <v>97.5</v>
      </c>
      <c r="BD382" s="376">
        <f t="shared" si="726"/>
        <v>97.5</v>
      </c>
      <c r="BE382" s="376">
        <f t="shared" si="726"/>
        <v>97.5</v>
      </c>
      <c r="BF382" s="376">
        <f t="shared" si="726"/>
        <v>97.5</v>
      </c>
      <c r="BG382" s="376">
        <f t="shared" si="726"/>
        <v>97.5</v>
      </c>
      <c r="BH382" s="376">
        <f t="shared" si="726"/>
        <v>52</v>
      </c>
      <c r="BI382" s="376">
        <f t="shared" si="726"/>
        <v>97.5</v>
      </c>
      <c r="BJ382" s="376">
        <f t="shared" si="726"/>
        <v>97.5</v>
      </c>
      <c r="BK382" s="376">
        <f t="shared" si="726"/>
        <v>97.5</v>
      </c>
      <c r="BL382" s="376">
        <f t="shared" si="726"/>
        <v>97.5</v>
      </c>
      <c r="BM382" s="376">
        <f t="shared" si="726"/>
        <v>97.5</v>
      </c>
      <c r="BN382" s="376">
        <f t="shared" si="726"/>
        <v>97.5</v>
      </c>
      <c r="BO382" s="376">
        <f t="shared" si="726"/>
        <v>97.5</v>
      </c>
      <c r="BP382" s="376">
        <f t="shared" si="726"/>
        <v>97.5</v>
      </c>
      <c r="BQ382" s="376">
        <f t="shared" si="726"/>
        <v>97.5</v>
      </c>
      <c r="BR382" s="376">
        <f t="shared" si="726"/>
        <v>52</v>
      </c>
      <c r="BS382" s="376">
        <f t="shared" si="726"/>
        <v>97.5</v>
      </c>
      <c r="BT382" s="376">
        <f t="shared" si="726"/>
        <v>97.5</v>
      </c>
      <c r="BU382" s="376">
        <f t="shared" si="726"/>
        <v>97.5</v>
      </c>
      <c r="BV382" s="377">
        <f t="shared" si="726"/>
        <v>97.5</v>
      </c>
    </row>
    <row r="383" spans="1:74" ht="20.149999999999999" customHeight="1" outlineLevel="2" x14ac:dyDescent="0.25">
      <c r="A383" s="23" t="str">
        <f>'Quantidade-Cult.Perma.'!A125</f>
        <v>Produtos biológicos</v>
      </c>
      <c r="B383" s="8" t="str">
        <f>'Quantidade-Cult.Perma.'!B125</f>
        <v>KG</v>
      </c>
      <c r="C383" s="284">
        <f>'Quantidade-Cult.Perma.'!D125</f>
        <v>240</v>
      </c>
      <c r="D383" s="284">
        <f>'Quantidade-Cult.Perma.'!E125</f>
        <v>1</v>
      </c>
      <c r="E383" s="284">
        <f>'Quantidade-Cult.Perma.'!F125</f>
        <v>0.8</v>
      </c>
      <c r="F383" s="284">
        <f>'Quantidade-Cult.Perma.'!G125</f>
        <v>0.8</v>
      </c>
      <c r="G383" s="284">
        <f>'Quantidade-Cult.Perma.'!H125</f>
        <v>0.8</v>
      </c>
      <c r="H383" s="284">
        <f>'Quantidade-Cult.Perma.'!I125</f>
        <v>0.8</v>
      </c>
      <c r="I383" s="284">
        <f>'Quantidade-Cult.Perma.'!J125</f>
        <v>0.8</v>
      </c>
      <c r="J383" s="284">
        <f>'Quantidade-Cult.Perma.'!K125</f>
        <v>0.8</v>
      </c>
      <c r="K383" s="284">
        <f>'Quantidade-Cult.Perma.'!L125</f>
        <v>0.8</v>
      </c>
      <c r="L383" s="358">
        <f>'Quantidade-Cult.Perma.'!M125</f>
        <v>0.8</v>
      </c>
      <c r="M383" s="358">
        <f>'Quantidade-Cult.Perma.'!N125</f>
        <v>0.8</v>
      </c>
      <c r="N383" s="358">
        <f t="shared" si="690"/>
        <v>1</v>
      </c>
      <c r="O383" s="358">
        <f t="shared" si="691"/>
        <v>0.8</v>
      </c>
      <c r="P383" s="358">
        <f t="shared" si="692"/>
        <v>0.8</v>
      </c>
      <c r="Q383" s="358">
        <f t="shared" si="693"/>
        <v>0.8</v>
      </c>
      <c r="R383" s="358">
        <f t="shared" si="694"/>
        <v>0.8</v>
      </c>
      <c r="S383" s="358">
        <f t="shared" si="695"/>
        <v>0.8</v>
      </c>
      <c r="T383" s="358">
        <f t="shared" si="696"/>
        <v>0.8</v>
      </c>
      <c r="U383" s="358">
        <f t="shared" si="697"/>
        <v>0.8</v>
      </c>
      <c r="V383" s="358">
        <f t="shared" si="698"/>
        <v>0.8</v>
      </c>
      <c r="W383" s="358">
        <f t="shared" si="699"/>
        <v>0.8</v>
      </c>
      <c r="X383" s="358">
        <f t="shared" si="700"/>
        <v>1</v>
      </c>
      <c r="Y383" s="358">
        <f t="shared" si="701"/>
        <v>0.8</v>
      </c>
      <c r="Z383" s="358">
        <f t="shared" si="702"/>
        <v>0.8</v>
      </c>
      <c r="AA383" s="358">
        <f t="shared" si="703"/>
        <v>0.8</v>
      </c>
      <c r="AB383" s="358">
        <f t="shared" si="704"/>
        <v>0.8</v>
      </c>
      <c r="AC383" s="358">
        <f t="shared" si="705"/>
        <v>0.8</v>
      </c>
      <c r="AD383" s="358">
        <f t="shared" si="706"/>
        <v>0.8</v>
      </c>
      <c r="AE383" s="358">
        <f t="shared" si="707"/>
        <v>0.8</v>
      </c>
      <c r="AF383" s="358">
        <f t="shared" si="708"/>
        <v>0.8</v>
      </c>
      <c r="AG383" s="358">
        <f t="shared" si="709"/>
        <v>0.8</v>
      </c>
      <c r="AH383" s="358">
        <f t="shared" si="710"/>
        <v>1</v>
      </c>
      <c r="AI383" s="358">
        <f t="shared" si="711"/>
        <v>0.8</v>
      </c>
      <c r="AJ383" s="358">
        <f t="shared" si="712"/>
        <v>0.8</v>
      </c>
      <c r="AK383" s="358">
        <f t="shared" si="713"/>
        <v>0.8</v>
      </c>
      <c r="AL383" s="359">
        <f t="shared" si="714"/>
        <v>0.8</v>
      </c>
      <c r="AM383" s="636"/>
      <c r="AN383" s="303">
        <f t="shared" ref="AN383:BV383" si="727">$C$383*D383</f>
        <v>240</v>
      </c>
      <c r="AO383" s="304">
        <f t="shared" si="727"/>
        <v>192</v>
      </c>
      <c r="AP383" s="304">
        <f t="shared" si="727"/>
        <v>192</v>
      </c>
      <c r="AQ383" s="304">
        <f t="shared" si="727"/>
        <v>192</v>
      </c>
      <c r="AR383" s="304">
        <f t="shared" si="727"/>
        <v>192</v>
      </c>
      <c r="AS383" s="304">
        <f t="shared" si="727"/>
        <v>192</v>
      </c>
      <c r="AT383" s="304">
        <f t="shared" si="727"/>
        <v>192</v>
      </c>
      <c r="AU383" s="286">
        <f t="shared" si="727"/>
        <v>192</v>
      </c>
      <c r="AV383" s="313">
        <f t="shared" si="727"/>
        <v>192</v>
      </c>
      <c r="AW383" s="313">
        <f t="shared" si="727"/>
        <v>192</v>
      </c>
      <c r="AX383" s="376">
        <f t="shared" si="727"/>
        <v>240</v>
      </c>
      <c r="AY383" s="376">
        <f t="shared" si="727"/>
        <v>192</v>
      </c>
      <c r="AZ383" s="376">
        <f t="shared" si="727"/>
        <v>192</v>
      </c>
      <c r="BA383" s="376">
        <f t="shared" si="727"/>
        <v>192</v>
      </c>
      <c r="BB383" s="376">
        <f t="shared" si="727"/>
        <v>192</v>
      </c>
      <c r="BC383" s="376">
        <f t="shared" si="727"/>
        <v>192</v>
      </c>
      <c r="BD383" s="376">
        <f t="shared" si="727"/>
        <v>192</v>
      </c>
      <c r="BE383" s="376">
        <f t="shared" si="727"/>
        <v>192</v>
      </c>
      <c r="BF383" s="376">
        <f t="shared" si="727"/>
        <v>192</v>
      </c>
      <c r="BG383" s="376">
        <f t="shared" si="727"/>
        <v>192</v>
      </c>
      <c r="BH383" s="376">
        <f t="shared" si="727"/>
        <v>240</v>
      </c>
      <c r="BI383" s="376">
        <f t="shared" si="727"/>
        <v>192</v>
      </c>
      <c r="BJ383" s="376">
        <f t="shared" si="727"/>
        <v>192</v>
      </c>
      <c r="BK383" s="376">
        <f t="shared" si="727"/>
        <v>192</v>
      </c>
      <c r="BL383" s="376">
        <f t="shared" si="727"/>
        <v>192</v>
      </c>
      <c r="BM383" s="376">
        <f t="shared" si="727"/>
        <v>192</v>
      </c>
      <c r="BN383" s="376">
        <f t="shared" si="727"/>
        <v>192</v>
      </c>
      <c r="BO383" s="376">
        <f t="shared" si="727"/>
        <v>192</v>
      </c>
      <c r="BP383" s="376">
        <f t="shared" si="727"/>
        <v>192</v>
      </c>
      <c r="BQ383" s="376">
        <f t="shared" si="727"/>
        <v>192</v>
      </c>
      <c r="BR383" s="376">
        <f t="shared" si="727"/>
        <v>240</v>
      </c>
      <c r="BS383" s="376">
        <f t="shared" si="727"/>
        <v>192</v>
      </c>
      <c r="BT383" s="376">
        <f t="shared" si="727"/>
        <v>192</v>
      </c>
      <c r="BU383" s="376">
        <f t="shared" si="727"/>
        <v>192</v>
      </c>
      <c r="BV383" s="377">
        <f t="shared" si="727"/>
        <v>192</v>
      </c>
    </row>
    <row r="384" spans="1:74" ht="20.149999999999999" customHeight="1" outlineLevel="2" x14ac:dyDescent="0.25">
      <c r="A384" s="23" t="str">
        <f>'Quantidade-Cult.Perma.'!A126</f>
        <v>Cotesia-(30 massas)</v>
      </c>
      <c r="B384" s="8" t="str">
        <f>'Quantidade-Cult.Perma.'!B126</f>
        <v>UD</v>
      </c>
      <c r="C384" s="284">
        <f>'Quantidade-Cult.Perma.'!D126</f>
        <v>12</v>
      </c>
      <c r="D384" s="284">
        <f>'Quantidade-Cult.Perma.'!E126</f>
        <v>8</v>
      </c>
      <c r="E384" s="284">
        <f>'Quantidade-Cult.Perma.'!F126</f>
        <v>8</v>
      </c>
      <c r="F384" s="284">
        <f>'Quantidade-Cult.Perma.'!G126</f>
        <v>8</v>
      </c>
      <c r="G384" s="284">
        <f>'Quantidade-Cult.Perma.'!H126</f>
        <v>8</v>
      </c>
      <c r="H384" s="284">
        <f>'Quantidade-Cult.Perma.'!I126</f>
        <v>8</v>
      </c>
      <c r="I384" s="284">
        <f>'Quantidade-Cult.Perma.'!J126</f>
        <v>8</v>
      </c>
      <c r="J384" s="284">
        <f>'Quantidade-Cult.Perma.'!K126</f>
        <v>8</v>
      </c>
      <c r="K384" s="284">
        <f>'Quantidade-Cult.Perma.'!L126</f>
        <v>8</v>
      </c>
      <c r="L384" s="358">
        <f>'Quantidade-Cult.Perma.'!M126</f>
        <v>8</v>
      </c>
      <c r="M384" s="358">
        <f>'Quantidade-Cult.Perma.'!N126</f>
        <v>8</v>
      </c>
      <c r="N384" s="358">
        <f t="shared" si="690"/>
        <v>8</v>
      </c>
      <c r="O384" s="358">
        <f t="shared" si="691"/>
        <v>8</v>
      </c>
      <c r="P384" s="358">
        <f t="shared" si="692"/>
        <v>8</v>
      </c>
      <c r="Q384" s="358">
        <f t="shared" si="693"/>
        <v>8</v>
      </c>
      <c r="R384" s="358">
        <f t="shared" si="694"/>
        <v>8</v>
      </c>
      <c r="S384" s="358">
        <f t="shared" si="695"/>
        <v>8</v>
      </c>
      <c r="T384" s="358">
        <f t="shared" si="696"/>
        <v>8</v>
      </c>
      <c r="U384" s="358">
        <f t="shared" si="697"/>
        <v>8</v>
      </c>
      <c r="V384" s="358">
        <f t="shared" si="698"/>
        <v>8</v>
      </c>
      <c r="W384" s="358">
        <f t="shared" si="699"/>
        <v>8</v>
      </c>
      <c r="X384" s="358">
        <f t="shared" si="700"/>
        <v>8</v>
      </c>
      <c r="Y384" s="358">
        <f t="shared" si="701"/>
        <v>8</v>
      </c>
      <c r="Z384" s="358">
        <f t="shared" si="702"/>
        <v>8</v>
      </c>
      <c r="AA384" s="358">
        <f t="shared" si="703"/>
        <v>8</v>
      </c>
      <c r="AB384" s="358">
        <f t="shared" si="704"/>
        <v>8</v>
      </c>
      <c r="AC384" s="358">
        <f t="shared" si="705"/>
        <v>8</v>
      </c>
      <c r="AD384" s="358">
        <f t="shared" si="706"/>
        <v>8</v>
      </c>
      <c r="AE384" s="358">
        <f t="shared" si="707"/>
        <v>8</v>
      </c>
      <c r="AF384" s="358">
        <f t="shared" si="708"/>
        <v>8</v>
      </c>
      <c r="AG384" s="358">
        <f t="shared" si="709"/>
        <v>8</v>
      </c>
      <c r="AH384" s="358">
        <f t="shared" si="710"/>
        <v>8</v>
      </c>
      <c r="AI384" s="358">
        <f t="shared" si="711"/>
        <v>8</v>
      </c>
      <c r="AJ384" s="358">
        <f t="shared" si="712"/>
        <v>8</v>
      </c>
      <c r="AK384" s="358">
        <f t="shared" si="713"/>
        <v>8</v>
      </c>
      <c r="AL384" s="359">
        <f t="shared" si="714"/>
        <v>8</v>
      </c>
      <c r="AM384" s="636"/>
      <c r="AN384" s="303">
        <f t="shared" ref="AN384:BV384" si="728">$C$384*D384</f>
        <v>96</v>
      </c>
      <c r="AO384" s="304">
        <f t="shared" si="728"/>
        <v>96</v>
      </c>
      <c r="AP384" s="304">
        <f t="shared" si="728"/>
        <v>96</v>
      </c>
      <c r="AQ384" s="304">
        <f t="shared" si="728"/>
        <v>96</v>
      </c>
      <c r="AR384" s="304">
        <f t="shared" si="728"/>
        <v>96</v>
      </c>
      <c r="AS384" s="304">
        <f t="shared" si="728"/>
        <v>96</v>
      </c>
      <c r="AT384" s="304">
        <f t="shared" si="728"/>
        <v>96</v>
      </c>
      <c r="AU384" s="286">
        <f t="shared" si="728"/>
        <v>96</v>
      </c>
      <c r="AV384" s="313">
        <f t="shared" si="728"/>
        <v>96</v>
      </c>
      <c r="AW384" s="313">
        <f t="shared" si="728"/>
        <v>96</v>
      </c>
      <c r="AX384" s="376">
        <f t="shared" si="728"/>
        <v>96</v>
      </c>
      <c r="AY384" s="376">
        <f t="shared" si="728"/>
        <v>96</v>
      </c>
      <c r="AZ384" s="376">
        <f t="shared" si="728"/>
        <v>96</v>
      </c>
      <c r="BA384" s="376">
        <f t="shared" si="728"/>
        <v>96</v>
      </c>
      <c r="BB384" s="376">
        <f t="shared" si="728"/>
        <v>96</v>
      </c>
      <c r="BC384" s="376">
        <f t="shared" si="728"/>
        <v>96</v>
      </c>
      <c r="BD384" s="376">
        <f t="shared" si="728"/>
        <v>96</v>
      </c>
      <c r="BE384" s="376">
        <f t="shared" si="728"/>
        <v>96</v>
      </c>
      <c r="BF384" s="376">
        <f t="shared" si="728"/>
        <v>96</v>
      </c>
      <c r="BG384" s="376">
        <f t="shared" si="728"/>
        <v>96</v>
      </c>
      <c r="BH384" s="376">
        <f t="shared" si="728"/>
        <v>96</v>
      </c>
      <c r="BI384" s="376">
        <f t="shared" si="728"/>
        <v>96</v>
      </c>
      <c r="BJ384" s="376">
        <f t="shared" si="728"/>
        <v>96</v>
      </c>
      <c r="BK384" s="376">
        <f t="shared" si="728"/>
        <v>96</v>
      </c>
      <c r="BL384" s="376">
        <f t="shared" si="728"/>
        <v>96</v>
      </c>
      <c r="BM384" s="376">
        <f t="shared" si="728"/>
        <v>96</v>
      </c>
      <c r="BN384" s="376">
        <f t="shared" si="728"/>
        <v>96</v>
      </c>
      <c r="BO384" s="376">
        <f t="shared" si="728"/>
        <v>96</v>
      </c>
      <c r="BP384" s="376">
        <f t="shared" si="728"/>
        <v>96</v>
      </c>
      <c r="BQ384" s="376">
        <f t="shared" si="728"/>
        <v>96</v>
      </c>
      <c r="BR384" s="376">
        <f t="shared" si="728"/>
        <v>96</v>
      </c>
      <c r="BS384" s="376">
        <f t="shared" si="728"/>
        <v>96</v>
      </c>
      <c r="BT384" s="376">
        <f t="shared" si="728"/>
        <v>96</v>
      </c>
      <c r="BU384" s="376">
        <f t="shared" si="728"/>
        <v>96</v>
      </c>
      <c r="BV384" s="377">
        <f t="shared" si="728"/>
        <v>96</v>
      </c>
    </row>
    <row r="385" spans="1:74" ht="20.149999999999999" customHeight="1" outlineLevel="2" x14ac:dyDescent="0.25">
      <c r="A385" s="23" t="str">
        <f>'Quantidade-Cult.Perma.'!A127</f>
        <v>Enraizante</v>
      </c>
      <c r="B385" s="8" t="str">
        <f>'Quantidade-Cult.Perma.'!B127</f>
        <v>L</v>
      </c>
      <c r="C385" s="284">
        <f>'Quantidade-Cult.Perma.'!D127</f>
        <v>230</v>
      </c>
      <c r="D385" s="284">
        <f>'Quantidade-Cult.Perma.'!E127</f>
        <v>0.5</v>
      </c>
      <c r="E385" s="284">
        <f>'Quantidade-Cult.Perma.'!F127</f>
        <v>0</v>
      </c>
      <c r="F385" s="284">
        <f>'Quantidade-Cult.Perma.'!G127</f>
        <v>0</v>
      </c>
      <c r="G385" s="284">
        <f>'Quantidade-Cult.Perma.'!H127</f>
        <v>0</v>
      </c>
      <c r="H385" s="284">
        <f>'Quantidade-Cult.Perma.'!I127</f>
        <v>0</v>
      </c>
      <c r="I385" s="284">
        <f>'Quantidade-Cult.Perma.'!J127</f>
        <v>0</v>
      </c>
      <c r="J385" s="284">
        <f>'Quantidade-Cult.Perma.'!K127</f>
        <v>0</v>
      </c>
      <c r="K385" s="284">
        <f>'Quantidade-Cult.Perma.'!L127</f>
        <v>0</v>
      </c>
      <c r="L385" s="358">
        <f>'Quantidade-Cult.Perma.'!M127</f>
        <v>0</v>
      </c>
      <c r="M385" s="358">
        <f>'Quantidade-Cult.Perma.'!N127</f>
        <v>0</v>
      </c>
      <c r="N385" s="358">
        <f t="shared" si="690"/>
        <v>0.5</v>
      </c>
      <c r="O385" s="358">
        <f t="shared" si="691"/>
        <v>0</v>
      </c>
      <c r="P385" s="358">
        <f t="shared" si="692"/>
        <v>0</v>
      </c>
      <c r="Q385" s="358">
        <f t="shared" si="693"/>
        <v>0</v>
      </c>
      <c r="R385" s="358">
        <f t="shared" si="694"/>
        <v>0</v>
      </c>
      <c r="S385" s="358">
        <f t="shared" si="695"/>
        <v>0</v>
      </c>
      <c r="T385" s="358">
        <f t="shared" si="696"/>
        <v>0</v>
      </c>
      <c r="U385" s="358">
        <f t="shared" si="697"/>
        <v>0</v>
      </c>
      <c r="V385" s="358">
        <f t="shared" si="698"/>
        <v>0</v>
      </c>
      <c r="W385" s="358">
        <f t="shared" si="699"/>
        <v>0</v>
      </c>
      <c r="X385" s="358">
        <f t="shared" si="700"/>
        <v>0.5</v>
      </c>
      <c r="Y385" s="358">
        <f t="shared" si="701"/>
        <v>0</v>
      </c>
      <c r="Z385" s="358">
        <f t="shared" si="702"/>
        <v>0</v>
      </c>
      <c r="AA385" s="358">
        <f t="shared" si="703"/>
        <v>0</v>
      </c>
      <c r="AB385" s="358">
        <f t="shared" si="704"/>
        <v>0</v>
      </c>
      <c r="AC385" s="358">
        <f t="shared" si="705"/>
        <v>0</v>
      </c>
      <c r="AD385" s="358">
        <f t="shared" si="706"/>
        <v>0</v>
      </c>
      <c r="AE385" s="358">
        <f t="shared" si="707"/>
        <v>0</v>
      </c>
      <c r="AF385" s="358">
        <f t="shared" si="708"/>
        <v>0</v>
      </c>
      <c r="AG385" s="358">
        <f t="shared" si="709"/>
        <v>0</v>
      </c>
      <c r="AH385" s="358">
        <f t="shared" si="710"/>
        <v>0.5</v>
      </c>
      <c r="AI385" s="358">
        <f t="shared" si="711"/>
        <v>0</v>
      </c>
      <c r="AJ385" s="358">
        <f t="shared" si="712"/>
        <v>0</v>
      </c>
      <c r="AK385" s="358">
        <f t="shared" si="713"/>
        <v>0</v>
      </c>
      <c r="AL385" s="359">
        <f t="shared" si="714"/>
        <v>0</v>
      </c>
      <c r="AM385" s="636"/>
      <c r="AN385" s="303">
        <f t="shared" ref="AN385:BV385" si="729">$C$385*D385</f>
        <v>115</v>
      </c>
      <c r="AO385" s="304">
        <f t="shared" si="729"/>
        <v>0</v>
      </c>
      <c r="AP385" s="304">
        <f t="shared" si="729"/>
        <v>0</v>
      </c>
      <c r="AQ385" s="304">
        <f t="shared" si="729"/>
        <v>0</v>
      </c>
      <c r="AR385" s="304">
        <f t="shared" si="729"/>
        <v>0</v>
      </c>
      <c r="AS385" s="304">
        <f t="shared" si="729"/>
        <v>0</v>
      </c>
      <c r="AT385" s="304">
        <f t="shared" si="729"/>
        <v>0</v>
      </c>
      <c r="AU385" s="286">
        <f t="shared" si="729"/>
        <v>0</v>
      </c>
      <c r="AV385" s="313">
        <f t="shared" si="729"/>
        <v>0</v>
      </c>
      <c r="AW385" s="313">
        <f t="shared" si="729"/>
        <v>0</v>
      </c>
      <c r="AX385" s="376">
        <f t="shared" si="729"/>
        <v>115</v>
      </c>
      <c r="AY385" s="376">
        <f t="shared" si="729"/>
        <v>0</v>
      </c>
      <c r="AZ385" s="376">
        <f t="shared" si="729"/>
        <v>0</v>
      </c>
      <c r="BA385" s="376">
        <f t="shared" si="729"/>
        <v>0</v>
      </c>
      <c r="BB385" s="376">
        <f t="shared" si="729"/>
        <v>0</v>
      </c>
      <c r="BC385" s="376">
        <f t="shared" si="729"/>
        <v>0</v>
      </c>
      <c r="BD385" s="376">
        <f t="shared" si="729"/>
        <v>0</v>
      </c>
      <c r="BE385" s="376">
        <f t="shared" si="729"/>
        <v>0</v>
      </c>
      <c r="BF385" s="376">
        <f t="shared" si="729"/>
        <v>0</v>
      </c>
      <c r="BG385" s="376">
        <f t="shared" si="729"/>
        <v>0</v>
      </c>
      <c r="BH385" s="376">
        <f t="shared" si="729"/>
        <v>115</v>
      </c>
      <c r="BI385" s="376">
        <f t="shared" si="729"/>
        <v>0</v>
      </c>
      <c r="BJ385" s="376">
        <f t="shared" si="729"/>
        <v>0</v>
      </c>
      <c r="BK385" s="376">
        <f t="shared" si="729"/>
        <v>0</v>
      </c>
      <c r="BL385" s="376">
        <f t="shared" si="729"/>
        <v>0</v>
      </c>
      <c r="BM385" s="376">
        <f t="shared" si="729"/>
        <v>0</v>
      </c>
      <c r="BN385" s="376">
        <f t="shared" si="729"/>
        <v>0</v>
      </c>
      <c r="BO385" s="376">
        <f t="shared" si="729"/>
        <v>0</v>
      </c>
      <c r="BP385" s="376">
        <f t="shared" si="729"/>
        <v>0</v>
      </c>
      <c r="BQ385" s="376">
        <f t="shared" si="729"/>
        <v>0</v>
      </c>
      <c r="BR385" s="376">
        <f t="shared" si="729"/>
        <v>115</v>
      </c>
      <c r="BS385" s="376">
        <f t="shared" si="729"/>
        <v>0</v>
      </c>
      <c r="BT385" s="376">
        <f t="shared" si="729"/>
        <v>0</v>
      </c>
      <c r="BU385" s="376">
        <f t="shared" si="729"/>
        <v>0</v>
      </c>
      <c r="BV385" s="377">
        <f t="shared" si="729"/>
        <v>0</v>
      </c>
    </row>
    <row r="386" spans="1:74" ht="20.149999999999999" customHeight="1" outlineLevel="2" thickBot="1" x14ac:dyDescent="0.3">
      <c r="A386" s="321" t="str">
        <f>'Quantidade-Cult.Perma.'!A128</f>
        <v>Mudas - toletes</v>
      </c>
      <c r="B386" s="35" t="str">
        <f>'Quantidade-Cult.Perma.'!B128</f>
        <v>T</v>
      </c>
      <c r="C386" s="322">
        <f>'Quantidade-Cult.Perma.'!D128</f>
        <v>220</v>
      </c>
      <c r="D386" s="322">
        <f>'Quantidade-Cult.Perma.'!E128</f>
        <v>20</v>
      </c>
      <c r="E386" s="322">
        <f>'Quantidade-Cult.Perma.'!F128</f>
        <v>0</v>
      </c>
      <c r="F386" s="322">
        <f>'Quantidade-Cult.Perma.'!G128</f>
        <v>0</v>
      </c>
      <c r="G386" s="322">
        <f>'Quantidade-Cult.Perma.'!H128</f>
        <v>0</v>
      </c>
      <c r="H386" s="322">
        <f>'Quantidade-Cult.Perma.'!I128</f>
        <v>0</v>
      </c>
      <c r="I386" s="322">
        <f>'Quantidade-Cult.Perma.'!J128</f>
        <v>0</v>
      </c>
      <c r="J386" s="322">
        <f>'Quantidade-Cult.Perma.'!K128</f>
        <v>0</v>
      </c>
      <c r="K386" s="322">
        <f>'Quantidade-Cult.Perma.'!L128</f>
        <v>0</v>
      </c>
      <c r="L386" s="360">
        <f>'Quantidade-Cult.Perma.'!M128</f>
        <v>0</v>
      </c>
      <c r="M386" s="360">
        <f>'Quantidade-Cult.Perma.'!N128</f>
        <v>0</v>
      </c>
      <c r="N386" s="360">
        <f t="shared" si="690"/>
        <v>20</v>
      </c>
      <c r="O386" s="360">
        <f t="shared" si="691"/>
        <v>0</v>
      </c>
      <c r="P386" s="360">
        <f t="shared" si="692"/>
        <v>0</v>
      </c>
      <c r="Q386" s="360">
        <f t="shared" si="693"/>
        <v>0</v>
      </c>
      <c r="R386" s="360">
        <f t="shared" si="694"/>
        <v>0</v>
      </c>
      <c r="S386" s="360">
        <f t="shared" si="695"/>
        <v>0</v>
      </c>
      <c r="T386" s="360">
        <f t="shared" si="696"/>
        <v>0</v>
      </c>
      <c r="U386" s="360">
        <f t="shared" si="697"/>
        <v>0</v>
      </c>
      <c r="V386" s="360">
        <f t="shared" si="698"/>
        <v>0</v>
      </c>
      <c r="W386" s="360">
        <f t="shared" si="699"/>
        <v>0</v>
      </c>
      <c r="X386" s="360">
        <f t="shared" si="700"/>
        <v>20</v>
      </c>
      <c r="Y386" s="360">
        <f t="shared" si="701"/>
        <v>0</v>
      </c>
      <c r="Z386" s="360">
        <f t="shared" si="702"/>
        <v>0</v>
      </c>
      <c r="AA386" s="360">
        <f t="shared" si="703"/>
        <v>0</v>
      </c>
      <c r="AB386" s="360">
        <f t="shared" si="704"/>
        <v>0</v>
      </c>
      <c r="AC386" s="360">
        <f t="shared" si="705"/>
        <v>0</v>
      </c>
      <c r="AD386" s="360">
        <f t="shared" si="706"/>
        <v>0</v>
      </c>
      <c r="AE386" s="360">
        <f t="shared" si="707"/>
        <v>0</v>
      </c>
      <c r="AF386" s="360">
        <f t="shared" si="708"/>
        <v>0</v>
      </c>
      <c r="AG386" s="360">
        <f t="shared" si="709"/>
        <v>0</v>
      </c>
      <c r="AH386" s="360">
        <f t="shared" si="710"/>
        <v>20</v>
      </c>
      <c r="AI386" s="360">
        <f t="shared" si="711"/>
        <v>0</v>
      </c>
      <c r="AJ386" s="360">
        <f t="shared" si="712"/>
        <v>0</v>
      </c>
      <c r="AK386" s="360">
        <f t="shared" si="713"/>
        <v>0</v>
      </c>
      <c r="AL386" s="361">
        <f t="shared" si="714"/>
        <v>0</v>
      </c>
      <c r="AM386" s="636"/>
      <c r="AN386" s="305">
        <f t="shared" ref="AN386:BV386" si="730">$C$386*D386</f>
        <v>4400</v>
      </c>
      <c r="AO386" s="306">
        <f t="shared" si="730"/>
        <v>0</v>
      </c>
      <c r="AP386" s="306">
        <f t="shared" si="730"/>
        <v>0</v>
      </c>
      <c r="AQ386" s="306">
        <f t="shared" si="730"/>
        <v>0</v>
      </c>
      <c r="AR386" s="306">
        <f t="shared" si="730"/>
        <v>0</v>
      </c>
      <c r="AS386" s="306">
        <f t="shared" si="730"/>
        <v>0</v>
      </c>
      <c r="AT386" s="306">
        <f t="shared" si="730"/>
        <v>0</v>
      </c>
      <c r="AU386" s="291">
        <f t="shared" si="730"/>
        <v>0</v>
      </c>
      <c r="AV386" s="314">
        <f t="shared" si="730"/>
        <v>0</v>
      </c>
      <c r="AW386" s="314">
        <f t="shared" si="730"/>
        <v>0</v>
      </c>
      <c r="AX386" s="400">
        <f t="shared" si="730"/>
        <v>4400</v>
      </c>
      <c r="AY386" s="400">
        <f t="shared" si="730"/>
        <v>0</v>
      </c>
      <c r="AZ386" s="400">
        <f t="shared" si="730"/>
        <v>0</v>
      </c>
      <c r="BA386" s="400">
        <f t="shared" si="730"/>
        <v>0</v>
      </c>
      <c r="BB386" s="400">
        <f t="shared" si="730"/>
        <v>0</v>
      </c>
      <c r="BC386" s="400">
        <f t="shared" si="730"/>
        <v>0</v>
      </c>
      <c r="BD386" s="400">
        <f t="shared" si="730"/>
        <v>0</v>
      </c>
      <c r="BE386" s="400">
        <f t="shared" si="730"/>
        <v>0</v>
      </c>
      <c r="BF386" s="400">
        <f t="shared" si="730"/>
        <v>0</v>
      </c>
      <c r="BG386" s="400">
        <f t="shared" si="730"/>
        <v>0</v>
      </c>
      <c r="BH386" s="400">
        <f t="shared" si="730"/>
        <v>4400</v>
      </c>
      <c r="BI386" s="400">
        <f t="shared" si="730"/>
        <v>0</v>
      </c>
      <c r="BJ386" s="400">
        <f t="shared" si="730"/>
        <v>0</v>
      </c>
      <c r="BK386" s="400">
        <f t="shared" si="730"/>
        <v>0</v>
      </c>
      <c r="BL386" s="400">
        <f t="shared" si="730"/>
        <v>0</v>
      </c>
      <c r="BM386" s="400">
        <f t="shared" si="730"/>
        <v>0</v>
      </c>
      <c r="BN386" s="400">
        <f t="shared" si="730"/>
        <v>0</v>
      </c>
      <c r="BO386" s="400">
        <f t="shared" si="730"/>
        <v>0</v>
      </c>
      <c r="BP386" s="400">
        <f t="shared" si="730"/>
        <v>0</v>
      </c>
      <c r="BQ386" s="400">
        <f t="shared" si="730"/>
        <v>0</v>
      </c>
      <c r="BR386" s="400">
        <f t="shared" si="730"/>
        <v>4400</v>
      </c>
      <c r="BS386" s="400">
        <f t="shared" si="730"/>
        <v>0</v>
      </c>
      <c r="BT386" s="400">
        <f t="shared" si="730"/>
        <v>0</v>
      </c>
      <c r="BU386" s="400">
        <f t="shared" si="730"/>
        <v>0</v>
      </c>
      <c r="BV386" s="401">
        <f t="shared" si="730"/>
        <v>0</v>
      </c>
    </row>
    <row r="387" spans="1:74" s="408" customFormat="1" ht="20.149999999999999" customHeight="1" outlineLevel="2" thickBot="1" x14ac:dyDescent="0.3">
      <c r="A387" s="1107" t="s">
        <v>101</v>
      </c>
      <c r="B387" s="1108"/>
      <c r="C387" s="1108"/>
      <c r="D387" s="1108"/>
      <c r="E387" s="1108"/>
      <c r="F387" s="1108"/>
      <c r="G387" s="1108"/>
      <c r="H387" s="1108"/>
      <c r="I387" s="1108"/>
      <c r="J387" s="1108"/>
      <c r="K387" s="1108"/>
      <c r="L387" s="1108"/>
      <c r="M387" s="1108"/>
      <c r="N387" s="1108"/>
      <c r="O387" s="1108"/>
      <c r="P387" s="1108"/>
      <c r="Q387" s="1108"/>
      <c r="R387" s="1108"/>
      <c r="S387" s="1108"/>
      <c r="T387" s="1108"/>
      <c r="U387" s="1108"/>
      <c r="V387" s="1108"/>
      <c r="W387" s="1108"/>
      <c r="X387" s="1108"/>
      <c r="Y387" s="1108"/>
      <c r="Z387" s="1108"/>
      <c r="AA387" s="1108"/>
      <c r="AB387" s="1108"/>
      <c r="AC387" s="1108"/>
      <c r="AD387" s="1108"/>
      <c r="AE387" s="1108"/>
      <c r="AF387" s="1108"/>
      <c r="AG387" s="1108"/>
      <c r="AH387" s="1108"/>
      <c r="AI387" s="1108"/>
      <c r="AJ387" s="1108"/>
      <c r="AK387" s="1108"/>
      <c r="AL387" s="1108"/>
      <c r="AM387" s="1108"/>
      <c r="AN387" s="406">
        <f t="shared" ref="AN387:BV387" si="731">SUM(AN371:AN386)</f>
        <v>11882.5</v>
      </c>
      <c r="AO387" s="406">
        <f t="shared" si="731"/>
        <v>4490.5</v>
      </c>
      <c r="AP387" s="406">
        <f t="shared" si="731"/>
        <v>4490.5</v>
      </c>
      <c r="AQ387" s="406">
        <f t="shared" si="731"/>
        <v>4490.5</v>
      </c>
      <c r="AR387" s="406">
        <f t="shared" si="731"/>
        <v>4490.5</v>
      </c>
      <c r="AS387" s="406">
        <f t="shared" si="731"/>
        <v>4490.5</v>
      </c>
      <c r="AT387" s="406">
        <f t="shared" si="731"/>
        <v>4490.5</v>
      </c>
      <c r="AU387" s="406">
        <f t="shared" si="731"/>
        <v>4490.5</v>
      </c>
      <c r="AV387" s="407">
        <f t="shared" si="731"/>
        <v>4490.5</v>
      </c>
      <c r="AW387" s="407">
        <f t="shared" si="731"/>
        <v>4490.5</v>
      </c>
      <c r="AX387" s="407">
        <f t="shared" si="731"/>
        <v>11882.5</v>
      </c>
      <c r="AY387" s="407">
        <f t="shared" si="731"/>
        <v>4490.5</v>
      </c>
      <c r="AZ387" s="407">
        <f t="shared" si="731"/>
        <v>4490.5</v>
      </c>
      <c r="BA387" s="407">
        <f t="shared" si="731"/>
        <v>4490.5</v>
      </c>
      <c r="BB387" s="407">
        <f t="shared" si="731"/>
        <v>4490.5</v>
      </c>
      <c r="BC387" s="407">
        <f t="shared" si="731"/>
        <v>4490.5</v>
      </c>
      <c r="BD387" s="407">
        <f t="shared" si="731"/>
        <v>4490.5</v>
      </c>
      <c r="BE387" s="407">
        <f t="shared" si="731"/>
        <v>4490.5</v>
      </c>
      <c r="BF387" s="407">
        <f t="shared" si="731"/>
        <v>4490.5</v>
      </c>
      <c r="BG387" s="407">
        <f t="shared" si="731"/>
        <v>4490.5</v>
      </c>
      <c r="BH387" s="407">
        <f t="shared" si="731"/>
        <v>11882.5</v>
      </c>
      <c r="BI387" s="407">
        <f t="shared" si="731"/>
        <v>4490.5</v>
      </c>
      <c r="BJ387" s="407">
        <f t="shared" si="731"/>
        <v>4490.5</v>
      </c>
      <c r="BK387" s="407">
        <f t="shared" si="731"/>
        <v>4490.5</v>
      </c>
      <c r="BL387" s="407">
        <f t="shared" si="731"/>
        <v>4490.5</v>
      </c>
      <c r="BM387" s="407">
        <f t="shared" si="731"/>
        <v>4490.5</v>
      </c>
      <c r="BN387" s="407">
        <f t="shared" si="731"/>
        <v>4490.5</v>
      </c>
      <c r="BO387" s="407">
        <f t="shared" si="731"/>
        <v>4490.5</v>
      </c>
      <c r="BP387" s="407">
        <f t="shared" si="731"/>
        <v>4490.5</v>
      </c>
      <c r="BQ387" s="407">
        <f t="shared" si="731"/>
        <v>4490.5</v>
      </c>
      <c r="BR387" s="407">
        <f t="shared" si="731"/>
        <v>11882.5</v>
      </c>
      <c r="BS387" s="407">
        <f t="shared" si="731"/>
        <v>4490.5</v>
      </c>
      <c r="BT387" s="407">
        <f t="shared" si="731"/>
        <v>4490.5</v>
      </c>
      <c r="BU387" s="407">
        <f t="shared" si="731"/>
        <v>4490.5</v>
      </c>
      <c r="BV387" s="407">
        <f t="shared" si="731"/>
        <v>4490.5</v>
      </c>
    </row>
    <row r="388" spans="1:74" ht="13" outlineLevel="2" thickBot="1" x14ac:dyDescent="0.3"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6"/>
      <c r="AN388" s="6"/>
      <c r="AO388" s="6"/>
      <c r="AP388" s="6"/>
      <c r="AQ388" s="6"/>
      <c r="AR388" s="6"/>
      <c r="AS388" s="6"/>
      <c r="AT388" s="6"/>
      <c r="AU388" s="6"/>
    </row>
    <row r="389" spans="1:74" s="123" customFormat="1" ht="27" customHeight="1" outlineLevel="1" thickBot="1" x14ac:dyDescent="0.3">
      <c r="A389" s="1106" t="s">
        <v>53</v>
      </c>
      <c r="B389" s="1106"/>
      <c r="C389" s="1106"/>
      <c r="D389" s="1106"/>
      <c r="E389" s="1106"/>
      <c r="F389" s="1106"/>
      <c r="G389" s="1106"/>
      <c r="H389" s="1106"/>
      <c r="I389" s="1106"/>
      <c r="J389" s="1106"/>
      <c r="K389" s="1106"/>
      <c r="L389" s="1106"/>
      <c r="M389" s="1106"/>
      <c r="N389" s="1106"/>
      <c r="O389" s="1106"/>
      <c r="P389" s="1106"/>
      <c r="Q389" s="1106"/>
      <c r="R389" s="1106"/>
      <c r="S389" s="1106"/>
      <c r="T389" s="1106"/>
      <c r="U389" s="1106"/>
      <c r="V389" s="1106"/>
      <c r="W389" s="1106"/>
      <c r="X389" s="1106"/>
      <c r="Y389" s="1106"/>
      <c r="Z389" s="1106"/>
      <c r="AA389" s="1106"/>
      <c r="AB389" s="1106"/>
      <c r="AC389" s="1106"/>
      <c r="AD389" s="1106"/>
      <c r="AE389" s="1106"/>
      <c r="AF389" s="1106"/>
      <c r="AG389" s="1106"/>
      <c r="AH389" s="1106"/>
      <c r="AI389" s="1106"/>
      <c r="AJ389" s="1106"/>
      <c r="AK389" s="1106"/>
      <c r="AL389" s="1106"/>
      <c r="AM389" s="1106"/>
      <c r="AN389" s="1106"/>
      <c r="AO389" s="1106"/>
      <c r="AP389" s="1106"/>
      <c r="AQ389" s="1106"/>
      <c r="AR389" s="1106"/>
      <c r="AS389" s="1106"/>
      <c r="AT389" s="1106"/>
      <c r="AU389" s="1106"/>
      <c r="AV389" s="1106"/>
      <c r="AW389" s="1106"/>
      <c r="AX389" s="1106"/>
      <c r="AY389" s="1106"/>
      <c r="AZ389" s="1106"/>
      <c r="BA389" s="1106"/>
      <c r="BB389" s="1106"/>
      <c r="BC389" s="1106"/>
      <c r="BD389" s="1106"/>
      <c r="BE389" s="1106"/>
      <c r="BF389" s="1106"/>
      <c r="BG389" s="1106"/>
      <c r="BH389" s="1106"/>
      <c r="BI389" s="1106"/>
      <c r="BJ389" s="1106"/>
      <c r="BK389" s="1106"/>
      <c r="BL389" s="1106"/>
      <c r="BM389" s="1106"/>
      <c r="BN389" s="1106"/>
      <c r="BO389" s="1106"/>
      <c r="BP389" s="1106"/>
      <c r="BQ389" s="1106"/>
      <c r="BR389" s="1106"/>
      <c r="BS389" s="1106"/>
      <c r="BT389" s="1106"/>
      <c r="BU389" s="1106"/>
      <c r="BV389" s="1106"/>
    </row>
    <row r="390" spans="1:74" ht="18" customHeight="1" outlineLevel="2" thickBot="1" x14ac:dyDescent="0.3">
      <c r="A390" s="1102" t="s">
        <v>113</v>
      </c>
      <c r="B390" s="1102" t="s">
        <v>8</v>
      </c>
      <c r="C390" s="1102" t="s">
        <v>100</v>
      </c>
      <c r="D390" s="1102" t="s">
        <v>97</v>
      </c>
      <c r="E390" s="1102"/>
      <c r="F390" s="1102"/>
      <c r="G390" s="1102"/>
      <c r="H390" s="1102"/>
      <c r="I390" s="1102"/>
      <c r="J390" s="1102"/>
      <c r="K390" s="1102"/>
      <c r="L390" s="1102"/>
      <c r="M390" s="1102"/>
      <c r="N390" s="1102"/>
      <c r="O390" s="1102"/>
      <c r="P390" s="1102"/>
      <c r="Q390" s="1102"/>
      <c r="R390" s="1102"/>
      <c r="S390" s="1102"/>
      <c r="T390" s="1102"/>
      <c r="U390" s="1102"/>
      <c r="V390" s="1102"/>
      <c r="W390" s="1102"/>
      <c r="X390" s="1102"/>
      <c r="Y390" s="1102"/>
      <c r="Z390" s="1102"/>
      <c r="AA390" s="1102"/>
      <c r="AB390" s="1102"/>
      <c r="AC390" s="1102"/>
      <c r="AD390" s="1102"/>
      <c r="AE390" s="1102"/>
      <c r="AF390" s="1102"/>
      <c r="AG390" s="1102"/>
      <c r="AH390" s="1102"/>
      <c r="AI390" s="1102"/>
      <c r="AJ390" s="1102"/>
      <c r="AK390" s="1102"/>
      <c r="AL390" s="1102"/>
      <c r="AM390" s="634"/>
      <c r="AN390" s="1102" t="s">
        <v>99</v>
      </c>
      <c r="AO390" s="1102"/>
      <c r="AP390" s="1102"/>
      <c r="AQ390" s="1102"/>
      <c r="AR390" s="1102"/>
      <c r="AS390" s="1102"/>
      <c r="AT390" s="1102"/>
      <c r="AU390" s="1102"/>
      <c r="AV390" s="1102"/>
      <c r="AW390" s="1102"/>
      <c r="AX390" s="1102"/>
      <c r="AY390" s="1102"/>
      <c r="AZ390" s="1102"/>
      <c r="BA390" s="1102"/>
      <c r="BB390" s="1102"/>
      <c r="BC390" s="1102"/>
      <c r="BD390" s="1102"/>
      <c r="BE390" s="1102"/>
      <c r="BF390" s="1102"/>
      <c r="BG390" s="1102"/>
      <c r="BH390" s="1102"/>
      <c r="BI390" s="1102"/>
      <c r="BJ390" s="1102"/>
      <c r="BK390" s="1102"/>
      <c r="BL390" s="1102"/>
      <c r="BM390" s="1102"/>
      <c r="BN390" s="1102"/>
      <c r="BO390" s="1102"/>
      <c r="BP390" s="1102"/>
      <c r="BQ390" s="1102"/>
      <c r="BR390" s="1102"/>
      <c r="BS390" s="1102"/>
      <c r="BT390" s="1102"/>
      <c r="BU390" s="1102"/>
      <c r="BV390" s="1102"/>
    </row>
    <row r="391" spans="1:74" ht="18" customHeight="1" outlineLevel="2" thickBot="1" x14ac:dyDescent="0.3">
      <c r="A391" s="1102"/>
      <c r="B391" s="1102"/>
      <c r="C391" s="1102"/>
      <c r="D391" s="275">
        <v>1</v>
      </c>
      <c r="E391" s="211">
        <v>2</v>
      </c>
      <c r="F391" s="211">
        <v>3</v>
      </c>
      <c r="G391" s="211">
        <v>4</v>
      </c>
      <c r="H391" s="211">
        <v>5</v>
      </c>
      <c r="I391" s="211">
        <v>6</v>
      </c>
      <c r="J391" s="211">
        <v>7</v>
      </c>
      <c r="K391" s="211">
        <v>8</v>
      </c>
      <c r="L391" s="211">
        <v>9</v>
      </c>
      <c r="M391" s="211">
        <v>10</v>
      </c>
      <c r="N391" s="211">
        <v>11</v>
      </c>
      <c r="O391" s="211">
        <v>12</v>
      </c>
      <c r="P391" s="211">
        <v>13</v>
      </c>
      <c r="Q391" s="211">
        <v>14</v>
      </c>
      <c r="R391" s="211">
        <v>15</v>
      </c>
      <c r="S391" s="211">
        <v>16</v>
      </c>
      <c r="T391" s="211">
        <v>17</v>
      </c>
      <c r="U391" s="211">
        <v>18</v>
      </c>
      <c r="V391" s="211">
        <v>19</v>
      </c>
      <c r="W391" s="211">
        <v>20</v>
      </c>
      <c r="X391" s="211">
        <v>21</v>
      </c>
      <c r="Y391" s="211">
        <v>22</v>
      </c>
      <c r="Z391" s="211">
        <v>23</v>
      </c>
      <c r="AA391" s="211">
        <v>24</v>
      </c>
      <c r="AB391" s="211">
        <v>25</v>
      </c>
      <c r="AC391" s="211">
        <v>26</v>
      </c>
      <c r="AD391" s="211">
        <v>27</v>
      </c>
      <c r="AE391" s="211">
        <v>28</v>
      </c>
      <c r="AF391" s="211">
        <v>29</v>
      </c>
      <c r="AG391" s="211">
        <v>30</v>
      </c>
      <c r="AH391" s="211">
        <v>31</v>
      </c>
      <c r="AI391" s="211">
        <v>32</v>
      </c>
      <c r="AJ391" s="211">
        <v>33</v>
      </c>
      <c r="AK391" s="211">
        <v>34</v>
      </c>
      <c r="AL391" s="212">
        <v>35</v>
      </c>
      <c r="AM391" s="635"/>
      <c r="AN391" s="275">
        <v>1</v>
      </c>
      <c r="AO391" s="211">
        <v>2</v>
      </c>
      <c r="AP391" s="211">
        <v>3</v>
      </c>
      <c r="AQ391" s="211">
        <v>4</v>
      </c>
      <c r="AR391" s="211">
        <v>5</v>
      </c>
      <c r="AS391" s="211">
        <v>6</v>
      </c>
      <c r="AT391" s="211">
        <v>7</v>
      </c>
      <c r="AU391" s="211">
        <v>8</v>
      </c>
      <c r="AV391" s="211">
        <v>9</v>
      </c>
      <c r="AW391" s="211">
        <v>10</v>
      </c>
      <c r="AX391" s="211">
        <v>11</v>
      </c>
      <c r="AY391" s="211">
        <v>12</v>
      </c>
      <c r="AZ391" s="211">
        <v>13</v>
      </c>
      <c r="BA391" s="211">
        <v>14</v>
      </c>
      <c r="BB391" s="211">
        <v>15</v>
      </c>
      <c r="BC391" s="211">
        <v>16</v>
      </c>
      <c r="BD391" s="211">
        <v>17</v>
      </c>
      <c r="BE391" s="211">
        <v>18</v>
      </c>
      <c r="BF391" s="211">
        <v>19</v>
      </c>
      <c r="BG391" s="211">
        <v>20</v>
      </c>
      <c r="BH391" s="211">
        <v>21</v>
      </c>
      <c r="BI391" s="211">
        <v>22</v>
      </c>
      <c r="BJ391" s="211">
        <v>23</v>
      </c>
      <c r="BK391" s="211">
        <v>24</v>
      </c>
      <c r="BL391" s="211">
        <v>25</v>
      </c>
      <c r="BM391" s="211">
        <v>26</v>
      </c>
      <c r="BN391" s="211">
        <v>27</v>
      </c>
      <c r="BO391" s="211">
        <v>28</v>
      </c>
      <c r="BP391" s="211">
        <v>29</v>
      </c>
      <c r="BQ391" s="211">
        <v>30</v>
      </c>
      <c r="BR391" s="211">
        <v>31</v>
      </c>
      <c r="BS391" s="211">
        <v>32</v>
      </c>
      <c r="BT391" s="211">
        <v>33</v>
      </c>
      <c r="BU391" s="211">
        <v>34</v>
      </c>
      <c r="BV391" s="212">
        <v>35</v>
      </c>
    </row>
    <row r="392" spans="1:74" ht="20.149999999999999" customHeight="1" outlineLevel="2" x14ac:dyDescent="0.25">
      <c r="A392" s="19" t="s">
        <v>298</v>
      </c>
      <c r="B392" s="10" t="s">
        <v>21</v>
      </c>
      <c r="C392" s="279">
        <f>'Custos Diversos'!$E$21</f>
        <v>159</v>
      </c>
      <c r="D392" s="279">
        <v>1</v>
      </c>
      <c r="E392" s="279"/>
      <c r="F392" s="279"/>
      <c r="G392" s="279"/>
      <c r="H392" s="279"/>
      <c r="I392" s="279"/>
      <c r="J392" s="279"/>
      <c r="K392" s="279"/>
      <c r="L392" s="356"/>
      <c r="M392" s="356"/>
      <c r="N392" s="356">
        <f t="shared" ref="N392:W398" si="732">D392</f>
        <v>1</v>
      </c>
      <c r="O392" s="356">
        <f t="shared" si="732"/>
        <v>0</v>
      </c>
      <c r="P392" s="356">
        <f t="shared" si="732"/>
        <v>0</v>
      </c>
      <c r="Q392" s="356">
        <f t="shared" si="732"/>
        <v>0</v>
      </c>
      <c r="R392" s="356">
        <f t="shared" si="732"/>
        <v>0</v>
      </c>
      <c r="S392" s="356">
        <f t="shared" si="732"/>
        <v>0</v>
      </c>
      <c r="T392" s="356">
        <f t="shared" si="732"/>
        <v>0</v>
      </c>
      <c r="U392" s="356">
        <f t="shared" si="732"/>
        <v>0</v>
      </c>
      <c r="V392" s="356">
        <f t="shared" si="732"/>
        <v>0</v>
      </c>
      <c r="W392" s="356">
        <f t="shared" si="732"/>
        <v>0</v>
      </c>
      <c r="X392" s="356">
        <f t="shared" ref="X392:AG398" si="733">D392</f>
        <v>1</v>
      </c>
      <c r="Y392" s="356">
        <f t="shared" si="733"/>
        <v>0</v>
      </c>
      <c r="Z392" s="356">
        <f t="shared" si="733"/>
        <v>0</v>
      </c>
      <c r="AA392" s="356">
        <f t="shared" si="733"/>
        <v>0</v>
      </c>
      <c r="AB392" s="356">
        <f t="shared" si="733"/>
        <v>0</v>
      </c>
      <c r="AC392" s="356">
        <f t="shared" si="733"/>
        <v>0</v>
      </c>
      <c r="AD392" s="356">
        <f t="shared" si="733"/>
        <v>0</v>
      </c>
      <c r="AE392" s="356">
        <f t="shared" si="733"/>
        <v>0</v>
      </c>
      <c r="AF392" s="356">
        <f t="shared" si="733"/>
        <v>0</v>
      </c>
      <c r="AG392" s="356">
        <f t="shared" si="733"/>
        <v>0</v>
      </c>
      <c r="AH392" s="356">
        <f t="shared" ref="AH392:AL398" si="734">D392</f>
        <v>1</v>
      </c>
      <c r="AI392" s="356">
        <f t="shared" si="734"/>
        <v>0</v>
      </c>
      <c r="AJ392" s="356">
        <f t="shared" si="734"/>
        <v>0</v>
      </c>
      <c r="AK392" s="356">
        <f t="shared" si="734"/>
        <v>0</v>
      </c>
      <c r="AL392" s="357">
        <f t="shared" si="734"/>
        <v>0</v>
      </c>
      <c r="AM392" s="636"/>
      <c r="AN392" s="301">
        <f t="shared" ref="AN392:AW398" si="735">$C$392*D392</f>
        <v>159</v>
      </c>
      <c r="AO392" s="302">
        <f t="shared" si="735"/>
        <v>0</v>
      </c>
      <c r="AP392" s="302">
        <f t="shared" si="735"/>
        <v>0</v>
      </c>
      <c r="AQ392" s="302">
        <f t="shared" si="735"/>
        <v>0</v>
      </c>
      <c r="AR392" s="302">
        <f t="shared" si="735"/>
        <v>0</v>
      </c>
      <c r="AS392" s="302">
        <f t="shared" si="735"/>
        <v>0</v>
      </c>
      <c r="AT392" s="302">
        <f t="shared" si="735"/>
        <v>0</v>
      </c>
      <c r="AU392" s="281">
        <f t="shared" si="735"/>
        <v>0</v>
      </c>
      <c r="AV392" s="312">
        <f t="shared" si="735"/>
        <v>0</v>
      </c>
      <c r="AW392" s="312">
        <f t="shared" si="735"/>
        <v>0</v>
      </c>
      <c r="AX392" s="374">
        <f t="shared" ref="AX392:BG398" si="736">$C$392*N392</f>
        <v>159</v>
      </c>
      <c r="AY392" s="374">
        <f t="shared" si="736"/>
        <v>0</v>
      </c>
      <c r="AZ392" s="374">
        <f t="shared" si="736"/>
        <v>0</v>
      </c>
      <c r="BA392" s="374">
        <f t="shared" si="736"/>
        <v>0</v>
      </c>
      <c r="BB392" s="374">
        <f t="shared" si="736"/>
        <v>0</v>
      </c>
      <c r="BC392" s="374">
        <f t="shared" si="736"/>
        <v>0</v>
      </c>
      <c r="BD392" s="374">
        <f t="shared" si="736"/>
        <v>0</v>
      </c>
      <c r="BE392" s="374">
        <f t="shared" si="736"/>
        <v>0</v>
      </c>
      <c r="BF392" s="374">
        <f t="shared" si="736"/>
        <v>0</v>
      </c>
      <c r="BG392" s="374">
        <f t="shared" si="736"/>
        <v>0</v>
      </c>
      <c r="BH392" s="374">
        <f t="shared" ref="BH392:BQ398" si="737">$C$392*X392</f>
        <v>159</v>
      </c>
      <c r="BI392" s="374">
        <f t="shared" si="737"/>
        <v>0</v>
      </c>
      <c r="BJ392" s="374">
        <f t="shared" si="737"/>
        <v>0</v>
      </c>
      <c r="BK392" s="374">
        <f t="shared" si="737"/>
        <v>0</v>
      </c>
      <c r="BL392" s="374">
        <f t="shared" si="737"/>
        <v>0</v>
      </c>
      <c r="BM392" s="374">
        <f t="shared" si="737"/>
        <v>0</v>
      </c>
      <c r="BN392" s="374">
        <f t="shared" si="737"/>
        <v>0</v>
      </c>
      <c r="BO392" s="374">
        <f t="shared" si="737"/>
        <v>0</v>
      </c>
      <c r="BP392" s="374">
        <f t="shared" si="737"/>
        <v>0</v>
      </c>
      <c r="BQ392" s="374">
        <f t="shared" si="737"/>
        <v>0</v>
      </c>
      <c r="BR392" s="374">
        <f t="shared" ref="BR392:BV398" si="738">$C$392*AH392</f>
        <v>159</v>
      </c>
      <c r="BS392" s="374">
        <f t="shared" si="738"/>
        <v>0</v>
      </c>
      <c r="BT392" s="374">
        <f t="shared" si="738"/>
        <v>0</v>
      </c>
      <c r="BU392" s="374">
        <f t="shared" si="738"/>
        <v>0</v>
      </c>
      <c r="BV392" s="375">
        <f t="shared" si="738"/>
        <v>0</v>
      </c>
    </row>
    <row r="393" spans="1:74" ht="20.149999999999999" customHeight="1" outlineLevel="2" x14ac:dyDescent="0.25">
      <c r="A393" s="23" t="s">
        <v>299</v>
      </c>
      <c r="B393" s="8" t="s">
        <v>21</v>
      </c>
      <c r="C393" s="284">
        <f>'Custos Diversos'!$E$21</f>
        <v>159</v>
      </c>
      <c r="D393" s="284">
        <v>1</v>
      </c>
      <c r="E393" s="284">
        <v>1</v>
      </c>
      <c r="F393" s="284">
        <v>1</v>
      </c>
      <c r="G393" s="284">
        <v>1</v>
      </c>
      <c r="H393" s="284">
        <v>1</v>
      </c>
      <c r="I393" s="284">
        <v>1</v>
      </c>
      <c r="J393" s="284">
        <v>1</v>
      </c>
      <c r="K393" s="284">
        <v>1</v>
      </c>
      <c r="L393" s="358">
        <v>1</v>
      </c>
      <c r="M393" s="358">
        <v>1</v>
      </c>
      <c r="N393" s="358">
        <f t="shared" si="732"/>
        <v>1</v>
      </c>
      <c r="O393" s="358">
        <f t="shared" si="732"/>
        <v>1</v>
      </c>
      <c r="P393" s="358">
        <f t="shared" si="732"/>
        <v>1</v>
      </c>
      <c r="Q393" s="358">
        <f t="shared" si="732"/>
        <v>1</v>
      </c>
      <c r="R393" s="358">
        <f t="shared" si="732"/>
        <v>1</v>
      </c>
      <c r="S393" s="358">
        <f t="shared" si="732"/>
        <v>1</v>
      </c>
      <c r="T393" s="358">
        <f t="shared" si="732"/>
        <v>1</v>
      </c>
      <c r="U393" s="358">
        <f t="shared" si="732"/>
        <v>1</v>
      </c>
      <c r="V393" s="358">
        <f t="shared" si="732"/>
        <v>1</v>
      </c>
      <c r="W393" s="358">
        <f t="shared" si="732"/>
        <v>1</v>
      </c>
      <c r="X393" s="358">
        <f t="shared" si="733"/>
        <v>1</v>
      </c>
      <c r="Y393" s="358">
        <f t="shared" si="733"/>
        <v>1</v>
      </c>
      <c r="Z393" s="358">
        <f t="shared" si="733"/>
        <v>1</v>
      </c>
      <c r="AA393" s="358">
        <f t="shared" si="733"/>
        <v>1</v>
      </c>
      <c r="AB393" s="358">
        <f t="shared" si="733"/>
        <v>1</v>
      </c>
      <c r="AC393" s="358">
        <f t="shared" si="733"/>
        <v>1</v>
      </c>
      <c r="AD393" s="358">
        <f t="shared" si="733"/>
        <v>1</v>
      </c>
      <c r="AE393" s="358">
        <f t="shared" si="733"/>
        <v>1</v>
      </c>
      <c r="AF393" s="358">
        <f t="shared" si="733"/>
        <v>1</v>
      </c>
      <c r="AG393" s="358">
        <f t="shared" si="733"/>
        <v>1</v>
      </c>
      <c r="AH393" s="358">
        <f t="shared" si="734"/>
        <v>1</v>
      </c>
      <c r="AI393" s="358">
        <f t="shared" si="734"/>
        <v>1</v>
      </c>
      <c r="AJ393" s="358">
        <f t="shared" si="734"/>
        <v>1</v>
      </c>
      <c r="AK393" s="358">
        <f t="shared" si="734"/>
        <v>1</v>
      </c>
      <c r="AL393" s="359">
        <f t="shared" si="734"/>
        <v>1</v>
      </c>
      <c r="AM393" s="636"/>
      <c r="AN393" s="303">
        <f t="shared" si="735"/>
        <v>159</v>
      </c>
      <c r="AO393" s="304">
        <f t="shared" si="735"/>
        <v>159</v>
      </c>
      <c r="AP393" s="304">
        <f t="shared" si="735"/>
        <v>159</v>
      </c>
      <c r="AQ393" s="304">
        <f t="shared" si="735"/>
        <v>159</v>
      </c>
      <c r="AR393" s="304">
        <f t="shared" si="735"/>
        <v>159</v>
      </c>
      <c r="AS393" s="304">
        <f t="shared" si="735"/>
        <v>159</v>
      </c>
      <c r="AT393" s="304">
        <f t="shared" si="735"/>
        <v>159</v>
      </c>
      <c r="AU393" s="286">
        <f t="shared" si="735"/>
        <v>159</v>
      </c>
      <c r="AV393" s="313">
        <f t="shared" si="735"/>
        <v>159</v>
      </c>
      <c r="AW393" s="313">
        <f t="shared" si="735"/>
        <v>159</v>
      </c>
      <c r="AX393" s="376">
        <f t="shared" si="736"/>
        <v>159</v>
      </c>
      <c r="AY393" s="376">
        <f t="shared" si="736"/>
        <v>159</v>
      </c>
      <c r="AZ393" s="376">
        <f t="shared" si="736"/>
        <v>159</v>
      </c>
      <c r="BA393" s="376">
        <f t="shared" si="736"/>
        <v>159</v>
      </c>
      <c r="BB393" s="376">
        <f t="shared" si="736"/>
        <v>159</v>
      </c>
      <c r="BC393" s="376">
        <f t="shared" si="736"/>
        <v>159</v>
      </c>
      <c r="BD393" s="376">
        <f t="shared" si="736"/>
        <v>159</v>
      </c>
      <c r="BE393" s="376">
        <f t="shared" si="736"/>
        <v>159</v>
      </c>
      <c r="BF393" s="376">
        <f t="shared" si="736"/>
        <v>159</v>
      </c>
      <c r="BG393" s="376">
        <f t="shared" si="736"/>
        <v>159</v>
      </c>
      <c r="BH393" s="376">
        <f t="shared" si="737"/>
        <v>159</v>
      </c>
      <c r="BI393" s="376">
        <f t="shared" si="737"/>
        <v>159</v>
      </c>
      <c r="BJ393" s="376">
        <f t="shared" si="737"/>
        <v>159</v>
      </c>
      <c r="BK393" s="376">
        <f t="shared" si="737"/>
        <v>159</v>
      </c>
      <c r="BL393" s="376">
        <f t="shared" si="737"/>
        <v>159</v>
      </c>
      <c r="BM393" s="376">
        <f t="shared" si="737"/>
        <v>159</v>
      </c>
      <c r="BN393" s="376">
        <f t="shared" si="737"/>
        <v>159</v>
      </c>
      <c r="BO393" s="376">
        <f t="shared" si="737"/>
        <v>159</v>
      </c>
      <c r="BP393" s="376">
        <f t="shared" si="737"/>
        <v>159</v>
      </c>
      <c r="BQ393" s="376">
        <f t="shared" si="737"/>
        <v>159</v>
      </c>
      <c r="BR393" s="376">
        <f t="shared" si="738"/>
        <v>159</v>
      </c>
      <c r="BS393" s="376">
        <f t="shared" si="738"/>
        <v>159</v>
      </c>
      <c r="BT393" s="376">
        <f t="shared" si="738"/>
        <v>159</v>
      </c>
      <c r="BU393" s="376">
        <f t="shared" si="738"/>
        <v>159</v>
      </c>
      <c r="BV393" s="377">
        <f t="shared" si="738"/>
        <v>159</v>
      </c>
    </row>
    <row r="394" spans="1:74" ht="20.149999999999999" customHeight="1" outlineLevel="2" x14ac:dyDescent="0.25">
      <c r="A394" s="23" t="s">
        <v>300</v>
      </c>
      <c r="B394" s="8" t="s">
        <v>21</v>
      </c>
      <c r="C394" s="284">
        <f>'Custos Diversos'!$E$21</f>
        <v>159</v>
      </c>
      <c r="D394" s="284">
        <v>1</v>
      </c>
      <c r="E394" s="284">
        <v>1.5</v>
      </c>
      <c r="F394" s="284">
        <v>1.5</v>
      </c>
      <c r="G394" s="284">
        <v>1.5</v>
      </c>
      <c r="H394" s="284">
        <v>1.5</v>
      </c>
      <c r="I394" s="284">
        <v>1.5</v>
      </c>
      <c r="J394" s="284">
        <v>1.5</v>
      </c>
      <c r="K394" s="284">
        <v>1.5</v>
      </c>
      <c r="L394" s="358">
        <v>1.5</v>
      </c>
      <c r="M394" s="358">
        <v>1.5</v>
      </c>
      <c r="N394" s="358">
        <f t="shared" si="732"/>
        <v>1</v>
      </c>
      <c r="O394" s="358">
        <f t="shared" si="732"/>
        <v>1.5</v>
      </c>
      <c r="P394" s="358">
        <f t="shared" si="732"/>
        <v>1.5</v>
      </c>
      <c r="Q394" s="358">
        <f t="shared" si="732"/>
        <v>1.5</v>
      </c>
      <c r="R394" s="358">
        <f t="shared" si="732"/>
        <v>1.5</v>
      </c>
      <c r="S394" s="358">
        <f t="shared" si="732"/>
        <v>1.5</v>
      </c>
      <c r="T394" s="358">
        <f t="shared" si="732"/>
        <v>1.5</v>
      </c>
      <c r="U394" s="358">
        <f t="shared" si="732"/>
        <v>1.5</v>
      </c>
      <c r="V394" s="358">
        <f t="shared" si="732"/>
        <v>1.5</v>
      </c>
      <c r="W394" s="358">
        <f t="shared" si="732"/>
        <v>1.5</v>
      </c>
      <c r="X394" s="358">
        <f t="shared" si="733"/>
        <v>1</v>
      </c>
      <c r="Y394" s="358">
        <f t="shared" si="733"/>
        <v>1.5</v>
      </c>
      <c r="Z394" s="358">
        <f t="shared" si="733"/>
        <v>1.5</v>
      </c>
      <c r="AA394" s="358">
        <f t="shared" si="733"/>
        <v>1.5</v>
      </c>
      <c r="AB394" s="358">
        <f t="shared" si="733"/>
        <v>1.5</v>
      </c>
      <c r="AC394" s="358">
        <f t="shared" si="733"/>
        <v>1.5</v>
      </c>
      <c r="AD394" s="358">
        <f t="shared" si="733"/>
        <v>1.5</v>
      </c>
      <c r="AE394" s="358">
        <f t="shared" si="733"/>
        <v>1.5</v>
      </c>
      <c r="AF394" s="358">
        <f t="shared" si="733"/>
        <v>1.5</v>
      </c>
      <c r="AG394" s="358">
        <f t="shared" si="733"/>
        <v>1.5</v>
      </c>
      <c r="AH394" s="358">
        <f t="shared" si="734"/>
        <v>1</v>
      </c>
      <c r="AI394" s="358">
        <f t="shared" si="734"/>
        <v>1.5</v>
      </c>
      <c r="AJ394" s="358">
        <f t="shared" si="734"/>
        <v>1.5</v>
      </c>
      <c r="AK394" s="358">
        <f t="shared" si="734"/>
        <v>1.5</v>
      </c>
      <c r="AL394" s="359">
        <f t="shared" si="734"/>
        <v>1.5</v>
      </c>
      <c r="AM394" s="636"/>
      <c r="AN394" s="303">
        <f t="shared" si="735"/>
        <v>159</v>
      </c>
      <c r="AO394" s="304">
        <f t="shared" si="735"/>
        <v>238.5</v>
      </c>
      <c r="AP394" s="304">
        <f t="shared" si="735"/>
        <v>238.5</v>
      </c>
      <c r="AQ394" s="304">
        <f t="shared" si="735"/>
        <v>238.5</v>
      </c>
      <c r="AR394" s="304">
        <f t="shared" si="735"/>
        <v>238.5</v>
      </c>
      <c r="AS394" s="304">
        <f t="shared" si="735"/>
        <v>238.5</v>
      </c>
      <c r="AT394" s="304">
        <f t="shared" si="735"/>
        <v>238.5</v>
      </c>
      <c r="AU394" s="286">
        <f t="shared" si="735"/>
        <v>238.5</v>
      </c>
      <c r="AV394" s="313">
        <f t="shared" si="735"/>
        <v>238.5</v>
      </c>
      <c r="AW394" s="313">
        <f t="shared" si="735"/>
        <v>238.5</v>
      </c>
      <c r="AX394" s="376">
        <f t="shared" si="736"/>
        <v>159</v>
      </c>
      <c r="AY394" s="376">
        <f t="shared" si="736"/>
        <v>238.5</v>
      </c>
      <c r="AZ394" s="376">
        <f t="shared" si="736"/>
        <v>238.5</v>
      </c>
      <c r="BA394" s="376">
        <f t="shared" si="736"/>
        <v>238.5</v>
      </c>
      <c r="BB394" s="376">
        <f t="shared" si="736"/>
        <v>238.5</v>
      </c>
      <c r="BC394" s="376">
        <f t="shared" si="736"/>
        <v>238.5</v>
      </c>
      <c r="BD394" s="376">
        <f t="shared" si="736"/>
        <v>238.5</v>
      </c>
      <c r="BE394" s="376">
        <f t="shared" si="736"/>
        <v>238.5</v>
      </c>
      <c r="BF394" s="376">
        <f t="shared" si="736"/>
        <v>238.5</v>
      </c>
      <c r="BG394" s="376">
        <f t="shared" si="736"/>
        <v>238.5</v>
      </c>
      <c r="BH394" s="376">
        <f t="shared" si="737"/>
        <v>159</v>
      </c>
      <c r="BI394" s="376">
        <f t="shared" si="737"/>
        <v>238.5</v>
      </c>
      <c r="BJ394" s="376">
        <f t="shared" si="737"/>
        <v>238.5</v>
      </c>
      <c r="BK394" s="376">
        <f t="shared" si="737"/>
        <v>238.5</v>
      </c>
      <c r="BL394" s="376">
        <f t="shared" si="737"/>
        <v>238.5</v>
      </c>
      <c r="BM394" s="376">
        <f t="shared" si="737"/>
        <v>238.5</v>
      </c>
      <c r="BN394" s="376">
        <f t="shared" si="737"/>
        <v>238.5</v>
      </c>
      <c r="BO394" s="376">
        <f t="shared" si="737"/>
        <v>238.5</v>
      </c>
      <c r="BP394" s="376">
        <f t="shared" si="737"/>
        <v>238.5</v>
      </c>
      <c r="BQ394" s="376">
        <f t="shared" si="737"/>
        <v>238.5</v>
      </c>
      <c r="BR394" s="376">
        <f t="shared" si="738"/>
        <v>159</v>
      </c>
      <c r="BS394" s="376">
        <f t="shared" si="738"/>
        <v>238.5</v>
      </c>
      <c r="BT394" s="376">
        <f t="shared" si="738"/>
        <v>238.5</v>
      </c>
      <c r="BU394" s="376">
        <f t="shared" si="738"/>
        <v>238.5</v>
      </c>
      <c r="BV394" s="377">
        <f t="shared" si="738"/>
        <v>238.5</v>
      </c>
    </row>
    <row r="395" spans="1:74" ht="20.149999999999999" customHeight="1" outlineLevel="2" x14ac:dyDescent="0.25">
      <c r="A395" s="23" t="s">
        <v>301</v>
      </c>
      <c r="B395" s="8" t="s">
        <v>21</v>
      </c>
      <c r="C395" s="284">
        <f>'Custos Diversos'!$E$21</f>
        <v>159</v>
      </c>
      <c r="D395" s="284">
        <v>1</v>
      </c>
      <c r="E395" s="284">
        <v>2</v>
      </c>
      <c r="F395" s="284">
        <v>2</v>
      </c>
      <c r="G395" s="284">
        <v>2</v>
      </c>
      <c r="H395" s="284">
        <v>2</v>
      </c>
      <c r="I395" s="284">
        <v>2</v>
      </c>
      <c r="J395" s="284">
        <v>2</v>
      </c>
      <c r="K395" s="284">
        <v>2</v>
      </c>
      <c r="L395" s="358">
        <v>2</v>
      </c>
      <c r="M395" s="358">
        <v>2</v>
      </c>
      <c r="N395" s="358">
        <f t="shared" si="732"/>
        <v>1</v>
      </c>
      <c r="O395" s="358">
        <f t="shared" si="732"/>
        <v>2</v>
      </c>
      <c r="P395" s="358">
        <f t="shared" si="732"/>
        <v>2</v>
      </c>
      <c r="Q395" s="358">
        <f t="shared" si="732"/>
        <v>2</v>
      </c>
      <c r="R395" s="358">
        <f t="shared" si="732"/>
        <v>2</v>
      </c>
      <c r="S395" s="358">
        <f t="shared" si="732"/>
        <v>2</v>
      </c>
      <c r="T395" s="358">
        <f t="shared" si="732"/>
        <v>2</v>
      </c>
      <c r="U395" s="358">
        <f t="shared" si="732"/>
        <v>2</v>
      </c>
      <c r="V395" s="358">
        <f t="shared" si="732"/>
        <v>2</v>
      </c>
      <c r="W395" s="358">
        <f t="shared" si="732"/>
        <v>2</v>
      </c>
      <c r="X395" s="358">
        <f t="shared" si="733"/>
        <v>1</v>
      </c>
      <c r="Y395" s="358">
        <f t="shared" si="733"/>
        <v>2</v>
      </c>
      <c r="Z395" s="358">
        <f t="shared" si="733"/>
        <v>2</v>
      </c>
      <c r="AA395" s="358">
        <f t="shared" si="733"/>
        <v>2</v>
      </c>
      <c r="AB395" s="358">
        <f t="shared" si="733"/>
        <v>2</v>
      </c>
      <c r="AC395" s="358">
        <f t="shared" si="733"/>
        <v>2</v>
      </c>
      <c r="AD395" s="358">
        <f t="shared" si="733"/>
        <v>2</v>
      </c>
      <c r="AE395" s="358">
        <f t="shared" si="733"/>
        <v>2</v>
      </c>
      <c r="AF395" s="358">
        <f t="shared" si="733"/>
        <v>2</v>
      </c>
      <c r="AG395" s="358">
        <f t="shared" si="733"/>
        <v>2</v>
      </c>
      <c r="AH395" s="358">
        <f t="shared" si="734"/>
        <v>1</v>
      </c>
      <c r="AI395" s="358">
        <f t="shared" si="734"/>
        <v>2</v>
      </c>
      <c r="AJ395" s="358">
        <f t="shared" si="734"/>
        <v>2</v>
      </c>
      <c r="AK395" s="358">
        <f t="shared" si="734"/>
        <v>2</v>
      </c>
      <c r="AL395" s="359">
        <f t="shared" si="734"/>
        <v>2</v>
      </c>
      <c r="AM395" s="636"/>
      <c r="AN395" s="303">
        <f t="shared" si="735"/>
        <v>159</v>
      </c>
      <c r="AO395" s="304">
        <f t="shared" si="735"/>
        <v>318</v>
      </c>
      <c r="AP395" s="304">
        <f t="shared" si="735"/>
        <v>318</v>
      </c>
      <c r="AQ395" s="304">
        <f t="shared" si="735"/>
        <v>318</v>
      </c>
      <c r="AR395" s="304">
        <f t="shared" si="735"/>
        <v>318</v>
      </c>
      <c r="AS395" s="304">
        <f t="shared" si="735"/>
        <v>318</v>
      </c>
      <c r="AT395" s="304">
        <f t="shared" si="735"/>
        <v>318</v>
      </c>
      <c r="AU395" s="286">
        <f t="shared" si="735"/>
        <v>318</v>
      </c>
      <c r="AV395" s="313">
        <f t="shared" si="735"/>
        <v>318</v>
      </c>
      <c r="AW395" s="313">
        <f t="shared" si="735"/>
        <v>318</v>
      </c>
      <c r="AX395" s="376">
        <f t="shared" si="736"/>
        <v>159</v>
      </c>
      <c r="AY395" s="376">
        <f t="shared" si="736"/>
        <v>318</v>
      </c>
      <c r="AZ395" s="376">
        <f t="shared" si="736"/>
        <v>318</v>
      </c>
      <c r="BA395" s="376">
        <f t="shared" si="736"/>
        <v>318</v>
      </c>
      <c r="BB395" s="376">
        <f t="shared" si="736"/>
        <v>318</v>
      </c>
      <c r="BC395" s="376">
        <f t="shared" si="736"/>
        <v>318</v>
      </c>
      <c r="BD395" s="376">
        <f t="shared" si="736"/>
        <v>318</v>
      </c>
      <c r="BE395" s="376">
        <f t="shared" si="736"/>
        <v>318</v>
      </c>
      <c r="BF395" s="376">
        <f t="shared" si="736"/>
        <v>318</v>
      </c>
      <c r="BG395" s="376">
        <f t="shared" si="736"/>
        <v>318</v>
      </c>
      <c r="BH395" s="376">
        <f t="shared" si="737"/>
        <v>159</v>
      </c>
      <c r="BI395" s="376">
        <f t="shared" si="737"/>
        <v>318</v>
      </c>
      <c r="BJ395" s="376">
        <f t="shared" si="737"/>
        <v>318</v>
      </c>
      <c r="BK395" s="376">
        <f t="shared" si="737"/>
        <v>318</v>
      </c>
      <c r="BL395" s="376">
        <f t="shared" si="737"/>
        <v>318</v>
      </c>
      <c r="BM395" s="376">
        <f t="shared" si="737"/>
        <v>318</v>
      </c>
      <c r="BN395" s="376">
        <f t="shared" si="737"/>
        <v>318</v>
      </c>
      <c r="BO395" s="376">
        <f t="shared" si="737"/>
        <v>318</v>
      </c>
      <c r="BP395" s="376">
        <f t="shared" si="737"/>
        <v>318</v>
      </c>
      <c r="BQ395" s="376">
        <f t="shared" si="737"/>
        <v>318</v>
      </c>
      <c r="BR395" s="376">
        <f t="shared" si="738"/>
        <v>159</v>
      </c>
      <c r="BS395" s="376">
        <f t="shared" si="738"/>
        <v>318</v>
      </c>
      <c r="BT395" s="376">
        <f t="shared" si="738"/>
        <v>318</v>
      </c>
      <c r="BU395" s="376">
        <f t="shared" si="738"/>
        <v>318</v>
      </c>
      <c r="BV395" s="377">
        <f t="shared" si="738"/>
        <v>318</v>
      </c>
    </row>
    <row r="396" spans="1:74" ht="20.149999999999999" customHeight="1" outlineLevel="2" x14ac:dyDescent="0.25">
      <c r="A396" s="23" t="s">
        <v>267</v>
      </c>
      <c r="B396" s="8" t="s">
        <v>21</v>
      </c>
      <c r="C396" s="284">
        <f>'Custos Diversos'!$E$21</f>
        <v>159</v>
      </c>
      <c r="D396" s="284">
        <v>1.2</v>
      </c>
      <c r="E396" s="284">
        <v>2</v>
      </c>
      <c r="F396" s="284">
        <v>2</v>
      </c>
      <c r="G396" s="284">
        <v>2</v>
      </c>
      <c r="H396" s="284">
        <v>2</v>
      </c>
      <c r="I396" s="284">
        <v>2</v>
      </c>
      <c r="J396" s="284">
        <v>2</v>
      </c>
      <c r="K396" s="284">
        <v>2</v>
      </c>
      <c r="L396" s="358">
        <v>2</v>
      </c>
      <c r="M396" s="358">
        <v>2</v>
      </c>
      <c r="N396" s="358">
        <f t="shared" si="732"/>
        <v>1.2</v>
      </c>
      <c r="O396" s="358">
        <f t="shared" si="732"/>
        <v>2</v>
      </c>
      <c r="P396" s="358">
        <f t="shared" si="732"/>
        <v>2</v>
      </c>
      <c r="Q396" s="358">
        <f t="shared" si="732"/>
        <v>2</v>
      </c>
      <c r="R396" s="358">
        <f t="shared" si="732"/>
        <v>2</v>
      </c>
      <c r="S396" s="358">
        <f t="shared" si="732"/>
        <v>2</v>
      </c>
      <c r="T396" s="358">
        <f t="shared" si="732"/>
        <v>2</v>
      </c>
      <c r="U396" s="358">
        <f t="shared" si="732"/>
        <v>2</v>
      </c>
      <c r="V396" s="358">
        <f t="shared" si="732"/>
        <v>2</v>
      </c>
      <c r="W396" s="358">
        <f t="shared" si="732"/>
        <v>2</v>
      </c>
      <c r="X396" s="358">
        <f t="shared" si="733"/>
        <v>1.2</v>
      </c>
      <c r="Y396" s="358">
        <f t="shared" si="733"/>
        <v>2</v>
      </c>
      <c r="Z396" s="358">
        <f t="shared" si="733"/>
        <v>2</v>
      </c>
      <c r="AA396" s="358">
        <f t="shared" si="733"/>
        <v>2</v>
      </c>
      <c r="AB396" s="358">
        <f t="shared" si="733"/>
        <v>2</v>
      </c>
      <c r="AC396" s="358">
        <f t="shared" si="733"/>
        <v>2</v>
      </c>
      <c r="AD396" s="358">
        <f t="shared" si="733"/>
        <v>2</v>
      </c>
      <c r="AE396" s="358">
        <f t="shared" si="733"/>
        <v>2</v>
      </c>
      <c r="AF396" s="358">
        <f t="shared" si="733"/>
        <v>2</v>
      </c>
      <c r="AG396" s="358">
        <f t="shared" si="733"/>
        <v>2</v>
      </c>
      <c r="AH396" s="358">
        <f t="shared" si="734"/>
        <v>1.2</v>
      </c>
      <c r="AI396" s="358">
        <f t="shared" si="734"/>
        <v>2</v>
      </c>
      <c r="AJ396" s="358">
        <f t="shared" si="734"/>
        <v>2</v>
      </c>
      <c r="AK396" s="358">
        <f t="shared" si="734"/>
        <v>2</v>
      </c>
      <c r="AL396" s="359">
        <f t="shared" si="734"/>
        <v>2</v>
      </c>
      <c r="AM396" s="636"/>
      <c r="AN396" s="303">
        <f t="shared" si="735"/>
        <v>190.79999999999998</v>
      </c>
      <c r="AO396" s="304">
        <f t="shared" si="735"/>
        <v>318</v>
      </c>
      <c r="AP396" s="304">
        <f t="shared" si="735"/>
        <v>318</v>
      </c>
      <c r="AQ396" s="304">
        <f t="shared" si="735"/>
        <v>318</v>
      </c>
      <c r="AR396" s="304">
        <f t="shared" si="735"/>
        <v>318</v>
      </c>
      <c r="AS396" s="304">
        <f t="shared" si="735"/>
        <v>318</v>
      </c>
      <c r="AT396" s="304">
        <f t="shared" si="735"/>
        <v>318</v>
      </c>
      <c r="AU396" s="286">
        <f t="shared" si="735"/>
        <v>318</v>
      </c>
      <c r="AV396" s="313">
        <f t="shared" si="735"/>
        <v>318</v>
      </c>
      <c r="AW396" s="313">
        <f t="shared" si="735"/>
        <v>318</v>
      </c>
      <c r="AX396" s="376">
        <f t="shared" si="736"/>
        <v>190.79999999999998</v>
      </c>
      <c r="AY396" s="376">
        <f t="shared" si="736"/>
        <v>318</v>
      </c>
      <c r="AZ396" s="376">
        <f t="shared" si="736"/>
        <v>318</v>
      </c>
      <c r="BA396" s="376">
        <f t="shared" si="736"/>
        <v>318</v>
      </c>
      <c r="BB396" s="376">
        <f t="shared" si="736"/>
        <v>318</v>
      </c>
      <c r="BC396" s="376">
        <f t="shared" si="736"/>
        <v>318</v>
      </c>
      <c r="BD396" s="376">
        <f t="shared" si="736"/>
        <v>318</v>
      </c>
      <c r="BE396" s="376">
        <f t="shared" si="736"/>
        <v>318</v>
      </c>
      <c r="BF396" s="376">
        <f t="shared" si="736"/>
        <v>318</v>
      </c>
      <c r="BG396" s="376">
        <f t="shared" si="736"/>
        <v>318</v>
      </c>
      <c r="BH396" s="376">
        <f t="shared" si="737"/>
        <v>190.79999999999998</v>
      </c>
      <c r="BI396" s="376">
        <f t="shared" si="737"/>
        <v>318</v>
      </c>
      <c r="BJ396" s="376">
        <f t="shared" si="737"/>
        <v>318</v>
      </c>
      <c r="BK396" s="376">
        <f t="shared" si="737"/>
        <v>318</v>
      </c>
      <c r="BL396" s="376">
        <f t="shared" si="737"/>
        <v>318</v>
      </c>
      <c r="BM396" s="376">
        <f t="shared" si="737"/>
        <v>318</v>
      </c>
      <c r="BN396" s="376">
        <f t="shared" si="737"/>
        <v>318</v>
      </c>
      <c r="BO396" s="376">
        <f t="shared" si="737"/>
        <v>318</v>
      </c>
      <c r="BP396" s="376">
        <f t="shared" si="737"/>
        <v>318</v>
      </c>
      <c r="BQ396" s="376">
        <f t="shared" si="737"/>
        <v>318</v>
      </c>
      <c r="BR396" s="376">
        <f t="shared" si="738"/>
        <v>190.79999999999998</v>
      </c>
      <c r="BS396" s="376">
        <f t="shared" si="738"/>
        <v>318</v>
      </c>
      <c r="BT396" s="376">
        <f t="shared" si="738"/>
        <v>318</v>
      </c>
      <c r="BU396" s="376">
        <f t="shared" si="738"/>
        <v>318</v>
      </c>
      <c r="BV396" s="377">
        <f t="shared" si="738"/>
        <v>318</v>
      </c>
    </row>
    <row r="397" spans="1:74" ht="20.149999999999999" customHeight="1" outlineLevel="2" x14ac:dyDescent="0.25">
      <c r="A397" s="20" t="s">
        <v>303</v>
      </c>
      <c r="B397" s="8" t="s">
        <v>21</v>
      </c>
      <c r="C397" s="284">
        <f>'Custos Diversos'!$E$21</f>
        <v>159</v>
      </c>
      <c r="D397" s="284">
        <v>1.5</v>
      </c>
      <c r="E397" s="284">
        <v>1.5</v>
      </c>
      <c r="F397" s="284">
        <v>1.5</v>
      </c>
      <c r="G397" s="284">
        <v>1.5</v>
      </c>
      <c r="H397" s="284">
        <v>1.5</v>
      </c>
      <c r="I397" s="284">
        <v>1.5</v>
      </c>
      <c r="J397" s="284">
        <v>1.5</v>
      </c>
      <c r="K397" s="284">
        <v>1.5</v>
      </c>
      <c r="L397" s="358">
        <v>1.5</v>
      </c>
      <c r="M397" s="358">
        <v>1.5</v>
      </c>
      <c r="N397" s="358">
        <f t="shared" si="732"/>
        <v>1.5</v>
      </c>
      <c r="O397" s="358">
        <f t="shared" si="732"/>
        <v>1.5</v>
      </c>
      <c r="P397" s="358">
        <f t="shared" si="732"/>
        <v>1.5</v>
      </c>
      <c r="Q397" s="358">
        <f t="shared" si="732"/>
        <v>1.5</v>
      </c>
      <c r="R397" s="358">
        <f t="shared" si="732"/>
        <v>1.5</v>
      </c>
      <c r="S397" s="358">
        <f t="shared" si="732"/>
        <v>1.5</v>
      </c>
      <c r="T397" s="358">
        <f t="shared" si="732"/>
        <v>1.5</v>
      </c>
      <c r="U397" s="358">
        <f t="shared" si="732"/>
        <v>1.5</v>
      </c>
      <c r="V397" s="358">
        <f t="shared" si="732"/>
        <v>1.5</v>
      </c>
      <c r="W397" s="358">
        <f t="shared" si="732"/>
        <v>1.5</v>
      </c>
      <c r="X397" s="358">
        <f t="shared" si="733"/>
        <v>1.5</v>
      </c>
      <c r="Y397" s="358">
        <f t="shared" si="733"/>
        <v>1.5</v>
      </c>
      <c r="Z397" s="358">
        <f t="shared" si="733"/>
        <v>1.5</v>
      </c>
      <c r="AA397" s="358">
        <f t="shared" si="733"/>
        <v>1.5</v>
      </c>
      <c r="AB397" s="358">
        <f t="shared" si="733"/>
        <v>1.5</v>
      </c>
      <c r="AC397" s="358">
        <f t="shared" si="733"/>
        <v>1.5</v>
      </c>
      <c r="AD397" s="358">
        <f t="shared" si="733"/>
        <v>1.5</v>
      </c>
      <c r="AE397" s="358">
        <f t="shared" si="733"/>
        <v>1.5</v>
      </c>
      <c r="AF397" s="358">
        <f t="shared" si="733"/>
        <v>1.5</v>
      </c>
      <c r="AG397" s="358">
        <f t="shared" si="733"/>
        <v>1.5</v>
      </c>
      <c r="AH397" s="358">
        <f t="shared" si="734"/>
        <v>1.5</v>
      </c>
      <c r="AI397" s="358">
        <f t="shared" si="734"/>
        <v>1.5</v>
      </c>
      <c r="AJ397" s="358">
        <f t="shared" si="734"/>
        <v>1.5</v>
      </c>
      <c r="AK397" s="358">
        <f t="shared" si="734"/>
        <v>1.5</v>
      </c>
      <c r="AL397" s="359">
        <f t="shared" si="734"/>
        <v>1.5</v>
      </c>
      <c r="AM397" s="636"/>
      <c r="AN397" s="303">
        <f t="shared" si="735"/>
        <v>238.5</v>
      </c>
      <c r="AO397" s="304">
        <f t="shared" si="735"/>
        <v>238.5</v>
      </c>
      <c r="AP397" s="304">
        <f t="shared" si="735"/>
        <v>238.5</v>
      </c>
      <c r="AQ397" s="304">
        <f t="shared" si="735"/>
        <v>238.5</v>
      </c>
      <c r="AR397" s="304">
        <f t="shared" si="735"/>
        <v>238.5</v>
      </c>
      <c r="AS397" s="304">
        <f t="shared" si="735"/>
        <v>238.5</v>
      </c>
      <c r="AT397" s="304">
        <f t="shared" si="735"/>
        <v>238.5</v>
      </c>
      <c r="AU397" s="286">
        <f t="shared" si="735"/>
        <v>238.5</v>
      </c>
      <c r="AV397" s="313">
        <f t="shared" si="735"/>
        <v>238.5</v>
      </c>
      <c r="AW397" s="313">
        <f t="shared" si="735"/>
        <v>238.5</v>
      </c>
      <c r="AX397" s="376">
        <f t="shared" si="736"/>
        <v>238.5</v>
      </c>
      <c r="AY397" s="376">
        <f t="shared" si="736"/>
        <v>238.5</v>
      </c>
      <c r="AZ397" s="376">
        <f t="shared" si="736"/>
        <v>238.5</v>
      </c>
      <c r="BA397" s="376">
        <f t="shared" si="736"/>
        <v>238.5</v>
      </c>
      <c r="BB397" s="376">
        <f t="shared" si="736"/>
        <v>238.5</v>
      </c>
      <c r="BC397" s="376">
        <f t="shared" si="736"/>
        <v>238.5</v>
      </c>
      <c r="BD397" s="376">
        <f t="shared" si="736"/>
        <v>238.5</v>
      </c>
      <c r="BE397" s="376">
        <f t="shared" si="736"/>
        <v>238.5</v>
      </c>
      <c r="BF397" s="376">
        <f t="shared" si="736"/>
        <v>238.5</v>
      </c>
      <c r="BG397" s="376">
        <f t="shared" si="736"/>
        <v>238.5</v>
      </c>
      <c r="BH397" s="376">
        <f t="shared" si="737"/>
        <v>238.5</v>
      </c>
      <c r="BI397" s="376">
        <f t="shared" si="737"/>
        <v>238.5</v>
      </c>
      <c r="BJ397" s="376">
        <f t="shared" si="737"/>
        <v>238.5</v>
      </c>
      <c r="BK397" s="376">
        <f t="shared" si="737"/>
        <v>238.5</v>
      </c>
      <c r="BL397" s="376">
        <f t="shared" si="737"/>
        <v>238.5</v>
      </c>
      <c r="BM397" s="376">
        <f t="shared" si="737"/>
        <v>238.5</v>
      </c>
      <c r="BN397" s="376">
        <f t="shared" si="737"/>
        <v>238.5</v>
      </c>
      <c r="BO397" s="376">
        <f t="shared" si="737"/>
        <v>238.5</v>
      </c>
      <c r="BP397" s="376">
        <f t="shared" si="737"/>
        <v>238.5</v>
      </c>
      <c r="BQ397" s="376">
        <f t="shared" si="737"/>
        <v>238.5</v>
      </c>
      <c r="BR397" s="376">
        <f t="shared" si="738"/>
        <v>238.5</v>
      </c>
      <c r="BS397" s="376">
        <f t="shared" si="738"/>
        <v>238.5</v>
      </c>
      <c r="BT397" s="376">
        <f t="shared" si="738"/>
        <v>238.5</v>
      </c>
      <c r="BU397" s="376">
        <f t="shared" si="738"/>
        <v>238.5</v>
      </c>
      <c r="BV397" s="377">
        <f t="shared" si="738"/>
        <v>238.5</v>
      </c>
    </row>
    <row r="398" spans="1:74" ht="20.149999999999999" customHeight="1" outlineLevel="2" thickBot="1" x14ac:dyDescent="0.3">
      <c r="A398" s="326" t="s">
        <v>302</v>
      </c>
      <c r="B398" s="35" t="s">
        <v>21</v>
      </c>
      <c r="C398" s="322">
        <f>'Custos Diversos'!$E$21</f>
        <v>159</v>
      </c>
      <c r="D398" s="322">
        <v>3</v>
      </c>
      <c r="E398" s="322">
        <v>3</v>
      </c>
      <c r="F398" s="322">
        <v>3</v>
      </c>
      <c r="G398" s="322">
        <v>3</v>
      </c>
      <c r="H398" s="322">
        <v>3</v>
      </c>
      <c r="I398" s="322">
        <v>3</v>
      </c>
      <c r="J398" s="322">
        <v>3</v>
      </c>
      <c r="K398" s="322">
        <v>3</v>
      </c>
      <c r="L398" s="360">
        <v>3</v>
      </c>
      <c r="M398" s="360">
        <v>3</v>
      </c>
      <c r="N398" s="360">
        <f t="shared" si="732"/>
        <v>3</v>
      </c>
      <c r="O398" s="360">
        <f t="shared" si="732"/>
        <v>3</v>
      </c>
      <c r="P398" s="360">
        <f t="shared" si="732"/>
        <v>3</v>
      </c>
      <c r="Q398" s="360">
        <f t="shared" si="732"/>
        <v>3</v>
      </c>
      <c r="R398" s="360">
        <f t="shared" si="732"/>
        <v>3</v>
      </c>
      <c r="S398" s="360">
        <f t="shared" si="732"/>
        <v>3</v>
      </c>
      <c r="T398" s="360">
        <f t="shared" si="732"/>
        <v>3</v>
      </c>
      <c r="U398" s="360">
        <f t="shared" si="732"/>
        <v>3</v>
      </c>
      <c r="V398" s="360">
        <f t="shared" si="732"/>
        <v>3</v>
      </c>
      <c r="W398" s="360">
        <f t="shared" si="732"/>
        <v>3</v>
      </c>
      <c r="X398" s="360">
        <f t="shared" si="733"/>
        <v>3</v>
      </c>
      <c r="Y398" s="360">
        <f t="shared" si="733"/>
        <v>3</v>
      </c>
      <c r="Z398" s="360">
        <f t="shared" si="733"/>
        <v>3</v>
      </c>
      <c r="AA398" s="360">
        <f t="shared" si="733"/>
        <v>3</v>
      </c>
      <c r="AB398" s="360">
        <f t="shared" si="733"/>
        <v>3</v>
      </c>
      <c r="AC398" s="360">
        <f t="shared" si="733"/>
        <v>3</v>
      </c>
      <c r="AD398" s="360">
        <f t="shared" si="733"/>
        <v>3</v>
      </c>
      <c r="AE398" s="360">
        <f t="shared" si="733"/>
        <v>3</v>
      </c>
      <c r="AF398" s="360">
        <f t="shared" si="733"/>
        <v>3</v>
      </c>
      <c r="AG398" s="360">
        <f t="shared" si="733"/>
        <v>3</v>
      </c>
      <c r="AH398" s="360">
        <f t="shared" si="734"/>
        <v>3</v>
      </c>
      <c r="AI398" s="360">
        <f t="shared" si="734"/>
        <v>3</v>
      </c>
      <c r="AJ398" s="360">
        <f t="shared" si="734"/>
        <v>3</v>
      </c>
      <c r="AK398" s="360">
        <f t="shared" si="734"/>
        <v>3</v>
      </c>
      <c r="AL398" s="361">
        <f t="shared" si="734"/>
        <v>3</v>
      </c>
      <c r="AM398" s="636"/>
      <c r="AN398" s="305">
        <f t="shared" si="735"/>
        <v>477</v>
      </c>
      <c r="AO398" s="306">
        <f t="shared" si="735"/>
        <v>477</v>
      </c>
      <c r="AP398" s="306">
        <f t="shared" si="735"/>
        <v>477</v>
      </c>
      <c r="AQ398" s="306">
        <f t="shared" si="735"/>
        <v>477</v>
      </c>
      <c r="AR398" s="306">
        <f t="shared" si="735"/>
        <v>477</v>
      </c>
      <c r="AS398" s="306">
        <f t="shared" si="735"/>
        <v>477</v>
      </c>
      <c r="AT398" s="306">
        <f t="shared" si="735"/>
        <v>477</v>
      </c>
      <c r="AU398" s="291">
        <f t="shared" si="735"/>
        <v>477</v>
      </c>
      <c r="AV398" s="314">
        <f t="shared" si="735"/>
        <v>477</v>
      </c>
      <c r="AW398" s="314">
        <f t="shared" si="735"/>
        <v>477</v>
      </c>
      <c r="AX398" s="400">
        <f t="shared" si="736"/>
        <v>477</v>
      </c>
      <c r="AY398" s="400">
        <f t="shared" si="736"/>
        <v>477</v>
      </c>
      <c r="AZ398" s="400">
        <f t="shared" si="736"/>
        <v>477</v>
      </c>
      <c r="BA398" s="400">
        <f t="shared" si="736"/>
        <v>477</v>
      </c>
      <c r="BB398" s="400">
        <f t="shared" si="736"/>
        <v>477</v>
      </c>
      <c r="BC398" s="400">
        <f t="shared" si="736"/>
        <v>477</v>
      </c>
      <c r="BD398" s="400">
        <f t="shared" si="736"/>
        <v>477</v>
      </c>
      <c r="BE398" s="400">
        <f t="shared" si="736"/>
        <v>477</v>
      </c>
      <c r="BF398" s="400">
        <f t="shared" si="736"/>
        <v>477</v>
      </c>
      <c r="BG398" s="400">
        <f t="shared" si="736"/>
        <v>477</v>
      </c>
      <c r="BH398" s="400">
        <f t="shared" si="737"/>
        <v>477</v>
      </c>
      <c r="BI398" s="400">
        <f t="shared" si="737"/>
        <v>477</v>
      </c>
      <c r="BJ398" s="400">
        <f t="shared" si="737"/>
        <v>477</v>
      </c>
      <c r="BK398" s="400">
        <f t="shared" si="737"/>
        <v>477</v>
      </c>
      <c r="BL398" s="400">
        <f t="shared" si="737"/>
        <v>477</v>
      </c>
      <c r="BM398" s="400">
        <f t="shared" si="737"/>
        <v>477</v>
      </c>
      <c r="BN398" s="400">
        <f t="shared" si="737"/>
        <v>477</v>
      </c>
      <c r="BO398" s="400">
        <f t="shared" si="737"/>
        <v>477</v>
      </c>
      <c r="BP398" s="400">
        <f t="shared" si="737"/>
        <v>477</v>
      </c>
      <c r="BQ398" s="400">
        <f t="shared" si="737"/>
        <v>477</v>
      </c>
      <c r="BR398" s="400">
        <f t="shared" si="738"/>
        <v>477</v>
      </c>
      <c r="BS398" s="400">
        <f t="shared" si="738"/>
        <v>477</v>
      </c>
      <c r="BT398" s="400">
        <f t="shared" si="738"/>
        <v>477</v>
      </c>
      <c r="BU398" s="400">
        <f t="shared" si="738"/>
        <v>477</v>
      </c>
      <c r="BV398" s="401">
        <f t="shared" si="738"/>
        <v>477</v>
      </c>
    </row>
    <row r="399" spans="1:74" s="408" customFormat="1" ht="20.149999999999999" customHeight="1" outlineLevel="2" thickBot="1" x14ac:dyDescent="0.3">
      <c r="A399" s="1107" t="s">
        <v>102</v>
      </c>
      <c r="B399" s="1108"/>
      <c r="C399" s="1108"/>
      <c r="D399" s="1108"/>
      <c r="E399" s="1108"/>
      <c r="F399" s="1108"/>
      <c r="G399" s="1108"/>
      <c r="H399" s="1108"/>
      <c r="I399" s="1108"/>
      <c r="J399" s="1108"/>
      <c r="K399" s="1108"/>
      <c r="L399" s="1108"/>
      <c r="M399" s="1108"/>
      <c r="N399" s="1108"/>
      <c r="O399" s="1108"/>
      <c r="P399" s="1108"/>
      <c r="Q399" s="1108"/>
      <c r="R399" s="1108"/>
      <c r="S399" s="1108"/>
      <c r="T399" s="1108"/>
      <c r="U399" s="1108"/>
      <c r="V399" s="1108"/>
      <c r="W399" s="1108"/>
      <c r="X399" s="1108"/>
      <c r="Y399" s="1108"/>
      <c r="Z399" s="1108"/>
      <c r="AA399" s="1108"/>
      <c r="AB399" s="1108"/>
      <c r="AC399" s="1108"/>
      <c r="AD399" s="1108"/>
      <c r="AE399" s="1108"/>
      <c r="AF399" s="1108"/>
      <c r="AG399" s="1108"/>
      <c r="AH399" s="1108"/>
      <c r="AI399" s="1108"/>
      <c r="AJ399" s="1108"/>
      <c r="AK399" s="1108"/>
      <c r="AL399" s="1108"/>
      <c r="AM399" s="1108"/>
      <c r="AN399" s="406">
        <f t="shared" ref="AN399:BV399" si="739">SUM(AN392:AN398)</f>
        <v>1542.3</v>
      </c>
      <c r="AO399" s="406">
        <f t="shared" si="739"/>
        <v>1749</v>
      </c>
      <c r="AP399" s="406">
        <f t="shared" si="739"/>
        <v>1749</v>
      </c>
      <c r="AQ399" s="406">
        <f t="shared" si="739"/>
        <v>1749</v>
      </c>
      <c r="AR399" s="406">
        <f t="shared" si="739"/>
        <v>1749</v>
      </c>
      <c r="AS399" s="406">
        <f t="shared" si="739"/>
        <v>1749</v>
      </c>
      <c r="AT399" s="406">
        <f t="shared" si="739"/>
        <v>1749</v>
      </c>
      <c r="AU399" s="406">
        <f t="shared" si="739"/>
        <v>1749</v>
      </c>
      <c r="AV399" s="407">
        <f t="shared" si="739"/>
        <v>1749</v>
      </c>
      <c r="AW399" s="407">
        <f t="shared" si="739"/>
        <v>1749</v>
      </c>
      <c r="AX399" s="407">
        <f t="shared" si="739"/>
        <v>1542.3</v>
      </c>
      <c r="AY399" s="407">
        <f t="shared" si="739"/>
        <v>1749</v>
      </c>
      <c r="AZ399" s="407">
        <f t="shared" si="739"/>
        <v>1749</v>
      </c>
      <c r="BA399" s="407">
        <f t="shared" si="739"/>
        <v>1749</v>
      </c>
      <c r="BB399" s="407">
        <f t="shared" si="739"/>
        <v>1749</v>
      </c>
      <c r="BC399" s="407">
        <f t="shared" si="739"/>
        <v>1749</v>
      </c>
      <c r="BD399" s="407">
        <f t="shared" si="739"/>
        <v>1749</v>
      </c>
      <c r="BE399" s="407">
        <f t="shared" si="739"/>
        <v>1749</v>
      </c>
      <c r="BF399" s="407">
        <f t="shared" si="739"/>
        <v>1749</v>
      </c>
      <c r="BG399" s="407">
        <f t="shared" si="739"/>
        <v>1749</v>
      </c>
      <c r="BH399" s="407">
        <f t="shared" si="739"/>
        <v>1542.3</v>
      </c>
      <c r="BI399" s="407">
        <f t="shared" si="739"/>
        <v>1749</v>
      </c>
      <c r="BJ399" s="407">
        <f t="shared" si="739"/>
        <v>1749</v>
      </c>
      <c r="BK399" s="407">
        <f t="shared" si="739"/>
        <v>1749</v>
      </c>
      <c r="BL399" s="407">
        <f t="shared" si="739"/>
        <v>1749</v>
      </c>
      <c r="BM399" s="407">
        <f t="shared" si="739"/>
        <v>1749</v>
      </c>
      <c r="BN399" s="407">
        <f t="shared" si="739"/>
        <v>1749</v>
      </c>
      <c r="BO399" s="407">
        <f t="shared" si="739"/>
        <v>1749</v>
      </c>
      <c r="BP399" s="407">
        <f t="shared" si="739"/>
        <v>1749</v>
      </c>
      <c r="BQ399" s="407">
        <f t="shared" si="739"/>
        <v>1749</v>
      </c>
      <c r="BR399" s="407">
        <f t="shared" si="739"/>
        <v>1542.3</v>
      </c>
      <c r="BS399" s="407">
        <f t="shared" si="739"/>
        <v>1749</v>
      </c>
      <c r="BT399" s="407">
        <f t="shared" si="739"/>
        <v>1749</v>
      </c>
      <c r="BU399" s="407">
        <f t="shared" si="739"/>
        <v>1749</v>
      </c>
      <c r="BV399" s="407">
        <f t="shared" si="739"/>
        <v>1749</v>
      </c>
    </row>
    <row r="400" spans="1:74" ht="13" outlineLevel="2" thickBot="1" x14ac:dyDescent="0.3"/>
    <row r="401" spans="1:74" s="123" customFormat="1" ht="27" customHeight="1" outlineLevel="1" thickBot="1" x14ac:dyDescent="0.3">
      <c r="A401" s="1106" t="s">
        <v>59</v>
      </c>
      <c r="B401" s="1106"/>
      <c r="C401" s="1106"/>
      <c r="D401" s="1106"/>
      <c r="E401" s="1106"/>
      <c r="F401" s="1106"/>
      <c r="G401" s="1106"/>
      <c r="H401" s="1106"/>
      <c r="I401" s="1106"/>
      <c r="J401" s="1106"/>
      <c r="K401" s="1106"/>
      <c r="L401" s="1106"/>
      <c r="M401" s="1106"/>
      <c r="N401" s="1106"/>
      <c r="O401" s="1106"/>
      <c r="P401" s="1106"/>
      <c r="Q401" s="1106"/>
      <c r="R401" s="1106"/>
      <c r="S401" s="1106"/>
      <c r="T401" s="1106"/>
      <c r="U401" s="1106"/>
      <c r="V401" s="1106"/>
      <c r="W401" s="1106"/>
      <c r="X401" s="1106"/>
      <c r="Y401" s="1106"/>
      <c r="Z401" s="1106"/>
      <c r="AA401" s="1106"/>
      <c r="AB401" s="1106"/>
      <c r="AC401" s="1106"/>
      <c r="AD401" s="1106"/>
      <c r="AE401" s="1106"/>
      <c r="AF401" s="1106"/>
      <c r="AG401" s="1106"/>
      <c r="AH401" s="1106"/>
      <c r="AI401" s="1106"/>
      <c r="AJ401" s="1106"/>
      <c r="AK401" s="1106"/>
      <c r="AL401" s="1106"/>
      <c r="AM401" s="1106"/>
      <c r="AN401" s="1106"/>
      <c r="AO401" s="1106"/>
      <c r="AP401" s="1106"/>
      <c r="AQ401" s="1106"/>
      <c r="AR401" s="1106"/>
      <c r="AS401" s="1106"/>
      <c r="AT401" s="1106"/>
      <c r="AU401" s="1106"/>
      <c r="AV401" s="1106"/>
      <c r="AW401" s="1106"/>
      <c r="AX401" s="1106"/>
      <c r="AY401" s="1106"/>
      <c r="AZ401" s="1106"/>
      <c r="BA401" s="1106"/>
      <c r="BB401" s="1106"/>
      <c r="BC401" s="1106"/>
      <c r="BD401" s="1106"/>
      <c r="BE401" s="1106"/>
      <c r="BF401" s="1106"/>
      <c r="BG401" s="1106"/>
      <c r="BH401" s="1106"/>
      <c r="BI401" s="1106"/>
      <c r="BJ401" s="1106"/>
      <c r="BK401" s="1106"/>
      <c r="BL401" s="1106"/>
      <c r="BM401" s="1106"/>
      <c r="BN401" s="1106"/>
      <c r="BO401" s="1106"/>
      <c r="BP401" s="1106"/>
      <c r="BQ401" s="1106"/>
      <c r="BR401" s="1106"/>
      <c r="BS401" s="1106"/>
      <c r="BT401" s="1106"/>
      <c r="BU401" s="1106"/>
      <c r="BV401" s="1106"/>
    </row>
    <row r="402" spans="1:74" ht="18" customHeight="1" outlineLevel="2" thickBot="1" x14ac:dyDescent="0.3">
      <c r="A402" s="1102" t="s">
        <v>113</v>
      </c>
      <c r="B402" s="1102" t="s">
        <v>8</v>
      </c>
      <c r="C402" s="1102" t="s">
        <v>100</v>
      </c>
      <c r="D402" s="1102" t="s">
        <v>97</v>
      </c>
      <c r="E402" s="1102"/>
      <c r="F402" s="1102"/>
      <c r="G402" s="1102"/>
      <c r="H402" s="1102"/>
      <c r="I402" s="1102"/>
      <c r="J402" s="1102"/>
      <c r="K402" s="1102"/>
      <c r="L402" s="1102"/>
      <c r="M402" s="1102"/>
      <c r="N402" s="1102"/>
      <c r="O402" s="1102"/>
      <c r="P402" s="1102"/>
      <c r="Q402" s="1102"/>
      <c r="R402" s="1102"/>
      <c r="S402" s="1102"/>
      <c r="T402" s="1102"/>
      <c r="U402" s="1102"/>
      <c r="V402" s="1102"/>
      <c r="W402" s="1102"/>
      <c r="X402" s="1102"/>
      <c r="Y402" s="1102"/>
      <c r="Z402" s="1102"/>
      <c r="AA402" s="1102"/>
      <c r="AB402" s="1102"/>
      <c r="AC402" s="1102"/>
      <c r="AD402" s="1102"/>
      <c r="AE402" s="1102"/>
      <c r="AF402" s="1102"/>
      <c r="AG402" s="1102"/>
      <c r="AH402" s="1102"/>
      <c r="AI402" s="1102"/>
      <c r="AJ402" s="1102"/>
      <c r="AK402" s="1102"/>
      <c r="AL402" s="1102"/>
      <c r="AM402" s="634"/>
      <c r="AN402" s="1102" t="s">
        <v>99</v>
      </c>
      <c r="AO402" s="1102"/>
      <c r="AP402" s="1102"/>
      <c r="AQ402" s="1102"/>
      <c r="AR402" s="1102"/>
      <c r="AS402" s="1102"/>
      <c r="AT402" s="1102"/>
      <c r="AU402" s="1102"/>
      <c r="AV402" s="1102"/>
      <c r="AW402" s="1102"/>
      <c r="AX402" s="1102"/>
      <c r="AY402" s="1102"/>
      <c r="AZ402" s="1102"/>
      <c r="BA402" s="1102"/>
      <c r="BB402" s="1102"/>
      <c r="BC402" s="1102"/>
      <c r="BD402" s="1102"/>
      <c r="BE402" s="1102"/>
      <c r="BF402" s="1102"/>
      <c r="BG402" s="1102"/>
      <c r="BH402" s="1102"/>
      <c r="BI402" s="1102"/>
      <c r="BJ402" s="1102"/>
      <c r="BK402" s="1102"/>
      <c r="BL402" s="1102"/>
      <c r="BM402" s="1102"/>
      <c r="BN402" s="1102"/>
      <c r="BO402" s="1102"/>
      <c r="BP402" s="1102"/>
      <c r="BQ402" s="1102"/>
      <c r="BR402" s="1102"/>
      <c r="BS402" s="1102"/>
      <c r="BT402" s="1102"/>
      <c r="BU402" s="1102"/>
      <c r="BV402" s="1102"/>
    </row>
    <row r="403" spans="1:74" ht="18" customHeight="1" outlineLevel="2" thickBot="1" x14ac:dyDescent="0.3">
      <c r="A403" s="1102"/>
      <c r="B403" s="1102"/>
      <c r="C403" s="1102"/>
      <c r="D403" s="275">
        <v>1</v>
      </c>
      <c r="E403" s="211">
        <v>2</v>
      </c>
      <c r="F403" s="211">
        <v>3</v>
      </c>
      <c r="G403" s="211">
        <v>4</v>
      </c>
      <c r="H403" s="211">
        <v>5</v>
      </c>
      <c r="I403" s="211">
        <v>6</v>
      </c>
      <c r="J403" s="211">
        <v>7</v>
      </c>
      <c r="K403" s="211">
        <v>8</v>
      </c>
      <c r="L403" s="211">
        <v>9</v>
      </c>
      <c r="M403" s="211">
        <v>10</v>
      </c>
      <c r="N403" s="211">
        <v>11</v>
      </c>
      <c r="O403" s="211">
        <v>12</v>
      </c>
      <c r="P403" s="211">
        <v>13</v>
      </c>
      <c r="Q403" s="211">
        <v>14</v>
      </c>
      <c r="R403" s="211">
        <v>15</v>
      </c>
      <c r="S403" s="211">
        <v>16</v>
      </c>
      <c r="T403" s="211">
        <v>17</v>
      </c>
      <c r="U403" s="211">
        <v>18</v>
      </c>
      <c r="V403" s="211">
        <v>19</v>
      </c>
      <c r="W403" s="211">
        <v>20</v>
      </c>
      <c r="X403" s="211">
        <v>21</v>
      </c>
      <c r="Y403" s="211">
        <v>22</v>
      </c>
      <c r="Z403" s="211">
        <v>23</v>
      </c>
      <c r="AA403" s="211">
        <v>24</v>
      </c>
      <c r="AB403" s="211">
        <v>25</v>
      </c>
      <c r="AC403" s="211">
        <v>26</v>
      </c>
      <c r="AD403" s="211">
        <v>27</v>
      </c>
      <c r="AE403" s="211">
        <v>28</v>
      </c>
      <c r="AF403" s="211">
        <v>29</v>
      </c>
      <c r="AG403" s="211">
        <v>30</v>
      </c>
      <c r="AH403" s="211">
        <v>31</v>
      </c>
      <c r="AI403" s="211">
        <v>32</v>
      </c>
      <c r="AJ403" s="211">
        <v>33</v>
      </c>
      <c r="AK403" s="211">
        <v>34</v>
      </c>
      <c r="AL403" s="212">
        <v>35</v>
      </c>
      <c r="AM403" s="635"/>
      <c r="AN403" s="275">
        <v>1</v>
      </c>
      <c r="AO403" s="211">
        <v>2</v>
      </c>
      <c r="AP403" s="211">
        <v>3</v>
      </c>
      <c r="AQ403" s="211">
        <v>4</v>
      </c>
      <c r="AR403" s="211">
        <v>5</v>
      </c>
      <c r="AS403" s="211">
        <v>6</v>
      </c>
      <c r="AT403" s="211">
        <v>7</v>
      </c>
      <c r="AU403" s="211">
        <v>8</v>
      </c>
      <c r="AV403" s="211">
        <v>9</v>
      </c>
      <c r="AW403" s="211">
        <v>10</v>
      </c>
      <c r="AX403" s="211">
        <v>11</v>
      </c>
      <c r="AY403" s="211">
        <v>12</v>
      </c>
      <c r="AZ403" s="211">
        <v>13</v>
      </c>
      <c r="BA403" s="211">
        <v>14</v>
      </c>
      <c r="BB403" s="211">
        <v>15</v>
      </c>
      <c r="BC403" s="211">
        <v>16</v>
      </c>
      <c r="BD403" s="211">
        <v>17</v>
      </c>
      <c r="BE403" s="211">
        <v>18</v>
      </c>
      <c r="BF403" s="211">
        <v>19</v>
      </c>
      <c r="BG403" s="211">
        <v>20</v>
      </c>
      <c r="BH403" s="211">
        <v>21</v>
      </c>
      <c r="BI403" s="211">
        <v>22</v>
      </c>
      <c r="BJ403" s="211">
        <v>23</v>
      </c>
      <c r="BK403" s="211">
        <v>24</v>
      </c>
      <c r="BL403" s="211">
        <v>25</v>
      </c>
      <c r="BM403" s="211">
        <v>26</v>
      </c>
      <c r="BN403" s="211">
        <v>27</v>
      </c>
      <c r="BO403" s="211">
        <v>28</v>
      </c>
      <c r="BP403" s="211">
        <v>29</v>
      </c>
      <c r="BQ403" s="211">
        <v>30</v>
      </c>
      <c r="BR403" s="211">
        <v>31</v>
      </c>
      <c r="BS403" s="211">
        <v>32</v>
      </c>
      <c r="BT403" s="211">
        <v>33</v>
      </c>
      <c r="BU403" s="211">
        <v>34</v>
      </c>
      <c r="BV403" s="212">
        <v>35</v>
      </c>
    </row>
    <row r="404" spans="1:74" ht="20.149999999999999" customHeight="1" outlineLevel="2" x14ac:dyDescent="0.25">
      <c r="A404" s="21" t="s">
        <v>308</v>
      </c>
      <c r="B404" s="11" t="str">
        <f>'Custos Insumos'!$C$41</f>
        <v>HMPP</v>
      </c>
      <c r="C404" s="279">
        <f>'Custos Insumos'!$D$41</f>
        <v>400</v>
      </c>
      <c r="D404" s="279">
        <v>1.5</v>
      </c>
      <c r="E404" s="279"/>
      <c r="F404" s="279"/>
      <c r="G404" s="279"/>
      <c r="H404" s="279"/>
      <c r="I404" s="279"/>
      <c r="J404" s="279"/>
      <c r="K404" s="279"/>
      <c r="L404" s="356"/>
      <c r="M404" s="356"/>
      <c r="N404" s="356">
        <f t="shared" ref="N404:N415" si="740">D404</f>
        <v>1.5</v>
      </c>
      <c r="O404" s="356">
        <f t="shared" ref="O404:O415" si="741">E404</f>
        <v>0</v>
      </c>
      <c r="P404" s="356">
        <f t="shared" ref="P404:P415" si="742">F404</f>
        <v>0</v>
      </c>
      <c r="Q404" s="356">
        <f t="shared" ref="Q404:Q415" si="743">G404</f>
        <v>0</v>
      </c>
      <c r="R404" s="356">
        <f t="shared" ref="R404:R415" si="744">H404</f>
        <v>0</v>
      </c>
      <c r="S404" s="356">
        <f t="shared" ref="S404:S415" si="745">I404</f>
        <v>0</v>
      </c>
      <c r="T404" s="356">
        <f t="shared" ref="T404:T415" si="746">J404</f>
        <v>0</v>
      </c>
      <c r="U404" s="356">
        <f t="shared" ref="U404:U415" si="747">K404</f>
        <v>0</v>
      </c>
      <c r="V404" s="356">
        <f t="shared" ref="V404:V415" si="748">L404</f>
        <v>0</v>
      </c>
      <c r="W404" s="356">
        <f t="shared" ref="W404:W415" si="749">M404</f>
        <v>0</v>
      </c>
      <c r="X404" s="356">
        <f t="shared" ref="X404:X415" si="750">D404</f>
        <v>1.5</v>
      </c>
      <c r="Y404" s="356">
        <f t="shared" ref="Y404:Y415" si="751">E404</f>
        <v>0</v>
      </c>
      <c r="Z404" s="356">
        <f t="shared" ref="Z404:Z415" si="752">F404</f>
        <v>0</v>
      </c>
      <c r="AA404" s="356">
        <f t="shared" ref="AA404:AA415" si="753">G404</f>
        <v>0</v>
      </c>
      <c r="AB404" s="356">
        <f t="shared" ref="AB404:AB415" si="754">H404</f>
        <v>0</v>
      </c>
      <c r="AC404" s="356">
        <f t="shared" ref="AC404:AC415" si="755">I404</f>
        <v>0</v>
      </c>
      <c r="AD404" s="356">
        <f t="shared" ref="AD404:AD415" si="756">J404</f>
        <v>0</v>
      </c>
      <c r="AE404" s="356">
        <f t="shared" ref="AE404:AE415" si="757">K404</f>
        <v>0</v>
      </c>
      <c r="AF404" s="356">
        <f t="shared" ref="AF404:AF415" si="758">L404</f>
        <v>0</v>
      </c>
      <c r="AG404" s="356">
        <f t="shared" ref="AG404:AG415" si="759">M404</f>
        <v>0</v>
      </c>
      <c r="AH404" s="356">
        <f t="shared" ref="AH404:AH415" si="760">D404</f>
        <v>1.5</v>
      </c>
      <c r="AI404" s="356">
        <f t="shared" ref="AI404:AI415" si="761">E404</f>
        <v>0</v>
      </c>
      <c r="AJ404" s="356">
        <f t="shared" ref="AJ404:AJ415" si="762">F404</f>
        <v>0</v>
      </c>
      <c r="AK404" s="356">
        <f t="shared" ref="AK404:AK415" si="763">G404</f>
        <v>0</v>
      </c>
      <c r="AL404" s="357">
        <f t="shared" ref="AL404:AL415" si="764">H404</f>
        <v>0</v>
      </c>
      <c r="AM404" s="636"/>
      <c r="AN404" s="301">
        <f t="shared" ref="AN404:BV404" si="765">$C$404*D404</f>
        <v>600</v>
      </c>
      <c r="AO404" s="302">
        <f t="shared" si="765"/>
        <v>0</v>
      </c>
      <c r="AP404" s="302">
        <f t="shared" si="765"/>
        <v>0</v>
      </c>
      <c r="AQ404" s="302">
        <f t="shared" si="765"/>
        <v>0</v>
      </c>
      <c r="AR404" s="302">
        <f t="shared" si="765"/>
        <v>0</v>
      </c>
      <c r="AS404" s="302">
        <f t="shared" si="765"/>
        <v>0</v>
      </c>
      <c r="AT404" s="302">
        <f t="shared" si="765"/>
        <v>0</v>
      </c>
      <c r="AU404" s="281">
        <f t="shared" si="765"/>
        <v>0</v>
      </c>
      <c r="AV404" s="312">
        <f t="shared" si="765"/>
        <v>0</v>
      </c>
      <c r="AW404" s="312">
        <f t="shared" si="765"/>
        <v>0</v>
      </c>
      <c r="AX404" s="374">
        <f t="shared" si="765"/>
        <v>600</v>
      </c>
      <c r="AY404" s="374">
        <f t="shared" si="765"/>
        <v>0</v>
      </c>
      <c r="AZ404" s="374">
        <f t="shared" si="765"/>
        <v>0</v>
      </c>
      <c r="BA404" s="374">
        <f t="shared" si="765"/>
        <v>0</v>
      </c>
      <c r="BB404" s="374">
        <f t="shared" si="765"/>
        <v>0</v>
      </c>
      <c r="BC404" s="374">
        <f t="shared" si="765"/>
        <v>0</v>
      </c>
      <c r="BD404" s="374">
        <f t="shared" si="765"/>
        <v>0</v>
      </c>
      <c r="BE404" s="374">
        <f t="shared" si="765"/>
        <v>0</v>
      </c>
      <c r="BF404" s="374">
        <f t="shared" si="765"/>
        <v>0</v>
      </c>
      <c r="BG404" s="374">
        <f t="shared" si="765"/>
        <v>0</v>
      </c>
      <c r="BH404" s="374">
        <f t="shared" si="765"/>
        <v>600</v>
      </c>
      <c r="BI404" s="374">
        <f t="shared" si="765"/>
        <v>0</v>
      </c>
      <c r="BJ404" s="374">
        <f t="shared" si="765"/>
        <v>0</v>
      </c>
      <c r="BK404" s="374">
        <f t="shared" si="765"/>
        <v>0</v>
      </c>
      <c r="BL404" s="374">
        <f t="shared" si="765"/>
        <v>0</v>
      </c>
      <c r="BM404" s="374">
        <f t="shared" si="765"/>
        <v>0</v>
      </c>
      <c r="BN404" s="374">
        <f t="shared" si="765"/>
        <v>0</v>
      </c>
      <c r="BO404" s="374">
        <f t="shared" si="765"/>
        <v>0</v>
      </c>
      <c r="BP404" s="374">
        <f t="shared" si="765"/>
        <v>0</v>
      </c>
      <c r="BQ404" s="374">
        <f t="shared" si="765"/>
        <v>0</v>
      </c>
      <c r="BR404" s="374">
        <f t="shared" si="765"/>
        <v>600</v>
      </c>
      <c r="BS404" s="374">
        <f t="shared" si="765"/>
        <v>0</v>
      </c>
      <c r="BT404" s="374">
        <f t="shared" si="765"/>
        <v>0</v>
      </c>
      <c r="BU404" s="374">
        <f t="shared" si="765"/>
        <v>0</v>
      </c>
      <c r="BV404" s="375">
        <f t="shared" si="765"/>
        <v>0</v>
      </c>
    </row>
    <row r="405" spans="1:74" ht="20.149999999999999" customHeight="1" outlineLevel="2" x14ac:dyDescent="0.25">
      <c r="A405" s="22" t="s">
        <v>78</v>
      </c>
      <c r="B405" s="12" t="str">
        <f>'Custos Insumos'!$C$41</f>
        <v>HMPP</v>
      </c>
      <c r="C405" s="284">
        <f>'Custos Insumos'!$D$41</f>
        <v>400</v>
      </c>
      <c r="D405" s="284">
        <v>2</v>
      </c>
      <c r="E405" s="284"/>
      <c r="F405" s="284"/>
      <c r="G405" s="284"/>
      <c r="H405" s="284"/>
      <c r="I405" s="284"/>
      <c r="J405" s="284"/>
      <c r="K405" s="284"/>
      <c r="L405" s="358"/>
      <c r="M405" s="358"/>
      <c r="N405" s="358">
        <f t="shared" si="740"/>
        <v>2</v>
      </c>
      <c r="O405" s="358">
        <f t="shared" si="741"/>
        <v>0</v>
      </c>
      <c r="P405" s="358">
        <f t="shared" si="742"/>
        <v>0</v>
      </c>
      <c r="Q405" s="358">
        <f t="shared" si="743"/>
        <v>0</v>
      </c>
      <c r="R405" s="358">
        <f t="shared" si="744"/>
        <v>0</v>
      </c>
      <c r="S405" s="358">
        <f t="shared" si="745"/>
        <v>0</v>
      </c>
      <c r="T405" s="358">
        <f t="shared" si="746"/>
        <v>0</v>
      </c>
      <c r="U405" s="358">
        <f t="shared" si="747"/>
        <v>0</v>
      </c>
      <c r="V405" s="358">
        <f t="shared" si="748"/>
        <v>0</v>
      </c>
      <c r="W405" s="358">
        <f t="shared" si="749"/>
        <v>0</v>
      </c>
      <c r="X405" s="358">
        <f t="shared" si="750"/>
        <v>2</v>
      </c>
      <c r="Y405" s="358">
        <f t="shared" si="751"/>
        <v>0</v>
      </c>
      <c r="Z405" s="358">
        <f t="shared" si="752"/>
        <v>0</v>
      </c>
      <c r="AA405" s="358">
        <f t="shared" si="753"/>
        <v>0</v>
      </c>
      <c r="AB405" s="358">
        <f t="shared" si="754"/>
        <v>0</v>
      </c>
      <c r="AC405" s="358">
        <f t="shared" si="755"/>
        <v>0</v>
      </c>
      <c r="AD405" s="358">
        <f t="shared" si="756"/>
        <v>0</v>
      </c>
      <c r="AE405" s="358">
        <f t="shared" si="757"/>
        <v>0</v>
      </c>
      <c r="AF405" s="358">
        <f t="shared" si="758"/>
        <v>0</v>
      </c>
      <c r="AG405" s="358">
        <f t="shared" si="759"/>
        <v>0</v>
      </c>
      <c r="AH405" s="358">
        <f t="shared" si="760"/>
        <v>2</v>
      </c>
      <c r="AI405" s="358">
        <f t="shared" si="761"/>
        <v>0</v>
      </c>
      <c r="AJ405" s="358">
        <f t="shared" si="762"/>
        <v>0</v>
      </c>
      <c r="AK405" s="358">
        <f t="shared" si="763"/>
        <v>0</v>
      </c>
      <c r="AL405" s="359">
        <f t="shared" si="764"/>
        <v>0</v>
      </c>
      <c r="AM405" s="636"/>
      <c r="AN405" s="303">
        <f t="shared" ref="AN405:BV405" si="766">$C$405*D405</f>
        <v>800</v>
      </c>
      <c r="AO405" s="304">
        <f t="shared" si="766"/>
        <v>0</v>
      </c>
      <c r="AP405" s="304">
        <f t="shared" si="766"/>
        <v>0</v>
      </c>
      <c r="AQ405" s="304">
        <f t="shared" si="766"/>
        <v>0</v>
      </c>
      <c r="AR405" s="304">
        <f t="shared" si="766"/>
        <v>0</v>
      </c>
      <c r="AS405" s="304">
        <f t="shared" si="766"/>
        <v>0</v>
      </c>
      <c r="AT405" s="304">
        <f t="shared" si="766"/>
        <v>0</v>
      </c>
      <c r="AU405" s="286">
        <f t="shared" si="766"/>
        <v>0</v>
      </c>
      <c r="AV405" s="313">
        <f t="shared" si="766"/>
        <v>0</v>
      </c>
      <c r="AW405" s="313">
        <f t="shared" si="766"/>
        <v>0</v>
      </c>
      <c r="AX405" s="376">
        <f t="shared" si="766"/>
        <v>800</v>
      </c>
      <c r="AY405" s="376">
        <f t="shared" si="766"/>
        <v>0</v>
      </c>
      <c r="AZ405" s="376">
        <f t="shared" si="766"/>
        <v>0</v>
      </c>
      <c r="BA405" s="376">
        <f t="shared" si="766"/>
        <v>0</v>
      </c>
      <c r="BB405" s="376">
        <f t="shared" si="766"/>
        <v>0</v>
      </c>
      <c r="BC405" s="376">
        <f t="shared" si="766"/>
        <v>0</v>
      </c>
      <c r="BD405" s="376">
        <f t="shared" si="766"/>
        <v>0</v>
      </c>
      <c r="BE405" s="376">
        <f t="shared" si="766"/>
        <v>0</v>
      </c>
      <c r="BF405" s="376">
        <f t="shared" si="766"/>
        <v>0</v>
      </c>
      <c r="BG405" s="376">
        <f t="shared" si="766"/>
        <v>0</v>
      </c>
      <c r="BH405" s="376">
        <f t="shared" si="766"/>
        <v>800</v>
      </c>
      <c r="BI405" s="376">
        <f t="shared" si="766"/>
        <v>0</v>
      </c>
      <c r="BJ405" s="376">
        <f t="shared" si="766"/>
        <v>0</v>
      </c>
      <c r="BK405" s="376">
        <f t="shared" si="766"/>
        <v>0</v>
      </c>
      <c r="BL405" s="376">
        <f t="shared" si="766"/>
        <v>0</v>
      </c>
      <c r="BM405" s="376">
        <f t="shared" si="766"/>
        <v>0</v>
      </c>
      <c r="BN405" s="376">
        <f t="shared" si="766"/>
        <v>0</v>
      </c>
      <c r="BO405" s="376">
        <f t="shared" si="766"/>
        <v>0</v>
      </c>
      <c r="BP405" s="376">
        <f t="shared" si="766"/>
        <v>0</v>
      </c>
      <c r="BQ405" s="376">
        <f t="shared" si="766"/>
        <v>0</v>
      </c>
      <c r="BR405" s="376">
        <f t="shared" si="766"/>
        <v>800</v>
      </c>
      <c r="BS405" s="376">
        <f t="shared" si="766"/>
        <v>0</v>
      </c>
      <c r="BT405" s="376">
        <f t="shared" si="766"/>
        <v>0</v>
      </c>
      <c r="BU405" s="376">
        <f t="shared" si="766"/>
        <v>0</v>
      </c>
      <c r="BV405" s="377">
        <f t="shared" si="766"/>
        <v>0</v>
      </c>
    </row>
    <row r="406" spans="1:74" ht="20.149999999999999" customHeight="1" outlineLevel="2" x14ac:dyDescent="0.25">
      <c r="A406" s="22" t="s">
        <v>304</v>
      </c>
      <c r="B406" s="12" t="str">
        <f>'Custos Insumos'!$C$42</f>
        <v>HMPM</v>
      </c>
      <c r="C406" s="284">
        <f>'Custos Insumos'!$D$42</f>
        <v>250</v>
      </c>
      <c r="D406" s="284">
        <v>1.5</v>
      </c>
      <c r="E406" s="284">
        <v>1.5</v>
      </c>
      <c r="F406" s="284">
        <f t="shared" ref="F406:M412" si="767">E406</f>
        <v>1.5</v>
      </c>
      <c r="G406" s="284">
        <f t="shared" si="767"/>
        <v>1.5</v>
      </c>
      <c r="H406" s="284">
        <f t="shared" si="767"/>
        <v>1.5</v>
      </c>
      <c r="I406" s="284">
        <f t="shared" si="767"/>
        <v>1.5</v>
      </c>
      <c r="J406" s="284">
        <f t="shared" si="767"/>
        <v>1.5</v>
      </c>
      <c r="K406" s="284">
        <f t="shared" si="767"/>
        <v>1.5</v>
      </c>
      <c r="L406" s="358">
        <f t="shared" si="767"/>
        <v>1.5</v>
      </c>
      <c r="M406" s="358">
        <f t="shared" si="767"/>
        <v>1.5</v>
      </c>
      <c r="N406" s="358">
        <f t="shared" si="740"/>
        <v>1.5</v>
      </c>
      <c r="O406" s="358">
        <f t="shared" si="741"/>
        <v>1.5</v>
      </c>
      <c r="P406" s="358">
        <f t="shared" si="742"/>
        <v>1.5</v>
      </c>
      <c r="Q406" s="358">
        <f t="shared" si="743"/>
        <v>1.5</v>
      </c>
      <c r="R406" s="358">
        <f t="shared" si="744"/>
        <v>1.5</v>
      </c>
      <c r="S406" s="358">
        <f t="shared" si="745"/>
        <v>1.5</v>
      </c>
      <c r="T406" s="358">
        <f t="shared" si="746"/>
        <v>1.5</v>
      </c>
      <c r="U406" s="358">
        <f t="shared" si="747"/>
        <v>1.5</v>
      </c>
      <c r="V406" s="358">
        <f t="shared" si="748"/>
        <v>1.5</v>
      </c>
      <c r="W406" s="358">
        <f t="shared" si="749"/>
        <v>1.5</v>
      </c>
      <c r="X406" s="358">
        <f t="shared" si="750"/>
        <v>1.5</v>
      </c>
      <c r="Y406" s="358">
        <f t="shared" si="751"/>
        <v>1.5</v>
      </c>
      <c r="Z406" s="358">
        <f t="shared" si="752"/>
        <v>1.5</v>
      </c>
      <c r="AA406" s="358">
        <f t="shared" si="753"/>
        <v>1.5</v>
      </c>
      <c r="AB406" s="358">
        <f t="shared" si="754"/>
        <v>1.5</v>
      </c>
      <c r="AC406" s="358">
        <f t="shared" si="755"/>
        <v>1.5</v>
      </c>
      <c r="AD406" s="358">
        <f t="shared" si="756"/>
        <v>1.5</v>
      </c>
      <c r="AE406" s="358">
        <f t="shared" si="757"/>
        <v>1.5</v>
      </c>
      <c r="AF406" s="358">
        <f t="shared" si="758"/>
        <v>1.5</v>
      </c>
      <c r="AG406" s="358">
        <f t="shared" si="759"/>
        <v>1.5</v>
      </c>
      <c r="AH406" s="358">
        <f t="shared" si="760"/>
        <v>1.5</v>
      </c>
      <c r="AI406" s="358">
        <f t="shared" si="761"/>
        <v>1.5</v>
      </c>
      <c r="AJ406" s="358">
        <f t="shared" si="762"/>
        <v>1.5</v>
      </c>
      <c r="AK406" s="358">
        <f t="shared" si="763"/>
        <v>1.5</v>
      </c>
      <c r="AL406" s="359">
        <f t="shared" si="764"/>
        <v>1.5</v>
      </c>
      <c r="AM406" s="636"/>
      <c r="AN406" s="303">
        <f t="shared" ref="AN406:BV406" si="768">$C$406*D406</f>
        <v>375</v>
      </c>
      <c r="AO406" s="304">
        <f t="shared" si="768"/>
        <v>375</v>
      </c>
      <c r="AP406" s="304">
        <f t="shared" si="768"/>
        <v>375</v>
      </c>
      <c r="AQ406" s="304">
        <f t="shared" si="768"/>
        <v>375</v>
      </c>
      <c r="AR406" s="304">
        <f t="shared" si="768"/>
        <v>375</v>
      </c>
      <c r="AS406" s="304">
        <f t="shared" si="768"/>
        <v>375</v>
      </c>
      <c r="AT406" s="304">
        <f t="shared" si="768"/>
        <v>375</v>
      </c>
      <c r="AU406" s="286">
        <f t="shared" si="768"/>
        <v>375</v>
      </c>
      <c r="AV406" s="313">
        <f t="shared" si="768"/>
        <v>375</v>
      </c>
      <c r="AW406" s="313">
        <f t="shared" si="768"/>
        <v>375</v>
      </c>
      <c r="AX406" s="376">
        <f t="shared" si="768"/>
        <v>375</v>
      </c>
      <c r="AY406" s="376">
        <f t="shared" si="768"/>
        <v>375</v>
      </c>
      <c r="AZ406" s="376">
        <f t="shared" si="768"/>
        <v>375</v>
      </c>
      <c r="BA406" s="376">
        <f t="shared" si="768"/>
        <v>375</v>
      </c>
      <c r="BB406" s="376">
        <f t="shared" si="768"/>
        <v>375</v>
      </c>
      <c r="BC406" s="376">
        <f t="shared" si="768"/>
        <v>375</v>
      </c>
      <c r="BD406" s="376">
        <f t="shared" si="768"/>
        <v>375</v>
      </c>
      <c r="BE406" s="376">
        <f t="shared" si="768"/>
        <v>375</v>
      </c>
      <c r="BF406" s="376">
        <f t="shared" si="768"/>
        <v>375</v>
      </c>
      <c r="BG406" s="376">
        <f t="shared" si="768"/>
        <v>375</v>
      </c>
      <c r="BH406" s="376">
        <f t="shared" si="768"/>
        <v>375</v>
      </c>
      <c r="BI406" s="376">
        <f t="shared" si="768"/>
        <v>375</v>
      </c>
      <c r="BJ406" s="376">
        <f t="shared" si="768"/>
        <v>375</v>
      </c>
      <c r="BK406" s="376">
        <f t="shared" si="768"/>
        <v>375</v>
      </c>
      <c r="BL406" s="376">
        <f t="shared" si="768"/>
        <v>375</v>
      </c>
      <c r="BM406" s="376">
        <f t="shared" si="768"/>
        <v>375</v>
      </c>
      <c r="BN406" s="376">
        <f t="shared" si="768"/>
        <v>375</v>
      </c>
      <c r="BO406" s="376">
        <f t="shared" si="768"/>
        <v>375</v>
      </c>
      <c r="BP406" s="376">
        <f t="shared" si="768"/>
        <v>375</v>
      </c>
      <c r="BQ406" s="376">
        <f t="shared" si="768"/>
        <v>375</v>
      </c>
      <c r="BR406" s="376">
        <f t="shared" si="768"/>
        <v>375</v>
      </c>
      <c r="BS406" s="376">
        <f t="shared" si="768"/>
        <v>375</v>
      </c>
      <c r="BT406" s="376">
        <f t="shared" si="768"/>
        <v>375</v>
      </c>
      <c r="BU406" s="376">
        <f t="shared" si="768"/>
        <v>375</v>
      </c>
      <c r="BV406" s="377">
        <f t="shared" si="768"/>
        <v>375</v>
      </c>
    </row>
    <row r="407" spans="1:74" ht="20.149999999999999" customHeight="1" outlineLevel="2" x14ac:dyDescent="0.25">
      <c r="A407" s="22" t="s">
        <v>80</v>
      </c>
      <c r="B407" s="8" t="str">
        <f>'Custos Insumos'!$C$42</f>
        <v>HMPM</v>
      </c>
      <c r="C407" s="284">
        <f>'Custos Insumos'!$D$42</f>
        <v>250</v>
      </c>
      <c r="D407" s="284">
        <v>1.5</v>
      </c>
      <c r="E407" s="284"/>
      <c r="F407" s="284">
        <f t="shared" si="767"/>
        <v>0</v>
      </c>
      <c r="G407" s="284">
        <f t="shared" si="767"/>
        <v>0</v>
      </c>
      <c r="H407" s="284">
        <f t="shared" si="767"/>
        <v>0</v>
      </c>
      <c r="I407" s="284">
        <f t="shared" si="767"/>
        <v>0</v>
      </c>
      <c r="J407" s="284">
        <f t="shared" si="767"/>
        <v>0</v>
      </c>
      <c r="K407" s="284">
        <f t="shared" si="767"/>
        <v>0</v>
      </c>
      <c r="L407" s="358">
        <f t="shared" si="767"/>
        <v>0</v>
      </c>
      <c r="M407" s="358">
        <f t="shared" si="767"/>
        <v>0</v>
      </c>
      <c r="N407" s="358">
        <f t="shared" si="740"/>
        <v>1.5</v>
      </c>
      <c r="O407" s="358">
        <f t="shared" si="741"/>
        <v>0</v>
      </c>
      <c r="P407" s="358">
        <f t="shared" si="742"/>
        <v>0</v>
      </c>
      <c r="Q407" s="358">
        <f t="shared" si="743"/>
        <v>0</v>
      </c>
      <c r="R407" s="358">
        <f t="shared" si="744"/>
        <v>0</v>
      </c>
      <c r="S407" s="358">
        <f t="shared" si="745"/>
        <v>0</v>
      </c>
      <c r="T407" s="358">
        <f t="shared" si="746"/>
        <v>0</v>
      </c>
      <c r="U407" s="358">
        <f t="shared" si="747"/>
        <v>0</v>
      </c>
      <c r="V407" s="358">
        <f t="shared" si="748"/>
        <v>0</v>
      </c>
      <c r="W407" s="358">
        <f t="shared" si="749"/>
        <v>0</v>
      </c>
      <c r="X407" s="358">
        <f t="shared" si="750"/>
        <v>1.5</v>
      </c>
      <c r="Y407" s="358">
        <f t="shared" si="751"/>
        <v>0</v>
      </c>
      <c r="Z407" s="358">
        <f t="shared" si="752"/>
        <v>0</v>
      </c>
      <c r="AA407" s="358">
        <f t="shared" si="753"/>
        <v>0</v>
      </c>
      <c r="AB407" s="358">
        <f t="shared" si="754"/>
        <v>0</v>
      </c>
      <c r="AC407" s="358">
        <f t="shared" si="755"/>
        <v>0</v>
      </c>
      <c r="AD407" s="358">
        <f t="shared" si="756"/>
        <v>0</v>
      </c>
      <c r="AE407" s="358">
        <f t="shared" si="757"/>
        <v>0</v>
      </c>
      <c r="AF407" s="358">
        <f t="shared" si="758"/>
        <v>0</v>
      </c>
      <c r="AG407" s="358">
        <f t="shared" si="759"/>
        <v>0</v>
      </c>
      <c r="AH407" s="358">
        <f t="shared" si="760"/>
        <v>1.5</v>
      </c>
      <c r="AI407" s="358">
        <f t="shared" si="761"/>
        <v>0</v>
      </c>
      <c r="AJ407" s="358">
        <f t="shared" si="762"/>
        <v>0</v>
      </c>
      <c r="AK407" s="358">
        <f t="shared" si="763"/>
        <v>0</v>
      </c>
      <c r="AL407" s="359">
        <f t="shared" si="764"/>
        <v>0</v>
      </c>
      <c r="AM407" s="636"/>
      <c r="AN407" s="303">
        <f t="shared" ref="AN407:BV407" si="769">$C$407*D407</f>
        <v>375</v>
      </c>
      <c r="AO407" s="304">
        <f t="shared" si="769"/>
        <v>0</v>
      </c>
      <c r="AP407" s="304">
        <f t="shared" si="769"/>
        <v>0</v>
      </c>
      <c r="AQ407" s="304">
        <f t="shared" si="769"/>
        <v>0</v>
      </c>
      <c r="AR407" s="304">
        <f t="shared" si="769"/>
        <v>0</v>
      </c>
      <c r="AS407" s="304">
        <f t="shared" si="769"/>
        <v>0</v>
      </c>
      <c r="AT407" s="304">
        <f t="shared" si="769"/>
        <v>0</v>
      </c>
      <c r="AU407" s="286">
        <f t="shared" si="769"/>
        <v>0</v>
      </c>
      <c r="AV407" s="313">
        <f t="shared" si="769"/>
        <v>0</v>
      </c>
      <c r="AW407" s="313">
        <f t="shared" si="769"/>
        <v>0</v>
      </c>
      <c r="AX407" s="376">
        <f t="shared" si="769"/>
        <v>375</v>
      </c>
      <c r="AY407" s="376">
        <f t="shared" si="769"/>
        <v>0</v>
      </c>
      <c r="AZ407" s="376">
        <f t="shared" si="769"/>
        <v>0</v>
      </c>
      <c r="BA407" s="376">
        <f t="shared" si="769"/>
        <v>0</v>
      </c>
      <c r="BB407" s="376">
        <f t="shared" si="769"/>
        <v>0</v>
      </c>
      <c r="BC407" s="376">
        <f t="shared" si="769"/>
        <v>0</v>
      </c>
      <c r="BD407" s="376">
        <f t="shared" si="769"/>
        <v>0</v>
      </c>
      <c r="BE407" s="376">
        <f t="shared" si="769"/>
        <v>0</v>
      </c>
      <c r="BF407" s="376">
        <f t="shared" si="769"/>
        <v>0</v>
      </c>
      <c r="BG407" s="376">
        <f t="shared" si="769"/>
        <v>0</v>
      </c>
      <c r="BH407" s="376">
        <f t="shared" si="769"/>
        <v>375</v>
      </c>
      <c r="BI407" s="376">
        <f t="shared" si="769"/>
        <v>0</v>
      </c>
      <c r="BJ407" s="376">
        <f t="shared" si="769"/>
        <v>0</v>
      </c>
      <c r="BK407" s="376">
        <f t="shared" si="769"/>
        <v>0</v>
      </c>
      <c r="BL407" s="376">
        <f t="shared" si="769"/>
        <v>0</v>
      </c>
      <c r="BM407" s="376">
        <f t="shared" si="769"/>
        <v>0</v>
      </c>
      <c r="BN407" s="376">
        <f t="shared" si="769"/>
        <v>0</v>
      </c>
      <c r="BO407" s="376">
        <f t="shared" si="769"/>
        <v>0</v>
      </c>
      <c r="BP407" s="376">
        <f t="shared" si="769"/>
        <v>0</v>
      </c>
      <c r="BQ407" s="376">
        <f t="shared" si="769"/>
        <v>0</v>
      </c>
      <c r="BR407" s="376">
        <f t="shared" si="769"/>
        <v>375</v>
      </c>
      <c r="BS407" s="376">
        <f t="shared" si="769"/>
        <v>0</v>
      </c>
      <c r="BT407" s="376">
        <f t="shared" si="769"/>
        <v>0</v>
      </c>
      <c r="BU407" s="376">
        <f t="shared" si="769"/>
        <v>0</v>
      </c>
      <c r="BV407" s="377">
        <f t="shared" si="769"/>
        <v>0</v>
      </c>
    </row>
    <row r="408" spans="1:74" ht="20.149999999999999" customHeight="1" outlineLevel="2" x14ac:dyDescent="0.25">
      <c r="A408" s="22" t="s">
        <v>305</v>
      </c>
      <c r="B408" s="12" t="str">
        <f>'Custos Insumos'!$C$42</f>
        <v>HMPM</v>
      </c>
      <c r="C408" s="284">
        <f>'Custos Insumos'!$D$42</f>
        <v>250</v>
      </c>
      <c r="D408" s="284">
        <v>2</v>
      </c>
      <c r="E408" s="284"/>
      <c r="F408" s="284">
        <f t="shared" si="767"/>
        <v>0</v>
      </c>
      <c r="G408" s="284">
        <f t="shared" si="767"/>
        <v>0</v>
      </c>
      <c r="H408" s="284">
        <f t="shared" si="767"/>
        <v>0</v>
      </c>
      <c r="I408" s="284">
        <f t="shared" si="767"/>
        <v>0</v>
      </c>
      <c r="J408" s="284">
        <f t="shared" si="767"/>
        <v>0</v>
      </c>
      <c r="K408" s="284">
        <f t="shared" si="767"/>
        <v>0</v>
      </c>
      <c r="L408" s="358">
        <f t="shared" si="767"/>
        <v>0</v>
      </c>
      <c r="M408" s="358">
        <f t="shared" si="767"/>
        <v>0</v>
      </c>
      <c r="N408" s="358">
        <f t="shared" si="740"/>
        <v>2</v>
      </c>
      <c r="O408" s="358">
        <f t="shared" si="741"/>
        <v>0</v>
      </c>
      <c r="P408" s="358">
        <f t="shared" si="742"/>
        <v>0</v>
      </c>
      <c r="Q408" s="358">
        <f t="shared" si="743"/>
        <v>0</v>
      </c>
      <c r="R408" s="358">
        <f t="shared" si="744"/>
        <v>0</v>
      </c>
      <c r="S408" s="358">
        <f t="shared" si="745"/>
        <v>0</v>
      </c>
      <c r="T408" s="358">
        <f t="shared" si="746"/>
        <v>0</v>
      </c>
      <c r="U408" s="358">
        <f t="shared" si="747"/>
        <v>0</v>
      </c>
      <c r="V408" s="358">
        <f t="shared" si="748"/>
        <v>0</v>
      </c>
      <c r="W408" s="358">
        <f t="shared" si="749"/>
        <v>0</v>
      </c>
      <c r="X408" s="358">
        <f t="shared" si="750"/>
        <v>2</v>
      </c>
      <c r="Y408" s="358">
        <f t="shared" si="751"/>
        <v>0</v>
      </c>
      <c r="Z408" s="358">
        <f t="shared" si="752"/>
        <v>0</v>
      </c>
      <c r="AA408" s="358">
        <f t="shared" si="753"/>
        <v>0</v>
      </c>
      <c r="AB408" s="358">
        <f t="shared" si="754"/>
        <v>0</v>
      </c>
      <c r="AC408" s="358">
        <f t="shared" si="755"/>
        <v>0</v>
      </c>
      <c r="AD408" s="358">
        <f t="shared" si="756"/>
        <v>0</v>
      </c>
      <c r="AE408" s="358">
        <f t="shared" si="757"/>
        <v>0</v>
      </c>
      <c r="AF408" s="358">
        <f t="shared" si="758"/>
        <v>0</v>
      </c>
      <c r="AG408" s="358">
        <f t="shared" si="759"/>
        <v>0</v>
      </c>
      <c r="AH408" s="358">
        <f t="shared" si="760"/>
        <v>2</v>
      </c>
      <c r="AI408" s="358">
        <f t="shared" si="761"/>
        <v>0</v>
      </c>
      <c r="AJ408" s="358">
        <f t="shared" si="762"/>
        <v>0</v>
      </c>
      <c r="AK408" s="358">
        <f t="shared" si="763"/>
        <v>0</v>
      </c>
      <c r="AL408" s="359">
        <f t="shared" si="764"/>
        <v>0</v>
      </c>
      <c r="AM408" s="636"/>
      <c r="AN408" s="303">
        <f t="shared" ref="AN408:BV408" si="770">$C$408*D408</f>
        <v>500</v>
      </c>
      <c r="AO408" s="304">
        <f t="shared" si="770"/>
        <v>0</v>
      </c>
      <c r="AP408" s="304">
        <f t="shared" si="770"/>
        <v>0</v>
      </c>
      <c r="AQ408" s="304">
        <f t="shared" si="770"/>
        <v>0</v>
      </c>
      <c r="AR408" s="304">
        <f t="shared" si="770"/>
        <v>0</v>
      </c>
      <c r="AS408" s="304">
        <f t="shared" si="770"/>
        <v>0</v>
      </c>
      <c r="AT408" s="304">
        <f t="shared" si="770"/>
        <v>0</v>
      </c>
      <c r="AU408" s="286">
        <f t="shared" si="770"/>
        <v>0</v>
      </c>
      <c r="AV408" s="313">
        <f t="shared" si="770"/>
        <v>0</v>
      </c>
      <c r="AW408" s="313">
        <f t="shared" si="770"/>
        <v>0</v>
      </c>
      <c r="AX408" s="376">
        <f t="shared" si="770"/>
        <v>500</v>
      </c>
      <c r="AY408" s="376">
        <f t="shared" si="770"/>
        <v>0</v>
      </c>
      <c r="AZ408" s="376">
        <f t="shared" si="770"/>
        <v>0</v>
      </c>
      <c r="BA408" s="376">
        <f t="shared" si="770"/>
        <v>0</v>
      </c>
      <c r="BB408" s="376">
        <f t="shared" si="770"/>
        <v>0</v>
      </c>
      <c r="BC408" s="376">
        <f t="shared" si="770"/>
        <v>0</v>
      </c>
      <c r="BD408" s="376">
        <f t="shared" si="770"/>
        <v>0</v>
      </c>
      <c r="BE408" s="376">
        <f t="shared" si="770"/>
        <v>0</v>
      </c>
      <c r="BF408" s="376">
        <f t="shared" si="770"/>
        <v>0</v>
      </c>
      <c r="BG408" s="376">
        <f t="shared" si="770"/>
        <v>0</v>
      </c>
      <c r="BH408" s="376">
        <f t="shared" si="770"/>
        <v>500</v>
      </c>
      <c r="BI408" s="376">
        <f t="shared" si="770"/>
        <v>0</v>
      </c>
      <c r="BJ408" s="376">
        <f t="shared" si="770"/>
        <v>0</v>
      </c>
      <c r="BK408" s="376">
        <f t="shared" si="770"/>
        <v>0</v>
      </c>
      <c r="BL408" s="376">
        <f t="shared" si="770"/>
        <v>0</v>
      </c>
      <c r="BM408" s="376">
        <f t="shared" si="770"/>
        <v>0</v>
      </c>
      <c r="BN408" s="376">
        <f t="shared" si="770"/>
        <v>0</v>
      </c>
      <c r="BO408" s="376">
        <f t="shared" si="770"/>
        <v>0</v>
      </c>
      <c r="BP408" s="376">
        <f t="shared" si="770"/>
        <v>0</v>
      </c>
      <c r="BQ408" s="376">
        <f t="shared" si="770"/>
        <v>0</v>
      </c>
      <c r="BR408" s="376">
        <f t="shared" si="770"/>
        <v>500</v>
      </c>
      <c r="BS408" s="376">
        <f t="shared" si="770"/>
        <v>0</v>
      </c>
      <c r="BT408" s="376">
        <f t="shared" si="770"/>
        <v>0</v>
      </c>
      <c r="BU408" s="376">
        <f t="shared" si="770"/>
        <v>0</v>
      </c>
      <c r="BV408" s="377">
        <f t="shared" si="770"/>
        <v>0</v>
      </c>
    </row>
    <row r="409" spans="1:74" ht="20.149999999999999" customHeight="1" outlineLevel="2" x14ac:dyDescent="0.25">
      <c r="A409" s="22" t="s">
        <v>306</v>
      </c>
      <c r="B409" s="12" t="str">
        <f>'Custos Insumos'!C50</f>
        <v>HMPC</v>
      </c>
      <c r="C409" s="284">
        <f>'Custos Insumos'!D50</f>
        <v>1050</v>
      </c>
      <c r="D409" s="284">
        <v>1</v>
      </c>
      <c r="E409" s="284"/>
      <c r="F409" s="284">
        <f t="shared" si="767"/>
        <v>0</v>
      </c>
      <c r="G409" s="284">
        <f t="shared" si="767"/>
        <v>0</v>
      </c>
      <c r="H409" s="284">
        <f t="shared" si="767"/>
        <v>0</v>
      </c>
      <c r="I409" s="284">
        <f t="shared" si="767"/>
        <v>0</v>
      </c>
      <c r="J409" s="284">
        <f t="shared" si="767"/>
        <v>0</v>
      </c>
      <c r="K409" s="284">
        <f t="shared" si="767"/>
        <v>0</v>
      </c>
      <c r="L409" s="358">
        <f t="shared" si="767"/>
        <v>0</v>
      </c>
      <c r="M409" s="358">
        <f t="shared" si="767"/>
        <v>0</v>
      </c>
      <c r="N409" s="358">
        <f t="shared" si="740"/>
        <v>1</v>
      </c>
      <c r="O409" s="358">
        <f t="shared" si="741"/>
        <v>0</v>
      </c>
      <c r="P409" s="358">
        <f t="shared" si="742"/>
        <v>0</v>
      </c>
      <c r="Q409" s="358">
        <f t="shared" si="743"/>
        <v>0</v>
      </c>
      <c r="R409" s="358">
        <f t="shared" si="744"/>
        <v>0</v>
      </c>
      <c r="S409" s="358">
        <f t="shared" si="745"/>
        <v>0</v>
      </c>
      <c r="T409" s="358">
        <f t="shared" si="746"/>
        <v>0</v>
      </c>
      <c r="U409" s="358">
        <f t="shared" si="747"/>
        <v>0</v>
      </c>
      <c r="V409" s="358">
        <f t="shared" si="748"/>
        <v>0</v>
      </c>
      <c r="W409" s="358">
        <f t="shared" si="749"/>
        <v>0</v>
      </c>
      <c r="X409" s="358">
        <f t="shared" si="750"/>
        <v>1</v>
      </c>
      <c r="Y409" s="358">
        <f t="shared" si="751"/>
        <v>0</v>
      </c>
      <c r="Z409" s="358">
        <f t="shared" si="752"/>
        <v>0</v>
      </c>
      <c r="AA409" s="358">
        <f t="shared" si="753"/>
        <v>0</v>
      </c>
      <c r="AB409" s="358">
        <f t="shared" si="754"/>
        <v>0</v>
      </c>
      <c r="AC409" s="358">
        <f t="shared" si="755"/>
        <v>0</v>
      </c>
      <c r="AD409" s="358">
        <f t="shared" si="756"/>
        <v>0</v>
      </c>
      <c r="AE409" s="358">
        <f t="shared" si="757"/>
        <v>0</v>
      </c>
      <c r="AF409" s="358">
        <f t="shared" si="758"/>
        <v>0</v>
      </c>
      <c r="AG409" s="358">
        <f t="shared" si="759"/>
        <v>0</v>
      </c>
      <c r="AH409" s="358">
        <f t="shared" si="760"/>
        <v>1</v>
      </c>
      <c r="AI409" s="358">
        <f t="shared" si="761"/>
        <v>0</v>
      </c>
      <c r="AJ409" s="358">
        <f t="shared" si="762"/>
        <v>0</v>
      </c>
      <c r="AK409" s="358">
        <f t="shared" si="763"/>
        <v>0</v>
      </c>
      <c r="AL409" s="359">
        <f t="shared" si="764"/>
        <v>0</v>
      </c>
      <c r="AM409" s="636"/>
      <c r="AN409" s="303">
        <f t="shared" ref="AN409:BV409" si="771">$C$409*D409</f>
        <v>1050</v>
      </c>
      <c r="AO409" s="304">
        <f t="shared" si="771"/>
        <v>0</v>
      </c>
      <c r="AP409" s="304">
        <f t="shared" si="771"/>
        <v>0</v>
      </c>
      <c r="AQ409" s="304">
        <f t="shared" si="771"/>
        <v>0</v>
      </c>
      <c r="AR409" s="304">
        <f t="shared" si="771"/>
        <v>0</v>
      </c>
      <c r="AS409" s="304">
        <f t="shared" si="771"/>
        <v>0</v>
      </c>
      <c r="AT409" s="304">
        <f t="shared" si="771"/>
        <v>0</v>
      </c>
      <c r="AU409" s="286">
        <f t="shared" si="771"/>
        <v>0</v>
      </c>
      <c r="AV409" s="313">
        <f t="shared" si="771"/>
        <v>0</v>
      </c>
      <c r="AW409" s="313">
        <f t="shared" si="771"/>
        <v>0</v>
      </c>
      <c r="AX409" s="376">
        <f t="shared" si="771"/>
        <v>1050</v>
      </c>
      <c r="AY409" s="376">
        <f t="shared" si="771"/>
        <v>0</v>
      </c>
      <c r="AZ409" s="376">
        <f t="shared" si="771"/>
        <v>0</v>
      </c>
      <c r="BA409" s="376">
        <f t="shared" si="771"/>
        <v>0</v>
      </c>
      <c r="BB409" s="376">
        <f t="shared" si="771"/>
        <v>0</v>
      </c>
      <c r="BC409" s="376">
        <f t="shared" si="771"/>
        <v>0</v>
      </c>
      <c r="BD409" s="376">
        <f t="shared" si="771"/>
        <v>0</v>
      </c>
      <c r="BE409" s="376">
        <f t="shared" si="771"/>
        <v>0</v>
      </c>
      <c r="BF409" s="376">
        <f t="shared" si="771"/>
        <v>0</v>
      </c>
      <c r="BG409" s="376">
        <f t="shared" si="771"/>
        <v>0</v>
      </c>
      <c r="BH409" s="376">
        <f t="shared" si="771"/>
        <v>1050</v>
      </c>
      <c r="BI409" s="376">
        <f t="shared" si="771"/>
        <v>0</v>
      </c>
      <c r="BJ409" s="376">
        <f t="shared" si="771"/>
        <v>0</v>
      </c>
      <c r="BK409" s="376">
        <f t="shared" si="771"/>
        <v>0</v>
      </c>
      <c r="BL409" s="376">
        <f t="shared" si="771"/>
        <v>0</v>
      </c>
      <c r="BM409" s="376">
        <f t="shared" si="771"/>
        <v>0</v>
      </c>
      <c r="BN409" s="376">
        <f t="shared" si="771"/>
        <v>0</v>
      </c>
      <c r="BO409" s="376">
        <f t="shared" si="771"/>
        <v>0</v>
      </c>
      <c r="BP409" s="376">
        <f t="shared" si="771"/>
        <v>0</v>
      </c>
      <c r="BQ409" s="376">
        <f t="shared" si="771"/>
        <v>0</v>
      </c>
      <c r="BR409" s="376">
        <f t="shared" si="771"/>
        <v>1050</v>
      </c>
      <c r="BS409" s="376">
        <f t="shared" si="771"/>
        <v>0</v>
      </c>
      <c r="BT409" s="376">
        <f t="shared" si="771"/>
        <v>0</v>
      </c>
      <c r="BU409" s="376">
        <f t="shared" si="771"/>
        <v>0</v>
      </c>
      <c r="BV409" s="377">
        <f t="shared" si="771"/>
        <v>0</v>
      </c>
    </row>
    <row r="410" spans="1:74" ht="20.149999999999999" customHeight="1" outlineLevel="2" x14ac:dyDescent="0.25">
      <c r="A410" s="22" t="s">
        <v>309</v>
      </c>
      <c r="B410" s="12" t="str">
        <f>'Custos Insumos'!C47</f>
        <v>HMM</v>
      </c>
      <c r="C410" s="284">
        <f>'Custos Insumos'!D47</f>
        <v>400</v>
      </c>
      <c r="D410" s="284">
        <v>1.5</v>
      </c>
      <c r="E410" s="284">
        <v>0.5</v>
      </c>
      <c r="F410" s="284">
        <f t="shared" si="767"/>
        <v>0.5</v>
      </c>
      <c r="G410" s="284">
        <f t="shared" si="767"/>
        <v>0.5</v>
      </c>
      <c r="H410" s="284">
        <f t="shared" si="767"/>
        <v>0.5</v>
      </c>
      <c r="I410" s="284">
        <f t="shared" si="767"/>
        <v>0.5</v>
      </c>
      <c r="J410" s="284">
        <f t="shared" si="767"/>
        <v>0.5</v>
      </c>
      <c r="K410" s="284">
        <f t="shared" si="767"/>
        <v>0.5</v>
      </c>
      <c r="L410" s="358">
        <f t="shared" si="767"/>
        <v>0.5</v>
      </c>
      <c r="M410" s="358">
        <f t="shared" si="767"/>
        <v>0.5</v>
      </c>
      <c r="N410" s="358">
        <f t="shared" si="740"/>
        <v>1.5</v>
      </c>
      <c r="O410" s="358">
        <f t="shared" si="741"/>
        <v>0.5</v>
      </c>
      <c r="P410" s="358">
        <f t="shared" si="742"/>
        <v>0.5</v>
      </c>
      <c r="Q410" s="358">
        <f t="shared" si="743"/>
        <v>0.5</v>
      </c>
      <c r="R410" s="358">
        <f t="shared" si="744"/>
        <v>0.5</v>
      </c>
      <c r="S410" s="358">
        <f t="shared" si="745"/>
        <v>0.5</v>
      </c>
      <c r="T410" s="358">
        <f t="shared" si="746"/>
        <v>0.5</v>
      </c>
      <c r="U410" s="358">
        <f t="shared" si="747"/>
        <v>0.5</v>
      </c>
      <c r="V410" s="358">
        <f t="shared" si="748"/>
        <v>0.5</v>
      </c>
      <c r="W410" s="358">
        <f t="shared" si="749"/>
        <v>0.5</v>
      </c>
      <c r="X410" s="358">
        <f t="shared" si="750"/>
        <v>1.5</v>
      </c>
      <c r="Y410" s="358">
        <f t="shared" si="751"/>
        <v>0.5</v>
      </c>
      <c r="Z410" s="358">
        <f t="shared" si="752"/>
        <v>0.5</v>
      </c>
      <c r="AA410" s="358">
        <f t="shared" si="753"/>
        <v>0.5</v>
      </c>
      <c r="AB410" s="358">
        <f t="shared" si="754"/>
        <v>0.5</v>
      </c>
      <c r="AC410" s="358">
        <f t="shared" si="755"/>
        <v>0.5</v>
      </c>
      <c r="AD410" s="358">
        <f t="shared" si="756"/>
        <v>0.5</v>
      </c>
      <c r="AE410" s="358">
        <f t="shared" si="757"/>
        <v>0.5</v>
      </c>
      <c r="AF410" s="358">
        <f t="shared" si="758"/>
        <v>0.5</v>
      </c>
      <c r="AG410" s="358">
        <f t="shared" si="759"/>
        <v>0.5</v>
      </c>
      <c r="AH410" s="358">
        <f t="shared" si="760"/>
        <v>1.5</v>
      </c>
      <c r="AI410" s="358">
        <f t="shared" si="761"/>
        <v>0.5</v>
      </c>
      <c r="AJ410" s="358">
        <f t="shared" si="762"/>
        <v>0.5</v>
      </c>
      <c r="AK410" s="358">
        <f t="shared" si="763"/>
        <v>0.5</v>
      </c>
      <c r="AL410" s="359">
        <f t="shared" si="764"/>
        <v>0.5</v>
      </c>
      <c r="AM410" s="636"/>
      <c r="AN410" s="303">
        <f t="shared" ref="AN410:BV410" si="772">$C$410*D410</f>
        <v>600</v>
      </c>
      <c r="AO410" s="304">
        <f t="shared" si="772"/>
        <v>200</v>
      </c>
      <c r="AP410" s="304">
        <f t="shared" si="772"/>
        <v>200</v>
      </c>
      <c r="AQ410" s="304">
        <f t="shared" si="772"/>
        <v>200</v>
      </c>
      <c r="AR410" s="304">
        <f t="shared" si="772"/>
        <v>200</v>
      </c>
      <c r="AS410" s="304">
        <f t="shared" si="772"/>
        <v>200</v>
      </c>
      <c r="AT410" s="304">
        <f t="shared" si="772"/>
        <v>200</v>
      </c>
      <c r="AU410" s="286">
        <f t="shared" si="772"/>
        <v>200</v>
      </c>
      <c r="AV410" s="313">
        <f t="shared" si="772"/>
        <v>200</v>
      </c>
      <c r="AW410" s="313">
        <f t="shared" si="772"/>
        <v>200</v>
      </c>
      <c r="AX410" s="376">
        <f t="shared" si="772"/>
        <v>600</v>
      </c>
      <c r="AY410" s="376">
        <f t="shared" si="772"/>
        <v>200</v>
      </c>
      <c r="AZ410" s="376">
        <f t="shared" si="772"/>
        <v>200</v>
      </c>
      <c r="BA410" s="376">
        <f t="shared" si="772"/>
        <v>200</v>
      </c>
      <c r="BB410" s="376">
        <f t="shared" si="772"/>
        <v>200</v>
      </c>
      <c r="BC410" s="376">
        <f t="shared" si="772"/>
        <v>200</v>
      </c>
      <c r="BD410" s="376">
        <f t="shared" si="772"/>
        <v>200</v>
      </c>
      <c r="BE410" s="376">
        <f t="shared" si="772"/>
        <v>200</v>
      </c>
      <c r="BF410" s="376">
        <f t="shared" si="772"/>
        <v>200</v>
      </c>
      <c r="BG410" s="376">
        <f t="shared" si="772"/>
        <v>200</v>
      </c>
      <c r="BH410" s="376">
        <f t="shared" si="772"/>
        <v>600</v>
      </c>
      <c r="BI410" s="376">
        <f t="shared" si="772"/>
        <v>200</v>
      </c>
      <c r="BJ410" s="376">
        <f t="shared" si="772"/>
        <v>200</v>
      </c>
      <c r="BK410" s="376">
        <f t="shared" si="772"/>
        <v>200</v>
      </c>
      <c r="BL410" s="376">
        <f t="shared" si="772"/>
        <v>200</v>
      </c>
      <c r="BM410" s="376">
        <f t="shared" si="772"/>
        <v>200</v>
      </c>
      <c r="BN410" s="376">
        <f t="shared" si="772"/>
        <v>200</v>
      </c>
      <c r="BO410" s="376">
        <f t="shared" si="772"/>
        <v>200</v>
      </c>
      <c r="BP410" s="376">
        <f t="shared" si="772"/>
        <v>200</v>
      </c>
      <c r="BQ410" s="376">
        <f t="shared" si="772"/>
        <v>200</v>
      </c>
      <c r="BR410" s="376">
        <f t="shared" si="772"/>
        <v>600</v>
      </c>
      <c r="BS410" s="376">
        <f t="shared" si="772"/>
        <v>200</v>
      </c>
      <c r="BT410" s="376">
        <f t="shared" si="772"/>
        <v>200</v>
      </c>
      <c r="BU410" s="376">
        <f t="shared" si="772"/>
        <v>200</v>
      </c>
      <c r="BV410" s="377">
        <f t="shared" si="772"/>
        <v>200</v>
      </c>
    </row>
    <row r="411" spans="1:74" ht="20.149999999999999" customHeight="1" outlineLevel="2" x14ac:dyDescent="0.25">
      <c r="A411" s="22" t="s">
        <v>307</v>
      </c>
      <c r="B411" s="12" t="str">
        <f>'Custos Insumos'!$C$42</f>
        <v>HMPM</v>
      </c>
      <c r="C411" s="284">
        <f>'Custos Insumos'!$D$42</f>
        <v>250</v>
      </c>
      <c r="D411" s="284">
        <v>1</v>
      </c>
      <c r="E411" s="284">
        <v>1</v>
      </c>
      <c r="F411" s="284">
        <f t="shared" si="767"/>
        <v>1</v>
      </c>
      <c r="G411" s="284">
        <f t="shared" si="767"/>
        <v>1</v>
      </c>
      <c r="H411" s="284">
        <f t="shared" si="767"/>
        <v>1</v>
      </c>
      <c r="I411" s="284">
        <f t="shared" si="767"/>
        <v>1</v>
      </c>
      <c r="J411" s="284">
        <f t="shared" si="767"/>
        <v>1</v>
      </c>
      <c r="K411" s="284">
        <f t="shared" si="767"/>
        <v>1</v>
      </c>
      <c r="L411" s="358">
        <f t="shared" si="767"/>
        <v>1</v>
      </c>
      <c r="M411" s="358">
        <f t="shared" si="767"/>
        <v>1</v>
      </c>
      <c r="N411" s="358">
        <f t="shared" si="740"/>
        <v>1</v>
      </c>
      <c r="O411" s="358">
        <f t="shared" si="741"/>
        <v>1</v>
      </c>
      <c r="P411" s="358">
        <f t="shared" si="742"/>
        <v>1</v>
      </c>
      <c r="Q411" s="358">
        <f t="shared" si="743"/>
        <v>1</v>
      </c>
      <c r="R411" s="358">
        <f t="shared" si="744"/>
        <v>1</v>
      </c>
      <c r="S411" s="358">
        <f t="shared" si="745"/>
        <v>1</v>
      </c>
      <c r="T411" s="358">
        <f t="shared" si="746"/>
        <v>1</v>
      </c>
      <c r="U411" s="358">
        <f t="shared" si="747"/>
        <v>1</v>
      </c>
      <c r="V411" s="358">
        <f t="shared" si="748"/>
        <v>1</v>
      </c>
      <c r="W411" s="358">
        <f t="shared" si="749"/>
        <v>1</v>
      </c>
      <c r="X411" s="358">
        <f t="shared" si="750"/>
        <v>1</v>
      </c>
      <c r="Y411" s="358">
        <f t="shared" si="751"/>
        <v>1</v>
      </c>
      <c r="Z411" s="358">
        <f t="shared" si="752"/>
        <v>1</v>
      </c>
      <c r="AA411" s="358">
        <f t="shared" si="753"/>
        <v>1</v>
      </c>
      <c r="AB411" s="358">
        <f t="shared" si="754"/>
        <v>1</v>
      </c>
      <c r="AC411" s="358">
        <f t="shared" si="755"/>
        <v>1</v>
      </c>
      <c r="AD411" s="358">
        <f t="shared" si="756"/>
        <v>1</v>
      </c>
      <c r="AE411" s="358">
        <f t="shared" si="757"/>
        <v>1</v>
      </c>
      <c r="AF411" s="358">
        <f t="shared" si="758"/>
        <v>1</v>
      </c>
      <c r="AG411" s="358">
        <f t="shared" si="759"/>
        <v>1</v>
      </c>
      <c r="AH411" s="358">
        <f t="shared" si="760"/>
        <v>1</v>
      </c>
      <c r="AI411" s="358">
        <f t="shared" si="761"/>
        <v>1</v>
      </c>
      <c r="AJ411" s="358">
        <f t="shared" si="762"/>
        <v>1</v>
      </c>
      <c r="AK411" s="358">
        <f t="shared" si="763"/>
        <v>1</v>
      </c>
      <c r="AL411" s="359">
        <f t="shared" si="764"/>
        <v>1</v>
      </c>
      <c r="AM411" s="636"/>
      <c r="AN411" s="303">
        <f t="shared" ref="AN411:BV411" si="773">$C$411*D411</f>
        <v>250</v>
      </c>
      <c r="AO411" s="304">
        <f t="shared" si="773"/>
        <v>250</v>
      </c>
      <c r="AP411" s="304">
        <f t="shared" si="773"/>
        <v>250</v>
      </c>
      <c r="AQ411" s="304">
        <f t="shared" si="773"/>
        <v>250</v>
      </c>
      <c r="AR411" s="304">
        <f t="shared" si="773"/>
        <v>250</v>
      </c>
      <c r="AS411" s="304">
        <f t="shared" si="773"/>
        <v>250</v>
      </c>
      <c r="AT411" s="304">
        <f t="shared" si="773"/>
        <v>250</v>
      </c>
      <c r="AU411" s="286">
        <f t="shared" si="773"/>
        <v>250</v>
      </c>
      <c r="AV411" s="313">
        <f t="shared" si="773"/>
        <v>250</v>
      </c>
      <c r="AW411" s="313">
        <f t="shared" si="773"/>
        <v>250</v>
      </c>
      <c r="AX411" s="376">
        <f t="shared" si="773"/>
        <v>250</v>
      </c>
      <c r="AY411" s="376">
        <f t="shared" si="773"/>
        <v>250</v>
      </c>
      <c r="AZ411" s="376">
        <f t="shared" si="773"/>
        <v>250</v>
      </c>
      <c r="BA411" s="376">
        <f t="shared" si="773"/>
        <v>250</v>
      </c>
      <c r="BB411" s="376">
        <f t="shared" si="773"/>
        <v>250</v>
      </c>
      <c r="BC411" s="376">
        <f t="shared" si="773"/>
        <v>250</v>
      </c>
      <c r="BD411" s="376">
        <f t="shared" si="773"/>
        <v>250</v>
      </c>
      <c r="BE411" s="376">
        <f t="shared" si="773"/>
        <v>250</v>
      </c>
      <c r="BF411" s="376">
        <f t="shared" si="773"/>
        <v>250</v>
      </c>
      <c r="BG411" s="376">
        <f t="shared" si="773"/>
        <v>250</v>
      </c>
      <c r="BH411" s="376">
        <f t="shared" si="773"/>
        <v>250</v>
      </c>
      <c r="BI411" s="376">
        <f t="shared" si="773"/>
        <v>250</v>
      </c>
      <c r="BJ411" s="376">
        <f t="shared" si="773"/>
        <v>250</v>
      </c>
      <c r="BK411" s="376">
        <f t="shared" si="773"/>
        <v>250</v>
      </c>
      <c r="BL411" s="376">
        <f t="shared" si="773"/>
        <v>250</v>
      </c>
      <c r="BM411" s="376">
        <f t="shared" si="773"/>
        <v>250</v>
      </c>
      <c r="BN411" s="376">
        <f t="shared" si="773"/>
        <v>250</v>
      </c>
      <c r="BO411" s="376">
        <f t="shared" si="773"/>
        <v>250</v>
      </c>
      <c r="BP411" s="376">
        <f t="shared" si="773"/>
        <v>250</v>
      </c>
      <c r="BQ411" s="376">
        <f t="shared" si="773"/>
        <v>250</v>
      </c>
      <c r="BR411" s="376">
        <f t="shared" si="773"/>
        <v>250</v>
      </c>
      <c r="BS411" s="376">
        <f t="shared" si="773"/>
        <v>250</v>
      </c>
      <c r="BT411" s="376">
        <f t="shared" si="773"/>
        <v>250</v>
      </c>
      <c r="BU411" s="376">
        <f t="shared" si="773"/>
        <v>250</v>
      </c>
      <c r="BV411" s="377">
        <f t="shared" si="773"/>
        <v>250</v>
      </c>
    </row>
    <row r="412" spans="1:74" ht="20.149999999999999" customHeight="1" outlineLevel="2" x14ac:dyDescent="0.25">
      <c r="A412" s="20" t="s">
        <v>310</v>
      </c>
      <c r="B412" s="12" t="str">
        <f>'Custos Insumos'!$C$42</f>
        <v>HMPM</v>
      </c>
      <c r="C412" s="284">
        <f>'Custos Insumos'!$D$42</f>
        <v>250</v>
      </c>
      <c r="D412" s="284">
        <v>1</v>
      </c>
      <c r="E412" s="284">
        <v>1</v>
      </c>
      <c r="F412" s="284">
        <f t="shared" si="767"/>
        <v>1</v>
      </c>
      <c r="G412" s="284">
        <f t="shared" si="767"/>
        <v>1</v>
      </c>
      <c r="H412" s="284">
        <f t="shared" si="767"/>
        <v>1</v>
      </c>
      <c r="I412" s="284">
        <f t="shared" si="767"/>
        <v>1</v>
      </c>
      <c r="J412" s="284">
        <f t="shared" si="767"/>
        <v>1</v>
      </c>
      <c r="K412" s="284">
        <f t="shared" si="767"/>
        <v>1</v>
      </c>
      <c r="L412" s="358">
        <f t="shared" si="767"/>
        <v>1</v>
      </c>
      <c r="M412" s="358">
        <f t="shared" si="767"/>
        <v>1</v>
      </c>
      <c r="N412" s="358">
        <f t="shared" si="740"/>
        <v>1</v>
      </c>
      <c r="O412" s="358">
        <f t="shared" si="741"/>
        <v>1</v>
      </c>
      <c r="P412" s="358">
        <f t="shared" si="742"/>
        <v>1</v>
      </c>
      <c r="Q412" s="358">
        <f t="shared" si="743"/>
        <v>1</v>
      </c>
      <c r="R412" s="358">
        <f t="shared" si="744"/>
        <v>1</v>
      </c>
      <c r="S412" s="358">
        <f t="shared" si="745"/>
        <v>1</v>
      </c>
      <c r="T412" s="358">
        <f t="shared" si="746"/>
        <v>1</v>
      </c>
      <c r="U412" s="358">
        <f t="shared" si="747"/>
        <v>1</v>
      </c>
      <c r="V412" s="358">
        <f t="shared" si="748"/>
        <v>1</v>
      </c>
      <c r="W412" s="358">
        <f t="shared" si="749"/>
        <v>1</v>
      </c>
      <c r="X412" s="358">
        <f t="shared" si="750"/>
        <v>1</v>
      </c>
      <c r="Y412" s="358">
        <f t="shared" si="751"/>
        <v>1</v>
      </c>
      <c r="Z412" s="358">
        <f t="shared" si="752"/>
        <v>1</v>
      </c>
      <c r="AA412" s="358">
        <f t="shared" si="753"/>
        <v>1</v>
      </c>
      <c r="AB412" s="358">
        <f t="shared" si="754"/>
        <v>1</v>
      </c>
      <c r="AC412" s="358">
        <f t="shared" si="755"/>
        <v>1</v>
      </c>
      <c r="AD412" s="358">
        <f t="shared" si="756"/>
        <v>1</v>
      </c>
      <c r="AE412" s="358">
        <f t="shared" si="757"/>
        <v>1</v>
      </c>
      <c r="AF412" s="358">
        <f t="shared" si="758"/>
        <v>1</v>
      </c>
      <c r="AG412" s="358">
        <f t="shared" si="759"/>
        <v>1</v>
      </c>
      <c r="AH412" s="358">
        <f t="shared" si="760"/>
        <v>1</v>
      </c>
      <c r="AI412" s="358">
        <f t="shared" si="761"/>
        <v>1</v>
      </c>
      <c r="AJ412" s="358">
        <f t="shared" si="762"/>
        <v>1</v>
      </c>
      <c r="AK412" s="358">
        <f t="shared" si="763"/>
        <v>1</v>
      </c>
      <c r="AL412" s="359">
        <f t="shared" si="764"/>
        <v>1</v>
      </c>
      <c r="AM412" s="636"/>
      <c r="AN412" s="303">
        <f t="shared" ref="AN412:BV412" si="774">$C$412*D412</f>
        <v>250</v>
      </c>
      <c r="AO412" s="304">
        <f t="shared" si="774"/>
        <v>250</v>
      </c>
      <c r="AP412" s="304">
        <f t="shared" si="774"/>
        <v>250</v>
      </c>
      <c r="AQ412" s="304">
        <f t="shared" si="774"/>
        <v>250</v>
      </c>
      <c r="AR412" s="304">
        <f t="shared" si="774"/>
        <v>250</v>
      </c>
      <c r="AS412" s="304">
        <f t="shared" si="774"/>
        <v>250</v>
      </c>
      <c r="AT412" s="304">
        <f t="shared" si="774"/>
        <v>250</v>
      </c>
      <c r="AU412" s="286">
        <f t="shared" si="774"/>
        <v>250</v>
      </c>
      <c r="AV412" s="313">
        <f t="shared" si="774"/>
        <v>250</v>
      </c>
      <c r="AW412" s="313">
        <f t="shared" si="774"/>
        <v>250</v>
      </c>
      <c r="AX412" s="376">
        <f t="shared" si="774"/>
        <v>250</v>
      </c>
      <c r="AY412" s="376">
        <f t="shared" si="774"/>
        <v>250</v>
      </c>
      <c r="AZ412" s="376">
        <f t="shared" si="774"/>
        <v>250</v>
      </c>
      <c r="BA412" s="376">
        <f t="shared" si="774"/>
        <v>250</v>
      </c>
      <c r="BB412" s="376">
        <f t="shared" si="774"/>
        <v>250</v>
      </c>
      <c r="BC412" s="376">
        <f t="shared" si="774"/>
        <v>250</v>
      </c>
      <c r="BD412" s="376">
        <f t="shared" si="774"/>
        <v>250</v>
      </c>
      <c r="BE412" s="376">
        <f t="shared" si="774"/>
        <v>250</v>
      </c>
      <c r="BF412" s="376">
        <f t="shared" si="774"/>
        <v>250</v>
      </c>
      <c r="BG412" s="376">
        <f t="shared" si="774"/>
        <v>250</v>
      </c>
      <c r="BH412" s="376">
        <f t="shared" si="774"/>
        <v>250</v>
      </c>
      <c r="BI412" s="376">
        <f t="shared" si="774"/>
        <v>250</v>
      </c>
      <c r="BJ412" s="376">
        <f t="shared" si="774"/>
        <v>250</v>
      </c>
      <c r="BK412" s="376">
        <f t="shared" si="774"/>
        <v>250</v>
      </c>
      <c r="BL412" s="376">
        <f t="shared" si="774"/>
        <v>250</v>
      </c>
      <c r="BM412" s="376">
        <f t="shared" si="774"/>
        <v>250</v>
      </c>
      <c r="BN412" s="376">
        <f t="shared" si="774"/>
        <v>250</v>
      </c>
      <c r="BO412" s="376">
        <f t="shared" si="774"/>
        <v>250</v>
      </c>
      <c r="BP412" s="376">
        <f t="shared" si="774"/>
        <v>250</v>
      </c>
      <c r="BQ412" s="376">
        <f t="shared" si="774"/>
        <v>250</v>
      </c>
      <c r="BR412" s="376">
        <f t="shared" si="774"/>
        <v>250</v>
      </c>
      <c r="BS412" s="376">
        <f t="shared" si="774"/>
        <v>250</v>
      </c>
      <c r="BT412" s="376">
        <f t="shared" si="774"/>
        <v>250</v>
      </c>
      <c r="BU412" s="376">
        <f t="shared" si="774"/>
        <v>250</v>
      </c>
      <c r="BV412" s="377">
        <f t="shared" si="774"/>
        <v>250</v>
      </c>
    </row>
    <row r="413" spans="1:74" ht="20.149999999999999" customHeight="1" outlineLevel="2" x14ac:dyDescent="0.25">
      <c r="A413" s="22" t="s">
        <v>312</v>
      </c>
      <c r="B413" s="12" t="str">
        <f>'Custos Insumos'!C53</f>
        <v>T</v>
      </c>
      <c r="C413" s="284">
        <f>'Custos Insumos'!D53</f>
        <v>41</v>
      </c>
      <c r="D413" s="284">
        <f t="shared" ref="D413:M413" si="775">AN441</f>
        <v>150</v>
      </c>
      <c r="E413" s="284">
        <f t="shared" si="775"/>
        <v>140</v>
      </c>
      <c r="F413" s="284">
        <f t="shared" si="775"/>
        <v>140</v>
      </c>
      <c r="G413" s="284">
        <f t="shared" si="775"/>
        <v>140</v>
      </c>
      <c r="H413" s="284">
        <f t="shared" si="775"/>
        <v>130</v>
      </c>
      <c r="I413" s="284">
        <f t="shared" si="775"/>
        <v>130</v>
      </c>
      <c r="J413" s="284">
        <f t="shared" si="775"/>
        <v>130</v>
      </c>
      <c r="K413" s="284">
        <f t="shared" si="775"/>
        <v>120</v>
      </c>
      <c r="L413" s="358">
        <f t="shared" si="775"/>
        <v>120</v>
      </c>
      <c r="M413" s="358">
        <f t="shared" si="775"/>
        <v>120</v>
      </c>
      <c r="N413" s="358">
        <f t="shared" si="740"/>
        <v>150</v>
      </c>
      <c r="O413" s="358">
        <f t="shared" si="741"/>
        <v>140</v>
      </c>
      <c r="P413" s="358">
        <f t="shared" si="742"/>
        <v>140</v>
      </c>
      <c r="Q413" s="358">
        <f t="shared" si="743"/>
        <v>140</v>
      </c>
      <c r="R413" s="358">
        <f t="shared" si="744"/>
        <v>130</v>
      </c>
      <c r="S413" s="358">
        <f t="shared" si="745"/>
        <v>130</v>
      </c>
      <c r="T413" s="358">
        <f t="shared" si="746"/>
        <v>130</v>
      </c>
      <c r="U413" s="358">
        <f t="shared" si="747"/>
        <v>120</v>
      </c>
      <c r="V413" s="358">
        <f t="shared" si="748"/>
        <v>120</v>
      </c>
      <c r="W413" s="358">
        <f t="shared" si="749"/>
        <v>120</v>
      </c>
      <c r="X413" s="358">
        <f t="shared" si="750"/>
        <v>150</v>
      </c>
      <c r="Y413" s="358">
        <f t="shared" si="751"/>
        <v>140</v>
      </c>
      <c r="Z413" s="358">
        <f t="shared" si="752"/>
        <v>140</v>
      </c>
      <c r="AA413" s="358">
        <f t="shared" si="753"/>
        <v>140</v>
      </c>
      <c r="AB413" s="358">
        <f t="shared" si="754"/>
        <v>130</v>
      </c>
      <c r="AC413" s="358">
        <f t="shared" si="755"/>
        <v>130</v>
      </c>
      <c r="AD413" s="358">
        <f t="shared" si="756"/>
        <v>130</v>
      </c>
      <c r="AE413" s="358">
        <f t="shared" si="757"/>
        <v>120</v>
      </c>
      <c r="AF413" s="358">
        <f t="shared" si="758"/>
        <v>120</v>
      </c>
      <c r="AG413" s="358">
        <f t="shared" si="759"/>
        <v>120</v>
      </c>
      <c r="AH413" s="358">
        <f t="shared" si="760"/>
        <v>150</v>
      </c>
      <c r="AI413" s="358">
        <f t="shared" si="761"/>
        <v>140</v>
      </c>
      <c r="AJ413" s="358">
        <f t="shared" si="762"/>
        <v>140</v>
      </c>
      <c r="AK413" s="358">
        <f t="shared" si="763"/>
        <v>140</v>
      </c>
      <c r="AL413" s="359">
        <f t="shared" si="764"/>
        <v>130</v>
      </c>
      <c r="AM413" s="636"/>
      <c r="AN413" s="303">
        <f t="shared" ref="AN413:BV413" si="776">$C$413*D413</f>
        <v>6150</v>
      </c>
      <c r="AO413" s="304">
        <f t="shared" si="776"/>
        <v>5740</v>
      </c>
      <c r="AP413" s="304">
        <f t="shared" si="776"/>
        <v>5740</v>
      </c>
      <c r="AQ413" s="304">
        <f t="shared" si="776"/>
        <v>5740</v>
      </c>
      <c r="AR413" s="304">
        <f t="shared" si="776"/>
        <v>5330</v>
      </c>
      <c r="AS413" s="304">
        <f t="shared" si="776"/>
        <v>5330</v>
      </c>
      <c r="AT413" s="304">
        <f t="shared" si="776"/>
        <v>5330</v>
      </c>
      <c r="AU413" s="286">
        <f t="shared" si="776"/>
        <v>4920</v>
      </c>
      <c r="AV413" s="313">
        <f t="shared" si="776"/>
        <v>4920</v>
      </c>
      <c r="AW413" s="313">
        <f t="shared" si="776"/>
        <v>4920</v>
      </c>
      <c r="AX413" s="376">
        <f t="shared" si="776"/>
        <v>6150</v>
      </c>
      <c r="AY413" s="376">
        <f t="shared" si="776"/>
        <v>5740</v>
      </c>
      <c r="AZ413" s="376">
        <f t="shared" si="776"/>
        <v>5740</v>
      </c>
      <c r="BA413" s="376">
        <f t="shared" si="776"/>
        <v>5740</v>
      </c>
      <c r="BB413" s="376">
        <f t="shared" si="776"/>
        <v>5330</v>
      </c>
      <c r="BC413" s="376">
        <f t="shared" si="776"/>
        <v>5330</v>
      </c>
      <c r="BD413" s="376">
        <f t="shared" si="776"/>
        <v>5330</v>
      </c>
      <c r="BE413" s="376">
        <f t="shared" si="776"/>
        <v>4920</v>
      </c>
      <c r="BF413" s="376">
        <f t="shared" si="776"/>
        <v>4920</v>
      </c>
      <c r="BG413" s="376">
        <f t="shared" si="776"/>
        <v>4920</v>
      </c>
      <c r="BH413" s="376">
        <f t="shared" si="776"/>
        <v>6150</v>
      </c>
      <c r="BI413" s="376">
        <f t="shared" si="776"/>
        <v>5740</v>
      </c>
      <c r="BJ413" s="376">
        <f t="shared" si="776"/>
        <v>5740</v>
      </c>
      <c r="BK413" s="376">
        <f t="shared" si="776"/>
        <v>5740</v>
      </c>
      <c r="BL413" s="376">
        <f t="shared" si="776"/>
        <v>5330</v>
      </c>
      <c r="BM413" s="376">
        <f t="shared" si="776"/>
        <v>5330</v>
      </c>
      <c r="BN413" s="376">
        <f t="shared" si="776"/>
        <v>5330</v>
      </c>
      <c r="BO413" s="376">
        <f t="shared" si="776"/>
        <v>4920</v>
      </c>
      <c r="BP413" s="376">
        <f t="shared" si="776"/>
        <v>4920</v>
      </c>
      <c r="BQ413" s="376">
        <f t="shared" si="776"/>
        <v>4920</v>
      </c>
      <c r="BR413" s="376">
        <f t="shared" si="776"/>
        <v>6150</v>
      </c>
      <c r="BS413" s="376">
        <f t="shared" si="776"/>
        <v>5740</v>
      </c>
      <c r="BT413" s="376">
        <f t="shared" si="776"/>
        <v>5740</v>
      </c>
      <c r="BU413" s="376">
        <f t="shared" si="776"/>
        <v>5740</v>
      </c>
      <c r="BV413" s="377">
        <f t="shared" si="776"/>
        <v>5330</v>
      </c>
    </row>
    <row r="414" spans="1:74" ht="20.149999999999999" customHeight="1" outlineLevel="2" x14ac:dyDescent="0.25">
      <c r="A414" s="20" t="s">
        <v>311</v>
      </c>
      <c r="B414" s="12" t="s">
        <v>9</v>
      </c>
      <c r="C414" s="284">
        <f>'Custos Insumos'!D44</f>
        <v>85</v>
      </c>
      <c r="D414" s="284">
        <v>2</v>
      </c>
      <c r="E414" s="284">
        <v>2</v>
      </c>
      <c r="F414" s="284">
        <f t="shared" ref="F414:M415" si="777">E414</f>
        <v>2</v>
      </c>
      <c r="G414" s="284">
        <f t="shared" si="777"/>
        <v>2</v>
      </c>
      <c r="H414" s="284">
        <f t="shared" si="777"/>
        <v>2</v>
      </c>
      <c r="I414" s="284">
        <f t="shared" si="777"/>
        <v>2</v>
      </c>
      <c r="J414" s="284">
        <f t="shared" si="777"/>
        <v>2</v>
      </c>
      <c r="K414" s="284">
        <f t="shared" si="777"/>
        <v>2</v>
      </c>
      <c r="L414" s="358">
        <f t="shared" si="777"/>
        <v>2</v>
      </c>
      <c r="M414" s="358">
        <f t="shared" si="777"/>
        <v>2</v>
      </c>
      <c r="N414" s="358">
        <f t="shared" si="740"/>
        <v>2</v>
      </c>
      <c r="O414" s="358">
        <f t="shared" si="741"/>
        <v>2</v>
      </c>
      <c r="P414" s="358">
        <f t="shared" si="742"/>
        <v>2</v>
      </c>
      <c r="Q414" s="358">
        <f t="shared" si="743"/>
        <v>2</v>
      </c>
      <c r="R414" s="358">
        <f t="shared" si="744"/>
        <v>2</v>
      </c>
      <c r="S414" s="358">
        <f t="shared" si="745"/>
        <v>2</v>
      </c>
      <c r="T414" s="358">
        <f t="shared" si="746"/>
        <v>2</v>
      </c>
      <c r="U414" s="358">
        <f t="shared" si="747"/>
        <v>2</v>
      </c>
      <c r="V414" s="358">
        <f t="shared" si="748"/>
        <v>2</v>
      </c>
      <c r="W414" s="358">
        <f t="shared" si="749"/>
        <v>2</v>
      </c>
      <c r="X414" s="358">
        <f t="shared" si="750"/>
        <v>2</v>
      </c>
      <c r="Y414" s="358">
        <f t="shared" si="751"/>
        <v>2</v>
      </c>
      <c r="Z414" s="358">
        <f t="shared" si="752"/>
        <v>2</v>
      </c>
      <c r="AA414" s="358">
        <f t="shared" si="753"/>
        <v>2</v>
      </c>
      <c r="AB414" s="358">
        <f t="shared" si="754"/>
        <v>2</v>
      </c>
      <c r="AC414" s="358">
        <f t="shared" si="755"/>
        <v>2</v>
      </c>
      <c r="AD414" s="358">
        <f t="shared" si="756"/>
        <v>2</v>
      </c>
      <c r="AE414" s="358">
        <f t="shared" si="757"/>
        <v>2</v>
      </c>
      <c r="AF414" s="358">
        <f t="shared" si="758"/>
        <v>2</v>
      </c>
      <c r="AG414" s="358">
        <f t="shared" si="759"/>
        <v>2</v>
      </c>
      <c r="AH414" s="358">
        <f t="shared" si="760"/>
        <v>2</v>
      </c>
      <c r="AI414" s="358">
        <f t="shared" si="761"/>
        <v>2</v>
      </c>
      <c r="AJ414" s="358">
        <f t="shared" si="762"/>
        <v>2</v>
      </c>
      <c r="AK414" s="358">
        <f t="shared" si="763"/>
        <v>2</v>
      </c>
      <c r="AL414" s="359">
        <f t="shared" si="764"/>
        <v>2</v>
      </c>
      <c r="AM414" s="636"/>
      <c r="AN414" s="303">
        <f t="shared" ref="AN414:BV414" si="778">$C$414*D414</f>
        <v>170</v>
      </c>
      <c r="AO414" s="304">
        <f t="shared" si="778"/>
        <v>170</v>
      </c>
      <c r="AP414" s="304">
        <f t="shared" si="778"/>
        <v>170</v>
      </c>
      <c r="AQ414" s="304">
        <f t="shared" si="778"/>
        <v>170</v>
      </c>
      <c r="AR414" s="304">
        <f t="shared" si="778"/>
        <v>170</v>
      </c>
      <c r="AS414" s="304">
        <f t="shared" si="778"/>
        <v>170</v>
      </c>
      <c r="AT414" s="304">
        <f t="shared" si="778"/>
        <v>170</v>
      </c>
      <c r="AU414" s="286">
        <f t="shared" si="778"/>
        <v>170</v>
      </c>
      <c r="AV414" s="313">
        <f t="shared" si="778"/>
        <v>170</v>
      </c>
      <c r="AW414" s="313">
        <f t="shared" si="778"/>
        <v>170</v>
      </c>
      <c r="AX414" s="376">
        <f t="shared" si="778"/>
        <v>170</v>
      </c>
      <c r="AY414" s="376">
        <f t="shared" si="778"/>
        <v>170</v>
      </c>
      <c r="AZ414" s="376">
        <f t="shared" si="778"/>
        <v>170</v>
      </c>
      <c r="BA414" s="376">
        <f t="shared" si="778"/>
        <v>170</v>
      </c>
      <c r="BB414" s="376">
        <f t="shared" si="778"/>
        <v>170</v>
      </c>
      <c r="BC414" s="376">
        <f t="shared" si="778"/>
        <v>170</v>
      </c>
      <c r="BD414" s="376">
        <f t="shared" si="778"/>
        <v>170</v>
      </c>
      <c r="BE414" s="376">
        <f t="shared" si="778"/>
        <v>170</v>
      </c>
      <c r="BF414" s="376">
        <f t="shared" si="778"/>
        <v>170</v>
      </c>
      <c r="BG414" s="376">
        <f t="shared" si="778"/>
        <v>170</v>
      </c>
      <c r="BH414" s="376">
        <f t="shared" si="778"/>
        <v>170</v>
      </c>
      <c r="BI414" s="376">
        <f t="shared" si="778"/>
        <v>170</v>
      </c>
      <c r="BJ414" s="376">
        <f t="shared" si="778"/>
        <v>170</v>
      </c>
      <c r="BK414" s="376">
        <f t="shared" si="778"/>
        <v>170</v>
      </c>
      <c r="BL414" s="376">
        <f t="shared" si="778"/>
        <v>170</v>
      </c>
      <c r="BM414" s="376">
        <f t="shared" si="778"/>
        <v>170</v>
      </c>
      <c r="BN414" s="376">
        <f t="shared" si="778"/>
        <v>170</v>
      </c>
      <c r="BO414" s="376">
        <f t="shared" si="778"/>
        <v>170</v>
      </c>
      <c r="BP414" s="376">
        <f t="shared" si="778"/>
        <v>170</v>
      </c>
      <c r="BQ414" s="376">
        <f t="shared" si="778"/>
        <v>170</v>
      </c>
      <c r="BR414" s="376">
        <f t="shared" si="778"/>
        <v>170</v>
      </c>
      <c r="BS414" s="376">
        <f t="shared" si="778"/>
        <v>170</v>
      </c>
      <c r="BT414" s="376">
        <f t="shared" si="778"/>
        <v>170</v>
      </c>
      <c r="BU414" s="376">
        <f t="shared" si="778"/>
        <v>170</v>
      </c>
      <c r="BV414" s="377">
        <f t="shared" si="778"/>
        <v>170</v>
      </c>
    </row>
    <row r="415" spans="1:74" ht="20.149999999999999" customHeight="1" outlineLevel="2" thickBot="1" x14ac:dyDescent="0.3">
      <c r="A415" s="326" t="s">
        <v>62</v>
      </c>
      <c r="B415" s="327" t="str">
        <f>'Custos Insumos'!C45</f>
        <v>HMR</v>
      </c>
      <c r="C415" s="322">
        <f>'Custos Insumos'!D45</f>
        <v>250</v>
      </c>
      <c r="D415" s="322">
        <v>1</v>
      </c>
      <c r="E415" s="322">
        <v>1</v>
      </c>
      <c r="F415" s="322">
        <f t="shared" si="777"/>
        <v>1</v>
      </c>
      <c r="G415" s="322">
        <f t="shared" si="777"/>
        <v>1</v>
      </c>
      <c r="H415" s="322">
        <f t="shared" si="777"/>
        <v>1</v>
      </c>
      <c r="I415" s="322">
        <f t="shared" si="777"/>
        <v>1</v>
      </c>
      <c r="J415" s="322">
        <f t="shared" si="777"/>
        <v>1</v>
      </c>
      <c r="K415" s="322">
        <f t="shared" si="777"/>
        <v>1</v>
      </c>
      <c r="L415" s="360">
        <f t="shared" si="777"/>
        <v>1</v>
      </c>
      <c r="M415" s="360">
        <f t="shared" si="777"/>
        <v>1</v>
      </c>
      <c r="N415" s="360">
        <f t="shared" si="740"/>
        <v>1</v>
      </c>
      <c r="O415" s="360">
        <f t="shared" si="741"/>
        <v>1</v>
      </c>
      <c r="P415" s="360">
        <f t="shared" si="742"/>
        <v>1</v>
      </c>
      <c r="Q415" s="360">
        <f t="shared" si="743"/>
        <v>1</v>
      </c>
      <c r="R415" s="360">
        <f t="shared" si="744"/>
        <v>1</v>
      </c>
      <c r="S415" s="360">
        <f t="shared" si="745"/>
        <v>1</v>
      </c>
      <c r="T415" s="360">
        <f t="shared" si="746"/>
        <v>1</v>
      </c>
      <c r="U415" s="360">
        <f t="shared" si="747"/>
        <v>1</v>
      </c>
      <c r="V415" s="360">
        <f t="shared" si="748"/>
        <v>1</v>
      </c>
      <c r="W415" s="360">
        <f t="shared" si="749"/>
        <v>1</v>
      </c>
      <c r="X415" s="360">
        <f t="shared" si="750"/>
        <v>1</v>
      </c>
      <c r="Y415" s="360">
        <f t="shared" si="751"/>
        <v>1</v>
      </c>
      <c r="Z415" s="360">
        <f t="shared" si="752"/>
        <v>1</v>
      </c>
      <c r="AA415" s="360">
        <f t="shared" si="753"/>
        <v>1</v>
      </c>
      <c r="AB415" s="360">
        <f t="shared" si="754"/>
        <v>1</v>
      </c>
      <c r="AC415" s="360">
        <f t="shared" si="755"/>
        <v>1</v>
      </c>
      <c r="AD415" s="360">
        <f t="shared" si="756"/>
        <v>1</v>
      </c>
      <c r="AE415" s="360">
        <f t="shared" si="757"/>
        <v>1</v>
      </c>
      <c r="AF415" s="360">
        <f t="shared" si="758"/>
        <v>1</v>
      </c>
      <c r="AG415" s="360">
        <f t="shared" si="759"/>
        <v>1</v>
      </c>
      <c r="AH415" s="360">
        <f t="shared" si="760"/>
        <v>1</v>
      </c>
      <c r="AI415" s="360">
        <f t="shared" si="761"/>
        <v>1</v>
      </c>
      <c r="AJ415" s="360">
        <f t="shared" si="762"/>
        <v>1</v>
      </c>
      <c r="AK415" s="360">
        <f t="shared" si="763"/>
        <v>1</v>
      </c>
      <c r="AL415" s="361">
        <f t="shared" si="764"/>
        <v>1</v>
      </c>
      <c r="AM415" s="636"/>
      <c r="AN415" s="305">
        <f t="shared" ref="AN415:BV415" si="779">$C$415*D415</f>
        <v>250</v>
      </c>
      <c r="AO415" s="306">
        <f t="shared" si="779"/>
        <v>250</v>
      </c>
      <c r="AP415" s="306">
        <f t="shared" si="779"/>
        <v>250</v>
      </c>
      <c r="AQ415" s="306">
        <f t="shared" si="779"/>
        <v>250</v>
      </c>
      <c r="AR415" s="306">
        <f t="shared" si="779"/>
        <v>250</v>
      </c>
      <c r="AS415" s="306">
        <f t="shared" si="779"/>
        <v>250</v>
      </c>
      <c r="AT415" s="306">
        <f t="shared" si="779"/>
        <v>250</v>
      </c>
      <c r="AU415" s="291">
        <f t="shared" si="779"/>
        <v>250</v>
      </c>
      <c r="AV415" s="314">
        <f t="shared" si="779"/>
        <v>250</v>
      </c>
      <c r="AW415" s="314">
        <f t="shared" si="779"/>
        <v>250</v>
      </c>
      <c r="AX415" s="400">
        <f t="shared" si="779"/>
        <v>250</v>
      </c>
      <c r="AY415" s="400">
        <f t="shared" si="779"/>
        <v>250</v>
      </c>
      <c r="AZ415" s="400">
        <f t="shared" si="779"/>
        <v>250</v>
      </c>
      <c r="BA415" s="400">
        <f t="shared" si="779"/>
        <v>250</v>
      </c>
      <c r="BB415" s="400">
        <f t="shared" si="779"/>
        <v>250</v>
      </c>
      <c r="BC415" s="400">
        <f t="shared" si="779"/>
        <v>250</v>
      </c>
      <c r="BD415" s="400">
        <f t="shared" si="779"/>
        <v>250</v>
      </c>
      <c r="BE415" s="400">
        <f t="shared" si="779"/>
        <v>250</v>
      </c>
      <c r="BF415" s="400">
        <f t="shared" si="779"/>
        <v>250</v>
      </c>
      <c r="BG415" s="400">
        <f t="shared" si="779"/>
        <v>250</v>
      </c>
      <c r="BH415" s="400">
        <f t="shared" si="779"/>
        <v>250</v>
      </c>
      <c r="BI415" s="400">
        <f t="shared" si="779"/>
        <v>250</v>
      </c>
      <c r="BJ415" s="400">
        <f t="shared" si="779"/>
        <v>250</v>
      </c>
      <c r="BK415" s="400">
        <f t="shared" si="779"/>
        <v>250</v>
      </c>
      <c r="BL415" s="400">
        <f t="shared" si="779"/>
        <v>250</v>
      </c>
      <c r="BM415" s="400">
        <f t="shared" si="779"/>
        <v>250</v>
      </c>
      <c r="BN415" s="400">
        <f t="shared" si="779"/>
        <v>250</v>
      </c>
      <c r="BO415" s="400">
        <f t="shared" si="779"/>
        <v>250</v>
      </c>
      <c r="BP415" s="400">
        <f t="shared" si="779"/>
        <v>250</v>
      </c>
      <c r="BQ415" s="400">
        <f t="shared" si="779"/>
        <v>250</v>
      </c>
      <c r="BR415" s="400">
        <f t="shared" si="779"/>
        <v>250</v>
      </c>
      <c r="BS415" s="400">
        <f t="shared" si="779"/>
        <v>250</v>
      </c>
      <c r="BT415" s="400">
        <f t="shared" si="779"/>
        <v>250</v>
      </c>
      <c r="BU415" s="400">
        <f t="shared" si="779"/>
        <v>250</v>
      </c>
      <c r="BV415" s="401">
        <f t="shared" si="779"/>
        <v>250</v>
      </c>
    </row>
    <row r="416" spans="1:74" s="408" customFormat="1" ht="20.149999999999999" customHeight="1" outlineLevel="2" thickBot="1" x14ac:dyDescent="0.3">
      <c r="A416" s="1107" t="s">
        <v>103</v>
      </c>
      <c r="B416" s="1108"/>
      <c r="C416" s="1108"/>
      <c r="D416" s="1108"/>
      <c r="E416" s="1108"/>
      <c r="F416" s="1108"/>
      <c r="G416" s="1108"/>
      <c r="H416" s="1108"/>
      <c r="I416" s="1108"/>
      <c r="J416" s="1108"/>
      <c r="K416" s="1108"/>
      <c r="L416" s="1108"/>
      <c r="M416" s="1108"/>
      <c r="N416" s="1108"/>
      <c r="O416" s="1108"/>
      <c r="P416" s="1108"/>
      <c r="Q416" s="1108"/>
      <c r="R416" s="1108"/>
      <c r="S416" s="1108"/>
      <c r="T416" s="1108"/>
      <c r="U416" s="1108"/>
      <c r="V416" s="1108"/>
      <c r="W416" s="1108"/>
      <c r="X416" s="1108"/>
      <c r="Y416" s="1108"/>
      <c r="Z416" s="1108"/>
      <c r="AA416" s="1108"/>
      <c r="AB416" s="1108"/>
      <c r="AC416" s="1108"/>
      <c r="AD416" s="1108"/>
      <c r="AE416" s="1108"/>
      <c r="AF416" s="1108"/>
      <c r="AG416" s="1108"/>
      <c r="AH416" s="1108"/>
      <c r="AI416" s="1108"/>
      <c r="AJ416" s="1108"/>
      <c r="AK416" s="1108"/>
      <c r="AL416" s="1108"/>
      <c r="AM416" s="1108"/>
      <c r="AN416" s="406">
        <f t="shared" ref="AN416:BV416" si="780">SUM(AN404:AN415)</f>
        <v>11370</v>
      </c>
      <c r="AO416" s="406">
        <f t="shared" si="780"/>
        <v>7235</v>
      </c>
      <c r="AP416" s="406">
        <f t="shared" si="780"/>
        <v>7235</v>
      </c>
      <c r="AQ416" s="406">
        <f t="shared" si="780"/>
        <v>7235</v>
      </c>
      <c r="AR416" s="406">
        <f t="shared" si="780"/>
        <v>6825</v>
      </c>
      <c r="AS416" s="406">
        <f t="shared" si="780"/>
        <v>6825</v>
      </c>
      <c r="AT416" s="406">
        <f t="shared" si="780"/>
        <v>6825</v>
      </c>
      <c r="AU416" s="406">
        <f t="shared" si="780"/>
        <v>6415</v>
      </c>
      <c r="AV416" s="407">
        <f t="shared" si="780"/>
        <v>6415</v>
      </c>
      <c r="AW416" s="407">
        <f t="shared" si="780"/>
        <v>6415</v>
      </c>
      <c r="AX416" s="407">
        <f t="shared" si="780"/>
        <v>11370</v>
      </c>
      <c r="AY416" s="407">
        <f t="shared" si="780"/>
        <v>7235</v>
      </c>
      <c r="AZ416" s="407">
        <f t="shared" si="780"/>
        <v>7235</v>
      </c>
      <c r="BA416" s="407">
        <f t="shared" si="780"/>
        <v>7235</v>
      </c>
      <c r="BB416" s="407">
        <f t="shared" si="780"/>
        <v>6825</v>
      </c>
      <c r="BC416" s="407">
        <f t="shared" si="780"/>
        <v>6825</v>
      </c>
      <c r="BD416" s="407">
        <f t="shared" si="780"/>
        <v>6825</v>
      </c>
      <c r="BE416" s="407">
        <f t="shared" si="780"/>
        <v>6415</v>
      </c>
      <c r="BF416" s="407">
        <f t="shared" si="780"/>
        <v>6415</v>
      </c>
      <c r="BG416" s="407">
        <f t="shared" si="780"/>
        <v>6415</v>
      </c>
      <c r="BH416" s="407">
        <f t="shared" si="780"/>
        <v>11370</v>
      </c>
      <c r="BI416" s="407">
        <f t="shared" si="780"/>
        <v>7235</v>
      </c>
      <c r="BJ416" s="407">
        <f t="shared" si="780"/>
        <v>7235</v>
      </c>
      <c r="BK416" s="407">
        <f t="shared" si="780"/>
        <v>7235</v>
      </c>
      <c r="BL416" s="407">
        <f t="shared" si="780"/>
        <v>6825</v>
      </c>
      <c r="BM416" s="407">
        <f t="shared" si="780"/>
        <v>6825</v>
      </c>
      <c r="BN416" s="407">
        <f t="shared" si="780"/>
        <v>6825</v>
      </c>
      <c r="BO416" s="407">
        <f t="shared" si="780"/>
        <v>6415</v>
      </c>
      <c r="BP416" s="407">
        <f t="shared" si="780"/>
        <v>6415</v>
      </c>
      <c r="BQ416" s="407">
        <f t="shared" si="780"/>
        <v>6415</v>
      </c>
      <c r="BR416" s="407">
        <f t="shared" si="780"/>
        <v>11370</v>
      </c>
      <c r="BS416" s="407">
        <f t="shared" si="780"/>
        <v>7235</v>
      </c>
      <c r="BT416" s="407">
        <f t="shared" si="780"/>
        <v>7235</v>
      </c>
      <c r="BU416" s="407">
        <f t="shared" si="780"/>
        <v>7235</v>
      </c>
      <c r="BV416" s="407">
        <f t="shared" si="780"/>
        <v>6825</v>
      </c>
    </row>
    <row r="417" spans="1:74" ht="13" outlineLevel="2" thickBot="1" x14ac:dyDescent="0.3"/>
    <row r="418" spans="1:74" s="123" customFormat="1" ht="27" customHeight="1" outlineLevel="1" thickBot="1" x14ac:dyDescent="0.3">
      <c r="A418" s="1106" t="s">
        <v>58</v>
      </c>
      <c r="B418" s="1106"/>
      <c r="C418" s="1106"/>
      <c r="D418" s="1106"/>
      <c r="E418" s="1106"/>
      <c r="F418" s="1106"/>
      <c r="G418" s="1106"/>
      <c r="H418" s="1106"/>
      <c r="I418" s="1106"/>
      <c r="J418" s="1106"/>
      <c r="K418" s="1106"/>
      <c r="L418" s="1106"/>
      <c r="M418" s="1106"/>
      <c r="N418" s="1106"/>
      <c r="O418" s="1106"/>
      <c r="P418" s="1106"/>
      <c r="Q418" s="1106"/>
      <c r="R418" s="1106"/>
      <c r="S418" s="1106"/>
      <c r="T418" s="1106"/>
      <c r="U418" s="1106"/>
      <c r="V418" s="1106"/>
      <c r="W418" s="1106"/>
      <c r="X418" s="1106"/>
      <c r="Y418" s="1106"/>
      <c r="Z418" s="1106"/>
      <c r="AA418" s="1106"/>
      <c r="AB418" s="1106"/>
      <c r="AC418" s="1106"/>
      <c r="AD418" s="1106"/>
      <c r="AE418" s="1106"/>
      <c r="AF418" s="1106"/>
      <c r="AG418" s="1106"/>
      <c r="AH418" s="1106"/>
      <c r="AI418" s="1106"/>
      <c r="AJ418" s="1106"/>
      <c r="AK418" s="1106"/>
      <c r="AL418" s="1106"/>
      <c r="AM418" s="1106"/>
      <c r="AN418" s="1106"/>
      <c r="AO418" s="1106"/>
      <c r="AP418" s="1106"/>
      <c r="AQ418" s="1106"/>
      <c r="AR418" s="1106"/>
      <c r="AS418" s="1106"/>
      <c r="AT418" s="1106"/>
      <c r="AU418" s="1106"/>
      <c r="AV418" s="1106"/>
      <c r="AW418" s="1106"/>
      <c r="AX418" s="1106"/>
      <c r="AY418" s="1106"/>
      <c r="AZ418" s="1106"/>
      <c r="BA418" s="1106"/>
      <c r="BB418" s="1106"/>
      <c r="BC418" s="1106"/>
      <c r="BD418" s="1106"/>
      <c r="BE418" s="1106"/>
      <c r="BF418" s="1106"/>
      <c r="BG418" s="1106"/>
      <c r="BH418" s="1106"/>
      <c r="BI418" s="1106"/>
      <c r="BJ418" s="1106"/>
      <c r="BK418" s="1106"/>
      <c r="BL418" s="1106"/>
      <c r="BM418" s="1106"/>
      <c r="BN418" s="1106"/>
      <c r="BO418" s="1106"/>
      <c r="BP418" s="1106"/>
      <c r="BQ418" s="1106"/>
      <c r="BR418" s="1106"/>
      <c r="BS418" s="1106"/>
      <c r="BT418" s="1106"/>
      <c r="BU418" s="1106"/>
      <c r="BV418" s="1106"/>
    </row>
    <row r="419" spans="1:74" ht="18" customHeight="1" outlineLevel="2" thickBot="1" x14ac:dyDescent="0.3">
      <c r="A419" s="1102" t="s">
        <v>113</v>
      </c>
      <c r="B419" s="1102" t="s">
        <v>8</v>
      </c>
      <c r="C419" s="1102" t="s">
        <v>100</v>
      </c>
      <c r="D419" s="1102" t="s">
        <v>97</v>
      </c>
      <c r="E419" s="1102"/>
      <c r="F419" s="1102"/>
      <c r="G419" s="1102"/>
      <c r="H419" s="1102"/>
      <c r="I419" s="1102"/>
      <c r="J419" s="1102"/>
      <c r="K419" s="1102"/>
      <c r="L419" s="1102"/>
      <c r="M419" s="1102"/>
      <c r="N419" s="1102"/>
      <c r="O419" s="1102"/>
      <c r="P419" s="1102"/>
      <c r="Q419" s="1102"/>
      <c r="R419" s="1102"/>
      <c r="S419" s="1102"/>
      <c r="T419" s="1102"/>
      <c r="U419" s="1102"/>
      <c r="V419" s="1102"/>
      <c r="W419" s="1102"/>
      <c r="X419" s="1102"/>
      <c r="Y419" s="1102"/>
      <c r="Z419" s="1102"/>
      <c r="AA419" s="1102"/>
      <c r="AB419" s="1102"/>
      <c r="AC419" s="1102"/>
      <c r="AD419" s="1102"/>
      <c r="AE419" s="1102"/>
      <c r="AF419" s="1102"/>
      <c r="AG419" s="1102"/>
      <c r="AH419" s="1102"/>
      <c r="AI419" s="1102"/>
      <c r="AJ419" s="1102"/>
      <c r="AK419" s="1102"/>
      <c r="AL419" s="1102"/>
      <c r="AM419" s="634"/>
      <c r="AN419" s="1102" t="s">
        <v>99</v>
      </c>
      <c r="AO419" s="1102"/>
      <c r="AP419" s="1102"/>
      <c r="AQ419" s="1102"/>
      <c r="AR419" s="1102"/>
      <c r="AS419" s="1102"/>
      <c r="AT419" s="1102"/>
      <c r="AU419" s="1102"/>
      <c r="AV419" s="1102"/>
      <c r="AW419" s="1102"/>
      <c r="AX419" s="1102"/>
      <c r="AY419" s="1102"/>
      <c r="AZ419" s="1102"/>
      <c r="BA419" s="1102"/>
      <c r="BB419" s="1102"/>
      <c r="BC419" s="1102"/>
      <c r="BD419" s="1102"/>
      <c r="BE419" s="1102"/>
      <c r="BF419" s="1102"/>
      <c r="BG419" s="1102"/>
      <c r="BH419" s="1102"/>
      <c r="BI419" s="1102"/>
      <c r="BJ419" s="1102"/>
      <c r="BK419" s="1102"/>
      <c r="BL419" s="1102"/>
      <c r="BM419" s="1102"/>
      <c r="BN419" s="1102"/>
      <c r="BO419" s="1102"/>
      <c r="BP419" s="1102"/>
      <c r="BQ419" s="1102"/>
      <c r="BR419" s="1102"/>
      <c r="BS419" s="1102"/>
      <c r="BT419" s="1102"/>
      <c r="BU419" s="1102"/>
      <c r="BV419" s="1102"/>
    </row>
    <row r="420" spans="1:74" ht="18" customHeight="1" outlineLevel="2" thickBot="1" x14ac:dyDescent="0.3">
      <c r="A420" s="1102"/>
      <c r="B420" s="1102"/>
      <c r="C420" s="1102"/>
      <c r="D420" s="275">
        <v>1</v>
      </c>
      <c r="E420" s="211">
        <v>2</v>
      </c>
      <c r="F420" s="211">
        <v>3</v>
      </c>
      <c r="G420" s="211">
        <v>4</v>
      </c>
      <c r="H420" s="211">
        <v>5</v>
      </c>
      <c r="I420" s="211">
        <v>6</v>
      </c>
      <c r="J420" s="211">
        <v>7</v>
      </c>
      <c r="K420" s="211">
        <v>8</v>
      </c>
      <c r="L420" s="211">
        <v>9</v>
      </c>
      <c r="M420" s="211">
        <v>10</v>
      </c>
      <c r="N420" s="211">
        <v>11</v>
      </c>
      <c r="O420" s="211">
        <v>12</v>
      </c>
      <c r="P420" s="211">
        <v>13</v>
      </c>
      <c r="Q420" s="211">
        <v>14</v>
      </c>
      <c r="R420" s="211">
        <v>15</v>
      </c>
      <c r="S420" s="211">
        <v>16</v>
      </c>
      <c r="T420" s="211">
        <v>17</v>
      </c>
      <c r="U420" s="211">
        <v>18</v>
      </c>
      <c r="V420" s="211">
        <v>19</v>
      </c>
      <c r="W420" s="211">
        <v>20</v>
      </c>
      <c r="X420" s="211">
        <v>21</v>
      </c>
      <c r="Y420" s="211">
        <v>22</v>
      </c>
      <c r="Z420" s="211">
        <v>23</v>
      </c>
      <c r="AA420" s="211">
        <v>24</v>
      </c>
      <c r="AB420" s="211">
        <v>25</v>
      </c>
      <c r="AC420" s="211">
        <v>26</v>
      </c>
      <c r="AD420" s="211">
        <v>27</v>
      </c>
      <c r="AE420" s="211">
        <v>28</v>
      </c>
      <c r="AF420" s="211">
        <v>29</v>
      </c>
      <c r="AG420" s="211">
        <v>30</v>
      </c>
      <c r="AH420" s="211">
        <v>31</v>
      </c>
      <c r="AI420" s="211">
        <v>32</v>
      </c>
      <c r="AJ420" s="211">
        <v>33</v>
      </c>
      <c r="AK420" s="211">
        <v>34</v>
      </c>
      <c r="AL420" s="212">
        <v>35</v>
      </c>
      <c r="AM420" s="635"/>
      <c r="AN420" s="275">
        <v>1</v>
      </c>
      <c r="AO420" s="211">
        <v>2</v>
      </c>
      <c r="AP420" s="211">
        <v>3</v>
      </c>
      <c r="AQ420" s="211">
        <v>4</v>
      </c>
      <c r="AR420" s="211">
        <v>5</v>
      </c>
      <c r="AS420" s="211">
        <v>6</v>
      </c>
      <c r="AT420" s="211">
        <v>7</v>
      </c>
      <c r="AU420" s="211">
        <v>8</v>
      </c>
      <c r="AV420" s="211">
        <v>9</v>
      </c>
      <c r="AW420" s="211">
        <v>10</v>
      </c>
      <c r="AX420" s="211">
        <v>11</v>
      </c>
      <c r="AY420" s="211">
        <v>12</v>
      </c>
      <c r="AZ420" s="211">
        <v>13</v>
      </c>
      <c r="BA420" s="211">
        <v>14</v>
      </c>
      <c r="BB420" s="211">
        <v>15</v>
      </c>
      <c r="BC420" s="211">
        <v>16</v>
      </c>
      <c r="BD420" s="211">
        <v>17</v>
      </c>
      <c r="BE420" s="211">
        <v>18</v>
      </c>
      <c r="BF420" s="211">
        <v>19</v>
      </c>
      <c r="BG420" s="211">
        <v>20</v>
      </c>
      <c r="BH420" s="211">
        <v>21</v>
      </c>
      <c r="BI420" s="211">
        <v>22</v>
      </c>
      <c r="BJ420" s="211">
        <v>23</v>
      </c>
      <c r="BK420" s="211">
        <v>24</v>
      </c>
      <c r="BL420" s="211">
        <v>25</v>
      </c>
      <c r="BM420" s="211">
        <v>26</v>
      </c>
      <c r="BN420" s="211">
        <v>27</v>
      </c>
      <c r="BO420" s="211">
        <v>28</v>
      </c>
      <c r="BP420" s="211">
        <v>29</v>
      </c>
      <c r="BQ420" s="211">
        <v>30</v>
      </c>
      <c r="BR420" s="211">
        <v>31</v>
      </c>
      <c r="BS420" s="211">
        <v>32</v>
      </c>
      <c r="BT420" s="211">
        <v>33</v>
      </c>
      <c r="BU420" s="211">
        <v>34</v>
      </c>
      <c r="BV420" s="212">
        <v>35</v>
      </c>
    </row>
    <row r="421" spans="1:74" ht="20.149999999999999" customHeight="1" outlineLevel="2" x14ac:dyDescent="0.25">
      <c r="A421" s="19" t="str">
        <f>'Custos Diversos'!A137</f>
        <v>Sistema de irrigação</v>
      </c>
      <c r="B421" s="10" t="str">
        <f>'Custos Diversos'!B137</f>
        <v>ha</v>
      </c>
      <c r="C421" s="317">
        <f>'Custos Diversos'!C137</f>
        <v>18500</v>
      </c>
      <c r="D421" s="317">
        <f>'Custos Diversos'!D137</f>
        <v>1</v>
      </c>
      <c r="E421" s="292"/>
      <c r="F421" s="292"/>
      <c r="G421" s="292"/>
      <c r="H421" s="292"/>
      <c r="I421" s="292"/>
      <c r="J421" s="292"/>
      <c r="K421" s="292"/>
      <c r="L421" s="362"/>
      <c r="M421" s="362"/>
      <c r="N421" s="362"/>
      <c r="O421" s="362"/>
      <c r="P421" s="362"/>
      <c r="Q421" s="362"/>
      <c r="R421" s="362"/>
      <c r="S421" s="362"/>
      <c r="T421" s="362"/>
      <c r="U421" s="362"/>
      <c r="V421" s="362"/>
      <c r="W421" s="362"/>
      <c r="X421" s="362"/>
      <c r="Y421" s="362"/>
      <c r="Z421" s="362"/>
      <c r="AA421" s="362"/>
      <c r="AB421" s="362"/>
      <c r="AC421" s="362"/>
      <c r="AD421" s="362"/>
      <c r="AE421" s="362"/>
      <c r="AF421" s="362"/>
      <c r="AG421" s="362"/>
      <c r="AH421" s="362"/>
      <c r="AI421" s="362"/>
      <c r="AJ421" s="362"/>
      <c r="AK421" s="362"/>
      <c r="AL421" s="363"/>
      <c r="AM421" s="637"/>
      <c r="AN421" s="297">
        <f>C421*D421</f>
        <v>18500</v>
      </c>
      <c r="AO421" s="296"/>
      <c r="AP421" s="296"/>
      <c r="AQ421" s="296"/>
      <c r="AR421" s="296"/>
      <c r="AS421" s="296"/>
      <c r="AT421" s="296"/>
      <c r="AU421" s="292"/>
      <c r="AV421" s="294"/>
      <c r="AW421" s="295"/>
      <c r="AX421" s="315"/>
      <c r="AY421" s="294"/>
      <c r="AZ421" s="294"/>
      <c r="BA421" s="294"/>
      <c r="BB421" s="294"/>
      <c r="BC421" s="294"/>
      <c r="BD421" s="294"/>
      <c r="BE421" s="294"/>
      <c r="BF421" s="294"/>
      <c r="BG421" s="294"/>
      <c r="BH421" s="294"/>
      <c r="BI421" s="294"/>
      <c r="BJ421" s="294"/>
      <c r="BK421" s="294"/>
      <c r="BL421" s="294"/>
      <c r="BM421" s="294"/>
      <c r="BN421" s="294"/>
      <c r="BO421" s="294"/>
      <c r="BP421" s="294"/>
      <c r="BQ421" s="294"/>
      <c r="BR421" s="294"/>
      <c r="BS421" s="294"/>
      <c r="BT421" s="294"/>
      <c r="BU421" s="294"/>
      <c r="BV421" s="295"/>
    </row>
    <row r="422" spans="1:74" ht="20.149999999999999" customHeight="1" outlineLevel="2" x14ac:dyDescent="0.25">
      <c r="A422" s="20" t="str">
        <f>'Custos Diversos'!A138</f>
        <v>Apoio - alojamento - cozinha e refeitório</v>
      </c>
      <c r="B422" s="13" t="str">
        <f>'Custos Diversos'!B138</f>
        <v>m²/ha</v>
      </c>
      <c r="C422" s="318">
        <f>'Custos Diversos'!C138</f>
        <v>350</v>
      </c>
      <c r="D422" s="318">
        <f>'Custos Diversos'!D138</f>
        <v>3.23</v>
      </c>
      <c r="E422" s="296"/>
      <c r="F422" s="296"/>
      <c r="G422" s="296"/>
      <c r="H422" s="296"/>
      <c r="I422" s="296"/>
      <c r="J422" s="296"/>
      <c r="K422" s="296"/>
      <c r="L422" s="364"/>
      <c r="M422" s="364"/>
      <c r="N422" s="364"/>
      <c r="O422" s="364"/>
      <c r="P422" s="364"/>
      <c r="Q422" s="364"/>
      <c r="R422" s="364"/>
      <c r="S422" s="364"/>
      <c r="T422" s="364"/>
      <c r="U422" s="364"/>
      <c r="V422" s="364"/>
      <c r="W422" s="364"/>
      <c r="X422" s="364"/>
      <c r="Y422" s="364"/>
      <c r="Z422" s="364"/>
      <c r="AA422" s="364"/>
      <c r="AB422" s="364"/>
      <c r="AC422" s="364"/>
      <c r="AD422" s="364"/>
      <c r="AE422" s="364"/>
      <c r="AF422" s="364"/>
      <c r="AG422" s="364"/>
      <c r="AH422" s="364"/>
      <c r="AI422" s="364"/>
      <c r="AJ422" s="364"/>
      <c r="AK422" s="364"/>
      <c r="AL422" s="365"/>
      <c r="AM422" s="637"/>
      <c r="AN422" s="297">
        <f>C422*D422</f>
        <v>1130.5</v>
      </c>
      <c r="AO422" s="296"/>
      <c r="AP422" s="296"/>
      <c r="AQ422" s="296"/>
      <c r="AR422" s="296"/>
      <c r="AS422" s="296"/>
      <c r="AT422" s="296"/>
      <c r="AU422" s="296"/>
      <c r="AV422" s="298"/>
      <c r="AW422" s="299"/>
      <c r="AX422" s="316"/>
      <c r="AY422" s="298"/>
      <c r="AZ422" s="298"/>
      <c r="BA422" s="298"/>
      <c r="BB422" s="298"/>
      <c r="BC422" s="298"/>
      <c r="BD422" s="298"/>
      <c r="BE422" s="298"/>
      <c r="BF422" s="298"/>
      <c r="BG422" s="298"/>
      <c r="BH422" s="298"/>
      <c r="BI422" s="298"/>
      <c r="BJ422" s="298"/>
      <c r="BK422" s="298"/>
      <c r="BL422" s="298"/>
      <c r="BM422" s="298"/>
      <c r="BN422" s="298"/>
      <c r="BO422" s="298"/>
      <c r="BP422" s="298"/>
      <c r="BQ422" s="298"/>
      <c r="BR422" s="298"/>
      <c r="BS422" s="298"/>
      <c r="BT422" s="298"/>
      <c r="BU422" s="298"/>
      <c r="BV422" s="299"/>
    </row>
    <row r="423" spans="1:74" ht="20.149999999999999" customHeight="1" outlineLevel="2" thickBot="1" x14ac:dyDescent="0.3">
      <c r="A423" s="326" t="str">
        <f>'Custos Diversos'!A139</f>
        <v>Galpã0 insumos e maquinas</v>
      </c>
      <c r="B423" s="327" t="str">
        <f>'Custos Diversos'!B107</f>
        <v>m²/ha</v>
      </c>
      <c r="C423" s="328">
        <f>'Custos Diversos'!C139</f>
        <v>530</v>
      </c>
      <c r="D423" s="328">
        <f>'Custos Diversos'!D139</f>
        <v>3.9</v>
      </c>
      <c r="E423" s="329"/>
      <c r="F423" s="329"/>
      <c r="G423" s="329"/>
      <c r="H423" s="329"/>
      <c r="I423" s="329"/>
      <c r="J423" s="329"/>
      <c r="K423" s="329"/>
      <c r="L423" s="366"/>
      <c r="M423" s="366"/>
      <c r="N423" s="366"/>
      <c r="O423" s="366"/>
      <c r="P423" s="366"/>
      <c r="Q423" s="366"/>
      <c r="R423" s="366"/>
      <c r="S423" s="366"/>
      <c r="T423" s="366"/>
      <c r="U423" s="366"/>
      <c r="V423" s="366"/>
      <c r="W423" s="366"/>
      <c r="X423" s="366"/>
      <c r="Y423" s="366"/>
      <c r="Z423" s="366"/>
      <c r="AA423" s="366"/>
      <c r="AB423" s="366"/>
      <c r="AC423" s="366"/>
      <c r="AD423" s="366"/>
      <c r="AE423" s="366"/>
      <c r="AF423" s="366"/>
      <c r="AG423" s="366"/>
      <c r="AH423" s="366"/>
      <c r="AI423" s="366"/>
      <c r="AJ423" s="366"/>
      <c r="AK423" s="366"/>
      <c r="AL423" s="367"/>
      <c r="AM423" s="637"/>
      <c r="AN423" s="330">
        <f>C423*D423</f>
        <v>2067</v>
      </c>
      <c r="AO423" s="329"/>
      <c r="AP423" s="329"/>
      <c r="AQ423" s="329"/>
      <c r="AR423" s="329"/>
      <c r="AS423" s="329"/>
      <c r="AT423" s="329"/>
      <c r="AU423" s="329"/>
      <c r="AV423" s="331"/>
      <c r="AW423" s="332"/>
      <c r="AX423" s="340"/>
      <c r="AY423" s="331"/>
      <c r="AZ423" s="331"/>
      <c r="BA423" s="331"/>
      <c r="BB423" s="331"/>
      <c r="BC423" s="331"/>
      <c r="BD423" s="331"/>
      <c r="BE423" s="331"/>
      <c r="BF423" s="331"/>
      <c r="BG423" s="331"/>
      <c r="BH423" s="331"/>
      <c r="BI423" s="331"/>
      <c r="BJ423" s="331"/>
      <c r="BK423" s="331"/>
      <c r="BL423" s="331"/>
      <c r="BM423" s="331"/>
      <c r="BN423" s="331"/>
      <c r="BO423" s="331"/>
      <c r="BP423" s="331"/>
      <c r="BQ423" s="331"/>
      <c r="BR423" s="331"/>
      <c r="BS423" s="331"/>
      <c r="BT423" s="331"/>
      <c r="BU423" s="331"/>
      <c r="BV423" s="332"/>
    </row>
    <row r="424" spans="1:74" s="408" customFormat="1" ht="20.149999999999999" customHeight="1" outlineLevel="2" thickBot="1" x14ac:dyDescent="0.3">
      <c r="A424" s="1107" t="s">
        <v>177</v>
      </c>
      <c r="B424" s="1108"/>
      <c r="C424" s="1108"/>
      <c r="D424" s="1108"/>
      <c r="E424" s="1108"/>
      <c r="F424" s="1108"/>
      <c r="G424" s="1108"/>
      <c r="H424" s="1108"/>
      <c r="I424" s="1108"/>
      <c r="J424" s="1108"/>
      <c r="K424" s="1108"/>
      <c r="L424" s="1108"/>
      <c r="M424" s="1108"/>
      <c r="N424" s="1108"/>
      <c r="O424" s="1108"/>
      <c r="P424" s="1108"/>
      <c r="Q424" s="1108"/>
      <c r="R424" s="1108"/>
      <c r="S424" s="1108"/>
      <c r="T424" s="1108"/>
      <c r="U424" s="1108"/>
      <c r="V424" s="1108"/>
      <c r="W424" s="1108"/>
      <c r="X424" s="1108"/>
      <c r="Y424" s="1108"/>
      <c r="Z424" s="1108"/>
      <c r="AA424" s="1108"/>
      <c r="AB424" s="1108"/>
      <c r="AC424" s="1108"/>
      <c r="AD424" s="1108"/>
      <c r="AE424" s="1108"/>
      <c r="AF424" s="1108"/>
      <c r="AG424" s="1108"/>
      <c r="AH424" s="1108"/>
      <c r="AI424" s="1108"/>
      <c r="AJ424" s="1108"/>
      <c r="AK424" s="1108"/>
      <c r="AL424" s="1108"/>
      <c r="AM424" s="1108"/>
      <c r="AN424" s="406">
        <f>SUM(AN421:AN423)</f>
        <v>21697.5</v>
      </c>
      <c r="AO424" s="406"/>
      <c r="AP424" s="406"/>
      <c r="AQ424" s="406"/>
      <c r="AR424" s="406"/>
      <c r="AS424" s="406"/>
      <c r="AT424" s="406"/>
      <c r="AU424" s="406"/>
      <c r="AV424" s="407"/>
      <c r="AW424" s="407"/>
      <c r="AX424" s="407"/>
      <c r="AY424" s="407"/>
      <c r="AZ424" s="407"/>
      <c r="BA424" s="407"/>
      <c r="BB424" s="407"/>
      <c r="BC424" s="407"/>
      <c r="BD424" s="407"/>
      <c r="BE424" s="407"/>
      <c r="BF424" s="407"/>
      <c r="BG424" s="407"/>
      <c r="BH424" s="407"/>
      <c r="BI424" s="407"/>
      <c r="BJ424" s="407"/>
      <c r="BK424" s="407"/>
      <c r="BL424" s="407"/>
      <c r="BM424" s="407"/>
      <c r="BN424" s="407"/>
      <c r="BO424" s="407"/>
      <c r="BP424" s="407"/>
      <c r="BQ424" s="407"/>
      <c r="BR424" s="407"/>
      <c r="BS424" s="407"/>
      <c r="BT424" s="407"/>
      <c r="BU424" s="407"/>
      <c r="BV424" s="407"/>
    </row>
    <row r="425" spans="1:74" ht="13" outlineLevel="2" thickBot="1" x14ac:dyDescent="0.3"/>
    <row r="426" spans="1:74" s="123" customFormat="1" ht="27" customHeight="1" outlineLevel="1" thickBot="1" x14ac:dyDescent="0.3">
      <c r="A426" s="1106" t="s">
        <v>61</v>
      </c>
      <c r="B426" s="1106"/>
      <c r="C426" s="1106"/>
      <c r="D426" s="1106"/>
      <c r="E426" s="1106"/>
      <c r="F426" s="1106"/>
      <c r="G426" s="1106"/>
      <c r="H426" s="1106"/>
      <c r="I426" s="1106"/>
      <c r="J426" s="1106"/>
      <c r="K426" s="1106"/>
      <c r="L426" s="1106"/>
      <c r="M426" s="1106"/>
      <c r="N426" s="1106"/>
      <c r="O426" s="1106"/>
      <c r="P426" s="1106"/>
      <c r="Q426" s="1106"/>
      <c r="R426" s="1106"/>
      <c r="S426" s="1106"/>
      <c r="T426" s="1106"/>
      <c r="U426" s="1106"/>
      <c r="V426" s="1106"/>
      <c r="W426" s="1106"/>
      <c r="X426" s="1106"/>
      <c r="Y426" s="1106"/>
      <c r="Z426" s="1106"/>
      <c r="AA426" s="1106"/>
      <c r="AB426" s="1106"/>
      <c r="AC426" s="1106"/>
      <c r="AD426" s="1106"/>
      <c r="AE426" s="1106"/>
      <c r="AF426" s="1106"/>
      <c r="AG426" s="1106"/>
      <c r="AH426" s="1106"/>
      <c r="AI426" s="1106"/>
      <c r="AJ426" s="1106"/>
      <c r="AK426" s="1106"/>
      <c r="AL426" s="1106"/>
      <c r="AM426" s="1106"/>
      <c r="AN426" s="1106"/>
      <c r="AO426" s="1106"/>
      <c r="AP426" s="1106"/>
      <c r="AQ426" s="1106"/>
      <c r="AR426" s="1106"/>
      <c r="AS426" s="1106"/>
      <c r="AT426" s="1106"/>
      <c r="AU426" s="1106"/>
      <c r="AV426" s="1106"/>
      <c r="AW426" s="1106"/>
      <c r="AX426" s="1106"/>
      <c r="AY426" s="1106"/>
      <c r="AZ426" s="1106"/>
      <c r="BA426" s="1106"/>
      <c r="BB426" s="1106"/>
      <c r="BC426" s="1106"/>
      <c r="BD426" s="1106"/>
      <c r="BE426" s="1106"/>
      <c r="BF426" s="1106"/>
      <c r="BG426" s="1106"/>
      <c r="BH426" s="1106"/>
      <c r="BI426" s="1106"/>
      <c r="BJ426" s="1106"/>
      <c r="BK426" s="1106"/>
      <c r="BL426" s="1106"/>
      <c r="BM426" s="1106"/>
      <c r="BN426" s="1106"/>
      <c r="BO426" s="1106"/>
      <c r="BP426" s="1106"/>
      <c r="BQ426" s="1106"/>
      <c r="BR426" s="1106"/>
      <c r="BS426" s="1106"/>
      <c r="BT426" s="1106"/>
      <c r="BU426" s="1106"/>
      <c r="BV426" s="1106"/>
    </row>
    <row r="427" spans="1:74" ht="18" customHeight="1" outlineLevel="2" thickBot="1" x14ac:dyDescent="0.3">
      <c r="A427" s="1102" t="s">
        <v>113</v>
      </c>
      <c r="B427" s="1102" t="s">
        <v>8</v>
      </c>
      <c r="C427" s="1102" t="s">
        <v>100</v>
      </c>
      <c r="D427" s="1102" t="s">
        <v>97</v>
      </c>
      <c r="E427" s="1102"/>
      <c r="F427" s="1102"/>
      <c r="G427" s="1102"/>
      <c r="H427" s="1102"/>
      <c r="I427" s="1102"/>
      <c r="J427" s="1102"/>
      <c r="K427" s="1102"/>
      <c r="L427" s="1102"/>
      <c r="M427" s="1102"/>
      <c r="N427" s="1102"/>
      <c r="O427" s="1102"/>
      <c r="P427" s="1102"/>
      <c r="Q427" s="1102"/>
      <c r="R427" s="1102"/>
      <c r="S427" s="1102"/>
      <c r="T427" s="1102"/>
      <c r="U427" s="1102"/>
      <c r="V427" s="1102"/>
      <c r="W427" s="1102"/>
      <c r="X427" s="1102"/>
      <c r="Y427" s="1102"/>
      <c r="Z427" s="1102"/>
      <c r="AA427" s="1102"/>
      <c r="AB427" s="1102"/>
      <c r="AC427" s="1102"/>
      <c r="AD427" s="1102"/>
      <c r="AE427" s="1102"/>
      <c r="AF427" s="1102"/>
      <c r="AG427" s="1102"/>
      <c r="AH427" s="1102"/>
      <c r="AI427" s="1102"/>
      <c r="AJ427" s="1102"/>
      <c r="AK427" s="1102"/>
      <c r="AL427" s="1102"/>
      <c r="AM427" s="634"/>
      <c r="AN427" s="1102" t="s">
        <v>99</v>
      </c>
      <c r="AO427" s="1102"/>
      <c r="AP427" s="1102"/>
      <c r="AQ427" s="1102"/>
      <c r="AR427" s="1102"/>
      <c r="AS427" s="1102"/>
      <c r="AT427" s="1102"/>
      <c r="AU427" s="1102"/>
      <c r="AV427" s="1102"/>
      <c r="AW427" s="1102"/>
      <c r="AX427" s="1102"/>
      <c r="AY427" s="1102"/>
      <c r="AZ427" s="1102"/>
      <c r="BA427" s="1102"/>
      <c r="BB427" s="1102"/>
      <c r="BC427" s="1102"/>
      <c r="BD427" s="1102"/>
      <c r="BE427" s="1102"/>
      <c r="BF427" s="1102"/>
      <c r="BG427" s="1102"/>
      <c r="BH427" s="1102"/>
      <c r="BI427" s="1102"/>
      <c r="BJ427" s="1102"/>
      <c r="BK427" s="1102"/>
      <c r="BL427" s="1102"/>
      <c r="BM427" s="1102"/>
      <c r="BN427" s="1102"/>
      <c r="BO427" s="1102"/>
      <c r="BP427" s="1102"/>
      <c r="BQ427" s="1102"/>
      <c r="BR427" s="1102"/>
      <c r="BS427" s="1102"/>
      <c r="BT427" s="1102"/>
      <c r="BU427" s="1102"/>
      <c r="BV427" s="1102"/>
    </row>
    <row r="428" spans="1:74" ht="18" customHeight="1" outlineLevel="2" thickBot="1" x14ac:dyDescent="0.3">
      <c r="A428" s="1102"/>
      <c r="B428" s="1102"/>
      <c r="C428" s="1102"/>
      <c r="D428" s="275">
        <v>1</v>
      </c>
      <c r="E428" s="211">
        <v>2</v>
      </c>
      <c r="F428" s="211">
        <v>3</v>
      </c>
      <c r="G428" s="211">
        <v>4</v>
      </c>
      <c r="H428" s="211">
        <v>5</v>
      </c>
      <c r="I428" s="211">
        <v>6</v>
      </c>
      <c r="J428" s="211">
        <v>7</v>
      </c>
      <c r="K428" s="211">
        <v>8</v>
      </c>
      <c r="L428" s="211">
        <v>9</v>
      </c>
      <c r="M428" s="211">
        <v>10</v>
      </c>
      <c r="N428" s="211">
        <v>11</v>
      </c>
      <c r="O428" s="211">
        <v>12</v>
      </c>
      <c r="P428" s="211">
        <v>13</v>
      </c>
      <c r="Q428" s="211">
        <v>14</v>
      </c>
      <c r="R428" s="211">
        <v>15</v>
      </c>
      <c r="S428" s="211">
        <v>16</v>
      </c>
      <c r="T428" s="211">
        <v>17</v>
      </c>
      <c r="U428" s="211">
        <v>18</v>
      </c>
      <c r="V428" s="211">
        <v>19</v>
      </c>
      <c r="W428" s="211">
        <v>20</v>
      </c>
      <c r="X428" s="211">
        <v>21</v>
      </c>
      <c r="Y428" s="211">
        <v>22</v>
      </c>
      <c r="Z428" s="211">
        <v>23</v>
      </c>
      <c r="AA428" s="211">
        <v>24</v>
      </c>
      <c r="AB428" s="211">
        <v>25</v>
      </c>
      <c r="AC428" s="211">
        <v>26</v>
      </c>
      <c r="AD428" s="211">
        <v>27</v>
      </c>
      <c r="AE428" s="211">
        <v>28</v>
      </c>
      <c r="AF428" s="211">
        <v>29</v>
      </c>
      <c r="AG428" s="211">
        <v>30</v>
      </c>
      <c r="AH428" s="211">
        <v>31</v>
      </c>
      <c r="AI428" s="211">
        <v>32</v>
      </c>
      <c r="AJ428" s="211">
        <v>33</v>
      </c>
      <c r="AK428" s="211">
        <v>34</v>
      </c>
      <c r="AL428" s="212">
        <v>35</v>
      </c>
      <c r="AM428" s="635"/>
      <c r="AN428" s="275">
        <v>1</v>
      </c>
      <c r="AO428" s="211">
        <v>2</v>
      </c>
      <c r="AP428" s="211">
        <v>3</v>
      </c>
      <c r="AQ428" s="211">
        <v>4</v>
      </c>
      <c r="AR428" s="211">
        <v>5</v>
      </c>
      <c r="AS428" s="211">
        <v>6</v>
      </c>
      <c r="AT428" s="211">
        <v>7</v>
      </c>
      <c r="AU428" s="211">
        <v>8</v>
      </c>
      <c r="AV428" s="211">
        <v>9</v>
      </c>
      <c r="AW428" s="211">
        <v>10</v>
      </c>
      <c r="AX428" s="211">
        <v>11</v>
      </c>
      <c r="AY428" s="211">
        <v>12</v>
      </c>
      <c r="AZ428" s="211">
        <v>13</v>
      </c>
      <c r="BA428" s="211">
        <v>14</v>
      </c>
      <c r="BB428" s="211">
        <v>15</v>
      </c>
      <c r="BC428" s="211">
        <v>16</v>
      </c>
      <c r="BD428" s="211">
        <v>17</v>
      </c>
      <c r="BE428" s="211">
        <v>18</v>
      </c>
      <c r="BF428" s="211">
        <v>19</v>
      </c>
      <c r="BG428" s="211">
        <v>20</v>
      </c>
      <c r="BH428" s="211">
        <v>21</v>
      </c>
      <c r="BI428" s="211">
        <v>22</v>
      </c>
      <c r="BJ428" s="211">
        <v>23</v>
      </c>
      <c r="BK428" s="211">
        <v>24</v>
      </c>
      <c r="BL428" s="211">
        <v>25</v>
      </c>
      <c r="BM428" s="211">
        <v>26</v>
      </c>
      <c r="BN428" s="211">
        <v>27</v>
      </c>
      <c r="BO428" s="211">
        <v>28</v>
      </c>
      <c r="BP428" s="211">
        <v>29</v>
      </c>
      <c r="BQ428" s="211">
        <v>30</v>
      </c>
      <c r="BR428" s="211">
        <v>31</v>
      </c>
      <c r="BS428" s="211">
        <v>32</v>
      </c>
      <c r="BT428" s="211">
        <v>33</v>
      </c>
      <c r="BU428" s="211">
        <v>34</v>
      </c>
      <c r="BV428" s="212">
        <v>35</v>
      </c>
    </row>
    <row r="429" spans="1:74" ht="20.149999999999999" customHeight="1" outlineLevel="2" x14ac:dyDescent="0.25">
      <c r="A429" s="46" t="str">
        <f>'Custos Diversos'!A146</f>
        <v>Energia - parcelar ( consumo )</v>
      </c>
      <c r="B429" s="37" t="str">
        <f>'Custos Diversos'!B146</f>
        <v>kwh/ano</v>
      </c>
      <c r="C429" s="284">
        <f>'Custos Diversos'!G146</f>
        <v>0.23</v>
      </c>
      <c r="D429" s="284">
        <f>'Demanda de água e energia'!E101</f>
        <v>2066.5178889634026</v>
      </c>
      <c r="E429" s="284">
        <f t="shared" ref="E429:K429" si="781">D429</f>
        <v>2066.5178889634026</v>
      </c>
      <c r="F429" s="284">
        <f t="shared" si="781"/>
        <v>2066.5178889634026</v>
      </c>
      <c r="G429" s="284">
        <f t="shared" si="781"/>
        <v>2066.5178889634026</v>
      </c>
      <c r="H429" s="284">
        <f t="shared" si="781"/>
        <v>2066.5178889634026</v>
      </c>
      <c r="I429" s="284">
        <f t="shared" si="781"/>
        <v>2066.5178889634026</v>
      </c>
      <c r="J429" s="284">
        <f t="shared" si="781"/>
        <v>2066.5178889634026</v>
      </c>
      <c r="K429" s="284">
        <f t="shared" si="781"/>
        <v>2066.5178889634026</v>
      </c>
      <c r="L429" s="358">
        <f>I429</f>
        <v>2066.5178889634026</v>
      </c>
      <c r="M429" s="358">
        <f>L429</f>
        <v>2066.5178889634026</v>
      </c>
      <c r="N429" s="358">
        <f t="shared" ref="N429:N436" si="782">D429</f>
        <v>2066.5178889634026</v>
      </c>
      <c r="O429" s="358">
        <f t="shared" ref="O429:O436" si="783">E429</f>
        <v>2066.5178889634026</v>
      </c>
      <c r="P429" s="358">
        <f t="shared" ref="P429:P436" si="784">F429</f>
        <v>2066.5178889634026</v>
      </c>
      <c r="Q429" s="358">
        <f t="shared" ref="Q429:Q436" si="785">G429</f>
        <v>2066.5178889634026</v>
      </c>
      <c r="R429" s="358">
        <f t="shared" ref="R429:R436" si="786">H429</f>
        <v>2066.5178889634026</v>
      </c>
      <c r="S429" s="358">
        <f t="shared" ref="S429:S436" si="787">I429</f>
        <v>2066.5178889634026</v>
      </c>
      <c r="T429" s="358">
        <f t="shared" ref="T429:T436" si="788">J429</f>
        <v>2066.5178889634026</v>
      </c>
      <c r="U429" s="358">
        <f t="shared" ref="U429:U436" si="789">K429</f>
        <v>2066.5178889634026</v>
      </c>
      <c r="V429" s="358">
        <f t="shared" ref="V429:V436" si="790">L429</f>
        <v>2066.5178889634026</v>
      </c>
      <c r="W429" s="358">
        <f t="shared" ref="W429:W436" si="791">M429</f>
        <v>2066.5178889634026</v>
      </c>
      <c r="X429" s="358">
        <f t="shared" ref="X429:X436" si="792">D429</f>
        <v>2066.5178889634026</v>
      </c>
      <c r="Y429" s="358">
        <f t="shared" ref="Y429:Y436" si="793">E429</f>
        <v>2066.5178889634026</v>
      </c>
      <c r="Z429" s="358">
        <f t="shared" ref="Z429:Z436" si="794">F429</f>
        <v>2066.5178889634026</v>
      </c>
      <c r="AA429" s="358">
        <f t="shared" ref="AA429:AA436" si="795">G429</f>
        <v>2066.5178889634026</v>
      </c>
      <c r="AB429" s="358">
        <f t="shared" ref="AB429:AB436" si="796">H429</f>
        <v>2066.5178889634026</v>
      </c>
      <c r="AC429" s="358">
        <f t="shared" ref="AC429:AC436" si="797">I429</f>
        <v>2066.5178889634026</v>
      </c>
      <c r="AD429" s="358">
        <f t="shared" ref="AD429:AD436" si="798">J429</f>
        <v>2066.5178889634026</v>
      </c>
      <c r="AE429" s="358">
        <f t="shared" ref="AE429:AE436" si="799">K429</f>
        <v>2066.5178889634026</v>
      </c>
      <c r="AF429" s="358">
        <f t="shared" ref="AF429:AF436" si="800">L429</f>
        <v>2066.5178889634026</v>
      </c>
      <c r="AG429" s="358">
        <f t="shared" ref="AG429:AG436" si="801">M429</f>
        <v>2066.5178889634026</v>
      </c>
      <c r="AH429" s="358">
        <f t="shared" ref="AH429:AH436" si="802">D429</f>
        <v>2066.5178889634026</v>
      </c>
      <c r="AI429" s="358">
        <f t="shared" ref="AI429:AI436" si="803">E429</f>
        <v>2066.5178889634026</v>
      </c>
      <c r="AJ429" s="358">
        <f t="shared" ref="AJ429:AJ436" si="804">F429</f>
        <v>2066.5178889634026</v>
      </c>
      <c r="AK429" s="358">
        <f t="shared" ref="AK429:AK436" si="805">G429</f>
        <v>2066.5178889634026</v>
      </c>
      <c r="AL429" s="359">
        <f t="shared" ref="AL429:AL436" si="806">H429</f>
        <v>2066.5178889634026</v>
      </c>
      <c r="AM429" s="636"/>
      <c r="AN429" s="303">
        <f t="shared" ref="AN429:BV429" si="807">$C$429*D429</f>
        <v>475.29911446158263</v>
      </c>
      <c r="AO429" s="304">
        <f t="shared" si="807"/>
        <v>475.29911446158263</v>
      </c>
      <c r="AP429" s="304">
        <f t="shared" si="807"/>
        <v>475.29911446158263</v>
      </c>
      <c r="AQ429" s="304">
        <f t="shared" si="807"/>
        <v>475.29911446158263</v>
      </c>
      <c r="AR429" s="304">
        <f t="shared" si="807"/>
        <v>475.29911446158263</v>
      </c>
      <c r="AS429" s="304">
        <f t="shared" si="807"/>
        <v>475.29911446158263</v>
      </c>
      <c r="AT429" s="304">
        <f t="shared" si="807"/>
        <v>475.29911446158263</v>
      </c>
      <c r="AU429" s="286">
        <f t="shared" si="807"/>
        <v>475.29911446158263</v>
      </c>
      <c r="AV429" s="313">
        <f t="shared" si="807"/>
        <v>475.29911446158263</v>
      </c>
      <c r="AW429" s="313">
        <f t="shared" si="807"/>
        <v>475.29911446158263</v>
      </c>
      <c r="AX429" s="376">
        <f t="shared" si="807"/>
        <v>475.29911446158263</v>
      </c>
      <c r="AY429" s="376">
        <f t="shared" si="807"/>
        <v>475.29911446158263</v>
      </c>
      <c r="AZ429" s="376">
        <f t="shared" si="807"/>
        <v>475.29911446158263</v>
      </c>
      <c r="BA429" s="376">
        <f t="shared" si="807"/>
        <v>475.29911446158263</v>
      </c>
      <c r="BB429" s="376">
        <f t="shared" si="807"/>
        <v>475.29911446158263</v>
      </c>
      <c r="BC429" s="376">
        <f t="shared" si="807"/>
        <v>475.29911446158263</v>
      </c>
      <c r="BD429" s="376">
        <f t="shared" si="807"/>
        <v>475.29911446158263</v>
      </c>
      <c r="BE429" s="376">
        <f t="shared" si="807"/>
        <v>475.29911446158263</v>
      </c>
      <c r="BF429" s="376">
        <f t="shared" si="807"/>
        <v>475.29911446158263</v>
      </c>
      <c r="BG429" s="376">
        <f t="shared" si="807"/>
        <v>475.29911446158263</v>
      </c>
      <c r="BH429" s="376">
        <f t="shared" si="807"/>
        <v>475.29911446158263</v>
      </c>
      <c r="BI429" s="376">
        <f t="shared" si="807"/>
        <v>475.29911446158263</v>
      </c>
      <c r="BJ429" s="376">
        <f t="shared" si="807"/>
        <v>475.29911446158263</v>
      </c>
      <c r="BK429" s="376">
        <f t="shared" si="807"/>
        <v>475.29911446158263</v>
      </c>
      <c r="BL429" s="376">
        <f t="shared" si="807"/>
        <v>475.29911446158263</v>
      </c>
      <c r="BM429" s="376">
        <f t="shared" si="807"/>
        <v>475.29911446158263</v>
      </c>
      <c r="BN429" s="376">
        <f t="shared" si="807"/>
        <v>475.29911446158263</v>
      </c>
      <c r="BO429" s="376">
        <f t="shared" si="807"/>
        <v>475.29911446158263</v>
      </c>
      <c r="BP429" s="376">
        <f t="shared" si="807"/>
        <v>475.29911446158263</v>
      </c>
      <c r="BQ429" s="376">
        <f t="shared" si="807"/>
        <v>475.29911446158263</v>
      </c>
      <c r="BR429" s="376">
        <f t="shared" si="807"/>
        <v>475.29911446158263</v>
      </c>
      <c r="BS429" s="376">
        <f t="shared" si="807"/>
        <v>475.29911446158263</v>
      </c>
      <c r="BT429" s="376">
        <f t="shared" si="807"/>
        <v>475.29911446158263</v>
      </c>
      <c r="BU429" s="376">
        <f t="shared" si="807"/>
        <v>475.29911446158263</v>
      </c>
      <c r="BV429" s="377">
        <f t="shared" si="807"/>
        <v>475.29911446158263</v>
      </c>
    </row>
    <row r="430" spans="1:74" ht="20.149999999999999" customHeight="1" outlineLevel="2" x14ac:dyDescent="0.25">
      <c r="A430" s="46" t="str">
        <f>'Custos Diversos'!A147</f>
        <v>Energia - parcelar ( demanda )</v>
      </c>
      <c r="B430" s="37" t="str">
        <f>'Custos Diversos'!B147</f>
        <v>kw/ano</v>
      </c>
      <c r="C430" s="284">
        <f>'Custos Diversos'!G147</f>
        <v>12</v>
      </c>
      <c r="D430" s="284">
        <f t="shared" ref="D430:M430" si="808">1*12</f>
        <v>12</v>
      </c>
      <c r="E430" s="284">
        <f t="shared" si="808"/>
        <v>12</v>
      </c>
      <c r="F430" s="284">
        <f t="shared" si="808"/>
        <v>12</v>
      </c>
      <c r="G430" s="284">
        <f t="shared" si="808"/>
        <v>12</v>
      </c>
      <c r="H430" s="284">
        <f t="shared" si="808"/>
        <v>12</v>
      </c>
      <c r="I430" s="284">
        <f t="shared" si="808"/>
        <v>12</v>
      </c>
      <c r="J430" s="284">
        <f t="shared" si="808"/>
        <v>12</v>
      </c>
      <c r="K430" s="284">
        <f t="shared" si="808"/>
        <v>12</v>
      </c>
      <c r="L430" s="358">
        <f t="shared" si="808"/>
        <v>12</v>
      </c>
      <c r="M430" s="358">
        <f t="shared" si="808"/>
        <v>12</v>
      </c>
      <c r="N430" s="358">
        <f t="shared" si="782"/>
        <v>12</v>
      </c>
      <c r="O430" s="358">
        <f t="shared" si="783"/>
        <v>12</v>
      </c>
      <c r="P430" s="358">
        <f t="shared" si="784"/>
        <v>12</v>
      </c>
      <c r="Q430" s="358">
        <f t="shared" si="785"/>
        <v>12</v>
      </c>
      <c r="R430" s="358">
        <f t="shared" si="786"/>
        <v>12</v>
      </c>
      <c r="S430" s="358">
        <f t="shared" si="787"/>
        <v>12</v>
      </c>
      <c r="T430" s="358">
        <f t="shared" si="788"/>
        <v>12</v>
      </c>
      <c r="U430" s="358">
        <f t="shared" si="789"/>
        <v>12</v>
      </c>
      <c r="V430" s="358">
        <f t="shared" si="790"/>
        <v>12</v>
      </c>
      <c r="W430" s="358">
        <f t="shared" si="791"/>
        <v>12</v>
      </c>
      <c r="X430" s="358">
        <f t="shared" si="792"/>
        <v>12</v>
      </c>
      <c r="Y430" s="358">
        <f t="shared" si="793"/>
        <v>12</v>
      </c>
      <c r="Z430" s="358">
        <f t="shared" si="794"/>
        <v>12</v>
      </c>
      <c r="AA430" s="358">
        <f t="shared" si="795"/>
        <v>12</v>
      </c>
      <c r="AB430" s="358">
        <f t="shared" si="796"/>
        <v>12</v>
      </c>
      <c r="AC430" s="358">
        <f t="shared" si="797"/>
        <v>12</v>
      </c>
      <c r="AD430" s="358">
        <f t="shared" si="798"/>
        <v>12</v>
      </c>
      <c r="AE430" s="358">
        <f t="shared" si="799"/>
        <v>12</v>
      </c>
      <c r="AF430" s="358">
        <f t="shared" si="800"/>
        <v>12</v>
      </c>
      <c r="AG430" s="358">
        <f t="shared" si="801"/>
        <v>12</v>
      </c>
      <c r="AH430" s="358">
        <f t="shared" si="802"/>
        <v>12</v>
      </c>
      <c r="AI430" s="358">
        <f t="shared" si="803"/>
        <v>12</v>
      </c>
      <c r="AJ430" s="358">
        <f t="shared" si="804"/>
        <v>12</v>
      </c>
      <c r="AK430" s="358">
        <f t="shared" si="805"/>
        <v>12</v>
      </c>
      <c r="AL430" s="359">
        <f t="shared" si="806"/>
        <v>12</v>
      </c>
      <c r="AM430" s="636"/>
      <c r="AN430" s="303">
        <f t="shared" ref="AN430:BV430" si="809">$C$430*D430</f>
        <v>144</v>
      </c>
      <c r="AO430" s="304">
        <f t="shared" si="809"/>
        <v>144</v>
      </c>
      <c r="AP430" s="304">
        <f t="shared" si="809"/>
        <v>144</v>
      </c>
      <c r="AQ430" s="304">
        <f t="shared" si="809"/>
        <v>144</v>
      </c>
      <c r="AR430" s="304">
        <f t="shared" si="809"/>
        <v>144</v>
      </c>
      <c r="AS430" s="304">
        <f t="shared" si="809"/>
        <v>144</v>
      </c>
      <c r="AT430" s="304">
        <f t="shared" si="809"/>
        <v>144</v>
      </c>
      <c r="AU430" s="286">
        <f t="shared" si="809"/>
        <v>144</v>
      </c>
      <c r="AV430" s="313">
        <f t="shared" si="809"/>
        <v>144</v>
      </c>
      <c r="AW430" s="313">
        <f t="shared" si="809"/>
        <v>144</v>
      </c>
      <c r="AX430" s="376">
        <f t="shared" si="809"/>
        <v>144</v>
      </c>
      <c r="AY430" s="376">
        <f t="shared" si="809"/>
        <v>144</v>
      </c>
      <c r="AZ430" s="376">
        <f t="shared" si="809"/>
        <v>144</v>
      </c>
      <c r="BA430" s="376">
        <f t="shared" si="809"/>
        <v>144</v>
      </c>
      <c r="BB430" s="376">
        <f t="shared" si="809"/>
        <v>144</v>
      </c>
      <c r="BC430" s="376">
        <f t="shared" si="809"/>
        <v>144</v>
      </c>
      <c r="BD430" s="376">
        <f t="shared" si="809"/>
        <v>144</v>
      </c>
      <c r="BE430" s="376">
        <f t="shared" si="809"/>
        <v>144</v>
      </c>
      <c r="BF430" s="376">
        <f t="shared" si="809"/>
        <v>144</v>
      </c>
      <c r="BG430" s="376">
        <f t="shared" si="809"/>
        <v>144</v>
      </c>
      <c r="BH430" s="376">
        <f t="shared" si="809"/>
        <v>144</v>
      </c>
      <c r="BI430" s="376">
        <f t="shared" si="809"/>
        <v>144</v>
      </c>
      <c r="BJ430" s="376">
        <f t="shared" si="809"/>
        <v>144</v>
      </c>
      <c r="BK430" s="376">
        <f t="shared" si="809"/>
        <v>144</v>
      </c>
      <c r="BL430" s="376">
        <f t="shared" si="809"/>
        <v>144</v>
      </c>
      <c r="BM430" s="376">
        <f t="shared" si="809"/>
        <v>144</v>
      </c>
      <c r="BN430" s="376">
        <f t="shared" si="809"/>
        <v>144</v>
      </c>
      <c r="BO430" s="376">
        <f t="shared" si="809"/>
        <v>144</v>
      </c>
      <c r="BP430" s="376">
        <f t="shared" si="809"/>
        <v>144</v>
      </c>
      <c r="BQ430" s="376">
        <f t="shared" si="809"/>
        <v>144</v>
      </c>
      <c r="BR430" s="376">
        <f t="shared" si="809"/>
        <v>144</v>
      </c>
      <c r="BS430" s="376">
        <f t="shared" si="809"/>
        <v>144</v>
      </c>
      <c r="BT430" s="376">
        <f t="shared" si="809"/>
        <v>144</v>
      </c>
      <c r="BU430" s="376">
        <f t="shared" si="809"/>
        <v>144</v>
      </c>
      <c r="BV430" s="377">
        <f t="shared" si="809"/>
        <v>144</v>
      </c>
    </row>
    <row r="431" spans="1:74" ht="20.149999999999999" customHeight="1" outlineLevel="2" x14ac:dyDescent="0.25">
      <c r="A431" s="46" t="str">
        <f>'Custos Diversos'!A149</f>
        <v>man sist irrig</v>
      </c>
      <c r="B431" s="37" t="str">
        <f>'Custos Diversos'!B149</f>
        <v>vb/ha/ano</v>
      </c>
      <c r="C431" s="284">
        <f>'Custos Diversos'!G149</f>
        <v>185</v>
      </c>
      <c r="D431" s="284">
        <v>1</v>
      </c>
      <c r="E431" s="284">
        <v>1</v>
      </c>
      <c r="F431" s="284">
        <v>1</v>
      </c>
      <c r="G431" s="284">
        <v>1</v>
      </c>
      <c r="H431" s="284">
        <v>1</v>
      </c>
      <c r="I431" s="284">
        <v>1</v>
      </c>
      <c r="J431" s="284">
        <v>1</v>
      </c>
      <c r="K431" s="284">
        <v>1</v>
      </c>
      <c r="L431" s="358">
        <v>1</v>
      </c>
      <c r="M431" s="358">
        <v>1</v>
      </c>
      <c r="N431" s="358">
        <f t="shared" si="782"/>
        <v>1</v>
      </c>
      <c r="O431" s="358">
        <f t="shared" si="783"/>
        <v>1</v>
      </c>
      <c r="P431" s="358">
        <f t="shared" si="784"/>
        <v>1</v>
      </c>
      <c r="Q431" s="358">
        <f t="shared" si="785"/>
        <v>1</v>
      </c>
      <c r="R431" s="358">
        <f t="shared" si="786"/>
        <v>1</v>
      </c>
      <c r="S431" s="358">
        <f t="shared" si="787"/>
        <v>1</v>
      </c>
      <c r="T431" s="358">
        <f t="shared" si="788"/>
        <v>1</v>
      </c>
      <c r="U431" s="358">
        <f t="shared" si="789"/>
        <v>1</v>
      </c>
      <c r="V431" s="358">
        <f t="shared" si="790"/>
        <v>1</v>
      </c>
      <c r="W431" s="358">
        <f t="shared" si="791"/>
        <v>1</v>
      </c>
      <c r="X431" s="358">
        <f t="shared" si="792"/>
        <v>1</v>
      </c>
      <c r="Y431" s="358">
        <f t="shared" si="793"/>
        <v>1</v>
      </c>
      <c r="Z431" s="358">
        <f t="shared" si="794"/>
        <v>1</v>
      </c>
      <c r="AA431" s="358">
        <f t="shared" si="795"/>
        <v>1</v>
      </c>
      <c r="AB431" s="358">
        <f t="shared" si="796"/>
        <v>1</v>
      </c>
      <c r="AC431" s="358">
        <f t="shared" si="797"/>
        <v>1</v>
      </c>
      <c r="AD431" s="358">
        <f t="shared" si="798"/>
        <v>1</v>
      </c>
      <c r="AE431" s="358">
        <f t="shared" si="799"/>
        <v>1</v>
      </c>
      <c r="AF431" s="358">
        <f t="shared" si="800"/>
        <v>1</v>
      </c>
      <c r="AG431" s="358">
        <f t="shared" si="801"/>
        <v>1</v>
      </c>
      <c r="AH431" s="358">
        <f t="shared" si="802"/>
        <v>1</v>
      </c>
      <c r="AI431" s="358">
        <f t="shared" si="803"/>
        <v>1</v>
      </c>
      <c r="AJ431" s="358">
        <f t="shared" si="804"/>
        <v>1</v>
      </c>
      <c r="AK431" s="358">
        <f t="shared" si="805"/>
        <v>1</v>
      </c>
      <c r="AL431" s="359">
        <f t="shared" si="806"/>
        <v>1</v>
      </c>
      <c r="AM431" s="636"/>
      <c r="AN431" s="303">
        <f t="shared" ref="AN431:BV431" si="810">$C$431*D431</f>
        <v>185</v>
      </c>
      <c r="AO431" s="304">
        <f t="shared" si="810"/>
        <v>185</v>
      </c>
      <c r="AP431" s="304">
        <f t="shared" si="810"/>
        <v>185</v>
      </c>
      <c r="AQ431" s="304">
        <f t="shared" si="810"/>
        <v>185</v>
      </c>
      <c r="AR431" s="304">
        <f t="shared" si="810"/>
        <v>185</v>
      </c>
      <c r="AS431" s="304">
        <f t="shared" si="810"/>
        <v>185</v>
      </c>
      <c r="AT431" s="304">
        <f t="shared" si="810"/>
        <v>185</v>
      </c>
      <c r="AU431" s="286">
        <f t="shared" si="810"/>
        <v>185</v>
      </c>
      <c r="AV431" s="313">
        <f t="shared" si="810"/>
        <v>185</v>
      </c>
      <c r="AW431" s="313">
        <f t="shared" si="810"/>
        <v>185</v>
      </c>
      <c r="AX431" s="376">
        <f t="shared" si="810"/>
        <v>185</v>
      </c>
      <c r="AY431" s="376">
        <f t="shared" si="810"/>
        <v>185</v>
      </c>
      <c r="AZ431" s="376">
        <f t="shared" si="810"/>
        <v>185</v>
      </c>
      <c r="BA431" s="376">
        <f t="shared" si="810"/>
        <v>185</v>
      </c>
      <c r="BB431" s="376">
        <f t="shared" si="810"/>
        <v>185</v>
      </c>
      <c r="BC431" s="376">
        <f t="shared" si="810"/>
        <v>185</v>
      </c>
      <c r="BD431" s="376">
        <f t="shared" si="810"/>
        <v>185</v>
      </c>
      <c r="BE431" s="376">
        <f t="shared" si="810"/>
        <v>185</v>
      </c>
      <c r="BF431" s="376">
        <f t="shared" si="810"/>
        <v>185</v>
      </c>
      <c r="BG431" s="376">
        <f t="shared" si="810"/>
        <v>185</v>
      </c>
      <c r="BH431" s="376">
        <f t="shared" si="810"/>
        <v>185</v>
      </c>
      <c r="BI431" s="376">
        <f t="shared" si="810"/>
        <v>185</v>
      </c>
      <c r="BJ431" s="376">
        <f t="shared" si="810"/>
        <v>185</v>
      </c>
      <c r="BK431" s="376">
        <f t="shared" si="810"/>
        <v>185</v>
      </c>
      <c r="BL431" s="376">
        <f t="shared" si="810"/>
        <v>185</v>
      </c>
      <c r="BM431" s="376">
        <f t="shared" si="810"/>
        <v>185</v>
      </c>
      <c r="BN431" s="376">
        <f t="shared" si="810"/>
        <v>185</v>
      </c>
      <c r="BO431" s="376">
        <f t="shared" si="810"/>
        <v>185</v>
      </c>
      <c r="BP431" s="376">
        <f t="shared" si="810"/>
        <v>185</v>
      </c>
      <c r="BQ431" s="376">
        <f t="shared" si="810"/>
        <v>185</v>
      </c>
      <c r="BR431" s="376">
        <f t="shared" si="810"/>
        <v>185</v>
      </c>
      <c r="BS431" s="376">
        <f t="shared" si="810"/>
        <v>185</v>
      </c>
      <c r="BT431" s="376">
        <f t="shared" si="810"/>
        <v>185</v>
      </c>
      <c r="BU431" s="376">
        <f t="shared" si="810"/>
        <v>185</v>
      </c>
      <c r="BV431" s="377">
        <f t="shared" si="810"/>
        <v>185</v>
      </c>
    </row>
    <row r="432" spans="1:74" ht="20.149999999999999" customHeight="1" outlineLevel="2" x14ac:dyDescent="0.25">
      <c r="A432" s="46" t="str">
        <f>'Custos Diversos'!A150</f>
        <v>man estrutura</v>
      </c>
      <c r="B432" s="37" t="str">
        <f>'Custos Diversos'!B149</f>
        <v>vb/ha/ano</v>
      </c>
      <c r="C432" s="284">
        <f>'Custos Diversos'!G150</f>
        <v>31.975000000000001</v>
      </c>
      <c r="D432" s="284">
        <v>0.5</v>
      </c>
      <c r="E432" s="284">
        <v>1</v>
      </c>
      <c r="F432" s="284">
        <v>1.25</v>
      </c>
      <c r="G432" s="284">
        <v>1.25</v>
      </c>
      <c r="H432" s="284">
        <v>1.5</v>
      </c>
      <c r="I432" s="284">
        <v>1.5</v>
      </c>
      <c r="J432" s="284">
        <v>1.5</v>
      </c>
      <c r="K432" s="284">
        <v>1.5</v>
      </c>
      <c r="L432" s="358">
        <v>2</v>
      </c>
      <c r="M432" s="358">
        <v>2</v>
      </c>
      <c r="N432" s="358">
        <f t="shared" si="782"/>
        <v>0.5</v>
      </c>
      <c r="O432" s="358">
        <f t="shared" si="783"/>
        <v>1</v>
      </c>
      <c r="P432" s="358">
        <f t="shared" si="784"/>
        <v>1.25</v>
      </c>
      <c r="Q432" s="358">
        <f t="shared" si="785"/>
        <v>1.25</v>
      </c>
      <c r="R432" s="358">
        <f t="shared" si="786"/>
        <v>1.5</v>
      </c>
      <c r="S432" s="358">
        <f t="shared" si="787"/>
        <v>1.5</v>
      </c>
      <c r="T432" s="358">
        <f t="shared" si="788"/>
        <v>1.5</v>
      </c>
      <c r="U432" s="358">
        <f t="shared" si="789"/>
        <v>1.5</v>
      </c>
      <c r="V432" s="358">
        <f t="shared" si="790"/>
        <v>2</v>
      </c>
      <c r="W432" s="358">
        <f t="shared" si="791"/>
        <v>2</v>
      </c>
      <c r="X432" s="358">
        <f t="shared" si="792"/>
        <v>0.5</v>
      </c>
      <c r="Y432" s="358">
        <f t="shared" si="793"/>
        <v>1</v>
      </c>
      <c r="Z432" s="358">
        <f t="shared" si="794"/>
        <v>1.25</v>
      </c>
      <c r="AA432" s="358">
        <f t="shared" si="795"/>
        <v>1.25</v>
      </c>
      <c r="AB432" s="358">
        <f t="shared" si="796"/>
        <v>1.5</v>
      </c>
      <c r="AC432" s="358">
        <f t="shared" si="797"/>
        <v>1.5</v>
      </c>
      <c r="AD432" s="358">
        <f t="shared" si="798"/>
        <v>1.5</v>
      </c>
      <c r="AE432" s="358">
        <f t="shared" si="799"/>
        <v>1.5</v>
      </c>
      <c r="AF432" s="358">
        <f t="shared" si="800"/>
        <v>2</v>
      </c>
      <c r="AG432" s="358">
        <f t="shared" si="801"/>
        <v>2</v>
      </c>
      <c r="AH432" s="358">
        <f t="shared" si="802"/>
        <v>0.5</v>
      </c>
      <c r="AI432" s="358">
        <f t="shared" si="803"/>
        <v>1</v>
      </c>
      <c r="AJ432" s="358">
        <f t="shared" si="804"/>
        <v>1.25</v>
      </c>
      <c r="AK432" s="358">
        <f t="shared" si="805"/>
        <v>1.25</v>
      </c>
      <c r="AL432" s="359">
        <f t="shared" si="806"/>
        <v>1.5</v>
      </c>
      <c r="AM432" s="636"/>
      <c r="AN432" s="303">
        <f t="shared" ref="AN432:BV432" si="811">$C$432*D432</f>
        <v>15.987500000000001</v>
      </c>
      <c r="AO432" s="304">
        <f t="shared" si="811"/>
        <v>31.975000000000001</v>
      </c>
      <c r="AP432" s="304">
        <f t="shared" si="811"/>
        <v>39.96875</v>
      </c>
      <c r="AQ432" s="304">
        <f t="shared" si="811"/>
        <v>39.96875</v>
      </c>
      <c r="AR432" s="304">
        <f t="shared" si="811"/>
        <v>47.962500000000006</v>
      </c>
      <c r="AS432" s="304">
        <f t="shared" si="811"/>
        <v>47.962500000000006</v>
      </c>
      <c r="AT432" s="304">
        <f t="shared" si="811"/>
        <v>47.962500000000006</v>
      </c>
      <c r="AU432" s="286">
        <f t="shared" si="811"/>
        <v>47.962500000000006</v>
      </c>
      <c r="AV432" s="313">
        <f t="shared" si="811"/>
        <v>63.95</v>
      </c>
      <c r="AW432" s="313">
        <f t="shared" si="811"/>
        <v>63.95</v>
      </c>
      <c r="AX432" s="376">
        <f t="shared" si="811"/>
        <v>15.987500000000001</v>
      </c>
      <c r="AY432" s="376">
        <f t="shared" si="811"/>
        <v>31.975000000000001</v>
      </c>
      <c r="AZ432" s="376">
        <f t="shared" si="811"/>
        <v>39.96875</v>
      </c>
      <c r="BA432" s="376">
        <f t="shared" si="811"/>
        <v>39.96875</v>
      </c>
      <c r="BB432" s="376">
        <f t="shared" si="811"/>
        <v>47.962500000000006</v>
      </c>
      <c r="BC432" s="376">
        <f t="shared" si="811"/>
        <v>47.962500000000006</v>
      </c>
      <c r="BD432" s="376">
        <f t="shared" si="811"/>
        <v>47.962500000000006</v>
      </c>
      <c r="BE432" s="376">
        <f t="shared" si="811"/>
        <v>47.962500000000006</v>
      </c>
      <c r="BF432" s="376">
        <f t="shared" si="811"/>
        <v>63.95</v>
      </c>
      <c r="BG432" s="376">
        <f t="shared" si="811"/>
        <v>63.95</v>
      </c>
      <c r="BH432" s="376">
        <f t="shared" si="811"/>
        <v>15.987500000000001</v>
      </c>
      <c r="BI432" s="376">
        <f t="shared" si="811"/>
        <v>31.975000000000001</v>
      </c>
      <c r="BJ432" s="376">
        <f t="shared" si="811"/>
        <v>39.96875</v>
      </c>
      <c r="BK432" s="376">
        <f t="shared" si="811"/>
        <v>39.96875</v>
      </c>
      <c r="BL432" s="376">
        <f t="shared" si="811"/>
        <v>47.962500000000006</v>
      </c>
      <c r="BM432" s="376">
        <f t="shared" si="811"/>
        <v>47.962500000000006</v>
      </c>
      <c r="BN432" s="376">
        <f t="shared" si="811"/>
        <v>47.962500000000006</v>
      </c>
      <c r="BO432" s="376">
        <f t="shared" si="811"/>
        <v>47.962500000000006</v>
      </c>
      <c r="BP432" s="376">
        <f t="shared" si="811"/>
        <v>63.95</v>
      </c>
      <c r="BQ432" s="376">
        <f t="shared" si="811"/>
        <v>63.95</v>
      </c>
      <c r="BR432" s="376">
        <f t="shared" si="811"/>
        <v>15.987500000000001</v>
      </c>
      <c r="BS432" s="376">
        <f t="shared" si="811"/>
        <v>31.975000000000001</v>
      </c>
      <c r="BT432" s="376">
        <f t="shared" si="811"/>
        <v>39.96875</v>
      </c>
      <c r="BU432" s="376">
        <f t="shared" si="811"/>
        <v>39.96875</v>
      </c>
      <c r="BV432" s="377">
        <f t="shared" si="811"/>
        <v>47.962500000000006</v>
      </c>
    </row>
    <row r="433" spans="1:74" ht="20.149999999999999" customHeight="1" outlineLevel="2" x14ac:dyDescent="0.25">
      <c r="A433" s="46" t="str">
        <f>'Custos Diversos'!A151</f>
        <v>Ferramentas diversas</v>
      </c>
      <c r="B433" s="37" t="str">
        <f>'Custos Diversos'!B150</f>
        <v>vb/ha/ano</v>
      </c>
      <c r="C433" s="284">
        <f>'Custos Diversos'!G151</f>
        <v>480</v>
      </c>
      <c r="D433" s="284">
        <v>1</v>
      </c>
      <c r="E433" s="284">
        <v>1</v>
      </c>
      <c r="F433" s="284">
        <v>1</v>
      </c>
      <c r="G433" s="284">
        <v>1</v>
      </c>
      <c r="H433" s="284">
        <v>1</v>
      </c>
      <c r="I433" s="284">
        <v>1</v>
      </c>
      <c r="J433" s="284">
        <v>1</v>
      </c>
      <c r="K433" s="284">
        <v>1</v>
      </c>
      <c r="L433" s="358">
        <v>1</v>
      </c>
      <c r="M433" s="358">
        <v>1</v>
      </c>
      <c r="N433" s="358">
        <f t="shared" si="782"/>
        <v>1</v>
      </c>
      <c r="O433" s="358">
        <f t="shared" si="783"/>
        <v>1</v>
      </c>
      <c r="P433" s="358">
        <f t="shared" si="784"/>
        <v>1</v>
      </c>
      <c r="Q433" s="358">
        <f t="shared" si="785"/>
        <v>1</v>
      </c>
      <c r="R433" s="358">
        <f t="shared" si="786"/>
        <v>1</v>
      </c>
      <c r="S433" s="358">
        <f t="shared" si="787"/>
        <v>1</v>
      </c>
      <c r="T433" s="358">
        <f t="shared" si="788"/>
        <v>1</v>
      </c>
      <c r="U433" s="358">
        <f t="shared" si="789"/>
        <v>1</v>
      </c>
      <c r="V433" s="358">
        <f t="shared" si="790"/>
        <v>1</v>
      </c>
      <c r="W433" s="358">
        <f t="shared" si="791"/>
        <v>1</v>
      </c>
      <c r="X433" s="358">
        <f t="shared" si="792"/>
        <v>1</v>
      </c>
      <c r="Y433" s="358">
        <f t="shared" si="793"/>
        <v>1</v>
      </c>
      <c r="Z433" s="358">
        <f t="shared" si="794"/>
        <v>1</v>
      </c>
      <c r="AA433" s="358">
        <f t="shared" si="795"/>
        <v>1</v>
      </c>
      <c r="AB433" s="358">
        <f t="shared" si="796"/>
        <v>1</v>
      </c>
      <c r="AC433" s="358">
        <f t="shared" si="797"/>
        <v>1</v>
      </c>
      <c r="AD433" s="358">
        <f t="shared" si="798"/>
        <v>1</v>
      </c>
      <c r="AE433" s="358">
        <f t="shared" si="799"/>
        <v>1</v>
      </c>
      <c r="AF433" s="358">
        <f t="shared" si="800"/>
        <v>1</v>
      </c>
      <c r="AG433" s="358">
        <f t="shared" si="801"/>
        <v>1</v>
      </c>
      <c r="AH433" s="358">
        <f t="shared" si="802"/>
        <v>1</v>
      </c>
      <c r="AI433" s="358">
        <f t="shared" si="803"/>
        <v>1</v>
      </c>
      <c r="AJ433" s="358">
        <f t="shared" si="804"/>
        <v>1</v>
      </c>
      <c r="AK433" s="358">
        <f t="shared" si="805"/>
        <v>1</v>
      </c>
      <c r="AL433" s="359">
        <f t="shared" si="806"/>
        <v>1</v>
      </c>
      <c r="AM433" s="636"/>
      <c r="AN433" s="303">
        <f t="shared" ref="AN433:BV433" si="812">$C$433*D433</f>
        <v>480</v>
      </c>
      <c r="AO433" s="304">
        <f t="shared" si="812"/>
        <v>480</v>
      </c>
      <c r="AP433" s="304">
        <f t="shared" si="812"/>
        <v>480</v>
      </c>
      <c r="AQ433" s="304">
        <f t="shared" si="812"/>
        <v>480</v>
      </c>
      <c r="AR433" s="304">
        <f t="shared" si="812"/>
        <v>480</v>
      </c>
      <c r="AS433" s="304">
        <f t="shared" si="812"/>
        <v>480</v>
      </c>
      <c r="AT433" s="304">
        <f t="shared" si="812"/>
        <v>480</v>
      </c>
      <c r="AU433" s="286">
        <f t="shared" si="812"/>
        <v>480</v>
      </c>
      <c r="AV433" s="313">
        <f t="shared" si="812"/>
        <v>480</v>
      </c>
      <c r="AW433" s="313">
        <f t="shared" si="812"/>
        <v>480</v>
      </c>
      <c r="AX433" s="376">
        <f t="shared" si="812"/>
        <v>480</v>
      </c>
      <c r="AY433" s="376">
        <f t="shared" si="812"/>
        <v>480</v>
      </c>
      <c r="AZ433" s="376">
        <f t="shared" si="812"/>
        <v>480</v>
      </c>
      <c r="BA433" s="376">
        <f t="shared" si="812"/>
        <v>480</v>
      </c>
      <c r="BB433" s="376">
        <f t="shared" si="812"/>
        <v>480</v>
      </c>
      <c r="BC433" s="376">
        <f t="shared" si="812"/>
        <v>480</v>
      </c>
      <c r="BD433" s="376">
        <f t="shared" si="812"/>
        <v>480</v>
      </c>
      <c r="BE433" s="376">
        <f t="shared" si="812"/>
        <v>480</v>
      </c>
      <c r="BF433" s="376">
        <f t="shared" si="812"/>
        <v>480</v>
      </c>
      <c r="BG433" s="376">
        <f t="shared" si="812"/>
        <v>480</v>
      </c>
      <c r="BH433" s="376">
        <f t="shared" si="812"/>
        <v>480</v>
      </c>
      <c r="BI433" s="376">
        <f t="shared" si="812"/>
        <v>480</v>
      </c>
      <c r="BJ433" s="376">
        <f t="shared" si="812"/>
        <v>480</v>
      </c>
      <c r="BK433" s="376">
        <f t="shared" si="812"/>
        <v>480</v>
      </c>
      <c r="BL433" s="376">
        <f t="shared" si="812"/>
        <v>480</v>
      </c>
      <c r="BM433" s="376">
        <f t="shared" si="812"/>
        <v>480</v>
      </c>
      <c r="BN433" s="376">
        <f t="shared" si="812"/>
        <v>480</v>
      </c>
      <c r="BO433" s="376">
        <f t="shared" si="812"/>
        <v>480</v>
      </c>
      <c r="BP433" s="376">
        <f t="shared" si="812"/>
        <v>480</v>
      </c>
      <c r="BQ433" s="376">
        <f t="shared" si="812"/>
        <v>480</v>
      </c>
      <c r="BR433" s="376">
        <f t="shared" si="812"/>
        <v>480</v>
      </c>
      <c r="BS433" s="376">
        <f t="shared" si="812"/>
        <v>480</v>
      </c>
      <c r="BT433" s="376">
        <f t="shared" si="812"/>
        <v>480</v>
      </c>
      <c r="BU433" s="376">
        <f t="shared" si="812"/>
        <v>480</v>
      </c>
      <c r="BV433" s="377">
        <f t="shared" si="812"/>
        <v>480</v>
      </c>
    </row>
    <row r="434" spans="1:74" ht="20.149999999999999" customHeight="1" outlineLevel="2" x14ac:dyDescent="0.25">
      <c r="A434" s="46" t="str">
        <f>'Custos Diversos'!A152</f>
        <v>Transporte funcionários</v>
      </c>
      <c r="B434" s="37" t="str">
        <f>'Custos Diversos'!B151</f>
        <v>vb/ha/ano</v>
      </c>
      <c r="C434" s="284">
        <f>'Custos Diversos'!G152</f>
        <v>150</v>
      </c>
      <c r="D434" s="284">
        <v>0.5</v>
      </c>
      <c r="E434" s="284">
        <v>1</v>
      </c>
      <c r="F434" s="284">
        <v>1.25</v>
      </c>
      <c r="G434" s="284">
        <v>1.25</v>
      </c>
      <c r="H434" s="284">
        <v>1.5</v>
      </c>
      <c r="I434" s="284">
        <v>1.5</v>
      </c>
      <c r="J434" s="284">
        <v>1.5</v>
      </c>
      <c r="K434" s="284">
        <v>1.5</v>
      </c>
      <c r="L434" s="358">
        <v>2</v>
      </c>
      <c r="M434" s="358">
        <v>2</v>
      </c>
      <c r="N434" s="358">
        <f t="shared" si="782"/>
        <v>0.5</v>
      </c>
      <c r="O434" s="358">
        <f t="shared" si="783"/>
        <v>1</v>
      </c>
      <c r="P434" s="358">
        <f t="shared" si="784"/>
        <v>1.25</v>
      </c>
      <c r="Q434" s="358">
        <f t="shared" si="785"/>
        <v>1.25</v>
      </c>
      <c r="R434" s="358">
        <f t="shared" si="786"/>
        <v>1.5</v>
      </c>
      <c r="S434" s="358">
        <f t="shared" si="787"/>
        <v>1.5</v>
      </c>
      <c r="T434" s="358">
        <f t="shared" si="788"/>
        <v>1.5</v>
      </c>
      <c r="U434" s="358">
        <f t="shared" si="789"/>
        <v>1.5</v>
      </c>
      <c r="V434" s="358">
        <f t="shared" si="790"/>
        <v>2</v>
      </c>
      <c r="W434" s="358">
        <f t="shared" si="791"/>
        <v>2</v>
      </c>
      <c r="X434" s="358">
        <f t="shared" si="792"/>
        <v>0.5</v>
      </c>
      <c r="Y434" s="358">
        <f t="shared" si="793"/>
        <v>1</v>
      </c>
      <c r="Z434" s="358">
        <f t="shared" si="794"/>
        <v>1.25</v>
      </c>
      <c r="AA434" s="358">
        <f t="shared" si="795"/>
        <v>1.25</v>
      </c>
      <c r="AB434" s="358">
        <f t="shared" si="796"/>
        <v>1.5</v>
      </c>
      <c r="AC434" s="358">
        <f t="shared" si="797"/>
        <v>1.5</v>
      </c>
      <c r="AD434" s="358">
        <f t="shared" si="798"/>
        <v>1.5</v>
      </c>
      <c r="AE434" s="358">
        <f t="shared" si="799"/>
        <v>1.5</v>
      </c>
      <c r="AF434" s="358">
        <f t="shared" si="800"/>
        <v>2</v>
      </c>
      <c r="AG434" s="358">
        <f t="shared" si="801"/>
        <v>2</v>
      </c>
      <c r="AH434" s="358">
        <f t="shared" si="802"/>
        <v>0.5</v>
      </c>
      <c r="AI434" s="358">
        <f t="shared" si="803"/>
        <v>1</v>
      </c>
      <c r="AJ434" s="358">
        <f t="shared" si="804"/>
        <v>1.25</v>
      </c>
      <c r="AK434" s="358">
        <f t="shared" si="805"/>
        <v>1.25</v>
      </c>
      <c r="AL434" s="359">
        <f t="shared" si="806"/>
        <v>1.5</v>
      </c>
      <c r="AM434" s="636"/>
      <c r="AN434" s="303">
        <f t="shared" ref="AN434:BV434" si="813">$C$434*D434</f>
        <v>75</v>
      </c>
      <c r="AO434" s="304">
        <f t="shared" si="813"/>
        <v>150</v>
      </c>
      <c r="AP434" s="304">
        <f t="shared" si="813"/>
        <v>187.5</v>
      </c>
      <c r="AQ434" s="304">
        <f t="shared" si="813"/>
        <v>187.5</v>
      </c>
      <c r="AR434" s="304">
        <f t="shared" si="813"/>
        <v>225</v>
      </c>
      <c r="AS434" s="304">
        <f t="shared" si="813"/>
        <v>225</v>
      </c>
      <c r="AT434" s="304">
        <f t="shared" si="813"/>
        <v>225</v>
      </c>
      <c r="AU434" s="286">
        <f t="shared" si="813"/>
        <v>225</v>
      </c>
      <c r="AV434" s="313">
        <f t="shared" si="813"/>
        <v>300</v>
      </c>
      <c r="AW434" s="313">
        <f t="shared" si="813"/>
        <v>300</v>
      </c>
      <c r="AX434" s="376">
        <f t="shared" si="813"/>
        <v>75</v>
      </c>
      <c r="AY434" s="376">
        <f t="shared" si="813"/>
        <v>150</v>
      </c>
      <c r="AZ434" s="376">
        <f t="shared" si="813"/>
        <v>187.5</v>
      </c>
      <c r="BA434" s="376">
        <f t="shared" si="813"/>
        <v>187.5</v>
      </c>
      <c r="BB434" s="376">
        <f t="shared" si="813"/>
        <v>225</v>
      </c>
      <c r="BC434" s="376">
        <f t="shared" si="813"/>
        <v>225</v>
      </c>
      <c r="BD434" s="376">
        <f t="shared" si="813"/>
        <v>225</v>
      </c>
      <c r="BE434" s="376">
        <f t="shared" si="813"/>
        <v>225</v>
      </c>
      <c r="BF434" s="376">
        <f t="shared" si="813"/>
        <v>300</v>
      </c>
      <c r="BG434" s="376">
        <f t="shared" si="813"/>
        <v>300</v>
      </c>
      <c r="BH434" s="376">
        <f t="shared" si="813"/>
        <v>75</v>
      </c>
      <c r="BI434" s="376">
        <f t="shared" si="813"/>
        <v>150</v>
      </c>
      <c r="BJ434" s="376">
        <f t="shared" si="813"/>
        <v>187.5</v>
      </c>
      <c r="BK434" s="376">
        <f t="shared" si="813"/>
        <v>187.5</v>
      </c>
      <c r="BL434" s="376">
        <f t="shared" si="813"/>
        <v>225</v>
      </c>
      <c r="BM434" s="376">
        <f t="shared" si="813"/>
        <v>225</v>
      </c>
      <c r="BN434" s="376">
        <f t="shared" si="813"/>
        <v>225</v>
      </c>
      <c r="BO434" s="376">
        <f t="shared" si="813"/>
        <v>225</v>
      </c>
      <c r="BP434" s="376">
        <f t="shared" si="813"/>
        <v>300</v>
      </c>
      <c r="BQ434" s="376">
        <f t="shared" si="813"/>
        <v>300</v>
      </c>
      <c r="BR434" s="376">
        <f t="shared" si="813"/>
        <v>75</v>
      </c>
      <c r="BS434" s="376">
        <f t="shared" si="813"/>
        <v>150</v>
      </c>
      <c r="BT434" s="376">
        <f t="shared" si="813"/>
        <v>187.5</v>
      </c>
      <c r="BU434" s="376">
        <f t="shared" si="813"/>
        <v>187.5</v>
      </c>
      <c r="BV434" s="377">
        <f t="shared" si="813"/>
        <v>225</v>
      </c>
    </row>
    <row r="435" spans="1:74" ht="20.149999999999999" customHeight="1" outlineLevel="2" x14ac:dyDescent="0.25">
      <c r="A435" s="46" t="str">
        <f>'Custos Diversos'!A153</f>
        <v>Assistência Técnica - consultoria/</v>
      </c>
      <c r="B435" s="37" t="str">
        <f>'Custos Diversos'!B152</f>
        <v>vb/ha/ano</v>
      </c>
      <c r="C435" s="284">
        <f>'Custos Diversos'!G153</f>
        <v>110</v>
      </c>
      <c r="D435" s="284">
        <v>1</v>
      </c>
      <c r="E435" s="284">
        <v>1</v>
      </c>
      <c r="F435" s="284">
        <v>1</v>
      </c>
      <c r="G435" s="284">
        <v>1</v>
      </c>
      <c r="H435" s="284">
        <v>1</v>
      </c>
      <c r="I435" s="284">
        <v>1</v>
      </c>
      <c r="J435" s="284">
        <v>1</v>
      </c>
      <c r="K435" s="284">
        <v>1</v>
      </c>
      <c r="L435" s="358">
        <v>1</v>
      </c>
      <c r="M435" s="358">
        <v>1</v>
      </c>
      <c r="N435" s="358">
        <f t="shared" si="782"/>
        <v>1</v>
      </c>
      <c r="O435" s="358">
        <f t="shared" si="783"/>
        <v>1</v>
      </c>
      <c r="P435" s="358">
        <f t="shared" si="784"/>
        <v>1</v>
      </c>
      <c r="Q435" s="358">
        <f t="shared" si="785"/>
        <v>1</v>
      </c>
      <c r="R435" s="358">
        <f t="shared" si="786"/>
        <v>1</v>
      </c>
      <c r="S435" s="358">
        <f t="shared" si="787"/>
        <v>1</v>
      </c>
      <c r="T435" s="358">
        <f t="shared" si="788"/>
        <v>1</v>
      </c>
      <c r="U435" s="358">
        <f t="shared" si="789"/>
        <v>1</v>
      </c>
      <c r="V435" s="358">
        <f t="shared" si="790"/>
        <v>1</v>
      </c>
      <c r="W435" s="358">
        <f t="shared" si="791"/>
        <v>1</v>
      </c>
      <c r="X435" s="358">
        <f t="shared" si="792"/>
        <v>1</v>
      </c>
      <c r="Y435" s="358">
        <f t="shared" si="793"/>
        <v>1</v>
      </c>
      <c r="Z435" s="358">
        <f t="shared" si="794"/>
        <v>1</v>
      </c>
      <c r="AA435" s="358">
        <f t="shared" si="795"/>
        <v>1</v>
      </c>
      <c r="AB435" s="358">
        <f t="shared" si="796"/>
        <v>1</v>
      </c>
      <c r="AC435" s="358">
        <f t="shared" si="797"/>
        <v>1</v>
      </c>
      <c r="AD435" s="358">
        <f t="shared" si="798"/>
        <v>1</v>
      </c>
      <c r="AE435" s="358">
        <f t="shared" si="799"/>
        <v>1</v>
      </c>
      <c r="AF435" s="358">
        <f t="shared" si="800"/>
        <v>1</v>
      </c>
      <c r="AG435" s="358">
        <f t="shared" si="801"/>
        <v>1</v>
      </c>
      <c r="AH435" s="358">
        <f t="shared" si="802"/>
        <v>1</v>
      </c>
      <c r="AI435" s="358">
        <f t="shared" si="803"/>
        <v>1</v>
      </c>
      <c r="AJ435" s="358">
        <f t="shared" si="804"/>
        <v>1</v>
      </c>
      <c r="AK435" s="358">
        <f t="shared" si="805"/>
        <v>1</v>
      </c>
      <c r="AL435" s="359">
        <f t="shared" si="806"/>
        <v>1</v>
      </c>
      <c r="AM435" s="636"/>
      <c r="AN435" s="303">
        <f t="shared" ref="AN435:BV435" si="814">$C$435*D435</f>
        <v>110</v>
      </c>
      <c r="AO435" s="304">
        <f t="shared" si="814"/>
        <v>110</v>
      </c>
      <c r="AP435" s="304">
        <f t="shared" si="814"/>
        <v>110</v>
      </c>
      <c r="AQ435" s="304">
        <f t="shared" si="814"/>
        <v>110</v>
      </c>
      <c r="AR435" s="304">
        <f t="shared" si="814"/>
        <v>110</v>
      </c>
      <c r="AS435" s="304">
        <f t="shared" si="814"/>
        <v>110</v>
      </c>
      <c r="AT435" s="304">
        <f t="shared" si="814"/>
        <v>110</v>
      </c>
      <c r="AU435" s="286">
        <f t="shared" si="814"/>
        <v>110</v>
      </c>
      <c r="AV435" s="313">
        <f t="shared" si="814"/>
        <v>110</v>
      </c>
      <c r="AW435" s="313">
        <f t="shared" si="814"/>
        <v>110</v>
      </c>
      <c r="AX435" s="376">
        <f t="shared" si="814"/>
        <v>110</v>
      </c>
      <c r="AY435" s="376">
        <f t="shared" si="814"/>
        <v>110</v>
      </c>
      <c r="AZ435" s="376">
        <f t="shared" si="814"/>
        <v>110</v>
      </c>
      <c r="BA435" s="376">
        <f t="shared" si="814"/>
        <v>110</v>
      </c>
      <c r="BB435" s="376">
        <f t="shared" si="814"/>
        <v>110</v>
      </c>
      <c r="BC435" s="376">
        <f t="shared" si="814"/>
        <v>110</v>
      </c>
      <c r="BD435" s="376">
        <f t="shared" si="814"/>
        <v>110</v>
      </c>
      <c r="BE435" s="376">
        <f t="shared" si="814"/>
        <v>110</v>
      </c>
      <c r="BF435" s="376">
        <f t="shared" si="814"/>
        <v>110</v>
      </c>
      <c r="BG435" s="376">
        <f t="shared" si="814"/>
        <v>110</v>
      </c>
      <c r="BH435" s="376">
        <f t="shared" si="814"/>
        <v>110</v>
      </c>
      <c r="BI435" s="376">
        <f t="shared" si="814"/>
        <v>110</v>
      </c>
      <c r="BJ435" s="376">
        <f t="shared" si="814"/>
        <v>110</v>
      </c>
      <c r="BK435" s="376">
        <f t="shared" si="814"/>
        <v>110</v>
      </c>
      <c r="BL435" s="376">
        <f t="shared" si="814"/>
        <v>110</v>
      </c>
      <c r="BM435" s="376">
        <f t="shared" si="814"/>
        <v>110</v>
      </c>
      <c r="BN435" s="376">
        <f t="shared" si="814"/>
        <v>110</v>
      </c>
      <c r="BO435" s="376">
        <f t="shared" si="814"/>
        <v>110</v>
      </c>
      <c r="BP435" s="376">
        <f t="shared" si="814"/>
        <v>110</v>
      </c>
      <c r="BQ435" s="376">
        <f t="shared" si="814"/>
        <v>110</v>
      </c>
      <c r="BR435" s="376">
        <f t="shared" si="814"/>
        <v>110</v>
      </c>
      <c r="BS435" s="376">
        <f t="shared" si="814"/>
        <v>110</v>
      </c>
      <c r="BT435" s="376">
        <f t="shared" si="814"/>
        <v>110</v>
      </c>
      <c r="BU435" s="376">
        <f t="shared" si="814"/>
        <v>110</v>
      </c>
      <c r="BV435" s="377">
        <f t="shared" si="814"/>
        <v>110</v>
      </c>
    </row>
    <row r="436" spans="1:74" ht="20.149999999999999" customHeight="1" outlineLevel="2" thickBot="1" x14ac:dyDescent="0.3">
      <c r="A436" s="333" t="str">
        <f>'Custos Diversos'!A155</f>
        <v>Administrativo</v>
      </c>
      <c r="B436" s="337" t="str">
        <f>'Custos Diversos'!B153</f>
        <v>vb/ha/ano</v>
      </c>
      <c r="C436" s="322">
        <f>'Custos Diversos'!G155</f>
        <v>978.40361791999999</v>
      </c>
      <c r="D436" s="322">
        <v>1</v>
      </c>
      <c r="E436" s="322">
        <v>1</v>
      </c>
      <c r="F436" s="322">
        <v>1.25</v>
      </c>
      <c r="G436" s="322">
        <v>1.25</v>
      </c>
      <c r="H436" s="322">
        <v>1.5</v>
      </c>
      <c r="I436" s="322">
        <v>1.5</v>
      </c>
      <c r="J436" s="322">
        <v>1.5</v>
      </c>
      <c r="K436" s="322">
        <v>1.5</v>
      </c>
      <c r="L436" s="360">
        <v>2</v>
      </c>
      <c r="M436" s="360">
        <v>2</v>
      </c>
      <c r="N436" s="360">
        <f t="shared" si="782"/>
        <v>1</v>
      </c>
      <c r="O436" s="360">
        <f t="shared" si="783"/>
        <v>1</v>
      </c>
      <c r="P436" s="360">
        <f t="shared" si="784"/>
        <v>1.25</v>
      </c>
      <c r="Q436" s="360">
        <f t="shared" si="785"/>
        <v>1.25</v>
      </c>
      <c r="R436" s="360">
        <f t="shared" si="786"/>
        <v>1.5</v>
      </c>
      <c r="S436" s="360">
        <f t="shared" si="787"/>
        <v>1.5</v>
      </c>
      <c r="T436" s="360">
        <f t="shared" si="788"/>
        <v>1.5</v>
      </c>
      <c r="U436" s="360">
        <f t="shared" si="789"/>
        <v>1.5</v>
      </c>
      <c r="V436" s="360">
        <f t="shared" si="790"/>
        <v>2</v>
      </c>
      <c r="W436" s="360">
        <f t="shared" si="791"/>
        <v>2</v>
      </c>
      <c r="X436" s="360">
        <f t="shared" si="792"/>
        <v>1</v>
      </c>
      <c r="Y436" s="360">
        <f t="shared" si="793"/>
        <v>1</v>
      </c>
      <c r="Z436" s="360">
        <f t="shared" si="794"/>
        <v>1.25</v>
      </c>
      <c r="AA436" s="360">
        <f t="shared" si="795"/>
        <v>1.25</v>
      </c>
      <c r="AB436" s="360">
        <f t="shared" si="796"/>
        <v>1.5</v>
      </c>
      <c r="AC436" s="360">
        <f t="shared" si="797"/>
        <v>1.5</v>
      </c>
      <c r="AD436" s="360">
        <f t="shared" si="798"/>
        <v>1.5</v>
      </c>
      <c r="AE436" s="360">
        <f t="shared" si="799"/>
        <v>1.5</v>
      </c>
      <c r="AF436" s="360">
        <f t="shared" si="800"/>
        <v>2</v>
      </c>
      <c r="AG436" s="360">
        <f t="shared" si="801"/>
        <v>2</v>
      </c>
      <c r="AH436" s="360">
        <f t="shared" si="802"/>
        <v>1</v>
      </c>
      <c r="AI436" s="360">
        <f t="shared" si="803"/>
        <v>1</v>
      </c>
      <c r="AJ436" s="360">
        <f t="shared" si="804"/>
        <v>1.25</v>
      </c>
      <c r="AK436" s="360">
        <f t="shared" si="805"/>
        <v>1.25</v>
      </c>
      <c r="AL436" s="361">
        <f t="shared" si="806"/>
        <v>1.5</v>
      </c>
      <c r="AM436" s="636"/>
      <c r="AN436" s="305">
        <f t="shared" ref="AN436:BV436" si="815">$C$436*D436</f>
        <v>978.40361791999999</v>
      </c>
      <c r="AO436" s="306">
        <f t="shared" si="815"/>
        <v>978.40361791999999</v>
      </c>
      <c r="AP436" s="306">
        <f t="shared" si="815"/>
        <v>1223.0045224</v>
      </c>
      <c r="AQ436" s="306">
        <f t="shared" si="815"/>
        <v>1223.0045224</v>
      </c>
      <c r="AR436" s="306">
        <f t="shared" si="815"/>
        <v>1467.6054268799999</v>
      </c>
      <c r="AS436" s="306">
        <f t="shared" si="815"/>
        <v>1467.6054268799999</v>
      </c>
      <c r="AT436" s="306">
        <f t="shared" si="815"/>
        <v>1467.6054268799999</v>
      </c>
      <c r="AU436" s="291">
        <f t="shared" si="815"/>
        <v>1467.6054268799999</v>
      </c>
      <c r="AV436" s="314">
        <f t="shared" si="815"/>
        <v>1956.80723584</v>
      </c>
      <c r="AW436" s="314">
        <f t="shared" si="815"/>
        <v>1956.80723584</v>
      </c>
      <c r="AX436" s="400">
        <f t="shared" si="815"/>
        <v>978.40361791999999</v>
      </c>
      <c r="AY436" s="400">
        <f t="shared" si="815"/>
        <v>978.40361791999999</v>
      </c>
      <c r="AZ436" s="400">
        <f t="shared" si="815"/>
        <v>1223.0045224</v>
      </c>
      <c r="BA436" s="400">
        <f t="shared" si="815"/>
        <v>1223.0045224</v>
      </c>
      <c r="BB436" s="400">
        <f t="shared" si="815"/>
        <v>1467.6054268799999</v>
      </c>
      <c r="BC436" s="400">
        <f t="shared" si="815"/>
        <v>1467.6054268799999</v>
      </c>
      <c r="BD436" s="400">
        <f t="shared" si="815"/>
        <v>1467.6054268799999</v>
      </c>
      <c r="BE436" s="400">
        <f t="shared" si="815"/>
        <v>1467.6054268799999</v>
      </c>
      <c r="BF436" s="400">
        <f t="shared" si="815"/>
        <v>1956.80723584</v>
      </c>
      <c r="BG436" s="400">
        <f t="shared" si="815"/>
        <v>1956.80723584</v>
      </c>
      <c r="BH436" s="400">
        <f t="shared" si="815"/>
        <v>978.40361791999999</v>
      </c>
      <c r="BI436" s="400">
        <f t="shared" si="815"/>
        <v>978.40361791999999</v>
      </c>
      <c r="BJ436" s="400">
        <f t="shared" si="815"/>
        <v>1223.0045224</v>
      </c>
      <c r="BK436" s="400">
        <f t="shared" si="815"/>
        <v>1223.0045224</v>
      </c>
      <c r="BL436" s="400">
        <f t="shared" si="815"/>
        <v>1467.6054268799999</v>
      </c>
      <c r="BM436" s="400">
        <f t="shared" si="815"/>
        <v>1467.6054268799999</v>
      </c>
      <c r="BN436" s="400">
        <f t="shared" si="815"/>
        <v>1467.6054268799999</v>
      </c>
      <c r="BO436" s="400">
        <f t="shared" si="815"/>
        <v>1467.6054268799999</v>
      </c>
      <c r="BP436" s="400">
        <f t="shared" si="815"/>
        <v>1956.80723584</v>
      </c>
      <c r="BQ436" s="400">
        <f t="shared" si="815"/>
        <v>1956.80723584</v>
      </c>
      <c r="BR436" s="400">
        <f t="shared" si="815"/>
        <v>978.40361791999999</v>
      </c>
      <c r="BS436" s="400">
        <f t="shared" si="815"/>
        <v>978.40361791999999</v>
      </c>
      <c r="BT436" s="400">
        <f t="shared" si="815"/>
        <v>1223.0045224</v>
      </c>
      <c r="BU436" s="400">
        <f t="shared" si="815"/>
        <v>1223.0045224</v>
      </c>
      <c r="BV436" s="401">
        <f t="shared" si="815"/>
        <v>1467.6054268799999</v>
      </c>
    </row>
    <row r="437" spans="1:74" s="408" customFormat="1" ht="20.149999999999999" customHeight="1" outlineLevel="2" thickBot="1" x14ac:dyDescent="0.3">
      <c r="A437" s="1107" t="s">
        <v>105</v>
      </c>
      <c r="B437" s="1108"/>
      <c r="C437" s="1108"/>
      <c r="D437" s="1108"/>
      <c r="E437" s="1108"/>
      <c r="F437" s="1108"/>
      <c r="G437" s="1108"/>
      <c r="H437" s="1108"/>
      <c r="I437" s="1108"/>
      <c r="J437" s="1108"/>
      <c r="K437" s="1108"/>
      <c r="L437" s="1108"/>
      <c r="M437" s="1108"/>
      <c r="N437" s="1108"/>
      <c r="O437" s="1108"/>
      <c r="P437" s="1108"/>
      <c r="Q437" s="1108"/>
      <c r="R437" s="1108"/>
      <c r="S437" s="1108"/>
      <c r="T437" s="1108"/>
      <c r="U437" s="1108"/>
      <c r="V437" s="1108"/>
      <c r="W437" s="1108"/>
      <c r="X437" s="1108"/>
      <c r="Y437" s="1108"/>
      <c r="Z437" s="1108"/>
      <c r="AA437" s="1108"/>
      <c r="AB437" s="1108"/>
      <c r="AC437" s="1108"/>
      <c r="AD437" s="1108"/>
      <c r="AE437" s="1108"/>
      <c r="AF437" s="1108"/>
      <c r="AG437" s="1108"/>
      <c r="AH437" s="1108"/>
      <c r="AI437" s="1108"/>
      <c r="AJ437" s="1108"/>
      <c r="AK437" s="1108"/>
      <c r="AL437" s="1108"/>
      <c r="AM437" s="1108"/>
      <c r="AN437" s="406">
        <f t="shared" ref="AN437:BV437" si="816">SUM(AN429:AN436)</f>
        <v>2463.6902323815825</v>
      </c>
      <c r="AO437" s="406">
        <f t="shared" si="816"/>
        <v>2554.6777323815822</v>
      </c>
      <c r="AP437" s="406">
        <f t="shared" si="816"/>
        <v>2844.7723868615826</v>
      </c>
      <c r="AQ437" s="406">
        <f t="shared" si="816"/>
        <v>2844.7723868615826</v>
      </c>
      <c r="AR437" s="406">
        <f t="shared" si="816"/>
        <v>3134.8670413415825</v>
      </c>
      <c r="AS437" s="406">
        <f t="shared" si="816"/>
        <v>3134.8670413415825</v>
      </c>
      <c r="AT437" s="406">
        <f t="shared" si="816"/>
        <v>3134.8670413415825</v>
      </c>
      <c r="AU437" s="406">
        <f t="shared" si="816"/>
        <v>3134.8670413415825</v>
      </c>
      <c r="AV437" s="407">
        <f t="shared" si="816"/>
        <v>3715.0563503015828</v>
      </c>
      <c r="AW437" s="407">
        <f t="shared" si="816"/>
        <v>3715.0563503015828</v>
      </c>
      <c r="AX437" s="407">
        <f t="shared" si="816"/>
        <v>2463.6902323815825</v>
      </c>
      <c r="AY437" s="407">
        <f t="shared" si="816"/>
        <v>2554.6777323815822</v>
      </c>
      <c r="AZ437" s="407">
        <f t="shared" si="816"/>
        <v>2844.7723868615826</v>
      </c>
      <c r="BA437" s="407">
        <f t="shared" si="816"/>
        <v>2844.7723868615826</v>
      </c>
      <c r="BB437" s="407">
        <f t="shared" si="816"/>
        <v>3134.8670413415825</v>
      </c>
      <c r="BC437" s="407">
        <f t="shared" si="816"/>
        <v>3134.8670413415825</v>
      </c>
      <c r="BD437" s="407">
        <f t="shared" si="816"/>
        <v>3134.8670413415825</v>
      </c>
      <c r="BE437" s="407">
        <f t="shared" si="816"/>
        <v>3134.8670413415825</v>
      </c>
      <c r="BF437" s="407">
        <f t="shared" si="816"/>
        <v>3715.0563503015828</v>
      </c>
      <c r="BG437" s="407">
        <f t="shared" si="816"/>
        <v>3715.0563503015828</v>
      </c>
      <c r="BH437" s="407">
        <f t="shared" si="816"/>
        <v>2463.6902323815825</v>
      </c>
      <c r="BI437" s="407">
        <f t="shared" si="816"/>
        <v>2554.6777323815822</v>
      </c>
      <c r="BJ437" s="407">
        <f t="shared" si="816"/>
        <v>2844.7723868615826</v>
      </c>
      <c r="BK437" s="407">
        <f t="shared" si="816"/>
        <v>2844.7723868615826</v>
      </c>
      <c r="BL437" s="407">
        <f t="shared" si="816"/>
        <v>3134.8670413415825</v>
      </c>
      <c r="BM437" s="407">
        <f t="shared" si="816"/>
        <v>3134.8670413415825</v>
      </c>
      <c r="BN437" s="407">
        <f t="shared" si="816"/>
        <v>3134.8670413415825</v>
      </c>
      <c r="BO437" s="407">
        <f t="shared" si="816"/>
        <v>3134.8670413415825</v>
      </c>
      <c r="BP437" s="407">
        <f t="shared" si="816"/>
        <v>3715.0563503015828</v>
      </c>
      <c r="BQ437" s="407">
        <f t="shared" si="816"/>
        <v>3715.0563503015828</v>
      </c>
      <c r="BR437" s="407">
        <f t="shared" si="816"/>
        <v>2463.6902323815825</v>
      </c>
      <c r="BS437" s="407">
        <f t="shared" si="816"/>
        <v>2554.6777323815822</v>
      </c>
      <c r="BT437" s="407">
        <f t="shared" si="816"/>
        <v>2844.7723868615826</v>
      </c>
      <c r="BU437" s="407">
        <f t="shared" si="816"/>
        <v>2844.7723868615826</v>
      </c>
      <c r="BV437" s="407">
        <f t="shared" si="816"/>
        <v>3134.8670413415825</v>
      </c>
    </row>
    <row r="438" spans="1:74" ht="20.149999999999999" customHeight="1" outlineLevel="2" collapsed="1" thickBot="1" x14ac:dyDescent="0.3">
      <c r="D438" s="344"/>
      <c r="E438" s="344"/>
      <c r="F438" s="344"/>
      <c r="G438" s="344"/>
      <c r="H438" s="344"/>
      <c r="I438" s="344"/>
      <c r="J438" s="344"/>
      <c r="K438" s="344"/>
      <c r="L438" s="344"/>
      <c r="M438" s="344"/>
      <c r="N438" s="344"/>
      <c r="O438" s="344"/>
      <c r="P438" s="344"/>
      <c r="Q438" s="344"/>
      <c r="R438" s="344"/>
      <c r="S438" s="344"/>
      <c r="T438" s="344"/>
      <c r="U438" s="344"/>
      <c r="V438" s="344"/>
      <c r="W438" s="344"/>
      <c r="X438" s="344"/>
      <c r="Y438" s="344"/>
      <c r="Z438" s="344"/>
      <c r="AA438" s="344"/>
      <c r="AB438" s="344"/>
      <c r="AC438" s="344"/>
      <c r="AD438" s="344"/>
      <c r="AE438" s="344"/>
      <c r="AF438" s="344"/>
      <c r="AG438" s="344"/>
      <c r="AH438" s="344"/>
      <c r="AI438" s="344"/>
      <c r="AJ438" s="344"/>
      <c r="AK438" s="344"/>
      <c r="AL438" s="344"/>
      <c r="AM438" s="6"/>
      <c r="AN438" s="6"/>
      <c r="AO438" s="6"/>
      <c r="AP438" s="6"/>
      <c r="AQ438" s="6"/>
      <c r="AR438" s="6"/>
      <c r="AS438" s="6"/>
      <c r="AT438" s="6"/>
      <c r="AU438" s="6"/>
    </row>
    <row r="439" spans="1:74" ht="27" customHeight="1" outlineLevel="1" thickBot="1" x14ac:dyDescent="0.3">
      <c r="A439" s="1118" t="s">
        <v>506</v>
      </c>
      <c r="B439" s="1118"/>
      <c r="C439" s="1118"/>
      <c r="D439" s="1118"/>
      <c r="E439" s="1118"/>
      <c r="F439" s="1118"/>
      <c r="G439" s="1118"/>
      <c r="H439" s="1118"/>
      <c r="I439" s="1118"/>
      <c r="J439" s="1118"/>
      <c r="K439" s="1118"/>
      <c r="L439" s="1118"/>
      <c r="M439" s="1118"/>
      <c r="N439" s="1118"/>
      <c r="O439" s="1118"/>
      <c r="P439" s="1118"/>
      <c r="Q439" s="1118"/>
      <c r="R439" s="1118"/>
      <c r="S439" s="1118"/>
      <c r="T439" s="1118"/>
      <c r="U439" s="1118"/>
      <c r="V439" s="1118"/>
      <c r="W439" s="1118"/>
      <c r="X439" s="1118"/>
      <c r="Y439" s="1118"/>
      <c r="Z439" s="1118"/>
      <c r="AA439" s="1118"/>
      <c r="AB439" s="1118"/>
      <c r="AC439" s="1118"/>
      <c r="AD439" s="1118"/>
      <c r="AE439" s="1118"/>
      <c r="AF439" s="1118"/>
      <c r="AG439" s="1118"/>
      <c r="AH439" s="1118"/>
      <c r="AI439" s="1118"/>
      <c r="AJ439" s="1118"/>
      <c r="AK439" s="1118"/>
      <c r="AL439" s="1118"/>
      <c r="AM439" s="1118"/>
      <c r="AN439" s="1118"/>
      <c r="AO439" s="1118"/>
      <c r="AP439" s="1118"/>
      <c r="AQ439" s="1118"/>
      <c r="AR439" s="1118"/>
      <c r="AS439" s="1118"/>
      <c r="AT439" s="1118"/>
      <c r="AU439" s="1118"/>
      <c r="AV439" s="1118"/>
      <c r="AW439" s="1118"/>
      <c r="AX439" s="1118"/>
      <c r="AY439" s="1118"/>
      <c r="AZ439" s="1118"/>
      <c r="BA439" s="1118"/>
      <c r="BB439" s="1118"/>
      <c r="BC439" s="1118"/>
      <c r="BD439" s="1118"/>
      <c r="BE439" s="1118"/>
      <c r="BF439" s="1118"/>
      <c r="BG439" s="1118"/>
      <c r="BH439" s="1118"/>
      <c r="BI439" s="1118"/>
      <c r="BJ439" s="1118"/>
      <c r="BK439" s="1118"/>
      <c r="BL439" s="1118"/>
      <c r="BM439" s="1118"/>
      <c r="BN439" s="1118"/>
      <c r="BO439" s="1118"/>
      <c r="BP439" s="1118"/>
      <c r="BQ439" s="1118"/>
      <c r="BR439" s="1118"/>
      <c r="BS439" s="1118"/>
      <c r="BT439" s="1118"/>
      <c r="BU439" s="1118"/>
      <c r="BV439" s="1118"/>
    </row>
    <row r="440" spans="1:74" ht="18" customHeight="1" outlineLevel="2" thickBot="1" x14ac:dyDescent="0.3">
      <c r="A440" s="631"/>
      <c r="B440" s="631"/>
      <c r="C440" s="631"/>
      <c r="D440" s="631"/>
      <c r="E440" s="631"/>
      <c r="F440" s="631"/>
      <c r="G440" s="631"/>
      <c r="H440" s="631"/>
      <c r="I440" s="631"/>
      <c r="J440" s="631"/>
      <c r="K440" s="631"/>
      <c r="L440" s="631"/>
      <c r="M440" s="631"/>
      <c r="N440" s="631"/>
      <c r="O440" s="631"/>
      <c r="P440" s="631"/>
      <c r="Q440" s="631"/>
      <c r="R440" s="631"/>
      <c r="S440" s="631"/>
      <c r="T440" s="631"/>
      <c r="U440" s="631"/>
      <c r="V440" s="631"/>
      <c r="W440" s="631"/>
      <c r="X440" s="631"/>
      <c r="Y440" s="631"/>
      <c r="Z440" s="631"/>
      <c r="AA440" s="631"/>
      <c r="AB440" s="631"/>
      <c r="AC440" s="631"/>
      <c r="AD440" s="631"/>
      <c r="AE440" s="631"/>
      <c r="AF440" s="631"/>
      <c r="AG440" s="631"/>
      <c r="AH440" s="631"/>
      <c r="AI440" s="631"/>
      <c r="AJ440" s="631"/>
      <c r="AK440" s="631"/>
      <c r="AL440" s="631"/>
      <c r="AM440" s="633"/>
      <c r="AN440" s="491">
        <v>1</v>
      </c>
      <c r="AO440" s="504">
        <v>2</v>
      </c>
      <c r="AP440" s="504">
        <v>3</v>
      </c>
      <c r="AQ440" s="504">
        <v>4</v>
      </c>
      <c r="AR440" s="504">
        <v>5</v>
      </c>
      <c r="AS440" s="504">
        <v>6</v>
      </c>
      <c r="AT440" s="504">
        <v>7</v>
      </c>
      <c r="AU440" s="504">
        <v>8</v>
      </c>
      <c r="AV440" s="504">
        <v>9</v>
      </c>
      <c r="AW440" s="504">
        <v>10</v>
      </c>
      <c r="AX440" s="504">
        <v>11</v>
      </c>
      <c r="AY440" s="504">
        <v>12</v>
      </c>
      <c r="AZ440" s="504">
        <v>13</v>
      </c>
      <c r="BA440" s="504">
        <v>14</v>
      </c>
      <c r="BB440" s="504">
        <v>15</v>
      </c>
      <c r="BC440" s="504">
        <v>16</v>
      </c>
      <c r="BD440" s="504">
        <v>17</v>
      </c>
      <c r="BE440" s="504">
        <v>18</v>
      </c>
      <c r="BF440" s="504">
        <v>19</v>
      </c>
      <c r="BG440" s="504">
        <v>20</v>
      </c>
      <c r="BH440" s="504">
        <v>21</v>
      </c>
      <c r="BI440" s="504">
        <v>22</v>
      </c>
      <c r="BJ440" s="504">
        <v>23</v>
      </c>
      <c r="BK440" s="504">
        <v>24</v>
      </c>
      <c r="BL440" s="504">
        <v>25</v>
      </c>
      <c r="BM440" s="504">
        <v>26</v>
      </c>
      <c r="BN440" s="504">
        <v>27</v>
      </c>
      <c r="BO440" s="504">
        <v>28</v>
      </c>
      <c r="BP440" s="504">
        <v>29</v>
      </c>
      <c r="BQ440" s="504">
        <v>30</v>
      </c>
      <c r="BR440" s="504">
        <v>31</v>
      </c>
      <c r="BS440" s="504">
        <v>32</v>
      </c>
      <c r="BT440" s="504">
        <v>33</v>
      </c>
      <c r="BU440" s="504">
        <v>34</v>
      </c>
      <c r="BV440" s="494">
        <v>35</v>
      </c>
    </row>
    <row r="441" spans="1:74" ht="20.149999999999999" customHeight="1" outlineLevel="2" x14ac:dyDescent="0.25">
      <c r="A441" s="345"/>
      <c r="B441" s="346"/>
      <c r="C441" s="350" t="s">
        <v>106</v>
      </c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345"/>
      <c r="AK441" s="346"/>
      <c r="AL441" s="346"/>
      <c r="AM441" s="347" t="s">
        <v>106</v>
      </c>
      <c r="AN441" s="729">
        <v>150</v>
      </c>
      <c r="AO441" s="729">
        <v>140</v>
      </c>
      <c r="AP441" s="729">
        <v>140</v>
      </c>
      <c r="AQ441" s="729">
        <v>140</v>
      </c>
      <c r="AR441" s="729">
        <v>130</v>
      </c>
      <c r="AS441" s="729">
        <v>130</v>
      </c>
      <c r="AT441" s="729">
        <v>130</v>
      </c>
      <c r="AU441" s="729">
        <v>120</v>
      </c>
      <c r="AV441" s="729">
        <v>120</v>
      </c>
      <c r="AW441" s="729">
        <v>120</v>
      </c>
      <c r="AX441" s="730">
        <f t="shared" ref="AX441:BV441" si="817">AN441</f>
        <v>150</v>
      </c>
      <c r="AY441" s="730">
        <f t="shared" si="817"/>
        <v>140</v>
      </c>
      <c r="AZ441" s="730">
        <f t="shared" si="817"/>
        <v>140</v>
      </c>
      <c r="BA441" s="730">
        <f t="shared" si="817"/>
        <v>140</v>
      </c>
      <c r="BB441" s="730">
        <f t="shared" si="817"/>
        <v>130</v>
      </c>
      <c r="BC441" s="730">
        <f t="shared" si="817"/>
        <v>130</v>
      </c>
      <c r="BD441" s="730">
        <f t="shared" si="817"/>
        <v>130</v>
      </c>
      <c r="BE441" s="730">
        <f t="shared" si="817"/>
        <v>120</v>
      </c>
      <c r="BF441" s="730">
        <f t="shared" si="817"/>
        <v>120</v>
      </c>
      <c r="BG441" s="730">
        <f t="shared" si="817"/>
        <v>120</v>
      </c>
      <c r="BH441" s="730">
        <f t="shared" si="817"/>
        <v>150</v>
      </c>
      <c r="BI441" s="730">
        <f t="shared" si="817"/>
        <v>140</v>
      </c>
      <c r="BJ441" s="730">
        <f t="shared" si="817"/>
        <v>140</v>
      </c>
      <c r="BK441" s="730">
        <f t="shared" si="817"/>
        <v>140</v>
      </c>
      <c r="BL441" s="730">
        <f t="shared" si="817"/>
        <v>130</v>
      </c>
      <c r="BM441" s="730">
        <f t="shared" si="817"/>
        <v>130</v>
      </c>
      <c r="BN441" s="730">
        <f t="shared" si="817"/>
        <v>130</v>
      </c>
      <c r="BO441" s="730">
        <f t="shared" si="817"/>
        <v>120</v>
      </c>
      <c r="BP441" s="730">
        <f t="shared" si="817"/>
        <v>120</v>
      </c>
      <c r="BQ441" s="730">
        <f t="shared" si="817"/>
        <v>120</v>
      </c>
      <c r="BR441" s="730">
        <f t="shared" si="817"/>
        <v>150</v>
      </c>
      <c r="BS441" s="730">
        <f t="shared" si="817"/>
        <v>140</v>
      </c>
      <c r="BT441" s="730">
        <f t="shared" si="817"/>
        <v>140</v>
      </c>
      <c r="BU441" s="730">
        <f t="shared" si="817"/>
        <v>140</v>
      </c>
      <c r="BV441" s="730">
        <f t="shared" si="817"/>
        <v>130</v>
      </c>
    </row>
    <row r="442" spans="1:74" s="15" customFormat="1" ht="20.149999999999999" customHeight="1" outlineLevel="2" x14ac:dyDescent="0.25">
      <c r="A442" s="348"/>
      <c r="B442" s="349"/>
      <c r="C442" s="350" t="s">
        <v>107</v>
      </c>
      <c r="D442" s="631"/>
      <c r="E442" s="631"/>
      <c r="F442" s="631"/>
      <c r="G442" s="631"/>
      <c r="H442" s="631"/>
      <c r="I442" s="631"/>
      <c r="J442" s="631"/>
      <c r="K442" s="631"/>
      <c r="L442" s="631"/>
      <c r="M442" s="631"/>
      <c r="N442" s="631"/>
      <c r="O442" s="631"/>
      <c r="P442" s="631"/>
      <c r="Q442" s="631"/>
      <c r="R442" s="631"/>
      <c r="S442" s="631"/>
      <c r="T442" s="631"/>
      <c r="U442" s="631"/>
      <c r="V442" s="631"/>
      <c r="W442" s="631"/>
      <c r="X442" s="631"/>
      <c r="Y442" s="631"/>
      <c r="Z442" s="631"/>
      <c r="AA442" s="631"/>
      <c r="AB442" s="631"/>
      <c r="AC442" s="631"/>
      <c r="AD442" s="631"/>
      <c r="AE442" s="631"/>
      <c r="AF442" s="631"/>
      <c r="AG442" s="631"/>
      <c r="AH442" s="631"/>
      <c r="AI442" s="631"/>
      <c r="AJ442" s="348"/>
      <c r="AK442" s="349"/>
      <c r="AL442" s="349"/>
      <c r="AM442" s="347" t="s">
        <v>107</v>
      </c>
      <c r="AN442" s="343">
        <f t="shared" ref="AN442:BV442" si="818">AN387+AN399+AN416+AN424+AN437</f>
        <v>48955.990232381584</v>
      </c>
      <c r="AO442" s="343">
        <f t="shared" si="818"/>
        <v>16029.177732381582</v>
      </c>
      <c r="AP442" s="343">
        <f t="shared" si="818"/>
        <v>16319.272386861583</v>
      </c>
      <c r="AQ442" s="343">
        <f t="shared" si="818"/>
        <v>16319.272386861583</v>
      </c>
      <c r="AR442" s="343">
        <f t="shared" si="818"/>
        <v>16199.367041341582</v>
      </c>
      <c r="AS442" s="343">
        <f t="shared" si="818"/>
        <v>16199.367041341582</v>
      </c>
      <c r="AT442" s="343">
        <f t="shared" si="818"/>
        <v>16199.367041341582</v>
      </c>
      <c r="AU442" s="343">
        <f t="shared" si="818"/>
        <v>15789.367041341582</v>
      </c>
      <c r="AV442" s="343">
        <f t="shared" si="818"/>
        <v>16369.556350301584</v>
      </c>
      <c r="AW442" s="343">
        <f t="shared" si="818"/>
        <v>16369.556350301584</v>
      </c>
      <c r="AX442" s="731">
        <f t="shared" si="818"/>
        <v>27258.49023238158</v>
      </c>
      <c r="AY442" s="731">
        <f t="shared" si="818"/>
        <v>16029.177732381582</v>
      </c>
      <c r="AZ442" s="731">
        <f t="shared" si="818"/>
        <v>16319.272386861583</v>
      </c>
      <c r="BA442" s="731">
        <f t="shared" si="818"/>
        <v>16319.272386861583</v>
      </c>
      <c r="BB442" s="731">
        <f t="shared" si="818"/>
        <v>16199.367041341582</v>
      </c>
      <c r="BC442" s="731">
        <f t="shared" si="818"/>
        <v>16199.367041341582</v>
      </c>
      <c r="BD442" s="731">
        <f t="shared" si="818"/>
        <v>16199.367041341582</v>
      </c>
      <c r="BE442" s="731">
        <f t="shared" si="818"/>
        <v>15789.367041341582</v>
      </c>
      <c r="BF442" s="731">
        <f t="shared" si="818"/>
        <v>16369.556350301584</v>
      </c>
      <c r="BG442" s="731">
        <f t="shared" si="818"/>
        <v>16369.556350301584</v>
      </c>
      <c r="BH442" s="731">
        <f t="shared" si="818"/>
        <v>27258.49023238158</v>
      </c>
      <c r="BI442" s="731">
        <f t="shared" si="818"/>
        <v>16029.177732381582</v>
      </c>
      <c r="BJ442" s="731">
        <f t="shared" si="818"/>
        <v>16319.272386861583</v>
      </c>
      <c r="BK442" s="731">
        <f t="shared" si="818"/>
        <v>16319.272386861583</v>
      </c>
      <c r="BL442" s="731">
        <f t="shared" si="818"/>
        <v>16199.367041341582</v>
      </c>
      <c r="BM442" s="731">
        <f t="shared" si="818"/>
        <v>16199.367041341582</v>
      </c>
      <c r="BN442" s="731">
        <f t="shared" si="818"/>
        <v>16199.367041341582</v>
      </c>
      <c r="BO442" s="731">
        <f t="shared" si="818"/>
        <v>15789.367041341582</v>
      </c>
      <c r="BP442" s="731">
        <f t="shared" si="818"/>
        <v>16369.556350301584</v>
      </c>
      <c r="BQ442" s="731">
        <f t="shared" si="818"/>
        <v>16369.556350301584</v>
      </c>
      <c r="BR442" s="731">
        <f t="shared" si="818"/>
        <v>27258.49023238158</v>
      </c>
      <c r="BS442" s="731">
        <f t="shared" si="818"/>
        <v>16029.177732381582</v>
      </c>
      <c r="BT442" s="731">
        <f t="shared" si="818"/>
        <v>16319.272386861583</v>
      </c>
      <c r="BU442" s="731">
        <f t="shared" si="818"/>
        <v>16319.272386861583</v>
      </c>
      <c r="BV442" s="731">
        <f t="shared" si="818"/>
        <v>16199.367041341582</v>
      </c>
    </row>
    <row r="443" spans="1:74" s="15" customFormat="1" ht="20.149999999999999" customHeight="1" outlineLevel="2" x14ac:dyDescent="0.25">
      <c r="A443" s="348"/>
      <c r="B443" s="349"/>
      <c r="C443" s="350" t="s">
        <v>108</v>
      </c>
      <c r="D443" s="631"/>
      <c r="E443" s="631"/>
      <c r="F443" s="631"/>
      <c r="G443" s="631"/>
      <c r="H443" s="631"/>
      <c r="I443" s="631"/>
      <c r="J443" s="631"/>
      <c r="K443" s="631"/>
      <c r="L443" s="631"/>
      <c r="M443" s="631"/>
      <c r="N443" s="631"/>
      <c r="O443" s="631"/>
      <c r="P443" s="631"/>
      <c r="Q443" s="631"/>
      <c r="R443" s="631"/>
      <c r="S443" s="631"/>
      <c r="T443" s="631"/>
      <c r="U443" s="631"/>
      <c r="V443" s="631"/>
      <c r="W443" s="631"/>
      <c r="X443" s="631"/>
      <c r="Y443" s="631"/>
      <c r="Z443" s="631"/>
      <c r="AA443" s="631"/>
      <c r="AB443" s="631"/>
      <c r="AC443" s="631"/>
      <c r="AD443" s="631"/>
      <c r="AE443" s="631"/>
      <c r="AF443" s="631"/>
      <c r="AG443" s="631"/>
      <c r="AH443" s="631"/>
      <c r="AI443" s="631"/>
      <c r="AJ443" s="348"/>
      <c r="AK443" s="349"/>
      <c r="AL443" s="349"/>
      <c r="AM443" s="347" t="s">
        <v>108</v>
      </c>
      <c r="AN443" s="343">
        <f t="shared" ref="AN443:BV443" si="819">AN441*$AN$447</f>
        <v>28800</v>
      </c>
      <c r="AO443" s="343">
        <f t="shared" si="819"/>
        <v>26880</v>
      </c>
      <c r="AP443" s="343">
        <f t="shared" si="819"/>
        <v>26880</v>
      </c>
      <c r="AQ443" s="343">
        <f t="shared" si="819"/>
        <v>26880</v>
      </c>
      <c r="AR443" s="343">
        <f t="shared" si="819"/>
        <v>24960</v>
      </c>
      <c r="AS443" s="343">
        <f t="shared" si="819"/>
        <v>24960</v>
      </c>
      <c r="AT443" s="343">
        <f t="shared" si="819"/>
        <v>24960</v>
      </c>
      <c r="AU443" s="343">
        <f t="shared" si="819"/>
        <v>23040</v>
      </c>
      <c r="AV443" s="343">
        <f t="shared" si="819"/>
        <v>23040</v>
      </c>
      <c r="AW443" s="343">
        <f t="shared" si="819"/>
        <v>23040</v>
      </c>
      <c r="AX443" s="731">
        <f t="shared" si="819"/>
        <v>28800</v>
      </c>
      <c r="AY443" s="731">
        <f t="shared" si="819"/>
        <v>26880</v>
      </c>
      <c r="AZ443" s="731">
        <f t="shared" si="819"/>
        <v>26880</v>
      </c>
      <c r="BA443" s="731">
        <f t="shared" si="819"/>
        <v>26880</v>
      </c>
      <c r="BB443" s="731">
        <f t="shared" si="819"/>
        <v>24960</v>
      </c>
      <c r="BC443" s="731">
        <f t="shared" si="819"/>
        <v>24960</v>
      </c>
      <c r="BD443" s="731">
        <f t="shared" si="819"/>
        <v>24960</v>
      </c>
      <c r="BE443" s="731">
        <f t="shared" si="819"/>
        <v>23040</v>
      </c>
      <c r="BF443" s="731">
        <f t="shared" si="819"/>
        <v>23040</v>
      </c>
      <c r="BG443" s="731">
        <f t="shared" si="819"/>
        <v>23040</v>
      </c>
      <c r="BH443" s="731">
        <f t="shared" si="819"/>
        <v>28800</v>
      </c>
      <c r="BI443" s="731">
        <f t="shared" si="819"/>
        <v>26880</v>
      </c>
      <c r="BJ443" s="731">
        <f t="shared" si="819"/>
        <v>26880</v>
      </c>
      <c r="BK443" s="731">
        <f t="shared" si="819"/>
        <v>26880</v>
      </c>
      <c r="BL443" s="731">
        <f t="shared" si="819"/>
        <v>24960</v>
      </c>
      <c r="BM443" s="731">
        <f t="shared" si="819"/>
        <v>24960</v>
      </c>
      <c r="BN443" s="731">
        <f t="shared" si="819"/>
        <v>24960</v>
      </c>
      <c r="BO443" s="731">
        <f t="shared" si="819"/>
        <v>23040</v>
      </c>
      <c r="BP443" s="731">
        <f t="shared" si="819"/>
        <v>23040</v>
      </c>
      <c r="BQ443" s="731">
        <f t="shared" si="819"/>
        <v>23040</v>
      </c>
      <c r="BR443" s="731">
        <f t="shared" si="819"/>
        <v>28800</v>
      </c>
      <c r="BS443" s="731">
        <f t="shared" si="819"/>
        <v>26880</v>
      </c>
      <c r="BT443" s="731">
        <f t="shared" si="819"/>
        <v>26880</v>
      </c>
      <c r="BU443" s="731">
        <f t="shared" si="819"/>
        <v>26880</v>
      </c>
      <c r="BV443" s="731">
        <f t="shared" si="819"/>
        <v>24960</v>
      </c>
    </row>
    <row r="444" spans="1:74" s="15" customFormat="1" ht="20.149999999999999" customHeight="1" outlineLevel="2" x14ac:dyDescent="0.25">
      <c r="A444" s="348"/>
      <c r="B444" s="349"/>
      <c r="C444" s="350" t="s">
        <v>109</v>
      </c>
      <c r="D444" s="631"/>
      <c r="E444" s="631"/>
      <c r="F444" s="631"/>
      <c r="G444" s="631"/>
      <c r="H444" s="631"/>
      <c r="I444" s="631"/>
      <c r="J444" s="631"/>
      <c r="K444" s="631"/>
      <c r="L444" s="631"/>
      <c r="M444" s="631"/>
      <c r="N444" s="631"/>
      <c r="O444" s="631"/>
      <c r="P444" s="631"/>
      <c r="Q444" s="631"/>
      <c r="R444" s="631"/>
      <c r="S444" s="631"/>
      <c r="T444" s="631"/>
      <c r="U444" s="631"/>
      <c r="V444" s="631"/>
      <c r="W444" s="631"/>
      <c r="X444" s="631"/>
      <c r="Y444" s="631"/>
      <c r="Z444" s="631"/>
      <c r="AA444" s="631"/>
      <c r="AB444" s="631"/>
      <c r="AC444" s="631"/>
      <c r="AD444" s="631"/>
      <c r="AE444" s="631"/>
      <c r="AF444" s="631"/>
      <c r="AG444" s="631"/>
      <c r="AH444" s="631"/>
      <c r="AI444" s="631"/>
      <c r="AJ444" s="348"/>
      <c r="AK444" s="349"/>
      <c r="AL444" s="349"/>
      <c r="AM444" s="347" t="s">
        <v>109</v>
      </c>
      <c r="AN444" s="343">
        <f t="shared" ref="AN444:BV444" si="820">AN443-AN442</f>
        <v>-20155.990232381584</v>
      </c>
      <c r="AO444" s="343">
        <f t="shared" si="820"/>
        <v>10850.822267618418</v>
      </c>
      <c r="AP444" s="343">
        <f t="shared" si="820"/>
        <v>10560.727613138417</v>
      </c>
      <c r="AQ444" s="343">
        <f t="shared" si="820"/>
        <v>10560.727613138417</v>
      </c>
      <c r="AR444" s="343">
        <f t="shared" si="820"/>
        <v>8760.6329586584179</v>
      </c>
      <c r="AS444" s="343">
        <f t="shared" si="820"/>
        <v>8760.6329586584179</v>
      </c>
      <c r="AT444" s="343">
        <f t="shared" si="820"/>
        <v>8760.6329586584179</v>
      </c>
      <c r="AU444" s="343">
        <f t="shared" si="820"/>
        <v>7250.6329586584179</v>
      </c>
      <c r="AV444" s="343">
        <f t="shared" si="820"/>
        <v>6670.4436496984163</v>
      </c>
      <c r="AW444" s="343">
        <f t="shared" si="820"/>
        <v>6670.4436496984163</v>
      </c>
      <c r="AX444" s="731">
        <f t="shared" si="820"/>
        <v>1541.5097676184196</v>
      </c>
      <c r="AY444" s="731">
        <f t="shared" si="820"/>
        <v>10850.822267618418</v>
      </c>
      <c r="AZ444" s="731">
        <f t="shared" si="820"/>
        <v>10560.727613138417</v>
      </c>
      <c r="BA444" s="731">
        <f t="shared" si="820"/>
        <v>10560.727613138417</v>
      </c>
      <c r="BB444" s="731">
        <f t="shared" si="820"/>
        <v>8760.6329586584179</v>
      </c>
      <c r="BC444" s="731">
        <f t="shared" si="820"/>
        <v>8760.6329586584179</v>
      </c>
      <c r="BD444" s="731">
        <f t="shared" si="820"/>
        <v>8760.6329586584179</v>
      </c>
      <c r="BE444" s="731">
        <f t="shared" si="820"/>
        <v>7250.6329586584179</v>
      </c>
      <c r="BF444" s="731">
        <f t="shared" si="820"/>
        <v>6670.4436496984163</v>
      </c>
      <c r="BG444" s="731">
        <f t="shared" si="820"/>
        <v>6670.4436496984163</v>
      </c>
      <c r="BH444" s="731">
        <f t="shared" si="820"/>
        <v>1541.5097676184196</v>
      </c>
      <c r="BI444" s="731">
        <f t="shared" si="820"/>
        <v>10850.822267618418</v>
      </c>
      <c r="BJ444" s="731">
        <f t="shared" si="820"/>
        <v>10560.727613138417</v>
      </c>
      <c r="BK444" s="731">
        <f t="shared" si="820"/>
        <v>10560.727613138417</v>
      </c>
      <c r="BL444" s="731">
        <f t="shared" si="820"/>
        <v>8760.6329586584179</v>
      </c>
      <c r="BM444" s="731">
        <f t="shared" si="820"/>
        <v>8760.6329586584179</v>
      </c>
      <c r="BN444" s="731">
        <f t="shared" si="820"/>
        <v>8760.6329586584179</v>
      </c>
      <c r="BO444" s="731">
        <f t="shared" si="820"/>
        <v>7250.6329586584179</v>
      </c>
      <c r="BP444" s="731">
        <f t="shared" si="820"/>
        <v>6670.4436496984163</v>
      </c>
      <c r="BQ444" s="731">
        <f t="shared" si="820"/>
        <v>6670.4436496984163</v>
      </c>
      <c r="BR444" s="731">
        <f t="shared" si="820"/>
        <v>1541.5097676184196</v>
      </c>
      <c r="BS444" s="731">
        <f t="shared" si="820"/>
        <v>10850.822267618418</v>
      </c>
      <c r="BT444" s="731">
        <f t="shared" si="820"/>
        <v>10560.727613138417</v>
      </c>
      <c r="BU444" s="731">
        <f t="shared" si="820"/>
        <v>10560.727613138417</v>
      </c>
      <c r="BV444" s="731">
        <f t="shared" si="820"/>
        <v>8760.6329586584179</v>
      </c>
    </row>
    <row r="445" spans="1:74" s="15" customFormat="1" ht="20.149999999999999" customHeight="1" outlineLevel="2" x14ac:dyDescent="0.25">
      <c r="A445" s="348"/>
      <c r="B445" s="349"/>
      <c r="C445" s="350" t="s">
        <v>110</v>
      </c>
      <c r="D445" s="631"/>
      <c r="E445" s="631"/>
      <c r="F445" s="631"/>
      <c r="G445" s="631"/>
      <c r="H445" s="631"/>
      <c r="I445" s="631"/>
      <c r="J445" s="631"/>
      <c r="K445" s="631"/>
      <c r="L445" s="631"/>
      <c r="M445" s="631"/>
      <c r="N445" s="631"/>
      <c r="O445" s="631"/>
      <c r="P445" s="631"/>
      <c r="Q445" s="631"/>
      <c r="R445" s="631"/>
      <c r="S445" s="631"/>
      <c r="T445" s="631"/>
      <c r="U445" s="631"/>
      <c r="V445" s="631"/>
      <c r="W445" s="631"/>
      <c r="X445" s="631"/>
      <c r="Y445" s="631"/>
      <c r="Z445" s="631"/>
      <c r="AA445" s="631"/>
      <c r="AB445" s="631"/>
      <c r="AC445" s="631"/>
      <c r="AD445" s="631"/>
      <c r="AE445" s="631"/>
      <c r="AF445" s="631"/>
      <c r="AG445" s="631"/>
      <c r="AH445" s="631"/>
      <c r="AI445" s="631"/>
      <c r="AJ445" s="348"/>
      <c r="AK445" s="349"/>
      <c r="AL445" s="349"/>
      <c r="AM445" s="347" t="s">
        <v>110</v>
      </c>
      <c r="AN445" s="343">
        <f>AN444</f>
        <v>-20155.990232381584</v>
      </c>
      <c r="AO445" s="343">
        <f t="shared" ref="AO445:BV445" si="821">AO444+AN445</f>
        <v>-9305.1679647631663</v>
      </c>
      <c r="AP445" s="343">
        <f t="shared" si="821"/>
        <v>1255.5596483752506</v>
      </c>
      <c r="AQ445" s="343">
        <f t="shared" si="821"/>
        <v>11816.287261513668</v>
      </c>
      <c r="AR445" s="343">
        <f t="shared" si="821"/>
        <v>20576.920220172084</v>
      </c>
      <c r="AS445" s="343">
        <f t="shared" si="821"/>
        <v>29337.553178830502</v>
      </c>
      <c r="AT445" s="343">
        <f t="shared" si="821"/>
        <v>38098.186137488919</v>
      </c>
      <c r="AU445" s="343">
        <f t="shared" si="821"/>
        <v>45348.819096147337</v>
      </c>
      <c r="AV445" s="343">
        <f t="shared" si="821"/>
        <v>52019.262745845757</v>
      </c>
      <c r="AW445" s="343">
        <f t="shared" si="821"/>
        <v>58689.70639554417</v>
      </c>
      <c r="AX445" s="731">
        <f t="shared" si="821"/>
        <v>60231.216163162593</v>
      </c>
      <c r="AY445" s="731">
        <f t="shared" si="821"/>
        <v>71082.038430781016</v>
      </c>
      <c r="AZ445" s="731">
        <f t="shared" si="821"/>
        <v>81642.76604391943</v>
      </c>
      <c r="BA445" s="731">
        <f t="shared" si="821"/>
        <v>92203.493657057843</v>
      </c>
      <c r="BB445" s="731">
        <f t="shared" si="821"/>
        <v>100964.12661571626</v>
      </c>
      <c r="BC445" s="731">
        <f t="shared" si="821"/>
        <v>109724.75957437468</v>
      </c>
      <c r="BD445" s="731">
        <f t="shared" si="821"/>
        <v>118485.3925330331</v>
      </c>
      <c r="BE445" s="731">
        <f t="shared" si="821"/>
        <v>125736.02549169151</v>
      </c>
      <c r="BF445" s="731">
        <f t="shared" si="821"/>
        <v>132406.46914138994</v>
      </c>
      <c r="BG445" s="731">
        <f t="shared" si="821"/>
        <v>139076.91279108837</v>
      </c>
      <c r="BH445" s="731">
        <f t="shared" si="821"/>
        <v>140618.42255870678</v>
      </c>
      <c r="BI445" s="731">
        <f t="shared" si="821"/>
        <v>151469.24482632519</v>
      </c>
      <c r="BJ445" s="731">
        <f t="shared" si="821"/>
        <v>162029.9724394636</v>
      </c>
      <c r="BK445" s="731">
        <f t="shared" si="821"/>
        <v>172590.70005260201</v>
      </c>
      <c r="BL445" s="731">
        <f t="shared" si="821"/>
        <v>181351.33301126043</v>
      </c>
      <c r="BM445" s="731">
        <f t="shared" si="821"/>
        <v>190111.96596991885</v>
      </c>
      <c r="BN445" s="731">
        <f t="shared" si="821"/>
        <v>198872.59892857727</v>
      </c>
      <c r="BO445" s="731">
        <f t="shared" si="821"/>
        <v>206123.23188723568</v>
      </c>
      <c r="BP445" s="731">
        <f t="shared" si="821"/>
        <v>212793.67553693411</v>
      </c>
      <c r="BQ445" s="731">
        <f t="shared" si="821"/>
        <v>219464.11918663254</v>
      </c>
      <c r="BR445" s="731">
        <f t="shared" si="821"/>
        <v>221005.62895425095</v>
      </c>
      <c r="BS445" s="731">
        <f t="shared" si="821"/>
        <v>231856.45122186936</v>
      </c>
      <c r="BT445" s="731">
        <f t="shared" si="821"/>
        <v>242417.17883500777</v>
      </c>
      <c r="BU445" s="731">
        <f t="shared" si="821"/>
        <v>252977.90644814618</v>
      </c>
      <c r="BV445" s="731">
        <f t="shared" si="821"/>
        <v>261738.5394068046</v>
      </c>
    </row>
    <row r="446" spans="1:74" ht="20.149999999999999" customHeight="1" outlineLevel="2" x14ac:dyDescent="0.25">
      <c r="A446" s="348"/>
      <c r="B446" s="349"/>
      <c r="C446" s="350" t="s">
        <v>111</v>
      </c>
      <c r="D446" s="626"/>
      <c r="E446" s="626"/>
      <c r="F446" s="626"/>
      <c r="G446" s="626"/>
      <c r="H446" s="626"/>
      <c r="I446" s="626"/>
      <c r="J446" s="631"/>
      <c r="K446" s="631"/>
      <c r="L446" s="631"/>
      <c r="M446" s="631"/>
      <c r="N446" s="631"/>
      <c r="O446" s="631"/>
      <c r="P446" s="631"/>
      <c r="Q446" s="631"/>
      <c r="R446" s="631"/>
      <c r="S446" s="631"/>
      <c r="T446" s="631"/>
      <c r="U446" s="631"/>
      <c r="V446" s="631"/>
      <c r="W446" s="631"/>
      <c r="X446" s="631"/>
      <c r="Y446" s="631"/>
      <c r="Z446" s="631"/>
      <c r="AA446" s="631"/>
      <c r="AB446" s="631"/>
      <c r="AC446" s="631"/>
      <c r="AD446" s="631"/>
      <c r="AE446" s="631"/>
      <c r="AF446" s="631"/>
      <c r="AG446" s="631"/>
      <c r="AH446" s="631"/>
      <c r="AI446" s="631"/>
      <c r="AJ446" s="348"/>
      <c r="AK446" s="349"/>
      <c r="AL446" s="349"/>
      <c r="AM446" s="350" t="s">
        <v>111</v>
      </c>
      <c r="AN446" s="343">
        <f>BV445/BV370</f>
        <v>7478.2439830515605</v>
      </c>
      <c r="AO446" s="639"/>
      <c r="AP446" s="639"/>
      <c r="AQ446" s="639"/>
      <c r="AR446" s="639"/>
      <c r="AS446" s="639"/>
      <c r="AT446" s="625"/>
      <c r="AU446" s="625"/>
      <c r="AV446" s="625"/>
      <c r="AW446" s="625"/>
      <c r="AX446" s="625"/>
      <c r="AY446" s="625"/>
      <c r="AZ446" s="625"/>
      <c r="BA446" s="625"/>
      <c r="BB446" s="625"/>
      <c r="BC446" s="625"/>
      <c r="BD446" s="625"/>
      <c r="BE446" s="625"/>
      <c r="BF446" s="625"/>
      <c r="BG446" s="625"/>
      <c r="BH446" s="625"/>
      <c r="BI446" s="625"/>
      <c r="BJ446" s="625"/>
      <c r="BK446" s="625"/>
      <c r="BL446" s="625"/>
      <c r="BM446" s="625"/>
      <c r="BN446" s="625"/>
      <c r="BO446" s="625"/>
      <c r="BP446" s="625"/>
      <c r="BQ446" s="625"/>
      <c r="BR446" s="625"/>
      <c r="BS446" s="625"/>
      <c r="BT446" s="625"/>
      <c r="BU446" s="625"/>
      <c r="BV446" s="625"/>
    </row>
    <row r="447" spans="1:74" ht="20.149999999999999" customHeight="1" outlineLevel="2" x14ac:dyDescent="0.25">
      <c r="A447" s="351"/>
      <c r="B447" s="352"/>
      <c r="C447" s="353" t="s">
        <v>112</v>
      </c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  <c r="Z447" s="626"/>
      <c r="AA447" s="626"/>
      <c r="AB447" s="626"/>
      <c r="AC447" s="626"/>
      <c r="AD447" s="626"/>
      <c r="AE447" s="626"/>
      <c r="AF447" s="626"/>
      <c r="AG447" s="626"/>
      <c r="AH447" s="626"/>
      <c r="AI447" s="626"/>
      <c r="AJ447" s="351"/>
      <c r="AK447" s="352"/>
      <c r="AL447" s="352"/>
      <c r="AM447" s="353" t="s">
        <v>112</v>
      </c>
      <c r="AN447" s="846">
        <f>'Preço de venda - Cult Perm.'!B87</f>
        <v>192</v>
      </c>
      <c r="AO447" s="625"/>
      <c r="AP447" s="625"/>
      <c r="AQ447" s="625"/>
      <c r="AR447" s="625"/>
      <c r="AS447" s="625"/>
      <c r="AT447" s="625"/>
      <c r="AU447" s="625"/>
      <c r="AV447" s="625"/>
      <c r="AW447" s="625"/>
      <c r="AX447" s="625"/>
      <c r="AY447" s="625"/>
      <c r="AZ447" s="625"/>
      <c r="BA447" s="625"/>
      <c r="BB447" s="625"/>
      <c r="BC447" s="625"/>
      <c r="BD447" s="625"/>
      <c r="BE447" s="625"/>
      <c r="BF447" s="625"/>
      <c r="BG447" s="625"/>
      <c r="BH447" s="625"/>
      <c r="BI447" s="625"/>
      <c r="BJ447" s="625"/>
      <c r="BK447" s="625"/>
      <c r="BL447" s="625"/>
      <c r="BM447" s="625"/>
      <c r="BN447" s="625"/>
      <c r="BO447" s="625"/>
      <c r="BP447" s="625"/>
      <c r="BQ447" s="625"/>
      <c r="BR447" s="625"/>
      <c r="BS447" s="625"/>
      <c r="BT447" s="625"/>
      <c r="BU447" s="625"/>
      <c r="BV447" s="625"/>
    </row>
  </sheetData>
  <mergeCells count="183">
    <mergeCell ref="A85:BV85"/>
    <mergeCell ref="A177:BV177"/>
    <mergeCell ref="A268:BV268"/>
    <mergeCell ref="A357:BV357"/>
    <mergeCell ref="A439:BV439"/>
    <mergeCell ref="A212:BV212"/>
    <mergeCell ref="A229:BV229"/>
    <mergeCell ref="A245:BV245"/>
    <mergeCell ref="A344:BV344"/>
    <mergeCell ref="AN255:BV255"/>
    <mergeCell ref="AN269:BV269"/>
    <mergeCell ref="AN213:BV213"/>
    <mergeCell ref="D230:AL230"/>
    <mergeCell ref="AN230:BV230"/>
    <mergeCell ref="D246:AL246"/>
    <mergeCell ref="AN246:BV246"/>
    <mergeCell ref="A266:AM266"/>
    <mergeCell ref="A252:AM252"/>
    <mergeCell ref="A255:A256"/>
    <mergeCell ref="B255:B256"/>
    <mergeCell ref="AN345:BV345"/>
    <mergeCell ref="AN369:BV369"/>
    <mergeCell ref="A389:BV389"/>
    <mergeCell ref="D390:AL390"/>
    <mergeCell ref="AN390:BV390"/>
    <mergeCell ref="A368:BV368"/>
    <mergeCell ref="D369:AL369"/>
    <mergeCell ref="A387:AM387"/>
    <mergeCell ref="A390:A391"/>
    <mergeCell ref="B390:B391"/>
    <mergeCell ref="A401:BV401"/>
    <mergeCell ref="D402:AL402"/>
    <mergeCell ref="AN402:BV402"/>
    <mergeCell ref="A399:AM399"/>
    <mergeCell ref="A402:A403"/>
    <mergeCell ref="B402:B403"/>
    <mergeCell ref="C402:C403"/>
    <mergeCell ref="A416:AM416"/>
    <mergeCell ref="A419:A420"/>
    <mergeCell ref="B419:B420"/>
    <mergeCell ref="C419:C420"/>
    <mergeCell ref="A418:BV418"/>
    <mergeCell ref="D419:AL419"/>
    <mergeCell ref="AN419:BV419"/>
    <mergeCell ref="A437:AM437"/>
    <mergeCell ref="A424:AM424"/>
    <mergeCell ref="A427:A428"/>
    <mergeCell ref="B427:B428"/>
    <mergeCell ref="C427:C428"/>
    <mergeCell ref="A426:BV426"/>
    <mergeCell ref="D427:AL427"/>
    <mergeCell ref="AN427:BV427"/>
    <mergeCell ref="D345:AL345"/>
    <mergeCell ref="C390:C391"/>
    <mergeCell ref="A369:A370"/>
    <mergeCell ref="B369:B370"/>
    <mergeCell ref="C369:C370"/>
    <mergeCell ref="A355:AM355"/>
    <mergeCell ref="A342:AM342"/>
    <mergeCell ref="A345:A346"/>
    <mergeCell ref="B345:B346"/>
    <mergeCell ref="C345:C346"/>
    <mergeCell ref="AN337:BV337"/>
    <mergeCell ref="A336:BV336"/>
    <mergeCell ref="A318:AM318"/>
    <mergeCell ref="A321:A322"/>
    <mergeCell ref="B321:B322"/>
    <mergeCell ref="C321:C322"/>
    <mergeCell ref="D321:AL321"/>
    <mergeCell ref="AN321:BV321"/>
    <mergeCell ref="A320:BV320"/>
    <mergeCell ref="A334:AM334"/>
    <mergeCell ref="A337:A338"/>
    <mergeCell ref="B337:B338"/>
    <mergeCell ref="C337:C338"/>
    <mergeCell ref="D337:AL337"/>
    <mergeCell ref="A301:AM301"/>
    <mergeCell ref="A304:A305"/>
    <mergeCell ref="B304:B305"/>
    <mergeCell ref="C304:C305"/>
    <mergeCell ref="D304:AL304"/>
    <mergeCell ref="AN304:BV304"/>
    <mergeCell ref="A303:BV303"/>
    <mergeCell ref="A281:A282"/>
    <mergeCell ref="B281:B282"/>
    <mergeCell ref="C281:C282"/>
    <mergeCell ref="D281:AL281"/>
    <mergeCell ref="AN281:BV281"/>
    <mergeCell ref="A280:BV280"/>
    <mergeCell ref="C255:C256"/>
    <mergeCell ref="A243:AM243"/>
    <mergeCell ref="A246:A247"/>
    <mergeCell ref="B246:B247"/>
    <mergeCell ref="D255:AL255"/>
    <mergeCell ref="A254:BV254"/>
    <mergeCell ref="C246:C247"/>
    <mergeCell ref="AN86:BV86"/>
    <mergeCell ref="AN178:BV178"/>
    <mergeCell ref="A227:AM227"/>
    <mergeCell ref="A230:A231"/>
    <mergeCell ref="B230:B231"/>
    <mergeCell ref="C230:C231"/>
    <mergeCell ref="D213:AL213"/>
    <mergeCell ref="A210:AM210"/>
    <mergeCell ref="A190:A191"/>
    <mergeCell ref="B190:B191"/>
    <mergeCell ref="C190:C191"/>
    <mergeCell ref="A213:A214"/>
    <mergeCell ref="B213:B214"/>
    <mergeCell ref="C213:C214"/>
    <mergeCell ref="AN165:BV165"/>
    <mergeCell ref="A175:AM175"/>
    <mergeCell ref="D190:AL190"/>
    <mergeCell ref="A189:BV189"/>
    <mergeCell ref="AN190:BV190"/>
    <mergeCell ref="A162:AM162"/>
    <mergeCell ref="A165:A166"/>
    <mergeCell ref="B165:B166"/>
    <mergeCell ref="C165:C166"/>
    <mergeCell ref="A164:BV164"/>
    <mergeCell ref="D165:AL165"/>
    <mergeCell ref="A152:AM152"/>
    <mergeCell ref="A155:A156"/>
    <mergeCell ref="B155:B156"/>
    <mergeCell ref="C155:C156"/>
    <mergeCell ref="A154:BV154"/>
    <mergeCell ref="D155:AL155"/>
    <mergeCell ref="AN155:BV155"/>
    <mergeCell ref="A136:AM136"/>
    <mergeCell ref="A139:A140"/>
    <mergeCell ref="B139:B140"/>
    <mergeCell ref="C139:C140"/>
    <mergeCell ref="A138:BV138"/>
    <mergeCell ref="D139:AL139"/>
    <mergeCell ref="AN139:BV139"/>
    <mergeCell ref="A115:AM115"/>
    <mergeCell ref="A118:A119"/>
    <mergeCell ref="B118:B119"/>
    <mergeCell ref="C118:C119"/>
    <mergeCell ref="A117:BV117"/>
    <mergeCell ref="D118:AL118"/>
    <mergeCell ref="AN118:BV118"/>
    <mergeCell ref="A98:A99"/>
    <mergeCell ref="B98:B99"/>
    <mergeCell ref="C98:C99"/>
    <mergeCell ref="D98:AL98"/>
    <mergeCell ref="AN98:BV98"/>
    <mergeCell ref="A97:BV97"/>
    <mergeCell ref="A83:AM83"/>
    <mergeCell ref="A23:AM23"/>
    <mergeCell ref="A44:AM44"/>
    <mergeCell ref="A60:AM60"/>
    <mergeCell ref="C6:C7"/>
    <mergeCell ref="A70:AM70"/>
    <mergeCell ref="A72:BV72"/>
    <mergeCell ref="D73:AL73"/>
    <mergeCell ref="A47:A48"/>
    <mergeCell ref="AN73:BV73"/>
    <mergeCell ref="A73:A74"/>
    <mergeCell ref="B73:B74"/>
    <mergeCell ref="C73:C74"/>
    <mergeCell ref="A46:BV46"/>
    <mergeCell ref="D47:AL47"/>
    <mergeCell ref="AN47:BV47"/>
    <mergeCell ref="A62:BV62"/>
    <mergeCell ref="B47:B48"/>
    <mergeCell ref="C47:C48"/>
    <mergeCell ref="C63:C64"/>
    <mergeCell ref="A63:A64"/>
    <mergeCell ref="B63:B64"/>
    <mergeCell ref="D63:AL63"/>
    <mergeCell ref="AN63:BV63"/>
    <mergeCell ref="A5:BV5"/>
    <mergeCell ref="D6:AL6"/>
    <mergeCell ref="AN6:BV6"/>
    <mergeCell ref="A25:BV25"/>
    <mergeCell ref="D26:AL26"/>
    <mergeCell ref="B6:B7"/>
    <mergeCell ref="A6:A7"/>
    <mergeCell ref="AN26:BV26"/>
    <mergeCell ref="A26:A27"/>
    <mergeCell ref="B26:B27"/>
    <mergeCell ref="C26:C27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  <ignoredErrors>
    <ignoredError sqref="B52:C52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F341-807A-4E13-A3B4-62D3DCD44C7F}">
  <sheetPr>
    <tabColor rgb="FFFFFF00"/>
  </sheetPr>
  <dimension ref="A1:Y1"/>
  <sheetViews>
    <sheetView workbookViewId="0">
      <pane xSplit="4" ySplit="6" topLeftCell="E7" activePane="bottomRight" state="frozen"/>
      <selection activeCell="H108" sqref="H108"/>
      <selection pane="topRight" activeCell="H108" sqref="H108"/>
      <selection pane="bottomLeft" activeCell="H108" sqref="H108"/>
      <selection pane="bottomRight" activeCell="O40" sqref="O40"/>
    </sheetView>
  </sheetViews>
  <sheetFormatPr defaultRowHeight="12.5" x14ac:dyDescent="0.25"/>
  <cols>
    <col min="1" max="1" width="33.26953125" customWidth="1"/>
    <col min="2" max="2" width="10.1796875" customWidth="1"/>
    <col min="5" max="16" width="8.54296875" customWidth="1"/>
    <col min="17" max="17" width="2.7265625" customWidth="1"/>
    <col min="18" max="29" width="8.54296875" customWidth="1"/>
  </cols>
  <sheetData>
    <row r="1" spans="1:25" ht="15.5" x14ac:dyDescent="0.35">
      <c r="A1" s="1122"/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</row>
  </sheetData>
  <mergeCells count="1">
    <mergeCell ref="A1:Y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7D28-94AA-4E37-A7D8-326249AEE135}">
  <sheetPr>
    <tabColor rgb="FFFFFF00"/>
  </sheetPr>
  <dimension ref="E1:AV1"/>
  <sheetViews>
    <sheetView showGridLines="0" zoomScale="85" zoomScaleNormal="85" workbookViewId="0">
      <pane xSplit="4" ySplit="5" topLeftCell="E6" activePane="bottomRight" state="frozen"/>
      <selection activeCell="H108" sqref="H108"/>
      <selection pane="topRight" activeCell="H108" sqref="H108"/>
      <selection pane="bottomLeft" activeCell="H108" sqref="H108"/>
      <selection pane="bottomRight" activeCell="K76" sqref="K76"/>
    </sheetView>
  </sheetViews>
  <sheetFormatPr defaultColWidth="9.1796875" defaultRowHeight="12.5" x14ac:dyDescent="0.25"/>
  <cols>
    <col min="1" max="1" width="2.7265625" style="6" customWidth="1"/>
    <col min="2" max="2" width="34.54296875" style="6" bestFit="1" customWidth="1"/>
    <col min="3" max="3" width="11.26953125" style="6" customWidth="1"/>
    <col min="4" max="4" width="11" style="6" bestFit="1" customWidth="1"/>
    <col min="5" max="39" width="10.7265625" style="14" customWidth="1"/>
    <col min="40" max="40" width="5.7265625" style="14" customWidth="1"/>
    <col min="41" max="48" width="10.7265625" style="14" customWidth="1"/>
    <col min="49" max="52" width="10.7265625" style="6" customWidth="1"/>
    <col min="53" max="53" width="11" style="6" customWidth="1"/>
    <col min="54" max="75" width="10.7265625" style="6" customWidth="1"/>
    <col min="76" max="16384" width="9.1796875" style="6"/>
  </cols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FDDB-6E31-4B1A-88C3-34CDFA2F7DF4}">
  <sheetPr>
    <tabColor rgb="FFFFFF00"/>
  </sheetPr>
  <dimension ref="A1"/>
  <sheetViews>
    <sheetView zoomScaleNormal="100" workbookViewId="0">
      <selection activeCell="A2" sqref="A2:IV34"/>
    </sheetView>
  </sheetViews>
  <sheetFormatPr defaultRowHeight="12.5" x14ac:dyDescent="0.25"/>
  <cols>
    <col min="2" max="2" width="58.453125" customWidth="1"/>
    <col min="3" max="37" width="10.7265625" customWidth="1"/>
  </cols>
  <sheetData/>
  <phoneticPr fontId="9" type="noConversion"/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459F-0966-4FBA-93AA-1015F27B0D2B}">
  <sheetPr>
    <tabColor theme="7" tint="0.39997558519241921"/>
  </sheetPr>
  <dimension ref="A1"/>
  <sheetViews>
    <sheetView workbookViewId="0">
      <pane xSplit="4" ySplit="6" topLeftCell="E7" activePane="bottomRight" state="frozen"/>
      <selection activeCell="J41" sqref="J41"/>
      <selection pane="topRight" activeCell="J41" sqref="J41"/>
      <selection pane="bottomLeft" activeCell="J41" sqref="J41"/>
      <selection pane="bottomRight" activeCell="R43" sqref="R43"/>
    </sheetView>
  </sheetViews>
  <sheetFormatPr defaultRowHeight="12.5" x14ac:dyDescent="0.25"/>
  <cols>
    <col min="1" max="1" width="33.26953125" customWidth="1"/>
    <col min="2" max="2" width="11.1796875" bestFit="1" customWidth="1"/>
    <col min="5" max="41" width="8.7265625" customWidth="1"/>
  </cols>
  <sheetData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014D-A960-4B57-B80F-3D72A0E59C1A}">
  <sheetPr>
    <tabColor theme="7" tint="0.39997558519241921"/>
  </sheetPr>
  <dimension ref="E1:AV1"/>
  <sheetViews>
    <sheetView showGridLines="0" showZeros="0" zoomScaleNormal="100" workbookViewId="0">
      <pane xSplit="4" ySplit="5" topLeftCell="AH6" activePane="bottomRight" state="frozen"/>
      <selection activeCell="G36" sqref="G36"/>
      <selection pane="topRight" activeCell="G36" sqref="G36"/>
      <selection pane="bottomLeft" activeCell="G36" sqref="G36"/>
      <selection pane="bottomRight" activeCell="AR34" sqref="AR34"/>
    </sheetView>
  </sheetViews>
  <sheetFormatPr defaultColWidth="9.1796875" defaultRowHeight="12.5" x14ac:dyDescent="0.25"/>
  <cols>
    <col min="1" max="1" width="2.7265625" style="6" customWidth="1"/>
    <col min="2" max="2" width="34.54296875" style="6" bestFit="1" customWidth="1"/>
    <col min="3" max="3" width="11.26953125" style="6" customWidth="1"/>
    <col min="4" max="4" width="11" style="6" bestFit="1" customWidth="1"/>
    <col min="5" max="39" width="10.7265625" style="14" customWidth="1"/>
    <col min="40" max="40" width="5.7265625" style="14" customWidth="1"/>
    <col min="41" max="48" width="10.7265625" style="14" customWidth="1"/>
    <col min="49" max="58" width="11.81640625" style="6" customWidth="1"/>
    <col min="59" max="75" width="12.1796875" style="6" customWidth="1"/>
    <col min="76" max="16384" width="9.1796875" style="6"/>
  </cols>
  <sheetData/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1877-75F0-4B72-9D6C-5F5F867355CF}">
  <sheetPr>
    <tabColor theme="7" tint="0.39997558519241921"/>
  </sheetPr>
  <dimension ref="A1"/>
  <sheetViews>
    <sheetView zoomScaleNormal="100" workbookViewId="0">
      <selection activeCell="A2" sqref="A2:IV34"/>
    </sheetView>
  </sheetViews>
  <sheetFormatPr defaultRowHeight="12.5" x14ac:dyDescent="0.25"/>
  <cols>
    <col min="2" max="2" width="58.453125" customWidth="1"/>
    <col min="3" max="37" width="11.7265625" customWidth="1"/>
  </cols>
  <sheetData/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8144-96CA-469F-A7A6-767D56EB4A56}">
  <sheetPr>
    <tabColor rgb="FF00B050"/>
  </sheetPr>
  <dimension ref="A1"/>
  <sheetViews>
    <sheetView zoomScaleNormal="100" workbookViewId="0">
      <pane xSplit="4" ySplit="6" topLeftCell="E7" activePane="bottomRight" state="frozen"/>
      <selection activeCell="AA23" sqref="AA23"/>
      <selection pane="topRight" activeCell="AA23" sqref="AA23"/>
      <selection pane="bottomLeft" activeCell="AA23" sqref="AA23"/>
      <selection pane="bottomRight" activeCell="K35" sqref="K35"/>
    </sheetView>
  </sheetViews>
  <sheetFormatPr defaultRowHeight="12.5" x14ac:dyDescent="0.25"/>
  <cols>
    <col min="1" max="1" width="33.26953125" customWidth="1"/>
    <col min="2" max="2" width="10.1796875" customWidth="1"/>
    <col min="5" max="41" width="8.453125" customWidth="1"/>
  </cols>
  <sheetData/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7AE3-54D0-4A86-8F6B-2A7EEA1E2A7C}">
  <sheetPr>
    <tabColor rgb="FF00B050"/>
  </sheetPr>
  <dimension ref="E1:AW1"/>
  <sheetViews>
    <sheetView showGridLines="0" showZeros="0" zoomScale="85" zoomScaleNormal="85" workbookViewId="0">
      <pane xSplit="4" ySplit="5" topLeftCell="AG6" activePane="bottomRight" state="frozen"/>
      <selection activeCell="AA23" sqref="AA23"/>
      <selection pane="topRight" activeCell="AA23" sqref="AA23"/>
      <selection pane="bottomLeft" activeCell="AA23" sqref="AA23"/>
      <selection pane="bottomRight" activeCell="AU38" sqref="AU38"/>
    </sheetView>
  </sheetViews>
  <sheetFormatPr defaultColWidth="9.1796875" defaultRowHeight="12.5" x14ac:dyDescent="0.25"/>
  <cols>
    <col min="1" max="1" width="2.7265625" style="6" customWidth="1"/>
    <col min="2" max="2" width="34.54296875" style="6" bestFit="1" customWidth="1"/>
    <col min="3" max="3" width="11.26953125" style="6" customWidth="1"/>
    <col min="4" max="4" width="11" style="6" bestFit="1" customWidth="1"/>
    <col min="5" max="39" width="10.7265625" style="14" customWidth="1"/>
    <col min="40" max="40" width="5.7265625" style="14" customWidth="1"/>
    <col min="41" max="49" width="10.7265625" style="14" customWidth="1"/>
    <col min="50" max="75" width="10.7265625" style="6" customWidth="1"/>
    <col min="76" max="16384" width="9.1796875" style="6"/>
  </cols>
  <sheetData/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8376-318D-4C6D-B1B1-752F7746A49C}">
  <sheetPr>
    <tabColor rgb="FF00B050"/>
  </sheetPr>
  <dimension ref="A1"/>
  <sheetViews>
    <sheetView zoomScaleNormal="100" workbookViewId="0">
      <selection activeCell="A2" sqref="A2:IV34"/>
    </sheetView>
  </sheetViews>
  <sheetFormatPr defaultRowHeight="12.5" x14ac:dyDescent="0.25"/>
  <cols>
    <col min="2" max="2" width="58.453125" customWidth="1"/>
    <col min="3" max="37" width="11.7265625" customWidth="1"/>
  </cols>
  <sheetData/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78B9-6385-4477-8FE3-1D89A8A44D7E}">
  <sheetPr>
    <tabColor theme="6" tint="0.59999389629810485"/>
    <outlinePr summaryBelow="0"/>
  </sheetPr>
  <dimension ref="A1:K71"/>
  <sheetViews>
    <sheetView showGridLines="0" topLeftCell="A38" zoomScale="80" zoomScaleNormal="80" workbookViewId="0">
      <selection activeCell="E62" sqref="E62"/>
    </sheetView>
  </sheetViews>
  <sheetFormatPr defaultColWidth="9.1796875" defaultRowHeight="12.5" outlineLevelRow="2" x14ac:dyDescent="0.25"/>
  <cols>
    <col min="1" max="1" width="34.54296875" style="6" bestFit="1" customWidth="1"/>
    <col min="2" max="2" width="10.54296875" style="14" bestFit="1" customWidth="1"/>
    <col min="3" max="3" width="13.453125" style="14" bestFit="1" customWidth="1"/>
    <col min="4" max="11" width="20.7265625" style="14" customWidth="1"/>
    <col min="12" max="16384" width="9.1796875" style="6"/>
  </cols>
  <sheetData>
    <row r="1" spans="1:11" ht="13" thickBot="1" x14ac:dyDescent="0.3"/>
    <row r="2" spans="1:11" ht="40" customHeight="1" thickBot="1" x14ac:dyDescent="0.3">
      <c r="A2" s="538" t="s">
        <v>578</v>
      </c>
      <c r="B2" s="670"/>
      <c r="C2" s="670"/>
      <c r="D2" s="564"/>
      <c r="E2" s="539"/>
      <c r="F2" s="539"/>
      <c r="G2" s="539"/>
      <c r="H2" s="539"/>
      <c r="I2" s="539"/>
      <c r="J2" s="539"/>
      <c r="K2" s="540"/>
    </row>
    <row r="3" spans="1:11" s="15" customFormat="1" ht="30" customHeight="1" thickBot="1" x14ac:dyDescent="0.3">
      <c r="A3" s="555" t="s">
        <v>514</v>
      </c>
      <c r="B3" s="757"/>
      <c r="C3" s="758"/>
      <c r="D3" s="759" t="s">
        <v>260</v>
      </c>
      <c r="E3" s="760"/>
      <c r="F3" s="759" t="s">
        <v>248</v>
      </c>
      <c r="G3" s="760"/>
      <c r="H3" s="759" t="s">
        <v>261</v>
      </c>
      <c r="I3" s="760"/>
      <c r="J3" s="759" t="s">
        <v>327</v>
      </c>
      <c r="K3" s="760"/>
    </row>
    <row r="4" spans="1:11" ht="20.149999999999999" customHeight="1" outlineLevel="1" thickBot="1" x14ac:dyDescent="0.3"/>
    <row r="5" spans="1:11" ht="20.149999999999999" customHeight="1" outlineLevel="1" thickBot="1" x14ac:dyDescent="0.3">
      <c r="A5" s="559" t="s">
        <v>52</v>
      </c>
      <c r="B5" s="671"/>
      <c r="C5" s="671"/>
      <c r="D5" s="560"/>
      <c r="E5" s="560"/>
      <c r="F5" s="560"/>
      <c r="G5" s="560"/>
      <c r="H5" s="560"/>
      <c r="I5" s="560"/>
      <c r="J5" s="560"/>
      <c r="K5" s="561"/>
    </row>
    <row r="6" spans="1:11" s="14" customFormat="1" ht="20.149999999999999" customHeight="1" outlineLevel="2" thickBot="1" x14ac:dyDescent="0.3">
      <c r="A6" s="491" t="s">
        <v>113</v>
      </c>
      <c r="B6" s="504" t="s">
        <v>8</v>
      </c>
      <c r="C6" s="494" t="s">
        <v>100</v>
      </c>
      <c r="D6" s="491" t="s">
        <v>97</v>
      </c>
      <c r="E6" s="494" t="s">
        <v>263</v>
      </c>
      <c r="F6" s="491" t="s">
        <v>97</v>
      </c>
      <c r="G6" s="494" t="s">
        <v>263</v>
      </c>
      <c r="H6" s="491" t="s">
        <v>97</v>
      </c>
      <c r="I6" s="494" t="s">
        <v>263</v>
      </c>
      <c r="J6" s="491" t="s">
        <v>97</v>
      </c>
      <c r="K6" s="494" t="s">
        <v>263</v>
      </c>
    </row>
    <row r="7" spans="1:11" ht="20.149999999999999" customHeight="1" outlineLevel="2" thickBot="1" x14ac:dyDescent="0.3">
      <c r="A7" s="23" t="str">
        <f>'Quantidade-Cult.Temp.'!A5</f>
        <v>Calcário</v>
      </c>
      <c r="B7" s="8" t="str">
        <f>'Quantidade-Cult.Temp.'!B5</f>
        <v>T</v>
      </c>
      <c r="C7" s="489">
        <f>'Quantidade-Cult.Temp.'!D5</f>
        <v>450</v>
      </c>
      <c r="D7" s="487">
        <f>'Quantidade-Cult.Temp.'!E5</f>
        <v>1</v>
      </c>
      <c r="E7" s="18">
        <f>$C$7*D7</f>
        <v>450</v>
      </c>
      <c r="F7" s="487"/>
      <c r="G7" s="18"/>
      <c r="H7" s="487">
        <f>'Quantidade-Cult.Temp.'!F5</f>
        <v>1</v>
      </c>
      <c r="I7" s="18">
        <f>C7*H7</f>
        <v>450</v>
      </c>
      <c r="J7" s="722"/>
      <c r="K7" s="723"/>
    </row>
    <row r="8" spans="1:11" ht="20.149999999999999" customHeight="1" outlineLevel="2" x14ac:dyDescent="0.25">
      <c r="A8" s="23" t="str">
        <f>'Quantidade-Cult.Temp.'!A6</f>
        <v>Foliar Completo</v>
      </c>
      <c r="B8" s="8" t="str">
        <f>'Quantidade-Cult.Temp.'!B6</f>
        <v>L</v>
      </c>
      <c r="C8" s="489">
        <f>'Quantidade-Cult.Temp.'!D6</f>
        <v>25</v>
      </c>
      <c r="D8" s="487">
        <f>'Quantidade-Cult.Temp.'!E6</f>
        <v>3</v>
      </c>
      <c r="E8" s="18">
        <f>$C$8*D8</f>
        <v>75</v>
      </c>
      <c r="F8" s="487">
        <f>'Quantidade-Cult.Temp.'!H6</f>
        <v>3</v>
      </c>
      <c r="G8" s="18">
        <f>C8*F8</f>
        <v>75</v>
      </c>
      <c r="H8" s="487">
        <f>'Quantidade-Cult.Temp.'!F6</f>
        <v>3</v>
      </c>
      <c r="I8" s="18">
        <f>C8*H8</f>
        <v>75</v>
      </c>
      <c r="J8" s="721">
        <f>'Quantidade-Cult.Temp.'!G6</f>
        <v>3</v>
      </c>
      <c r="K8" s="24">
        <f>C8*J8</f>
        <v>75</v>
      </c>
    </row>
    <row r="9" spans="1:11" ht="20.149999999999999" customHeight="1" outlineLevel="2" x14ac:dyDescent="0.25">
      <c r="A9" s="23" t="str">
        <f>'Quantidade-Cult.Temp.'!A7</f>
        <v>Biosumos</v>
      </c>
      <c r="B9" s="8" t="str">
        <f>'Quantidade-Cult.Temp.'!B7</f>
        <v>L</v>
      </c>
      <c r="C9" s="489">
        <f>'Quantidade-Cult.Temp.'!D7</f>
        <v>90</v>
      </c>
      <c r="D9" s="487">
        <f>'Quantidade-Cult.Temp.'!E7</f>
        <v>3</v>
      </c>
      <c r="E9" s="18">
        <f>$C$9*D9</f>
        <v>270</v>
      </c>
      <c r="F9" s="487">
        <f>'Quantidade-Cult.Temp.'!H7</f>
        <v>2</v>
      </c>
      <c r="G9" s="18">
        <f>C9*F9</f>
        <v>180</v>
      </c>
      <c r="H9" s="487">
        <f>'Quantidade-Cult.Temp.'!F7</f>
        <v>3</v>
      </c>
      <c r="I9" s="18">
        <f>C9*H9</f>
        <v>270</v>
      </c>
      <c r="J9" s="487">
        <f>'Quantidade-Cult.Temp.'!G7</f>
        <v>3</v>
      </c>
      <c r="K9" s="18">
        <f>C9*J9</f>
        <v>270</v>
      </c>
    </row>
    <row r="10" spans="1:11" ht="20.149999999999999" customHeight="1" outlineLevel="2" x14ac:dyDescent="0.25">
      <c r="A10" s="23" t="str">
        <f>'Quantidade-Cult.Temp.'!A8</f>
        <v>Adubo formulado com micronutrientes</v>
      </c>
      <c r="B10" s="8" t="str">
        <f>'Quantidade-Cult.Temp.'!B8</f>
        <v>T</v>
      </c>
      <c r="C10" s="489">
        <f>'Quantidade-Cult.Temp.'!D8</f>
        <v>3550</v>
      </c>
      <c r="D10" s="487">
        <f>'Quantidade-Cult.Temp.'!E8</f>
        <v>0.2</v>
      </c>
      <c r="E10" s="18">
        <f>$C$10*D10</f>
        <v>710</v>
      </c>
      <c r="F10" s="487">
        <f>'Quantidade-Cult.Temp.'!H8</f>
        <v>0.3</v>
      </c>
      <c r="G10" s="18">
        <f>C10*F10</f>
        <v>1065</v>
      </c>
      <c r="H10" s="487">
        <f>'Quantidade-Cult.Temp.'!F8</f>
        <v>0.35</v>
      </c>
      <c r="I10" s="18">
        <f>C10*H10</f>
        <v>1242.5</v>
      </c>
      <c r="J10" s="487">
        <f>'Quantidade-Cult.Temp.'!G8</f>
        <v>0.3</v>
      </c>
      <c r="K10" s="18">
        <f>C10*J10</f>
        <v>1065</v>
      </c>
    </row>
    <row r="11" spans="1:11" ht="20.149999999999999" customHeight="1" outlineLevel="2" x14ac:dyDescent="0.25">
      <c r="A11" s="23" t="str">
        <f>'Quantidade-Cult.Temp.'!A9</f>
        <v xml:space="preserve">Adubo formulado </v>
      </c>
      <c r="B11" s="8" t="str">
        <f>'Quantidade-Cult.Temp.'!B9</f>
        <v>T</v>
      </c>
      <c r="C11" s="489">
        <f>'Quantidade-Cult.Temp.'!D9</f>
        <v>2950</v>
      </c>
      <c r="D11" s="487">
        <f>'Quantidade-Cult.Temp.'!E9</f>
        <v>0.2</v>
      </c>
      <c r="E11" s="18">
        <f>$C$11*D11</f>
        <v>590</v>
      </c>
      <c r="F11" s="487">
        <f>'Quantidade-Cult.Temp.'!H9</f>
        <v>0.25</v>
      </c>
      <c r="G11" s="18">
        <f>C11*F11</f>
        <v>737.5</v>
      </c>
      <c r="H11" s="487">
        <f>'Quantidade-Cult.Temp.'!F9</f>
        <v>0.3</v>
      </c>
      <c r="I11" s="18">
        <f>C11*H11</f>
        <v>885</v>
      </c>
      <c r="J11" s="487">
        <f>'Quantidade-Cult.Temp.'!G9</f>
        <v>0.3</v>
      </c>
      <c r="K11" s="18">
        <f>C11*J11</f>
        <v>885</v>
      </c>
    </row>
    <row r="12" spans="1:11" ht="20.149999999999999" customHeight="1" outlineLevel="2" x14ac:dyDescent="0.25">
      <c r="A12" s="23" t="str">
        <f>'Quantidade-Cult.Temp.'!A10</f>
        <v>Semente soja</v>
      </c>
      <c r="B12" s="8" t="str">
        <f>'Quantidade-Cult.Temp.'!B10</f>
        <v>KG</v>
      </c>
      <c r="C12" s="489">
        <f>'Quantidade-Cult.Temp.'!D10</f>
        <v>10</v>
      </c>
      <c r="D12" s="487">
        <f>'Quantidade-Cult.Temp.'!E10</f>
        <v>50</v>
      </c>
      <c r="E12" s="18">
        <f>$C$12*D12</f>
        <v>500</v>
      </c>
      <c r="F12" s="487"/>
      <c r="G12" s="18"/>
      <c r="H12" s="487"/>
      <c r="I12" s="18"/>
      <c r="J12" s="487"/>
      <c r="K12" s="18"/>
    </row>
    <row r="13" spans="1:11" ht="20.149999999999999" customHeight="1" outlineLevel="2" x14ac:dyDescent="0.25">
      <c r="A13" s="23" t="str">
        <f>'Quantidade-Cult.Temp.'!A11</f>
        <v>Semente milho</v>
      </c>
      <c r="B13" s="8" t="str">
        <f>'Quantidade-Cult.Temp.'!B11</f>
        <v>KG</v>
      </c>
      <c r="C13" s="489">
        <f>'Quantidade-Cult.Temp.'!D11</f>
        <v>35</v>
      </c>
      <c r="D13" s="487"/>
      <c r="E13" s="18"/>
      <c r="F13" s="487"/>
      <c r="G13" s="18"/>
      <c r="H13" s="487">
        <f>'Quantidade-Cult.Temp.'!F11</f>
        <v>22</v>
      </c>
      <c r="I13" s="18">
        <f>C13*H13</f>
        <v>770</v>
      </c>
      <c r="J13" s="487">
        <f>'Quantidade-Cult.Temp.'!G11</f>
        <v>22</v>
      </c>
      <c r="K13" s="18">
        <f>C13*J13</f>
        <v>770</v>
      </c>
    </row>
    <row r="14" spans="1:11" ht="20.149999999999999" customHeight="1" outlineLevel="2" x14ac:dyDescent="0.25">
      <c r="A14" s="23" t="str">
        <f>'Quantidade-Cult.Temp.'!A12</f>
        <v>Semente feijão</v>
      </c>
      <c r="B14" s="8" t="str">
        <f>'Quantidade-Cult.Temp.'!B12</f>
        <v>KG</v>
      </c>
      <c r="C14" s="489">
        <f>'Quantidade-Cult.Temp.'!D12</f>
        <v>18</v>
      </c>
      <c r="D14" s="487"/>
      <c r="E14" s="18"/>
      <c r="F14" s="487">
        <f>'Quantidade-Cult.Temp.'!H12</f>
        <v>50</v>
      </c>
      <c r="G14" s="18">
        <f>C14*F14</f>
        <v>900</v>
      </c>
      <c r="H14" s="487"/>
      <c r="I14" s="18"/>
      <c r="J14" s="487"/>
      <c r="K14" s="18"/>
    </row>
    <row r="15" spans="1:11" ht="20.149999999999999" customHeight="1" outlineLevel="2" x14ac:dyDescent="0.25">
      <c r="A15" s="23" t="str">
        <f>'Quantidade-Cult.Temp.'!A13</f>
        <v>Fungicida</v>
      </c>
      <c r="B15" s="8" t="str">
        <f>'Quantidade-Cult.Temp.'!B13</f>
        <v>L</v>
      </c>
      <c r="C15" s="489">
        <f>'Quantidade-Cult.Temp.'!D13</f>
        <v>75</v>
      </c>
      <c r="D15" s="487">
        <f>'Quantidade-Cult.Temp.'!E13</f>
        <v>2</v>
      </c>
      <c r="E15" s="18">
        <f>$C$15*D15</f>
        <v>150</v>
      </c>
      <c r="F15" s="487">
        <f>'Quantidade-Cult.Temp.'!H13</f>
        <v>4</v>
      </c>
      <c r="G15" s="18">
        <f>C15*F15</f>
        <v>300</v>
      </c>
      <c r="H15" s="487">
        <f>'Quantidade-Cult.Temp.'!F13</f>
        <v>3</v>
      </c>
      <c r="I15" s="18">
        <f>C15*H15</f>
        <v>225</v>
      </c>
      <c r="J15" s="487">
        <f>'Quantidade-Cult.Temp.'!G13</f>
        <v>4</v>
      </c>
      <c r="K15" s="18">
        <f>C15*J15</f>
        <v>300</v>
      </c>
    </row>
    <row r="16" spans="1:11" ht="20.149999999999999" customHeight="1" outlineLevel="2" x14ac:dyDescent="0.25">
      <c r="A16" s="23" t="str">
        <f>'Quantidade-Cult.Temp.'!A14</f>
        <v>Inseticida</v>
      </c>
      <c r="B16" s="8" t="str">
        <f>'Quantidade-Cult.Temp.'!B14</f>
        <v>L</v>
      </c>
      <c r="C16" s="489">
        <f>'Quantidade-Cult.Temp.'!D14</f>
        <v>40</v>
      </c>
      <c r="D16" s="487">
        <f>'Quantidade-Cult.Temp.'!E14</f>
        <v>3</v>
      </c>
      <c r="E16" s="18">
        <f>$C$16*D16</f>
        <v>120</v>
      </c>
      <c r="F16" s="487">
        <f>'Quantidade-Cult.Temp.'!H14</f>
        <v>3</v>
      </c>
      <c r="G16" s="18">
        <f>C16*F16</f>
        <v>120</v>
      </c>
      <c r="H16" s="487">
        <f>'Quantidade-Cult.Temp.'!F14</f>
        <v>5</v>
      </c>
      <c r="I16" s="18">
        <f>C16*H16</f>
        <v>200</v>
      </c>
      <c r="J16" s="487">
        <f>'Quantidade-Cult.Temp.'!G14</f>
        <v>5</v>
      </c>
      <c r="K16" s="18">
        <f>C16*J16</f>
        <v>200</v>
      </c>
    </row>
    <row r="17" spans="1:11" ht="20.149999999999999" customHeight="1" outlineLevel="2" x14ac:dyDescent="0.25">
      <c r="A17" s="23" t="str">
        <f>'Quantidade-Cult.Temp.'!A15</f>
        <v>Espalhante</v>
      </c>
      <c r="B17" s="8" t="str">
        <f>'Quantidade-Cult.Temp.'!B15</f>
        <v>L</v>
      </c>
      <c r="C17" s="489">
        <f>'Quantidade-Cult.Temp.'!D15</f>
        <v>15</v>
      </c>
      <c r="D17" s="487">
        <f>'Quantidade-Cult.Temp.'!E15</f>
        <v>1</v>
      </c>
      <c r="E17" s="18">
        <f>$C$17*D17</f>
        <v>15</v>
      </c>
      <c r="F17" s="487">
        <f>'Quantidade-Cult.Temp.'!H15</f>
        <v>1</v>
      </c>
      <c r="G17" s="18">
        <f>C17*F17</f>
        <v>15</v>
      </c>
      <c r="H17" s="487">
        <f>'Quantidade-Cult.Temp.'!F15</f>
        <v>1.5</v>
      </c>
      <c r="I17" s="18">
        <f>C17*H17</f>
        <v>22.5</v>
      </c>
      <c r="J17" s="487">
        <f>'Quantidade-Cult.Temp.'!G15</f>
        <v>1.5</v>
      </c>
      <c r="K17" s="18">
        <f>C17*J17</f>
        <v>22.5</v>
      </c>
    </row>
    <row r="18" spans="1:11" ht="20.149999999999999" customHeight="1" outlineLevel="2" thickBot="1" x14ac:dyDescent="0.3">
      <c r="A18" s="57" t="str">
        <f>'Quantidade-Cult.Temp.'!A16</f>
        <v>Herbicida</v>
      </c>
      <c r="B18" s="25" t="str">
        <f>'Quantidade-Cult.Temp.'!B16</f>
        <v>L</v>
      </c>
      <c r="C18" s="490">
        <f>'Quantidade-Cult.Temp.'!D16</f>
        <v>65</v>
      </c>
      <c r="D18" s="488">
        <f>'Quantidade-Cult.Temp.'!E16</f>
        <v>3</v>
      </c>
      <c r="E18" s="27">
        <f>$C$18*D18</f>
        <v>195</v>
      </c>
      <c r="F18" s="488">
        <f>'Quantidade-Cult.Temp.'!H16</f>
        <v>3</v>
      </c>
      <c r="G18" s="27">
        <f>C18*F18</f>
        <v>195</v>
      </c>
      <c r="H18" s="488">
        <f>'Quantidade-Cult.Temp.'!F16</f>
        <v>3</v>
      </c>
      <c r="I18" s="27">
        <f>C18*H18</f>
        <v>195</v>
      </c>
      <c r="J18" s="488">
        <f>'Quantidade-Cult.Temp.'!G16</f>
        <v>4</v>
      </c>
      <c r="K18" s="27">
        <f>C18*J18</f>
        <v>260</v>
      </c>
    </row>
    <row r="19" spans="1:11" ht="20.149999999999999" customHeight="1" outlineLevel="2" thickBot="1" x14ac:dyDescent="0.3">
      <c r="A19" s="495"/>
      <c r="B19" s="507"/>
      <c r="C19" s="411" t="s">
        <v>101</v>
      </c>
      <c r="D19" s="495"/>
      <c r="E19" s="503">
        <f>SUM(E7:E18)</f>
        <v>3075</v>
      </c>
      <c r="F19" s="495"/>
      <c r="G19" s="503">
        <f>SUM(G7:G18)</f>
        <v>3587.5</v>
      </c>
      <c r="H19" s="495"/>
      <c r="I19" s="503">
        <f>SUM(I7:I18)</f>
        <v>4335</v>
      </c>
      <c r="J19" s="495"/>
      <c r="K19" s="503">
        <f>SUM(K7:K18)</f>
        <v>3847.5</v>
      </c>
    </row>
    <row r="20" spans="1:11" ht="20.149999999999999" customHeight="1" outlineLevel="2" thickBot="1" x14ac:dyDescent="0.3">
      <c r="D20" s="16"/>
      <c r="E20" s="6"/>
      <c r="F20" s="16"/>
      <c r="G20" s="6"/>
      <c r="H20" s="16"/>
      <c r="I20" s="6"/>
      <c r="J20" s="16"/>
      <c r="K20" s="6"/>
    </row>
    <row r="21" spans="1:11" ht="20.149999999999999" customHeight="1" outlineLevel="1" thickBot="1" x14ac:dyDescent="0.3">
      <c r="A21" s="559" t="s">
        <v>507</v>
      </c>
      <c r="B21" s="671"/>
      <c r="C21" s="671"/>
      <c r="D21" s="560"/>
      <c r="E21" s="560"/>
      <c r="F21" s="560"/>
      <c r="G21" s="560"/>
      <c r="H21" s="560"/>
      <c r="I21" s="560"/>
      <c r="J21" s="560"/>
      <c r="K21" s="561"/>
    </row>
    <row r="22" spans="1:11" ht="20.149999999999999" customHeight="1" outlineLevel="2" thickBot="1" x14ac:dyDescent="0.3">
      <c r="A22" s="491" t="s">
        <v>113</v>
      </c>
      <c r="B22" s="504" t="s">
        <v>8</v>
      </c>
      <c r="C22" s="494" t="s">
        <v>100</v>
      </c>
      <c r="D22" s="491" t="s">
        <v>97</v>
      </c>
      <c r="E22" s="494" t="s">
        <v>263</v>
      </c>
      <c r="F22" s="491" t="s">
        <v>97</v>
      </c>
      <c r="G22" s="494" t="s">
        <v>263</v>
      </c>
      <c r="H22" s="491" t="s">
        <v>97</v>
      </c>
      <c r="I22" s="494" t="s">
        <v>263</v>
      </c>
      <c r="J22" s="491" t="s">
        <v>97</v>
      </c>
      <c r="K22" s="494" t="s">
        <v>263</v>
      </c>
    </row>
    <row r="23" spans="1:11" ht="20.149999999999999" customHeight="1" outlineLevel="2" x14ac:dyDescent="0.25">
      <c r="A23" s="23" t="s">
        <v>267</v>
      </c>
      <c r="B23" s="8" t="s">
        <v>21</v>
      </c>
      <c r="C23" s="8">
        <f>'Custos Diversos'!$D$21</f>
        <v>159</v>
      </c>
      <c r="D23" s="728">
        <v>1</v>
      </c>
      <c r="E23" s="18">
        <f>C23*D23</f>
        <v>159</v>
      </c>
      <c r="F23" s="726">
        <v>0.5</v>
      </c>
      <c r="G23" s="18">
        <f>C23*F23</f>
        <v>79.5</v>
      </c>
      <c r="H23" s="726">
        <v>1</v>
      </c>
      <c r="I23" s="18">
        <f>C23*H23</f>
        <v>159</v>
      </c>
      <c r="J23" s="726">
        <v>1</v>
      </c>
      <c r="K23" s="18">
        <f>C23*J23</f>
        <v>159</v>
      </c>
    </row>
    <row r="24" spans="1:11" ht="20.149999999999999" customHeight="1" outlineLevel="2" x14ac:dyDescent="0.25">
      <c r="A24" s="20" t="s">
        <v>50</v>
      </c>
      <c r="B24" s="8" t="s">
        <v>21</v>
      </c>
      <c r="C24" s="8">
        <f>'Custos Diversos'!$D$21</f>
        <v>159</v>
      </c>
      <c r="D24" s="728">
        <v>3</v>
      </c>
      <c r="E24" s="18">
        <f>C24*D24</f>
        <v>477</v>
      </c>
      <c r="F24" s="726">
        <v>3</v>
      </c>
      <c r="G24" s="18">
        <f>C24*F24</f>
        <v>477</v>
      </c>
      <c r="H24" s="726">
        <v>3</v>
      </c>
      <c r="I24" s="18">
        <f>C24*H24</f>
        <v>477</v>
      </c>
      <c r="J24" s="726">
        <v>3</v>
      </c>
      <c r="K24" s="18">
        <f>C24*J24</f>
        <v>477</v>
      </c>
    </row>
    <row r="25" spans="1:11" ht="20.149999999999999" customHeight="1" outlineLevel="2" thickBot="1" x14ac:dyDescent="0.3">
      <c r="A25" s="41" t="s">
        <v>269</v>
      </c>
      <c r="B25" s="25" t="s">
        <v>21</v>
      </c>
      <c r="C25" s="25">
        <f>'Custos Diversos'!$D$21</f>
        <v>159</v>
      </c>
      <c r="D25" s="728">
        <v>1</v>
      </c>
      <c r="E25" s="18">
        <f>C25*D25</f>
        <v>159</v>
      </c>
      <c r="F25" s="727">
        <v>0.8</v>
      </c>
      <c r="G25" s="27">
        <f>C25*F25</f>
        <v>127.2</v>
      </c>
      <c r="H25" s="727">
        <v>1</v>
      </c>
      <c r="I25" s="27">
        <f>C25*H25</f>
        <v>159</v>
      </c>
      <c r="J25" s="727">
        <v>1</v>
      </c>
      <c r="K25" s="27">
        <f>C25*J25</f>
        <v>159</v>
      </c>
    </row>
    <row r="26" spans="1:11" ht="20.149999999999999" customHeight="1" outlineLevel="2" thickBot="1" x14ac:dyDescent="0.3">
      <c r="A26" s="495"/>
      <c r="B26" s="507"/>
      <c r="C26" s="411" t="s">
        <v>102</v>
      </c>
      <c r="D26" s="495"/>
      <c r="E26" s="503">
        <f>SUM(E23:E25)</f>
        <v>795</v>
      </c>
      <c r="F26" s="495"/>
      <c r="G26" s="503">
        <f>SUM(G23:G25)</f>
        <v>683.7</v>
      </c>
      <c r="H26" s="495"/>
      <c r="I26" s="503">
        <f>SUM(I23:I25)</f>
        <v>795</v>
      </c>
      <c r="J26" s="495"/>
      <c r="K26" s="503">
        <f>SUM(K23:K25)</f>
        <v>795</v>
      </c>
    </row>
    <row r="27" spans="1:11" ht="20.149999999999999" customHeight="1" outlineLevel="2" thickBot="1" x14ac:dyDescent="0.3"/>
    <row r="28" spans="1:11" ht="20.149999999999999" customHeight="1" outlineLevel="1" thickBot="1" x14ac:dyDescent="0.3">
      <c r="A28" s="559" t="s">
        <v>59</v>
      </c>
      <c r="B28" s="671"/>
      <c r="C28" s="671"/>
      <c r="D28" s="560"/>
      <c r="E28" s="560"/>
      <c r="F28" s="560"/>
      <c r="G28" s="560"/>
      <c r="H28" s="560"/>
      <c r="I28" s="560"/>
      <c r="J28" s="560"/>
      <c r="K28" s="561"/>
    </row>
    <row r="29" spans="1:11" ht="20.149999999999999" customHeight="1" outlineLevel="2" x14ac:dyDescent="0.25">
      <c r="A29" s="71" t="s">
        <v>113</v>
      </c>
      <c r="B29" s="216" t="s">
        <v>8</v>
      </c>
      <c r="C29" s="505" t="s">
        <v>100</v>
      </c>
      <c r="D29" s="71" t="s">
        <v>97</v>
      </c>
      <c r="E29" s="55" t="s">
        <v>263</v>
      </c>
      <c r="F29" s="71" t="s">
        <v>97</v>
      </c>
      <c r="G29" s="55" t="s">
        <v>263</v>
      </c>
      <c r="H29" s="71" t="s">
        <v>97</v>
      </c>
      <c r="I29" s="55" t="s">
        <v>263</v>
      </c>
      <c r="J29" s="71" t="s">
        <v>97</v>
      </c>
      <c r="K29" s="55" t="s">
        <v>263</v>
      </c>
    </row>
    <row r="30" spans="1:11" ht="20.149999999999999" customHeight="1" outlineLevel="2" x14ac:dyDescent="0.25">
      <c r="A30" s="22" t="s">
        <v>78</v>
      </c>
      <c r="B30" s="8" t="str">
        <f>'Custos Insumos'!$C$41</f>
        <v>HMPP</v>
      </c>
      <c r="C30" s="497">
        <f>'Custos Insumos'!$D$41</f>
        <v>400</v>
      </c>
      <c r="D30" s="726">
        <v>1.25</v>
      </c>
      <c r="E30" s="18">
        <f>$C$30*D30</f>
        <v>500</v>
      </c>
      <c r="F30" s="492"/>
      <c r="G30" s="18"/>
      <c r="H30" s="726">
        <v>1.25</v>
      </c>
      <c r="I30" s="18">
        <f t="shared" ref="I30:I36" si="0">C30*H30</f>
        <v>500</v>
      </c>
      <c r="J30" s="492"/>
      <c r="K30" s="18"/>
    </row>
    <row r="31" spans="1:11" ht="20.149999999999999" customHeight="1" outlineLevel="2" x14ac:dyDescent="0.25">
      <c r="A31" s="22" t="s">
        <v>79</v>
      </c>
      <c r="B31" s="12" t="str">
        <f>'Custos Insumos'!$C$42</f>
        <v>HMPM</v>
      </c>
      <c r="C31" s="497">
        <f>'Custos Insumos'!$D$42</f>
        <v>250</v>
      </c>
      <c r="D31" s="726">
        <v>0.8</v>
      </c>
      <c r="E31" s="18">
        <f>$C$31*D31</f>
        <v>200</v>
      </c>
      <c r="F31" s="492"/>
      <c r="G31" s="18"/>
      <c r="H31" s="726">
        <v>0.8</v>
      </c>
      <c r="I31" s="18">
        <f t="shared" si="0"/>
        <v>200</v>
      </c>
      <c r="J31" s="492"/>
      <c r="K31" s="18"/>
    </row>
    <row r="32" spans="1:11" ht="20.149999999999999" customHeight="1" outlineLevel="2" x14ac:dyDescent="0.25">
      <c r="A32" s="22" t="s">
        <v>265</v>
      </c>
      <c r="B32" s="12" t="str">
        <f>'Custos Insumos'!C49</f>
        <v>HPE</v>
      </c>
      <c r="C32" s="498">
        <f>'Custos Insumos'!D49</f>
        <v>400</v>
      </c>
      <c r="D32" s="726">
        <v>0.8</v>
      </c>
      <c r="E32" s="18">
        <f>$C$32*D32</f>
        <v>320</v>
      </c>
      <c r="F32" s="726">
        <v>0.8</v>
      </c>
      <c r="G32" s="18">
        <f>C32*F32</f>
        <v>320</v>
      </c>
      <c r="H32" s="726">
        <v>0.8</v>
      </c>
      <c r="I32" s="18">
        <f t="shared" si="0"/>
        <v>320</v>
      </c>
      <c r="J32" s="726">
        <v>1</v>
      </c>
      <c r="K32" s="18">
        <f>C32*J32</f>
        <v>400</v>
      </c>
    </row>
    <row r="33" spans="1:11" ht="20.149999999999999" customHeight="1" outlineLevel="2" x14ac:dyDescent="0.25">
      <c r="A33" s="22" t="s">
        <v>86</v>
      </c>
      <c r="B33" s="12" t="str">
        <f>'Custos Insumos'!$C$42</f>
        <v>HMPM</v>
      </c>
      <c r="C33" s="497">
        <f>'Custos Insumos'!$D$42</f>
        <v>250</v>
      </c>
      <c r="D33" s="726">
        <v>1</v>
      </c>
      <c r="E33" s="18">
        <f>$C$33*D33</f>
        <v>250</v>
      </c>
      <c r="F33" s="726">
        <v>0.8</v>
      </c>
      <c r="G33" s="18">
        <f>C33*F33</f>
        <v>200</v>
      </c>
      <c r="H33" s="726">
        <v>1</v>
      </c>
      <c r="I33" s="18">
        <f t="shared" si="0"/>
        <v>250</v>
      </c>
      <c r="J33" s="726">
        <v>1.5</v>
      </c>
      <c r="K33" s="18">
        <f>C33*J33</f>
        <v>375</v>
      </c>
    </row>
    <row r="34" spans="1:11" ht="20.149999999999999" customHeight="1" outlineLevel="2" x14ac:dyDescent="0.25">
      <c r="A34" s="20" t="s">
        <v>60</v>
      </c>
      <c r="B34" s="12" t="s">
        <v>9</v>
      </c>
      <c r="C34" s="497">
        <f>'Custos Insumos'!D44</f>
        <v>85</v>
      </c>
      <c r="D34" s="726">
        <v>4</v>
      </c>
      <c r="E34" s="18">
        <f>$C$34*D34</f>
        <v>340</v>
      </c>
      <c r="F34" s="726">
        <v>4</v>
      </c>
      <c r="G34" s="18">
        <f>C34*F34</f>
        <v>340</v>
      </c>
      <c r="H34" s="726">
        <v>5</v>
      </c>
      <c r="I34" s="18">
        <f t="shared" si="0"/>
        <v>425</v>
      </c>
      <c r="J34" s="726">
        <v>5</v>
      </c>
      <c r="K34" s="18">
        <f>C34*J34</f>
        <v>425</v>
      </c>
    </row>
    <row r="35" spans="1:11" ht="20.149999999999999" customHeight="1" outlineLevel="2" x14ac:dyDescent="0.25">
      <c r="A35" s="20" t="s">
        <v>62</v>
      </c>
      <c r="B35" s="13" t="str">
        <f>'Custos Insumos'!C43</f>
        <v>HMP</v>
      </c>
      <c r="C35" s="489">
        <f>'Custos Insumos'!D45</f>
        <v>250</v>
      </c>
      <c r="D35" s="726">
        <v>0.25</v>
      </c>
      <c r="E35" s="18">
        <f>$C$35*D35</f>
        <v>62.5</v>
      </c>
      <c r="F35" s="492"/>
      <c r="G35" s="18"/>
      <c r="H35" s="726">
        <v>0.25</v>
      </c>
      <c r="I35" s="18">
        <f t="shared" si="0"/>
        <v>62.5</v>
      </c>
      <c r="J35" s="492"/>
      <c r="K35" s="18"/>
    </row>
    <row r="36" spans="1:11" ht="20.149999999999999" customHeight="1" outlineLevel="2" x14ac:dyDescent="0.25">
      <c r="A36" s="22" t="s">
        <v>266</v>
      </c>
      <c r="B36" s="12" t="str">
        <f>'Custos Insumos'!C51</f>
        <v>HA</v>
      </c>
      <c r="C36" s="489">
        <f>'Custos Insumos'!D51</f>
        <v>370</v>
      </c>
      <c r="D36" s="726">
        <v>1</v>
      </c>
      <c r="E36" s="18">
        <f>$C$36*D36</f>
        <v>370</v>
      </c>
      <c r="F36" s="492"/>
      <c r="G36" s="18"/>
      <c r="H36" s="726">
        <v>1</v>
      </c>
      <c r="I36" s="18">
        <f t="shared" si="0"/>
        <v>370</v>
      </c>
      <c r="J36" s="726">
        <v>1</v>
      </c>
      <c r="K36" s="18">
        <f>C36*J36</f>
        <v>370</v>
      </c>
    </row>
    <row r="37" spans="1:11" ht="20.149999999999999" customHeight="1" outlineLevel="2" thickBot="1" x14ac:dyDescent="0.3">
      <c r="A37" s="41" t="s">
        <v>273</v>
      </c>
      <c r="B37" s="29" t="str">
        <f>'Custos Insumos'!C51</f>
        <v>HA</v>
      </c>
      <c r="C37" s="499">
        <f>'Custos Insumos'!D52</f>
        <v>550</v>
      </c>
      <c r="D37" s="493"/>
      <c r="E37" s="27"/>
      <c r="F37" s="727">
        <v>1</v>
      </c>
      <c r="G37" s="27">
        <f>C37*F37</f>
        <v>550</v>
      </c>
      <c r="H37" s="493"/>
      <c r="I37" s="27"/>
      <c r="J37" s="493"/>
      <c r="K37" s="27"/>
    </row>
    <row r="38" spans="1:11" ht="20.149999999999999" customHeight="1" outlineLevel="2" thickBot="1" x14ac:dyDescent="0.3">
      <c r="A38" s="496"/>
      <c r="B38" s="508"/>
      <c r="C38" s="511" t="s">
        <v>520</v>
      </c>
      <c r="D38" s="495"/>
      <c r="E38" s="503">
        <f>SUM(E30:E37)</f>
        <v>2042.5</v>
      </c>
      <c r="F38" s="495"/>
      <c r="G38" s="503">
        <f>SUM(G30:G37)</f>
        <v>1410</v>
      </c>
      <c r="H38" s="495"/>
      <c r="I38" s="503">
        <f>SUM(I30:I37)</f>
        <v>2127.5</v>
      </c>
      <c r="J38" s="495"/>
      <c r="K38" s="503">
        <f>SUM(K30:K37)</f>
        <v>1570</v>
      </c>
    </row>
    <row r="39" spans="1:11" ht="20.149999999999999" customHeight="1" outlineLevel="2" thickBot="1" x14ac:dyDescent="0.3"/>
    <row r="40" spans="1:11" ht="20.149999999999999" customHeight="1" outlineLevel="1" thickBot="1" x14ac:dyDescent="0.3">
      <c r="A40" s="559" t="s">
        <v>58</v>
      </c>
      <c r="B40" s="671"/>
      <c r="C40" s="671"/>
      <c r="D40" s="560"/>
      <c r="E40" s="560"/>
      <c r="F40" s="560"/>
      <c r="G40" s="560"/>
      <c r="H40" s="560"/>
      <c r="I40" s="560"/>
      <c r="J40" s="560"/>
      <c r="K40" s="561"/>
    </row>
    <row r="41" spans="1:11" ht="20.149999999999999" customHeight="1" outlineLevel="2" x14ac:dyDescent="0.25">
      <c r="A41" s="71" t="s">
        <v>113</v>
      </c>
      <c r="B41" s="216" t="s">
        <v>8</v>
      </c>
      <c r="C41" s="505" t="s">
        <v>100</v>
      </c>
      <c r="D41" s="71" t="s">
        <v>97</v>
      </c>
      <c r="E41" s="55" t="s">
        <v>521</v>
      </c>
      <c r="F41" s="71" t="s">
        <v>97</v>
      </c>
      <c r="G41" s="55" t="s">
        <v>521</v>
      </c>
      <c r="H41" s="71" t="s">
        <v>97</v>
      </c>
      <c r="I41" s="55" t="s">
        <v>521</v>
      </c>
      <c r="J41" s="71" t="s">
        <v>97</v>
      </c>
      <c r="K41" s="55" t="s">
        <v>521</v>
      </c>
    </row>
    <row r="42" spans="1:11" ht="20.149999999999999" customHeight="1" outlineLevel="2" x14ac:dyDescent="0.25">
      <c r="A42" s="20" t="str">
        <f>'Custos Diversos'!A129</f>
        <v>Sistema de irrigação</v>
      </c>
      <c r="B42" s="13" t="str">
        <f>'Custos Diversos'!B129</f>
        <v>ha</v>
      </c>
      <c r="C42" s="509">
        <f>'Custos Diversos'!C129</f>
        <v>18500</v>
      </c>
      <c r="D42" s="500">
        <f>'Custos Diversos'!D129</f>
        <v>0.5</v>
      </c>
      <c r="E42" s="175">
        <f>C42*D42</f>
        <v>9250</v>
      </c>
      <c r="F42" s="500">
        <f>'Custos Diversos'!D129</f>
        <v>0.5</v>
      </c>
      <c r="G42" s="175">
        <f>C42*F42</f>
        <v>9250</v>
      </c>
      <c r="H42" s="500">
        <f>'Custos Diversos'!D129</f>
        <v>0.5</v>
      </c>
      <c r="I42" s="175">
        <f>C42*H42</f>
        <v>9250</v>
      </c>
      <c r="J42" s="500">
        <f>'Custos Diversos'!D129</f>
        <v>0.5</v>
      </c>
      <c r="K42" s="175">
        <f>C42*J42</f>
        <v>9250</v>
      </c>
    </row>
    <row r="43" spans="1:11" ht="20.149999999999999" customHeight="1" outlineLevel="2" x14ac:dyDescent="0.25">
      <c r="A43" s="20" t="str">
        <f>'Custos Diversos'!A130</f>
        <v>Apoio - alojamento - cozinha e refeitório</v>
      </c>
      <c r="B43" s="13" t="str">
        <f>'Custos Diversos'!B130</f>
        <v>m²/ha</v>
      </c>
      <c r="C43" s="509">
        <f>'Custos Diversos'!C130</f>
        <v>350</v>
      </c>
      <c r="D43" s="500">
        <f>'Custos Diversos'!D130</f>
        <v>1.615</v>
      </c>
      <c r="E43" s="175">
        <f>C43*D43</f>
        <v>565.25</v>
      </c>
      <c r="F43" s="500">
        <f>'Custos Diversos'!D130</f>
        <v>1.615</v>
      </c>
      <c r="G43" s="175">
        <f>C43*F43</f>
        <v>565.25</v>
      </c>
      <c r="H43" s="500">
        <f>'Custos Diversos'!D130</f>
        <v>1.615</v>
      </c>
      <c r="I43" s="175">
        <f>C43*H43</f>
        <v>565.25</v>
      </c>
      <c r="J43" s="500">
        <f>'Custos Diversos'!D130</f>
        <v>1.615</v>
      </c>
      <c r="K43" s="175">
        <f>C43*J43</f>
        <v>565.25</v>
      </c>
    </row>
    <row r="44" spans="1:11" ht="20.149999999999999" customHeight="1" outlineLevel="2" thickBot="1" x14ac:dyDescent="0.3">
      <c r="A44" s="28" t="str">
        <f>'Custos Diversos'!A131</f>
        <v>Galpã0 insumos e maquinas</v>
      </c>
      <c r="B44" s="29" t="str">
        <f>'Custos Diversos'!B131</f>
        <v>m²/ha</v>
      </c>
      <c r="C44" s="510">
        <f>'Custos Diversos'!C131</f>
        <v>530</v>
      </c>
      <c r="D44" s="501">
        <f>'Custos Diversos'!D131</f>
        <v>1.95</v>
      </c>
      <c r="E44" s="502">
        <f>C44*D44</f>
        <v>1033.5</v>
      </c>
      <c r="F44" s="501">
        <f>'Custos Diversos'!D131</f>
        <v>1.95</v>
      </c>
      <c r="G44" s="502">
        <f>C44*F44</f>
        <v>1033.5</v>
      </c>
      <c r="H44" s="501">
        <f>'Custos Diversos'!D131</f>
        <v>1.95</v>
      </c>
      <c r="I44" s="502">
        <f>C44*H44</f>
        <v>1033.5</v>
      </c>
      <c r="J44" s="501">
        <f>'Custos Diversos'!D131</f>
        <v>1.95</v>
      </c>
      <c r="K44" s="502">
        <f>C44*J44</f>
        <v>1033.5</v>
      </c>
    </row>
    <row r="45" spans="1:11" ht="20.149999999999999" customHeight="1" outlineLevel="2" thickBot="1" x14ac:dyDescent="0.3">
      <c r="A45" s="495"/>
      <c r="B45" s="507"/>
      <c r="C45" s="411" t="s">
        <v>519</v>
      </c>
      <c r="D45" s="495"/>
      <c r="E45" s="503">
        <f>SUM(E42:E44)</f>
        <v>10848.75</v>
      </c>
      <c r="F45" s="495"/>
      <c r="G45" s="503">
        <f>SUM(G42:G44)</f>
        <v>10848.75</v>
      </c>
      <c r="H45" s="495"/>
      <c r="I45" s="503">
        <f>SUM(I42:I44)</f>
        <v>10848.75</v>
      </c>
      <c r="J45" s="495"/>
      <c r="K45" s="503">
        <f>SUM(K42:K44)</f>
        <v>10848.75</v>
      </c>
    </row>
    <row r="46" spans="1:11" ht="20.149999999999999" customHeight="1" outlineLevel="2" x14ac:dyDescent="0.25">
      <c r="A46" s="6" t="s">
        <v>270</v>
      </c>
    </row>
    <row r="47" spans="1:11" ht="20.149999999999999" customHeight="1" outlineLevel="2" thickBot="1" x14ac:dyDescent="0.3"/>
    <row r="48" spans="1:11" ht="20.149999999999999" customHeight="1" outlineLevel="1" thickBot="1" x14ac:dyDescent="0.3">
      <c r="A48" s="559" t="s">
        <v>61</v>
      </c>
      <c r="B48" s="671"/>
      <c r="C48" s="671"/>
      <c r="D48" s="560"/>
      <c r="E48" s="560"/>
      <c r="F48" s="560"/>
      <c r="G48" s="560"/>
      <c r="H48" s="560"/>
      <c r="I48" s="560"/>
      <c r="J48" s="560"/>
      <c r="K48" s="561"/>
    </row>
    <row r="49" spans="1:11" ht="20.149999999999999" customHeight="1" outlineLevel="2" x14ac:dyDescent="0.25">
      <c r="A49" s="71" t="s">
        <v>113</v>
      </c>
      <c r="B49" s="216" t="s">
        <v>8</v>
      </c>
      <c r="C49" s="505" t="s">
        <v>100</v>
      </c>
      <c r="D49" s="71" t="s">
        <v>97</v>
      </c>
      <c r="E49" s="55" t="s">
        <v>263</v>
      </c>
      <c r="F49" s="71" t="s">
        <v>97</v>
      </c>
      <c r="G49" s="55" t="s">
        <v>263</v>
      </c>
      <c r="H49" s="71" t="s">
        <v>97</v>
      </c>
      <c r="I49" s="55" t="s">
        <v>263</v>
      </c>
      <c r="J49" s="71" t="s">
        <v>97</v>
      </c>
      <c r="K49" s="55" t="s">
        <v>263</v>
      </c>
    </row>
    <row r="50" spans="1:11" ht="20.149999999999999" customHeight="1" outlineLevel="2" x14ac:dyDescent="0.25">
      <c r="A50" s="46" t="str">
        <f>'Custos Diversos'!A146</f>
        <v>Energia - parcelar ( consumo )</v>
      </c>
      <c r="B50" s="8" t="str">
        <f>'Custos Diversos'!B146</f>
        <v>kwh/ano</v>
      </c>
      <c r="C50" s="489">
        <f>'Custos Diversos'!F146</f>
        <v>0.23</v>
      </c>
      <c r="D50" s="492">
        <f>'Demanda de água e energia'!E99</f>
        <v>267.59426111324001</v>
      </c>
      <c r="E50" s="18">
        <f>C50*D50</f>
        <v>61.546680056045204</v>
      </c>
      <c r="F50" s="492">
        <f>'Demanda de água e energia'!E103</f>
        <v>516.72885227054985</v>
      </c>
      <c r="G50" s="18">
        <f t="shared" ref="G50:G58" si="1">C50*F50</f>
        <v>118.84763602222647</v>
      </c>
      <c r="H50" s="492">
        <f>'Demanda de água e energia'!E102</f>
        <v>527.89580187775437</v>
      </c>
      <c r="I50" s="18">
        <f t="shared" ref="I50:I58" si="2">C50*H50</f>
        <v>121.4160344318835</v>
      </c>
      <c r="J50" s="492">
        <f>'Demanda de água e energia'!E100</f>
        <v>808.28848246790562</v>
      </c>
      <c r="K50" s="18">
        <f t="shared" ref="K50:K58" si="3">C50*J50</f>
        <v>185.90635096761829</v>
      </c>
    </row>
    <row r="51" spans="1:11" ht="20.149999999999999" customHeight="1" outlineLevel="2" x14ac:dyDescent="0.25">
      <c r="A51" s="46" t="str">
        <f>'Custos Diversos'!A147</f>
        <v>Energia - parcelar ( demanda )</v>
      </c>
      <c r="B51" s="8" t="str">
        <f>'Custos Diversos'!B147</f>
        <v>kw/ano</v>
      </c>
      <c r="C51" s="489">
        <f>'Custos Diversos'!F147</f>
        <v>12</v>
      </c>
      <c r="D51" s="726">
        <v>6</v>
      </c>
      <c r="E51" s="18">
        <f t="shared" ref="E51:E58" si="4">C51*D51</f>
        <v>72</v>
      </c>
      <c r="F51" s="726">
        <v>6</v>
      </c>
      <c r="G51" s="18">
        <f t="shared" si="1"/>
        <v>72</v>
      </c>
      <c r="H51" s="726">
        <v>6</v>
      </c>
      <c r="I51" s="18">
        <f t="shared" si="2"/>
        <v>72</v>
      </c>
      <c r="J51" s="726">
        <v>6</v>
      </c>
      <c r="K51" s="18">
        <f t="shared" si="3"/>
        <v>72</v>
      </c>
    </row>
    <row r="52" spans="1:11" ht="20.149999999999999" customHeight="1" outlineLevel="2" x14ac:dyDescent="0.25">
      <c r="A52" s="46" t="str">
        <f>'Custos Diversos'!A149</f>
        <v>man sist irrig</v>
      </c>
      <c r="B52" s="8" t="str">
        <f>'Custos Diversos'!B149</f>
        <v>vb/ha/ano</v>
      </c>
      <c r="C52" s="489">
        <f>'Custos Diversos'!F149</f>
        <v>92.5</v>
      </c>
      <c r="D52" s="726">
        <v>1</v>
      </c>
      <c r="E52" s="18">
        <f t="shared" si="4"/>
        <v>92.5</v>
      </c>
      <c r="F52" s="726">
        <v>1</v>
      </c>
      <c r="G52" s="18">
        <f t="shared" si="1"/>
        <v>92.5</v>
      </c>
      <c r="H52" s="726">
        <v>1</v>
      </c>
      <c r="I52" s="18">
        <f t="shared" si="2"/>
        <v>92.5</v>
      </c>
      <c r="J52" s="726">
        <v>1</v>
      </c>
      <c r="K52" s="18">
        <f t="shared" si="3"/>
        <v>92.5</v>
      </c>
    </row>
    <row r="53" spans="1:11" ht="20.149999999999999" customHeight="1" outlineLevel="2" x14ac:dyDescent="0.25">
      <c r="A53" s="46" t="str">
        <f>'Custos Diversos'!A150</f>
        <v>man estrutura</v>
      </c>
      <c r="B53" s="8" t="str">
        <f>'Custos Diversos'!B149</f>
        <v>vb/ha/ano</v>
      </c>
      <c r="C53" s="489">
        <f>'Custos Diversos'!F150</f>
        <v>15.987500000000001</v>
      </c>
      <c r="D53" s="726">
        <v>1</v>
      </c>
      <c r="E53" s="18">
        <f t="shared" si="4"/>
        <v>15.987500000000001</v>
      </c>
      <c r="F53" s="726">
        <v>1</v>
      </c>
      <c r="G53" s="18">
        <f t="shared" si="1"/>
        <v>15.987500000000001</v>
      </c>
      <c r="H53" s="726">
        <v>1</v>
      </c>
      <c r="I53" s="18">
        <f t="shared" si="2"/>
        <v>15.987500000000001</v>
      </c>
      <c r="J53" s="726">
        <v>1</v>
      </c>
      <c r="K53" s="18">
        <f t="shared" si="3"/>
        <v>15.987500000000001</v>
      </c>
    </row>
    <row r="54" spans="1:11" ht="20.149999999999999" customHeight="1" outlineLevel="2" x14ac:dyDescent="0.25">
      <c r="A54" s="46" t="str">
        <f>'Custos Diversos'!A151</f>
        <v>Ferramentas diversas</v>
      </c>
      <c r="B54" s="8" t="str">
        <f>'Custos Diversos'!B150</f>
        <v>vb/ha/ano</v>
      </c>
      <c r="C54" s="489">
        <f>'Custos Diversos'!F151</f>
        <v>300</v>
      </c>
      <c r="D54" s="726">
        <v>1</v>
      </c>
      <c r="E54" s="18">
        <f t="shared" si="4"/>
        <v>300</v>
      </c>
      <c r="F54" s="726">
        <v>1</v>
      </c>
      <c r="G54" s="18">
        <f t="shared" si="1"/>
        <v>300</v>
      </c>
      <c r="H54" s="726">
        <v>1</v>
      </c>
      <c r="I54" s="18">
        <f t="shared" si="2"/>
        <v>300</v>
      </c>
      <c r="J54" s="726">
        <v>1</v>
      </c>
      <c r="K54" s="18">
        <f t="shared" si="3"/>
        <v>300</v>
      </c>
    </row>
    <row r="55" spans="1:11" ht="20.149999999999999" customHeight="1" outlineLevel="2" x14ac:dyDescent="0.25">
      <c r="A55" s="46" t="str">
        <f>'Custos Diversos'!A152</f>
        <v>Transporte funcionários</v>
      </c>
      <c r="B55" s="8" t="str">
        <f>'Custos Diversos'!B151</f>
        <v>vb/ha/ano</v>
      </c>
      <c r="C55" s="489">
        <f>'Custos Diversos'!F152</f>
        <v>50</v>
      </c>
      <c r="D55" s="726">
        <v>1</v>
      </c>
      <c r="E55" s="18">
        <f t="shared" si="4"/>
        <v>50</v>
      </c>
      <c r="F55" s="726">
        <v>1</v>
      </c>
      <c r="G55" s="18">
        <f t="shared" si="1"/>
        <v>50</v>
      </c>
      <c r="H55" s="726">
        <v>1</v>
      </c>
      <c r="I55" s="18">
        <f t="shared" si="2"/>
        <v>50</v>
      </c>
      <c r="J55" s="726">
        <v>1</v>
      </c>
      <c r="K55" s="18">
        <f t="shared" si="3"/>
        <v>50</v>
      </c>
    </row>
    <row r="56" spans="1:11" ht="20.149999999999999" customHeight="1" outlineLevel="2" x14ac:dyDescent="0.25">
      <c r="A56" s="46" t="str">
        <f>'Custos Diversos'!A153</f>
        <v>Assistência Técnica - consultoria/</v>
      </c>
      <c r="B56" s="8" t="str">
        <f>'Custos Diversos'!B152</f>
        <v>vb/ha/ano</v>
      </c>
      <c r="C56" s="489">
        <f>'Custos Diversos'!F153</f>
        <v>110</v>
      </c>
      <c r="D56" s="726">
        <v>1</v>
      </c>
      <c r="E56" s="18">
        <f t="shared" si="4"/>
        <v>110</v>
      </c>
      <c r="F56" s="726">
        <v>1</v>
      </c>
      <c r="G56" s="18">
        <f t="shared" si="1"/>
        <v>110</v>
      </c>
      <c r="H56" s="726">
        <v>1</v>
      </c>
      <c r="I56" s="18">
        <f t="shared" si="2"/>
        <v>110</v>
      </c>
      <c r="J56" s="726">
        <v>1</v>
      </c>
      <c r="K56" s="18">
        <f t="shared" si="3"/>
        <v>110</v>
      </c>
    </row>
    <row r="57" spans="1:11" ht="20.149999999999999" customHeight="1" outlineLevel="2" x14ac:dyDescent="0.25">
      <c r="A57" s="46" t="str">
        <f>'Custos Diversos'!A154</f>
        <v>Sacaria</v>
      </c>
      <c r="B57" s="8" t="str">
        <f>'Custos Diversos'!B154</f>
        <v>UD</v>
      </c>
      <c r="C57" s="854">
        <f>'Custos Diversos'!F154</f>
        <v>1.5</v>
      </c>
      <c r="D57" s="726">
        <v>75</v>
      </c>
      <c r="E57" s="18">
        <f t="shared" si="4"/>
        <v>112.5</v>
      </c>
      <c r="F57" s="726">
        <v>46.666666666666664</v>
      </c>
      <c r="G57" s="18">
        <f t="shared" si="1"/>
        <v>70</v>
      </c>
      <c r="H57" s="726">
        <v>180</v>
      </c>
      <c r="I57" s="18">
        <f t="shared" si="2"/>
        <v>270</v>
      </c>
      <c r="J57" s="726">
        <v>170</v>
      </c>
      <c r="K57" s="18">
        <f t="shared" si="3"/>
        <v>255</v>
      </c>
    </row>
    <row r="58" spans="1:11" ht="20.149999999999999" customHeight="1" outlineLevel="2" thickBot="1" x14ac:dyDescent="0.3">
      <c r="A58" s="46" t="str">
        <f>'Custos Diversos'!A155</f>
        <v>Administrativo</v>
      </c>
      <c r="B58" s="8" t="str">
        <f>'Custos Diversos'!B155</f>
        <v>vb/ha/ano</v>
      </c>
      <c r="C58" s="490">
        <f>'Custos Diversos'!F155</f>
        <v>510.36380896000003</v>
      </c>
      <c r="D58" s="727">
        <v>1</v>
      </c>
      <c r="E58" s="27">
        <f t="shared" si="4"/>
        <v>510.36380896000003</v>
      </c>
      <c r="F58" s="727">
        <v>1</v>
      </c>
      <c r="G58" s="27">
        <f t="shared" si="1"/>
        <v>510.36380896000003</v>
      </c>
      <c r="H58" s="727">
        <v>1</v>
      </c>
      <c r="I58" s="27">
        <f t="shared" si="2"/>
        <v>510.36380896000003</v>
      </c>
      <c r="J58" s="727">
        <v>1</v>
      </c>
      <c r="K58" s="27">
        <f t="shared" si="3"/>
        <v>510.36380896000003</v>
      </c>
    </row>
    <row r="59" spans="1:11" ht="20.149999999999999" customHeight="1" outlineLevel="2" thickBot="1" x14ac:dyDescent="0.3">
      <c r="A59" s="495"/>
      <c r="B59" s="507"/>
      <c r="C59" s="411" t="s">
        <v>105</v>
      </c>
      <c r="D59" s="495"/>
      <c r="E59" s="503">
        <f>SUM(E50:E58)</f>
        <v>1324.8979890160454</v>
      </c>
      <c r="F59" s="495"/>
      <c r="G59" s="503">
        <f>SUM(G50:G58)</f>
        <v>1339.6989449822265</v>
      </c>
      <c r="H59" s="495"/>
      <c r="I59" s="503">
        <f>SUM(I50:I58)</f>
        <v>1542.2673433918835</v>
      </c>
      <c r="J59" s="495"/>
      <c r="K59" s="503">
        <f>SUM(K50:K58)</f>
        <v>1591.7576599276185</v>
      </c>
    </row>
    <row r="60" spans="1:11" ht="20.149999999999999" customHeight="1" outlineLevel="2" thickBot="1" x14ac:dyDescent="0.3">
      <c r="D60" s="344"/>
      <c r="E60" s="6"/>
      <c r="F60" s="344"/>
      <c r="G60" s="6"/>
      <c r="H60" s="344"/>
      <c r="I60" s="6"/>
      <c r="J60" s="344"/>
      <c r="K60" s="6"/>
    </row>
    <row r="61" spans="1:11" ht="20.149999999999999" customHeight="1" outlineLevel="1" thickBot="1" x14ac:dyDescent="0.3">
      <c r="A61" s="559" t="s">
        <v>515</v>
      </c>
      <c r="B61" s="671"/>
      <c r="C61" s="671"/>
      <c r="D61" s="560"/>
      <c r="E61" s="560"/>
      <c r="F61" s="560"/>
      <c r="G61" s="560"/>
      <c r="H61" s="560"/>
      <c r="I61" s="560"/>
      <c r="J61" s="560"/>
      <c r="K61" s="561"/>
    </row>
    <row r="62" spans="1:11" ht="20.149999999999999" customHeight="1" outlineLevel="2" x14ac:dyDescent="0.25">
      <c r="B62" s="6"/>
      <c r="C62" s="516"/>
      <c r="D62" s="677" t="s">
        <v>516</v>
      </c>
      <c r="E62" s="724">
        <v>4.9800000000000004</v>
      </c>
      <c r="F62" s="129"/>
      <c r="G62" s="725">
        <v>2.82</v>
      </c>
      <c r="H62" s="129"/>
      <c r="I62" s="725">
        <v>10.72</v>
      </c>
      <c r="J62" s="678"/>
      <c r="K62" s="725">
        <v>9.8699999999999992</v>
      </c>
    </row>
    <row r="63" spans="1:11" ht="20.149999999999999" customHeight="1" outlineLevel="2" x14ac:dyDescent="0.25">
      <c r="B63" s="6"/>
      <c r="C63" s="497"/>
      <c r="D63" s="350" t="s">
        <v>107</v>
      </c>
      <c r="E63" s="506">
        <f>E19+E26+E38+E45+E59</f>
        <v>18086.147989016044</v>
      </c>
      <c r="F63" s="343"/>
      <c r="G63" s="343">
        <f>G19+G26+G38+G45+G59</f>
        <v>17869.648944982226</v>
      </c>
      <c r="H63" s="343"/>
      <c r="I63" s="343">
        <f>I19+I26+I38+I45+I59</f>
        <v>19648.517343391883</v>
      </c>
      <c r="J63" s="343"/>
      <c r="K63" s="343">
        <f>K19+K26+K38+K45+K59</f>
        <v>18653.007659927618</v>
      </c>
    </row>
    <row r="64" spans="1:11" ht="20.149999999999999" customHeight="1" outlineLevel="2" x14ac:dyDescent="0.25">
      <c r="B64" s="6"/>
      <c r="C64" s="497"/>
      <c r="D64" s="350" t="s">
        <v>108</v>
      </c>
      <c r="E64" s="343">
        <f>E62*$E$68</f>
        <v>14442.000000000002</v>
      </c>
      <c r="F64" s="343"/>
      <c r="G64" s="343">
        <f>G62*$G$68</f>
        <v>16355.999999999998</v>
      </c>
      <c r="H64" s="343"/>
      <c r="I64" s="343">
        <f>I62*$I$68</f>
        <v>16080.000000000002</v>
      </c>
      <c r="J64" s="343"/>
      <c r="K64" s="343">
        <f>K62*$K$68</f>
        <v>14804.999999999998</v>
      </c>
    </row>
    <row r="65" spans="3:11" ht="20.149999999999999" customHeight="1" outlineLevel="2" x14ac:dyDescent="0.25">
      <c r="C65" s="497"/>
      <c r="D65" s="350" t="s">
        <v>109</v>
      </c>
      <c r="E65" s="343">
        <f>E64-E63</f>
        <v>-3644.1479890160426</v>
      </c>
      <c r="F65" s="343"/>
      <c r="G65" s="343">
        <f>G64-G63</f>
        <v>-1513.6489449822275</v>
      </c>
      <c r="H65" s="343"/>
      <c r="I65" s="343">
        <f>I64-I63</f>
        <v>-3568.5173433918808</v>
      </c>
      <c r="J65" s="343"/>
      <c r="K65" s="343">
        <f>K64-K63</f>
        <v>-3848.0076599276199</v>
      </c>
    </row>
    <row r="66" spans="3:11" ht="20.149999999999999" customHeight="1" outlineLevel="2" x14ac:dyDescent="0.25">
      <c r="C66" s="497"/>
      <c r="D66" s="350" t="s">
        <v>600</v>
      </c>
      <c r="E66" s="343">
        <f>E65</f>
        <v>-3644.1479890160426</v>
      </c>
      <c r="F66" s="343"/>
      <c r="G66" s="343">
        <f>G65</f>
        <v>-1513.6489449822275</v>
      </c>
      <c r="H66" s="343"/>
      <c r="I66" s="343">
        <f>I65</f>
        <v>-3568.5173433918808</v>
      </c>
      <c r="J66" s="343"/>
      <c r="K66" s="343">
        <f>K65</f>
        <v>-3848.0076599276199</v>
      </c>
    </row>
    <row r="67" spans="3:11" ht="20.149999999999999" customHeight="1" outlineLevel="2" x14ac:dyDescent="0.25">
      <c r="C67" s="497"/>
      <c r="D67" s="350" t="s">
        <v>111</v>
      </c>
      <c r="E67" s="343"/>
      <c r="F67" s="343"/>
      <c r="G67" s="343"/>
      <c r="H67" s="343"/>
      <c r="I67" s="343"/>
      <c r="J67" s="343"/>
      <c r="K67" s="343"/>
    </row>
    <row r="68" spans="3:11" ht="20.149999999999999" customHeight="1" outlineLevel="2" x14ac:dyDescent="0.25">
      <c r="C68" s="497"/>
      <c r="D68" s="353" t="s">
        <v>112</v>
      </c>
      <c r="E68" s="848">
        <f>'Preço de venda - Cult. Temp.'!AB75</f>
        <v>2900</v>
      </c>
      <c r="F68" s="343"/>
      <c r="G68" s="846">
        <f>'Preço de venda - Cult. Temp.'!AG75</f>
        <v>5800</v>
      </c>
      <c r="H68" s="343"/>
      <c r="I68" s="846">
        <f>'Preço de venda - Cult. Temp.'!W75</f>
        <v>1500</v>
      </c>
      <c r="J68" s="343"/>
      <c r="K68" s="846">
        <f>'Preço de venda - Cult. Temp.'!W75</f>
        <v>1500</v>
      </c>
    </row>
    <row r="69" spans="3:11" ht="20.149999999999999" customHeight="1" outlineLevel="2" x14ac:dyDescent="0.25">
      <c r="C69" s="524" t="s">
        <v>597</v>
      </c>
      <c r="D69" s="39"/>
    </row>
    <row r="70" spans="3:11" ht="20.149999999999999" customHeight="1" x14ac:dyDescent="0.25">
      <c r="C70" s="39" t="s">
        <v>598</v>
      </c>
      <c r="E70" s="672"/>
      <c r="G70" s="672"/>
      <c r="I70" s="672"/>
      <c r="K70" s="672"/>
    </row>
    <row r="71" spans="3:11" x14ac:dyDescent="0.25">
      <c r="C71" s="39" t="s">
        <v>599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6DA3-201B-480B-9C9D-51034EA41563}">
  <sheetPr>
    <tabColor theme="1"/>
  </sheetPr>
  <dimension ref="A1"/>
  <sheetViews>
    <sheetView topLeftCell="XFD1048576" workbookViewId="0">
      <selection activeCell="IV65536" sqref="A1:IV65536"/>
    </sheetView>
  </sheetViews>
  <sheetFormatPr defaultColWidth="0" defaultRowHeight="12.5" zeroHeight="1" x14ac:dyDescent="0.25"/>
  <cols>
    <col min="1" max="16384" width="0" style="117" hidden="1"/>
  </cols>
  <sheetData/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0944-1AC2-4A11-8AE7-681BFBF75CEF}">
  <sheetPr>
    <tabColor theme="6" tint="0.59999389629810485"/>
    <outlinePr summaryBelow="0"/>
  </sheetPr>
  <dimension ref="A1:AO129"/>
  <sheetViews>
    <sheetView showGridLines="0" zoomScale="80" zoomScaleNormal="80" workbookViewId="0">
      <selection activeCell="P5" sqref="P5"/>
    </sheetView>
  </sheetViews>
  <sheetFormatPr defaultColWidth="0" defaultRowHeight="12.5" outlineLevelRow="2" x14ac:dyDescent="0.25"/>
  <cols>
    <col min="1" max="1" width="34.81640625" style="6" bestFit="1" customWidth="1"/>
    <col min="2" max="2" width="9.54296875" style="6" bestFit="1" customWidth="1"/>
    <col min="3" max="3" width="15.1796875" style="6" customWidth="1"/>
    <col min="4" max="4" width="10.7265625" style="6" customWidth="1"/>
    <col min="5" max="29" width="8.7265625" style="6" customWidth="1"/>
    <col min="30" max="41" width="9.1796875" style="6" customWidth="1"/>
    <col min="42" max="16384" width="0" style="6" hidden="1"/>
  </cols>
  <sheetData>
    <row r="1" spans="1:29" ht="13" thickBot="1" x14ac:dyDescent="0.3"/>
    <row r="2" spans="1:29" ht="40" customHeight="1" thickBot="1" x14ac:dyDescent="0.3">
      <c r="A2" s="538" t="s">
        <v>560</v>
      </c>
      <c r="B2" s="539"/>
      <c r="C2" s="564"/>
      <c r="D2" s="564"/>
      <c r="E2" s="564"/>
      <c r="F2" s="564"/>
      <c r="G2" s="564"/>
      <c r="H2" s="564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</row>
    <row r="3" spans="1:29" ht="15" customHeight="1" thickBot="1" x14ac:dyDescent="0.3">
      <c r="A3" s="642"/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  <c r="O3" s="642"/>
      <c r="P3" s="642"/>
      <c r="Q3" s="642"/>
      <c r="R3" s="642"/>
      <c r="S3" s="642"/>
      <c r="T3" s="642"/>
      <c r="U3" s="642"/>
      <c r="V3" s="642"/>
      <c r="W3" s="642"/>
      <c r="X3" s="642"/>
      <c r="Y3" s="642"/>
    </row>
    <row r="4" spans="1:29" ht="30" customHeight="1" collapsed="1" thickBot="1" x14ac:dyDescent="0.3">
      <c r="A4" s="640" t="s">
        <v>326</v>
      </c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563"/>
      <c r="AA4" s="563"/>
      <c r="AB4" s="563"/>
      <c r="AC4" s="563"/>
    </row>
    <row r="5" spans="1:29" ht="20.149999999999999" hidden="1" customHeight="1" outlineLevel="1" collapsed="1" thickBot="1" x14ac:dyDescent="0.3">
      <c r="A5" s="559" t="s">
        <v>377</v>
      </c>
      <c r="B5" s="561"/>
    </row>
    <row r="6" spans="1:29" ht="20.149999999999999" hidden="1" customHeight="1" outlineLevel="2" x14ac:dyDescent="0.25">
      <c r="A6" s="21" t="s">
        <v>487</v>
      </c>
      <c r="B6" s="215" t="s">
        <v>318</v>
      </c>
    </row>
    <row r="7" spans="1:29" ht="20.149999999999999" hidden="1" customHeight="1" outlineLevel="2" thickBot="1" x14ac:dyDescent="0.3">
      <c r="A7" s="41" t="s">
        <v>486</v>
      </c>
      <c r="B7" s="209">
        <v>2666</v>
      </c>
    </row>
    <row r="8" spans="1:29" ht="13" hidden="1" outlineLevel="2" thickBot="1" x14ac:dyDescent="0.3"/>
    <row r="9" spans="1:29" ht="25" hidden="1" customHeight="1" outlineLevel="1" collapsed="1" thickBot="1" x14ac:dyDescent="0.3">
      <c r="A9" s="559" t="s">
        <v>494</v>
      </c>
      <c r="B9" s="560"/>
      <c r="C9" s="572"/>
      <c r="D9" s="572"/>
      <c r="E9" s="572"/>
      <c r="F9" s="572"/>
      <c r="G9" s="572"/>
      <c r="H9" s="572"/>
      <c r="I9" s="572"/>
      <c r="J9" s="572"/>
      <c r="K9" s="572"/>
      <c r="L9" s="572"/>
      <c r="M9" s="572"/>
      <c r="N9" s="572"/>
      <c r="O9" s="572"/>
      <c r="P9" s="572"/>
      <c r="Q9" s="572"/>
      <c r="R9" s="572"/>
      <c r="S9" s="572"/>
      <c r="T9" s="572"/>
      <c r="U9" s="572"/>
      <c r="V9" s="572"/>
      <c r="W9" s="572"/>
      <c r="X9" s="572"/>
      <c r="Y9" s="572"/>
      <c r="Z9" s="572"/>
      <c r="AA9" s="572"/>
      <c r="AB9" s="572"/>
      <c r="AC9" s="573"/>
    </row>
    <row r="10" spans="1:29" s="15" customFormat="1" ht="20.149999999999999" hidden="1" customHeight="1" outlineLevel="2" x14ac:dyDescent="0.25">
      <c r="A10" s="1127" t="s">
        <v>113</v>
      </c>
      <c r="B10" s="1124" t="s">
        <v>468</v>
      </c>
      <c r="C10" s="1130" t="s">
        <v>495</v>
      </c>
      <c r="D10" s="1124" t="s">
        <v>499</v>
      </c>
      <c r="E10" s="1123" t="s">
        <v>501</v>
      </c>
      <c r="F10" s="1124" t="s">
        <v>93</v>
      </c>
      <c r="G10" s="1124"/>
      <c r="H10" s="1124"/>
      <c r="I10" s="1124"/>
      <c r="J10" s="1124"/>
      <c r="K10" s="1124"/>
      <c r="L10" s="1124"/>
      <c r="M10" s="1124"/>
      <c r="N10" s="1124"/>
      <c r="O10" s="1124"/>
      <c r="P10" s="1125"/>
      <c r="Q10" s="644"/>
      <c r="R10" s="1126" t="s">
        <v>500</v>
      </c>
      <c r="S10" s="1124"/>
      <c r="T10" s="1124"/>
      <c r="U10" s="1124"/>
      <c r="V10" s="1124"/>
      <c r="W10" s="1124"/>
      <c r="X10" s="1124"/>
      <c r="Y10" s="1124"/>
      <c r="Z10" s="1124"/>
      <c r="AA10" s="1124"/>
      <c r="AB10" s="1124"/>
      <c r="AC10" s="1125"/>
    </row>
    <row r="11" spans="1:29" s="15" customFormat="1" ht="20.149999999999999" hidden="1" customHeight="1" outlineLevel="2" thickBot="1" x14ac:dyDescent="0.3">
      <c r="A11" s="1128"/>
      <c r="B11" s="1129"/>
      <c r="C11" s="1131"/>
      <c r="D11" s="1129"/>
      <c r="E11" s="226">
        <v>1</v>
      </c>
      <c r="F11" s="226">
        <v>2</v>
      </c>
      <c r="G11" s="226">
        <v>3</v>
      </c>
      <c r="H11" s="226">
        <v>4</v>
      </c>
      <c r="I11" s="226">
        <v>5</v>
      </c>
      <c r="J11" s="226">
        <v>6</v>
      </c>
      <c r="K11" s="226">
        <v>7</v>
      </c>
      <c r="L11" s="226">
        <v>8</v>
      </c>
      <c r="M11" s="226">
        <v>9</v>
      </c>
      <c r="N11" s="226">
        <v>10</v>
      </c>
      <c r="O11" s="226">
        <v>11</v>
      </c>
      <c r="P11" s="271">
        <v>12</v>
      </c>
      <c r="Q11" s="6"/>
      <c r="R11" s="274">
        <v>1</v>
      </c>
      <c r="S11" s="226">
        <v>2</v>
      </c>
      <c r="T11" s="226">
        <v>3</v>
      </c>
      <c r="U11" s="226">
        <v>4</v>
      </c>
      <c r="V11" s="226">
        <v>5</v>
      </c>
      <c r="W11" s="226">
        <v>6</v>
      </c>
      <c r="X11" s="226">
        <v>7</v>
      </c>
      <c r="Y11" s="226">
        <v>8</v>
      </c>
      <c r="Z11" s="226">
        <v>9</v>
      </c>
      <c r="AA11" s="226">
        <v>10</v>
      </c>
      <c r="AB11" s="226">
        <v>11</v>
      </c>
      <c r="AC11" s="271">
        <v>12</v>
      </c>
    </row>
    <row r="12" spans="1:29" ht="20.149999999999999" hidden="1" customHeight="1" outlineLevel="2" x14ac:dyDescent="0.25">
      <c r="A12" s="222" t="str">
        <f>'Custos Insumos'!A5</f>
        <v>Ácido Bórico</v>
      </c>
      <c r="B12" s="129" t="str">
        <f>UPPER(VLOOKUP(A12,'Custos Insumos'!$A$5:$C$168,3,FALSE))</f>
        <v>KG</v>
      </c>
      <c r="C12" s="129" t="str">
        <f>VLOOKUP(A12,'Custos Insumos'!$A$5:$D$74,2,FALSE)</f>
        <v>G/COVA</v>
      </c>
      <c r="D12" s="61">
        <f>'Custos Insumos'!D5</f>
        <v>7.5</v>
      </c>
      <c r="E12" s="223">
        <f t="shared" ref="E12:P12" si="0">E18</f>
        <v>50</v>
      </c>
      <c r="F12" s="223">
        <f t="shared" si="0"/>
        <v>60</v>
      </c>
      <c r="G12" s="223">
        <f t="shared" si="0"/>
        <v>60</v>
      </c>
      <c r="H12" s="223">
        <f t="shared" si="0"/>
        <v>60</v>
      </c>
      <c r="I12" s="223">
        <f t="shared" si="0"/>
        <v>60</v>
      </c>
      <c r="J12" s="223">
        <f t="shared" si="0"/>
        <v>60</v>
      </c>
      <c r="K12" s="223">
        <f t="shared" si="0"/>
        <v>60</v>
      </c>
      <c r="L12" s="223">
        <f t="shared" si="0"/>
        <v>60</v>
      </c>
      <c r="M12" s="230">
        <f t="shared" si="0"/>
        <v>60</v>
      </c>
      <c r="N12" s="230">
        <f t="shared" si="0"/>
        <v>60</v>
      </c>
      <c r="O12" s="230">
        <f t="shared" si="0"/>
        <v>60</v>
      </c>
      <c r="P12" s="231">
        <f t="shared" si="0"/>
        <v>60</v>
      </c>
      <c r="R12" s="235">
        <f t="shared" ref="R12:AC12" si="1">E12*$B$7/1000</f>
        <v>133.30000000000001</v>
      </c>
      <c r="S12" s="236">
        <f t="shared" si="1"/>
        <v>159.96</v>
      </c>
      <c r="T12" s="236">
        <f t="shared" si="1"/>
        <v>159.96</v>
      </c>
      <c r="U12" s="236">
        <f t="shared" si="1"/>
        <v>159.96</v>
      </c>
      <c r="V12" s="236">
        <f t="shared" si="1"/>
        <v>159.96</v>
      </c>
      <c r="W12" s="236">
        <f t="shared" si="1"/>
        <v>159.96</v>
      </c>
      <c r="X12" s="236">
        <f t="shared" si="1"/>
        <v>159.96</v>
      </c>
      <c r="Y12" s="236">
        <f t="shared" si="1"/>
        <v>159.96</v>
      </c>
      <c r="Z12" s="237">
        <f t="shared" si="1"/>
        <v>159.96</v>
      </c>
      <c r="AA12" s="237">
        <f t="shared" si="1"/>
        <v>159.96</v>
      </c>
      <c r="AB12" s="237">
        <f t="shared" si="1"/>
        <v>159.96</v>
      </c>
      <c r="AC12" s="238">
        <f t="shared" si="1"/>
        <v>159.96</v>
      </c>
    </row>
    <row r="13" spans="1:29" ht="20.149999999999999" hidden="1" customHeight="1" outlineLevel="2" x14ac:dyDescent="0.25">
      <c r="A13" s="23" t="str">
        <f>'Custos Insumos'!A6</f>
        <v>Calcário</v>
      </c>
      <c r="B13" s="8" t="str">
        <f>UPPER(VLOOKUP(A13,'Custos Insumos'!$A$5:$C$168,3,FALSE))</f>
        <v>T</v>
      </c>
      <c r="C13" s="8" t="str">
        <f>VLOOKUP(A13,'Custos Insumos'!$A$5:$D$74,2,FALSE)</f>
        <v>T/HA</v>
      </c>
      <c r="D13" s="59">
        <f>'Custos Insumos'!D6</f>
        <v>450</v>
      </c>
      <c r="E13" s="187">
        <v>1.3</v>
      </c>
      <c r="F13" s="187">
        <v>1</v>
      </c>
      <c r="G13" s="187">
        <v>1</v>
      </c>
      <c r="H13" s="187">
        <v>1</v>
      </c>
      <c r="I13" s="187">
        <v>1</v>
      </c>
      <c r="J13" s="187">
        <v>1</v>
      </c>
      <c r="K13" s="187">
        <v>1</v>
      </c>
      <c r="L13" s="187">
        <v>1</v>
      </c>
      <c r="M13" s="229">
        <v>1</v>
      </c>
      <c r="N13" s="229">
        <v>1</v>
      </c>
      <c r="O13" s="229">
        <v>1</v>
      </c>
      <c r="P13" s="232">
        <v>1</v>
      </c>
      <c r="R13" s="239">
        <f t="shared" ref="R13:AC15" si="2">E13</f>
        <v>1.3</v>
      </c>
      <c r="S13" s="188">
        <f t="shared" si="2"/>
        <v>1</v>
      </c>
      <c r="T13" s="188">
        <f t="shared" si="2"/>
        <v>1</v>
      </c>
      <c r="U13" s="188">
        <f t="shared" si="2"/>
        <v>1</v>
      </c>
      <c r="V13" s="188">
        <f t="shared" si="2"/>
        <v>1</v>
      </c>
      <c r="W13" s="188">
        <f t="shared" si="2"/>
        <v>1</v>
      </c>
      <c r="X13" s="188">
        <f t="shared" si="2"/>
        <v>1</v>
      </c>
      <c r="Y13" s="188">
        <f t="shared" si="2"/>
        <v>1</v>
      </c>
      <c r="Z13" s="240">
        <f t="shared" si="2"/>
        <v>1</v>
      </c>
      <c r="AA13" s="240">
        <f t="shared" si="2"/>
        <v>1</v>
      </c>
      <c r="AB13" s="240">
        <f t="shared" si="2"/>
        <v>1</v>
      </c>
      <c r="AC13" s="241">
        <f t="shared" si="2"/>
        <v>1</v>
      </c>
    </row>
    <row r="14" spans="1:29" ht="20.149999999999999" hidden="1" customHeight="1" outlineLevel="2" x14ac:dyDescent="0.25">
      <c r="A14" s="23" t="str">
        <f>'Custos Insumos'!A8</f>
        <v>Fosfatado</v>
      </c>
      <c r="B14" s="8" t="str">
        <f>UPPER(VLOOKUP(A14,'Custos Insumos'!$A$5:$C$168,3,FALSE))</f>
        <v>T</v>
      </c>
      <c r="C14" s="8" t="str">
        <f>VLOOKUP(A14,'Custos Insumos'!$A$5:$D$74,2,FALSE)</f>
        <v>T/HA</v>
      </c>
      <c r="D14" s="59">
        <f>'Custos Insumos'!D8</f>
        <v>2650</v>
      </c>
      <c r="E14" s="187">
        <v>1</v>
      </c>
      <c r="F14" s="187">
        <v>1</v>
      </c>
      <c r="G14" s="187">
        <v>1</v>
      </c>
      <c r="H14" s="187">
        <v>1</v>
      </c>
      <c r="I14" s="187">
        <v>1</v>
      </c>
      <c r="J14" s="187">
        <v>1</v>
      </c>
      <c r="K14" s="187">
        <v>1</v>
      </c>
      <c r="L14" s="187">
        <v>1</v>
      </c>
      <c r="M14" s="229">
        <v>1</v>
      </c>
      <c r="N14" s="229">
        <v>1</v>
      </c>
      <c r="O14" s="229">
        <v>1</v>
      </c>
      <c r="P14" s="232">
        <v>1</v>
      </c>
      <c r="R14" s="239">
        <f t="shared" si="2"/>
        <v>1</v>
      </c>
      <c r="S14" s="188">
        <f t="shared" si="2"/>
        <v>1</v>
      </c>
      <c r="T14" s="188">
        <f t="shared" si="2"/>
        <v>1</v>
      </c>
      <c r="U14" s="188">
        <f t="shared" si="2"/>
        <v>1</v>
      </c>
      <c r="V14" s="188">
        <f t="shared" si="2"/>
        <v>1</v>
      </c>
      <c r="W14" s="188">
        <f t="shared" si="2"/>
        <v>1</v>
      </c>
      <c r="X14" s="188">
        <f t="shared" si="2"/>
        <v>1</v>
      </c>
      <c r="Y14" s="188">
        <f t="shared" si="2"/>
        <v>1</v>
      </c>
      <c r="Z14" s="240">
        <f t="shared" si="2"/>
        <v>1</v>
      </c>
      <c r="AA14" s="240">
        <f t="shared" si="2"/>
        <v>1</v>
      </c>
      <c r="AB14" s="240">
        <f t="shared" si="2"/>
        <v>1</v>
      </c>
      <c r="AC14" s="241">
        <f t="shared" si="2"/>
        <v>1</v>
      </c>
    </row>
    <row r="15" spans="1:29" ht="20.149999999999999" hidden="1" customHeight="1" outlineLevel="2" x14ac:dyDescent="0.25">
      <c r="A15" s="23" t="str">
        <f>'Custos Insumos'!A9</f>
        <v>Foliar Completo</v>
      </c>
      <c r="B15" s="8" t="str">
        <f>UPPER(VLOOKUP(A15,'Custos Insumos'!$A$5:$C$168,3,FALSE))</f>
        <v>L</v>
      </c>
      <c r="C15" s="8" t="str">
        <f>VLOOKUP(A15,'Custos Insumos'!$A$5:$D$74,2,FALSE)</f>
        <v>L/HA</v>
      </c>
      <c r="D15" s="59">
        <f>'Custos Insumos'!D9</f>
        <v>25</v>
      </c>
      <c r="E15" s="187">
        <v>2</v>
      </c>
      <c r="F15" s="187">
        <v>4</v>
      </c>
      <c r="G15" s="187">
        <v>4</v>
      </c>
      <c r="H15" s="187">
        <v>4</v>
      </c>
      <c r="I15" s="187">
        <v>4</v>
      </c>
      <c r="J15" s="187">
        <v>4</v>
      </c>
      <c r="K15" s="187">
        <v>4</v>
      </c>
      <c r="L15" s="187">
        <v>4</v>
      </c>
      <c r="M15" s="229">
        <v>4</v>
      </c>
      <c r="N15" s="229">
        <v>4</v>
      </c>
      <c r="O15" s="229">
        <v>4</v>
      </c>
      <c r="P15" s="232">
        <v>4</v>
      </c>
      <c r="R15" s="239">
        <f t="shared" si="2"/>
        <v>2</v>
      </c>
      <c r="S15" s="188">
        <f t="shared" si="2"/>
        <v>4</v>
      </c>
      <c r="T15" s="188">
        <f t="shared" si="2"/>
        <v>4</v>
      </c>
      <c r="U15" s="188">
        <f t="shared" si="2"/>
        <v>4</v>
      </c>
      <c r="V15" s="188">
        <f t="shared" si="2"/>
        <v>4</v>
      </c>
      <c r="W15" s="188">
        <f t="shared" si="2"/>
        <v>4</v>
      </c>
      <c r="X15" s="188">
        <f t="shared" si="2"/>
        <v>4</v>
      </c>
      <c r="Y15" s="188">
        <f t="shared" si="2"/>
        <v>4</v>
      </c>
      <c r="Z15" s="240">
        <f t="shared" si="2"/>
        <v>4</v>
      </c>
      <c r="AA15" s="240">
        <f t="shared" si="2"/>
        <v>4</v>
      </c>
      <c r="AB15" s="240">
        <f t="shared" si="2"/>
        <v>4</v>
      </c>
      <c r="AC15" s="241">
        <f t="shared" si="2"/>
        <v>4</v>
      </c>
    </row>
    <row r="16" spans="1:29" ht="20.149999999999999" hidden="1" customHeight="1" outlineLevel="2" x14ac:dyDescent="0.25">
      <c r="A16" s="23" t="str">
        <f>'Custos Insumos'!A11</f>
        <v>KCL</v>
      </c>
      <c r="B16" s="8" t="str">
        <f>UPPER(VLOOKUP(A16,'Custos Insumos'!$A$5:$C$168,3,FALSE))</f>
        <v>T</v>
      </c>
      <c r="C16" s="8" t="str">
        <f>VLOOKUP(A16,'Custos Insumos'!$A$5:$D$74,2,FALSE)</f>
        <v>G/COVA</v>
      </c>
      <c r="D16" s="59">
        <f>'Custos Insumos'!D11</f>
        <v>2700</v>
      </c>
      <c r="E16" s="187">
        <f>80*8</f>
        <v>640</v>
      </c>
      <c r="F16" s="187">
        <f>70*12</f>
        <v>840</v>
      </c>
      <c r="G16" s="187">
        <v>840</v>
      </c>
      <c r="H16" s="187">
        <v>840</v>
      </c>
      <c r="I16" s="187">
        <v>720</v>
      </c>
      <c r="J16" s="187">
        <v>720</v>
      </c>
      <c r="K16" s="187">
        <v>720</v>
      </c>
      <c r="L16" s="187">
        <v>720</v>
      </c>
      <c r="M16" s="229">
        <v>720</v>
      </c>
      <c r="N16" s="229">
        <v>720</v>
      </c>
      <c r="O16" s="229">
        <v>720</v>
      </c>
      <c r="P16" s="232">
        <v>720</v>
      </c>
      <c r="R16" s="242">
        <f t="shared" ref="R16:AC16" si="3">E16*$B$7/1000000</f>
        <v>1.70624</v>
      </c>
      <c r="S16" s="243">
        <f t="shared" si="3"/>
        <v>2.2394400000000001</v>
      </c>
      <c r="T16" s="243">
        <f t="shared" si="3"/>
        <v>2.2394400000000001</v>
      </c>
      <c r="U16" s="243">
        <f t="shared" si="3"/>
        <v>2.2394400000000001</v>
      </c>
      <c r="V16" s="243">
        <f t="shared" si="3"/>
        <v>1.9195199999999999</v>
      </c>
      <c r="W16" s="243">
        <f t="shared" si="3"/>
        <v>1.9195199999999999</v>
      </c>
      <c r="X16" s="243">
        <f t="shared" si="3"/>
        <v>1.9195199999999999</v>
      </c>
      <c r="Y16" s="243">
        <f t="shared" si="3"/>
        <v>1.9195199999999999</v>
      </c>
      <c r="Z16" s="240">
        <f t="shared" si="3"/>
        <v>1.9195199999999999</v>
      </c>
      <c r="AA16" s="240">
        <f t="shared" si="3"/>
        <v>1.9195199999999999</v>
      </c>
      <c r="AB16" s="240">
        <f t="shared" si="3"/>
        <v>1.9195199999999999</v>
      </c>
      <c r="AC16" s="241">
        <f t="shared" si="3"/>
        <v>1.9195199999999999</v>
      </c>
    </row>
    <row r="17" spans="1:29" ht="20.149999999999999" hidden="1" customHeight="1" outlineLevel="2" x14ac:dyDescent="0.25">
      <c r="A17" s="23" t="str">
        <f>'Custos Insumos'!A19</f>
        <v>Sulfato de Magnésio</v>
      </c>
      <c r="B17" s="8" t="str">
        <f>UPPER(VLOOKUP(A17,'Custos Insumos'!$A$5:$C$168,3,FALSE))</f>
        <v>KG</v>
      </c>
      <c r="C17" s="8" t="str">
        <f>VLOOKUP(A17,'Custos Insumos'!$A$5:$D$74,2,FALSE)</f>
        <v>G/COVA</v>
      </c>
      <c r="D17" s="59">
        <f>'Custos Insumos'!D19</f>
        <v>1.5</v>
      </c>
      <c r="E17" s="187">
        <f>10*10</f>
        <v>100</v>
      </c>
      <c r="F17" s="187">
        <f t="shared" ref="F17:P17" si="4">10*12</f>
        <v>120</v>
      </c>
      <c r="G17" s="187">
        <f t="shared" si="4"/>
        <v>120</v>
      </c>
      <c r="H17" s="187">
        <f t="shared" si="4"/>
        <v>120</v>
      </c>
      <c r="I17" s="187">
        <f t="shared" si="4"/>
        <v>120</v>
      </c>
      <c r="J17" s="187">
        <f t="shared" si="4"/>
        <v>120</v>
      </c>
      <c r="K17" s="187">
        <f t="shared" si="4"/>
        <v>120</v>
      </c>
      <c r="L17" s="187">
        <f t="shared" si="4"/>
        <v>120</v>
      </c>
      <c r="M17" s="229">
        <f t="shared" si="4"/>
        <v>120</v>
      </c>
      <c r="N17" s="229">
        <f t="shared" si="4"/>
        <v>120</v>
      </c>
      <c r="O17" s="229">
        <f t="shared" si="4"/>
        <v>120</v>
      </c>
      <c r="P17" s="232">
        <f t="shared" si="4"/>
        <v>120</v>
      </c>
      <c r="R17" s="239">
        <f t="shared" ref="R17:AC19" si="5">E17*$B$7/1000</f>
        <v>266.60000000000002</v>
      </c>
      <c r="S17" s="188">
        <f t="shared" si="5"/>
        <v>319.92</v>
      </c>
      <c r="T17" s="188">
        <f t="shared" si="5"/>
        <v>319.92</v>
      </c>
      <c r="U17" s="188">
        <f t="shared" si="5"/>
        <v>319.92</v>
      </c>
      <c r="V17" s="188">
        <f t="shared" si="5"/>
        <v>319.92</v>
      </c>
      <c r="W17" s="188">
        <f t="shared" si="5"/>
        <v>319.92</v>
      </c>
      <c r="X17" s="188">
        <f t="shared" si="5"/>
        <v>319.92</v>
      </c>
      <c r="Y17" s="188">
        <f t="shared" si="5"/>
        <v>319.92</v>
      </c>
      <c r="Z17" s="240">
        <f t="shared" si="5"/>
        <v>319.92</v>
      </c>
      <c r="AA17" s="240">
        <f t="shared" si="5"/>
        <v>319.92</v>
      </c>
      <c r="AB17" s="240">
        <f t="shared" si="5"/>
        <v>319.92</v>
      </c>
      <c r="AC17" s="241">
        <f t="shared" si="5"/>
        <v>319.92</v>
      </c>
    </row>
    <row r="18" spans="1:29" ht="20.149999999999999" hidden="1" customHeight="1" outlineLevel="2" x14ac:dyDescent="0.25">
      <c r="A18" s="23" t="str">
        <f>'Custos Insumos'!A20</f>
        <v>Sulfato de Zinco</v>
      </c>
      <c r="B18" s="8" t="str">
        <f>UPPER(VLOOKUP(A18,'Custos Insumos'!$A$5:$C$168,3,FALSE))</f>
        <v>KG</v>
      </c>
      <c r="C18" s="8" t="str">
        <f>VLOOKUP(A18,'Custos Insumos'!$A$5:$D$74,2,FALSE)</f>
        <v>G/COVA</v>
      </c>
      <c r="D18" s="59">
        <f>'Custos Insumos'!D20</f>
        <v>6</v>
      </c>
      <c r="E18" s="187">
        <f t="shared" ref="E18:P18" si="6">0.5*E17</f>
        <v>50</v>
      </c>
      <c r="F18" s="187">
        <f t="shared" si="6"/>
        <v>60</v>
      </c>
      <c r="G18" s="187">
        <f t="shared" si="6"/>
        <v>60</v>
      </c>
      <c r="H18" s="187">
        <f t="shared" si="6"/>
        <v>60</v>
      </c>
      <c r="I18" s="187">
        <f t="shared" si="6"/>
        <v>60</v>
      </c>
      <c r="J18" s="187">
        <f t="shared" si="6"/>
        <v>60</v>
      </c>
      <c r="K18" s="187">
        <f t="shared" si="6"/>
        <v>60</v>
      </c>
      <c r="L18" s="187">
        <f t="shared" si="6"/>
        <v>60</v>
      </c>
      <c r="M18" s="229">
        <f t="shared" si="6"/>
        <v>60</v>
      </c>
      <c r="N18" s="229">
        <f t="shared" si="6"/>
        <v>60</v>
      </c>
      <c r="O18" s="229">
        <f t="shared" si="6"/>
        <v>60</v>
      </c>
      <c r="P18" s="232">
        <f t="shared" si="6"/>
        <v>60</v>
      </c>
      <c r="R18" s="239">
        <f t="shared" si="5"/>
        <v>133.30000000000001</v>
      </c>
      <c r="S18" s="188">
        <f t="shared" si="5"/>
        <v>159.96</v>
      </c>
      <c r="T18" s="188">
        <f t="shared" si="5"/>
        <v>159.96</v>
      </c>
      <c r="U18" s="188">
        <f t="shared" si="5"/>
        <v>159.96</v>
      </c>
      <c r="V18" s="188">
        <f t="shared" si="5"/>
        <v>159.96</v>
      </c>
      <c r="W18" s="188">
        <f t="shared" si="5"/>
        <v>159.96</v>
      </c>
      <c r="X18" s="188">
        <f t="shared" si="5"/>
        <v>159.96</v>
      </c>
      <c r="Y18" s="188">
        <f t="shared" si="5"/>
        <v>159.96</v>
      </c>
      <c r="Z18" s="240">
        <f t="shared" si="5"/>
        <v>159.96</v>
      </c>
      <c r="AA18" s="240">
        <f t="shared" si="5"/>
        <v>159.96</v>
      </c>
      <c r="AB18" s="240">
        <f t="shared" si="5"/>
        <v>159.96</v>
      </c>
      <c r="AC18" s="241">
        <f t="shared" si="5"/>
        <v>159.96</v>
      </c>
    </row>
    <row r="19" spans="1:29" ht="20.149999999999999" hidden="1" customHeight="1" outlineLevel="2" x14ac:dyDescent="0.25">
      <c r="A19" s="23" t="str">
        <f>'Custos Insumos'!A23</f>
        <v>Esterco de Gado</v>
      </c>
      <c r="B19" s="8" t="str">
        <f>UPPER(VLOOKUP(A19,'Custos Insumos'!$A$5:$C$168,3,FALSE))</f>
        <v>M3</v>
      </c>
      <c r="C19" s="8" t="str">
        <f>VLOOKUP(A19,'Custos Insumos'!$A$5:$D$74,2,FALSE)</f>
        <v>L/COVA</v>
      </c>
      <c r="D19" s="59">
        <f>'Custos Insumos'!D23</f>
        <v>80</v>
      </c>
      <c r="E19" s="187">
        <v>20</v>
      </c>
      <c r="F19" s="187"/>
      <c r="G19" s="187"/>
      <c r="H19" s="187"/>
      <c r="I19" s="187"/>
      <c r="J19" s="187"/>
      <c r="K19" s="187"/>
      <c r="L19" s="187"/>
      <c r="M19" s="229"/>
      <c r="N19" s="229"/>
      <c r="O19" s="229"/>
      <c r="P19" s="232"/>
      <c r="R19" s="239">
        <f t="shared" si="5"/>
        <v>53.32</v>
      </c>
      <c r="S19" s="188">
        <f t="shared" si="5"/>
        <v>0</v>
      </c>
      <c r="T19" s="188">
        <f t="shared" si="5"/>
        <v>0</v>
      </c>
      <c r="U19" s="188">
        <f t="shared" si="5"/>
        <v>0</v>
      </c>
      <c r="V19" s="188">
        <f t="shared" si="5"/>
        <v>0</v>
      </c>
      <c r="W19" s="188">
        <f t="shared" si="5"/>
        <v>0</v>
      </c>
      <c r="X19" s="188">
        <f t="shared" si="5"/>
        <v>0</v>
      </c>
      <c r="Y19" s="188">
        <f t="shared" si="5"/>
        <v>0</v>
      </c>
      <c r="Z19" s="240">
        <f t="shared" si="5"/>
        <v>0</v>
      </c>
      <c r="AA19" s="240">
        <f t="shared" si="5"/>
        <v>0</v>
      </c>
      <c r="AB19" s="240">
        <f t="shared" si="5"/>
        <v>0</v>
      </c>
      <c r="AC19" s="241">
        <f t="shared" si="5"/>
        <v>0</v>
      </c>
    </row>
    <row r="20" spans="1:29" ht="20.149999999999999" hidden="1" customHeight="1" outlineLevel="2" x14ac:dyDescent="0.25">
      <c r="A20" s="23" t="str">
        <f>'Custos Insumos'!A25</f>
        <v>Nitrato de Amonia</v>
      </c>
      <c r="B20" s="8" t="str">
        <f>UPPER(VLOOKUP(A20,'Custos Insumos'!$A$5:$C$168,3,FALSE))</f>
        <v>T</v>
      </c>
      <c r="C20" s="8" t="str">
        <f>VLOOKUP(A20,'Custos Insumos'!$A$5:$D$74,2,FALSE)</f>
        <v>G/COVA</v>
      </c>
      <c r="D20" s="59">
        <f>'Custos Insumos'!D25</f>
        <v>2200</v>
      </c>
      <c r="E20" s="187">
        <f t="shared" ref="E20:P20" si="7">0.8*E16</f>
        <v>512</v>
      </c>
      <c r="F20" s="187">
        <f t="shared" si="7"/>
        <v>672</v>
      </c>
      <c r="G20" s="187">
        <f t="shared" si="7"/>
        <v>672</v>
      </c>
      <c r="H20" s="187">
        <f t="shared" si="7"/>
        <v>672</v>
      </c>
      <c r="I20" s="187">
        <f t="shared" si="7"/>
        <v>576</v>
      </c>
      <c r="J20" s="187">
        <f t="shared" si="7"/>
        <v>576</v>
      </c>
      <c r="K20" s="187">
        <f t="shared" si="7"/>
        <v>576</v>
      </c>
      <c r="L20" s="187">
        <f t="shared" si="7"/>
        <v>576</v>
      </c>
      <c r="M20" s="229">
        <f t="shared" si="7"/>
        <v>576</v>
      </c>
      <c r="N20" s="229">
        <f t="shared" si="7"/>
        <v>576</v>
      </c>
      <c r="O20" s="229">
        <f t="shared" si="7"/>
        <v>576</v>
      </c>
      <c r="P20" s="232">
        <f t="shared" si="7"/>
        <v>576</v>
      </c>
      <c r="R20" s="239">
        <f t="shared" ref="R20:AC20" si="8">E20*$B$7/1000000</f>
        <v>1.364992</v>
      </c>
      <c r="S20" s="188">
        <f t="shared" si="8"/>
        <v>1.791552</v>
      </c>
      <c r="T20" s="188">
        <f t="shared" si="8"/>
        <v>1.791552</v>
      </c>
      <c r="U20" s="188">
        <f t="shared" si="8"/>
        <v>1.791552</v>
      </c>
      <c r="V20" s="188">
        <f t="shared" si="8"/>
        <v>1.5356160000000001</v>
      </c>
      <c r="W20" s="188">
        <f t="shared" si="8"/>
        <v>1.5356160000000001</v>
      </c>
      <c r="X20" s="188">
        <f t="shared" si="8"/>
        <v>1.5356160000000001</v>
      </c>
      <c r="Y20" s="188">
        <f t="shared" si="8"/>
        <v>1.5356160000000001</v>
      </c>
      <c r="Z20" s="240">
        <f t="shared" si="8"/>
        <v>1.5356160000000001</v>
      </c>
      <c r="AA20" s="240">
        <f t="shared" si="8"/>
        <v>1.5356160000000001</v>
      </c>
      <c r="AB20" s="240">
        <f t="shared" si="8"/>
        <v>1.5356160000000001</v>
      </c>
      <c r="AC20" s="241">
        <f t="shared" si="8"/>
        <v>1.5356160000000001</v>
      </c>
    </row>
    <row r="21" spans="1:29" ht="20.149999999999999" hidden="1" customHeight="1" outlineLevel="2" x14ac:dyDescent="0.25">
      <c r="A21" s="23" t="str">
        <f>'Custos Insumos'!A30</f>
        <v>Fungicida</v>
      </c>
      <c r="B21" s="8" t="str">
        <f>UPPER(VLOOKUP(A21,'Custos Insumos'!$A$5:$C$168,3,FALSE))</f>
        <v>L</v>
      </c>
      <c r="C21" s="8" t="str">
        <f>VLOOKUP(A21,'Custos Insumos'!$A$5:$D$74,2,FALSE)</f>
        <v>L/HA</v>
      </c>
      <c r="D21" s="59">
        <f>'Custos Insumos'!D30</f>
        <v>75</v>
      </c>
      <c r="E21" s="187">
        <f>1*0.5</f>
        <v>0.5</v>
      </c>
      <c r="F21" s="187">
        <f t="shared" ref="F21:P21" si="9">5*0.5</f>
        <v>2.5</v>
      </c>
      <c r="G21" s="187">
        <f t="shared" si="9"/>
        <v>2.5</v>
      </c>
      <c r="H21" s="187">
        <f t="shared" si="9"/>
        <v>2.5</v>
      </c>
      <c r="I21" s="187">
        <f t="shared" si="9"/>
        <v>2.5</v>
      </c>
      <c r="J21" s="187">
        <f t="shared" si="9"/>
        <v>2.5</v>
      </c>
      <c r="K21" s="187">
        <f t="shared" si="9"/>
        <v>2.5</v>
      </c>
      <c r="L21" s="187">
        <f t="shared" si="9"/>
        <v>2.5</v>
      </c>
      <c r="M21" s="229">
        <f t="shared" si="9"/>
        <v>2.5</v>
      </c>
      <c r="N21" s="229">
        <f t="shared" si="9"/>
        <v>2.5</v>
      </c>
      <c r="O21" s="229">
        <f t="shared" si="9"/>
        <v>2.5</v>
      </c>
      <c r="P21" s="232">
        <f t="shared" si="9"/>
        <v>2.5</v>
      </c>
      <c r="R21" s="239">
        <f t="shared" ref="R21:AC25" si="10">E21</f>
        <v>0.5</v>
      </c>
      <c r="S21" s="188">
        <f t="shared" si="10"/>
        <v>2.5</v>
      </c>
      <c r="T21" s="188">
        <f t="shared" si="10"/>
        <v>2.5</v>
      </c>
      <c r="U21" s="188">
        <f t="shared" si="10"/>
        <v>2.5</v>
      </c>
      <c r="V21" s="188">
        <f t="shared" si="10"/>
        <v>2.5</v>
      </c>
      <c r="W21" s="188">
        <f t="shared" si="10"/>
        <v>2.5</v>
      </c>
      <c r="X21" s="188">
        <f t="shared" si="10"/>
        <v>2.5</v>
      </c>
      <c r="Y21" s="188">
        <f t="shared" si="10"/>
        <v>2.5</v>
      </c>
      <c r="Z21" s="240">
        <f t="shared" si="10"/>
        <v>2.5</v>
      </c>
      <c r="AA21" s="240">
        <f t="shared" si="10"/>
        <v>2.5</v>
      </c>
      <c r="AB21" s="240">
        <f t="shared" si="10"/>
        <v>2.5</v>
      </c>
      <c r="AC21" s="241">
        <f t="shared" si="10"/>
        <v>2.5</v>
      </c>
    </row>
    <row r="22" spans="1:29" ht="20.149999999999999" hidden="1" customHeight="1" outlineLevel="2" x14ac:dyDescent="0.25">
      <c r="A22" s="23" t="str">
        <f>'Custos Insumos'!A31</f>
        <v>Inseticida</v>
      </c>
      <c r="B22" s="8" t="str">
        <f>UPPER(VLOOKUP(A22,'Custos Insumos'!$A$5:$C$168,3,FALSE))</f>
        <v>L</v>
      </c>
      <c r="C22" s="8" t="str">
        <f>VLOOKUP(A22,'Custos Insumos'!$A$5:$D$74,2,FALSE)</f>
        <v>L/HA</v>
      </c>
      <c r="D22" s="59">
        <f>'Custos Insumos'!D31</f>
        <v>40</v>
      </c>
      <c r="E22" s="187">
        <v>1</v>
      </c>
      <c r="F22" s="187">
        <v>1</v>
      </c>
      <c r="G22" s="187">
        <v>1</v>
      </c>
      <c r="H22" s="187">
        <v>1</v>
      </c>
      <c r="I22" s="187">
        <v>1</v>
      </c>
      <c r="J22" s="187">
        <v>1</v>
      </c>
      <c r="K22" s="187">
        <v>1</v>
      </c>
      <c r="L22" s="187">
        <v>1</v>
      </c>
      <c r="M22" s="229">
        <v>1</v>
      </c>
      <c r="N22" s="229">
        <v>1</v>
      </c>
      <c r="O22" s="229">
        <v>1</v>
      </c>
      <c r="P22" s="232">
        <v>1</v>
      </c>
      <c r="R22" s="239">
        <f t="shared" si="10"/>
        <v>1</v>
      </c>
      <c r="S22" s="188">
        <f t="shared" si="10"/>
        <v>1</v>
      </c>
      <c r="T22" s="188">
        <f t="shared" si="10"/>
        <v>1</v>
      </c>
      <c r="U22" s="188">
        <f t="shared" si="10"/>
        <v>1</v>
      </c>
      <c r="V22" s="188">
        <f t="shared" si="10"/>
        <v>1</v>
      </c>
      <c r="W22" s="188">
        <f t="shared" si="10"/>
        <v>1</v>
      </c>
      <c r="X22" s="188">
        <f t="shared" si="10"/>
        <v>1</v>
      </c>
      <c r="Y22" s="188">
        <f t="shared" si="10"/>
        <v>1</v>
      </c>
      <c r="Z22" s="240">
        <f t="shared" si="10"/>
        <v>1</v>
      </c>
      <c r="AA22" s="240">
        <f t="shared" si="10"/>
        <v>1</v>
      </c>
      <c r="AB22" s="240">
        <f t="shared" si="10"/>
        <v>1</v>
      </c>
      <c r="AC22" s="241">
        <f t="shared" si="10"/>
        <v>1</v>
      </c>
    </row>
    <row r="23" spans="1:29" ht="20.149999999999999" hidden="1" customHeight="1" outlineLevel="2" x14ac:dyDescent="0.25">
      <c r="A23" s="23" t="str">
        <f>'Custos Insumos'!A35</f>
        <v>Espalhante</v>
      </c>
      <c r="B23" s="8" t="str">
        <f>UPPER(VLOOKUP(A23,'Custos Insumos'!$A$5:$C$168,3,FALSE))</f>
        <v>L</v>
      </c>
      <c r="C23" s="8" t="str">
        <f>VLOOKUP(A23,'Custos Insumos'!$A$5:$D$74,2,FALSE)</f>
        <v>L/HA</v>
      </c>
      <c r="D23" s="59">
        <f>'Custos Insumos'!D35</f>
        <v>15</v>
      </c>
      <c r="E23" s="187">
        <v>0.25</v>
      </c>
      <c r="F23" s="187">
        <v>0.5</v>
      </c>
      <c r="G23" s="187">
        <v>0.5</v>
      </c>
      <c r="H23" s="187">
        <v>0.5</v>
      </c>
      <c r="I23" s="187">
        <v>0.5</v>
      </c>
      <c r="J23" s="187">
        <v>0.5</v>
      </c>
      <c r="K23" s="187">
        <v>0.5</v>
      </c>
      <c r="L23" s="187">
        <v>0.5</v>
      </c>
      <c r="M23" s="229">
        <v>0.5</v>
      </c>
      <c r="N23" s="229">
        <v>0.5</v>
      </c>
      <c r="O23" s="229">
        <v>0.5</v>
      </c>
      <c r="P23" s="232">
        <v>0.5</v>
      </c>
      <c r="R23" s="239">
        <f t="shared" si="10"/>
        <v>0.25</v>
      </c>
      <c r="S23" s="188">
        <f t="shared" si="10"/>
        <v>0.5</v>
      </c>
      <c r="T23" s="188">
        <f t="shared" si="10"/>
        <v>0.5</v>
      </c>
      <c r="U23" s="188">
        <f t="shared" si="10"/>
        <v>0.5</v>
      </c>
      <c r="V23" s="188">
        <f t="shared" si="10"/>
        <v>0.5</v>
      </c>
      <c r="W23" s="188">
        <f t="shared" si="10"/>
        <v>0.5</v>
      </c>
      <c r="X23" s="188">
        <f t="shared" si="10"/>
        <v>0.5</v>
      </c>
      <c r="Y23" s="188">
        <f t="shared" si="10"/>
        <v>0.5</v>
      </c>
      <c r="Z23" s="240">
        <f t="shared" si="10"/>
        <v>0.5</v>
      </c>
      <c r="AA23" s="240">
        <f t="shared" si="10"/>
        <v>0.5</v>
      </c>
      <c r="AB23" s="240">
        <f t="shared" si="10"/>
        <v>0.5</v>
      </c>
      <c r="AC23" s="241">
        <f t="shared" si="10"/>
        <v>0.5</v>
      </c>
    </row>
    <row r="24" spans="1:29" ht="20.149999999999999" hidden="1" customHeight="1" outlineLevel="2" x14ac:dyDescent="0.25">
      <c r="A24" s="23" t="str">
        <f>'Custos Insumos'!A36</f>
        <v>Herbicida</v>
      </c>
      <c r="B24" s="8" t="str">
        <f>UPPER(VLOOKUP(A24,'Custos Insumos'!$A$5:$C$168,3,FALSE))</f>
        <v>L</v>
      </c>
      <c r="C24" s="8" t="str">
        <f>VLOOKUP(A24,'Custos Insumos'!$A$5:$D$74,2,FALSE)</f>
        <v>L/HA</v>
      </c>
      <c r="D24" s="59">
        <f>'Custos Insumos'!D36</f>
        <v>65</v>
      </c>
      <c r="E24" s="187">
        <v>1.5</v>
      </c>
      <c r="F24" s="187">
        <v>0.4</v>
      </c>
      <c r="G24" s="187">
        <v>0.25</v>
      </c>
      <c r="H24" s="187">
        <v>0.25</v>
      </c>
      <c r="I24" s="187">
        <v>0.25</v>
      </c>
      <c r="J24" s="187">
        <v>0.25</v>
      </c>
      <c r="K24" s="187">
        <v>0.25</v>
      </c>
      <c r="L24" s="187">
        <v>0.25</v>
      </c>
      <c r="M24" s="229">
        <v>0.25</v>
      </c>
      <c r="N24" s="229">
        <v>0.25</v>
      </c>
      <c r="O24" s="229">
        <v>0.25</v>
      </c>
      <c r="P24" s="232">
        <v>0.25</v>
      </c>
      <c r="R24" s="239">
        <f t="shared" si="10"/>
        <v>1.5</v>
      </c>
      <c r="S24" s="188">
        <f t="shared" si="10"/>
        <v>0.4</v>
      </c>
      <c r="T24" s="188">
        <f t="shared" si="10"/>
        <v>0.25</v>
      </c>
      <c r="U24" s="188">
        <f t="shared" si="10"/>
        <v>0.25</v>
      </c>
      <c r="V24" s="188">
        <f t="shared" si="10"/>
        <v>0.25</v>
      </c>
      <c r="W24" s="188">
        <f t="shared" si="10"/>
        <v>0.25</v>
      </c>
      <c r="X24" s="188">
        <f t="shared" si="10"/>
        <v>0.25</v>
      </c>
      <c r="Y24" s="188">
        <f t="shared" si="10"/>
        <v>0.25</v>
      </c>
      <c r="Z24" s="240">
        <f t="shared" si="10"/>
        <v>0.25</v>
      </c>
      <c r="AA24" s="240">
        <f t="shared" si="10"/>
        <v>0.25</v>
      </c>
      <c r="AB24" s="240">
        <f t="shared" si="10"/>
        <v>0.25</v>
      </c>
      <c r="AC24" s="241">
        <f t="shared" si="10"/>
        <v>0.25</v>
      </c>
    </row>
    <row r="25" spans="1:29" ht="20.149999999999999" hidden="1" customHeight="1" outlineLevel="2" x14ac:dyDescent="0.25">
      <c r="A25" s="23" t="str">
        <f>'Custos Insumos'!A40</f>
        <v>Óleo Mineral</v>
      </c>
      <c r="B25" s="8" t="str">
        <f>UPPER(VLOOKUP(A25,'Custos Insumos'!$A$5:$C$168,3,FALSE))</f>
        <v>L</v>
      </c>
      <c r="C25" s="8" t="str">
        <f>VLOOKUP(A25,'Custos Insumos'!$A$5:$D$74,2,FALSE)</f>
        <v>L/HA</v>
      </c>
      <c r="D25" s="59">
        <f>'Custos Insumos'!D40</f>
        <v>10</v>
      </c>
      <c r="E25" s="187">
        <f>6</f>
        <v>6</v>
      </c>
      <c r="F25" s="187">
        <v>30</v>
      </c>
      <c r="G25" s="187">
        <v>30</v>
      </c>
      <c r="H25" s="187">
        <v>30</v>
      </c>
      <c r="I25" s="187">
        <v>30</v>
      </c>
      <c r="J25" s="187">
        <v>30</v>
      </c>
      <c r="K25" s="187">
        <v>30</v>
      </c>
      <c r="L25" s="187">
        <v>30</v>
      </c>
      <c r="M25" s="229">
        <v>30</v>
      </c>
      <c r="N25" s="229">
        <v>30</v>
      </c>
      <c r="O25" s="229">
        <v>30</v>
      </c>
      <c r="P25" s="232">
        <v>30</v>
      </c>
      <c r="R25" s="239">
        <f t="shared" si="10"/>
        <v>6</v>
      </c>
      <c r="S25" s="188">
        <f t="shared" si="10"/>
        <v>30</v>
      </c>
      <c r="T25" s="188">
        <f t="shared" si="10"/>
        <v>30</v>
      </c>
      <c r="U25" s="188">
        <f t="shared" si="10"/>
        <v>30</v>
      </c>
      <c r="V25" s="188">
        <f t="shared" si="10"/>
        <v>30</v>
      </c>
      <c r="W25" s="188">
        <f t="shared" si="10"/>
        <v>30</v>
      </c>
      <c r="X25" s="188">
        <f t="shared" si="10"/>
        <v>30</v>
      </c>
      <c r="Y25" s="188">
        <f t="shared" si="10"/>
        <v>30</v>
      </c>
      <c r="Z25" s="240">
        <f t="shared" si="10"/>
        <v>30</v>
      </c>
      <c r="AA25" s="240">
        <f t="shared" si="10"/>
        <v>30</v>
      </c>
      <c r="AB25" s="240">
        <f t="shared" si="10"/>
        <v>30</v>
      </c>
      <c r="AC25" s="241">
        <f t="shared" si="10"/>
        <v>30</v>
      </c>
    </row>
    <row r="26" spans="1:29" ht="20.149999999999999" hidden="1" customHeight="1" outlineLevel="2" thickBot="1" x14ac:dyDescent="0.3">
      <c r="A26" s="57" t="str">
        <f>'Custos Insumos'!A56</f>
        <v>Muda Banana</v>
      </c>
      <c r="B26" s="50" t="str">
        <f>'Custos Insumos'!B56</f>
        <v>UD</v>
      </c>
      <c r="C26" s="50" t="str">
        <f>'Custos Insumos'!C56</f>
        <v>UD</v>
      </c>
      <c r="D26" s="60">
        <f>'Custos Insumos'!D56</f>
        <v>4</v>
      </c>
      <c r="E26" s="214">
        <f>B7</f>
        <v>2666</v>
      </c>
      <c r="F26" s="214"/>
      <c r="G26" s="214"/>
      <c r="H26" s="214"/>
      <c r="I26" s="214"/>
      <c r="J26" s="214"/>
      <c r="K26" s="214"/>
      <c r="L26" s="214"/>
      <c r="M26" s="233"/>
      <c r="N26" s="233"/>
      <c r="O26" s="233"/>
      <c r="P26" s="234"/>
      <c r="R26" s="244">
        <f t="shared" ref="R26:Y26" si="11">E26</f>
        <v>2666</v>
      </c>
      <c r="S26" s="245">
        <f t="shared" si="11"/>
        <v>0</v>
      </c>
      <c r="T26" s="245">
        <f t="shared" si="11"/>
        <v>0</v>
      </c>
      <c r="U26" s="245">
        <f t="shared" si="11"/>
        <v>0</v>
      </c>
      <c r="V26" s="245">
        <f t="shared" si="11"/>
        <v>0</v>
      </c>
      <c r="W26" s="245">
        <f t="shared" si="11"/>
        <v>0</v>
      </c>
      <c r="X26" s="245">
        <f t="shared" si="11"/>
        <v>0</v>
      </c>
      <c r="Y26" s="245">
        <f t="shared" si="11"/>
        <v>0</v>
      </c>
      <c r="Z26" s="246"/>
      <c r="AA26" s="246"/>
      <c r="AB26" s="246"/>
      <c r="AC26" s="247"/>
    </row>
    <row r="27" spans="1:29" ht="13" hidden="1" outlineLevel="2" thickBot="1" x14ac:dyDescent="0.3"/>
    <row r="28" spans="1:29" ht="30" customHeight="1" collapsed="1" thickBot="1" x14ac:dyDescent="0.3">
      <c r="A28" s="640" t="s">
        <v>376</v>
      </c>
      <c r="B28" s="641"/>
      <c r="C28" s="641"/>
      <c r="D28" s="641"/>
      <c r="E28" s="641"/>
      <c r="F28" s="641"/>
      <c r="G28" s="641"/>
      <c r="H28" s="641"/>
      <c r="I28" s="641"/>
      <c r="J28" s="641"/>
      <c r="K28" s="641"/>
      <c r="L28" s="641"/>
      <c r="M28" s="641"/>
      <c r="N28" s="641"/>
      <c r="O28" s="641"/>
      <c r="P28" s="641"/>
      <c r="Q28" s="641"/>
      <c r="R28" s="641"/>
      <c r="S28" s="641"/>
      <c r="T28" s="641"/>
      <c r="U28" s="641"/>
      <c r="V28" s="641"/>
      <c r="W28" s="641"/>
      <c r="X28" s="641"/>
      <c r="Y28" s="641"/>
      <c r="Z28" s="563"/>
      <c r="AA28" s="563"/>
      <c r="AB28" s="563"/>
      <c r="AC28" s="563"/>
    </row>
    <row r="29" spans="1:29" ht="20.149999999999999" hidden="1" customHeight="1" outlineLevel="1" collapsed="1" thickBot="1" x14ac:dyDescent="0.3">
      <c r="A29" s="559" t="s">
        <v>377</v>
      </c>
      <c r="B29" s="561"/>
    </row>
    <row r="30" spans="1:29" ht="20.149999999999999" hidden="1" customHeight="1" outlineLevel="2" x14ac:dyDescent="0.25">
      <c r="A30" s="21" t="s">
        <v>487</v>
      </c>
      <c r="B30" s="215" t="s">
        <v>318</v>
      </c>
    </row>
    <row r="31" spans="1:29" ht="20.149999999999999" hidden="1" customHeight="1" outlineLevel="2" thickBot="1" x14ac:dyDescent="0.3">
      <c r="A31" s="41" t="s">
        <v>486</v>
      </c>
      <c r="B31" s="209">
        <v>1330</v>
      </c>
    </row>
    <row r="32" spans="1:29" ht="20.149999999999999" hidden="1" customHeight="1" outlineLevel="2" thickBot="1" x14ac:dyDescent="0.3"/>
    <row r="33" spans="1:29" ht="20.149999999999999" hidden="1" customHeight="1" outlineLevel="1" collapsed="1" thickBot="1" x14ac:dyDescent="0.3">
      <c r="A33" s="559" t="s">
        <v>494</v>
      </c>
      <c r="B33" s="560"/>
      <c r="C33" s="572"/>
      <c r="D33" s="572"/>
      <c r="E33" s="572"/>
      <c r="F33" s="572"/>
      <c r="G33" s="572"/>
      <c r="H33" s="572"/>
      <c r="I33" s="572"/>
      <c r="J33" s="572"/>
      <c r="K33" s="572"/>
      <c r="L33" s="572"/>
      <c r="M33" s="572"/>
      <c r="N33" s="572"/>
      <c r="O33" s="572"/>
      <c r="P33" s="572"/>
      <c r="Q33" s="572"/>
      <c r="R33" s="572"/>
      <c r="S33" s="572"/>
      <c r="T33" s="572"/>
      <c r="U33" s="572"/>
      <c r="V33" s="572"/>
      <c r="W33" s="572"/>
      <c r="X33" s="572"/>
      <c r="Y33" s="572"/>
      <c r="Z33" s="572"/>
      <c r="AA33" s="572"/>
      <c r="AB33" s="572"/>
      <c r="AC33" s="573"/>
    </row>
    <row r="34" spans="1:29" s="15" customFormat="1" ht="20.149999999999999" hidden="1" customHeight="1" outlineLevel="2" x14ac:dyDescent="0.25">
      <c r="A34" s="1127" t="s">
        <v>113</v>
      </c>
      <c r="B34" s="1124" t="s">
        <v>468</v>
      </c>
      <c r="C34" s="1130" t="s">
        <v>495</v>
      </c>
      <c r="D34" s="1124" t="s">
        <v>499</v>
      </c>
      <c r="E34" s="1123" t="s">
        <v>501</v>
      </c>
      <c r="F34" s="1124" t="s">
        <v>93</v>
      </c>
      <c r="G34" s="1124"/>
      <c r="H34" s="1124"/>
      <c r="I34" s="1124"/>
      <c r="J34" s="1124"/>
      <c r="K34" s="1124"/>
      <c r="L34" s="1124"/>
      <c r="M34" s="1124"/>
      <c r="N34" s="1124"/>
      <c r="O34" s="1124"/>
      <c r="P34" s="1125"/>
      <c r="Q34" s="644"/>
      <c r="R34" s="1126" t="s">
        <v>500</v>
      </c>
      <c r="S34" s="1124"/>
      <c r="T34" s="1124"/>
      <c r="U34" s="1124"/>
      <c r="V34" s="1124"/>
      <c r="W34" s="1124"/>
      <c r="X34" s="1124"/>
      <c r="Y34" s="1124"/>
      <c r="Z34" s="1124"/>
      <c r="AA34" s="1124"/>
      <c r="AB34" s="1124"/>
      <c r="AC34" s="1125"/>
    </row>
    <row r="35" spans="1:29" s="15" customFormat="1" ht="20.149999999999999" hidden="1" customHeight="1" outlineLevel="2" thickBot="1" x14ac:dyDescent="0.3">
      <c r="A35" s="1128"/>
      <c r="B35" s="1129"/>
      <c r="C35" s="1131"/>
      <c r="D35" s="1129"/>
      <c r="E35" s="226">
        <v>1</v>
      </c>
      <c r="F35" s="226">
        <v>2</v>
      </c>
      <c r="G35" s="226">
        <v>3</v>
      </c>
      <c r="H35" s="226">
        <v>4</v>
      </c>
      <c r="I35" s="226">
        <v>5</v>
      </c>
      <c r="J35" s="226">
        <v>6</v>
      </c>
      <c r="K35" s="226">
        <v>7</v>
      </c>
      <c r="L35" s="226">
        <v>8</v>
      </c>
      <c r="M35" s="226">
        <v>9</v>
      </c>
      <c r="N35" s="226">
        <v>10</v>
      </c>
      <c r="O35" s="226">
        <v>11</v>
      </c>
      <c r="P35" s="271">
        <v>12</v>
      </c>
      <c r="Q35" s="6"/>
      <c r="R35" s="274">
        <v>1</v>
      </c>
      <c r="S35" s="226">
        <v>2</v>
      </c>
      <c r="T35" s="226">
        <v>3</v>
      </c>
      <c r="U35" s="226">
        <v>4</v>
      </c>
      <c r="V35" s="226">
        <v>5</v>
      </c>
      <c r="W35" s="226">
        <v>6</v>
      </c>
      <c r="X35" s="226">
        <v>7</v>
      </c>
      <c r="Y35" s="226">
        <v>8</v>
      </c>
      <c r="Z35" s="226">
        <v>9</v>
      </c>
      <c r="AA35" s="226">
        <v>10</v>
      </c>
      <c r="AB35" s="226">
        <v>11</v>
      </c>
      <c r="AC35" s="271">
        <v>12</v>
      </c>
    </row>
    <row r="36" spans="1:29" ht="20.149999999999999" hidden="1" customHeight="1" outlineLevel="2" x14ac:dyDescent="0.25">
      <c r="A36" s="222" t="str">
        <f>'Custos Insumos'!A5</f>
        <v>Ácido Bórico</v>
      </c>
      <c r="B36" s="129" t="str">
        <f>UPPER(VLOOKUP(A36,'Custos Insumos'!$A$5:$C$168,3,FALSE))</f>
        <v>KG</v>
      </c>
      <c r="C36" s="129" t="str">
        <f>VLOOKUP(A36,'Custos Insumos'!$A$5:$D$74,2,FALSE)</f>
        <v>G/COVA</v>
      </c>
      <c r="D36" s="654">
        <f>'Custos Insumos'!D5</f>
        <v>7.5</v>
      </c>
      <c r="E36" s="646">
        <f t="shared" ref="E36:P36" si="12">E42</f>
        <v>50</v>
      </c>
      <c r="F36" s="647">
        <f t="shared" si="12"/>
        <v>60</v>
      </c>
      <c r="G36" s="647">
        <f t="shared" si="12"/>
        <v>60</v>
      </c>
      <c r="H36" s="647">
        <f t="shared" si="12"/>
        <v>60</v>
      </c>
      <c r="I36" s="647">
        <f t="shared" si="12"/>
        <v>60</v>
      </c>
      <c r="J36" s="647">
        <f t="shared" si="12"/>
        <v>60</v>
      </c>
      <c r="K36" s="647">
        <f t="shared" si="12"/>
        <v>60</v>
      </c>
      <c r="L36" s="647">
        <f t="shared" si="12"/>
        <v>60</v>
      </c>
      <c r="M36" s="652">
        <f t="shared" si="12"/>
        <v>60</v>
      </c>
      <c r="N36" s="652">
        <f t="shared" si="12"/>
        <v>60</v>
      </c>
      <c r="O36" s="652">
        <f t="shared" si="12"/>
        <v>60</v>
      </c>
      <c r="P36" s="653">
        <f t="shared" si="12"/>
        <v>60</v>
      </c>
      <c r="R36" s="648">
        <f t="shared" ref="R36:AC36" si="13">E36*$B$31/1000</f>
        <v>66.5</v>
      </c>
      <c r="S36" s="649">
        <f t="shared" si="13"/>
        <v>79.8</v>
      </c>
      <c r="T36" s="649">
        <f t="shared" si="13"/>
        <v>79.8</v>
      </c>
      <c r="U36" s="649">
        <f t="shared" si="13"/>
        <v>79.8</v>
      </c>
      <c r="V36" s="649">
        <f t="shared" si="13"/>
        <v>79.8</v>
      </c>
      <c r="W36" s="649">
        <f t="shared" si="13"/>
        <v>79.8</v>
      </c>
      <c r="X36" s="649">
        <f t="shared" si="13"/>
        <v>79.8</v>
      </c>
      <c r="Y36" s="649">
        <f t="shared" si="13"/>
        <v>79.8</v>
      </c>
      <c r="Z36" s="650">
        <f t="shared" si="13"/>
        <v>79.8</v>
      </c>
      <c r="AA36" s="650">
        <f t="shared" si="13"/>
        <v>79.8</v>
      </c>
      <c r="AB36" s="650">
        <f t="shared" si="13"/>
        <v>79.8</v>
      </c>
      <c r="AC36" s="651">
        <f t="shared" si="13"/>
        <v>79.8</v>
      </c>
    </row>
    <row r="37" spans="1:29" ht="20.149999999999999" hidden="1" customHeight="1" outlineLevel="2" x14ac:dyDescent="0.25">
      <c r="A37" s="23" t="str">
        <f>'Custos Insumos'!A6</f>
        <v>Calcário</v>
      </c>
      <c r="B37" s="8" t="str">
        <f>UPPER(VLOOKUP(A37,'Custos Insumos'!$A$5:$C$168,3,FALSE))</f>
        <v>T</v>
      </c>
      <c r="C37" s="8" t="str">
        <f>VLOOKUP(A37,'Custos Insumos'!$A$5:$D$74,2,FALSE)</f>
        <v>T/HA</v>
      </c>
      <c r="D37" s="655">
        <f>'Custos Insumos'!D6</f>
        <v>450</v>
      </c>
      <c r="E37" s="255">
        <v>1.3</v>
      </c>
      <c r="F37" s="187">
        <v>1</v>
      </c>
      <c r="G37" s="187">
        <v>1</v>
      </c>
      <c r="H37" s="187">
        <v>1</v>
      </c>
      <c r="I37" s="187">
        <v>1</v>
      </c>
      <c r="J37" s="187">
        <v>1</v>
      </c>
      <c r="K37" s="187">
        <v>1</v>
      </c>
      <c r="L37" s="187">
        <v>1</v>
      </c>
      <c r="M37" s="229">
        <v>1</v>
      </c>
      <c r="N37" s="229">
        <v>1</v>
      </c>
      <c r="O37" s="229">
        <v>1</v>
      </c>
      <c r="P37" s="232">
        <v>1</v>
      </c>
      <c r="R37" s="239">
        <f t="shared" ref="R37:AC39" si="14">E37</f>
        <v>1.3</v>
      </c>
      <c r="S37" s="188">
        <f t="shared" si="14"/>
        <v>1</v>
      </c>
      <c r="T37" s="188">
        <f t="shared" si="14"/>
        <v>1</v>
      </c>
      <c r="U37" s="188">
        <f t="shared" si="14"/>
        <v>1</v>
      </c>
      <c r="V37" s="188">
        <f t="shared" si="14"/>
        <v>1</v>
      </c>
      <c r="W37" s="188">
        <f t="shared" si="14"/>
        <v>1</v>
      </c>
      <c r="X37" s="188">
        <f t="shared" si="14"/>
        <v>1</v>
      </c>
      <c r="Y37" s="188">
        <f t="shared" si="14"/>
        <v>1</v>
      </c>
      <c r="Z37" s="248">
        <f t="shared" si="14"/>
        <v>1</v>
      </c>
      <c r="AA37" s="240">
        <f t="shared" si="14"/>
        <v>1</v>
      </c>
      <c r="AB37" s="248">
        <f t="shared" si="14"/>
        <v>1</v>
      </c>
      <c r="AC37" s="249">
        <f t="shared" si="14"/>
        <v>1</v>
      </c>
    </row>
    <row r="38" spans="1:29" ht="20.149999999999999" hidden="1" customHeight="1" outlineLevel="2" x14ac:dyDescent="0.25">
      <c r="A38" s="23" t="str">
        <f>'Custos Insumos'!A8</f>
        <v>Fosfatado</v>
      </c>
      <c r="B38" s="8" t="str">
        <f>UPPER(VLOOKUP(A38,'Custos Insumos'!$A$5:$C$168,3,FALSE))</f>
        <v>T</v>
      </c>
      <c r="C38" s="8" t="str">
        <f>VLOOKUP(A38,'Custos Insumos'!$A$5:$D$74,2,FALSE)</f>
        <v>T/HA</v>
      </c>
      <c r="D38" s="655">
        <f>'Custos Insumos'!D8</f>
        <v>2650</v>
      </c>
      <c r="E38" s="256">
        <v>1</v>
      </c>
      <c r="F38" s="187">
        <v>1</v>
      </c>
      <c r="G38" s="187">
        <v>1</v>
      </c>
      <c r="H38" s="187">
        <v>1</v>
      </c>
      <c r="I38" s="187">
        <v>1</v>
      </c>
      <c r="J38" s="187">
        <v>1</v>
      </c>
      <c r="K38" s="187">
        <v>1</v>
      </c>
      <c r="L38" s="187">
        <v>1</v>
      </c>
      <c r="M38" s="229">
        <v>1</v>
      </c>
      <c r="N38" s="229">
        <v>1</v>
      </c>
      <c r="O38" s="229">
        <v>1</v>
      </c>
      <c r="P38" s="232">
        <v>1</v>
      </c>
      <c r="R38" s="239">
        <f t="shared" si="14"/>
        <v>1</v>
      </c>
      <c r="S38" s="188">
        <f t="shared" si="14"/>
        <v>1</v>
      </c>
      <c r="T38" s="188">
        <f t="shared" si="14"/>
        <v>1</v>
      </c>
      <c r="U38" s="188">
        <f t="shared" si="14"/>
        <v>1</v>
      </c>
      <c r="V38" s="188">
        <f t="shared" si="14"/>
        <v>1</v>
      </c>
      <c r="W38" s="188">
        <f t="shared" si="14"/>
        <v>1</v>
      </c>
      <c r="X38" s="188">
        <f t="shared" si="14"/>
        <v>1</v>
      </c>
      <c r="Y38" s="188">
        <f t="shared" si="14"/>
        <v>1</v>
      </c>
      <c r="Z38" s="248">
        <f t="shared" si="14"/>
        <v>1</v>
      </c>
      <c r="AA38" s="240">
        <f t="shared" si="14"/>
        <v>1</v>
      </c>
      <c r="AB38" s="248">
        <f t="shared" si="14"/>
        <v>1</v>
      </c>
      <c r="AC38" s="249">
        <f t="shared" si="14"/>
        <v>1</v>
      </c>
    </row>
    <row r="39" spans="1:29" ht="20.149999999999999" hidden="1" customHeight="1" outlineLevel="2" x14ac:dyDescent="0.25">
      <c r="A39" s="23" t="str">
        <f>'Custos Insumos'!A9</f>
        <v>Foliar Completo</v>
      </c>
      <c r="B39" s="8" t="str">
        <f>UPPER(VLOOKUP(A39,'Custos Insumos'!$A$5:$C$168,3,FALSE))</f>
        <v>L</v>
      </c>
      <c r="C39" s="8" t="str">
        <f>VLOOKUP(A39,'Custos Insumos'!$A$5:$D$74,2,FALSE)</f>
        <v>L/HA</v>
      </c>
      <c r="D39" s="655">
        <f>'Custos Insumos'!D9</f>
        <v>25</v>
      </c>
      <c r="E39" s="256">
        <v>2</v>
      </c>
      <c r="F39" s="187">
        <v>4</v>
      </c>
      <c r="G39" s="187">
        <v>4</v>
      </c>
      <c r="H39" s="187">
        <v>4</v>
      </c>
      <c r="I39" s="187">
        <v>4</v>
      </c>
      <c r="J39" s="187">
        <v>4</v>
      </c>
      <c r="K39" s="187">
        <v>4</v>
      </c>
      <c r="L39" s="187">
        <v>4</v>
      </c>
      <c r="M39" s="229">
        <v>4</v>
      </c>
      <c r="N39" s="229">
        <v>4</v>
      </c>
      <c r="O39" s="229">
        <v>4</v>
      </c>
      <c r="P39" s="232">
        <v>4</v>
      </c>
      <c r="R39" s="239">
        <f t="shared" si="14"/>
        <v>2</v>
      </c>
      <c r="S39" s="188">
        <f t="shared" si="14"/>
        <v>4</v>
      </c>
      <c r="T39" s="188">
        <f t="shared" si="14"/>
        <v>4</v>
      </c>
      <c r="U39" s="188">
        <f t="shared" si="14"/>
        <v>4</v>
      </c>
      <c r="V39" s="188">
        <f t="shared" si="14"/>
        <v>4</v>
      </c>
      <c r="W39" s="188">
        <f t="shared" si="14"/>
        <v>4</v>
      </c>
      <c r="X39" s="188">
        <f t="shared" si="14"/>
        <v>4</v>
      </c>
      <c r="Y39" s="188">
        <f t="shared" si="14"/>
        <v>4</v>
      </c>
      <c r="Z39" s="248">
        <f t="shared" si="14"/>
        <v>4</v>
      </c>
      <c r="AA39" s="240">
        <f t="shared" si="14"/>
        <v>4</v>
      </c>
      <c r="AB39" s="248">
        <f t="shared" si="14"/>
        <v>4</v>
      </c>
      <c r="AC39" s="249">
        <f t="shared" si="14"/>
        <v>4</v>
      </c>
    </row>
    <row r="40" spans="1:29" ht="20.149999999999999" hidden="1" customHeight="1" outlineLevel="2" x14ac:dyDescent="0.25">
      <c r="A40" s="23" t="str">
        <f>'Custos Insumos'!A11</f>
        <v>KCL</v>
      </c>
      <c r="B40" s="8" t="str">
        <f>UPPER(VLOOKUP(A40,'Custos Insumos'!$A$5:$C$168,3,FALSE))</f>
        <v>T</v>
      </c>
      <c r="C40" s="8" t="str">
        <f>VLOOKUP(A40,'Custos Insumos'!$A$5:$D$74,2,FALSE)</f>
        <v>G/COVA</v>
      </c>
      <c r="D40" s="655">
        <f>'Custos Insumos'!D11</f>
        <v>2700</v>
      </c>
      <c r="E40" s="256">
        <f>80*8</f>
        <v>640</v>
      </c>
      <c r="F40" s="187">
        <f>70*12</f>
        <v>840</v>
      </c>
      <c r="G40" s="187">
        <v>840</v>
      </c>
      <c r="H40" s="187">
        <v>840</v>
      </c>
      <c r="I40" s="187">
        <v>720</v>
      </c>
      <c r="J40" s="187">
        <v>720</v>
      </c>
      <c r="K40" s="187">
        <v>720</v>
      </c>
      <c r="L40" s="187">
        <v>720</v>
      </c>
      <c r="M40" s="229">
        <v>720</v>
      </c>
      <c r="N40" s="229">
        <v>720</v>
      </c>
      <c r="O40" s="229">
        <v>720</v>
      </c>
      <c r="P40" s="232">
        <v>720</v>
      </c>
      <c r="R40" s="250">
        <f t="shared" ref="R40:AC40" si="15">E40*$B$31/1000000</f>
        <v>0.85119999999999996</v>
      </c>
      <c r="S40" s="190">
        <f t="shared" si="15"/>
        <v>1.1172</v>
      </c>
      <c r="T40" s="190">
        <f t="shared" si="15"/>
        <v>1.1172</v>
      </c>
      <c r="U40" s="190">
        <f t="shared" si="15"/>
        <v>1.1172</v>
      </c>
      <c r="V40" s="190">
        <f t="shared" si="15"/>
        <v>0.95760000000000001</v>
      </c>
      <c r="W40" s="190">
        <f t="shared" si="15"/>
        <v>0.95760000000000001</v>
      </c>
      <c r="X40" s="190">
        <f t="shared" si="15"/>
        <v>0.95760000000000001</v>
      </c>
      <c r="Y40" s="190">
        <f t="shared" si="15"/>
        <v>0.95760000000000001</v>
      </c>
      <c r="Z40" s="248">
        <f t="shared" si="15"/>
        <v>0.95760000000000001</v>
      </c>
      <c r="AA40" s="240">
        <f t="shared" si="15"/>
        <v>0.95760000000000001</v>
      </c>
      <c r="AB40" s="248">
        <f t="shared" si="15"/>
        <v>0.95760000000000001</v>
      </c>
      <c r="AC40" s="249">
        <f t="shared" si="15"/>
        <v>0.95760000000000001</v>
      </c>
    </row>
    <row r="41" spans="1:29" ht="20.149999999999999" hidden="1" customHeight="1" outlineLevel="2" x14ac:dyDescent="0.25">
      <c r="A41" s="23" t="str">
        <f>'Custos Insumos'!A19</f>
        <v>Sulfato de Magnésio</v>
      </c>
      <c r="B41" s="8" t="str">
        <f>UPPER(VLOOKUP(A41,'Custos Insumos'!$A$5:$C$168,3,FALSE))</f>
        <v>KG</v>
      </c>
      <c r="C41" s="8" t="str">
        <f>VLOOKUP(A41,'Custos Insumos'!$A$5:$D$74,2,FALSE)</f>
        <v>G/COVA</v>
      </c>
      <c r="D41" s="655">
        <f>'Custos Insumos'!D19</f>
        <v>1.5</v>
      </c>
      <c r="E41" s="256">
        <f>10*10</f>
        <v>100</v>
      </c>
      <c r="F41" s="187">
        <f t="shared" ref="F41:P41" si="16">10*12</f>
        <v>120</v>
      </c>
      <c r="G41" s="187">
        <f t="shared" si="16"/>
        <v>120</v>
      </c>
      <c r="H41" s="187">
        <f t="shared" si="16"/>
        <v>120</v>
      </c>
      <c r="I41" s="187">
        <f t="shared" si="16"/>
        <v>120</v>
      </c>
      <c r="J41" s="187">
        <f t="shared" si="16"/>
        <v>120</v>
      </c>
      <c r="K41" s="187">
        <f t="shared" si="16"/>
        <v>120</v>
      </c>
      <c r="L41" s="187">
        <f t="shared" si="16"/>
        <v>120</v>
      </c>
      <c r="M41" s="229">
        <f t="shared" si="16"/>
        <v>120</v>
      </c>
      <c r="N41" s="229">
        <f t="shared" si="16"/>
        <v>120</v>
      </c>
      <c r="O41" s="229">
        <f t="shared" si="16"/>
        <v>120</v>
      </c>
      <c r="P41" s="232">
        <f t="shared" si="16"/>
        <v>120</v>
      </c>
      <c r="R41" s="239">
        <f t="shared" ref="R41:AC43" si="17">E41*$B$31/1000</f>
        <v>133</v>
      </c>
      <c r="S41" s="188">
        <f t="shared" si="17"/>
        <v>159.6</v>
      </c>
      <c r="T41" s="188">
        <f t="shared" si="17"/>
        <v>159.6</v>
      </c>
      <c r="U41" s="188">
        <f t="shared" si="17"/>
        <v>159.6</v>
      </c>
      <c r="V41" s="188">
        <f t="shared" si="17"/>
        <v>159.6</v>
      </c>
      <c r="W41" s="188">
        <f t="shared" si="17"/>
        <v>159.6</v>
      </c>
      <c r="X41" s="188">
        <f t="shared" si="17"/>
        <v>159.6</v>
      </c>
      <c r="Y41" s="188">
        <f t="shared" si="17"/>
        <v>159.6</v>
      </c>
      <c r="Z41" s="248">
        <f t="shared" si="17"/>
        <v>159.6</v>
      </c>
      <c r="AA41" s="240">
        <f t="shared" si="17"/>
        <v>159.6</v>
      </c>
      <c r="AB41" s="248">
        <f t="shared" si="17"/>
        <v>159.6</v>
      </c>
      <c r="AC41" s="249">
        <f t="shared" si="17"/>
        <v>159.6</v>
      </c>
    </row>
    <row r="42" spans="1:29" ht="20.149999999999999" hidden="1" customHeight="1" outlineLevel="2" x14ac:dyDescent="0.25">
      <c r="A42" s="23" t="str">
        <f>'Custos Insumos'!A20</f>
        <v>Sulfato de Zinco</v>
      </c>
      <c r="B42" s="8" t="str">
        <f>UPPER(VLOOKUP(A42,'Custos Insumos'!$A$5:$C$168,3,FALSE))</f>
        <v>KG</v>
      </c>
      <c r="C42" s="8" t="str">
        <f>VLOOKUP(A42,'Custos Insumos'!$A$5:$D$74,2,FALSE)</f>
        <v>G/COVA</v>
      </c>
      <c r="D42" s="655">
        <f>'Custos Insumos'!D20</f>
        <v>6</v>
      </c>
      <c r="E42" s="256">
        <f t="shared" ref="E42:P42" si="18">0.5*E41</f>
        <v>50</v>
      </c>
      <c r="F42" s="187">
        <f t="shared" si="18"/>
        <v>60</v>
      </c>
      <c r="G42" s="187">
        <f t="shared" si="18"/>
        <v>60</v>
      </c>
      <c r="H42" s="187">
        <f t="shared" si="18"/>
        <v>60</v>
      </c>
      <c r="I42" s="187">
        <f t="shared" si="18"/>
        <v>60</v>
      </c>
      <c r="J42" s="187">
        <f t="shared" si="18"/>
        <v>60</v>
      </c>
      <c r="K42" s="187">
        <f t="shared" si="18"/>
        <v>60</v>
      </c>
      <c r="L42" s="187">
        <f t="shared" si="18"/>
        <v>60</v>
      </c>
      <c r="M42" s="229">
        <f t="shared" si="18"/>
        <v>60</v>
      </c>
      <c r="N42" s="229">
        <f t="shared" si="18"/>
        <v>60</v>
      </c>
      <c r="O42" s="229">
        <f t="shared" si="18"/>
        <v>60</v>
      </c>
      <c r="P42" s="232">
        <f t="shared" si="18"/>
        <v>60</v>
      </c>
      <c r="R42" s="239">
        <f t="shared" si="17"/>
        <v>66.5</v>
      </c>
      <c r="S42" s="188">
        <f t="shared" si="17"/>
        <v>79.8</v>
      </c>
      <c r="T42" s="188">
        <f t="shared" si="17"/>
        <v>79.8</v>
      </c>
      <c r="U42" s="188">
        <f t="shared" si="17"/>
        <v>79.8</v>
      </c>
      <c r="V42" s="188">
        <f t="shared" si="17"/>
        <v>79.8</v>
      </c>
      <c r="W42" s="188">
        <f t="shared" si="17"/>
        <v>79.8</v>
      </c>
      <c r="X42" s="188">
        <f t="shared" si="17"/>
        <v>79.8</v>
      </c>
      <c r="Y42" s="188">
        <f t="shared" si="17"/>
        <v>79.8</v>
      </c>
      <c r="Z42" s="248">
        <f t="shared" si="17"/>
        <v>79.8</v>
      </c>
      <c r="AA42" s="240">
        <f t="shared" si="17"/>
        <v>79.8</v>
      </c>
      <c r="AB42" s="248">
        <f t="shared" si="17"/>
        <v>79.8</v>
      </c>
      <c r="AC42" s="249">
        <f t="shared" si="17"/>
        <v>79.8</v>
      </c>
    </row>
    <row r="43" spans="1:29" ht="20.149999999999999" hidden="1" customHeight="1" outlineLevel="2" x14ac:dyDescent="0.25">
      <c r="A43" s="23" t="str">
        <f>'Custos Insumos'!A23</f>
        <v>Esterco de Gado</v>
      </c>
      <c r="B43" s="8" t="str">
        <f>UPPER(VLOOKUP(A43,'Custos Insumos'!$A$5:$C$168,3,FALSE))</f>
        <v>M3</v>
      </c>
      <c r="C43" s="8" t="str">
        <f>VLOOKUP(A43,'Custos Insumos'!$A$5:$D$74,2,FALSE)</f>
        <v>L/COVA</v>
      </c>
      <c r="D43" s="655">
        <f>'Custos Insumos'!D23</f>
        <v>80</v>
      </c>
      <c r="E43" s="256">
        <v>20</v>
      </c>
      <c r="F43" s="187"/>
      <c r="G43" s="187"/>
      <c r="H43" s="187"/>
      <c r="I43" s="187"/>
      <c r="J43" s="187"/>
      <c r="K43" s="187"/>
      <c r="L43" s="187"/>
      <c r="M43" s="229"/>
      <c r="N43" s="229"/>
      <c r="O43" s="229"/>
      <c r="P43" s="232"/>
      <c r="R43" s="239">
        <f t="shared" si="17"/>
        <v>26.6</v>
      </c>
      <c r="S43" s="188">
        <f t="shared" si="17"/>
        <v>0</v>
      </c>
      <c r="T43" s="188">
        <f t="shared" si="17"/>
        <v>0</v>
      </c>
      <c r="U43" s="188">
        <f t="shared" si="17"/>
        <v>0</v>
      </c>
      <c r="V43" s="188">
        <f t="shared" si="17"/>
        <v>0</v>
      </c>
      <c r="W43" s="188">
        <f t="shared" si="17"/>
        <v>0</v>
      </c>
      <c r="X43" s="188">
        <f t="shared" si="17"/>
        <v>0</v>
      </c>
      <c r="Y43" s="188">
        <f t="shared" si="17"/>
        <v>0</v>
      </c>
      <c r="Z43" s="248">
        <f t="shared" si="17"/>
        <v>0</v>
      </c>
      <c r="AA43" s="240">
        <f t="shared" si="17"/>
        <v>0</v>
      </c>
      <c r="AB43" s="248">
        <f t="shared" si="17"/>
        <v>0</v>
      </c>
      <c r="AC43" s="249">
        <f t="shared" si="17"/>
        <v>0</v>
      </c>
    </row>
    <row r="44" spans="1:29" ht="20.149999999999999" hidden="1" customHeight="1" outlineLevel="2" x14ac:dyDescent="0.25">
      <c r="A44" s="23" t="str">
        <f>'Custos Insumos'!A25</f>
        <v>Nitrato de Amonia</v>
      </c>
      <c r="B44" s="8" t="str">
        <f>UPPER(VLOOKUP(A44,'Custos Insumos'!$A$5:$C$168,3,FALSE))</f>
        <v>T</v>
      </c>
      <c r="C44" s="8" t="str">
        <f>VLOOKUP(A44,'Custos Insumos'!$A$5:$D$74,2,FALSE)</f>
        <v>G/COVA</v>
      </c>
      <c r="D44" s="655">
        <f>'Custos Insumos'!D25</f>
        <v>2200</v>
      </c>
      <c r="E44" s="256">
        <f t="shared" ref="E44:P44" si="19">0.8*E40</f>
        <v>512</v>
      </c>
      <c r="F44" s="187">
        <f t="shared" si="19"/>
        <v>672</v>
      </c>
      <c r="G44" s="187">
        <f t="shared" si="19"/>
        <v>672</v>
      </c>
      <c r="H44" s="187">
        <f t="shared" si="19"/>
        <v>672</v>
      </c>
      <c r="I44" s="187">
        <f t="shared" si="19"/>
        <v>576</v>
      </c>
      <c r="J44" s="187">
        <f t="shared" si="19"/>
        <v>576</v>
      </c>
      <c r="K44" s="187">
        <f t="shared" si="19"/>
        <v>576</v>
      </c>
      <c r="L44" s="187">
        <f t="shared" si="19"/>
        <v>576</v>
      </c>
      <c r="M44" s="229">
        <f t="shared" si="19"/>
        <v>576</v>
      </c>
      <c r="N44" s="229">
        <f t="shared" si="19"/>
        <v>576</v>
      </c>
      <c r="O44" s="229">
        <f t="shared" si="19"/>
        <v>576</v>
      </c>
      <c r="P44" s="232">
        <f t="shared" si="19"/>
        <v>576</v>
      </c>
      <c r="R44" s="239">
        <f t="shared" ref="R44:AC44" si="20">E44*$B$31/1000000</f>
        <v>0.68096000000000001</v>
      </c>
      <c r="S44" s="188">
        <f t="shared" si="20"/>
        <v>0.89376</v>
      </c>
      <c r="T44" s="188">
        <f t="shared" si="20"/>
        <v>0.89376</v>
      </c>
      <c r="U44" s="188">
        <f t="shared" si="20"/>
        <v>0.89376</v>
      </c>
      <c r="V44" s="188">
        <f t="shared" si="20"/>
        <v>0.76607999999999998</v>
      </c>
      <c r="W44" s="188">
        <f t="shared" si="20"/>
        <v>0.76607999999999998</v>
      </c>
      <c r="X44" s="188">
        <f t="shared" si="20"/>
        <v>0.76607999999999998</v>
      </c>
      <c r="Y44" s="188">
        <f t="shared" si="20"/>
        <v>0.76607999999999998</v>
      </c>
      <c r="Z44" s="248">
        <f t="shared" si="20"/>
        <v>0.76607999999999998</v>
      </c>
      <c r="AA44" s="240">
        <f t="shared" si="20"/>
        <v>0.76607999999999998</v>
      </c>
      <c r="AB44" s="248">
        <f t="shared" si="20"/>
        <v>0.76607999999999998</v>
      </c>
      <c r="AC44" s="249">
        <f t="shared" si="20"/>
        <v>0.76607999999999998</v>
      </c>
    </row>
    <row r="45" spans="1:29" ht="20.149999999999999" hidden="1" customHeight="1" outlineLevel="2" x14ac:dyDescent="0.25">
      <c r="A45" s="23" t="str">
        <f>'Custos Insumos'!A30</f>
        <v>Fungicida</v>
      </c>
      <c r="B45" s="8" t="str">
        <f>UPPER(VLOOKUP(A45,'Custos Insumos'!$A$5:$C$168,3,FALSE))</f>
        <v>L</v>
      </c>
      <c r="C45" s="8" t="str">
        <f>VLOOKUP(A45,'Custos Insumos'!$A$5:$D$74,2,FALSE)</f>
        <v>L/HA</v>
      </c>
      <c r="D45" s="655">
        <f>'Custos Insumos'!D30</f>
        <v>75</v>
      </c>
      <c r="E45" s="256">
        <f>1*0.5</f>
        <v>0.5</v>
      </c>
      <c r="F45" s="187">
        <f t="shared" ref="F45:P45" si="21">5*0.5</f>
        <v>2.5</v>
      </c>
      <c r="G45" s="187">
        <f t="shared" si="21"/>
        <v>2.5</v>
      </c>
      <c r="H45" s="187">
        <f t="shared" si="21"/>
        <v>2.5</v>
      </c>
      <c r="I45" s="187">
        <f t="shared" si="21"/>
        <v>2.5</v>
      </c>
      <c r="J45" s="187">
        <f t="shared" si="21"/>
        <v>2.5</v>
      </c>
      <c r="K45" s="187">
        <f t="shared" si="21"/>
        <v>2.5</v>
      </c>
      <c r="L45" s="187">
        <f t="shared" si="21"/>
        <v>2.5</v>
      </c>
      <c r="M45" s="229">
        <f t="shared" si="21"/>
        <v>2.5</v>
      </c>
      <c r="N45" s="229">
        <f t="shared" si="21"/>
        <v>2.5</v>
      </c>
      <c r="O45" s="229">
        <f t="shared" si="21"/>
        <v>2.5</v>
      </c>
      <c r="P45" s="232">
        <f t="shared" si="21"/>
        <v>2.5</v>
      </c>
      <c r="R45" s="239">
        <f t="shared" ref="R45:AC50" si="22">E45</f>
        <v>0.5</v>
      </c>
      <c r="S45" s="188">
        <f t="shared" si="22"/>
        <v>2.5</v>
      </c>
      <c r="T45" s="188">
        <f t="shared" si="22"/>
        <v>2.5</v>
      </c>
      <c r="U45" s="188">
        <f t="shared" si="22"/>
        <v>2.5</v>
      </c>
      <c r="V45" s="188">
        <f t="shared" si="22"/>
        <v>2.5</v>
      </c>
      <c r="W45" s="188">
        <f t="shared" si="22"/>
        <v>2.5</v>
      </c>
      <c r="X45" s="188">
        <f t="shared" si="22"/>
        <v>2.5</v>
      </c>
      <c r="Y45" s="188">
        <f t="shared" si="22"/>
        <v>2.5</v>
      </c>
      <c r="Z45" s="248">
        <f t="shared" si="22"/>
        <v>2.5</v>
      </c>
      <c r="AA45" s="240">
        <f t="shared" si="22"/>
        <v>2.5</v>
      </c>
      <c r="AB45" s="248">
        <f t="shared" si="22"/>
        <v>2.5</v>
      </c>
      <c r="AC45" s="249">
        <f t="shared" si="22"/>
        <v>2.5</v>
      </c>
    </row>
    <row r="46" spans="1:29" ht="20.149999999999999" hidden="1" customHeight="1" outlineLevel="2" x14ac:dyDescent="0.25">
      <c r="A46" s="23" t="str">
        <f>'Custos Insumos'!A31</f>
        <v>Inseticida</v>
      </c>
      <c r="B46" s="8" t="str">
        <f>UPPER(VLOOKUP(A46,'Custos Insumos'!$A$5:$C$168,3,FALSE))</f>
        <v>L</v>
      </c>
      <c r="C46" s="8" t="str">
        <f>VLOOKUP(A46,'Custos Insumos'!$A$5:$D$74,2,FALSE)</f>
        <v>L/HA</v>
      </c>
      <c r="D46" s="655">
        <f>'Custos Insumos'!D31</f>
        <v>40</v>
      </c>
      <c r="E46" s="256">
        <v>1</v>
      </c>
      <c r="F46" s="187">
        <v>1</v>
      </c>
      <c r="G46" s="187">
        <v>1</v>
      </c>
      <c r="H46" s="187">
        <v>1</v>
      </c>
      <c r="I46" s="187">
        <v>1</v>
      </c>
      <c r="J46" s="187">
        <v>1</v>
      </c>
      <c r="K46" s="187">
        <v>1</v>
      </c>
      <c r="L46" s="187">
        <v>1</v>
      </c>
      <c r="M46" s="229">
        <v>1</v>
      </c>
      <c r="N46" s="229">
        <v>1</v>
      </c>
      <c r="O46" s="229">
        <v>1</v>
      </c>
      <c r="P46" s="232">
        <v>1</v>
      </c>
      <c r="R46" s="239">
        <f t="shared" si="22"/>
        <v>1</v>
      </c>
      <c r="S46" s="188">
        <f t="shared" si="22"/>
        <v>1</v>
      </c>
      <c r="T46" s="188">
        <f t="shared" si="22"/>
        <v>1</v>
      </c>
      <c r="U46" s="188">
        <f t="shared" si="22"/>
        <v>1</v>
      </c>
      <c r="V46" s="188">
        <f t="shared" si="22"/>
        <v>1</v>
      </c>
      <c r="W46" s="188">
        <f t="shared" si="22"/>
        <v>1</v>
      </c>
      <c r="X46" s="188">
        <f t="shared" si="22"/>
        <v>1</v>
      </c>
      <c r="Y46" s="188">
        <f t="shared" si="22"/>
        <v>1</v>
      </c>
      <c r="Z46" s="248">
        <f t="shared" si="22"/>
        <v>1</v>
      </c>
      <c r="AA46" s="240">
        <f t="shared" si="22"/>
        <v>1</v>
      </c>
      <c r="AB46" s="248">
        <f t="shared" si="22"/>
        <v>1</v>
      </c>
      <c r="AC46" s="249">
        <f t="shared" si="22"/>
        <v>1</v>
      </c>
    </row>
    <row r="47" spans="1:29" ht="20.149999999999999" hidden="1" customHeight="1" outlineLevel="2" x14ac:dyDescent="0.25">
      <c r="A47" s="23" t="str">
        <f>'Custos Insumos'!A35</f>
        <v>Espalhante</v>
      </c>
      <c r="B47" s="8" t="str">
        <f>UPPER(VLOOKUP(A47,'Custos Insumos'!$A$5:$C$168,3,FALSE))</f>
        <v>L</v>
      </c>
      <c r="C47" s="8" t="str">
        <f>VLOOKUP(A47,'Custos Insumos'!$A$5:$D$74,2,FALSE)</f>
        <v>L/HA</v>
      </c>
      <c r="D47" s="655">
        <f>'Custos Insumos'!D35</f>
        <v>15</v>
      </c>
      <c r="E47" s="256">
        <v>0.25</v>
      </c>
      <c r="F47" s="187">
        <v>0.5</v>
      </c>
      <c r="G47" s="187">
        <v>0.5</v>
      </c>
      <c r="H47" s="187">
        <v>0.5</v>
      </c>
      <c r="I47" s="187">
        <v>0.5</v>
      </c>
      <c r="J47" s="187">
        <v>0.5</v>
      </c>
      <c r="K47" s="187">
        <v>0.5</v>
      </c>
      <c r="L47" s="187">
        <v>0.5</v>
      </c>
      <c r="M47" s="229">
        <v>0.5</v>
      </c>
      <c r="N47" s="229">
        <v>0.5</v>
      </c>
      <c r="O47" s="229">
        <v>0.5</v>
      </c>
      <c r="P47" s="232">
        <v>0.5</v>
      </c>
      <c r="R47" s="239">
        <f t="shared" si="22"/>
        <v>0.25</v>
      </c>
      <c r="S47" s="188">
        <f t="shared" si="22"/>
        <v>0.5</v>
      </c>
      <c r="T47" s="188">
        <f t="shared" si="22"/>
        <v>0.5</v>
      </c>
      <c r="U47" s="188">
        <f t="shared" si="22"/>
        <v>0.5</v>
      </c>
      <c r="V47" s="188">
        <f t="shared" si="22"/>
        <v>0.5</v>
      </c>
      <c r="W47" s="188">
        <f t="shared" si="22"/>
        <v>0.5</v>
      </c>
      <c r="X47" s="188">
        <f t="shared" si="22"/>
        <v>0.5</v>
      </c>
      <c r="Y47" s="188">
        <f t="shared" si="22"/>
        <v>0.5</v>
      </c>
      <c r="Z47" s="248">
        <f t="shared" si="22"/>
        <v>0.5</v>
      </c>
      <c r="AA47" s="240">
        <f t="shared" si="22"/>
        <v>0.5</v>
      </c>
      <c r="AB47" s="248">
        <f t="shared" si="22"/>
        <v>0.5</v>
      </c>
      <c r="AC47" s="249">
        <f t="shared" si="22"/>
        <v>0.5</v>
      </c>
    </row>
    <row r="48" spans="1:29" ht="20.149999999999999" hidden="1" customHeight="1" outlineLevel="2" x14ac:dyDescent="0.25">
      <c r="A48" s="23" t="str">
        <f>'Custos Insumos'!A36</f>
        <v>Herbicida</v>
      </c>
      <c r="B48" s="8" t="str">
        <f>UPPER(VLOOKUP(A48,'Custos Insumos'!$A$5:$C$168,3,FALSE))</f>
        <v>L</v>
      </c>
      <c r="C48" s="8" t="str">
        <f>VLOOKUP(A48,'Custos Insumos'!$A$5:$D$74,2,FALSE)</f>
        <v>L/HA</v>
      </c>
      <c r="D48" s="655">
        <f>'Custos Insumos'!D36</f>
        <v>65</v>
      </c>
      <c r="E48" s="256">
        <v>1.5</v>
      </c>
      <c r="F48" s="187">
        <v>0.4</v>
      </c>
      <c r="G48" s="187">
        <v>0.25</v>
      </c>
      <c r="H48" s="187">
        <v>0.25</v>
      </c>
      <c r="I48" s="187">
        <v>0.25</v>
      </c>
      <c r="J48" s="187">
        <v>0.25</v>
      </c>
      <c r="K48" s="187">
        <v>0.25</v>
      </c>
      <c r="L48" s="187">
        <v>0.25</v>
      </c>
      <c r="M48" s="229">
        <v>0.25</v>
      </c>
      <c r="N48" s="229">
        <v>0.25</v>
      </c>
      <c r="O48" s="229">
        <v>0.25</v>
      </c>
      <c r="P48" s="232">
        <v>0.25</v>
      </c>
      <c r="R48" s="239">
        <f t="shared" si="22"/>
        <v>1.5</v>
      </c>
      <c r="S48" s="188">
        <f t="shared" si="22"/>
        <v>0.4</v>
      </c>
      <c r="T48" s="188">
        <f t="shared" si="22"/>
        <v>0.25</v>
      </c>
      <c r="U48" s="188">
        <f t="shared" si="22"/>
        <v>0.25</v>
      </c>
      <c r="V48" s="188">
        <f t="shared" si="22"/>
        <v>0.25</v>
      </c>
      <c r="W48" s="188">
        <f t="shared" si="22"/>
        <v>0.25</v>
      </c>
      <c r="X48" s="188">
        <f t="shared" si="22"/>
        <v>0.25</v>
      </c>
      <c r="Y48" s="188">
        <f t="shared" si="22"/>
        <v>0.25</v>
      </c>
      <c r="Z48" s="248">
        <f t="shared" si="22"/>
        <v>0.25</v>
      </c>
      <c r="AA48" s="240">
        <f t="shared" si="22"/>
        <v>0.25</v>
      </c>
      <c r="AB48" s="248">
        <f t="shared" si="22"/>
        <v>0.25</v>
      </c>
      <c r="AC48" s="249">
        <f t="shared" si="22"/>
        <v>0.25</v>
      </c>
    </row>
    <row r="49" spans="1:41" ht="20.149999999999999" hidden="1" customHeight="1" outlineLevel="2" x14ac:dyDescent="0.25">
      <c r="A49" s="23" t="str">
        <f>'Custos Insumos'!A40</f>
        <v>Óleo Mineral</v>
      </c>
      <c r="B49" s="8" t="str">
        <f>UPPER(VLOOKUP(A49,'Custos Insumos'!$A$5:$C$168,3,FALSE))</f>
        <v>L</v>
      </c>
      <c r="C49" s="8" t="str">
        <f>VLOOKUP(A49,'Custos Insumos'!$A$5:$D$74,2,FALSE)</f>
        <v>L/HA</v>
      </c>
      <c r="D49" s="655">
        <f>'Custos Insumos'!D40</f>
        <v>10</v>
      </c>
      <c r="E49" s="256">
        <f>6</f>
        <v>6</v>
      </c>
      <c r="F49" s="187">
        <v>30</v>
      </c>
      <c r="G49" s="187">
        <v>30</v>
      </c>
      <c r="H49" s="187">
        <v>30</v>
      </c>
      <c r="I49" s="187">
        <v>30</v>
      </c>
      <c r="J49" s="187">
        <v>30</v>
      </c>
      <c r="K49" s="187">
        <v>30</v>
      </c>
      <c r="L49" s="187">
        <v>30</v>
      </c>
      <c r="M49" s="229">
        <v>30</v>
      </c>
      <c r="N49" s="229">
        <v>30</v>
      </c>
      <c r="O49" s="229">
        <v>30</v>
      </c>
      <c r="P49" s="232">
        <v>30</v>
      </c>
      <c r="R49" s="239">
        <f t="shared" si="22"/>
        <v>6</v>
      </c>
      <c r="S49" s="188">
        <f t="shared" si="22"/>
        <v>30</v>
      </c>
      <c r="T49" s="188">
        <f t="shared" si="22"/>
        <v>30</v>
      </c>
      <c r="U49" s="188">
        <f t="shared" si="22"/>
        <v>30</v>
      </c>
      <c r="V49" s="188">
        <f t="shared" si="22"/>
        <v>30</v>
      </c>
      <c r="W49" s="188">
        <f t="shared" si="22"/>
        <v>30</v>
      </c>
      <c r="X49" s="188">
        <f t="shared" si="22"/>
        <v>30</v>
      </c>
      <c r="Y49" s="188">
        <f t="shared" si="22"/>
        <v>30</v>
      </c>
      <c r="Z49" s="248">
        <f t="shared" si="22"/>
        <v>30</v>
      </c>
      <c r="AA49" s="240">
        <f t="shared" si="22"/>
        <v>30</v>
      </c>
      <c r="AB49" s="248">
        <f t="shared" si="22"/>
        <v>30</v>
      </c>
      <c r="AC49" s="249">
        <f t="shared" si="22"/>
        <v>30</v>
      </c>
    </row>
    <row r="50" spans="1:41" ht="20.149999999999999" hidden="1" customHeight="1" outlineLevel="2" thickBot="1" x14ac:dyDescent="0.3">
      <c r="A50" s="765" t="str">
        <f>'Custos Insumos'!A56</f>
        <v>Muda Banana</v>
      </c>
      <c r="B50" s="50" t="str">
        <f>'Custos Insumos'!B56</f>
        <v>UD</v>
      </c>
      <c r="C50" s="50" t="str">
        <f>'Custos Insumos'!C56</f>
        <v>UD</v>
      </c>
      <c r="D50" s="656">
        <f>'Custos Insumos'!D56</f>
        <v>4</v>
      </c>
      <c r="E50" s="268">
        <f>B31</f>
        <v>1330</v>
      </c>
      <c r="F50" s="214"/>
      <c r="G50" s="214"/>
      <c r="H50" s="214"/>
      <c r="I50" s="214"/>
      <c r="J50" s="214"/>
      <c r="K50" s="214"/>
      <c r="L50" s="657"/>
      <c r="M50" s="233"/>
      <c r="N50" s="233"/>
      <c r="O50" s="233"/>
      <c r="P50" s="234"/>
      <c r="R50" s="244">
        <f t="shared" si="22"/>
        <v>1330</v>
      </c>
      <c r="S50" s="245">
        <f t="shared" si="22"/>
        <v>0</v>
      </c>
      <c r="T50" s="245">
        <f t="shared" si="22"/>
        <v>0</v>
      </c>
      <c r="U50" s="245">
        <f t="shared" si="22"/>
        <v>0</v>
      </c>
      <c r="V50" s="245">
        <f t="shared" si="22"/>
        <v>0</v>
      </c>
      <c r="W50" s="245">
        <f t="shared" si="22"/>
        <v>0</v>
      </c>
      <c r="X50" s="245">
        <f t="shared" si="22"/>
        <v>0</v>
      </c>
      <c r="Y50" s="245">
        <f t="shared" si="22"/>
        <v>0</v>
      </c>
      <c r="Z50" s="251">
        <f t="shared" si="22"/>
        <v>0</v>
      </c>
      <c r="AA50" s="246">
        <f t="shared" si="22"/>
        <v>0</v>
      </c>
      <c r="AB50" s="251">
        <f t="shared" si="22"/>
        <v>0</v>
      </c>
      <c r="AC50" s="252">
        <f t="shared" si="22"/>
        <v>0</v>
      </c>
    </row>
    <row r="51" spans="1:41" ht="13" hidden="1" outlineLevel="2" thickBot="1" x14ac:dyDescent="0.3"/>
    <row r="52" spans="1:41" ht="30" customHeight="1" collapsed="1" thickBot="1" x14ac:dyDescent="0.3">
      <c r="A52" s="640" t="s">
        <v>163</v>
      </c>
      <c r="B52" s="641"/>
      <c r="C52" s="641"/>
      <c r="D52" s="641"/>
      <c r="E52" s="641"/>
      <c r="F52" s="641"/>
      <c r="G52" s="641"/>
      <c r="H52" s="641"/>
      <c r="I52" s="641"/>
      <c r="J52" s="641"/>
      <c r="K52" s="641"/>
      <c r="L52" s="641"/>
      <c r="M52" s="641"/>
      <c r="N52" s="641"/>
      <c r="O52" s="641"/>
      <c r="P52" s="641"/>
      <c r="Q52" s="641"/>
      <c r="R52" s="641"/>
      <c r="S52" s="641"/>
      <c r="T52" s="641"/>
      <c r="U52" s="641"/>
      <c r="V52" s="641"/>
      <c r="W52" s="641"/>
      <c r="X52" s="641"/>
      <c r="Y52" s="641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3"/>
    </row>
    <row r="53" spans="1:41" ht="20.149999999999999" hidden="1" customHeight="1" outlineLevel="1" collapsed="1" thickBot="1" x14ac:dyDescent="0.3">
      <c r="A53" s="559" t="s">
        <v>377</v>
      </c>
      <c r="B53" s="561"/>
    </row>
    <row r="54" spans="1:41" ht="20.149999999999999" hidden="1" customHeight="1" outlineLevel="2" x14ac:dyDescent="0.25">
      <c r="A54" s="21" t="s">
        <v>487</v>
      </c>
      <c r="B54" s="215" t="s">
        <v>738</v>
      </c>
    </row>
    <row r="55" spans="1:41" ht="20.149999999999999" hidden="1" customHeight="1" outlineLevel="2" thickBot="1" x14ac:dyDescent="0.3">
      <c r="A55" s="41" t="s">
        <v>486</v>
      </c>
      <c r="B55" s="209">
        <v>776</v>
      </c>
    </row>
    <row r="56" spans="1:41" ht="20.149999999999999" hidden="1" customHeight="1" outlineLevel="2" thickBot="1" x14ac:dyDescent="0.3">
      <c r="C56" s="645"/>
      <c r="D56" s="643"/>
    </row>
    <row r="57" spans="1:41" ht="20.149999999999999" hidden="1" customHeight="1" outlineLevel="1" collapsed="1" thickBot="1" x14ac:dyDescent="0.3">
      <c r="A57" s="559" t="s">
        <v>494</v>
      </c>
      <c r="B57" s="560"/>
      <c r="C57" s="572"/>
      <c r="D57" s="572"/>
      <c r="E57" s="572"/>
      <c r="F57" s="572"/>
      <c r="G57" s="572"/>
      <c r="H57" s="572"/>
      <c r="I57" s="572"/>
      <c r="J57" s="572"/>
      <c r="K57" s="572"/>
      <c r="L57" s="572"/>
      <c r="M57" s="572"/>
      <c r="N57" s="572"/>
      <c r="O57" s="572"/>
      <c r="P57" s="572"/>
      <c r="Q57" s="572"/>
      <c r="R57" s="572"/>
      <c r="S57" s="572"/>
      <c r="T57" s="572"/>
      <c r="U57" s="572"/>
      <c r="V57" s="572"/>
      <c r="W57" s="572"/>
      <c r="X57" s="572"/>
      <c r="Y57" s="572"/>
      <c r="Z57" s="572"/>
      <c r="AA57" s="572"/>
      <c r="AB57" s="572"/>
      <c r="AC57" s="572"/>
      <c r="AD57" s="572"/>
      <c r="AE57" s="572"/>
      <c r="AF57" s="572"/>
      <c r="AG57" s="572"/>
      <c r="AH57" s="572"/>
      <c r="AI57" s="572"/>
      <c r="AJ57" s="572"/>
      <c r="AK57" s="572"/>
      <c r="AL57" s="572"/>
      <c r="AM57" s="572"/>
      <c r="AN57" s="572"/>
      <c r="AO57" s="573"/>
    </row>
    <row r="58" spans="1:41" s="15" customFormat="1" ht="20.149999999999999" hidden="1" customHeight="1" outlineLevel="2" x14ac:dyDescent="0.25">
      <c r="A58" s="1127" t="s">
        <v>113</v>
      </c>
      <c r="B58" s="1124" t="s">
        <v>468</v>
      </c>
      <c r="C58" s="1130" t="s">
        <v>495</v>
      </c>
      <c r="D58" s="1124" t="s">
        <v>499</v>
      </c>
      <c r="E58" s="1123" t="s">
        <v>501</v>
      </c>
      <c r="F58" s="1123"/>
      <c r="G58" s="1123"/>
      <c r="H58" s="1123"/>
      <c r="I58" s="1123"/>
      <c r="J58" s="1123"/>
      <c r="K58" s="1123"/>
      <c r="L58" s="1123"/>
      <c r="M58" s="1123"/>
      <c r="N58" s="1123"/>
      <c r="O58" s="1123"/>
      <c r="P58" s="1123"/>
      <c r="Q58" s="1123"/>
      <c r="R58" s="1123"/>
      <c r="S58" s="1123"/>
      <c r="T58" s="1123"/>
      <c r="U58" s="1123"/>
      <c r="V58" s="1135"/>
      <c r="W58" s="571"/>
      <c r="X58" s="1132" t="s">
        <v>500</v>
      </c>
      <c r="Y58" s="1133"/>
      <c r="Z58" s="1133"/>
      <c r="AA58" s="1133"/>
      <c r="AB58" s="1133"/>
      <c r="AC58" s="1133"/>
      <c r="AD58" s="1133"/>
      <c r="AE58" s="1133"/>
      <c r="AF58" s="1133"/>
      <c r="AG58" s="1133"/>
      <c r="AH58" s="1133"/>
      <c r="AI58" s="1133"/>
      <c r="AJ58" s="1133"/>
      <c r="AK58" s="1133"/>
      <c r="AL58" s="1133"/>
      <c r="AM58" s="1133"/>
      <c r="AN58" s="1133"/>
      <c r="AO58" s="1134"/>
    </row>
    <row r="59" spans="1:41" s="15" customFormat="1" ht="20.149999999999999" hidden="1" customHeight="1" outlineLevel="2" thickBot="1" x14ac:dyDescent="0.3">
      <c r="A59" s="1128"/>
      <c r="B59" s="1129"/>
      <c r="C59" s="1131"/>
      <c r="D59" s="1129"/>
      <c r="E59" s="226">
        <v>1</v>
      </c>
      <c r="F59" s="226">
        <v>2</v>
      </c>
      <c r="G59" s="226">
        <v>3</v>
      </c>
      <c r="H59" s="226">
        <v>4</v>
      </c>
      <c r="I59" s="226">
        <v>5</v>
      </c>
      <c r="J59" s="226">
        <v>6</v>
      </c>
      <c r="K59" s="226">
        <v>7</v>
      </c>
      <c r="L59" s="226">
        <v>8</v>
      </c>
      <c r="M59" s="226">
        <v>9</v>
      </c>
      <c r="N59" s="226">
        <v>10</v>
      </c>
      <c r="O59" s="226">
        <v>11</v>
      </c>
      <c r="P59" s="226">
        <v>12</v>
      </c>
      <c r="Q59" s="226">
        <v>13</v>
      </c>
      <c r="R59" s="226">
        <v>14</v>
      </c>
      <c r="S59" s="226">
        <v>15</v>
      </c>
      <c r="T59" s="226">
        <v>16</v>
      </c>
      <c r="U59" s="226">
        <v>17</v>
      </c>
      <c r="V59" s="271">
        <v>18</v>
      </c>
      <c r="X59" s="274">
        <v>1</v>
      </c>
      <c r="Y59" s="226">
        <v>2</v>
      </c>
      <c r="Z59" s="226">
        <v>3</v>
      </c>
      <c r="AA59" s="226">
        <v>4</v>
      </c>
      <c r="AB59" s="226">
        <v>5</v>
      </c>
      <c r="AC59" s="271">
        <v>6</v>
      </c>
      <c r="AD59" s="273">
        <v>7</v>
      </c>
      <c r="AE59" s="224">
        <v>8</v>
      </c>
      <c r="AF59" s="224">
        <v>9</v>
      </c>
      <c r="AG59" s="224">
        <v>10</v>
      </c>
      <c r="AH59" s="224">
        <v>11</v>
      </c>
      <c r="AI59" s="224">
        <v>12</v>
      </c>
      <c r="AJ59" s="224">
        <v>13</v>
      </c>
      <c r="AK59" s="224">
        <v>14</v>
      </c>
      <c r="AL59" s="224">
        <v>15</v>
      </c>
      <c r="AM59" s="224">
        <v>16</v>
      </c>
      <c r="AN59" s="224">
        <v>17</v>
      </c>
      <c r="AO59" s="224">
        <v>18</v>
      </c>
    </row>
    <row r="60" spans="1:41" ht="20.149999999999999" hidden="1" customHeight="1" outlineLevel="2" x14ac:dyDescent="0.25">
      <c r="A60" s="219" t="str">
        <f>'Custos Insumos'!A5</f>
        <v>Ácido Bórico</v>
      </c>
      <c r="B60" s="220" t="str">
        <f>UPPER(VLOOKUP(A60,'Custos Insumos'!$A$5:$C$168,3,FALSE))</f>
        <v>KG</v>
      </c>
      <c r="C60" s="219" t="str">
        <f>'Custos Insumos'!B5</f>
        <v>G/COVA</v>
      </c>
      <c r="D60" s="221">
        <f>'Custos Insumos'!D5</f>
        <v>7.5</v>
      </c>
      <c r="E60" s="272">
        <v>20</v>
      </c>
      <c r="F60" s="223">
        <v>60</v>
      </c>
      <c r="G60" s="223">
        <v>60</v>
      </c>
      <c r="H60" s="223">
        <v>60</v>
      </c>
      <c r="I60" s="223">
        <v>60</v>
      </c>
      <c r="J60" s="223">
        <v>60</v>
      </c>
      <c r="K60" s="223">
        <v>60</v>
      </c>
      <c r="L60" s="223">
        <v>60</v>
      </c>
      <c r="M60" s="230">
        <v>60</v>
      </c>
      <c r="N60" s="230">
        <v>60</v>
      </c>
      <c r="O60" s="230">
        <v>60</v>
      </c>
      <c r="P60" s="230">
        <v>60</v>
      </c>
      <c r="Q60" s="230">
        <v>60</v>
      </c>
      <c r="R60" s="230">
        <v>60</v>
      </c>
      <c r="S60" s="230">
        <v>60</v>
      </c>
      <c r="T60" s="230">
        <v>60</v>
      </c>
      <c r="U60" s="230">
        <v>60</v>
      </c>
      <c r="V60" s="231">
        <v>60</v>
      </c>
      <c r="X60" s="646">
        <f t="shared" ref="X60:AO60" si="23">E60*$B$55/1000</f>
        <v>15.52</v>
      </c>
      <c r="Y60" s="647">
        <f t="shared" si="23"/>
        <v>46.56</v>
      </c>
      <c r="Z60" s="647">
        <f t="shared" si="23"/>
        <v>46.56</v>
      </c>
      <c r="AA60" s="647">
        <f t="shared" si="23"/>
        <v>46.56</v>
      </c>
      <c r="AB60" s="647">
        <f t="shared" si="23"/>
        <v>46.56</v>
      </c>
      <c r="AC60" s="647">
        <f t="shared" si="23"/>
        <v>46.56</v>
      </c>
      <c r="AD60" s="515">
        <f t="shared" si="23"/>
        <v>46.56</v>
      </c>
      <c r="AE60" s="515">
        <f t="shared" si="23"/>
        <v>46.56</v>
      </c>
      <c r="AF60" s="658">
        <f t="shared" si="23"/>
        <v>46.56</v>
      </c>
      <c r="AG60" s="658">
        <f t="shared" si="23"/>
        <v>46.56</v>
      </c>
      <c r="AH60" s="658">
        <f t="shared" si="23"/>
        <v>46.56</v>
      </c>
      <c r="AI60" s="658">
        <f t="shared" si="23"/>
        <v>46.56</v>
      </c>
      <c r="AJ60" s="658">
        <f t="shared" si="23"/>
        <v>46.56</v>
      </c>
      <c r="AK60" s="658">
        <f t="shared" si="23"/>
        <v>46.56</v>
      </c>
      <c r="AL60" s="658">
        <f t="shared" si="23"/>
        <v>46.56</v>
      </c>
      <c r="AM60" s="658">
        <f t="shared" si="23"/>
        <v>46.56</v>
      </c>
      <c r="AN60" s="658">
        <f t="shared" si="23"/>
        <v>46.56</v>
      </c>
      <c r="AO60" s="659">
        <f t="shared" si="23"/>
        <v>46.56</v>
      </c>
    </row>
    <row r="61" spans="1:41" ht="20.149999999999999" hidden="1" customHeight="1" outlineLevel="2" x14ac:dyDescent="0.25">
      <c r="A61" s="51" t="str">
        <f>'Custos Insumos'!A6</f>
        <v>Calcário</v>
      </c>
      <c r="B61" s="49" t="str">
        <f>UPPER(VLOOKUP(A61,'Custos Insumos'!$A$5:$C$168,3,FALSE))</f>
        <v>T</v>
      </c>
      <c r="C61" s="51" t="str">
        <f>'Custos Insumos'!B6</f>
        <v>T/HA</v>
      </c>
      <c r="D61" s="217">
        <f>'Custos Insumos'!D6</f>
        <v>450</v>
      </c>
      <c r="E61" s="255">
        <v>1</v>
      </c>
      <c r="F61" s="187">
        <v>1</v>
      </c>
      <c r="G61" s="187">
        <v>1</v>
      </c>
      <c r="H61" s="187">
        <v>1</v>
      </c>
      <c r="I61" s="187">
        <v>1</v>
      </c>
      <c r="J61" s="187">
        <v>1</v>
      </c>
      <c r="K61" s="187">
        <v>1</v>
      </c>
      <c r="L61" s="187">
        <v>1</v>
      </c>
      <c r="M61" s="229">
        <v>1</v>
      </c>
      <c r="N61" s="229">
        <v>1</v>
      </c>
      <c r="O61" s="229">
        <v>1</v>
      </c>
      <c r="P61" s="229">
        <v>1</v>
      </c>
      <c r="Q61" s="229">
        <v>1</v>
      </c>
      <c r="R61" s="229">
        <v>1</v>
      </c>
      <c r="S61" s="229">
        <v>1</v>
      </c>
      <c r="T61" s="229">
        <v>1</v>
      </c>
      <c r="U61" s="229">
        <v>1</v>
      </c>
      <c r="V61" s="232">
        <v>1</v>
      </c>
      <c r="X61" s="256">
        <f t="shared" ref="X61:AG63" si="24">E61</f>
        <v>1</v>
      </c>
      <c r="Y61" s="187">
        <f t="shared" si="24"/>
        <v>1</v>
      </c>
      <c r="Z61" s="187">
        <f t="shared" si="24"/>
        <v>1</v>
      </c>
      <c r="AA61" s="187">
        <f t="shared" si="24"/>
        <v>1</v>
      </c>
      <c r="AB61" s="187">
        <f t="shared" si="24"/>
        <v>1</v>
      </c>
      <c r="AC61" s="187">
        <f t="shared" si="24"/>
        <v>1</v>
      </c>
      <c r="AD61" s="9">
        <f t="shared" si="24"/>
        <v>1</v>
      </c>
      <c r="AE61" s="9">
        <f t="shared" si="24"/>
        <v>1</v>
      </c>
      <c r="AF61" s="660">
        <f t="shared" si="24"/>
        <v>1</v>
      </c>
      <c r="AG61" s="660">
        <f t="shared" si="24"/>
        <v>1</v>
      </c>
      <c r="AH61" s="660">
        <f t="shared" ref="AH61:AO63" si="25">O61</f>
        <v>1</v>
      </c>
      <c r="AI61" s="660">
        <f t="shared" si="25"/>
        <v>1</v>
      </c>
      <c r="AJ61" s="660">
        <f t="shared" si="25"/>
        <v>1</v>
      </c>
      <c r="AK61" s="660">
        <f t="shared" si="25"/>
        <v>1</v>
      </c>
      <c r="AL61" s="660">
        <f t="shared" si="25"/>
        <v>1</v>
      </c>
      <c r="AM61" s="660">
        <f t="shared" si="25"/>
        <v>1</v>
      </c>
      <c r="AN61" s="660">
        <f t="shared" si="25"/>
        <v>1</v>
      </c>
      <c r="AO61" s="661">
        <f t="shared" si="25"/>
        <v>1</v>
      </c>
    </row>
    <row r="62" spans="1:41" ht="20.149999999999999" hidden="1" customHeight="1" outlineLevel="2" x14ac:dyDescent="0.25">
      <c r="A62" s="51" t="str">
        <f>'Custos Insumos'!A8</f>
        <v>Fosfatado</v>
      </c>
      <c r="B62" s="49" t="str">
        <f>UPPER(VLOOKUP(A62,'Custos Insumos'!$A$5:$C$168,3,FALSE))</f>
        <v>T</v>
      </c>
      <c r="C62" s="51" t="str">
        <f>'Custos Insumos'!B8</f>
        <v>T/HA</v>
      </c>
      <c r="D62" s="217">
        <f>'Custos Insumos'!D8</f>
        <v>2650</v>
      </c>
      <c r="E62" s="256">
        <v>1</v>
      </c>
      <c r="F62" s="187">
        <v>1</v>
      </c>
      <c r="G62" s="187">
        <v>1</v>
      </c>
      <c r="H62" s="187">
        <v>1</v>
      </c>
      <c r="I62" s="187">
        <v>1</v>
      </c>
      <c r="J62" s="187">
        <v>1</v>
      </c>
      <c r="K62" s="187">
        <v>1</v>
      </c>
      <c r="L62" s="187">
        <v>1</v>
      </c>
      <c r="M62" s="229">
        <v>1</v>
      </c>
      <c r="N62" s="229">
        <v>1</v>
      </c>
      <c r="O62" s="229">
        <v>1</v>
      </c>
      <c r="P62" s="229">
        <v>1</v>
      </c>
      <c r="Q62" s="229">
        <v>1</v>
      </c>
      <c r="R62" s="229">
        <v>1</v>
      </c>
      <c r="S62" s="229">
        <v>1</v>
      </c>
      <c r="T62" s="229">
        <v>1</v>
      </c>
      <c r="U62" s="229">
        <v>1</v>
      </c>
      <c r="V62" s="232">
        <v>1</v>
      </c>
      <c r="X62" s="256">
        <f t="shared" si="24"/>
        <v>1</v>
      </c>
      <c r="Y62" s="187">
        <f t="shared" si="24"/>
        <v>1</v>
      </c>
      <c r="Z62" s="187">
        <f t="shared" si="24"/>
        <v>1</v>
      </c>
      <c r="AA62" s="187">
        <f t="shared" si="24"/>
        <v>1</v>
      </c>
      <c r="AB62" s="187">
        <f t="shared" si="24"/>
        <v>1</v>
      </c>
      <c r="AC62" s="187">
        <f t="shared" si="24"/>
        <v>1</v>
      </c>
      <c r="AD62" s="9">
        <f t="shared" si="24"/>
        <v>1</v>
      </c>
      <c r="AE62" s="9">
        <f t="shared" si="24"/>
        <v>1</v>
      </c>
      <c r="AF62" s="660">
        <f t="shared" si="24"/>
        <v>1</v>
      </c>
      <c r="AG62" s="660">
        <f t="shared" si="24"/>
        <v>1</v>
      </c>
      <c r="AH62" s="660">
        <f t="shared" si="25"/>
        <v>1</v>
      </c>
      <c r="AI62" s="660">
        <f t="shared" si="25"/>
        <v>1</v>
      </c>
      <c r="AJ62" s="660">
        <f t="shared" si="25"/>
        <v>1</v>
      </c>
      <c r="AK62" s="660">
        <f t="shared" si="25"/>
        <v>1</v>
      </c>
      <c r="AL62" s="660">
        <f t="shared" si="25"/>
        <v>1</v>
      </c>
      <c r="AM62" s="660">
        <f t="shared" si="25"/>
        <v>1</v>
      </c>
      <c r="AN62" s="660">
        <f t="shared" si="25"/>
        <v>1</v>
      </c>
      <c r="AO62" s="661">
        <f t="shared" si="25"/>
        <v>1</v>
      </c>
    </row>
    <row r="63" spans="1:41" ht="20.149999999999999" hidden="1" customHeight="1" outlineLevel="2" x14ac:dyDescent="0.25">
      <c r="A63" s="51" t="str">
        <f>'Custos Insumos'!A9</f>
        <v>Foliar Completo</v>
      </c>
      <c r="B63" s="49" t="str">
        <f>UPPER(VLOOKUP(A63,'Custos Insumos'!$A$5:$C$168,3,FALSE))</f>
        <v>L</v>
      </c>
      <c r="C63" s="51" t="str">
        <f>'Custos Insumos'!B9</f>
        <v>L/HA</v>
      </c>
      <c r="D63" s="217">
        <f>'Custos Insumos'!D9</f>
        <v>25</v>
      </c>
      <c r="E63" s="257">
        <v>3</v>
      </c>
      <c r="F63" s="258">
        <v>12</v>
      </c>
      <c r="G63" s="258">
        <f>F63*1.5</f>
        <v>18</v>
      </c>
      <c r="H63" s="258">
        <v>32</v>
      </c>
      <c r="I63" s="258">
        <v>84</v>
      </c>
      <c r="J63" s="258">
        <v>112</v>
      </c>
      <c r="K63" s="258">
        <v>112</v>
      </c>
      <c r="L63" s="258">
        <v>112</v>
      </c>
      <c r="M63" s="259">
        <v>112</v>
      </c>
      <c r="N63" s="259">
        <v>112</v>
      </c>
      <c r="O63" s="259">
        <v>112</v>
      </c>
      <c r="P63" s="259">
        <v>112</v>
      </c>
      <c r="Q63" s="259">
        <v>112</v>
      </c>
      <c r="R63" s="259">
        <v>112</v>
      </c>
      <c r="S63" s="259">
        <v>112</v>
      </c>
      <c r="T63" s="259">
        <v>112</v>
      </c>
      <c r="U63" s="259">
        <v>112</v>
      </c>
      <c r="V63" s="260">
        <v>112</v>
      </c>
      <c r="X63" s="256">
        <f t="shared" si="24"/>
        <v>3</v>
      </c>
      <c r="Y63" s="187">
        <f t="shared" si="24"/>
        <v>12</v>
      </c>
      <c r="Z63" s="187">
        <f t="shared" si="24"/>
        <v>18</v>
      </c>
      <c r="AA63" s="187">
        <f t="shared" si="24"/>
        <v>32</v>
      </c>
      <c r="AB63" s="187">
        <f t="shared" si="24"/>
        <v>84</v>
      </c>
      <c r="AC63" s="187">
        <f t="shared" si="24"/>
        <v>112</v>
      </c>
      <c r="AD63" s="9">
        <f t="shared" si="24"/>
        <v>112</v>
      </c>
      <c r="AE63" s="9">
        <f t="shared" si="24"/>
        <v>112</v>
      </c>
      <c r="AF63" s="660">
        <f t="shared" si="24"/>
        <v>112</v>
      </c>
      <c r="AG63" s="660">
        <f t="shared" si="24"/>
        <v>112</v>
      </c>
      <c r="AH63" s="660">
        <f t="shared" si="25"/>
        <v>112</v>
      </c>
      <c r="AI63" s="660">
        <f t="shared" si="25"/>
        <v>112</v>
      </c>
      <c r="AJ63" s="660">
        <f t="shared" si="25"/>
        <v>112</v>
      </c>
      <c r="AK63" s="660">
        <f t="shared" si="25"/>
        <v>112</v>
      </c>
      <c r="AL63" s="660">
        <f t="shared" si="25"/>
        <v>112</v>
      </c>
      <c r="AM63" s="660">
        <f t="shared" si="25"/>
        <v>112</v>
      </c>
      <c r="AN63" s="660">
        <f t="shared" si="25"/>
        <v>112</v>
      </c>
      <c r="AO63" s="661">
        <f t="shared" si="25"/>
        <v>112</v>
      </c>
    </row>
    <row r="64" spans="1:41" ht="20.149999999999999" hidden="1" customHeight="1" outlineLevel="2" x14ac:dyDescent="0.25">
      <c r="A64" s="51" t="str">
        <f>'Custos Insumos'!A11</f>
        <v>KCL</v>
      </c>
      <c r="B64" s="49" t="str">
        <f>UPPER(VLOOKUP(A64,'Custos Insumos'!$A$5:$C$168,3,FALSE))</f>
        <v>T</v>
      </c>
      <c r="C64" s="51" t="str">
        <f>'Custos Insumos'!B11</f>
        <v>G/COVA</v>
      </c>
      <c r="D64" s="217">
        <f>'Custos Insumos'!D11</f>
        <v>2700</v>
      </c>
      <c r="E64" s="257">
        <v>250</v>
      </c>
      <c r="F64" s="258">
        <v>360</v>
      </c>
      <c r="G64" s="258">
        <v>480</v>
      </c>
      <c r="H64" s="258">
        <v>720</v>
      </c>
      <c r="I64" s="258">
        <v>1080</v>
      </c>
      <c r="J64" s="258">
        <v>1200</v>
      </c>
      <c r="K64" s="258">
        <v>1200</v>
      </c>
      <c r="L64" s="258">
        <v>1200</v>
      </c>
      <c r="M64" s="259">
        <v>1200</v>
      </c>
      <c r="N64" s="259">
        <v>1200</v>
      </c>
      <c r="O64" s="259">
        <v>1200</v>
      </c>
      <c r="P64" s="259">
        <v>1200</v>
      </c>
      <c r="Q64" s="259">
        <v>1200</v>
      </c>
      <c r="R64" s="259">
        <v>1200</v>
      </c>
      <c r="S64" s="259">
        <v>1200</v>
      </c>
      <c r="T64" s="259">
        <v>1200</v>
      </c>
      <c r="U64" s="259">
        <v>1200</v>
      </c>
      <c r="V64" s="260">
        <v>1200</v>
      </c>
      <c r="X64" s="256">
        <f t="shared" ref="X64:AO64" si="26">E64*$B$55/1000000</f>
        <v>0.19400000000000001</v>
      </c>
      <c r="Y64" s="187">
        <f t="shared" si="26"/>
        <v>0.27936</v>
      </c>
      <c r="Z64" s="187">
        <f t="shared" si="26"/>
        <v>0.37247999999999998</v>
      </c>
      <c r="AA64" s="187">
        <f t="shared" si="26"/>
        <v>0.55871999999999999</v>
      </c>
      <c r="AB64" s="187">
        <f t="shared" si="26"/>
        <v>0.83808000000000005</v>
      </c>
      <c r="AC64" s="187">
        <f t="shared" si="26"/>
        <v>0.93120000000000003</v>
      </c>
      <c r="AD64" s="9">
        <f t="shared" si="26"/>
        <v>0.93120000000000003</v>
      </c>
      <c r="AE64" s="9">
        <f t="shared" si="26"/>
        <v>0.93120000000000003</v>
      </c>
      <c r="AF64" s="660">
        <f t="shared" si="26"/>
        <v>0.93120000000000003</v>
      </c>
      <c r="AG64" s="660">
        <f t="shared" si="26"/>
        <v>0.93120000000000003</v>
      </c>
      <c r="AH64" s="660">
        <f t="shared" si="26"/>
        <v>0.93120000000000003</v>
      </c>
      <c r="AI64" s="660">
        <f t="shared" si="26"/>
        <v>0.93120000000000003</v>
      </c>
      <c r="AJ64" s="660">
        <f t="shared" si="26"/>
        <v>0.93120000000000003</v>
      </c>
      <c r="AK64" s="660">
        <f t="shared" si="26"/>
        <v>0.93120000000000003</v>
      </c>
      <c r="AL64" s="660">
        <f t="shared" si="26"/>
        <v>0.93120000000000003</v>
      </c>
      <c r="AM64" s="660">
        <f t="shared" si="26"/>
        <v>0.93120000000000003</v>
      </c>
      <c r="AN64" s="660">
        <f t="shared" si="26"/>
        <v>0.93120000000000003</v>
      </c>
      <c r="AO64" s="661">
        <f t="shared" si="26"/>
        <v>0.93120000000000003</v>
      </c>
    </row>
    <row r="65" spans="1:41" ht="20.149999999999999" hidden="1" customHeight="1" outlineLevel="2" x14ac:dyDescent="0.25">
      <c r="A65" s="51" t="str">
        <f>'Custos Insumos'!A15</f>
        <v>Nitrato de Cálcio</v>
      </c>
      <c r="B65" s="49" t="str">
        <f>'Custos Insumos'!C15</f>
        <v>KG</v>
      </c>
      <c r="C65" s="51" t="str">
        <f>'Custos Insumos'!B15</f>
        <v>KG/HA</v>
      </c>
      <c r="D65" s="217">
        <f>'Custos Insumos'!D15</f>
        <v>2.8</v>
      </c>
      <c r="E65" s="257"/>
      <c r="F65" s="258"/>
      <c r="G65" s="258">
        <v>150</v>
      </c>
      <c r="H65" s="258">
        <v>150</v>
      </c>
      <c r="I65" s="258">
        <v>200</v>
      </c>
      <c r="J65" s="258">
        <v>250</v>
      </c>
      <c r="K65" s="258">
        <v>250</v>
      </c>
      <c r="L65" s="258">
        <v>250</v>
      </c>
      <c r="M65" s="259">
        <v>250</v>
      </c>
      <c r="N65" s="259">
        <v>250</v>
      </c>
      <c r="O65" s="259">
        <v>250</v>
      </c>
      <c r="P65" s="259">
        <v>250</v>
      </c>
      <c r="Q65" s="259">
        <v>250</v>
      </c>
      <c r="R65" s="259">
        <v>250</v>
      </c>
      <c r="S65" s="259">
        <v>250</v>
      </c>
      <c r="T65" s="259">
        <v>250</v>
      </c>
      <c r="U65" s="259">
        <v>250</v>
      </c>
      <c r="V65" s="260">
        <v>250</v>
      </c>
      <c r="X65" s="256">
        <f t="shared" ref="X65:AG66" si="27">E65</f>
        <v>0</v>
      </c>
      <c r="Y65" s="187">
        <f t="shared" si="27"/>
        <v>0</v>
      </c>
      <c r="Z65" s="187">
        <f t="shared" si="27"/>
        <v>150</v>
      </c>
      <c r="AA65" s="187">
        <f t="shared" si="27"/>
        <v>150</v>
      </c>
      <c r="AB65" s="187">
        <f t="shared" si="27"/>
        <v>200</v>
      </c>
      <c r="AC65" s="187">
        <f t="shared" si="27"/>
        <v>250</v>
      </c>
      <c r="AD65" s="9">
        <f t="shared" si="27"/>
        <v>250</v>
      </c>
      <c r="AE65" s="9">
        <f t="shared" si="27"/>
        <v>250</v>
      </c>
      <c r="AF65" s="660">
        <f t="shared" si="27"/>
        <v>250</v>
      </c>
      <c r="AG65" s="660">
        <f t="shared" si="27"/>
        <v>250</v>
      </c>
      <c r="AH65" s="660">
        <f t="shared" ref="AH65:AO66" si="28">O65</f>
        <v>250</v>
      </c>
      <c r="AI65" s="660">
        <f t="shared" si="28"/>
        <v>250</v>
      </c>
      <c r="AJ65" s="660">
        <f t="shared" si="28"/>
        <v>250</v>
      </c>
      <c r="AK65" s="660">
        <f t="shared" si="28"/>
        <v>250</v>
      </c>
      <c r="AL65" s="660">
        <f t="shared" si="28"/>
        <v>250</v>
      </c>
      <c r="AM65" s="660">
        <f t="shared" si="28"/>
        <v>250</v>
      </c>
      <c r="AN65" s="660">
        <f t="shared" si="28"/>
        <v>250</v>
      </c>
      <c r="AO65" s="661">
        <f t="shared" si="28"/>
        <v>250</v>
      </c>
    </row>
    <row r="66" spans="1:41" ht="20.149999999999999" hidden="1" customHeight="1" outlineLevel="2" x14ac:dyDescent="0.25">
      <c r="A66" s="51" t="str">
        <f>'Custos Insumos'!A16</f>
        <v>Nitrato de Potássio</v>
      </c>
      <c r="B66" s="49" t="str">
        <f>'Custos Insumos'!C16</f>
        <v>KG</v>
      </c>
      <c r="C66" s="51" t="str">
        <f>'Custos Insumos'!B16</f>
        <v>KG/HA</v>
      </c>
      <c r="D66" s="217">
        <f>'Custos Insumos'!D16</f>
        <v>8.9</v>
      </c>
      <c r="E66" s="257"/>
      <c r="F66" s="258"/>
      <c r="G66" s="258">
        <v>180</v>
      </c>
      <c r="H66" s="258">
        <v>180</v>
      </c>
      <c r="I66" s="258">
        <v>250</v>
      </c>
      <c r="J66" s="258">
        <v>300</v>
      </c>
      <c r="K66" s="258">
        <v>300</v>
      </c>
      <c r="L66" s="258">
        <v>300</v>
      </c>
      <c r="M66" s="259">
        <v>300</v>
      </c>
      <c r="N66" s="259">
        <v>300</v>
      </c>
      <c r="O66" s="259">
        <v>300</v>
      </c>
      <c r="P66" s="259">
        <v>300</v>
      </c>
      <c r="Q66" s="259">
        <v>300</v>
      </c>
      <c r="R66" s="259">
        <v>300</v>
      </c>
      <c r="S66" s="259">
        <v>300</v>
      </c>
      <c r="T66" s="259">
        <v>300</v>
      </c>
      <c r="U66" s="259">
        <v>300</v>
      </c>
      <c r="V66" s="260">
        <v>300</v>
      </c>
      <c r="X66" s="256">
        <f t="shared" si="27"/>
        <v>0</v>
      </c>
      <c r="Y66" s="187">
        <f t="shared" si="27"/>
        <v>0</v>
      </c>
      <c r="Z66" s="187">
        <f t="shared" si="27"/>
        <v>180</v>
      </c>
      <c r="AA66" s="187">
        <f t="shared" si="27"/>
        <v>180</v>
      </c>
      <c r="AB66" s="187">
        <f t="shared" si="27"/>
        <v>250</v>
      </c>
      <c r="AC66" s="187">
        <f t="shared" si="27"/>
        <v>300</v>
      </c>
      <c r="AD66" s="9">
        <f t="shared" si="27"/>
        <v>300</v>
      </c>
      <c r="AE66" s="9">
        <f t="shared" si="27"/>
        <v>300</v>
      </c>
      <c r="AF66" s="660">
        <f t="shared" si="27"/>
        <v>300</v>
      </c>
      <c r="AG66" s="660">
        <f t="shared" si="27"/>
        <v>300</v>
      </c>
      <c r="AH66" s="660">
        <f t="shared" si="28"/>
        <v>300</v>
      </c>
      <c r="AI66" s="660">
        <f t="shared" si="28"/>
        <v>300</v>
      </c>
      <c r="AJ66" s="660">
        <f t="shared" si="28"/>
        <v>300</v>
      </c>
      <c r="AK66" s="660">
        <f t="shared" si="28"/>
        <v>300</v>
      </c>
      <c r="AL66" s="660">
        <f t="shared" si="28"/>
        <v>300</v>
      </c>
      <c r="AM66" s="660">
        <f t="shared" si="28"/>
        <v>300</v>
      </c>
      <c r="AN66" s="660">
        <f t="shared" si="28"/>
        <v>300</v>
      </c>
      <c r="AO66" s="661">
        <f t="shared" si="28"/>
        <v>300</v>
      </c>
    </row>
    <row r="67" spans="1:41" ht="20.149999999999999" hidden="1" customHeight="1" outlineLevel="2" x14ac:dyDescent="0.25">
      <c r="A67" s="51" t="str">
        <f>'Custos Insumos'!A19</f>
        <v>Sulfato de Magnésio</v>
      </c>
      <c r="B67" s="49" t="str">
        <f>UPPER(VLOOKUP(A67,'Custos Insumos'!$A$5:$C$168,3,FALSE))</f>
        <v>KG</v>
      </c>
      <c r="C67" s="51" t="str">
        <f>'Custos Insumos'!B19</f>
        <v>G/COVA</v>
      </c>
      <c r="D67" s="217">
        <f>'Custos Insumos'!D19</f>
        <v>1.5</v>
      </c>
      <c r="E67" s="257">
        <v>150</v>
      </c>
      <c r="F67" s="258">
        <v>240</v>
      </c>
      <c r="G67" s="258">
        <v>360</v>
      </c>
      <c r="H67" s="258">
        <v>480</v>
      </c>
      <c r="I67" s="258">
        <v>600</v>
      </c>
      <c r="J67" s="258">
        <v>600</v>
      </c>
      <c r="K67" s="258">
        <v>960</v>
      </c>
      <c r="L67" s="258">
        <v>960</v>
      </c>
      <c r="M67" s="259">
        <v>960</v>
      </c>
      <c r="N67" s="259">
        <v>960</v>
      </c>
      <c r="O67" s="259">
        <v>960</v>
      </c>
      <c r="P67" s="259">
        <v>960</v>
      </c>
      <c r="Q67" s="259">
        <v>960</v>
      </c>
      <c r="R67" s="259">
        <v>960</v>
      </c>
      <c r="S67" s="259">
        <v>960</v>
      </c>
      <c r="T67" s="259">
        <v>960</v>
      </c>
      <c r="U67" s="259">
        <v>960</v>
      </c>
      <c r="V67" s="260">
        <v>960</v>
      </c>
      <c r="X67" s="256">
        <f t="shared" ref="X67:AG69" si="29">E67*$B$55/1000</f>
        <v>116.4</v>
      </c>
      <c r="Y67" s="187">
        <f t="shared" si="29"/>
        <v>186.24</v>
      </c>
      <c r="Z67" s="187">
        <f t="shared" si="29"/>
        <v>279.36</v>
      </c>
      <c r="AA67" s="187">
        <f t="shared" si="29"/>
        <v>372.48</v>
      </c>
      <c r="AB67" s="187">
        <f t="shared" si="29"/>
        <v>465.6</v>
      </c>
      <c r="AC67" s="187">
        <f t="shared" si="29"/>
        <v>465.6</v>
      </c>
      <c r="AD67" s="9">
        <f t="shared" si="29"/>
        <v>744.96</v>
      </c>
      <c r="AE67" s="9">
        <f t="shared" si="29"/>
        <v>744.96</v>
      </c>
      <c r="AF67" s="660">
        <f t="shared" si="29"/>
        <v>744.96</v>
      </c>
      <c r="AG67" s="660">
        <f t="shared" si="29"/>
        <v>744.96</v>
      </c>
      <c r="AH67" s="660">
        <f t="shared" ref="AH67:AO69" si="30">O67*$B$55/1000</f>
        <v>744.96</v>
      </c>
      <c r="AI67" s="660">
        <f t="shared" si="30"/>
        <v>744.96</v>
      </c>
      <c r="AJ67" s="660">
        <f t="shared" si="30"/>
        <v>744.96</v>
      </c>
      <c r="AK67" s="660">
        <f t="shared" si="30"/>
        <v>744.96</v>
      </c>
      <c r="AL67" s="660">
        <f t="shared" si="30"/>
        <v>744.96</v>
      </c>
      <c r="AM67" s="660">
        <f t="shared" si="30"/>
        <v>744.96</v>
      </c>
      <c r="AN67" s="660">
        <f t="shared" si="30"/>
        <v>744.96</v>
      </c>
      <c r="AO67" s="661">
        <f t="shared" si="30"/>
        <v>744.96</v>
      </c>
    </row>
    <row r="68" spans="1:41" ht="20.149999999999999" hidden="1" customHeight="1" outlineLevel="2" x14ac:dyDescent="0.25">
      <c r="A68" s="51" t="str">
        <f>'Custos Insumos'!A20</f>
        <v>Sulfato de Zinco</v>
      </c>
      <c r="B68" s="49" t="str">
        <f>UPPER(VLOOKUP(A68,'Custos Insumos'!$A$5:$C$168,3,FALSE))</f>
        <v>KG</v>
      </c>
      <c r="C68" s="51" t="str">
        <f>'Custos Insumos'!B20</f>
        <v>G/COVA</v>
      </c>
      <c r="D68" s="217">
        <f>'Custos Insumos'!D20</f>
        <v>6</v>
      </c>
      <c r="E68" s="257">
        <v>100</v>
      </c>
      <c r="F68" s="258">
        <v>120</v>
      </c>
      <c r="G68" s="258">
        <v>120</v>
      </c>
      <c r="H68" s="258">
        <v>180</v>
      </c>
      <c r="I68" s="258">
        <v>180</v>
      </c>
      <c r="J68" s="258">
        <v>180</v>
      </c>
      <c r="K68" s="258">
        <v>180</v>
      </c>
      <c r="L68" s="258">
        <v>180</v>
      </c>
      <c r="M68" s="259">
        <v>180</v>
      </c>
      <c r="N68" s="259">
        <v>180</v>
      </c>
      <c r="O68" s="259">
        <v>180</v>
      </c>
      <c r="P68" s="259">
        <v>180</v>
      </c>
      <c r="Q68" s="259">
        <v>180</v>
      </c>
      <c r="R68" s="259">
        <v>180</v>
      </c>
      <c r="S68" s="259">
        <v>180</v>
      </c>
      <c r="T68" s="259">
        <v>180</v>
      </c>
      <c r="U68" s="259">
        <v>180</v>
      </c>
      <c r="V68" s="260">
        <v>180</v>
      </c>
      <c r="X68" s="256">
        <f t="shared" si="29"/>
        <v>77.599999999999994</v>
      </c>
      <c r="Y68" s="187">
        <f t="shared" si="29"/>
        <v>93.12</v>
      </c>
      <c r="Z68" s="187">
        <f t="shared" si="29"/>
        <v>93.12</v>
      </c>
      <c r="AA68" s="187">
        <f t="shared" si="29"/>
        <v>139.68</v>
      </c>
      <c r="AB68" s="187">
        <f t="shared" si="29"/>
        <v>139.68</v>
      </c>
      <c r="AC68" s="187">
        <f t="shared" si="29"/>
        <v>139.68</v>
      </c>
      <c r="AD68" s="9">
        <f t="shared" si="29"/>
        <v>139.68</v>
      </c>
      <c r="AE68" s="9">
        <f t="shared" si="29"/>
        <v>139.68</v>
      </c>
      <c r="AF68" s="660">
        <f t="shared" si="29"/>
        <v>139.68</v>
      </c>
      <c r="AG68" s="660">
        <f t="shared" si="29"/>
        <v>139.68</v>
      </c>
      <c r="AH68" s="660">
        <f t="shared" si="30"/>
        <v>139.68</v>
      </c>
      <c r="AI68" s="660">
        <f t="shared" si="30"/>
        <v>139.68</v>
      </c>
      <c r="AJ68" s="660">
        <f t="shared" si="30"/>
        <v>139.68</v>
      </c>
      <c r="AK68" s="660">
        <f t="shared" si="30"/>
        <v>139.68</v>
      </c>
      <c r="AL68" s="660">
        <f t="shared" si="30"/>
        <v>139.68</v>
      </c>
      <c r="AM68" s="660">
        <f t="shared" si="30"/>
        <v>139.68</v>
      </c>
      <c r="AN68" s="660">
        <f t="shared" si="30"/>
        <v>139.68</v>
      </c>
      <c r="AO68" s="661">
        <f t="shared" si="30"/>
        <v>139.68</v>
      </c>
    </row>
    <row r="69" spans="1:41" ht="20.149999999999999" hidden="1" customHeight="1" outlineLevel="2" x14ac:dyDescent="0.25">
      <c r="A69" s="51" t="str">
        <f>'Custos Insumos'!A23</f>
        <v>Esterco de Gado</v>
      </c>
      <c r="B69" s="49" t="str">
        <f>UPPER(VLOOKUP(A69,'Custos Insumos'!$A$5:$C$168,3,FALSE))</f>
        <v>M3</v>
      </c>
      <c r="C69" s="51" t="str">
        <f>'Custos Insumos'!B23</f>
        <v>L/COVA</v>
      </c>
      <c r="D69" s="217">
        <f>'Custos Insumos'!D23</f>
        <v>80</v>
      </c>
      <c r="E69" s="257">
        <v>10</v>
      </c>
      <c r="F69" s="258">
        <v>10</v>
      </c>
      <c r="G69" s="258">
        <v>20</v>
      </c>
      <c r="H69" s="258">
        <v>20</v>
      </c>
      <c r="I69" s="258"/>
      <c r="J69" s="258"/>
      <c r="K69" s="258"/>
      <c r="L69" s="258"/>
      <c r="M69" s="259"/>
      <c r="N69" s="259"/>
      <c r="O69" s="259"/>
      <c r="P69" s="259"/>
      <c r="Q69" s="259"/>
      <c r="R69" s="259"/>
      <c r="S69" s="259"/>
      <c r="T69" s="259"/>
      <c r="U69" s="259"/>
      <c r="V69" s="260"/>
      <c r="X69" s="256">
        <f t="shared" si="29"/>
        <v>7.76</v>
      </c>
      <c r="Y69" s="187">
        <f t="shared" si="29"/>
        <v>7.76</v>
      </c>
      <c r="Z69" s="187">
        <f t="shared" si="29"/>
        <v>15.52</v>
      </c>
      <c r="AA69" s="187">
        <f t="shared" si="29"/>
        <v>15.52</v>
      </c>
      <c r="AB69" s="187">
        <f t="shared" si="29"/>
        <v>0</v>
      </c>
      <c r="AC69" s="187">
        <f t="shared" si="29"/>
        <v>0</v>
      </c>
      <c r="AD69" s="9">
        <f t="shared" si="29"/>
        <v>0</v>
      </c>
      <c r="AE69" s="9">
        <f t="shared" si="29"/>
        <v>0</v>
      </c>
      <c r="AF69" s="660">
        <f t="shared" si="29"/>
        <v>0</v>
      </c>
      <c r="AG69" s="660">
        <f t="shared" si="29"/>
        <v>0</v>
      </c>
      <c r="AH69" s="660">
        <f t="shared" si="30"/>
        <v>0</v>
      </c>
      <c r="AI69" s="660">
        <f t="shared" si="30"/>
        <v>0</v>
      </c>
      <c r="AJ69" s="660">
        <f t="shared" si="30"/>
        <v>0</v>
      </c>
      <c r="AK69" s="660">
        <f t="shared" si="30"/>
        <v>0</v>
      </c>
      <c r="AL69" s="660">
        <f t="shared" si="30"/>
        <v>0</v>
      </c>
      <c r="AM69" s="660">
        <f t="shared" si="30"/>
        <v>0</v>
      </c>
      <c r="AN69" s="660">
        <f t="shared" si="30"/>
        <v>0</v>
      </c>
      <c r="AO69" s="661">
        <f t="shared" si="30"/>
        <v>0</v>
      </c>
    </row>
    <row r="70" spans="1:41" ht="20.149999999999999" hidden="1" customHeight="1" outlineLevel="2" x14ac:dyDescent="0.25">
      <c r="A70" s="51" t="str">
        <f>'Custos Insumos'!A25</f>
        <v>Nitrato de Amonia</v>
      </c>
      <c r="B70" s="49" t="str">
        <f>UPPER(VLOOKUP(A70,'Custos Insumos'!$A$5:$C$168,3,FALSE))</f>
        <v>T</v>
      </c>
      <c r="C70" s="51" t="str">
        <f>'Custos Insumos'!B25</f>
        <v>G/COVA</v>
      </c>
      <c r="D70" s="217">
        <f>'Custos Insumos'!D25</f>
        <v>2200</v>
      </c>
      <c r="E70" s="257">
        <v>250</v>
      </c>
      <c r="F70" s="258">
        <v>250</v>
      </c>
      <c r="G70" s="258">
        <v>320</v>
      </c>
      <c r="H70" s="258">
        <v>640</v>
      </c>
      <c r="I70" s="258">
        <v>640</v>
      </c>
      <c r="J70" s="258">
        <v>840</v>
      </c>
      <c r="K70" s="258">
        <v>960</v>
      </c>
      <c r="L70" s="258">
        <v>960</v>
      </c>
      <c r="M70" s="259">
        <v>960</v>
      </c>
      <c r="N70" s="259">
        <v>960</v>
      </c>
      <c r="O70" s="259">
        <v>960</v>
      </c>
      <c r="P70" s="259">
        <v>960</v>
      </c>
      <c r="Q70" s="259">
        <v>960</v>
      </c>
      <c r="R70" s="259">
        <v>960</v>
      </c>
      <c r="S70" s="259">
        <v>960</v>
      </c>
      <c r="T70" s="259">
        <v>960</v>
      </c>
      <c r="U70" s="259">
        <v>960</v>
      </c>
      <c r="V70" s="260">
        <v>960</v>
      </c>
      <c r="X70" s="256">
        <f t="shared" ref="X70:AO70" si="31">E70*$B$55/1000000</f>
        <v>0.19400000000000001</v>
      </c>
      <c r="Y70" s="187">
        <f t="shared" si="31"/>
        <v>0.19400000000000001</v>
      </c>
      <c r="Z70" s="187">
        <f t="shared" si="31"/>
        <v>0.24832000000000001</v>
      </c>
      <c r="AA70" s="187">
        <f t="shared" si="31"/>
        <v>0.49664000000000003</v>
      </c>
      <c r="AB70" s="187">
        <f t="shared" si="31"/>
        <v>0.49664000000000003</v>
      </c>
      <c r="AC70" s="187">
        <f t="shared" si="31"/>
        <v>0.65183999999999997</v>
      </c>
      <c r="AD70" s="9">
        <f t="shared" si="31"/>
        <v>0.74495999999999996</v>
      </c>
      <c r="AE70" s="9">
        <f t="shared" si="31"/>
        <v>0.74495999999999996</v>
      </c>
      <c r="AF70" s="660">
        <f t="shared" si="31"/>
        <v>0.74495999999999996</v>
      </c>
      <c r="AG70" s="660">
        <f t="shared" si="31"/>
        <v>0.74495999999999996</v>
      </c>
      <c r="AH70" s="660">
        <f t="shared" si="31"/>
        <v>0.74495999999999996</v>
      </c>
      <c r="AI70" s="660">
        <f t="shared" si="31"/>
        <v>0.74495999999999996</v>
      </c>
      <c r="AJ70" s="660">
        <f t="shared" si="31"/>
        <v>0.74495999999999996</v>
      </c>
      <c r="AK70" s="660">
        <f t="shared" si="31"/>
        <v>0.74495999999999996</v>
      </c>
      <c r="AL70" s="660">
        <f t="shared" si="31"/>
        <v>0.74495999999999996</v>
      </c>
      <c r="AM70" s="660">
        <f t="shared" si="31"/>
        <v>0.74495999999999996</v>
      </c>
      <c r="AN70" s="660">
        <f t="shared" si="31"/>
        <v>0.74495999999999996</v>
      </c>
      <c r="AO70" s="661">
        <f t="shared" si="31"/>
        <v>0.74495999999999996</v>
      </c>
    </row>
    <row r="71" spans="1:41" ht="20.149999999999999" hidden="1" customHeight="1" outlineLevel="2" x14ac:dyDescent="0.25">
      <c r="A71" s="51" t="str">
        <f>'Custos Insumos'!A30</f>
        <v>Fungicida</v>
      </c>
      <c r="B71" s="49" t="str">
        <f>UPPER(VLOOKUP(A71,'Custos Insumos'!$A$5:$C$168,3,FALSE))</f>
        <v>L</v>
      </c>
      <c r="C71" s="51" t="str">
        <f>'Custos Insumos'!B30</f>
        <v>L/HA</v>
      </c>
      <c r="D71" s="217">
        <f>'Custos Insumos'!D30</f>
        <v>75</v>
      </c>
      <c r="E71" s="257">
        <v>3</v>
      </c>
      <c r="F71" s="258">
        <v>8</v>
      </c>
      <c r="G71" s="258">
        <v>10</v>
      </c>
      <c r="H71" s="258">
        <v>20</v>
      </c>
      <c r="I71" s="258">
        <v>20</v>
      </c>
      <c r="J71" s="258">
        <v>20</v>
      </c>
      <c r="K71" s="258">
        <v>20</v>
      </c>
      <c r="L71" s="258">
        <v>20</v>
      </c>
      <c r="M71" s="259">
        <v>20</v>
      </c>
      <c r="N71" s="259">
        <v>20</v>
      </c>
      <c r="O71" s="259">
        <v>20</v>
      </c>
      <c r="P71" s="259">
        <v>20</v>
      </c>
      <c r="Q71" s="259">
        <v>20</v>
      </c>
      <c r="R71" s="259">
        <v>20</v>
      </c>
      <c r="S71" s="259">
        <v>20</v>
      </c>
      <c r="T71" s="259">
        <v>20</v>
      </c>
      <c r="U71" s="259">
        <v>20</v>
      </c>
      <c r="V71" s="260">
        <v>20</v>
      </c>
      <c r="X71" s="256">
        <f t="shared" ref="X71:AG75" si="32">E71</f>
        <v>3</v>
      </c>
      <c r="Y71" s="187">
        <f t="shared" si="32"/>
        <v>8</v>
      </c>
      <c r="Z71" s="187">
        <f t="shared" si="32"/>
        <v>10</v>
      </c>
      <c r="AA71" s="187">
        <f t="shared" si="32"/>
        <v>20</v>
      </c>
      <c r="AB71" s="187">
        <f t="shared" si="32"/>
        <v>20</v>
      </c>
      <c r="AC71" s="187">
        <f t="shared" si="32"/>
        <v>20</v>
      </c>
      <c r="AD71" s="9">
        <f t="shared" si="32"/>
        <v>20</v>
      </c>
      <c r="AE71" s="9">
        <f t="shared" si="32"/>
        <v>20</v>
      </c>
      <c r="AF71" s="660">
        <f t="shared" si="32"/>
        <v>20</v>
      </c>
      <c r="AG71" s="660">
        <f t="shared" si="32"/>
        <v>20</v>
      </c>
      <c r="AH71" s="660">
        <f t="shared" ref="AH71:AO75" si="33">O71</f>
        <v>20</v>
      </c>
      <c r="AI71" s="660">
        <f t="shared" si="33"/>
        <v>20</v>
      </c>
      <c r="AJ71" s="660">
        <f t="shared" si="33"/>
        <v>20</v>
      </c>
      <c r="AK71" s="660">
        <f t="shared" si="33"/>
        <v>20</v>
      </c>
      <c r="AL71" s="660">
        <f t="shared" si="33"/>
        <v>20</v>
      </c>
      <c r="AM71" s="660">
        <f t="shared" si="33"/>
        <v>20</v>
      </c>
      <c r="AN71" s="660">
        <f t="shared" si="33"/>
        <v>20</v>
      </c>
      <c r="AO71" s="661">
        <f t="shared" si="33"/>
        <v>20</v>
      </c>
    </row>
    <row r="72" spans="1:41" ht="20.149999999999999" hidden="1" customHeight="1" outlineLevel="2" x14ac:dyDescent="0.25">
      <c r="A72" s="51" t="str">
        <f>'Custos Insumos'!A31</f>
        <v>Inseticida</v>
      </c>
      <c r="B72" s="49" t="str">
        <f>UPPER(VLOOKUP(A72,'Custos Insumos'!$A$5:$C$168,3,FALSE))</f>
        <v>L</v>
      </c>
      <c r="C72" s="51" t="str">
        <f>'Custos Insumos'!B31</f>
        <v>L/HA</v>
      </c>
      <c r="D72" s="217">
        <f>'Custos Insumos'!D31</f>
        <v>40</v>
      </c>
      <c r="E72" s="257">
        <v>3</v>
      </c>
      <c r="F72" s="258">
        <v>4</v>
      </c>
      <c r="G72" s="258">
        <v>4</v>
      </c>
      <c r="H72" s="258">
        <v>6</v>
      </c>
      <c r="I72" s="258">
        <v>8</v>
      </c>
      <c r="J72" s="258">
        <v>8</v>
      </c>
      <c r="K72" s="258">
        <v>8</v>
      </c>
      <c r="L72" s="258">
        <v>8</v>
      </c>
      <c r="M72" s="259">
        <v>8</v>
      </c>
      <c r="N72" s="259">
        <v>8</v>
      </c>
      <c r="O72" s="259">
        <v>8</v>
      </c>
      <c r="P72" s="259">
        <v>8</v>
      </c>
      <c r="Q72" s="259">
        <v>8</v>
      </c>
      <c r="R72" s="259">
        <v>8</v>
      </c>
      <c r="S72" s="259">
        <v>8</v>
      </c>
      <c r="T72" s="259">
        <v>8</v>
      </c>
      <c r="U72" s="259">
        <v>8</v>
      </c>
      <c r="V72" s="260">
        <v>8</v>
      </c>
      <c r="X72" s="256">
        <f t="shared" si="32"/>
        <v>3</v>
      </c>
      <c r="Y72" s="187">
        <f t="shared" si="32"/>
        <v>4</v>
      </c>
      <c r="Z72" s="187">
        <f t="shared" si="32"/>
        <v>4</v>
      </c>
      <c r="AA72" s="187">
        <f t="shared" si="32"/>
        <v>6</v>
      </c>
      <c r="AB72" s="187">
        <f t="shared" si="32"/>
        <v>8</v>
      </c>
      <c r="AC72" s="187">
        <f t="shared" si="32"/>
        <v>8</v>
      </c>
      <c r="AD72" s="9">
        <f t="shared" si="32"/>
        <v>8</v>
      </c>
      <c r="AE72" s="9">
        <f t="shared" si="32"/>
        <v>8</v>
      </c>
      <c r="AF72" s="660">
        <f t="shared" si="32"/>
        <v>8</v>
      </c>
      <c r="AG72" s="660">
        <f t="shared" si="32"/>
        <v>8</v>
      </c>
      <c r="AH72" s="660">
        <f t="shared" si="33"/>
        <v>8</v>
      </c>
      <c r="AI72" s="660">
        <f t="shared" si="33"/>
        <v>8</v>
      </c>
      <c r="AJ72" s="660">
        <f t="shared" si="33"/>
        <v>8</v>
      </c>
      <c r="AK72" s="660">
        <f t="shared" si="33"/>
        <v>8</v>
      </c>
      <c r="AL72" s="660">
        <f t="shared" si="33"/>
        <v>8</v>
      </c>
      <c r="AM72" s="660">
        <f t="shared" si="33"/>
        <v>8</v>
      </c>
      <c r="AN72" s="660">
        <f t="shared" si="33"/>
        <v>8</v>
      </c>
      <c r="AO72" s="661">
        <f t="shared" si="33"/>
        <v>8</v>
      </c>
    </row>
    <row r="73" spans="1:41" ht="20.149999999999999" hidden="1" customHeight="1" outlineLevel="2" x14ac:dyDescent="0.25">
      <c r="A73" s="51" t="str">
        <f>'Custos Insumos'!A35</f>
        <v>Espalhante</v>
      </c>
      <c r="B73" s="49" t="str">
        <f>UPPER(VLOOKUP(A73,'Custos Insumos'!$A$5:$C$168,3,FALSE))</f>
        <v>L</v>
      </c>
      <c r="C73" s="51" t="str">
        <f>'Custos Insumos'!B35</f>
        <v>L/HA</v>
      </c>
      <c r="D73" s="217">
        <f>'Custos Insumos'!D35</f>
        <v>15</v>
      </c>
      <c r="E73" s="257">
        <v>0.36</v>
      </c>
      <c r="F73" s="258">
        <v>0.4</v>
      </c>
      <c r="G73" s="258">
        <v>0.4</v>
      </c>
      <c r="H73" s="258">
        <v>0.5</v>
      </c>
      <c r="I73" s="261">
        <v>0.6</v>
      </c>
      <c r="J73" s="261">
        <v>0.6</v>
      </c>
      <c r="K73" s="261">
        <v>0.6</v>
      </c>
      <c r="L73" s="261">
        <v>0.6</v>
      </c>
      <c r="M73" s="262">
        <v>0.6</v>
      </c>
      <c r="N73" s="262">
        <v>0.6</v>
      </c>
      <c r="O73" s="262">
        <v>0.6</v>
      </c>
      <c r="P73" s="262">
        <v>0.6</v>
      </c>
      <c r="Q73" s="262">
        <v>0.6</v>
      </c>
      <c r="R73" s="262">
        <v>0.6</v>
      </c>
      <c r="S73" s="262">
        <v>0.6</v>
      </c>
      <c r="T73" s="262">
        <v>0.6</v>
      </c>
      <c r="U73" s="262">
        <v>0.6</v>
      </c>
      <c r="V73" s="263">
        <v>0.6</v>
      </c>
      <c r="X73" s="256">
        <f t="shared" si="32"/>
        <v>0.36</v>
      </c>
      <c r="Y73" s="187">
        <f t="shared" si="32"/>
        <v>0.4</v>
      </c>
      <c r="Z73" s="187">
        <f t="shared" si="32"/>
        <v>0.4</v>
      </c>
      <c r="AA73" s="187">
        <f t="shared" si="32"/>
        <v>0.5</v>
      </c>
      <c r="AB73" s="187">
        <f t="shared" si="32"/>
        <v>0.6</v>
      </c>
      <c r="AC73" s="187">
        <f t="shared" si="32"/>
        <v>0.6</v>
      </c>
      <c r="AD73" s="9">
        <f t="shared" si="32"/>
        <v>0.6</v>
      </c>
      <c r="AE73" s="9">
        <f t="shared" si="32"/>
        <v>0.6</v>
      </c>
      <c r="AF73" s="660">
        <f t="shared" si="32"/>
        <v>0.6</v>
      </c>
      <c r="AG73" s="660">
        <f t="shared" si="32"/>
        <v>0.6</v>
      </c>
      <c r="AH73" s="660">
        <f t="shared" si="33"/>
        <v>0.6</v>
      </c>
      <c r="AI73" s="660">
        <f t="shared" si="33"/>
        <v>0.6</v>
      </c>
      <c r="AJ73" s="660">
        <f t="shared" si="33"/>
        <v>0.6</v>
      </c>
      <c r="AK73" s="660">
        <f t="shared" si="33"/>
        <v>0.6</v>
      </c>
      <c r="AL73" s="660">
        <f t="shared" si="33"/>
        <v>0.6</v>
      </c>
      <c r="AM73" s="660">
        <f t="shared" si="33"/>
        <v>0.6</v>
      </c>
      <c r="AN73" s="660">
        <f t="shared" si="33"/>
        <v>0.6</v>
      </c>
      <c r="AO73" s="661">
        <f t="shared" si="33"/>
        <v>0.6</v>
      </c>
    </row>
    <row r="74" spans="1:41" ht="20.149999999999999" hidden="1" customHeight="1" outlineLevel="2" x14ac:dyDescent="0.25">
      <c r="A74" s="51" t="str">
        <f>'Custos Insumos'!A36</f>
        <v>Herbicida</v>
      </c>
      <c r="B74" s="49" t="str">
        <f>UPPER(VLOOKUP(A74,'Custos Insumos'!$A$5:$C$168,3,FALSE))</f>
        <v>L</v>
      </c>
      <c r="C74" s="51" t="str">
        <f>'Custos Insumos'!B36</f>
        <v>L/HA</v>
      </c>
      <c r="D74" s="217">
        <f>'Custos Insumos'!D36</f>
        <v>65</v>
      </c>
      <c r="E74" s="257">
        <v>2</v>
      </c>
      <c r="F74" s="258">
        <v>2</v>
      </c>
      <c r="G74" s="258">
        <v>2</v>
      </c>
      <c r="H74" s="258">
        <v>2</v>
      </c>
      <c r="I74" s="258">
        <v>1.5</v>
      </c>
      <c r="J74" s="258">
        <v>1.5</v>
      </c>
      <c r="K74" s="258">
        <v>1.5</v>
      </c>
      <c r="L74" s="258">
        <v>1.5</v>
      </c>
      <c r="M74" s="259">
        <v>1.5</v>
      </c>
      <c r="N74" s="259">
        <v>1.5</v>
      </c>
      <c r="O74" s="259">
        <v>1.5</v>
      </c>
      <c r="P74" s="259">
        <v>1.5</v>
      </c>
      <c r="Q74" s="259">
        <v>1.5</v>
      </c>
      <c r="R74" s="259">
        <v>1.5</v>
      </c>
      <c r="S74" s="259">
        <v>1.5</v>
      </c>
      <c r="T74" s="259">
        <v>1.5</v>
      </c>
      <c r="U74" s="259">
        <v>1.5</v>
      </c>
      <c r="V74" s="260">
        <v>1.5</v>
      </c>
      <c r="X74" s="256">
        <f t="shared" si="32"/>
        <v>2</v>
      </c>
      <c r="Y74" s="187">
        <f t="shared" si="32"/>
        <v>2</v>
      </c>
      <c r="Z74" s="187">
        <f t="shared" si="32"/>
        <v>2</v>
      </c>
      <c r="AA74" s="187">
        <f t="shared" si="32"/>
        <v>2</v>
      </c>
      <c r="AB74" s="187">
        <f t="shared" si="32"/>
        <v>1.5</v>
      </c>
      <c r="AC74" s="187">
        <f t="shared" si="32"/>
        <v>1.5</v>
      </c>
      <c r="AD74" s="9">
        <f t="shared" si="32"/>
        <v>1.5</v>
      </c>
      <c r="AE74" s="9">
        <f t="shared" si="32"/>
        <v>1.5</v>
      </c>
      <c r="AF74" s="660">
        <f t="shared" si="32"/>
        <v>1.5</v>
      </c>
      <c r="AG74" s="660">
        <f t="shared" si="32"/>
        <v>1.5</v>
      </c>
      <c r="AH74" s="660">
        <f t="shared" si="33"/>
        <v>1.5</v>
      </c>
      <c r="AI74" s="660">
        <f t="shared" si="33"/>
        <v>1.5</v>
      </c>
      <c r="AJ74" s="660">
        <f t="shared" si="33"/>
        <v>1.5</v>
      </c>
      <c r="AK74" s="660">
        <f t="shared" si="33"/>
        <v>1.5</v>
      </c>
      <c r="AL74" s="660">
        <f t="shared" si="33"/>
        <v>1.5</v>
      </c>
      <c r="AM74" s="660">
        <f t="shared" si="33"/>
        <v>1.5</v>
      </c>
      <c r="AN74" s="660">
        <f t="shared" si="33"/>
        <v>1.5</v>
      </c>
      <c r="AO74" s="661">
        <f t="shared" si="33"/>
        <v>1.5</v>
      </c>
    </row>
    <row r="75" spans="1:41" ht="20.149999999999999" hidden="1" customHeight="1" outlineLevel="2" x14ac:dyDescent="0.25">
      <c r="A75" s="51" t="str">
        <f>'Custos Insumos'!A40</f>
        <v>Óleo Mineral</v>
      </c>
      <c r="B75" s="49" t="str">
        <f>UPPER(VLOOKUP(A75,'Custos Insumos'!$A$5:$C$168,3,FALSE))</f>
        <v>L</v>
      </c>
      <c r="C75" s="51" t="str">
        <f>'Custos Insumos'!B40</f>
        <v>L/HA</v>
      </c>
      <c r="D75" s="217">
        <f>'Custos Insumos'!D40</f>
        <v>10</v>
      </c>
      <c r="E75" s="257">
        <v>3</v>
      </c>
      <c r="F75" s="258">
        <v>18</v>
      </c>
      <c r="G75" s="258">
        <v>18</v>
      </c>
      <c r="H75" s="258">
        <v>24</v>
      </c>
      <c r="I75" s="258">
        <v>30</v>
      </c>
      <c r="J75" s="258">
        <v>30</v>
      </c>
      <c r="K75" s="258">
        <v>30</v>
      </c>
      <c r="L75" s="258">
        <v>30</v>
      </c>
      <c r="M75" s="259">
        <v>30</v>
      </c>
      <c r="N75" s="259">
        <v>30</v>
      </c>
      <c r="O75" s="259">
        <v>30</v>
      </c>
      <c r="P75" s="259">
        <v>30</v>
      </c>
      <c r="Q75" s="259">
        <v>30</v>
      </c>
      <c r="R75" s="259">
        <v>30</v>
      </c>
      <c r="S75" s="259">
        <v>30</v>
      </c>
      <c r="T75" s="259">
        <v>30</v>
      </c>
      <c r="U75" s="259">
        <v>30</v>
      </c>
      <c r="V75" s="260">
        <v>30</v>
      </c>
      <c r="X75" s="256">
        <f t="shared" si="32"/>
        <v>3</v>
      </c>
      <c r="Y75" s="187">
        <f t="shared" si="32"/>
        <v>18</v>
      </c>
      <c r="Z75" s="187">
        <f t="shared" si="32"/>
        <v>18</v>
      </c>
      <c r="AA75" s="187">
        <f t="shared" si="32"/>
        <v>24</v>
      </c>
      <c r="AB75" s="187">
        <f t="shared" si="32"/>
        <v>30</v>
      </c>
      <c r="AC75" s="187">
        <f t="shared" si="32"/>
        <v>30</v>
      </c>
      <c r="AD75" s="9">
        <f t="shared" si="32"/>
        <v>30</v>
      </c>
      <c r="AE75" s="9">
        <f t="shared" si="32"/>
        <v>30</v>
      </c>
      <c r="AF75" s="660">
        <f t="shared" si="32"/>
        <v>30</v>
      </c>
      <c r="AG75" s="660">
        <f t="shared" si="32"/>
        <v>30</v>
      </c>
      <c r="AH75" s="660">
        <f t="shared" si="33"/>
        <v>30</v>
      </c>
      <c r="AI75" s="660">
        <f t="shared" si="33"/>
        <v>30</v>
      </c>
      <c r="AJ75" s="660">
        <f t="shared" si="33"/>
        <v>30</v>
      </c>
      <c r="AK75" s="660">
        <f t="shared" si="33"/>
        <v>30</v>
      </c>
      <c r="AL75" s="660">
        <f t="shared" si="33"/>
        <v>30</v>
      </c>
      <c r="AM75" s="660">
        <f t="shared" si="33"/>
        <v>30</v>
      </c>
      <c r="AN75" s="660">
        <f t="shared" si="33"/>
        <v>30</v>
      </c>
      <c r="AO75" s="661">
        <f t="shared" si="33"/>
        <v>30</v>
      </c>
    </row>
    <row r="76" spans="1:41" ht="20.149999999999999" hidden="1" customHeight="1" outlineLevel="2" x14ac:dyDescent="0.25">
      <c r="A76" s="51" t="str">
        <f>'Custos Insumos'!A26</f>
        <v>Indutor floral</v>
      </c>
      <c r="B76" s="49" t="str">
        <f>'Custos Insumos'!C26</f>
        <v>L</v>
      </c>
      <c r="C76" s="51" t="str">
        <f>'Custos Insumos'!B26</f>
        <v>ML/COVA</v>
      </c>
      <c r="D76" s="217">
        <f>'Custos Insumos'!D26</f>
        <v>60</v>
      </c>
      <c r="E76" s="257"/>
      <c r="F76" s="258"/>
      <c r="G76" s="258">
        <v>28</v>
      </c>
      <c r="H76" s="258">
        <v>35</v>
      </c>
      <c r="I76" s="258">
        <v>40</v>
      </c>
      <c r="J76" s="258">
        <v>50</v>
      </c>
      <c r="K76" s="258">
        <v>50</v>
      </c>
      <c r="L76" s="258">
        <v>50</v>
      </c>
      <c r="M76" s="259">
        <v>50</v>
      </c>
      <c r="N76" s="259">
        <v>50</v>
      </c>
      <c r="O76" s="259">
        <v>50</v>
      </c>
      <c r="P76" s="259">
        <v>50</v>
      </c>
      <c r="Q76" s="259">
        <v>50</v>
      </c>
      <c r="R76" s="259">
        <v>50</v>
      </c>
      <c r="S76" s="259">
        <v>50</v>
      </c>
      <c r="T76" s="259">
        <v>50</v>
      </c>
      <c r="U76" s="259">
        <v>50</v>
      </c>
      <c r="V76" s="260">
        <v>50</v>
      </c>
      <c r="X76" s="256">
        <f t="shared" ref="X76:AO76" si="34">E76*$B$55/1000</f>
        <v>0</v>
      </c>
      <c r="Y76" s="187">
        <f t="shared" si="34"/>
        <v>0</v>
      </c>
      <c r="Z76" s="187">
        <f t="shared" si="34"/>
        <v>21.728000000000002</v>
      </c>
      <c r="AA76" s="187">
        <f t="shared" si="34"/>
        <v>27.16</v>
      </c>
      <c r="AB76" s="187">
        <f t="shared" si="34"/>
        <v>31.04</v>
      </c>
      <c r="AC76" s="187">
        <f t="shared" si="34"/>
        <v>38.799999999999997</v>
      </c>
      <c r="AD76" s="9">
        <f t="shared" si="34"/>
        <v>38.799999999999997</v>
      </c>
      <c r="AE76" s="9">
        <f t="shared" si="34"/>
        <v>38.799999999999997</v>
      </c>
      <c r="AF76" s="660">
        <f t="shared" si="34"/>
        <v>38.799999999999997</v>
      </c>
      <c r="AG76" s="660">
        <f t="shared" si="34"/>
        <v>38.799999999999997</v>
      </c>
      <c r="AH76" s="660">
        <f t="shared" si="34"/>
        <v>38.799999999999997</v>
      </c>
      <c r="AI76" s="660">
        <f t="shared" si="34"/>
        <v>38.799999999999997</v>
      </c>
      <c r="AJ76" s="660">
        <f t="shared" si="34"/>
        <v>38.799999999999997</v>
      </c>
      <c r="AK76" s="660">
        <f t="shared" si="34"/>
        <v>38.799999999999997</v>
      </c>
      <c r="AL76" s="660">
        <f t="shared" si="34"/>
        <v>38.799999999999997</v>
      </c>
      <c r="AM76" s="660">
        <f t="shared" si="34"/>
        <v>38.799999999999997</v>
      </c>
      <c r="AN76" s="660">
        <f t="shared" si="34"/>
        <v>38.799999999999997</v>
      </c>
      <c r="AO76" s="661">
        <f t="shared" si="34"/>
        <v>38.799999999999997</v>
      </c>
    </row>
    <row r="77" spans="1:41" ht="20.149999999999999" hidden="1" customHeight="1" outlineLevel="2" thickBot="1" x14ac:dyDescent="0.3">
      <c r="A77" s="53" t="str">
        <f>'Custos Insumos'!A57</f>
        <v>Muda Manga</v>
      </c>
      <c r="B77" s="52" t="str">
        <f>'Custos Insumos'!B57</f>
        <v>UD</v>
      </c>
      <c r="C77" s="52" t="str">
        <f>'Custos Insumos'!C57</f>
        <v>UD</v>
      </c>
      <c r="D77" s="218">
        <f>'Custos Insumos'!D57</f>
        <v>21</v>
      </c>
      <c r="E77" s="264">
        <f>B55</f>
        <v>776</v>
      </c>
      <c r="F77" s="265"/>
      <c r="G77" s="265"/>
      <c r="H77" s="265"/>
      <c r="I77" s="265"/>
      <c r="J77" s="265"/>
      <c r="K77" s="265"/>
      <c r="L77" s="265"/>
      <c r="M77" s="266"/>
      <c r="N77" s="266"/>
      <c r="O77" s="266"/>
      <c r="P77" s="266"/>
      <c r="Q77" s="266"/>
      <c r="R77" s="266"/>
      <c r="S77" s="266"/>
      <c r="T77" s="266"/>
      <c r="U77" s="266"/>
      <c r="V77" s="267"/>
      <c r="X77" s="268">
        <f t="shared" ref="X77:AO77" si="35">E77</f>
        <v>776</v>
      </c>
      <c r="Y77" s="214">
        <f t="shared" si="35"/>
        <v>0</v>
      </c>
      <c r="Z77" s="214">
        <f t="shared" si="35"/>
        <v>0</v>
      </c>
      <c r="AA77" s="214">
        <f t="shared" si="35"/>
        <v>0</v>
      </c>
      <c r="AB77" s="214">
        <f t="shared" si="35"/>
        <v>0</v>
      </c>
      <c r="AC77" s="214">
        <f t="shared" si="35"/>
        <v>0</v>
      </c>
      <c r="AD77" s="26">
        <f t="shared" si="35"/>
        <v>0</v>
      </c>
      <c r="AE77" s="26">
        <f t="shared" si="35"/>
        <v>0</v>
      </c>
      <c r="AF77" s="662">
        <f t="shared" si="35"/>
        <v>0</v>
      </c>
      <c r="AG77" s="662">
        <f t="shared" si="35"/>
        <v>0</v>
      </c>
      <c r="AH77" s="662">
        <f t="shared" si="35"/>
        <v>0</v>
      </c>
      <c r="AI77" s="662">
        <f t="shared" si="35"/>
        <v>0</v>
      </c>
      <c r="AJ77" s="662">
        <f t="shared" si="35"/>
        <v>0</v>
      </c>
      <c r="AK77" s="662">
        <f t="shared" si="35"/>
        <v>0</v>
      </c>
      <c r="AL77" s="662">
        <f t="shared" si="35"/>
        <v>0</v>
      </c>
      <c r="AM77" s="662">
        <f t="shared" si="35"/>
        <v>0</v>
      </c>
      <c r="AN77" s="662">
        <f t="shared" si="35"/>
        <v>0</v>
      </c>
      <c r="AO77" s="663">
        <f t="shared" si="35"/>
        <v>0</v>
      </c>
    </row>
    <row r="78" spans="1:41" ht="13" hidden="1" outlineLevel="2" thickBot="1" x14ac:dyDescent="0.3"/>
    <row r="79" spans="1:41" ht="30" customHeight="1" collapsed="1" thickBot="1" x14ac:dyDescent="0.3">
      <c r="A79" s="640" t="s">
        <v>162</v>
      </c>
      <c r="B79" s="641"/>
      <c r="C79" s="641"/>
      <c r="D79" s="641"/>
      <c r="E79" s="641"/>
      <c r="F79" s="641"/>
      <c r="G79" s="641"/>
      <c r="H79" s="641"/>
      <c r="I79" s="641"/>
      <c r="J79" s="641"/>
      <c r="K79" s="641"/>
      <c r="L79" s="641"/>
      <c r="M79" s="641"/>
      <c r="N79" s="641"/>
      <c r="O79" s="641"/>
      <c r="P79" s="641"/>
      <c r="Q79" s="641"/>
      <c r="R79" s="641"/>
      <c r="S79" s="641"/>
      <c r="T79" s="641"/>
      <c r="U79" s="641"/>
      <c r="V79" s="641"/>
      <c r="W79" s="641"/>
      <c r="X79" s="641"/>
      <c r="Y79" s="641"/>
      <c r="Z79" s="563"/>
      <c r="AA79" s="563"/>
      <c r="AB79" s="563"/>
      <c r="AC79" s="563"/>
      <c r="AD79" s="563"/>
      <c r="AE79" s="563"/>
      <c r="AF79" s="563"/>
      <c r="AG79" s="563"/>
      <c r="AH79" s="563"/>
      <c r="AI79" s="563"/>
      <c r="AJ79" s="563"/>
      <c r="AK79" s="563"/>
      <c r="AL79" s="563"/>
      <c r="AM79" s="563"/>
      <c r="AN79" s="563"/>
      <c r="AO79" s="563"/>
    </row>
    <row r="80" spans="1:41" ht="20.149999999999999" hidden="1" customHeight="1" outlineLevel="1" collapsed="1" thickBot="1" x14ac:dyDescent="0.3">
      <c r="A80" s="559" t="s">
        <v>377</v>
      </c>
      <c r="B80" s="561"/>
    </row>
    <row r="81" spans="1:41" ht="20.149999999999999" hidden="1" customHeight="1" outlineLevel="2" x14ac:dyDescent="0.25">
      <c r="A81" s="21" t="s">
        <v>487</v>
      </c>
      <c r="B81" s="215" t="s">
        <v>738</v>
      </c>
    </row>
    <row r="82" spans="1:41" ht="20.149999999999999" hidden="1" customHeight="1" outlineLevel="2" thickBot="1" x14ac:dyDescent="0.3">
      <c r="A82" s="41" t="s">
        <v>486</v>
      </c>
      <c r="B82" s="209">
        <v>350</v>
      </c>
    </row>
    <row r="83" spans="1:41" ht="20.149999999999999" hidden="1" customHeight="1" outlineLevel="2" thickBot="1" x14ac:dyDescent="0.3">
      <c r="C83" s="643"/>
      <c r="D83" s="643"/>
    </row>
    <row r="84" spans="1:41" ht="20.149999999999999" hidden="1" customHeight="1" outlineLevel="1" collapsed="1" thickBot="1" x14ac:dyDescent="0.3">
      <c r="A84" s="559" t="s">
        <v>494</v>
      </c>
      <c r="B84" s="560"/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  <c r="P84" s="572"/>
      <c r="Q84" s="572"/>
      <c r="R84" s="572"/>
      <c r="S84" s="572"/>
      <c r="T84" s="572"/>
      <c r="U84" s="572"/>
      <c r="V84" s="572"/>
      <c r="W84" s="572"/>
      <c r="X84" s="572"/>
      <c r="Y84" s="572"/>
      <c r="Z84" s="572"/>
      <c r="AA84" s="572"/>
      <c r="AB84" s="572"/>
      <c r="AC84" s="572"/>
      <c r="AD84" s="572"/>
      <c r="AE84" s="572"/>
      <c r="AF84" s="572"/>
      <c r="AG84" s="572"/>
      <c r="AH84" s="572"/>
      <c r="AI84" s="572"/>
      <c r="AJ84" s="572"/>
      <c r="AK84" s="572"/>
      <c r="AL84" s="572"/>
      <c r="AM84" s="572"/>
      <c r="AN84" s="572"/>
      <c r="AO84" s="573"/>
    </row>
    <row r="85" spans="1:41" s="15" customFormat="1" ht="20.149999999999999" hidden="1" customHeight="1" outlineLevel="2" x14ac:dyDescent="0.25">
      <c r="A85" s="1127" t="s">
        <v>113</v>
      </c>
      <c r="B85" s="1124" t="s">
        <v>468</v>
      </c>
      <c r="C85" s="1130" t="s">
        <v>495</v>
      </c>
      <c r="D85" s="1124" t="s">
        <v>499</v>
      </c>
      <c r="E85" s="1123" t="s">
        <v>503</v>
      </c>
      <c r="F85" s="1123"/>
      <c r="G85" s="1123"/>
      <c r="H85" s="1123"/>
      <c r="I85" s="1123"/>
      <c r="J85" s="1123"/>
      <c r="K85" s="1123"/>
      <c r="L85" s="1123"/>
      <c r="M85" s="1123"/>
      <c r="N85" s="1123"/>
      <c r="O85" s="1123"/>
      <c r="P85" s="1123"/>
      <c r="Q85" s="1123"/>
      <c r="R85" s="1123"/>
      <c r="S85" s="1123"/>
      <c r="T85" s="1123"/>
      <c r="U85" s="1123"/>
      <c r="V85" s="1135"/>
      <c r="W85" s="571"/>
      <c r="X85" s="1132" t="s">
        <v>500</v>
      </c>
      <c r="Y85" s="1133"/>
      <c r="Z85" s="1133"/>
      <c r="AA85" s="1133"/>
      <c r="AB85" s="1133"/>
      <c r="AC85" s="1133"/>
      <c r="AD85" s="1133"/>
      <c r="AE85" s="1133"/>
      <c r="AF85" s="1133"/>
      <c r="AG85" s="1133"/>
      <c r="AH85" s="1133"/>
      <c r="AI85" s="1133"/>
      <c r="AJ85" s="1133"/>
      <c r="AK85" s="1133"/>
      <c r="AL85" s="1133"/>
      <c r="AM85" s="1133"/>
      <c r="AN85" s="1133"/>
      <c r="AO85" s="1134"/>
    </row>
    <row r="86" spans="1:41" s="15" customFormat="1" ht="20.149999999999999" hidden="1" customHeight="1" outlineLevel="2" thickBot="1" x14ac:dyDescent="0.3">
      <c r="A86" s="1128"/>
      <c r="B86" s="1129"/>
      <c r="C86" s="1131"/>
      <c r="D86" s="1129"/>
      <c r="E86" s="226">
        <v>1</v>
      </c>
      <c r="F86" s="226">
        <v>2</v>
      </c>
      <c r="G86" s="226">
        <v>3</v>
      </c>
      <c r="H86" s="226">
        <v>4</v>
      </c>
      <c r="I86" s="226">
        <v>5</v>
      </c>
      <c r="J86" s="226">
        <v>6</v>
      </c>
      <c r="K86" s="226">
        <v>7</v>
      </c>
      <c r="L86" s="226">
        <v>8</v>
      </c>
      <c r="M86" s="226">
        <v>9</v>
      </c>
      <c r="N86" s="226">
        <v>10</v>
      </c>
      <c r="O86" s="226">
        <v>11</v>
      </c>
      <c r="P86" s="226">
        <v>12</v>
      </c>
      <c r="Q86" s="226">
        <v>13</v>
      </c>
      <c r="R86" s="226">
        <v>14</v>
      </c>
      <c r="S86" s="226">
        <v>15</v>
      </c>
      <c r="T86" s="226">
        <v>16</v>
      </c>
      <c r="U86" s="226">
        <v>17</v>
      </c>
      <c r="V86" s="271">
        <v>18</v>
      </c>
      <c r="X86" s="274">
        <v>1</v>
      </c>
      <c r="Y86" s="226">
        <v>2</v>
      </c>
      <c r="Z86" s="226">
        <v>3</v>
      </c>
      <c r="AA86" s="226">
        <v>4</v>
      </c>
      <c r="AB86" s="226">
        <v>5</v>
      </c>
      <c r="AC86" s="271">
        <v>6</v>
      </c>
      <c r="AD86" s="273">
        <v>7</v>
      </c>
      <c r="AE86" s="224">
        <v>8</v>
      </c>
      <c r="AF86" s="224">
        <v>9</v>
      </c>
      <c r="AG86" s="224">
        <v>10</v>
      </c>
      <c r="AH86" s="224">
        <v>11</v>
      </c>
      <c r="AI86" s="224">
        <v>12</v>
      </c>
      <c r="AJ86" s="224">
        <v>13</v>
      </c>
      <c r="AK86" s="224">
        <v>14</v>
      </c>
      <c r="AL86" s="224">
        <v>15</v>
      </c>
      <c r="AM86" s="224">
        <v>16</v>
      </c>
      <c r="AN86" s="224">
        <v>17</v>
      </c>
      <c r="AO86" s="224">
        <v>18</v>
      </c>
    </row>
    <row r="87" spans="1:41" ht="20.149999999999999" hidden="1" customHeight="1" outlineLevel="2" x14ac:dyDescent="0.25">
      <c r="A87" s="219" t="str">
        <f>'Custos Insumos'!A5</f>
        <v>Ácido Bórico</v>
      </c>
      <c r="B87" s="220" t="str">
        <f>UPPER(VLOOKUP(A87,'Custos Insumos'!$A$5:$C$168,3,FALSE))</f>
        <v>KG</v>
      </c>
      <c r="C87" s="219" t="str">
        <f>'Custos Insumos'!B5</f>
        <v>G/COVA</v>
      </c>
      <c r="D87" s="221">
        <f>'Custos Insumos'!D5</f>
        <v>7.5</v>
      </c>
      <c r="E87" s="646">
        <v>15</v>
      </c>
      <c r="F87" s="647">
        <v>60</v>
      </c>
      <c r="G87" s="647">
        <v>60</v>
      </c>
      <c r="H87" s="647">
        <v>60</v>
      </c>
      <c r="I87" s="647">
        <v>60</v>
      </c>
      <c r="J87" s="647">
        <v>60</v>
      </c>
      <c r="K87" s="647">
        <v>60</v>
      </c>
      <c r="L87" s="647">
        <v>60</v>
      </c>
      <c r="M87" s="652">
        <v>60</v>
      </c>
      <c r="N87" s="652">
        <v>60</v>
      </c>
      <c r="O87" s="652">
        <v>60</v>
      </c>
      <c r="P87" s="652">
        <v>60</v>
      </c>
      <c r="Q87" s="652">
        <v>60</v>
      </c>
      <c r="R87" s="652">
        <v>60</v>
      </c>
      <c r="S87" s="652">
        <v>60</v>
      </c>
      <c r="T87" s="652">
        <v>60</v>
      </c>
      <c r="U87" s="652">
        <v>60</v>
      </c>
      <c r="V87" s="653">
        <v>60</v>
      </c>
      <c r="X87" s="646">
        <f t="shared" ref="X87:AO87" si="36">E87*$B$82/1000</f>
        <v>5.25</v>
      </c>
      <c r="Y87" s="647">
        <f t="shared" si="36"/>
        <v>21</v>
      </c>
      <c r="Z87" s="647">
        <f t="shared" si="36"/>
        <v>21</v>
      </c>
      <c r="AA87" s="647">
        <f t="shared" si="36"/>
        <v>21</v>
      </c>
      <c r="AB87" s="647">
        <f t="shared" si="36"/>
        <v>21</v>
      </c>
      <c r="AC87" s="647">
        <f t="shared" si="36"/>
        <v>21</v>
      </c>
      <c r="AD87" s="515">
        <f t="shared" si="36"/>
        <v>21</v>
      </c>
      <c r="AE87" s="515">
        <f t="shared" si="36"/>
        <v>21</v>
      </c>
      <c r="AF87" s="658">
        <f t="shared" si="36"/>
        <v>21</v>
      </c>
      <c r="AG87" s="658">
        <f t="shared" si="36"/>
        <v>21</v>
      </c>
      <c r="AH87" s="658">
        <f t="shared" si="36"/>
        <v>21</v>
      </c>
      <c r="AI87" s="658">
        <f t="shared" si="36"/>
        <v>21</v>
      </c>
      <c r="AJ87" s="658">
        <f t="shared" si="36"/>
        <v>21</v>
      </c>
      <c r="AK87" s="658">
        <f t="shared" si="36"/>
        <v>21</v>
      </c>
      <c r="AL87" s="658">
        <f t="shared" si="36"/>
        <v>21</v>
      </c>
      <c r="AM87" s="658">
        <f t="shared" si="36"/>
        <v>21</v>
      </c>
      <c r="AN87" s="658">
        <f t="shared" si="36"/>
        <v>21</v>
      </c>
      <c r="AO87" s="659">
        <f t="shared" si="36"/>
        <v>21</v>
      </c>
    </row>
    <row r="88" spans="1:41" ht="20.149999999999999" hidden="1" customHeight="1" outlineLevel="2" x14ac:dyDescent="0.25">
      <c r="A88" s="51" t="str">
        <f>'Custos Insumos'!A6</f>
        <v>Calcário</v>
      </c>
      <c r="B88" s="49" t="str">
        <f>UPPER(VLOOKUP(A88,'Custos Insumos'!$A$5:$C$168,3,FALSE))</f>
        <v>T</v>
      </c>
      <c r="C88" s="51" t="str">
        <f>'Custos Insumos'!B6</f>
        <v>T/HA</v>
      </c>
      <c r="D88" s="217">
        <f>'Custos Insumos'!D6</f>
        <v>450</v>
      </c>
      <c r="E88" s="255">
        <v>1</v>
      </c>
      <c r="F88" s="187">
        <v>1</v>
      </c>
      <c r="G88" s="187">
        <v>1</v>
      </c>
      <c r="H88" s="187">
        <v>1</v>
      </c>
      <c r="I88" s="187">
        <v>1</v>
      </c>
      <c r="J88" s="187">
        <v>1</v>
      </c>
      <c r="K88" s="187">
        <v>1</v>
      </c>
      <c r="L88" s="187">
        <v>1</v>
      </c>
      <c r="M88" s="229">
        <v>1</v>
      </c>
      <c r="N88" s="229">
        <v>1</v>
      </c>
      <c r="O88" s="229">
        <v>1</v>
      </c>
      <c r="P88" s="229">
        <v>1</v>
      </c>
      <c r="Q88" s="229">
        <v>1</v>
      </c>
      <c r="R88" s="229">
        <v>1</v>
      </c>
      <c r="S88" s="229">
        <v>1</v>
      </c>
      <c r="T88" s="229">
        <v>1</v>
      </c>
      <c r="U88" s="229">
        <v>1</v>
      </c>
      <c r="V88" s="232">
        <v>1</v>
      </c>
      <c r="X88" s="256">
        <f t="shared" ref="X88:AG90" si="37">E88</f>
        <v>1</v>
      </c>
      <c r="Y88" s="187">
        <f t="shared" si="37"/>
        <v>1</v>
      </c>
      <c r="Z88" s="187">
        <f t="shared" si="37"/>
        <v>1</v>
      </c>
      <c r="AA88" s="187">
        <f t="shared" si="37"/>
        <v>1</v>
      </c>
      <c r="AB88" s="187">
        <f t="shared" si="37"/>
        <v>1</v>
      </c>
      <c r="AC88" s="187">
        <f t="shared" si="37"/>
        <v>1</v>
      </c>
      <c r="AD88" s="9">
        <f t="shared" si="37"/>
        <v>1</v>
      </c>
      <c r="AE88" s="9">
        <f t="shared" si="37"/>
        <v>1</v>
      </c>
      <c r="AF88" s="660">
        <f t="shared" si="37"/>
        <v>1</v>
      </c>
      <c r="AG88" s="660">
        <f t="shared" si="37"/>
        <v>1</v>
      </c>
      <c r="AH88" s="660">
        <f t="shared" ref="AH88:AO90" si="38">O88</f>
        <v>1</v>
      </c>
      <c r="AI88" s="660">
        <f t="shared" si="38"/>
        <v>1</v>
      </c>
      <c r="AJ88" s="660">
        <f t="shared" si="38"/>
        <v>1</v>
      </c>
      <c r="AK88" s="660">
        <f t="shared" si="38"/>
        <v>1</v>
      </c>
      <c r="AL88" s="660">
        <f t="shared" si="38"/>
        <v>1</v>
      </c>
      <c r="AM88" s="660">
        <f t="shared" si="38"/>
        <v>1</v>
      </c>
      <c r="AN88" s="660">
        <f t="shared" si="38"/>
        <v>1</v>
      </c>
      <c r="AO88" s="661">
        <f t="shared" si="38"/>
        <v>1</v>
      </c>
    </row>
    <row r="89" spans="1:41" ht="20.149999999999999" hidden="1" customHeight="1" outlineLevel="2" x14ac:dyDescent="0.25">
      <c r="A89" s="51" t="str">
        <f>'Custos Insumos'!A8</f>
        <v>Fosfatado</v>
      </c>
      <c r="B89" s="49" t="str">
        <f>UPPER(VLOOKUP(A89,'Custos Insumos'!$A$5:$C$168,3,FALSE))</f>
        <v>T</v>
      </c>
      <c r="C89" s="51" t="str">
        <f>'Custos Insumos'!B8</f>
        <v>T/HA</v>
      </c>
      <c r="D89" s="217">
        <f>'Custos Insumos'!D8</f>
        <v>2650</v>
      </c>
      <c r="E89" s="256">
        <v>1</v>
      </c>
      <c r="F89" s="187">
        <v>1</v>
      </c>
      <c r="G89" s="187">
        <v>1</v>
      </c>
      <c r="H89" s="187">
        <v>1</v>
      </c>
      <c r="I89" s="187">
        <v>1</v>
      </c>
      <c r="J89" s="187">
        <v>1</v>
      </c>
      <c r="K89" s="187">
        <v>1</v>
      </c>
      <c r="L89" s="187">
        <v>1</v>
      </c>
      <c r="M89" s="229">
        <v>1</v>
      </c>
      <c r="N89" s="229">
        <v>1</v>
      </c>
      <c r="O89" s="229">
        <v>1</v>
      </c>
      <c r="P89" s="229">
        <v>1</v>
      </c>
      <c r="Q89" s="229">
        <v>1</v>
      </c>
      <c r="R89" s="229">
        <v>1</v>
      </c>
      <c r="S89" s="229">
        <v>1</v>
      </c>
      <c r="T89" s="229">
        <v>1</v>
      </c>
      <c r="U89" s="229">
        <v>1</v>
      </c>
      <c r="V89" s="232">
        <v>1</v>
      </c>
      <c r="X89" s="256">
        <f t="shared" si="37"/>
        <v>1</v>
      </c>
      <c r="Y89" s="187">
        <f t="shared" si="37"/>
        <v>1</v>
      </c>
      <c r="Z89" s="187">
        <f t="shared" si="37"/>
        <v>1</v>
      </c>
      <c r="AA89" s="187">
        <f t="shared" si="37"/>
        <v>1</v>
      </c>
      <c r="AB89" s="187">
        <f t="shared" si="37"/>
        <v>1</v>
      </c>
      <c r="AC89" s="187">
        <f t="shared" si="37"/>
        <v>1</v>
      </c>
      <c r="AD89" s="9">
        <f t="shared" si="37"/>
        <v>1</v>
      </c>
      <c r="AE89" s="9">
        <f t="shared" si="37"/>
        <v>1</v>
      </c>
      <c r="AF89" s="660">
        <f t="shared" si="37"/>
        <v>1</v>
      </c>
      <c r="AG89" s="660">
        <f t="shared" si="37"/>
        <v>1</v>
      </c>
      <c r="AH89" s="660">
        <f t="shared" si="38"/>
        <v>1</v>
      </c>
      <c r="AI89" s="660">
        <f t="shared" si="38"/>
        <v>1</v>
      </c>
      <c r="AJ89" s="660">
        <f t="shared" si="38"/>
        <v>1</v>
      </c>
      <c r="AK89" s="660">
        <f t="shared" si="38"/>
        <v>1</v>
      </c>
      <c r="AL89" s="660">
        <f t="shared" si="38"/>
        <v>1</v>
      </c>
      <c r="AM89" s="660">
        <f t="shared" si="38"/>
        <v>1</v>
      </c>
      <c r="AN89" s="660">
        <f t="shared" si="38"/>
        <v>1</v>
      </c>
      <c r="AO89" s="661">
        <f t="shared" si="38"/>
        <v>1</v>
      </c>
    </row>
    <row r="90" spans="1:41" ht="20.149999999999999" hidden="1" customHeight="1" outlineLevel="2" x14ac:dyDescent="0.25">
      <c r="A90" s="51" t="str">
        <f>'Custos Insumos'!A9</f>
        <v>Foliar Completo</v>
      </c>
      <c r="B90" s="49" t="str">
        <f>UPPER(VLOOKUP(A90,'Custos Insumos'!$A$5:$C$168,3,FALSE))</f>
        <v>L</v>
      </c>
      <c r="C90" s="51" t="str">
        <f>'Custos Insumos'!B9</f>
        <v>L/HA</v>
      </c>
      <c r="D90" s="217">
        <f>'Custos Insumos'!D9</f>
        <v>25</v>
      </c>
      <c r="E90" s="256">
        <v>3</v>
      </c>
      <c r="F90" s="187">
        <v>12</v>
      </c>
      <c r="G90" s="187">
        <f>F90*1.5</f>
        <v>18</v>
      </c>
      <c r="H90" s="187">
        <v>32</v>
      </c>
      <c r="I90" s="187">
        <v>84</v>
      </c>
      <c r="J90" s="187">
        <v>112</v>
      </c>
      <c r="K90" s="187">
        <v>112</v>
      </c>
      <c r="L90" s="187">
        <v>112</v>
      </c>
      <c r="M90" s="229">
        <v>112</v>
      </c>
      <c r="N90" s="229">
        <v>112</v>
      </c>
      <c r="O90" s="229">
        <v>112</v>
      </c>
      <c r="P90" s="229">
        <v>112</v>
      </c>
      <c r="Q90" s="229">
        <v>112</v>
      </c>
      <c r="R90" s="229">
        <v>112</v>
      </c>
      <c r="S90" s="229">
        <v>112</v>
      </c>
      <c r="T90" s="229">
        <v>112</v>
      </c>
      <c r="U90" s="229">
        <v>112</v>
      </c>
      <c r="V90" s="232">
        <v>112</v>
      </c>
      <c r="X90" s="256">
        <f t="shared" si="37"/>
        <v>3</v>
      </c>
      <c r="Y90" s="187">
        <f t="shared" si="37"/>
        <v>12</v>
      </c>
      <c r="Z90" s="187">
        <f t="shared" si="37"/>
        <v>18</v>
      </c>
      <c r="AA90" s="187">
        <f t="shared" si="37"/>
        <v>32</v>
      </c>
      <c r="AB90" s="187">
        <f t="shared" si="37"/>
        <v>84</v>
      </c>
      <c r="AC90" s="187">
        <f t="shared" si="37"/>
        <v>112</v>
      </c>
      <c r="AD90" s="9">
        <f t="shared" si="37"/>
        <v>112</v>
      </c>
      <c r="AE90" s="9">
        <f t="shared" si="37"/>
        <v>112</v>
      </c>
      <c r="AF90" s="660">
        <f t="shared" si="37"/>
        <v>112</v>
      </c>
      <c r="AG90" s="660">
        <f t="shared" si="37"/>
        <v>112</v>
      </c>
      <c r="AH90" s="660">
        <f t="shared" si="38"/>
        <v>112</v>
      </c>
      <c r="AI90" s="660">
        <f t="shared" si="38"/>
        <v>112</v>
      </c>
      <c r="AJ90" s="660">
        <f t="shared" si="38"/>
        <v>112</v>
      </c>
      <c r="AK90" s="660">
        <f t="shared" si="38"/>
        <v>112</v>
      </c>
      <c r="AL90" s="660">
        <f t="shared" si="38"/>
        <v>112</v>
      </c>
      <c r="AM90" s="660">
        <f t="shared" si="38"/>
        <v>112</v>
      </c>
      <c r="AN90" s="660">
        <f t="shared" si="38"/>
        <v>112</v>
      </c>
      <c r="AO90" s="661">
        <f t="shared" si="38"/>
        <v>112</v>
      </c>
    </row>
    <row r="91" spans="1:41" ht="20.149999999999999" hidden="1" customHeight="1" outlineLevel="2" x14ac:dyDescent="0.25">
      <c r="A91" s="51" t="str">
        <f>'Custos Insumos'!A11</f>
        <v>KCL</v>
      </c>
      <c r="B91" s="49" t="str">
        <f>UPPER(VLOOKUP(A91,'Custos Insumos'!$A$5:$C$168,3,FALSE))</f>
        <v>T</v>
      </c>
      <c r="C91" s="51" t="str">
        <f>'Custos Insumos'!B11</f>
        <v>G/COVA</v>
      </c>
      <c r="D91" s="217">
        <f>'Custos Insumos'!D11</f>
        <v>2700</v>
      </c>
      <c r="E91" s="256">
        <v>180</v>
      </c>
      <c r="F91" s="187">
        <v>360</v>
      </c>
      <c r="G91" s="187">
        <v>480</v>
      </c>
      <c r="H91" s="187">
        <v>720</v>
      </c>
      <c r="I91" s="187">
        <v>1080</v>
      </c>
      <c r="J91" s="187">
        <v>1200</v>
      </c>
      <c r="K91" s="187">
        <v>1200</v>
      </c>
      <c r="L91" s="187">
        <v>1200</v>
      </c>
      <c r="M91" s="229">
        <v>1200</v>
      </c>
      <c r="N91" s="229">
        <v>1200</v>
      </c>
      <c r="O91" s="229">
        <v>1200</v>
      </c>
      <c r="P91" s="229">
        <v>1200</v>
      </c>
      <c r="Q91" s="229">
        <v>1200</v>
      </c>
      <c r="R91" s="229">
        <v>1200</v>
      </c>
      <c r="S91" s="229">
        <v>1200</v>
      </c>
      <c r="T91" s="229">
        <v>1200</v>
      </c>
      <c r="U91" s="229">
        <v>1200</v>
      </c>
      <c r="V91" s="232">
        <v>1200</v>
      </c>
      <c r="X91" s="256">
        <f t="shared" ref="X91:AO91" si="39">E91*$B$82/1000000</f>
        <v>6.3E-2</v>
      </c>
      <c r="Y91" s="187">
        <f t="shared" si="39"/>
        <v>0.126</v>
      </c>
      <c r="Z91" s="187">
        <f t="shared" si="39"/>
        <v>0.16800000000000001</v>
      </c>
      <c r="AA91" s="187">
        <f t="shared" si="39"/>
        <v>0.252</v>
      </c>
      <c r="AB91" s="187">
        <f t="shared" si="39"/>
        <v>0.378</v>
      </c>
      <c r="AC91" s="187">
        <f t="shared" si="39"/>
        <v>0.42</v>
      </c>
      <c r="AD91" s="9">
        <f t="shared" si="39"/>
        <v>0.42</v>
      </c>
      <c r="AE91" s="9">
        <f t="shared" si="39"/>
        <v>0.42</v>
      </c>
      <c r="AF91" s="660">
        <f t="shared" si="39"/>
        <v>0.42</v>
      </c>
      <c r="AG91" s="660">
        <f t="shared" si="39"/>
        <v>0.42</v>
      </c>
      <c r="AH91" s="660">
        <f t="shared" si="39"/>
        <v>0.42</v>
      </c>
      <c r="AI91" s="660">
        <f t="shared" si="39"/>
        <v>0.42</v>
      </c>
      <c r="AJ91" s="660">
        <f t="shared" si="39"/>
        <v>0.42</v>
      </c>
      <c r="AK91" s="660">
        <f t="shared" si="39"/>
        <v>0.42</v>
      </c>
      <c r="AL91" s="660">
        <f t="shared" si="39"/>
        <v>0.42</v>
      </c>
      <c r="AM91" s="660">
        <f t="shared" si="39"/>
        <v>0.42</v>
      </c>
      <c r="AN91" s="660">
        <f t="shared" si="39"/>
        <v>0.42</v>
      </c>
      <c r="AO91" s="661">
        <f t="shared" si="39"/>
        <v>0.42</v>
      </c>
    </row>
    <row r="92" spans="1:41" ht="20.149999999999999" hidden="1" customHeight="1" outlineLevel="2" x14ac:dyDescent="0.25">
      <c r="A92" s="51" t="str">
        <f>'Custos Insumos'!A15</f>
        <v>Nitrato de Cálcio</v>
      </c>
      <c r="B92" s="49" t="str">
        <f>'Custos Insumos'!C15</f>
        <v>KG</v>
      </c>
      <c r="C92" s="51" t="str">
        <f>'Custos Insumos'!B15</f>
        <v>KG/HA</v>
      </c>
      <c r="D92" s="217">
        <f>'Custos Insumos'!D15</f>
        <v>2.8</v>
      </c>
      <c r="E92" s="256"/>
      <c r="F92" s="187"/>
      <c r="G92" s="187">
        <v>150</v>
      </c>
      <c r="H92" s="187">
        <v>150</v>
      </c>
      <c r="I92" s="187">
        <v>200</v>
      </c>
      <c r="J92" s="187">
        <v>200</v>
      </c>
      <c r="K92" s="187">
        <v>200</v>
      </c>
      <c r="L92" s="187">
        <v>200</v>
      </c>
      <c r="M92" s="229">
        <v>200</v>
      </c>
      <c r="N92" s="229">
        <v>200</v>
      </c>
      <c r="O92" s="229">
        <v>200</v>
      </c>
      <c r="P92" s="229">
        <v>200</v>
      </c>
      <c r="Q92" s="229">
        <v>200</v>
      </c>
      <c r="R92" s="229">
        <v>200</v>
      </c>
      <c r="S92" s="229">
        <v>200</v>
      </c>
      <c r="T92" s="229">
        <v>200</v>
      </c>
      <c r="U92" s="229">
        <v>200</v>
      </c>
      <c r="V92" s="232">
        <v>200</v>
      </c>
      <c r="X92" s="256">
        <f t="shared" ref="X92:AG93" si="40">E92</f>
        <v>0</v>
      </c>
      <c r="Y92" s="187">
        <f t="shared" si="40"/>
        <v>0</v>
      </c>
      <c r="Z92" s="187">
        <f t="shared" si="40"/>
        <v>150</v>
      </c>
      <c r="AA92" s="187">
        <f t="shared" si="40"/>
        <v>150</v>
      </c>
      <c r="AB92" s="187">
        <f t="shared" si="40"/>
        <v>200</v>
      </c>
      <c r="AC92" s="187">
        <f t="shared" si="40"/>
        <v>200</v>
      </c>
      <c r="AD92" s="9">
        <f t="shared" si="40"/>
        <v>200</v>
      </c>
      <c r="AE92" s="9">
        <f t="shared" si="40"/>
        <v>200</v>
      </c>
      <c r="AF92" s="660">
        <f t="shared" si="40"/>
        <v>200</v>
      </c>
      <c r="AG92" s="660">
        <f t="shared" si="40"/>
        <v>200</v>
      </c>
      <c r="AH92" s="660">
        <f t="shared" ref="AH92:AO93" si="41">O92</f>
        <v>200</v>
      </c>
      <c r="AI92" s="660">
        <f t="shared" si="41"/>
        <v>200</v>
      </c>
      <c r="AJ92" s="660">
        <f t="shared" si="41"/>
        <v>200</v>
      </c>
      <c r="AK92" s="660">
        <f t="shared" si="41"/>
        <v>200</v>
      </c>
      <c r="AL92" s="660">
        <f t="shared" si="41"/>
        <v>200</v>
      </c>
      <c r="AM92" s="660">
        <f t="shared" si="41"/>
        <v>200</v>
      </c>
      <c r="AN92" s="660">
        <f t="shared" si="41"/>
        <v>200</v>
      </c>
      <c r="AO92" s="661">
        <f t="shared" si="41"/>
        <v>200</v>
      </c>
    </row>
    <row r="93" spans="1:41" ht="20.149999999999999" hidden="1" customHeight="1" outlineLevel="2" x14ac:dyDescent="0.25">
      <c r="A93" s="51" t="str">
        <f>'Custos Insumos'!A16</f>
        <v>Nitrato de Potássio</v>
      </c>
      <c r="B93" s="49" t="str">
        <f>'Custos Insumos'!C16</f>
        <v>KG</v>
      </c>
      <c r="C93" s="51" t="str">
        <f>'Custos Insumos'!B16</f>
        <v>KG/HA</v>
      </c>
      <c r="D93" s="217">
        <f>'Custos Insumos'!D16</f>
        <v>8.9</v>
      </c>
      <c r="E93" s="256"/>
      <c r="F93" s="187"/>
      <c r="G93" s="187">
        <v>180</v>
      </c>
      <c r="H93" s="187">
        <v>180</v>
      </c>
      <c r="I93" s="187">
        <v>250</v>
      </c>
      <c r="J93" s="187">
        <v>300</v>
      </c>
      <c r="K93" s="187">
        <v>300</v>
      </c>
      <c r="L93" s="187">
        <v>300</v>
      </c>
      <c r="M93" s="229">
        <v>300</v>
      </c>
      <c r="N93" s="229">
        <v>300</v>
      </c>
      <c r="O93" s="229">
        <v>300</v>
      </c>
      <c r="P93" s="229">
        <v>300</v>
      </c>
      <c r="Q93" s="229">
        <v>300</v>
      </c>
      <c r="R93" s="229">
        <v>300</v>
      </c>
      <c r="S93" s="229">
        <v>300</v>
      </c>
      <c r="T93" s="229">
        <v>300</v>
      </c>
      <c r="U93" s="229">
        <v>300</v>
      </c>
      <c r="V93" s="232">
        <v>300</v>
      </c>
      <c r="X93" s="256">
        <f t="shared" si="40"/>
        <v>0</v>
      </c>
      <c r="Y93" s="187">
        <f t="shared" si="40"/>
        <v>0</v>
      </c>
      <c r="Z93" s="187">
        <f t="shared" si="40"/>
        <v>180</v>
      </c>
      <c r="AA93" s="187">
        <f t="shared" si="40"/>
        <v>180</v>
      </c>
      <c r="AB93" s="187">
        <f t="shared" si="40"/>
        <v>250</v>
      </c>
      <c r="AC93" s="187">
        <f t="shared" si="40"/>
        <v>300</v>
      </c>
      <c r="AD93" s="9">
        <f t="shared" si="40"/>
        <v>300</v>
      </c>
      <c r="AE93" s="9">
        <f t="shared" si="40"/>
        <v>300</v>
      </c>
      <c r="AF93" s="660">
        <f t="shared" si="40"/>
        <v>300</v>
      </c>
      <c r="AG93" s="660">
        <f t="shared" si="40"/>
        <v>300</v>
      </c>
      <c r="AH93" s="660">
        <f t="shared" si="41"/>
        <v>300</v>
      </c>
      <c r="AI93" s="660">
        <f t="shared" si="41"/>
        <v>300</v>
      </c>
      <c r="AJ93" s="660">
        <f t="shared" si="41"/>
        <v>300</v>
      </c>
      <c r="AK93" s="660">
        <f t="shared" si="41"/>
        <v>300</v>
      </c>
      <c r="AL93" s="660">
        <f t="shared" si="41"/>
        <v>300</v>
      </c>
      <c r="AM93" s="660">
        <f t="shared" si="41"/>
        <v>300</v>
      </c>
      <c r="AN93" s="660">
        <f t="shared" si="41"/>
        <v>300</v>
      </c>
      <c r="AO93" s="661">
        <f t="shared" si="41"/>
        <v>300</v>
      </c>
    </row>
    <row r="94" spans="1:41" ht="20.149999999999999" hidden="1" customHeight="1" outlineLevel="2" x14ac:dyDescent="0.25">
      <c r="A94" s="51" t="str">
        <f>'Custos Insumos'!A19</f>
        <v>Sulfato de Magnésio</v>
      </c>
      <c r="B94" s="49" t="str">
        <f>UPPER(VLOOKUP(A94,'Custos Insumos'!$A$5:$C$168,3,FALSE))</f>
        <v>KG</v>
      </c>
      <c r="C94" s="51" t="str">
        <f>'Custos Insumos'!B19</f>
        <v>G/COVA</v>
      </c>
      <c r="D94" s="217">
        <f>'Custos Insumos'!D19</f>
        <v>1.5</v>
      </c>
      <c r="E94" s="256">
        <v>90</v>
      </c>
      <c r="F94" s="187">
        <v>240</v>
      </c>
      <c r="G94" s="187">
        <v>360</v>
      </c>
      <c r="H94" s="187">
        <v>480</v>
      </c>
      <c r="I94" s="187">
        <v>600</v>
      </c>
      <c r="J94" s="187">
        <v>600</v>
      </c>
      <c r="K94" s="187">
        <v>960</v>
      </c>
      <c r="L94" s="187">
        <v>960</v>
      </c>
      <c r="M94" s="229">
        <v>960</v>
      </c>
      <c r="N94" s="229">
        <v>960</v>
      </c>
      <c r="O94" s="229">
        <v>960</v>
      </c>
      <c r="P94" s="229">
        <v>960</v>
      </c>
      <c r="Q94" s="229">
        <v>960</v>
      </c>
      <c r="R94" s="229">
        <v>960</v>
      </c>
      <c r="S94" s="229">
        <v>960</v>
      </c>
      <c r="T94" s="229">
        <v>960</v>
      </c>
      <c r="U94" s="229">
        <v>960</v>
      </c>
      <c r="V94" s="232">
        <v>960</v>
      </c>
      <c r="X94" s="256">
        <f t="shared" ref="X94:AG96" si="42">E94*$B$82/1000</f>
        <v>31.5</v>
      </c>
      <c r="Y94" s="187">
        <f t="shared" si="42"/>
        <v>84</v>
      </c>
      <c r="Z94" s="187">
        <f t="shared" si="42"/>
        <v>126</v>
      </c>
      <c r="AA94" s="187">
        <f t="shared" si="42"/>
        <v>168</v>
      </c>
      <c r="AB94" s="187">
        <f t="shared" si="42"/>
        <v>210</v>
      </c>
      <c r="AC94" s="187">
        <f t="shared" si="42"/>
        <v>210</v>
      </c>
      <c r="AD94" s="9">
        <f t="shared" si="42"/>
        <v>336</v>
      </c>
      <c r="AE94" s="9">
        <f t="shared" si="42"/>
        <v>336</v>
      </c>
      <c r="AF94" s="660">
        <f t="shared" si="42"/>
        <v>336</v>
      </c>
      <c r="AG94" s="660">
        <f t="shared" si="42"/>
        <v>336</v>
      </c>
      <c r="AH94" s="660">
        <f t="shared" ref="AH94:AO96" si="43">O94*$B$82/1000</f>
        <v>336</v>
      </c>
      <c r="AI94" s="660">
        <f t="shared" si="43"/>
        <v>336</v>
      </c>
      <c r="AJ94" s="660">
        <f t="shared" si="43"/>
        <v>336</v>
      </c>
      <c r="AK94" s="660">
        <f t="shared" si="43"/>
        <v>336</v>
      </c>
      <c r="AL94" s="660">
        <f t="shared" si="43"/>
        <v>336</v>
      </c>
      <c r="AM94" s="660">
        <f t="shared" si="43"/>
        <v>336</v>
      </c>
      <c r="AN94" s="660">
        <f t="shared" si="43"/>
        <v>336</v>
      </c>
      <c r="AO94" s="661">
        <f t="shared" si="43"/>
        <v>336</v>
      </c>
    </row>
    <row r="95" spans="1:41" ht="20.149999999999999" hidden="1" customHeight="1" outlineLevel="2" x14ac:dyDescent="0.25">
      <c r="A95" s="51" t="str">
        <f>'Custos Insumos'!A20</f>
        <v>Sulfato de Zinco</v>
      </c>
      <c r="B95" s="49" t="str">
        <f>UPPER(VLOOKUP(A95,'Custos Insumos'!$A$5:$C$168,3,FALSE))</f>
        <v>KG</v>
      </c>
      <c r="C95" s="51" t="str">
        <f>'Custos Insumos'!B20</f>
        <v>G/COVA</v>
      </c>
      <c r="D95" s="217">
        <f>'Custos Insumos'!D20</f>
        <v>6</v>
      </c>
      <c r="E95" s="256">
        <v>30</v>
      </c>
      <c r="F95" s="187">
        <v>120</v>
      </c>
      <c r="G95" s="187">
        <v>120</v>
      </c>
      <c r="H95" s="187">
        <v>180</v>
      </c>
      <c r="I95" s="187">
        <v>180</v>
      </c>
      <c r="J95" s="187">
        <v>180</v>
      </c>
      <c r="K95" s="187">
        <v>180</v>
      </c>
      <c r="L95" s="187">
        <v>180</v>
      </c>
      <c r="M95" s="229">
        <v>180</v>
      </c>
      <c r="N95" s="229">
        <v>180</v>
      </c>
      <c r="O95" s="229">
        <v>180</v>
      </c>
      <c r="P95" s="229">
        <v>180</v>
      </c>
      <c r="Q95" s="229">
        <v>180</v>
      </c>
      <c r="R95" s="229">
        <v>180</v>
      </c>
      <c r="S95" s="229">
        <v>180</v>
      </c>
      <c r="T95" s="229">
        <v>180</v>
      </c>
      <c r="U95" s="229">
        <v>180</v>
      </c>
      <c r="V95" s="232">
        <v>180</v>
      </c>
      <c r="X95" s="256">
        <f t="shared" si="42"/>
        <v>10.5</v>
      </c>
      <c r="Y95" s="187">
        <f t="shared" si="42"/>
        <v>42</v>
      </c>
      <c r="Z95" s="187">
        <f t="shared" si="42"/>
        <v>42</v>
      </c>
      <c r="AA95" s="187">
        <f t="shared" si="42"/>
        <v>63</v>
      </c>
      <c r="AB95" s="187">
        <f t="shared" si="42"/>
        <v>63</v>
      </c>
      <c r="AC95" s="187">
        <f t="shared" si="42"/>
        <v>63</v>
      </c>
      <c r="AD95" s="9">
        <f t="shared" si="42"/>
        <v>63</v>
      </c>
      <c r="AE95" s="9">
        <f t="shared" si="42"/>
        <v>63</v>
      </c>
      <c r="AF95" s="660">
        <f t="shared" si="42"/>
        <v>63</v>
      </c>
      <c r="AG95" s="660">
        <f t="shared" si="42"/>
        <v>63</v>
      </c>
      <c r="AH95" s="660">
        <f t="shared" si="43"/>
        <v>63</v>
      </c>
      <c r="AI95" s="660">
        <f t="shared" si="43"/>
        <v>63</v>
      </c>
      <c r="AJ95" s="660">
        <f t="shared" si="43"/>
        <v>63</v>
      </c>
      <c r="AK95" s="660">
        <f t="shared" si="43"/>
        <v>63</v>
      </c>
      <c r="AL95" s="660">
        <f t="shared" si="43"/>
        <v>63</v>
      </c>
      <c r="AM95" s="660">
        <f t="shared" si="43"/>
        <v>63</v>
      </c>
      <c r="AN95" s="660">
        <f t="shared" si="43"/>
        <v>63</v>
      </c>
      <c r="AO95" s="661">
        <f t="shared" si="43"/>
        <v>63</v>
      </c>
    </row>
    <row r="96" spans="1:41" ht="20.149999999999999" hidden="1" customHeight="1" outlineLevel="2" x14ac:dyDescent="0.25">
      <c r="A96" s="51" t="str">
        <f>'Custos Insumos'!A23</f>
        <v>Esterco de Gado</v>
      </c>
      <c r="B96" s="49" t="str">
        <f>UPPER(VLOOKUP(A96,'Custos Insumos'!$A$5:$C$168,3,FALSE))</f>
        <v>M3</v>
      </c>
      <c r="C96" s="51" t="str">
        <f>'Custos Insumos'!B23</f>
        <v>L/COVA</v>
      </c>
      <c r="D96" s="217">
        <f>'Custos Insumos'!D23</f>
        <v>80</v>
      </c>
      <c r="E96" s="256">
        <v>20</v>
      </c>
      <c r="F96" s="187">
        <v>20</v>
      </c>
      <c r="G96" s="187">
        <v>10</v>
      </c>
      <c r="H96" s="187"/>
      <c r="I96" s="187"/>
      <c r="J96" s="187"/>
      <c r="K96" s="187"/>
      <c r="L96" s="187"/>
      <c r="M96" s="229"/>
      <c r="N96" s="229"/>
      <c r="O96" s="229"/>
      <c r="P96" s="229"/>
      <c r="Q96" s="229"/>
      <c r="R96" s="229"/>
      <c r="S96" s="229"/>
      <c r="T96" s="229"/>
      <c r="U96" s="229"/>
      <c r="V96" s="232"/>
      <c r="X96" s="256">
        <f t="shared" si="42"/>
        <v>7</v>
      </c>
      <c r="Y96" s="187">
        <f t="shared" si="42"/>
        <v>7</v>
      </c>
      <c r="Z96" s="187">
        <f t="shared" si="42"/>
        <v>3.5</v>
      </c>
      <c r="AA96" s="187">
        <f t="shared" si="42"/>
        <v>0</v>
      </c>
      <c r="AB96" s="187">
        <f t="shared" si="42"/>
        <v>0</v>
      </c>
      <c r="AC96" s="187">
        <f t="shared" si="42"/>
        <v>0</v>
      </c>
      <c r="AD96" s="9">
        <f t="shared" si="42"/>
        <v>0</v>
      </c>
      <c r="AE96" s="9">
        <f t="shared" si="42"/>
        <v>0</v>
      </c>
      <c r="AF96" s="660">
        <f t="shared" si="42"/>
        <v>0</v>
      </c>
      <c r="AG96" s="660">
        <f t="shared" si="42"/>
        <v>0</v>
      </c>
      <c r="AH96" s="660">
        <f t="shared" si="43"/>
        <v>0</v>
      </c>
      <c r="AI96" s="660">
        <f t="shared" si="43"/>
        <v>0</v>
      </c>
      <c r="AJ96" s="660">
        <f t="shared" si="43"/>
        <v>0</v>
      </c>
      <c r="AK96" s="660">
        <f t="shared" si="43"/>
        <v>0</v>
      </c>
      <c r="AL96" s="660">
        <f t="shared" si="43"/>
        <v>0</v>
      </c>
      <c r="AM96" s="660">
        <f t="shared" si="43"/>
        <v>0</v>
      </c>
      <c r="AN96" s="660">
        <f t="shared" si="43"/>
        <v>0</v>
      </c>
      <c r="AO96" s="661">
        <f t="shared" si="43"/>
        <v>0</v>
      </c>
    </row>
    <row r="97" spans="1:41" ht="20.149999999999999" hidden="1" customHeight="1" outlineLevel="2" x14ac:dyDescent="0.25">
      <c r="A97" s="51" t="str">
        <f>'Custos Insumos'!A25</f>
        <v>Nitrato de Amonia</v>
      </c>
      <c r="B97" s="49" t="str">
        <f>UPPER(VLOOKUP(A97,'Custos Insumos'!$A$5:$C$168,3,FALSE))</f>
        <v>T</v>
      </c>
      <c r="C97" s="51" t="str">
        <f>'Custos Insumos'!B25</f>
        <v>G/COVA</v>
      </c>
      <c r="D97" s="217">
        <f>'Custos Insumos'!D25</f>
        <v>2200</v>
      </c>
      <c r="E97" s="256">
        <v>30</v>
      </c>
      <c r="F97" s="187">
        <v>180</v>
      </c>
      <c r="G97" s="187">
        <v>320</v>
      </c>
      <c r="H97" s="187">
        <v>640</v>
      </c>
      <c r="I97" s="187">
        <v>640</v>
      </c>
      <c r="J97" s="187">
        <v>840</v>
      </c>
      <c r="K97" s="187">
        <v>960</v>
      </c>
      <c r="L97" s="187">
        <v>960</v>
      </c>
      <c r="M97" s="229">
        <v>960</v>
      </c>
      <c r="N97" s="229">
        <v>960</v>
      </c>
      <c r="O97" s="229">
        <v>960</v>
      </c>
      <c r="P97" s="229">
        <v>960</v>
      </c>
      <c r="Q97" s="229">
        <v>960</v>
      </c>
      <c r="R97" s="229">
        <v>960</v>
      </c>
      <c r="S97" s="229">
        <v>960</v>
      </c>
      <c r="T97" s="229">
        <v>960</v>
      </c>
      <c r="U97" s="229">
        <v>960</v>
      </c>
      <c r="V97" s="232">
        <v>960</v>
      </c>
      <c r="X97" s="256">
        <f t="shared" ref="X97:AO97" si="44">E97*$B$82/1000000</f>
        <v>1.0500000000000001E-2</v>
      </c>
      <c r="Y97" s="187">
        <f t="shared" si="44"/>
        <v>6.3E-2</v>
      </c>
      <c r="Z97" s="187">
        <f t="shared" si="44"/>
        <v>0.112</v>
      </c>
      <c r="AA97" s="187">
        <f t="shared" si="44"/>
        <v>0.224</v>
      </c>
      <c r="AB97" s="187">
        <f t="shared" si="44"/>
        <v>0.224</v>
      </c>
      <c r="AC97" s="187">
        <f t="shared" si="44"/>
        <v>0.29399999999999998</v>
      </c>
      <c r="AD97" s="9">
        <f t="shared" si="44"/>
        <v>0.33600000000000002</v>
      </c>
      <c r="AE97" s="9">
        <f t="shared" si="44"/>
        <v>0.33600000000000002</v>
      </c>
      <c r="AF97" s="660">
        <f t="shared" si="44"/>
        <v>0.33600000000000002</v>
      </c>
      <c r="AG97" s="660">
        <f t="shared" si="44"/>
        <v>0.33600000000000002</v>
      </c>
      <c r="AH97" s="660">
        <f t="shared" si="44"/>
        <v>0.33600000000000002</v>
      </c>
      <c r="AI97" s="660">
        <f t="shared" si="44"/>
        <v>0.33600000000000002</v>
      </c>
      <c r="AJ97" s="660">
        <f t="shared" si="44"/>
        <v>0.33600000000000002</v>
      </c>
      <c r="AK97" s="660">
        <f t="shared" si="44"/>
        <v>0.33600000000000002</v>
      </c>
      <c r="AL97" s="660">
        <f t="shared" si="44"/>
        <v>0.33600000000000002</v>
      </c>
      <c r="AM97" s="660">
        <f t="shared" si="44"/>
        <v>0.33600000000000002</v>
      </c>
      <c r="AN97" s="660">
        <f t="shared" si="44"/>
        <v>0.33600000000000002</v>
      </c>
      <c r="AO97" s="661">
        <f t="shared" si="44"/>
        <v>0.33600000000000002</v>
      </c>
    </row>
    <row r="98" spans="1:41" ht="20.149999999999999" hidden="1" customHeight="1" outlineLevel="2" x14ac:dyDescent="0.25">
      <c r="A98" s="51" t="str">
        <f>'Custos Insumos'!A30</f>
        <v>Fungicida</v>
      </c>
      <c r="B98" s="49" t="str">
        <f>UPPER(VLOOKUP(A98,'Custos Insumos'!$A$5:$C$168,3,FALSE))</f>
        <v>L</v>
      </c>
      <c r="C98" s="51" t="str">
        <f>'Custos Insumos'!B30</f>
        <v>L/HA</v>
      </c>
      <c r="D98" s="217">
        <f>'Custos Insumos'!D30</f>
        <v>75</v>
      </c>
      <c r="E98" s="256">
        <v>3</v>
      </c>
      <c r="F98" s="187">
        <v>12</v>
      </c>
      <c r="G98" s="187">
        <v>12</v>
      </c>
      <c r="H98" s="187">
        <v>40</v>
      </c>
      <c r="I98" s="187">
        <v>40</v>
      </c>
      <c r="J98" s="187">
        <v>40</v>
      </c>
      <c r="K98" s="187">
        <v>40</v>
      </c>
      <c r="L98" s="187">
        <v>40</v>
      </c>
      <c r="M98" s="229">
        <v>40</v>
      </c>
      <c r="N98" s="229">
        <v>40</v>
      </c>
      <c r="O98" s="229">
        <v>40</v>
      </c>
      <c r="P98" s="229">
        <v>40</v>
      </c>
      <c r="Q98" s="229">
        <v>40</v>
      </c>
      <c r="R98" s="229">
        <v>40</v>
      </c>
      <c r="S98" s="229">
        <v>40</v>
      </c>
      <c r="T98" s="229">
        <v>40</v>
      </c>
      <c r="U98" s="229">
        <v>40</v>
      </c>
      <c r="V98" s="232">
        <v>40</v>
      </c>
      <c r="X98" s="256">
        <f t="shared" ref="X98:AG102" si="45">E98</f>
        <v>3</v>
      </c>
      <c r="Y98" s="187">
        <f t="shared" si="45"/>
        <v>12</v>
      </c>
      <c r="Z98" s="187">
        <f t="shared" si="45"/>
        <v>12</v>
      </c>
      <c r="AA98" s="187">
        <f t="shared" si="45"/>
        <v>40</v>
      </c>
      <c r="AB98" s="187">
        <f t="shared" si="45"/>
        <v>40</v>
      </c>
      <c r="AC98" s="187">
        <f t="shared" si="45"/>
        <v>40</v>
      </c>
      <c r="AD98" s="9">
        <f t="shared" si="45"/>
        <v>40</v>
      </c>
      <c r="AE98" s="9">
        <f t="shared" si="45"/>
        <v>40</v>
      </c>
      <c r="AF98" s="660">
        <f t="shared" si="45"/>
        <v>40</v>
      </c>
      <c r="AG98" s="660">
        <f t="shared" si="45"/>
        <v>40</v>
      </c>
      <c r="AH98" s="660">
        <f t="shared" ref="AH98:AO102" si="46">O98</f>
        <v>40</v>
      </c>
      <c r="AI98" s="660">
        <f t="shared" si="46"/>
        <v>40</v>
      </c>
      <c r="AJ98" s="660">
        <f t="shared" si="46"/>
        <v>40</v>
      </c>
      <c r="AK98" s="660">
        <f t="shared" si="46"/>
        <v>40</v>
      </c>
      <c r="AL98" s="660">
        <f t="shared" si="46"/>
        <v>40</v>
      </c>
      <c r="AM98" s="660">
        <f t="shared" si="46"/>
        <v>40</v>
      </c>
      <c r="AN98" s="660">
        <f t="shared" si="46"/>
        <v>40</v>
      </c>
      <c r="AO98" s="661">
        <f t="shared" si="46"/>
        <v>40</v>
      </c>
    </row>
    <row r="99" spans="1:41" ht="20.149999999999999" hidden="1" customHeight="1" outlineLevel="2" x14ac:dyDescent="0.25">
      <c r="A99" s="51" t="str">
        <f>'Custos Insumos'!A31</f>
        <v>Inseticida</v>
      </c>
      <c r="B99" s="49" t="str">
        <f>UPPER(VLOOKUP(A99,'Custos Insumos'!$A$5:$C$168,3,FALSE))</f>
        <v>L</v>
      </c>
      <c r="C99" s="51" t="str">
        <f>'Custos Insumos'!B31</f>
        <v>L/HA</v>
      </c>
      <c r="D99" s="217">
        <f>'Custos Insumos'!D31</f>
        <v>40</v>
      </c>
      <c r="E99" s="256">
        <v>6</v>
      </c>
      <c r="F99" s="187">
        <v>6</v>
      </c>
      <c r="G99" s="187">
        <v>6</v>
      </c>
      <c r="H99" s="187">
        <v>6</v>
      </c>
      <c r="I99" s="187">
        <v>12</v>
      </c>
      <c r="J99" s="187">
        <v>24</v>
      </c>
      <c r="K99" s="187">
        <v>24</v>
      </c>
      <c r="L99" s="187">
        <v>24</v>
      </c>
      <c r="M99" s="229">
        <v>24</v>
      </c>
      <c r="N99" s="229">
        <v>24</v>
      </c>
      <c r="O99" s="229">
        <v>24</v>
      </c>
      <c r="P99" s="229">
        <v>24</v>
      </c>
      <c r="Q99" s="229">
        <v>24</v>
      </c>
      <c r="R99" s="229">
        <v>24</v>
      </c>
      <c r="S99" s="229">
        <v>24</v>
      </c>
      <c r="T99" s="229">
        <v>24</v>
      </c>
      <c r="U99" s="229">
        <v>24</v>
      </c>
      <c r="V99" s="232">
        <v>24</v>
      </c>
      <c r="X99" s="256">
        <f t="shared" si="45"/>
        <v>6</v>
      </c>
      <c r="Y99" s="187">
        <f t="shared" si="45"/>
        <v>6</v>
      </c>
      <c r="Z99" s="187">
        <f t="shared" si="45"/>
        <v>6</v>
      </c>
      <c r="AA99" s="187">
        <f t="shared" si="45"/>
        <v>6</v>
      </c>
      <c r="AB99" s="187">
        <f t="shared" si="45"/>
        <v>12</v>
      </c>
      <c r="AC99" s="187">
        <f t="shared" si="45"/>
        <v>24</v>
      </c>
      <c r="AD99" s="9">
        <f t="shared" si="45"/>
        <v>24</v>
      </c>
      <c r="AE99" s="9">
        <f t="shared" si="45"/>
        <v>24</v>
      </c>
      <c r="AF99" s="660">
        <f t="shared" si="45"/>
        <v>24</v>
      </c>
      <c r="AG99" s="660">
        <f t="shared" si="45"/>
        <v>24</v>
      </c>
      <c r="AH99" s="660">
        <f t="shared" si="46"/>
        <v>24</v>
      </c>
      <c r="AI99" s="660">
        <f t="shared" si="46"/>
        <v>24</v>
      </c>
      <c r="AJ99" s="660">
        <f t="shared" si="46"/>
        <v>24</v>
      </c>
      <c r="AK99" s="660">
        <f t="shared" si="46"/>
        <v>24</v>
      </c>
      <c r="AL99" s="660">
        <f t="shared" si="46"/>
        <v>24</v>
      </c>
      <c r="AM99" s="660">
        <f t="shared" si="46"/>
        <v>24</v>
      </c>
      <c r="AN99" s="660">
        <f t="shared" si="46"/>
        <v>24</v>
      </c>
      <c r="AO99" s="661">
        <f t="shared" si="46"/>
        <v>24</v>
      </c>
    </row>
    <row r="100" spans="1:41" ht="20.149999999999999" hidden="1" customHeight="1" outlineLevel="2" x14ac:dyDescent="0.25">
      <c r="A100" s="51" t="str">
        <f>'Custos Insumos'!A35</f>
        <v>Espalhante</v>
      </c>
      <c r="B100" s="49" t="str">
        <f>UPPER(VLOOKUP(A100,'Custos Insumos'!$A$5:$C$168,3,FALSE))</f>
        <v>L</v>
      </c>
      <c r="C100" s="51" t="str">
        <f>'Custos Insumos'!B35</f>
        <v>L/HA</v>
      </c>
      <c r="D100" s="217">
        <f>'Custos Insumos'!D35</f>
        <v>15</v>
      </c>
      <c r="E100" s="256">
        <v>0.36</v>
      </c>
      <c r="F100" s="187">
        <v>0.48</v>
      </c>
      <c r="G100" s="187">
        <v>0.6</v>
      </c>
      <c r="H100" s="187">
        <v>0.6</v>
      </c>
      <c r="I100" s="187">
        <v>1.2</v>
      </c>
      <c r="J100" s="187">
        <v>2.4</v>
      </c>
      <c r="K100" s="187">
        <v>6</v>
      </c>
      <c r="L100" s="187">
        <v>6</v>
      </c>
      <c r="M100" s="229">
        <v>6</v>
      </c>
      <c r="N100" s="229">
        <v>6</v>
      </c>
      <c r="O100" s="229">
        <v>6</v>
      </c>
      <c r="P100" s="229">
        <v>6</v>
      </c>
      <c r="Q100" s="229">
        <v>6</v>
      </c>
      <c r="R100" s="229">
        <v>6</v>
      </c>
      <c r="S100" s="229">
        <v>6</v>
      </c>
      <c r="T100" s="229">
        <v>6</v>
      </c>
      <c r="U100" s="229">
        <v>6</v>
      </c>
      <c r="V100" s="232">
        <v>6</v>
      </c>
      <c r="X100" s="256">
        <f t="shared" si="45"/>
        <v>0.36</v>
      </c>
      <c r="Y100" s="187">
        <f t="shared" si="45"/>
        <v>0.48</v>
      </c>
      <c r="Z100" s="187">
        <f t="shared" si="45"/>
        <v>0.6</v>
      </c>
      <c r="AA100" s="187">
        <f t="shared" si="45"/>
        <v>0.6</v>
      </c>
      <c r="AB100" s="187">
        <f t="shared" si="45"/>
        <v>1.2</v>
      </c>
      <c r="AC100" s="187">
        <f t="shared" si="45"/>
        <v>2.4</v>
      </c>
      <c r="AD100" s="9">
        <f t="shared" si="45"/>
        <v>6</v>
      </c>
      <c r="AE100" s="9">
        <f t="shared" si="45"/>
        <v>6</v>
      </c>
      <c r="AF100" s="660">
        <f t="shared" si="45"/>
        <v>6</v>
      </c>
      <c r="AG100" s="660">
        <f t="shared" si="45"/>
        <v>6</v>
      </c>
      <c r="AH100" s="660">
        <f t="shared" si="46"/>
        <v>6</v>
      </c>
      <c r="AI100" s="660">
        <f t="shared" si="46"/>
        <v>6</v>
      </c>
      <c r="AJ100" s="660">
        <f t="shared" si="46"/>
        <v>6</v>
      </c>
      <c r="AK100" s="660">
        <f t="shared" si="46"/>
        <v>6</v>
      </c>
      <c r="AL100" s="660">
        <f t="shared" si="46"/>
        <v>6</v>
      </c>
      <c r="AM100" s="660">
        <f t="shared" si="46"/>
        <v>6</v>
      </c>
      <c r="AN100" s="660">
        <f t="shared" si="46"/>
        <v>6</v>
      </c>
      <c r="AO100" s="661">
        <f t="shared" si="46"/>
        <v>6</v>
      </c>
    </row>
    <row r="101" spans="1:41" ht="20.149999999999999" hidden="1" customHeight="1" outlineLevel="2" x14ac:dyDescent="0.25">
      <c r="A101" s="51" t="str">
        <f>'Custos Insumos'!A36</f>
        <v>Herbicida</v>
      </c>
      <c r="B101" s="49" t="str">
        <f>UPPER(VLOOKUP(A101,'Custos Insumos'!$A$5:$C$168,3,FALSE))</f>
        <v>L</v>
      </c>
      <c r="C101" s="51" t="str">
        <f>'Custos Insumos'!B36</f>
        <v>L/HA</v>
      </c>
      <c r="D101" s="217">
        <f>'Custos Insumos'!D36</f>
        <v>65</v>
      </c>
      <c r="E101" s="256">
        <v>2</v>
      </c>
      <c r="F101" s="187">
        <v>2</v>
      </c>
      <c r="G101" s="187">
        <v>2</v>
      </c>
      <c r="H101" s="187">
        <v>2</v>
      </c>
      <c r="I101" s="187">
        <v>1.5</v>
      </c>
      <c r="J101" s="187">
        <v>1.5</v>
      </c>
      <c r="K101" s="187">
        <v>1.5</v>
      </c>
      <c r="L101" s="187">
        <v>1.5</v>
      </c>
      <c r="M101" s="229">
        <v>1.5</v>
      </c>
      <c r="N101" s="229">
        <v>1.5</v>
      </c>
      <c r="O101" s="229">
        <v>1.5</v>
      </c>
      <c r="P101" s="229">
        <v>1.5</v>
      </c>
      <c r="Q101" s="229">
        <v>1.5</v>
      </c>
      <c r="R101" s="229">
        <v>1.5</v>
      </c>
      <c r="S101" s="229">
        <v>1.5</v>
      </c>
      <c r="T101" s="229">
        <v>1.5</v>
      </c>
      <c r="U101" s="229">
        <v>1.5</v>
      </c>
      <c r="V101" s="232">
        <v>1.5</v>
      </c>
      <c r="X101" s="256">
        <f t="shared" si="45"/>
        <v>2</v>
      </c>
      <c r="Y101" s="187">
        <f t="shared" si="45"/>
        <v>2</v>
      </c>
      <c r="Z101" s="187">
        <f t="shared" si="45"/>
        <v>2</v>
      </c>
      <c r="AA101" s="187">
        <f t="shared" si="45"/>
        <v>2</v>
      </c>
      <c r="AB101" s="187">
        <f t="shared" si="45"/>
        <v>1.5</v>
      </c>
      <c r="AC101" s="187">
        <f t="shared" si="45"/>
        <v>1.5</v>
      </c>
      <c r="AD101" s="9">
        <f t="shared" si="45"/>
        <v>1.5</v>
      </c>
      <c r="AE101" s="9">
        <f t="shared" si="45"/>
        <v>1.5</v>
      </c>
      <c r="AF101" s="660">
        <f t="shared" si="45"/>
        <v>1.5</v>
      </c>
      <c r="AG101" s="660">
        <f t="shared" si="45"/>
        <v>1.5</v>
      </c>
      <c r="AH101" s="660">
        <f t="shared" si="46"/>
        <v>1.5</v>
      </c>
      <c r="AI101" s="660">
        <f t="shared" si="46"/>
        <v>1.5</v>
      </c>
      <c r="AJ101" s="660">
        <f t="shared" si="46"/>
        <v>1.5</v>
      </c>
      <c r="AK101" s="660">
        <f t="shared" si="46"/>
        <v>1.5</v>
      </c>
      <c r="AL101" s="660">
        <f t="shared" si="46"/>
        <v>1.5</v>
      </c>
      <c r="AM101" s="660">
        <f t="shared" si="46"/>
        <v>1.5</v>
      </c>
      <c r="AN101" s="660">
        <f t="shared" si="46"/>
        <v>1.5</v>
      </c>
      <c r="AO101" s="661">
        <f t="shared" si="46"/>
        <v>1.5</v>
      </c>
    </row>
    <row r="102" spans="1:41" ht="20.149999999999999" hidden="1" customHeight="1" outlineLevel="2" x14ac:dyDescent="0.25">
      <c r="A102" s="51" t="str">
        <f>'Custos Insumos'!A40</f>
        <v>Óleo Mineral</v>
      </c>
      <c r="B102" s="49" t="str">
        <f>UPPER(VLOOKUP(A102,'Custos Insumos'!$A$5:$C$168,3,FALSE))</f>
        <v>L</v>
      </c>
      <c r="C102" s="51" t="str">
        <f>'Custos Insumos'!B40</f>
        <v>L/HA</v>
      </c>
      <c r="D102" s="217">
        <f>'Custos Insumos'!D40</f>
        <v>10</v>
      </c>
      <c r="E102" s="256">
        <v>3</v>
      </c>
      <c r="F102" s="187">
        <v>24</v>
      </c>
      <c r="G102" s="187">
        <v>24</v>
      </c>
      <c r="H102" s="187">
        <v>48</v>
      </c>
      <c r="I102" s="187">
        <v>72</v>
      </c>
      <c r="J102" s="187">
        <v>72</v>
      </c>
      <c r="K102" s="187">
        <v>72</v>
      </c>
      <c r="L102" s="187">
        <v>72</v>
      </c>
      <c r="M102" s="229">
        <v>72</v>
      </c>
      <c r="N102" s="229">
        <v>72</v>
      </c>
      <c r="O102" s="229">
        <v>72</v>
      </c>
      <c r="P102" s="229">
        <v>72</v>
      </c>
      <c r="Q102" s="229">
        <v>72</v>
      </c>
      <c r="R102" s="229">
        <v>72</v>
      </c>
      <c r="S102" s="229">
        <v>72</v>
      </c>
      <c r="T102" s="229">
        <v>72</v>
      </c>
      <c r="U102" s="229">
        <v>72</v>
      </c>
      <c r="V102" s="232">
        <v>72</v>
      </c>
      <c r="X102" s="256">
        <f t="shared" si="45"/>
        <v>3</v>
      </c>
      <c r="Y102" s="187">
        <f t="shared" si="45"/>
        <v>24</v>
      </c>
      <c r="Z102" s="187">
        <f t="shared" si="45"/>
        <v>24</v>
      </c>
      <c r="AA102" s="187">
        <f t="shared" si="45"/>
        <v>48</v>
      </c>
      <c r="AB102" s="187">
        <f t="shared" si="45"/>
        <v>72</v>
      </c>
      <c r="AC102" s="187">
        <f t="shared" si="45"/>
        <v>72</v>
      </c>
      <c r="AD102" s="9">
        <f t="shared" si="45"/>
        <v>72</v>
      </c>
      <c r="AE102" s="9">
        <f t="shared" si="45"/>
        <v>72</v>
      </c>
      <c r="AF102" s="660">
        <f t="shared" si="45"/>
        <v>72</v>
      </c>
      <c r="AG102" s="660">
        <f t="shared" si="45"/>
        <v>72</v>
      </c>
      <c r="AH102" s="660">
        <f t="shared" si="46"/>
        <v>72</v>
      </c>
      <c r="AI102" s="660">
        <f t="shared" si="46"/>
        <v>72</v>
      </c>
      <c r="AJ102" s="660">
        <f t="shared" si="46"/>
        <v>72</v>
      </c>
      <c r="AK102" s="660">
        <f t="shared" si="46"/>
        <v>72</v>
      </c>
      <c r="AL102" s="660">
        <f t="shared" si="46"/>
        <v>72</v>
      </c>
      <c r="AM102" s="660">
        <f t="shared" si="46"/>
        <v>72</v>
      </c>
      <c r="AN102" s="660">
        <f t="shared" si="46"/>
        <v>72</v>
      </c>
      <c r="AO102" s="661">
        <f t="shared" si="46"/>
        <v>72</v>
      </c>
    </row>
    <row r="103" spans="1:41" ht="20.149999999999999" hidden="1" customHeight="1" outlineLevel="2" x14ac:dyDescent="0.25">
      <c r="A103" s="51" t="str">
        <f>'Custos Insumos'!A26</f>
        <v>Indutor floral</v>
      </c>
      <c r="B103" s="49" t="str">
        <f>'Custos Insumos'!C26</f>
        <v>L</v>
      </c>
      <c r="C103" s="51" t="str">
        <f>'Custos Insumos'!B26</f>
        <v>ML/COVA</v>
      </c>
      <c r="D103" s="217">
        <f>'Custos Insumos'!D26</f>
        <v>60</v>
      </c>
      <c r="E103" s="256"/>
      <c r="F103" s="187"/>
      <c r="G103" s="187">
        <v>14</v>
      </c>
      <c r="H103" s="187">
        <v>18</v>
      </c>
      <c r="I103" s="187">
        <v>22</v>
      </c>
      <c r="J103" s="187">
        <v>22</v>
      </c>
      <c r="K103" s="187">
        <v>22</v>
      </c>
      <c r="L103" s="187">
        <v>22</v>
      </c>
      <c r="M103" s="229">
        <v>22</v>
      </c>
      <c r="N103" s="229">
        <v>22</v>
      </c>
      <c r="O103" s="229">
        <v>22</v>
      </c>
      <c r="P103" s="229">
        <v>22</v>
      </c>
      <c r="Q103" s="229">
        <v>22</v>
      </c>
      <c r="R103" s="229">
        <v>22</v>
      </c>
      <c r="S103" s="229">
        <v>22</v>
      </c>
      <c r="T103" s="229">
        <v>22</v>
      </c>
      <c r="U103" s="229">
        <v>22</v>
      </c>
      <c r="V103" s="232">
        <v>22</v>
      </c>
      <c r="X103" s="256">
        <f t="shared" ref="X103:AO103" si="47">E103*$B$82/1000</f>
        <v>0</v>
      </c>
      <c r="Y103" s="187">
        <f t="shared" si="47"/>
        <v>0</v>
      </c>
      <c r="Z103" s="187">
        <f t="shared" si="47"/>
        <v>4.9000000000000004</v>
      </c>
      <c r="AA103" s="187">
        <f t="shared" si="47"/>
        <v>6.3</v>
      </c>
      <c r="AB103" s="187">
        <f t="shared" si="47"/>
        <v>7.7</v>
      </c>
      <c r="AC103" s="187">
        <f t="shared" si="47"/>
        <v>7.7</v>
      </c>
      <c r="AD103" s="9">
        <f t="shared" si="47"/>
        <v>7.7</v>
      </c>
      <c r="AE103" s="9">
        <f t="shared" si="47"/>
        <v>7.7</v>
      </c>
      <c r="AF103" s="660">
        <f t="shared" si="47"/>
        <v>7.7</v>
      </c>
      <c r="AG103" s="660">
        <f t="shared" si="47"/>
        <v>7.7</v>
      </c>
      <c r="AH103" s="660">
        <f t="shared" si="47"/>
        <v>7.7</v>
      </c>
      <c r="AI103" s="660">
        <f t="shared" si="47"/>
        <v>7.7</v>
      </c>
      <c r="AJ103" s="660">
        <f t="shared" si="47"/>
        <v>7.7</v>
      </c>
      <c r="AK103" s="660">
        <f t="shared" si="47"/>
        <v>7.7</v>
      </c>
      <c r="AL103" s="660">
        <f t="shared" si="47"/>
        <v>7.7</v>
      </c>
      <c r="AM103" s="660">
        <f t="shared" si="47"/>
        <v>7.7</v>
      </c>
      <c r="AN103" s="660">
        <f t="shared" si="47"/>
        <v>7.7</v>
      </c>
      <c r="AO103" s="661">
        <f t="shared" si="47"/>
        <v>7.7</v>
      </c>
    </row>
    <row r="104" spans="1:41" ht="20.149999999999999" hidden="1" customHeight="1" outlineLevel="2" thickBot="1" x14ac:dyDescent="0.3">
      <c r="A104" s="53" t="str">
        <f>'Custos Insumos'!A55</f>
        <v>Muda Limao</v>
      </c>
      <c r="B104" s="52" t="str">
        <f>'Custos Insumos'!B55</f>
        <v>UD</v>
      </c>
      <c r="C104" s="53" t="str">
        <f>'Custos Insumos'!C55</f>
        <v>UD</v>
      </c>
      <c r="D104" s="218">
        <f>'Custos Insumos'!D55</f>
        <v>20</v>
      </c>
      <c r="E104" s="268">
        <f>B82</f>
        <v>350</v>
      </c>
      <c r="F104" s="214"/>
      <c r="G104" s="214"/>
      <c r="H104" s="214"/>
      <c r="I104" s="214"/>
      <c r="J104" s="214"/>
      <c r="K104" s="214"/>
      <c r="L104" s="214"/>
      <c r="M104" s="233"/>
      <c r="N104" s="233"/>
      <c r="O104" s="233"/>
      <c r="P104" s="233"/>
      <c r="Q104" s="233"/>
      <c r="R104" s="233"/>
      <c r="S104" s="233"/>
      <c r="T104" s="233"/>
      <c r="U104" s="233"/>
      <c r="V104" s="234"/>
      <c r="X104" s="268">
        <f t="shared" ref="X104:AO104" si="48">E104</f>
        <v>350</v>
      </c>
      <c r="Y104" s="214">
        <f t="shared" si="48"/>
        <v>0</v>
      </c>
      <c r="Z104" s="214">
        <f t="shared" si="48"/>
        <v>0</v>
      </c>
      <c r="AA104" s="214">
        <f t="shared" si="48"/>
        <v>0</v>
      </c>
      <c r="AB104" s="214">
        <f t="shared" si="48"/>
        <v>0</v>
      </c>
      <c r="AC104" s="214">
        <f t="shared" si="48"/>
        <v>0</v>
      </c>
      <c r="AD104" s="26">
        <f t="shared" si="48"/>
        <v>0</v>
      </c>
      <c r="AE104" s="26">
        <f t="shared" si="48"/>
        <v>0</v>
      </c>
      <c r="AF104" s="662">
        <f t="shared" si="48"/>
        <v>0</v>
      </c>
      <c r="AG104" s="662">
        <f t="shared" si="48"/>
        <v>0</v>
      </c>
      <c r="AH104" s="662">
        <f t="shared" si="48"/>
        <v>0</v>
      </c>
      <c r="AI104" s="662">
        <f t="shared" si="48"/>
        <v>0</v>
      </c>
      <c r="AJ104" s="662">
        <f t="shared" si="48"/>
        <v>0</v>
      </c>
      <c r="AK104" s="662">
        <f t="shared" si="48"/>
        <v>0</v>
      </c>
      <c r="AL104" s="662">
        <f t="shared" si="48"/>
        <v>0</v>
      </c>
      <c r="AM104" s="662">
        <f t="shared" si="48"/>
        <v>0</v>
      </c>
      <c r="AN104" s="662">
        <f t="shared" si="48"/>
        <v>0</v>
      </c>
      <c r="AO104" s="663">
        <f t="shared" si="48"/>
        <v>0</v>
      </c>
    </row>
    <row r="105" spans="1:41" ht="13" hidden="1" outlineLevel="2" thickBot="1" x14ac:dyDescent="0.3"/>
    <row r="106" spans="1:41" ht="30" customHeight="1" collapsed="1" thickBot="1" x14ac:dyDescent="0.3">
      <c r="A106" s="640" t="s">
        <v>245</v>
      </c>
      <c r="B106" s="641"/>
      <c r="C106" s="641"/>
      <c r="D106" s="641"/>
      <c r="E106" s="641"/>
      <c r="F106" s="641"/>
      <c r="G106" s="641"/>
      <c r="H106" s="641"/>
      <c r="I106" s="641"/>
      <c r="J106" s="641"/>
      <c r="K106" s="641"/>
      <c r="L106" s="641"/>
      <c r="M106" s="641"/>
      <c r="N106" s="641"/>
      <c r="O106" s="641"/>
      <c r="P106" s="641"/>
      <c r="Q106" s="641"/>
      <c r="R106" s="641"/>
      <c r="S106" s="641"/>
      <c r="T106" s="641"/>
      <c r="U106" s="641"/>
      <c r="V106" s="641"/>
      <c r="W106" s="641"/>
      <c r="X106" s="641"/>
      <c r="Y106" s="641"/>
      <c r="Z106" s="563"/>
      <c r="AA106" s="563"/>
      <c r="AB106" s="563"/>
      <c r="AC106" s="563"/>
      <c r="AD106" s="563"/>
      <c r="AE106" s="563"/>
      <c r="AF106" s="563"/>
      <c r="AG106" s="563"/>
      <c r="AH106" s="563"/>
      <c r="AI106" s="563"/>
      <c r="AJ106" s="563"/>
      <c r="AK106" s="563"/>
      <c r="AL106" s="563"/>
      <c r="AM106" s="563"/>
      <c r="AN106" s="563"/>
      <c r="AO106" s="563"/>
    </row>
    <row r="107" spans="1:41" ht="20.149999999999999" hidden="1" customHeight="1" outlineLevel="1" collapsed="1" thickBot="1" x14ac:dyDescent="0.3">
      <c r="A107" s="559" t="s">
        <v>377</v>
      </c>
      <c r="B107" s="561"/>
    </row>
    <row r="108" spans="1:41" ht="20.149999999999999" hidden="1" customHeight="1" outlineLevel="2" x14ac:dyDescent="0.25">
      <c r="A108" s="21" t="s">
        <v>487</v>
      </c>
      <c r="B108" s="215" t="s">
        <v>319</v>
      </c>
    </row>
    <row r="109" spans="1:41" ht="20.149999999999999" hidden="1" customHeight="1" outlineLevel="2" thickBot="1" x14ac:dyDescent="0.3">
      <c r="C109" s="643"/>
      <c r="D109" s="643"/>
    </row>
    <row r="110" spans="1:41" ht="20.149999999999999" hidden="1" customHeight="1" outlineLevel="1" collapsed="1" thickBot="1" x14ac:dyDescent="0.3">
      <c r="A110" s="559" t="s">
        <v>494</v>
      </c>
      <c r="B110" s="560"/>
      <c r="C110" s="572"/>
      <c r="D110" s="572"/>
      <c r="E110" s="572"/>
      <c r="F110" s="572"/>
      <c r="G110" s="572"/>
      <c r="H110" s="572"/>
      <c r="I110" s="572"/>
      <c r="J110" s="572"/>
      <c r="K110" s="572"/>
      <c r="L110" s="572"/>
      <c r="M110" s="572"/>
      <c r="N110" s="573"/>
    </row>
    <row r="111" spans="1:41" s="15" customFormat="1" ht="20.149999999999999" hidden="1" customHeight="1" outlineLevel="2" x14ac:dyDescent="0.25">
      <c r="A111" s="1127" t="s">
        <v>113</v>
      </c>
      <c r="B111" s="1124" t="s">
        <v>468</v>
      </c>
      <c r="C111" s="1130" t="s">
        <v>495</v>
      </c>
      <c r="D111" s="1124" t="s">
        <v>499</v>
      </c>
      <c r="E111" s="1123" t="s">
        <v>502</v>
      </c>
      <c r="F111" s="1123"/>
      <c r="G111" s="1123"/>
      <c r="H111" s="1123"/>
      <c r="I111" s="1123"/>
      <c r="J111" s="1123"/>
      <c r="K111" s="1123"/>
      <c r="L111" s="1123"/>
      <c r="M111" s="1123"/>
      <c r="N111" s="1135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 s="15" customFormat="1" ht="20.149999999999999" hidden="1" customHeight="1" outlineLevel="2" thickBot="1" x14ac:dyDescent="0.3">
      <c r="A112" s="1128"/>
      <c r="B112" s="1129"/>
      <c r="C112" s="1131"/>
      <c r="D112" s="1129"/>
      <c r="E112" s="226">
        <v>1</v>
      </c>
      <c r="F112" s="226">
        <v>2</v>
      </c>
      <c r="G112" s="226">
        <v>3</v>
      </c>
      <c r="H112" s="226">
        <v>4</v>
      </c>
      <c r="I112" s="226">
        <v>5</v>
      </c>
      <c r="J112" s="226">
        <v>6</v>
      </c>
      <c r="K112" s="226">
        <v>7</v>
      </c>
      <c r="L112" s="226">
        <v>8</v>
      </c>
      <c r="M112" s="226">
        <v>9</v>
      </c>
      <c r="N112" s="271">
        <v>10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14" ht="20.149999999999999" hidden="1" customHeight="1" outlineLevel="2" x14ac:dyDescent="0.25">
      <c r="A113" s="219" t="str">
        <f>'Custos Insumos'!A6</f>
        <v>Calcário</v>
      </c>
      <c r="B113" s="220" t="str">
        <f>UPPER(VLOOKUP(A113,'Custos Insumos'!$A$5:$C$168,3,FALSE))</f>
        <v>T</v>
      </c>
      <c r="C113" s="220" t="str">
        <f>'Custos Insumos'!B6</f>
        <v>T/HA</v>
      </c>
      <c r="D113" s="225">
        <f>'Custos Insumos'!D6</f>
        <v>450</v>
      </c>
      <c r="E113" s="253">
        <v>3</v>
      </c>
      <c r="F113" s="223">
        <v>2</v>
      </c>
      <c r="G113" s="223">
        <f t="shared" ref="G113:N122" si="49">F113</f>
        <v>2</v>
      </c>
      <c r="H113" s="223">
        <f t="shared" si="49"/>
        <v>2</v>
      </c>
      <c r="I113" s="223">
        <f t="shared" si="49"/>
        <v>2</v>
      </c>
      <c r="J113" s="223">
        <f t="shared" si="49"/>
        <v>2</v>
      </c>
      <c r="K113" s="223">
        <f t="shared" si="49"/>
        <v>2</v>
      </c>
      <c r="L113" s="223">
        <f t="shared" si="49"/>
        <v>2</v>
      </c>
      <c r="M113" s="223">
        <f t="shared" si="49"/>
        <v>2</v>
      </c>
      <c r="N113" s="270">
        <f t="shared" si="49"/>
        <v>2</v>
      </c>
    </row>
    <row r="114" spans="1:14" ht="20.149999999999999" hidden="1" customHeight="1" outlineLevel="2" x14ac:dyDescent="0.25">
      <c r="A114" s="51" t="str">
        <f>'Custos Insumos'!A7</f>
        <v>Gesso</v>
      </c>
      <c r="B114" s="49" t="str">
        <f>UPPER(VLOOKUP(A114,'Custos Insumos'!$A$5:$C$168,3,FALSE))</f>
        <v>T</v>
      </c>
      <c r="C114" s="49" t="str">
        <f>'Custos Insumos'!B7</f>
        <v>T/HA</v>
      </c>
      <c r="D114" s="54">
        <f>'Custos Insumos'!D7</f>
        <v>550</v>
      </c>
      <c r="E114" s="254"/>
      <c r="F114" s="187">
        <v>1</v>
      </c>
      <c r="G114" s="187">
        <f t="shared" si="49"/>
        <v>1</v>
      </c>
      <c r="H114" s="187">
        <f t="shared" si="49"/>
        <v>1</v>
      </c>
      <c r="I114" s="187">
        <f t="shared" si="49"/>
        <v>1</v>
      </c>
      <c r="J114" s="187">
        <f t="shared" si="49"/>
        <v>1</v>
      </c>
      <c r="K114" s="187">
        <f t="shared" si="49"/>
        <v>1</v>
      </c>
      <c r="L114" s="187">
        <f t="shared" si="49"/>
        <v>1</v>
      </c>
      <c r="M114" s="187">
        <f t="shared" si="49"/>
        <v>1</v>
      </c>
      <c r="N114" s="189">
        <f t="shared" si="49"/>
        <v>1</v>
      </c>
    </row>
    <row r="115" spans="1:14" ht="20.149999999999999" hidden="1" customHeight="1" outlineLevel="2" x14ac:dyDescent="0.25">
      <c r="A115" s="51" t="str">
        <f>'Custos Insumos'!A8</f>
        <v>Fosfatado</v>
      </c>
      <c r="B115" s="49" t="str">
        <f>UPPER(VLOOKUP(A115,'Custos Insumos'!$A$5:$C$168,3,FALSE))</f>
        <v>T</v>
      </c>
      <c r="C115" s="49" t="str">
        <f>'Custos Insumos'!B8</f>
        <v>T/HA</v>
      </c>
      <c r="D115" s="54">
        <f>'Custos Insumos'!D8</f>
        <v>2650</v>
      </c>
      <c r="E115" s="254">
        <v>0.5</v>
      </c>
      <c r="F115" s="187"/>
      <c r="G115" s="187">
        <f t="shared" si="49"/>
        <v>0</v>
      </c>
      <c r="H115" s="187">
        <f t="shared" si="49"/>
        <v>0</v>
      </c>
      <c r="I115" s="187">
        <f t="shared" si="49"/>
        <v>0</v>
      </c>
      <c r="J115" s="187">
        <f t="shared" si="49"/>
        <v>0</v>
      </c>
      <c r="K115" s="187">
        <f t="shared" si="49"/>
        <v>0</v>
      </c>
      <c r="L115" s="187">
        <f t="shared" si="49"/>
        <v>0</v>
      </c>
      <c r="M115" s="187">
        <f t="shared" si="49"/>
        <v>0</v>
      </c>
      <c r="N115" s="189">
        <f t="shared" si="49"/>
        <v>0</v>
      </c>
    </row>
    <row r="116" spans="1:14" ht="20.149999999999999" hidden="1" customHeight="1" outlineLevel="2" x14ac:dyDescent="0.25">
      <c r="A116" s="51" t="str">
        <f>'Custos Insumos'!A12</f>
        <v>KCL</v>
      </c>
      <c r="B116" s="49" t="str">
        <f>UPPER(VLOOKUP(A116,'Custos Insumos'!$A$5:$C$168,3,FALSE))</f>
        <v>T</v>
      </c>
      <c r="C116" s="49" t="str">
        <f>'Custos Insumos'!B12</f>
        <v>T/HA</v>
      </c>
      <c r="D116" s="54">
        <f>'Custos Insumos'!D12</f>
        <v>2700</v>
      </c>
      <c r="E116" s="254">
        <v>0.3</v>
      </c>
      <c r="F116" s="187">
        <v>0.4</v>
      </c>
      <c r="G116" s="187">
        <f t="shared" si="49"/>
        <v>0.4</v>
      </c>
      <c r="H116" s="187">
        <f t="shared" si="49"/>
        <v>0.4</v>
      </c>
      <c r="I116" s="187">
        <f t="shared" si="49"/>
        <v>0.4</v>
      </c>
      <c r="J116" s="187">
        <f t="shared" si="49"/>
        <v>0.4</v>
      </c>
      <c r="K116" s="187">
        <f t="shared" si="49"/>
        <v>0.4</v>
      </c>
      <c r="L116" s="187">
        <f t="shared" si="49"/>
        <v>0.4</v>
      </c>
      <c r="M116" s="187">
        <f t="shared" si="49"/>
        <v>0.4</v>
      </c>
      <c r="N116" s="189">
        <f t="shared" si="49"/>
        <v>0.4</v>
      </c>
    </row>
    <row r="117" spans="1:14" ht="20.149999999999999" hidden="1" customHeight="1" outlineLevel="2" x14ac:dyDescent="0.25">
      <c r="A117" s="51" t="str">
        <f>'Custos Insumos'!A13</f>
        <v>Adubo formulado com micronutrientes</v>
      </c>
      <c r="B117" s="49" t="str">
        <f>UPPER(VLOOKUP(A117,'Custos Insumos'!$A$5:$C$168,3,FALSE))</f>
        <v>T</v>
      </c>
      <c r="C117" s="49" t="str">
        <f>'Custos Insumos'!B13</f>
        <v>T/HA</v>
      </c>
      <c r="D117" s="54">
        <f>'Custos Insumos'!D13</f>
        <v>3550</v>
      </c>
      <c r="E117" s="254">
        <v>0.55000000000000004</v>
      </c>
      <c r="F117" s="187"/>
      <c r="G117" s="187">
        <f t="shared" si="49"/>
        <v>0</v>
      </c>
      <c r="H117" s="187">
        <f t="shared" si="49"/>
        <v>0</v>
      </c>
      <c r="I117" s="187">
        <f t="shared" si="49"/>
        <v>0</v>
      </c>
      <c r="J117" s="187">
        <f t="shared" si="49"/>
        <v>0</v>
      </c>
      <c r="K117" s="187">
        <f t="shared" si="49"/>
        <v>0</v>
      </c>
      <c r="L117" s="187">
        <f t="shared" si="49"/>
        <v>0</v>
      </c>
      <c r="M117" s="187">
        <f t="shared" si="49"/>
        <v>0</v>
      </c>
      <c r="N117" s="189">
        <f t="shared" si="49"/>
        <v>0</v>
      </c>
    </row>
    <row r="118" spans="1:14" ht="20.149999999999999" hidden="1" customHeight="1" outlineLevel="2" x14ac:dyDescent="0.25">
      <c r="A118" s="51" t="str">
        <f>'Custos Insumos'!A22</f>
        <v>Uréia</v>
      </c>
      <c r="B118" s="49" t="str">
        <f>UPPER(VLOOKUP(A118,'Custos Insumos'!$A$5:$C$168,3,FALSE))</f>
        <v>T</v>
      </c>
      <c r="C118" s="49" t="str">
        <f>'Custos Insumos'!B22</f>
        <v>T/HA</v>
      </c>
      <c r="D118" s="54">
        <f>'Custos Insumos'!D22</f>
        <v>3150</v>
      </c>
      <c r="E118" s="254">
        <v>0.4</v>
      </c>
      <c r="F118" s="187">
        <v>0.5</v>
      </c>
      <c r="G118" s="187">
        <f t="shared" si="49"/>
        <v>0.5</v>
      </c>
      <c r="H118" s="187">
        <f t="shared" si="49"/>
        <v>0.5</v>
      </c>
      <c r="I118" s="187">
        <f t="shared" si="49"/>
        <v>0.5</v>
      </c>
      <c r="J118" s="187">
        <f t="shared" si="49"/>
        <v>0.5</v>
      </c>
      <c r="K118" s="187">
        <f t="shared" si="49"/>
        <v>0.5</v>
      </c>
      <c r="L118" s="187">
        <f t="shared" si="49"/>
        <v>0.5</v>
      </c>
      <c r="M118" s="187">
        <f t="shared" si="49"/>
        <v>0.5</v>
      </c>
      <c r="N118" s="189">
        <f t="shared" si="49"/>
        <v>0.5</v>
      </c>
    </row>
    <row r="119" spans="1:14" ht="20.149999999999999" hidden="1" customHeight="1" outlineLevel="2" x14ac:dyDescent="0.25">
      <c r="A119" s="51" t="str">
        <f>'Custos Insumos'!A30</f>
        <v>Fungicida</v>
      </c>
      <c r="B119" s="49" t="str">
        <f>UPPER(VLOOKUP(A119,'Custos Insumos'!$A$5:$C$168,3,FALSE))</f>
        <v>L</v>
      </c>
      <c r="C119" s="49" t="str">
        <f>'Custos Insumos'!B30</f>
        <v>L/HA</v>
      </c>
      <c r="D119" s="54">
        <f>'Custos Insumos'!D30</f>
        <v>75</v>
      </c>
      <c r="E119" s="254"/>
      <c r="F119" s="187"/>
      <c r="G119" s="187">
        <f t="shared" si="49"/>
        <v>0</v>
      </c>
      <c r="H119" s="187">
        <f t="shared" si="49"/>
        <v>0</v>
      </c>
      <c r="I119" s="187">
        <f t="shared" si="49"/>
        <v>0</v>
      </c>
      <c r="J119" s="187">
        <f t="shared" si="49"/>
        <v>0</v>
      </c>
      <c r="K119" s="187">
        <f t="shared" si="49"/>
        <v>0</v>
      </c>
      <c r="L119" s="187">
        <f t="shared" si="49"/>
        <v>0</v>
      </c>
      <c r="M119" s="187">
        <f t="shared" si="49"/>
        <v>0</v>
      </c>
      <c r="N119" s="189">
        <f t="shared" si="49"/>
        <v>0</v>
      </c>
    </row>
    <row r="120" spans="1:14" ht="20.149999999999999" hidden="1" customHeight="1" outlineLevel="2" x14ac:dyDescent="0.25">
      <c r="A120" s="51" t="str">
        <f>'Custos Insumos'!A31</f>
        <v>Inseticida</v>
      </c>
      <c r="B120" s="49" t="str">
        <f>UPPER(VLOOKUP(A120,'Custos Insumos'!$A$5:$C$168,3,FALSE))</f>
        <v>L</v>
      </c>
      <c r="C120" s="49" t="str">
        <f>'Custos Insumos'!B31</f>
        <v>L/HA</v>
      </c>
      <c r="D120" s="54">
        <f>'Custos Insumos'!D31</f>
        <v>40</v>
      </c>
      <c r="E120" s="254"/>
      <c r="F120" s="187"/>
      <c r="G120" s="187">
        <f t="shared" si="49"/>
        <v>0</v>
      </c>
      <c r="H120" s="187">
        <f t="shared" si="49"/>
        <v>0</v>
      </c>
      <c r="I120" s="187">
        <f t="shared" si="49"/>
        <v>0</v>
      </c>
      <c r="J120" s="187">
        <f t="shared" si="49"/>
        <v>0</v>
      </c>
      <c r="K120" s="187">
        <f t="shared" si="49"/>
        <v>0</v>
      </c>
      <c r="L120" s="187">
        <f t="shared" si="49"/>
        <v>0</v>
      </c>
      <c r="M120" s="187">
        <f t="shared" si="49"/>
        <v>0</v>
      </c>
      <c r="N120" s="189">
        <f t="shared" si="49"/>
        <v>0</v>
      </c>
    </row>
    <row r="121" spans="1:14" ht="20.149999999999999" hidden="1" customHeight="1" outlineLevel="2" x14ac:dyDescent="0.25">
      <c r="A121" s="51" t="str">
        <f>'Custos Insumos'!A32</f>
        <v>Cupinicida</v>
      </c>
      <c r="B121" s="49" t="str">
        <f>UPPER(VLOOKUP(A121,'Custos Insumos'!$A$5:$C$168,3,FALSE))</f>
        <v>KG</v>
      </c>
      <c r="C121" s="49" t="str">
        <f>'Custos Insumos'!B32</f>
        <v>KG/HA</v>
      </c>
      <c r="D121" s="54">
        <f>'Custos Insumos'!D32</f>
        <v>800</v>
      </c>
      <c r="E121" s="254">
        <v>0.3</v>
      </c>
      <c r="F121" s="187"/>
      <c r="G121" s="187">
        <f t="shared" si="49"/>
        <v>0</v>
      </c>
      <c r="H121" s="187">
        <f t="shared" si="49"/>
        <v>0</v>
      </c>
      <c r="I121" s="187">
        <f t="shared" si="49"/>
        <v>0</v>
      </c>
      <c r="J121" s="187">
        <f t="shared" si="49"/>
        <v>0</v>
      </c>
      <c r="K121" s="187">
        <f t="shared" si="49"/>
        <v>0</v>
      </c>
      <c r="L121" s="187">
        <f t="shared" si="49"/>
        <v>0</v>
      </c>
      <c r="M121" s="187">
        <f t="shared" si="49"/>
        <v>0</v>
      </c>
      <c r="N121" s="189">
        <f t="shared" si="49"/>
        <v>0</v>
      </c>
    </row>
    <row r="122" spans="1:14" ht="20.149999999999999" hidden="1" customHeight="1" outlineLevel="2" x14ac:dyDescent="0.25">
      <c r="A122" s="51" t="str">
        <f>'Custos Insumos'!A33</f>
        <v>Nematicida</v>
      </c>
      <c r="B122" s="49" t="str">
        <f>UPPER(VLOOKUP(A122,'Custos Insumos'!$A$5:$C$168,3,FALSE))</f>
        <v>L</v>
      </c>
      <c r="C122" s="49" t="str">
        <f>'Custos Insumos'!B33</f>
        <v>L/HA</v>
      </c>
      <c r="D122" s="54">
        <f>'Custos Insumos'!D33</f>
        <v>210</v>
      </c>
      <c r="E122" s="254">
        <v>0.2</v>
      </c>
      <c r="F122" s="187"/>
      <c r="G122" s="187">
        <f t="shared" si="49"/>
        <v>0</v>
      </c>
      <c r="H122" s="187">
        <f t="shared" si="49"/>
        <v>0</v>
      </c>
      <c r="I122" s="187">
        <f t="shared" si="49"/>
        <v>0</v>
      </c>
      <c r="J122" s="187">
        <f t="shared" si="49"/>
        <v>0</v>
      </c>
      <c r="K122" s="187">
        <f t="shared" si="49"/>
        <v>0</v>
      </c>
      <c r="L122" s="187">
        <f t="shared" si="49"/>
        <v>0</v>
      </c>
      <c r="M122" s="187">
        <f t="shared" si="49"/>
        <v>0</v>
      </c>
      <c r="N122" s="189">
        <f t="shared" si="49"/>
        <v>0</v>
      </c>
    </row>
    <row r="123" spans="1:14" ht="20.149999999999999" hidden="1" customHeight="1" outlineLevel="2" x14ac:dyDescent="0.25">
      <c r="A123" s="51" t="str">
        <f>'Custos Insumos'!A34</f>
        <v>Formicida</v>
      </c>
      <c r="B123" s="49" t="str">
        <f>UPPER(VLOOKUP(A123,'Custos Insumos'!$A$5:$C$168,3,FALSE))</f>
        <v>KG</v>
      </c>
      <c r="C123" s="49" t="str">
        <f>'Custos Insumos'!B34</f>
        <v>KG/HA</v>
      </c>
      <c r="D123" s="54">
        <f>'Custos Insumos'!D34</f>
        <v>7.5</v>
      </c>
      <c r="E123" s="254"/>
      <c r="F123" s="187"/>
      <c r="G123" s="187">
        <f t="shared" ref="G123:N128" si="50">F123</f>
        <v>0</v>
      </c>
      <c r="H123" s="187">
        <f t="shared" si="50"/>
        <v>0</v>
      </c>
      <c r="I123" s="187">
        <f t="shared" si="50"/>
        <v>0</v>
      </c>
      <c r="J123" s="187">
        <f t="shared" si="50"/>
        <v>0</v>
      </c>
      <c r="K123" s="187">
        <f t="shared" si="50"/>
        <v>0</v>
      </c>
      <c r="L123" s="187">
        <f t="shared" si="50"/>
        <v>0</v>
      </c>
      <c r="M123" s="187">
        <f t="shared" si="50"/>
        <v>0</v>
      </c>
      <c r="N123" s="189">
        <f t="shared" si="50"/>
        <v>0</v>
      </c>
    </row>
    <row r="124" spans="1:14" ht="20.149999999999999" hidden="1" customHeight="1" outlineLevel="2" x14ac:dyDescent="0.25">
      <c r="A124" s="51" t="str">
        <f>'Custos Insumos'!A36</f>
        <v>Herbicida</v>
      </c>
      <c r="B124" s="49" t="str">
        <f>UPPER(VLOOKUP(A124,'Custos Insumos'!$A$5:$C$168,3,FALSE))</f>
        <v>L</v>
      </c>
      <c r="C124" s="49" t="str">
        <f>'Custos Insumos'!B36</f>
        <v>L/HA</v>
      </c>
      <c r="D124" s="54">
        <f>'Custos Insumos'!D36</f>
        <v>65</v>
      </c>
      <c r="E124" s="254">
        <v>0.8</v>
      </c>
      <c r="F124" s="187">
        <v>1.5</v>
      </c>
      <c r="G124" s="187">
        <f t="shared" si="50"/>
        <v>1.5</v>
      </c>
      <c r="H124" s="187">
        <f t="shared" si="50"/>
        <v>1.5</v>
      </c>
      <c r="I124" s="187">
        <f t="shared" si="50"/>
        <v>1.5</v>
      </c>
      <c r="J124" s="187">
        <f t="shared" si="50"/>
        <v>1.5</v>
      </c>
      <c r="K124" s="187">
        <f t="shared" si="50"/>
        <v>1.5</v>
      </c>
      <c r="L124" s="187">
        <f t="shared" si="50"/>
        <v>1.5</v>
      </c>
      <c r="M124" s="187">
        <f t="shared" si="50"/>
        <v>1.5</v>
      </c>
      <c r="N124" s="189">
        <f t="shared" si="50"/>
        <v>1.5</v>
      </c>
    </row>
    <row r="125" spans="1:14" ht="20.149999999999999" hidden="1" customHeight="1" outlineLevel="2" x14ac:dyDescent="0.25">
      <c r="A125" s="51" t="str">
        <f>'Custos Insumos'!A37</f>
        <v>Produtos biológicos</v>
      </c>
      <c r="B125" s="49" t="str">
        <f>UPPER(VLOOKUP(A125,'Custos Insumos'!$A$5:$C$168,3,FALSE))</f>
        <v>KG</v>
      </c>
      <c r="C125" s="49" t="str">
        <f>'Custos Insumos'!B37</f>
        <v>KG/HA</v>
      </c>
      <c r="D125" s="54">
        <f>'Custos Insumos'!D37</f>
        <v>240</v>
      </c>
      <c r="E125" s="254">
        <v>1</v>
      </c>
      <c r="F125" s="187">
        <v>0.8</v>
      </c>
      <c r="G125" s="187">
        <f t="shared" si="50"/>
        <v>0.8</v>
      </c>
      <c r="H125" s="187">
        <f t="shared" si="50"/>
        <v>0.8</v>
      </c>
      <c r="I125" s="187">
        <f t="shared" si="50"/>
        <v>0.8</v>
      </c>
      <c r="J125" s="187">
        <f t="shared" si="50"/>
        <v>0.8</v>
      </c>
      <c r="K125" s="187">
        <f t="shared" si="50"/>
        <v>0.8</v>
      </c>
      <c r="L125" s="187">
        <f t="shared" si="50"/>
        <v>0.8</v>
      </c>
      <c r="M125" s="187">
        <f t="shared" si="50"/>
        <v>0.8</v>
      </c>
      <c r="N125" s="189">
        <f t="shared" si="50"/>
        <v>0.8</v>
      </c>
    </row>
    <row r="126" spans="1:14" ht="20.149999999999999" hidden="1" customHeight="1" outlineLevel="2" x14ac:dyDescent="0.25">
      <c r="A126" s="51" t="str">
        <f>'Custos Insumos'!A38</f>
        <v>Cotesia-(30 massas)</v>
      </c>
      <c r="B126" s="49" t="str">
        <f>UPPER(VLOOKUP(A126,'Custos Insumos'!$A$5:$C$168,3,FALSE))</f>
        <v>UD</v>
      </c>
      <c r="C126" s="49" t="str">
        <f>'Custos Insumos'!B38</f>
        <v>UD/HA</v>
      </c>
      <c r="D126" s="54">
        <f>'Custos Insumos'!D38</f>
        <v>12</v>
      </c>
      <c r="E126" s="254">
        <v>8</v>
      </c>
      <c r="F126" s="187">
        <v>8</v>
      </c>
      <c r="G126" s="187">
        <f t="shared" si="50"/>
        <v>8</v>
      </c>
      <c r="H126" s="187">
        <f t="shared" si="50"/>
        <v>8</v>
      </c>
      <c r="I126" s="187">
        <f t="shared" si="50"/>
        <v>8</v>
      </c>
      <c r="J126" s="187">
        <f t="shared" si="50"/>
        <v>8</v>
      </c>
      <c r="K126" s="187">
        <f t="shared" si="50"/>
        <v>8</v>
      </c>
      <c r="L126" s="187">
        <f t="shared" si="50"/>
        <v>8</v>
      </c>
      <c r="M126" s="187">
        <f t="shared" si="50"/>
        <v>8</v>
      </c>
      <c r="N126" s="189">
        <f t="shared" si="50"/>
        <v>8</v>
      </c>
    </row>
    <row r="127" spans="1:14" ht="20.149999999999999" hidden="1" customHeight="1" outlineLevel="2" x14ac:dyDescent="0.25">
      <c r="A127" s="51" t="str">
        <f>'Custos Insumos'!A39</f>
        <v>Enraizante</v>
      </c>
      <c r="B127" s="49" t="str">
        <f>UPPER(VLOOKUP(A127,'Custos Insumos'!$A$5:$C$168,3,FALSE))</f>
        <v>L</v>
      </c>
      <c r="C127" s="49" t="str">
        <f>'Custos Insumos'!B39</f>
        <v>L/HA</v>
      </c>
      <c r="D127" s="54">
        <f>'Custos Insumos'!D39</f>
        <v>230</v>
      </c>
      <c r="E127" s="254">
        <v>0.5</v>
      </c>
      <c r="F127" s="187"/>
      <c r="G127" s="187">
        <f t="shared" si="50"/>
        <v>0</v>
      </c>
      <c r="H127" s="187">
        <f t="shared" si="50"/>
        <v>0</v>
      </c>
      <c r="I127" s="187">
        <f t="shared" si="50"/>
        <v>0</v>
      </c>
      <c r="J127" s="187">
        <f t="shared" si="50"/>
        <v>0</v>
      </c>
      <c r="K127" s="187">
        <f t="shared" si="50"/>
        <v>0</v>
      </c>
      <c r="L127" s="187">
        <f t="shared" si="50"/>
        <v>0</v>
      </c>
      <c r="M127" s="187">
        <f t="shared" si="50"/>
        <v>0</v>
      </c>
      <c r="N127" s="189">
        <f t="shared" si="50"/>
        <v>0</v>
      </c>
    </row>
    <row r="128" spans="1:14" ht="20.149999999999999" hidden="1" customHeight="1" outlineLevel="2" thickBot="1" x14ac:dyDescent="0.3">
      <c r="A128" s="53" t="str">
        <f>'Custos Insumos'!A58</f>
        <v>Mudas - toletes</v>
      </c>
      <c r="B128" s="52" t="str">
        <f>UPPER(VLOOKUP(A128,'Custos Insumos'!$A$5:$C$168,3,FALSE))</f>
        <v>T</v>
      </c>
      <c r="C128" s="52" t="str">
        <f>'Custos Insumos'!B58</f>
        <v>T/HA</v>
      </c>
      <c r="D128" s="65">
        <f>'Custos Insumos'!D58</f>
        <v>220</v>
      </c>
      <c r="E128" s="269">
        <v>20</v>
      </c>
      <c r="F128" s="214"/>
      <c r="G128" s="214">
        <f t="shared" si="50"/>
        <v>0</v>
      </c>
      <c r="H128" s="214">
        <f t="shared" si="50"/>
        <v>0</v>
      </c>
      <c r="I128" s="214">
        <f t="shared" si="50"/>
        <v>0</v>
      </c>
      <c r="J128" s="214">
        <f t="shared" si="50"/>
        <v>0</v>
      </c>
      <c r="K128" s="214">
        <f t="shared" si="50"/>
        <v>0</v>
      </c>
      <c r="L128" s="214">
        <f t="shared" si="50"/>
        <v>0</v>
      </c>
      <c r="M128" s="214">
        <f t="shared" si="50"/>
        <v>0</v>
      </c>
      <c r="N128" s="191">
        <f t="shared" si="50"/>
        <v>0</v>
      </c>
    </row>
    <row r="129" hidden="1" outlineLevel="2" x14ac:dyDescent="0.25"/>
  </sheetData>
  <mergeCells count="29">
    <mergeCell ref="A111:A112"/>
    <mergeCell ref="B111:B112"/>
    <mergeCell ref="C111:C112"/>
    <mergeCell ref="D111:D112"/>
    <mergeCell ref="E85:V85"/>
    <mergeCell ref="E111:N111"/>
    <mergeCell ref="A85:A86"/>
    <mergeCell ref="B85:B86"/>
    <mergeCell ref="C85:C86"/>
    <mergeCell ref="D85:D86"/>
    <mergeCell ref="X85:AO85"/>
    <mergeCell ref="R34:AC34"/>
    <mergeCell ref="E58:V58"/>
    <mergeCell ref="A58:A59"/>
    <mergeCell ref="B58:B59"/>
    <mergeCell ref="C58:C59"/>
    <mergeCell ref="X58:AO58"/>
    <mergeCell ref="A34:A35"/>
    <mergeCell ref="B34:B35"/>
    <mergeCell ref="C34:C35"/>
    <mergeCell ref="D34:D35"/>
    <mergeCell ref="E34:P34"/>
    <mergeCell ref="D58:D59"/>
    <mergeCell ref="E10:P10"/>
    <mergeCell ref="R10:AC10"/>
    <mergeCell ref="A10:A11"/>
    <mergeCell ref="B10:B11"/>
    <mergeCell ref="C10:C11"/>
    <mergeCell ref="D10:D11"/>
  </mergeCells>
  <pageMargins left="0.511811024" right="0.511811024" top="0.78740157499999996" bottom="0.78740157499999996" header="0.31496062000000002" footer="0.31496062000000002"/>
  <pageSetup paperSize="9" orientation="landscape" horizontalDpi="4294967295" verticalDpi="4294967295" r:id="rId1"/>
  <ignoredErrors>
    <ignoredError sqref="R15:Y15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EBC1-BA02-46B1-B439-C92FFD8E9A42}">
  <sheetPr>
    <tabColor theme="6" tint="0.59999389629810485"/>
  </sheetPr>
  <dimension ref="A2:H16"/>
  <sheetViews>
    <sheetView showGridLines="0" zoomScale="80" zoomScaleNormal="80" workbookViewId="0">
      <selection activeCell="E5" sqref="E5"/>
    </sheetView>
  </sheetViews>
  <sheetFormatPr defaultColWidth="9.1796875" defaultRowHeight="12.5" x14ac:dyDescent="0.25"/>
  <cols>
    <col min="1" max="1" width="37.26953125" style="6" customWidth="1"/>
    <col min="2" max="2" width="5.7265625" style="6" bestFit="1" customWidth="1"/>
    <col min="3" max="4" width="10.54296875" style="6" customWidth="1"/>
    <col min="5" max="8" width="12.26953125" style="6" customWidth="1"/>
    <col min="9" max="16384" width="9.1796875" style="6"/>
  </cols>
  <sheetData>
    <row r="2" spans="1:8" ht="40" customHeight="1" thickBot="1" x14ac:dyDescent="0.3">
      <c r="A2" s="538" t="s">
        <v>561</v>
      </c>
      <c r="B2" s="539"/>
      <c r="C2" s="564"/>
      <c r="D2" s="564"/>
      <c r="E2" s="564"/>
      <c r="F2" s="564"/>
      <c r="G2" s="539"/>
      <c r="H2" s="540"/>
    </row>
    <row r="3" spans="1:8" ht="20.149999999999999" customHeight="1" x14ac:dyDescent="0.25">
      <c r="A3" s="1136" t="s">
        <v>113</v>
      </c>
      <c r="B3" s="1130" t="s">
        <v>468</v>
      </c>
      <c r="C3" s="1130" t="s">
        <v>495</v>
      </c>
      <c r="D3" s="1130" t="s">
        <v>189</v>
      </c>
      <c r="E3" s="1138" t="s">
        <v>97</v>
      </c>
      <c r="F3" s="1139"/>
      <c r="G3" s="1139"/>
      <c r="H3" s="1140"/>
    </row>
    <row r="4" spans="1:8" ht="20.149999999999999" customHeight="1" thickBot="1" x14ac:dyDescent="0.3">
      <c r="A4" s="1137"/>
      <c r="B4" s="1131"/>
      <c r="C4" s="1131"/>
      <c r="D4" s="1131"/>
      <c r="E4" s="477" t="s">
        <v>260</v>
      </c>
      <c r="F4" s="477" t="s">
        <v>261</v>
      </c>
      <c r="G4" s="478" t="s">
        <v>262</v>
      </c>
      <c r="H4" s="479" t="s">
        <v>248</v>
      </c>
    </row>
    <row r="5" spans="1:8" ht="20.149999999999999" customHeight="1" x14ac:dyDescent="0.25">
      <c r="A5" s="56" t="str">
        <f>'Custos Insumos'!A6</f>
        <v>Calcário</v>
      </c>
      <c r="B5" s="11" t="str">
        <f>'Custos Insumos'!C6</f>
        <v>T</v>
      </c>
      <c r="C5" s="11" t="str">
        <f>'Custos Insumos'!B6</f>
        <v>T/HA</v>
      </c>
      <c r="D5" s="480">
        <f>'Custos Insumos'!D6</f>
        <v>450</v>
      </c>
      <c r="E5" s="279">
        <v>1</v>
      </c>
      <c r="F5" s="279">
        <v>1</v>
      </c>
      <c r="G5" s="279"/>
      <c r="H5" s="277"/>
    </row>
    <row r="6" spans="1:8" ht="20.149999999999999" customHeight="1" x14ac:dyDescent="0.25">
      <c r="A6" s="23" t="str">
        <f>'Custos Insumos'!A9</f>
        <v>Foliar Completo</v>
      </c>
      <c r="B6" s="8" t="str">
        <f>'Custos Insumos'!C9</f>
        <v>L</v>
      </c>
      <c r="C6" s="8" t="str">
        <f>'Custos Insumos'!B9</f>
        <v>L/HA</v>
      </c>
      <c r="D6" s="481">
        <f>'Custos Insumos'!D9</f>
        <v>25</v>
      </c>
      <c r="E6" s="284">
        <v>3</v>
      </c>
      <c r="F6" s="284">
        <v>3</v>
      </c>
      <c r="G6" s="284">
        <v>3</v>
      </c>
      <c r="H6" s="282">
        <v>3</v>
      </c>
    </row>
    <row r="7" spans="1:8" ht="20.149999999999999" customHeight="1" x14ac:dyDescent="0.25">
      <c r="A7" s="23" t="str">
        <f>'Custos Insumos'!A10</f>
        <v>Biosumos</v>
      </c>
      <c r="B7" s="8" t="str">
        <f>'Custos Insumos'!C10</f>
        <v>L</v>
      </c>
      <c r="C7" s="8" t="str">
        <f>'Custos Insumos'!B10</f>
        <v>L/HA</v>
      </c>
      <c r="D7" s="481">
        <f>'Custos Insumos'!D10</f>
        <v>90</v>
      </c>
      <c r="E7" s="284">
        <v>3</v>
      </c>
      <c r="F7" s="284">
        <v>3</v>
      </c>
      <c r="G7" s="284">
        <v>3</v>
      </c>
      <c r="H7" s="282">
        <v>2</v>
      </c>
    </row>
    <row r="8" spans="1:8" ht="20.149999999999999" customHeight="1" x14ac:dyDescent="0.25">
      <c r="A8" s="23" t="str">
        <f>'Custos Insumos'!A13</f>
        <v>Adubo formulado com micronutrientes</v>
      </c>
      <c r="B8" s="8" t="str">
        <f>'Custos Insumos'!C13</f>
        <v>T</v>
      </c>
      <c r="C8" s="8" t="str">
        <f>'Custos Insumos'!B13</f>
        <v>T/HA</v>
      </c>
      <c r="D8" s="481">
        <f>'Custos Insumos'!D13</f>
        <v>3550</v>
      </c>
      <c r="E8" s="284">
        <v>0.2</v>
      </c>
      <c r="F8" s="284">
        <v>0.35</v>
      </c>
      <c r="G8" s="284">
        <v>0.3</v>
      </c>
      <c r="H8" s="282">
        <v>0.3</v>
      </c>
    </row>
    <row r="9" spans="1:8" ht="20.149999999999999" customHeight="1" x14ac:dyDescent="0.25">
      <c r="A9" s="23" t="str">
        <f>'Custos Insumos'!A14</f>
        <v xml:space="preserve">Adubo formulado </v>
      </c>
      <c r="B9" s="8" t="str">
        <f>'Custos Insumos'!C14</f>
        <v>T</v>
      </c>
      <c r="C9" s="8" t="str">
        <f>'Custos Insumos'!B14</f>
        <v>T/HA</v>
      </c>
      <c r="D9" s="481">
        <f>'Custos Insumos'!D14</f>
        <v>2950</v>
      </c>
      <c r="E9" s="284">
        <v>0.2</v>
      </c>
      <c r="F9" s="284">
        <v>0.3</v>
      </c>
      <c r="G9" s="307">
        <v>0.3</v>
      </c>
      <c r="H9" s="282">
        <v>0.25</v>
      </c>
    </row>
    <row r="10" spans="1:8" ht="20.149999999999999" customHeight="1" x14ac:dyDescent="0.25">
      <c r="A10" s="23" t="str">
        <f>'Custos Insumos'!A27</f>
        <v>Semente soja</v>
      </c>
      <c r="B10" s="8" t="str">
        <f>'Custos Insumos'!C27</f>
        <v>KG</v>
      </c>
      <c r="C10" s="8" t="str">
        <f>'Custos Insumos'!B27</f>
        <v>KG/HA</v>
      </c>
      <c r="D10" s="481">
        <f>'Custos Insumos'!D27</f>
        <v>10</v>
      </c>
      <c r="E10" s="284">
        <v>50</v>
      </c>
      <c r="F10" s="284"/>
      <c r="G10" s="284"/>
      <c r="H10" s="282"/>
    </row>
    <row r="11" spans="1:8" ht="20.149999999999999" customHeight="1" x14ac:dyDescent="0.25">
      <c r="A11" s="23" t="str">
        <f>'Custos Insumos'!A28</f>
        <v>Semente milho</v>
      </c>
      <c r="B11" s="8" t="str">
        <f>'Custos Insumos'!C28</f>
        <v>KG</v>
      </c>
      <c r="C11" s="8" t="str">
        <f>'Custos Insumos'!B28</f>
        <v>KG/HA</v>
      </c>
      <c r="D11" s="481">
        <f>'Custos Insumos'!D28</f>
        <v>35</v>
      </c>
      <c r="E11" s="284"/>
      <c r="F11" s="284">
        <v>22</v>
      </c>
      <c r="G11" s="284">
        <v>22</v>
      </c>
      <c r="H11" s="282"/>
    </row>
    <row r="12" spans="1:8" ht="20.149999999999999" customHeight="1" x14ac:dyDescent="0.25">
      <c r="A12" s="23" t="str">
        <f>'Custos Insumos'!A29</f>
        <v>Semente feijão</v>
      </c>
      <c r="B12" s="8" t="str">
        <f>'Custos Insumos'!C29</f>
        <v>KG</v>
      </c>
      <c r="C12" s="8" t="str">
        <f>'Custos Insumos'!B29</f>
        <v>KG/HA</v>
      </c>
      <c r="D12" s="481">
        <f>'Custos Insumos'!D29</f>
        <v>18</v>
      </c>
      <c r="E12" s="284"/>
      <c r="F12" s="284"/>
      <c r="G12" s="284"/>
      <c r="H12" s="282">
        <v>50</v>
      </c>
    </row>
    <row r="13" spans="1:8" ht="20.149999999999999" customHeight="1" x14ac:dyDescent="0.25">
      <c r="A13" s="23" t="str">
        <f>'Custos Insumos'!A30</f>
        <v>Fungicida</v>
      </c>
      <c r="B13" s="8" t="str">
        <f>'Custos Insumos'!C30</f>
        <v>L</v>
      </c>
      <c r="C13" s="8" t="str">
        <f>'Custos Insumos'!B30</f>
        <v>L/HA</v>
      </c>
      <c r="D13" s="481">
        <f>'Custos Insumos'!D30</f>
        <v>75</v>
      </c>
      <c r="E13" s="284">
        <v>2</v>
      </c>
      <c r="F13" s="284">
        <v>3</v>
      </c>
      <c r="G13" s="284">
        <v>4</v>
      </c>
      <c r="H13" s="282">
        <v>4</v>
      </c>
    </row>
    <row r="14" spans="1:8" ht="20.149999999999999" customHeight="1" x14ac:dyDescent="0.25">
      <c r="A14" s="23" t="str">
        <f>'Custos Insumos'!A31</f>
        <v>Inseticida</v>
      </c>
      <c r="B14" s="8" t="str">
        <f>'Custos Insumos'!C31</f>
        <v>L</v>
      </c>
      <c r="C14" s="8" t="str">
        <f>'Custos Insumos'!B31</f>
        <v>L/HA</v>
      </c>
      <c r="D14" s="481">
        <f>'Custos Insumos'!D31</f>
        <v>40</v>
      </c>
      <c r="E14" s="284">
        <v>3</v>
      </c>
      <c r="F14" s="284">
        <v>5</v>
      </c>
      <c r="G14" s="284">
        <v>5</v>
      </c>
      <c r="H14" s="282">
        <v>3</v>
      </c>
    </row>
    <row r="15" spans="1:8" ht="20.149999999999999" customHeight="1" x14ac:dyDescent="0.25">
      <c r="A15" s="23" t="str">
        <f>'Custos Insumos'!A35</f>
        <v>Espalhante</v>
      </c>
      <c r="B15" s="8" t="str">
        <f>'Custos Insumos'!C35</f>
        <v>L</v>
      </c>
      <c r="C15" s="8" t="str">
        <f>'Custos Insumos'!B35</f>
        <v>L/HA</v>
      </c>
      <c r="D15" s="481">
        <f>'Custos Insumos'!D35</f>
        <v>15</v>
      </c>
      <c r="E15" s="284">
        <v>1</v>
      </c>
      <c r="F15" s="284">
        <v>1.5</v>
      </c>
      <c r="G15" s="284">
        <v>1.5</v>
      </c>
      <c r="H15" s="282">
        <v>1</v>
      </c>
    </row>
    <row r="16" spans="1:8" ht="20.149999999999999" customHeight="1" thickBot="1" x14ac:dyDescent="0.3">
      <c r="A16" s="57" t="str">
        <f>'Custos Insumos'!A36</f>
        <v>Herbicida</v>
      </c>
      <c r="B16" s="25" t="str">
        <f>'Custos Insumos'!C36</f>
        <v>L</v>
      </c>
      <c r="C16" s="25" t="str">
        <f>'Custos Insumos'!B36</f>
        <v>L/HA</v>
      </c>
      <c r="D16" s="482">
        <f>'Custos Insumos'!D36</f>
        <v>65</v>
      </c>
      <c r="E16" s="289">
        <v>3</v>
      </c>
      <c r="F16" s="289">
        <v>3</v>
      </c>
      <c r="G16" s="289">
        <v>4</v>
      </c>
      <c r="H16" s="287">
        <v>3</v>
      </c>
    </row>
  </sheetData>
  <mergeCells count="5">
    <mergeCell ref="A3:A4"/>
    <mergeCell ref="B3:B4"/>
    <mergeCell ref="C3:C4"/>
    <mergeCell ref="D3:D4"/>
    <mergeCell ref="E3:H3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F240-C6C9-4E46-82E1-6CAC885D851D}">
  <sheetPr>
    <tabColor theme="1"/>
  </sheetPr>
  <dimension ref="A1"/>
  <sheetViews>
    <sheetView topLeftCell="XFD1048576" workbookViewId="0">
      <selection sqref="A1:IV65536"/>
    </sheetView>
  </sheetViews>
  <sheetFormatPr defaultColWidth="0" defaultRowHeight="12.75" customHeight="1" zeroHeight="1" x14ac:dyDescent="0.25"/>
  <cols>
    <col min="1" max="16384" width="0" style="117" hidden="1"/>
  </cols>
  <sheetData/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848A-9E96-40B6-89A6-E0D615F0EB6E}">
  <dimension ref="A1:K68"/>
  <sheetViews>
    <sheetView showGridLines="0" topLeftCell="A39" zoomScale="85" zoomScaleNormal="85" workbookViewId="0">
      <selection activeCell="P1" sqref="P1"/>
    </sheetView>
  </sheetViews>
  <sheetFormatPr defaultColWidth="9.1796875" defaultRowHeight="14.5" x14ac:dyDescent="0.35"/>
  <cols>
    <col min="1" max="1" width="27.81640625" style="1017" customWidth="1"/>
    <col min="2" max="2" width="19.7265625" style="1017" customWidth="1"/>
    <col min="3" max="3" width="24.81640625" style="1017" customWidth="1"/>
    <col min="4" max="4" width="9.1796875" style="1017"/>
    <col min="5" max="5" width="12.453125" style="1017" customWidth="1"/>
    <col min="6" max="6" width="22.54296875" style="1017" customWidth="1"/>
    <col min="7" max="7" width="24.81640625" style="1017" customWidth="1"/>
    <col min="8" max="16384" width="9.1796875" style="1017"/>
  </cols>
  <sheetData>
    <row r="1" spans="1:7" ht="15" thickBot="1" x14ac:dyDescent="0.4"/>
    <row r="2" spans="1:7" ht="15" thickBot="1" x14ac:dyDescent="0.4">
      <c r="A2" s="1145" t="s">
        <v>790</v>
      </c>
      <c r="B2" s="1146"/>
      <c r="C2" s="1146"/>
      <c r="D2" s="1146"/>
      <c r="E2" s="1146"/>
      <c r="F2" s="1146"/>
      <c r="G2" s="1147"/>
    </row>
    <row r="3" spans="1:7" ht="19" thickBot="1" x14ac:dyDescent="0.5">
      <c r="A3" s="1148" t="s">
        <v>791</v>
      </c>
      <c r="B3" s="1149"/>
      <c r="C3" s="1149"/>
      <c r="D3" s="1149"/>
      <c r="E3" s="1149"/>
      <c r="F3" s="1149"/>
      <c r="G3" s="1150"/>
    </row>
    <row r="4" spans="1:7" x14ac:dyDescent="0.35">
      <c r="A4" s="1151" t="s">
        <v>792</v>
      </c>
      <c r="B4" s="1152"/>
      <c r="C4" s="1153"/>
      <c r="E4" s="1154" t="s">
        <v>793</v>
      </c>
      <c r="F4" s="1154"/>
      <c r="G4" s="1155"/>
    </row>
    <row r="5" spans="1:7" x14ac:dyDescent="0.35">
      <c r="A5" s="1018" t="s">
        <v>794</v>
      </c>
      <c r="B5" s="1019" t="s">
        <v>795</v>
      </c>
      <c r="C5" s="1019" t="s">
        <v>796</v>
      </c>
      <c r="E5" s="1019" t="s">
        <v>794</v>
      </c>
      <c r="F5" s="1019" t="s">
        <v>795</v>
      </c>
      <c r="G5" s="1020" t="s">
        <v>796</v>
      </c>
    </row>
    <row r="6" spans="1:7" x14ac:dyDescent="0.35">
      <c r="A6" s="1021" t="s">
        <v>797</v>
      </c>
      <c r="B6" s="1022">
        <v>199.63731821000002</v>
      </c>
      <c r="C6" s="1023">
        <v>69.05</v>
      </c>
      <c r="E6" s="1024" t="s">
        <v>797</v>
      </c>
      <c r="F6" s="1022">
        <v>212.81186316999998</v>
      </c>
      <c r="G6" s="1025">
        <v>22.306706232</v>
      </c>
    </row>
    <row r="7" spans="1:7" x14ac:dyDescent="0.35">
      <c r="A7" s="1021" t="s">
        <v>798</v>
      </c>
      <c r="B7" s="1022">
        <v>262.43277798999998</v>
      </c>
      <c r="C7" s="1023">
        <v>49.88</v>
      </c>
      <c r="E7" s="1024" t="s">
        <v>798</v>
      </c>
      <c r="F7" s="1022">
        <v>293.43743549000004</v>
      </c>
      <c r="G7" s="1025">
        <v>102.43795468000002</v>
      </c>
    </row>
    <row r="8" spans="1:7" x14ac:dyDescent="0.35">
      <c r="A8" s="1021" t="s">
        <v>799</v>
      </c>
      <c r="B8" s="1022">
        <v>327.62464073000001</v>
      </c>
      <c r="C8" s="1023">
        <v>123.61</v>
      </c>
      <c r="E8" s="1024" t="s">
        <v>799</v>
      </c>
      <c r="F8" s="1022">
        <v>269.14604009999999</v>
      </c>
      <c r="G8" s="1025">
        <v>208.81536040000003</v>
      </c>
    </row>
    <row r="9" spans="1:7" x14ac:dyDescent="0.35">
      <c r="A9" s="1021" t="s">
        <v>800</v>
      </c>
      <c r="B9" s="1022">
        <v>403.10621142000002</v>
      </c>
      <c r="C9" s="1023">
        <v>101.1</v>
      </c>
      <c r="E9" s="1024" t="s">
        <v>800</v>
      </c>
      <c r="F9" s="1022">
        <v>195.01584635999998</v>
      </c>
      <c r="G9" s="1025">
        <v>113.95094107999999</v>
      </c>
    </row>
    <row r="10" spans="1:7" x14ac:dyDescent="0.35">
      <c r="A10" s="1021" t="s">
        <v>801</v>
      </c>
      <c r="B10" s="1022">
        <v>407.26595765000002</v>
      </c>
      <c r="C10" s="1023">
        <v>165.37</v>
      </c>
      <c r="E10" s="1024" t="s">
        <v>801</v>
      </c>
      <c r="F10" s="1022">
        <v>280.93528641</v>
      </c>
      <c r="G10" s="1025">
        <v>210.07721102399998</v>
      </c>
    </row>
    <row r="11" spans="1:7" x14ac:dyDescent="0.35">
      <c r="A11" s="1021" t="s">
        <v>802</v>
      </c>
      <c r="B11" s="1022">
        <v>336.44100882000004</v>
      </c>
      <c r="C11" s="1023">
        <v>177.02936389999999</v>
      </c>
      <c r="E11" s="1024" t="s">
        <v>802</v>
      </c>
      <c r="F11" s="1022">
        <v>274.61088168999999</v>
      </c>
      <c r="G11" s="1025">
        <v>191.91551672800003</v>
      </c>
    </row>
    <row r="12" spans="1:7" x14ac:dyDescent="0.35">
      <c r="A12" s="1021" t="s">
        <v>803</v>
      </c>
      <c r="B12" s="1022">
        <v>273.78673388999999</v>
      </c>
      <c r="C12" s="1023">
        <v>67.790000000000006</v>
      </c>
      <c r="E12" s="1024" t="s">
        <v>803</v>
      </c>
      <c r="F12" s="1022">
        <v>139.66741812000001</v>
      </c>
      <c r="G12" s="1025">
        <v>73.348678792000001</v>
      </c>
    </row>
    <row r="13" spans="1:7" x14ac:dyDescent="0.35">
      <c r="A13" s="1021" t="s">
        <v>804</v>
      </c>
      <c r="B13" s="1022">
        <v>283.65796895</v>
      </c>
      <c r="C13" s="1023">
        <v>87.44</v>
      </c>
      <c r="E13" s="1024" t="s">
        <v>804</v>
      </c>
      <c r="F13" s="1022">
        <v>195.16300053000001</v>
      </c>
      <c r="G13" s="1025">
        <v>4.1300820000000007</v>
      </c>
    </row>
    <row r="14" spans="1:7" x14ac:dyDescent="0.35">
      <c r="A14" s="1021" t="s">
        <v>805</v>
      </c>
      <c r="B14" s="1022">
        <v>286.06397124</v>
      </c>
      <c r="C14" s="1023">
        <v>57.72</v>
      </c>
      <c r="E14" s="1024" t="s">
        <v>805</v>
      </c>
      <c r="F14" s="1022">
        <v>367.25552082000002</v>
      </c>
      <c r="G14" s="1025">
        <v>139.978849008</v>
      </c>
    </row>
    <row r="15" spans="1:7" x14ac:dyDescent="0.35">
      <c r="A15" s="1021" t="s">
        <v>806</v>
      </c>
      <c r="B15" s="1022">
        <v>491.72630050999999</v>
      </c>
      <c r="C15" s="1023">
        <v>187.27</v>
      </c>
      <c r="E15" s="1024" t="s">
        <v>806</v>
      </c>
      <c r="F15" s="1022">
        <v>432.98553359000005</v>
      </c>
      <c r="G15" s="1025">
        <v>119.8741392</v>
      </c>
    </row>
    <row r="16" spans="1:7" x14ac:dyDescent="0.35">
      <c r="A16" s="1021" t="s">
        <v>807</v>
      </c>
      <c r="B16" s="1022">
        <v>265.10244051000001</v>
      </c>
      <c r="C16" s="1023">
        <v>95.65</v>
      </c>
      <c r="E16" s="1024" t="s">
        <v>807</v>
      </c>
      <c r="F16" s="1022">
        <v>226.45014402000001</v>
      </c>
      <c r="G16" s="1025">
        <v>19.672192920000001</v>
      </c>
    </row>
    <row r="17" spans="1:7" x14ac:dyDescent="0.35">
      <c r="A17" s="1021" t="s">
        <v>808</v>
      </c>
      <c r="B17" s="1022">
        <v>496.40888655000003</v>
      </c>
      <c r="C17" s="1023">
        <v>286.14999999999998</v>
      </c>
      <c r="E17" s="1024" t="s">
        <v>808</v>
      </c>
      <c r="F17" s="1022">
        <v>285.51131006999998</v>
      </c>
      <c r="G17" s="1025">
        <v>114.814585072</v>
      </c>
    </row>
    <row r="18" spans="1:7" x14ac:dyDescent="0.35">
      <c r="A18" s="1021" t="s">
        <v>809</v>
      </c>
      <c r="B18" s="1022">
        <v>125.24159867</v>
      </c>
      <c r="C18" s="1023">
        <v>41.97</v>
      </c>
      <c r="E18" s="1024" t="s">
        <v>809</v>
      </c>
      <c r="F18" s="1022">
        <v>226.63035087</v>
      </c>
      <c r="G18" s="1025">
        <v>90.446311944000001</v>
      </c>
    </row>
    <row r="19" spans="1:7" x14ac:dyDescent="0.35">
      <c r="A19" s="1021" t="s">
        <v>810</v>
      </c>
      <c r="B19" s="1022">
        <v>209.71575994000003</v>
      </c>
      <c r="C19" s="1023">
        <v>141.01</v>
      </c>
      <c r="E19" s="1024" t="s">
        <v>810</v>
      </c>
      <c r="F19" s="1022">
        <v>281.08663256</v>
      </c>
      <c r="G19" s="1025">
        <v>2.794064568</v>
      </c>
    </row>
    <row r="20" spans="1:7" x14ac:dyDescent="0.35">
      <c r="A20" s="1021" t="s">
        <v>811</v>
      </c>
      <c r="B20" s="1022">
        <v>387.72563706</v>
      </c>
      <c r="C20" s="1023">
        <v>387.73</v>
      </c>
      <c r="E20" s="1024" t="s">
        <v>811</v>
      </c>
      <c r="F20" s="1022">
        <v>316.13893073999998</v>
      </c>
      <c r="G20" s="1025">
        <v>37.899779856000002</v>
      </c>
    </row>
    <row r="21" spans="1:7" x14ac:dyDescent="0.35">
      <c r="A21" s="1021" t="s">
        <v>812</v>
      </c>
      <c r="B21" s="1022">
        <v>192.79142923000001</v>
      </c>
      <c r="C21" s="1023">
        <v>190.19665293</v>
      </c>
      <c r="E21" s="1024" t="s">
        <v>812</v>
      </c>
      <c r="F21" s="1022">
        <v>227.68916342000003</v>
      </c>
      <c r="G21" s="1025">
        <v>3.9772059200000003</v>
      </c>
    </row>
    <row r="22" spans="1:7" x14ac:dyDescent="0.35">
      <c r="A22" s="1021" t="s">
        <v>813</v>
      </c>
      <c r="B22" s="1022">
        <v>259.73831985999999</v>
      </c>
      <c r="C22" s="1023">
        <v>259.74</v>
      </c>
      <c r="E22" s="1024" t="s">
        <v>813</v>
      </c>
      <c r="F22" s="1022">
        <v>290.08541109999999</v>
      </c>
      <c r="G22" s="1025">
        <v>6.2501771680000004</v>
      </c>
    </row>
    <row r="23" spans="1:7" x14ac:dyDescent="0.35">
      <c r="A23" s="1021" t="s">
        <v>814</v>
      </c>
      <c r="B23" s="1022">
        <v>277.74482778999999</v>
      </c>
      <c r="C23" s="1023">
        <v>25.538744469999997</v>
      </c>
      <c r="E23" s="1024" t="s">
        <v>814</v>
      </c>
      <c r="F23" s="1022">
        <v>379.20914726999996</v>
      </c>
      <c r="G23" s="1025">
        <v>23.728553832000003</v>
      </c>
    </row>
    <row r="24" spans="1:7" x14ac:dyDescent="0.35">
      <c r="A24" s="1021" t="s">
        <v>815</v>
      </c>
      <c r="B24" s="1022">
        <v>439.32091267999999</v>
      </c>
      <c r="C24" s="1023">
        <v>116.35</v>
      </c>
      <c r="E24" s="1024" t="s">
        <v>815</v>
      </c>
      <c r="F24" s="1022">
        <v>256.24323900000002</v>
      </c>
      <c r="G24" s="1025">
        <v>0</v>
      </c>
    </row>
    <row r="25" spans="1:7" x14ac:dyDescent="0.35">
      <c r="A25" s="1021" t="s">
        <v>816</v>
      </c>
      <c r="B25" s="1022">
        <v>175.20099626000001</v>
      </c>
      <c r="C25" s="1023">
        <v>51.59</v>
      </c>
      <c r="E25" s="1024" t="s">
        <v>816</v>
      </c>
      <c r="F25" s="1022">
        <v>288.02173004999997</v>
      </c>
      <c r="G25" s="1025">
        <v>0</v>
      </c>
    </row>
    <row r="26" spans="1:7" x14ac:dyDescent="0.35">
      <c r="A26" s="1021" t="s">
        <v>817</v>
      </c>
      <c r="B26" s="1022">
        <v>260.17052602000001</v>
      </c>
      <c r="C26" s="1023">
        <v>76.36</v>
      </c>
      <c r="E26" s="1024" t="s">
        <v>817</v>
      </c>
      <c r="F26" s="1022">
        <v>297.05703023000001</v>
      </c>
      <c r="G26" s="1025">
        <v>9.4165390959999993</v>
      </c>
    </row>
    <row r="27" spans="1:7" x14ac:dyDescent="0.35">
      <c r="A27" s="1021" t="s">
        <v>818</v>
      </c>
      <c r="B27" s="1022">
        <v>467.87584760999994</v>
      </c>
      <c r="C27" s="1023">
        <v>336.08</v>
      </c>
      <c r="E27" s="1024" t="s">
        <v>818</v>
      </c>
      <c r="F27" s="1022">
        <v>290.39542377999999</v>
      </c>
      <c r="G27" s="1025">
        <v>27.106842544000003</v>
      </c>
    </row>
    <row r="28" spans="1:7" x14ac:dyDescent="0.35">
      <c r="A28" s="1021" t="s">
        <v>819</v>
      </c>
      <c r="B28" s="1022">
        <v>264.41541619000003</v>
      </c>
      <c r="C28" s="1023">
        <v>135.62</v>
      </c>
      <c r="E28" s="1024" t="s">
        <v>819</v>
      </c>
      <c r="F28" s="1022">
        <v>192.65917236999999</v>
      </c>
      <c r="G28" s="1025">
        <v>0</v>
      </c>
    </row>
    <row r="29" spans="1:7" x14ac:dyDescent="0.35">
      <c r="A29" s="1021" t="s">
        <v>820</v>
      </c>
      <c r="B29" s="1022">
        <v>374.55071951999997</v>
      </c>
      <c r="C29" s="1023">
        <v>223.87</v>
      </c>
      <c r="E29" s="1024" t="s">
        <v>820</v>
      </c>
      <c r="F29" s="1022">
        <v>126.89782327</v>
      </c>
      <c r="G29" s="1025">
        <v>33.783259432000001</v>
      </c>
    </row>
    <row r="30" spans="1:7" x14ac:dyDescent="0.35">
      <c r="A30" s="1021" t="s">
        <v>821</v>
      </c>
      <c r="B30" s="1022">
        <v>281.55341190000001</v>
      </c>
      <c r="C30" s="1023">
        <v>92.93</v>
      </c>
      <c r="E30" s="1024" t="s">
        <v>821</v>
      </c>
      <c r="F30" s="1022">
        <v>176.46094686000001</v>
      </c>
      <c r="G30" s="1025">
        <v>55.343634984000005</v>
      </c>
    </row>
    <row r="31" spans="1:7" x14ac:dyDescent="0.35">
      <c r="A31" s="1021" t="s">
        <v>822</v>
      </c>
      <c r="B31" s="1022">
        <v>393.25569275000004</v>
      </c>
      <c r="C31" s="1023">
        <v>144.97</v>
      </c>
      <c r="E31" s="1024" t="s">
        <v>822</v>
      </c>
      <c r="F31" s="1022">
        <v>173.61884613999999</v>
      </c>
      <c r="G31" s="1025">
        <v>15.884909112000001</v>
      </c>
    </row>
    <row r="32" spans="1:7" x14ac:dyDescent="0.35">
      <c r="A32" s="1021" t="s">
        <v>823</v>
      </c>
      <c r="B32" s="1022">
        <v>287.52332088999998</v>
      </c>
      <c r="C32" s="1023">
        <v>116.62155293000001</v>
      </c>
      <c r="E32" s="1024" t="s">
        <v>823</v>
      </c>
      <c r="F32" s="1022">
        <v>210.53346342000003</v>
      </c>
      <c r="G32" s="1025">
        <v>66.293466392000013</v>
      </c>
    </row>
    <row r="33" spans="1:7" x14ac:dyDescent="0.35">
      <c r="A33" s="1021" t="s">
        <v>824</v>
      </c>
      <c r="B33" s="1022">
        <v>313.37569241</v>
      </c>
      <c r="C33" s="1023">
        <v>129.68075422000001</v>
      </c>
      <c r="E33" s="1024" t="s">
        <v>824</v>
      </c>
      <c r="F33" s="1022">
        <v>164.31046013</v>
      </c>
      <c r="G33" s="1025">
        <v>26.182551608000001</v>
      </c>
    </row>
    <row r="34" spans="1:7" x14ac:dyDescent="0.35">
      <c r="A34" s="1021" t="s">
        <v>825</v>
      </c>
      <c r="B34" s="1022">
        <v>233.27605918999998</v>
      </c>
      <c r="C34" s="1023">
        <v>75.426813260000003</v>
      </c>
      <c r="E34" s="1024" t="s">
        <v>825</v>
      </c>
      <c r="F34" s="1022">
        <v>139.26864029000001</v>
      </c>
      <c r="G34" s="1025">
        <v>96.361254760000008</v>
      </c>
    </row>
    <row r="35" spans="1:7" x14ac:dyDescent="0.35">
      <c r="A35" s="1021" t="s">
        <v>826</v>
      </c>
      <c r="B35" s="1022">
        <v>100.06560703</v>
      </c>
      <c r="C35" s="1023">
        <v>4.45801844</v>
      </c>
      <c r="E35" s="1024" t="s">
        <v>826</v>
      </c>
      <c r="F35" s="1022">
        <v>151.48407842999998</v>
      </c>
      <c r="G35" s="1025">
        <v>17.055240128000001</v>
      </c>
    </row>
    <row r="36" spans="1:7" x14ac:dyDescent="0.35">
      <c r="A36" s="1021" t="s">
        <v>827</v>
      </c>
      <c r="B36" s="1022">
        <v>286.80914085000001</v>
      </c>
      <c r="C36" s="1023">
        <v>1.05377824</v>
      </c>
      <c r="E36" s="1024" t="s">
        <v>827</v>
      </c>
      <c r="F36" s="1022">
        <v>492.16776774000004</v>
      </c>
      <c r="G36" s="1025">
        <v>279.73383887200004</v>
      </c>
    </row>
    <row r="37" spans="1:7" x14ac:dyDescent="0.35">
      <c r="A37" s="1021" t="s">
        <v>828</v>
      </c>
      <c r="B37" s="1022">
        <v>297.34466277000001</v>
      </c>
      <c r="C37" s="1023">
        <v>81.886252800000008</v>
      </c>
      <c r="E37" s="1024" t="s">
        <v>828</v>
      </c>
      <c r="F37" s="1022">
        <v>255.14015181999997</v>
      </c>
      <c r="G37" s="1025">
        <v>139.390852784</v>
      </c>
    </row>
    <row r="38" spans="1:7" x14ac:dyDescent="0.35">
      <c r="A38" s="1021" t="s">
        <v>829</v>
      </c>
      <c r="B38" s="1022">
        <v>248.07067541999999</v>
      </c>
      <c r="C38" s="1023">
        <v>20.81394027</v>
      </c>
      <c r="E38" s="1024" t="s">
        <v>829</v>
      </c>
      <c r="F38" s="1022">
        <v>376.90204414999999</v>
      </c>
      <c r="G38" s="1025">
        <v>119.19127400800001</v>
      </c>
    </row>
    <row r="39" spans="1:7" x14ac:dyDescent="0.35">
      <c r="A39" s="1021" t="s">
        <v>830</v>
      </c>
      <c r="B39" s="1022">
        <v>259.99382086000003</v>
      </c>
      <c r="C39" s="1023">
        <v>59.348396170000001</v>
      </c>
      <c r="E39" s="1024" t="s">
        <v>830</v>
      </c>
      <c r="F39" s="1022">
        <v>369.44250187</v>
      </c>
      <c r="G39" s="1025">
        <v>161.697542064</v>
      </c>
    </row>
    <row r="40" spans="1:7" x14ac:dyDescent="0.35">
      <c r="A40" s="1021" t="s">
        <v>831</v>
      </c>
      <c r="B40" s="1022">
        <v>254.62309973000001</v>
      </c>
      <c r="C40" s="1023">
        <v>18.235563930000001</v>
      </c>
      <c r="E40" s="1024" t="s">
        <v>831</v>
      </c>
      <c r="F40" s="1022">
        <v>342.02900431</v>
      </c>
      <c r="G40" s="1025">
        <v>125.27245482400002</v>
      </c>
    </row>
    <row r="41" spans="1:7" ht="15" thickBot="1" x14ac:dyDescent="0.4">
      <c r="A41" s="1021" t="s">
        <v>832</v>
      </c>
      <c r="B41" s="1022">
        <v>293.46813837000002</v>
      </c>
      <c r="C41" s="1023">
        <v>25.54662549</v>
      </c>
      <c r="E41" s="1024" t="s">
        <v>832</v>
      </c>
      <c r="F41" s="1022">
        <v>369.54605680999998</v>
      </c>
      <c r="G41" s="1025">
        <v>83.469540936000001</v>
      </c>
    </row>
    <row r="42" spans="1:7" ht="15" thickBot="1" x14ac:dyDescent="0.4">
      <c r="A42" s="1030" t="s">
        <v>44</v>
      </c>
      <c r="B42" s="1031">
        <f>SUM(B6:B41)</f>
        <v>10717.105529470002</v>
      </c>
      <c r="C42" s="1032">
        <f>SUM(C6:C41)</f>
        <v>4225.0864570499998</v>
      </c>
      <c r="E42" s="1024" t="s">
        <v>833</v>
      </c>
      <c r="F42" s="1022">
        <v>504.69554568000001</v>
      </c>
      <c r="G42" s="1026">
        <v>151.849979432</v>
      </c>
    </row>
    <row r="43" spans="1:7" ht="15" thickBot="1" x14ac:dyDescent="0.4">
      <c r="A43" s="1036"/>
      <c r="E43" s="1019" t="s">
        <v>44</v>
      </c>
      <c r="F43" s="1027">
        <f>SUM(F6:F42)</f>
        <v>10070.703842680003</v>
      </c>
      <c r="G43" s="1028">
        <f>SUM(G6:G42)</f>
        <v>2894.4514914000001</v>
      </c>
    </row>
    <row r="44" spans="1:7" ht="15" thickBot="1" x14ac:dyDescent="0.4">
      <c r="G44" s="1029"/>
    </row>
    <row r="45" spans="1:7" ht="15" thickBot="1" x14ac:dyDescent="0.4">
      <c r="D45" s="1145" t="s">
        <v>834</v>
      </c>
      <c r="E45" s="1146"/>
      <c r="F45" s="1147"/>
      <c r="G45" s="1066">
        <f>G43+C42</f>
        <v>7119.5379484499999</v>
      </c>
    </row>
    <row r="46" spans="1:7" ht="15" thickBot="1" x14ac:dyDescent="0.4">
      <c r="D46" s="1145" t="s">
        <v>835</v>
      </c>
      <c r="E46" s="1146"/>
      <c r="F46" s="1147"/>
      <c r="G46" s="1066">
        <f>B42+F43</f>
        <v>20787.809372150004</v>
      </c>
    </row>
    <row r="47" spans="1:7" ht="15" thickBot="1" x14ac:dyDescent="0.4">
      <c r="D47" s="1033"/>
      <c r="E47" s="1034" t="s">
        <v>836</v>
      </c>
      <c r="F47" s="1033"/>
      <c r="G47" s="1035"/>
    </row>
    <row r="48" spans="1:7" x14ac:dyDescent="0.35">
      <c r="D48" s="1037"/>
    </row>
    <row r="49" spans="1:11" ht="15" thickBot="1" x14ac:dyDescent="0.4">
      <c r="K49" s="1037"/>
    </row>
    <row r="50" spans="1:11" ht="15" thickBot="1" x14ac:dyDescent="0.4">
      <c r="A50" s="1038" t="s">
        <v>837</v>
      </c>
      <c r="B50" s="1039"/>
      <c r="C50" s="1040"/>
    </row>
    <row r="51" spans="1:11" x14ac:dyDescent="0.35">
      <c r="A51" s="1142" t="s">
        <v>838</v>
      </c>
      <c r="B51" s="1142"/>
      <c r="C51" s="1142"/>
    </row>
    <row r="52" spans="1:11" x14ac:dyDescent="0.35">
      <c r="A52" s="1041"/>
      <c r="B52" s="1041"/>
      <c r="C52" s="1042"/>
    </row>
    <row r="53" spans="1:11" x14ac:dyDescent="0.35">
      <c r="A53" s="1046" t="s">
        <v>842</v>
      </c>
      <c r="B53" s="1047">
        <f>ROUND((0.95*0.27)+(0.78*0.73),2)</f>
        <v>0.83</v>
      </c>
      <c r="C53" s="1042"/>
    </row>
    <row r="54" spans="1:11" x14ac:dyDescent="0.35">
      <c r="A54" s="1052" t="s">
        <v>843</v>
      </c>
      <c r="B54" s="1053">
        <f>TRUNC(B53*B42,0)</f>
        <v>8895</v>
      </c>
      <c r="C54" s="1054"/>
      <c r="E54" s="1141"/>
      <c r="F54" s="1141"/>
      <c r="G54" s="1141"/>
      <c r="H54" s="1141"/>
    </row>
    <row r="55" spans="1:11" x14ac:dyDescent="0.35">
      <c r="A55" s="1052" t="s">
        <v>844</v>
      </c>
      <c r="B55" s="1053">
        <f>TRUNC(B53*F43,0)</f>
        <v>8358</v>
      </c>
      <c r="C55" s="1054"/>
    </row>
    <row r="56" spans="1:11" ht="60" customHeight="1" thickBot="1" x14ac:dyDescent="0.4">
      <c r="A56" s="1052" t="s">
        <v>846</v>
      </c>
      <c r="B56" s="1058">
        <f>B55+B54</f>
        <v>17253</v>
      </c>
      <c r="C56" s="1042"/>
    </row>
    <row r="57" spans="1:11" x14ac:dyDescent="0.35">
      <c r="C57" s="1059"/>
      <c r="E57" s="1143" t="s">
        <v>839</v>
      </c>
      <c r="F57" s="1144"/>
      <c r="G57" s="1043" t="s">
        <v>840</v>
      </c>
      <c r="H57" s="1044"/>
      <c r="I57" s="1045" t="s">
        <v>841</v>
      </c>
    </row>
    <row r="58" spans="1:11" x14ac:dyDescent="0.35">
      <c r="C58" s="1059"/>
      <c r="E58" s="1048" t="s">
        <v>792</v>
      </c>
      <c r="F58" s="1049">
        <f>B54</f>
        <v>8895</v>
      </c>
      <c r="G58" s="1050">
        <f>C42</f>
        <v>4225.0864570499998</v>
      </c>
      <c r="H58" s="1051"/>
      <c r="I58" s="1067">
        <f>G58/F58</f>
        <v>0.47499566689713318</v>
      </c>
    </row>
    <row r="59" spans="1:11" x14ac:dyDescent="0.35">
      <c r="C59" s="1059"/>
      <c r="E59" s="1048" t="s">
        <v>793</v>
      </c>
      <c r="F59" s="1049">
        <f>B55</f>
        <v>8358</v>
      </c>
      <c r="G59" s="1050">
        <f>G43</f>
        <v>2894.4514914000001</v>
      </c>
      <c r="H59" s="1051"/>
      <c r="I59" s="1067">
        <f>G59/F59</f>
        <v>0.34630910402010051</v>
      </c>
    </row>
    <row r="60" spans="1:11" ht="15" thickBot="1" x14ac:dyDescent="0.4">
      <c r="C60" s="1059"/>
      <c r="E60" s="1055" t="s">
        <v>845</v>
      </c>
      <c r="F60" s="1056"/>
      <c r="G60" s="1056"/>
      <c r="H60" s="1056"/>
      <c r="I60" s="1057">
        <f>(G58+G59)/(F58+F59)</f>
        <v>0.41265507149191444</v>
      </c>
    </row>
    <row r="61" spans="1:11" x14ac:dyDescent="0.35">
      <c r="C61" s="1059"/>
      <c r="I61" s="1084">
        <f>I60</f>
        <v>0.41265507149191444</v>
      </c>
    </row>
    <row r="62" spans="1:11" x14ac:dyDescent="0.35">
      <c r="C62" s="1059"/>
    </row>
    <row r="63" spans="1:11" x14ac:dyDescent="0.35">
      <c r="C63" s="1059"/>
    </row>
    <row r="64" spans="1:11" x14ac:dyDescent="0.35">
      <c r="C64" s="1059"/>
    </row>
    <row r="65" spans="3:8" x14ac:dyDescent="0.35">
      <c r="C65" s="1059"/>
    </row>
    <row r="66" spans="3:8" x14ac:dyDescent="0.35">
      <c r="C66" s="1059"/>
      <c r="H66" s="1059"/>
    </row>
    <row r="67" spans="3:8" x14ac:dyDescent="0.35">
      <c r="C67" s="1059"/>
    </row>
    <row r="68" spans="3:8" x14ac:dyDescent="0.35">
      <c r="C68" s="1059"/>
    </row>
  </sheetData>
  <mergeCells count="9">
    <mergeCell ref="E54:H54"/>
    <mergeCell ref="A51:C51"/>
    <mergeCell ref="E57:F57"/>
    <mergeCell ref="A2:G2"/>
    <mergeCell ref="A3:G3"/>
    <mergeCell ref="A4:C4"/>
    <mergeCell ref="E4:G4"/>
    <mergeCell ref="D45:F45"/>
    <mergeCell ref="D46:F46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2039-B417-4BAF-988B-B7AB3E3D8F63}">
  <sheetPr>
    <tabColor theme="6" tint="0.79998168889431442"/>
    <outlinePr summaryBelow="0"/>
  </sheetPr>
  <dimension ref="A1:AP136"/>
  <sheetViews>
    <sheetView showGridLines="0" topLeftCell="I1" zoomScale="57" zoomScaleNormal="70" workbookViewId="0">
      <selection activeCell="AN52" sqref="AN52:AN60"/>
    </sheetView>
  </sheetViews>
  <sheetFormatPr defaultColWidth="0" defaultRowHeight="12.5" outlineLevelRow="2" x14ac:dyDescent="0.25"/>
  <cols>
    <col min="1" max="1" width="8.26953125" style="110" customWidth="1"/>
    <col min="2" max="2" width="42.54296875" style="110" customWidth="1"/>
    <col min="3" max="3" width="7.453125" style="110" customWidth="1"/>
    <col min="4" max="4" width="10.1796875" style="110" customWidth="1"/>
    <col min="5" max="5" width="11.1796875" style="110" customWidth="1"/>
    <col min="6" max="40" width="10.7265625" style="110" customWidth="1"/>
    <col min="41" max="42" width="9.1796875" style="110" customWidth="1"/>
    <col min="43" max="16384" width="9.1796875" style="110" hidden="1"/>
  </cols>
  <sheetData>
    <row r="1" spans="1:13" ht="13" thickBot="1" x14ac:dyDescent="0.3"/>
    <row r="2" spans="1:13" s="541" customFormat="1" ht="40" customHeight="1" thickBot="1" x14ac:dyDescent="0.3">
      <c r="A2" s="538" t="s">
        <v>510</v>
      </c>
      <c r="B2" s="538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</row>
    <row r="3" spans="1:13" s="6" customFormat="1" ht="13" thickBot="1" x14ac:dyDescent="0.3"/>
    <row r="4" spans="1:13" s="557" customFormat="1" ht="30" customHeight="1" collapsed="1" thickBot="1" x14ac:dyDescent="0.3">
      <c r="A4" s="555" t="s">
        <v>739</v>
      </c>
      <c r="B4" s="556"/>
    </row>
    <row r="5" spans="1:13" s="6" customFormat="1" ht="20.149999999999999" hidden="1" customHeight="1" outlineLevel="1" thickBot="1" x14ac:dyDescent="0.3">
      <c r="A5" s="140" t="s">
        <v>384</v>
      </c>
      <c r="B5" s="141"/>
      <c r="C5" s="145"/>
      <c r="D5" s="144"/>
    </row>
    <row r="6" spans="1:13" s="6" customFormat="1" ht="20.149999999999999" hidden="1" customHeight="1" outlineLevel="1" x14ac:dyDescent="0.25">
      <c r="A6" s="142" t="s">
        <v>379</v>
      </c>
      <c r="B6" s="143"/>
      <c r="C6" s="708">
        <v>26651.55506422</v>
      </c>
      <c r="D6" s="709"/>
      <c r="H6" s="958"/>
    </row>
    <row r="7" spans="1:13" s="6" customFormat="1" ht="20.149999999999999" hidden="1" customHeight="1" outlineLevel="1" x14ac:dyDescent="0.25">
      <c r="A7" s="135" t="s">
        <v>380</v>
      </c>
      <c r="B7" s="78"/>
      <c r="C7" s="982">
        <v>20788.105529469998</v>
      </c>
      <c r="D7" s="710"/>
      <c r="E7" s="552">
        <v>20773</v>
      </c>
      <c r="H7" s="958"/>
    </row>
    <row r="8" spans="1:13" s="6" customFormat="1" ht="20.149999999999999" hidden="1" customHeight="1" outlineLevel="1" thickBot="1" x14ac:dyDescent="0.3">
      <c r="A8" s="136" t="s">
        <v>381</v>
      </c>
      <c r="B8" s="137"/>
      <c r="C8" s="983">
        <v>17254</v>
      </c>
      <c r="D8" s="711"/>
      <c r="E8" s="957"/>
      <c r="F8" s="957"/>
      <c r="H8" s="958"/>
    </row>
    <row r="9" spans="1:13" s="6" customFormat="1" ht="14.25" hidden="1" customHeight="1" outlineLevel="1" thickBot="1" x14ac:dyDescent="0.3">
      <c r="C9" s="551"/>
      <c r="H9" s="958"/>
    </row>
    <row r="10" spans="1:13" s="6" customFormat="1" ht="24.75" hidden="1" customHeight="1" outlineLevel="1" thickBot="1" x14ac:dyDescent="0.3">
      <c r="A10" s="140" t="s">
        <v>378</v>
      </c>
      <c r="B10" s="141"/>
      <c r="C10" s="145"/>
      <c r="D10" s="144"/>
      <c r="F10" s="167" t="s">
        <v>410</v>
      </c>
      <c r="G10" s="167" t="s">
        <v>411</v>
      </c>
    </row>
    <row r="11" spans="1:13" s="6" customFormat="1" ht="20.149999999999999" hidden="1" customHeight="1" outlineLevel="1" x14ac:dyDescent="0.25">
      <c r="A11" s="146" t="s">
        <v>128</v>
      </c>
      <c r="B11" s="128"/>
      <c r="C11" s="149">
        <f>G11/100</f>
        <v>0.09</v>
      </c>
      <c r="D11" s="150"/>
      <c r="F11" s="715">
        <f>1589/17657</f>
        <v>8.9992637480885762E-2</v>
      </c>
      <c r="G11" s="712">
        <v>9</v>
      </c>
    </row>
    <row r="12" spans="1:13" s="6" customFormat="1" ht="20.149999999999999" hidden="1" customHeight="1" outlineLevel="1" x14ac:dyDescent="0.25">
      <c r="A12" s="22" t="s">
        <v>275</v>
      </c>
      <c r="B12" s="126"/>
      <c r="C12" s="147">
        <f>G12/100</f>
        <v>0.05</v>
      </c>
      <c r="D12" s="151"/>
      <c r="F12" s="715">
        <f>883/17657</f>
        <v>5.0008495214362576E-2</v>
      </c>
      <c r="G12" s="712">
        <v>5</v>
      </c>
    </row>
    <row r="13" spans="1:13" s="6" customFormat="1" ht="20.149999999999999" hidden="1" customHeight="1" outlineLevel="1" x14ac:dyDescent="0.25">
      <c r="A13" s="22" t="s">
        <v>281</v>
      </c>
      <c r="B13" s="126"/>
      <c r="C13" s="147">
        <f>G13/100</f>
        <v>0.05</v>
      </c>
      <c r="D13" s="151"/>
      <c r="F13" s="17"/>
      <c r="G13" s="8">
        <v>5</v>
      </c>
    </row>
    <row r="14" spans="1:13" s="6" customFormat="1" ht="20.149999999999999" hidden="1" customHeight="1" outlineLevel="1" x14ac:dyDescent="0.25">
      <c r="A14" s="22" t="s">
        <v>282</v>
      </c>
      <c r="B14" s="126"/>
      <c r="C14" s="147">
        <f>G14/100</f>
        <v>0.08</v>
      </c>
      <c r="D14" s="151"/>
      <c r="F14" s="715">
        <f>1413/17657</f>
        <v>8.0024919295463556E-2</v>
      </c>
      <c r="G14" s="712">
        <v>8</v>
      </c>
    </row>
    <row r="15" spans="1:13" s="6" customFormat="1" ht="20.149999999999999" hidden="1" customHeight="1" outlineLevel="1" x14ac:dyDescent="0.25">
      <c r="A15" s="22" t="s">
        <v>276</v>
      </c>
      <c r="B15" s="126"/>
      <c r="C15" s="147">
        <f>G15/100</f>
        <v>0.48</v>
      </c>
      <c r="D15" s="151"/>
      <c r="F15" s="715">
        <f>8475/17657</f>
        <v>0.47997961148552981</v>
      </c>
      <c r="G15" s="712">
        <v>48</v>
      </c>
    </row>
    <row r="16" spans="1:13" s="6" customFormat="1" ht="20.149999999999999" hidden="1" customHeight="1" outlineLevel="1" x14ac:dyDescent="0.25">
      <c r="A16" s="22" t="s">
        <v>277</v>
      </c>
      <c r="B16" s="126"/>
      <c r="C16" s="713">
        <f>C15</f>
        <v>0.48</v>
      </c>
      <c r="D16" s="714"/>
      <c r="F16" s="17"/>
      <c r="G16" s="8"/>
    </row>
    <row r="17" spans="1:39" s="6" customFormat="1" ht="20.149999999999999" hidden="1" customHeight="1" outlineLevel="1" x14ac:dyDescent="0.25">
      <c r="A17" s="22" t="s">
        <v>278</v>
      </c>
      <c r="B17" s="126"/>
      <c r="C17" s="147">
        <f>G17/100</f>
        <v>0.25</v>
      </c>
      <c r="D17" s="151"/>
      <c r="F17" s="715">
        <f>4414/17657</f>
        <v>0.24998584130939572</v>
      </c>
      <c r="G17" s="712">
        <v>25</v>
      </c>
    </row>
    <row r="18" spans="1:39" s="6" customFormat="1" ht="20.149999999999999" hidden="1" customHeight="1" outlineLevel="1" x14ac:dyDescent="0.25">
      <c r="A18" s="22" t="s">
        <v>279</v>
      </c>
      <c r="B18" s="126"/>
      <c r="C18" s="713">
        <f>C17</f>
        <v>0.25</v>
      </c>
      <c r="D18" s="714"/>
      <c r="F18" s="17"/>
      <c r="G18" s="8"/>
    </row>
    <row r="19" spans="1:39" s="6" customFormat="1" ht="20.149999999999999" hidden="1" customHeight="1" outlineLevel="1" thickBot="1" x14ac:dyDescent="0.3">
      <c r="A19" s="41" t="s">
        <v>280</v>
      </c>
      <c r="B19" s="134"/>
      <c r="C19" s="148">
        <v>0</v>
      </c>
      <c r="D19" s="152"/>
      <c r="F19" s="17"/>
      <c r="G19" s="8"/>
    </row>
    <row r="20" spans="1:39" s="111" customFormat="1" ht="20.149999999999999" hidden="1" customHeight="1" outlineLevel="1" thickBot="1" x14ac:dyDescent="0.3">
      <c r="A20" s="6"/>
      <c r="B20" s="6"/>
      <c r="C20" s="6"/>
      <c r="D20" s="6"/>
      <c r="E20" s="6"/>
      <c r="F20" s="119"/>
      <c r="G20" s="119">
        <f>SUM(G11:G17)</f>
        <v>100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s="6" customFormat="1" ht="20.149999999999999" hidden="1" customHeight="1" outlineLevel="1" thickBot="1" x14ac:dyDescent="0.3">
      <c r="A21" s="140" t="s">
        <v>382</v>
      </c>
      <c r="B21" s="141"/>
      <c r="C21" s="145"/>
      <c r="D21" s="144"/>
    </row>
    <row r="22" spans="1:39" s="6" customFormat="1" ht="20.149999999999999" hidden="1" customHeight="1" outlineLevel="1" thickBot="1" x14ac:dyDescent="0.3">
      <c r="A22" s="132" t="s">
        <v>320</v>
      </c>
      <c r="B22" s="133"/>
      <c r="C22" s="1063">
        <f>'Cálculo de Área Irrigável'!I61</f>
        <v>0.41265507149191444</v>
      </c>
      <c r="D22" s="716"/>
    </row>
    <row r="23" spans="1:39" s="6" customFormat="1" ht="13" hidden="1" outlineLevel="1" thickBot="1" x14ac:dyDescent="0.3"/>
    <row r="24" spans="1:39" s="557" customFormat="1" ht="30" customHeight="1" collapsed="1" thickBot="1" x14ac:dyDescent="0.3">
      <c r="A24" s="555" t="s">
        <v>488</v>
      </c>
      <c r="B24" s="558"/>
    </row>
    <row r="25" spans="1:39" s="550" customFormat="1" ht="20.149999999999999" hidden="1" customHeight="1" outlineLevel="1" collapsed="1" thickBot="1" x14ac:dyDescent="0.3">
      <c r="A25" s="559" t="s">
        <v>385</v>
      </c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0"/>
      <c r="P25" s="560"/>
      <c r="Q25" s="560"/>
      <c r="R25" s="560"/>
      <c r="S25" s="560"/>
      <c r="T25" s="560"/>
      <c r="U25" s="560"/>
      <c r="V25" s="560"/>
      <c r="W25" s="560"/>
      <c r="X25" s="560"/>
      <c r="Y25" s="560"/>
      <c r="Z25" s="560"/>
      <c r="AA25" s="560"/>
      <c r="AB25" s="560"/>
      <c r="AC25" s="560"/>
      <c r="AD25" s="560"/>
      <c r="AE25" s="560"/>
      <c r="AF25" s="560"/>
      <c r="AG25" s="560"/>
      <c r="AH25" s="560"/>
      <c r="AI25" s="560"/>
      <c r="AJ25" s="560"/>
      <c r="AK25" s="560"/>
      <c r="AL25" s="560"/>
      <c r="AM25" s="561"/>
    </row>
    <row r="26" spans="1:39" s="124" customFormat="1" ht="20.149999999999999" hidden="1" customHeight="1" outlineLevel="2" thickBot="1" x14ac:dyDescent="0.3">
      <c r="A26" s="1096" t="s">
        <v>152</v>
      </c>
      <c r="B26" s="1167" t="s">
        <v>396</v>
      </c>
      <c r="C26" s="1164" t="s">
        <v>387</v>
      </c>
      <c r="D26" s="1165"/>
      <c r="E26" s="1165"/>
      <c r="F26" s="1165"/>
      <c r="G26" s="1165"/>
      <c r="H26" s="1165"/>
      <c r="I26" s="1165"/>
      <c r="J26" s="1165"/>
      <c r="K26" s="1165"/>
      <c r="L26" s="1165"/>
      <c r="M26" s="1165"/>
      <c r="N26" s="1165"/>
      <c r="O26" s="1165"/>
      <c r="P26" s="1165"/>
      <c r="Q26" s="1165"/>
      <c r="R26" s="1165"/>
      <c r="S26" s="1165"/>
      <c r="T26" s="1165"/>
      <c r="U26" s="1165"/>
      <c r="V26" s="1165"/>
      <c r="W26" s="1165"/>
      <c r="X26" s="1165"/>
      <c r="Y26" s="1165"/>
      <c r="Z26" s="1165"/>
      <c r="AA26" s="1165"/>
      <c r="AB26" s="1165"/>
      <c r="AC26" s="1165"/>
      <c r="AD26" s="1165"/>
      <c r="AE26" s="1165"/>
      <c r="AF26" s="1165"/>
      <c r="AG26" s="1165"/>
      <c r="AH26" s="1165"/>
      <c r="AI26" s="1165"/>
      <c r="AJ26" s="1165"/>
      <c r="AK26" s="1165"/>
      <c r="AL26" s="1165"/>
      <c r="AM26" s="1166"/>
    </row>
    <row r="27" spans="1:39" s="118" customFormat="1" ht="20.149999999999999" hidden="1" customHeight="1" outlineLevel="2" thickBot="1" x14ac:dyDescent="0.3">
      <c r="A27" s="1097"/>
      <c r="B27" s="1168"/>
      <c r="C27" s="122">
        <v>1</v>
      </c>
      <c r="D27" s="122">
        <f>C27+1</f>
        <v>2</v>
      </c>
      <c r="E27" s="122">
        <f t="shared" ref="E27:AK27" si="0">D27+1</f>
        <v>3</v>
      </c>
      <c r="F27" s="122">
        <f t="shared" si="0"/>
        <v>4</v>
      </c>
      <c r="G27" s="122">
        <f t="shared" si="0"/>
        <v>5</v>
      </c>
      <c r="H27" s="122">
        <f t="shared" si="0"/>
        <v>6</v>
      </c>
      <c r="I27" s="122">
        <f t="shared" si="0"/>
        <v>7</v>
      </c>
      <c r="J27" s="122">
        <f t="shared" si="0"/>
        <v>8</v>
      </c>
      <c r="K27" s="122">
        <f t="shared" si="0"/>
        <v>9</v>
      </c>
      <c r="L27" s="122">
        <f t="shared" si="0"/>
        <v>10</v>
      </c>
      <c r="M27" s="122">
        <f t="shared" si="0"/>
        <v>11</v>
      </c>
      <c r="N27" s="122">
        <f t="shared" si="0"/>
        <v>12</v>
      </c>
      <c r="O27" s="122">
        <f t="shared" si="0"/>
        <v>13</v>
      </c>
      <c r="P27" s="122">
        <f t="shared" si="0"/>
        <v>14</v>
      </c>
      <c r="Q27" s="122">
        <f t="shared" si="0"/>
        <v>15</v>
      </c>
      <c r="R27" s="122">
        <f t="shared" si="0"/>
        <v>16</v>
      </c>
      <c r="S27" s="122">
        <f t="shared" si="0"/>
        <v>17</v>
      </c>
      <c r="T27" s="122">
        <f t="shared" si="0"/>
        <v>18</v>
      </c>
      <c r="U27" s="122">
        <f t="shared" si="0"/>
        <v>19</v>
      </c>
      <c r="V27" s="122">
        <f t="shared" si="0"/>
        <v>20</v>
      </c>
      <c r="W27" s="122">
        <f t="shared" si="0"/>
        <v>21</v>
      </c>
      <c r="X27" s="122">
        <f t="shared" si="0"/>
        <v>22</v>
      </c>
      <c r="Y27" s="122">
        <f t="shared" si="0"/>
        <v>23</v>
      </c>
      <c r="Z27" s="122">
        <f t="shared" si="0"/>
        <v>24</v>
      </c>
      <c r="AA27" s="122">
        <f t="shared" si="0"/>
        <v>25</v>
      </c>
      <c r="AB27" s="122">
        <f t="shared" si="0"/>
        <v>26</v>
      </c>
      <c r="AC27" s="122">
        <f t="shared" si="0"/>
        <v>27</v>
      </c>
      <c r="AD27" s="122">
        <f t="shared" si="0"/>
        <v>28</v>
      </c>
      <c r="AE27" s="122">
        <f t="shared" si="0"/>
        <v>29</v>
      </c>
      <c r="AF27" s="122">
        <f t="shared" si="0"/>
        <v>30</v>
      </c>
      <c r="AG27" s="122">
        <f t="shared" si="0"/>
        <v>31</v>
      </c>
      <c r="AH27" s="122">
        <f t="shared" si="0"/>
        <v>32</v>
      </c>
      <c r="AI27" s="122">
        <f t="shared" si="0"/>
        <v>33</v>
      </c>
      <c r="AJ27" s="122">
        <f t="shared" si="0"/>
        <v>34</v>
      </c>
      <c r="AK27" s="122">
        <f t="shared" si="0"/>
        <v>35</v>
      </c>
      <c r="AL27" s="6"/>
      <c r="AM27" s="6"/>
    </row>
    <row r="28" spans="1:39" s="112" customFormat="1" ht="20.149999999999999" hidden="1" customHeight="1" outlineLevel="2" x14ac:dyDescent="0.25">
      <c r="A28" s="48">
        <v>1</v>
      </c>
      <c r="B28" s="131" t="s">
        <v>161</v>
      </c>
      <c r="C28" s="7"/>
      <c r="D28" s="7">
        <f>$C$22*D30</f>
        <v>0</v>
      </c>
      <c r="E28" s="7">
        <f>$C$22*E30</f>
        <v>0</v>
      </c>
      <c r="F28" s="7">
        <f>$C$22*F30</f>
        <v>519.40303434257316</v>
      </c>
      <c r="G28" s="7">
        <f t="shared" ref="G28:L28" si="1">$C$22*G30</f>
        <v>519.40303434257316</v>
      </c>
      <c r="H28" s="7">
        <f t="shared" si="1"/>
        <v>624.03714379964947</v>
      </c>
      <c r="I28" s="7">
        <f t="shared" si="1"/>
        <v>1205.2616405219355</v>
      </c>
      <c r="J28" s="7">
        <f t="shared" si="1"/>
        <v>1130.805427760944</v>
      </c>
      <c r="K28" s="7">
        <f t="shared" si="1"/>
        <v>1163.4915441043086</v>
      </c>
      <c r="L28" s="7">
        <f t="shared" si="1"/>
        <v>947.74076601724232</v>
      </c>
      <c r="M28" s="7">
        <f>$C$22*M30</f>
        <v>671.81908279192851</v>
      </c>
      <c r="N28" s="7">
        <f>$C$22*N30</f>
        <v>337.98892984033677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18"/>
      <c r="AL28" s="6"/>
      <c r="AM28" s="14"/>
    </row>
    <row r="29" spans="1:39" s="6" customFormat="1" ht="20.149999999999999" hidden="1" customHeight="1" outlineLevel="2" x14ac:dyDescent="0.25">
      <c r="A29" s="161">
        <v>2</v>
      </c>
      <c r="B29" s="127" t="s">
        <v>132</v>
      </c>
      <c r="C29" s="7"/>
      <c r="D29" s="961">
        <v>0</v>
      </c>
      <c r="E29" s="961">
        <v>0</v>
      </c>
      <c r="F29" s="961">
        <v>7.2950370482300686E-2</v>
      </c>
      <c r="G29" s="961">
        <v>7.2950370482300686E-2</v>
      </c>
      <c r="H29" s="961">
        <v>8.7646274328224111E-2</v>
      </c>
      <c r="I29" s="961">
        <v>0.16927949470967105</v>
      </c>
      <c r="J29" s="961">
        <v>0.15882208890629851</v>
      </c>
      <c r="K29" s="961">
        <v>0.16341286743321667</v>
      </c>
      <c r="L29" s="961">
        <v>0.13311058163079031</v>
      </c>
      <c r="M29" s="961">
        <v>9.4357267374811579E-2</v>
      </c>
      <c r="N29" s="961">
        <v>4.7470684652386373E-2</v>
      </c>
      <c r="O29" s="949"/>
      <c r="P29" s="949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62"/>
    </row>
    <row r="30" spans="1:39" s="6" customFormat="1" ht="20.149999999999999" hidden="1" customHeight="1" outlineLevel="2" x14ac:dyDescent="0.25">
      <c r="A30" s="48">
        <v>3</v>
      </c>
      <c r="B30" s="120" t="s">
        <v>127</v>
      </c>
      <c r="C30" s="125"/>
      <c r="D30" s="9">
        <f>D29*$C$8</f>
        <v>0</v>
      </c>
      <c r="E30" s="9">
        <f t="shared" ref="E30:N30" si="2">E29*$C$8</f>
        <v>0</v>
      </c>
      <c r="F30" s="9">
        <f>F29*$C$8</f>
        <v>1258.685692301616</v>
      </c>
      <c r="G30" s="9">
        <f>G29*$C$8</f>
        <v>1258.685692301616</v>
      </c>
      <c r="H30" s="9">
        <f t="shared" si="2"/>
        <v>1512.2488172591788</v>
      </c>
      <c r="I30" s="9">
        <f t="shared" si="2"/>
        <v>2920.7484017206643</v>
      </c>
      <c r="J30" s="9">
        <f t="shared" si="2"/>
        <v>2740.3163219892745</v>
      </c>
      <c r="K30" s="9">
        <f t="shared" si="2"/>
        <v>2819.5256146927204</v>
      </c>
      <c r="L30" s="9">
        <f t="shared" si="2"/>
        <v>2296.6899754576561</v>
      </c>
      <c r="M30" s="9">
        <f t="shared" si="2"/>
        <v>1628.0402912849991</v>
      </c>
      <c r="N30" s="9">
        <f t="shared" si="2"/>
        <v>819.05919299227446</v>
      </c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6"/>
      <c r="AK30" s="163"/>
    </row>
    <row r="31" spans="1:39" s="6" customFormat="1" ht="20.149999999999999" hidden="1" customHeight="1" outlineLevel="2" x14ac:dyDescent="0.25">
      <c r="A31" s="48">
        <v>4</v>
      </c>
      <c r="B31" s="120" t="s">
        <v>321</v>
      </c>
      <c r="C31" s="125"/>
      <c r="D31" s="9">
        <f>$C$11*D30</f>
        <v>0</v>
      </c>
      <c r="E31" s="9">
        <f t="shared" ref="E31:M31" si="3">$C$11*E30</f>
        <v>0</v>
      </c>
      <c r="F31" s="9">
        <f>$C$11*F30</f>
        <v>113.28171230714544</v>
      </c>
      <c r="G31" s="9">
        <f t="shared" si="3"/>
        <v>113.28171230714544</v>
      </c>
      <c r="H31" s="9">
        <f t="shared" si="3"/>
        <v>136.1023935533261</v>
      </c>
      <c r="I31" s="9">
        <f t="shared" si="3"/>
        <v>262.86735615485981</v>
      </c>
      <c r="J31" s="9">
        <f t="shared" si="3"/>
        <v>246.62846897903469</v>
      </c>
      <c r="K31" s="9">
        <f t="shared" si="3"/>
        <v>253.75730532234482</v>
      </c>
      <c r="L31" s="9">
        <f t="shared" si="3"/>
        <v>206.70209779118903</v>
      </c>
      <c r="M31" s="9">
        <f t="shared" si="3"/>
        <v>146.5236262156499</v>
      </c>
      <c r="N31" s="9">
        <f>$C$11*N30</f>
        <v>73.715327369304703</v>
      </c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6"/>
      <c r="AK31" s="163"/>
    </row>
    <row r="32" spans="1:39" s="6" customFormat="1" ht="20.149999999999999" hidden="1" customHeight="1" outlineLevel="2" x14ac:dyDescent="0.25">
      <c r="A32" s="48">
        <v>5</v>
      </c>
      <c r="B32" s="120" t="s">
        <v>322</v>
      </c>
      <c r="C32" s="125"/>
      <c r="D32" s="9">
        <f>$C$12*D30</f>
        <v>0</v>
      </c>
      <c r="E32" s="9">
        <f t="shared" ref="E32:M32" si="4">$C$12*E30</f>
        <v>0</v>
      </c>
      <c r="F32" s="9">
        <f>$C$12*F30</f>
        <v>62.934284615080799</v>
      </c>
      <c r="G32" s="9">
        <f t="shared" si="4"/>
        <v>62.934284615080799</v>
      </c>
      <c r="H32" s="9">
        <f>$C$12*H30</f>
        <v>75.612440862958948</v>
      </c>
      <c r="I32" s="9">
        <f t="shared" si="4"/>
        <v>146.03742008603322</v>
      </c>
      <c r="J32" s="9">
        <f t="shared" si="4"/>
        <v>137.01581609946373</v>
      </c>
      <c r="K32" s="9">
        <f t="shared" si="4"/>
        <v>140.97628073463602</v>
      </c>
      <c r="L32" s="9">
        <f t="shared" si="4"/>
        <v>114.83449877288281</v>
      </c>
      <c r="M32" s="9">
        <f t="shared" si="4"/>
        <v>81.402014564249953</v>
      </c>
      <c r="N32" s="9">
        <f>$C$12*N30</f>
        <v>40.952959649613724</v>
      </c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6"/>
      <c r="AK32" s="163"/>
    </row>
    <row r="33" spans="1:39" s="6" customFormat="1" ht="20.149999999999999" hidden="1" customHeight="1" outlineLevel="2" x14ac:dyDescent="0.25">
      <c r="A33" s="48">
        <v>6</v>
      </c>
      <c r="B33" s="120" t="s">
        <v>323</v>
      </c>
      <c r="C33" s="125"/>
      <c r="D33" s="9">
        <f>$C$13*D30</f>
        <v>0</v>
      </c>
      <c r="E33" s="9">
        <f t="shared" ref="E33:M33" si="5">$C$13*E30</f>
        <v>0</v>
      </c>
      <c r="F33" s="9">
        <f t="shared" si="5"/>
        <v>62.934284615080799</v>
      </c>
      <c r="G33" s="9">
        <f t="shared" si="5"/>
        <v>62.934284615080799</v>
      </c>
      <c r="H33" s="9">
        <f t="shared" si="5"/>
        <v>75.612440862958948</v>
      </c>
      <c r="I33" s="9">
        <f t="shared" si="5"/>
        <v>146.03742008603322</v>
      </c>
      <c r="J33" s="9">
        <f t="shared" si="5"/>
        <v>137.01581609946373</v>
      </c>
      <c r="K33" s="9">
        <f t="shared" si="5"/>
        <v>140.97628073463602</v>
      </c>
      <c r="L33" s="9">
        <f t="shared" si="5"/>
        <v>114.83449877288281</v>
      </c>
      <c r="M33" s="9">
        <f t="shared" si="5"/>
        <v>81.402014564249953</v>
      </c>
      <c r="N33" s="9">
        <f>$C$13*N30</f>
        <v>40.952959649613724</v>
      </c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6"/>
      <c r="AK33" s="163"/>
    </row>
    <row r="34" spans="1:39" s="6" customFormat="1" ht="20.149999999999999" hidden="1" customHeight="1" outlineLevel="2" thickBot="1" x14ac:dyDescent="0.3">
      <c r="A34" s="50">
        <v>7</v>
      </c>
      <c r="B34" s="164" t="s">
        <v>324</v>
      </c>
      <c r="C34" s="165"/>
      <c r="D34" s="26">
        <f>$C$14*D30</f>
        <v>0</v>
      </c>
      <c r="E34" s="26">
        <f t="shared" ref="E34:M34" si="6">$C$14*E30</f>
        <v>0</v>
      </c>
      <c r="F34" s="26">
        <f t="shared" si="6"/>
        <v>100.69485538412928</v>
      </c>
      <c r="G34" s="26">
        <f t="shared" si="6"/>
        <v>100.69485538412928</v>
      </c>
      <c r="H34" s="26">
        <f t="shared" si="6"/>
        <v>120.97990538073431</v>
      </c>
      <c r="I34" s="26">
        <f t="shared" si="6"/>
        <v>233.65987213765314</v>
      </c>
      <c r="J34" s="26">
        <f t="shared" si="6"/>
        <v>219.22530575914197</v>
      </c>
      <c r="K34" s="26">
        <f t="shared" si="6"/>
        <v>225.56204917541763</v>
      </c>
      <c r="L34" s="26">
        <f t="shared" si="6"/>
        <v>183.7351980366125</v>
      </c>
      <c r="M34" s="26">
        <f t="shared" si="6"/>
        <v>130.24322330279992</v>
      </c>
      <c r="N34" s="26">
        <f>$C$14*N30</f>
        <v>65.524735439381956</v>
      </c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34"/>
      <c r="AK34" s="166"/>
    </row>
    <row r="35" spans="1:39" s="6" customFormat="1" ht="20.149999999999999" hidden="1" customHeight="1" outlineLevel="2" thickBot="1" x14ac:dyDescent="0.3">
      <c r="A35" s="121"/>
      <c r="B35" s="553"/>
      <c r="C35" s="16"/>
      <c r="D35" s="16"/>
      <c r="E35" s="16"/>
      <c r="F35" s="554"/>
      <c r="G35" s="554"/>
      <c r="H35" s="554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9" s="550" customFormat="1" ht="20.149999999999999" hidden="1" customHeight="1" outlineLevel="1" collapsed="1" thickBot="1" x14ac:dyDescent="0.3">
      <c r="A36" s="559" t="s">
        <v>386</v>
      </c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0"/>
      <c r="P36" s="560"/>
      <c r="Q36" s="560"/>
      <c r="R36" s="560"/>
      <c r="S36" s="560"/>
      <c r="T36" s="560"/>
      <c r="U36" s="560"/>
      <c r="V36" s="560"/>
      <c r="W36" s="560"/>
      <c r="X36" s="560"/>
      <c r="Y36" s="560"/>
      <c r="Z36" s="560"/>
      <c r="AA36" s="560"/>
      <c r="AB36" s="560"/>
      <c r="AC36" s="560"/>
      <c r="AD36" s="560"/>
      <c r="AE36" s="560"/>
      <c r="AF36" s="560"/>
      <c r="AG36" s="560"/>
      <c r="AH36" s="560"/>
      <c r="AI36" s="560"/>
      <c r="AJ36" s="560"/>
      <c r="AK36" s="560"/>
      <c r="AL36" s="560"/>
      <c r="AM36" s="866"/>
    </row>
    <row r="37" spans="1:39" s="124" customFormat="1" ht="20.149999999999999" hidden="1" customHeight="1" outlineLevel="2" x14ac:dyDescent="0.25">
      <c r="A37" s="1096" t="s">
        <v>152</v>
      </c>
      <c r="B37" s="1098" t="s">
        <v>397</v>
      </c>
      <c r="C37" s="1169" t="s">
        <v>387</v>
      </c>
      <c r="D37" s="1170"/>
      <c r="E37" s="1170"/>
      <c r="F37" s="1170"/>
      <c r="G37" s="1170"/>
      <c r="H37" s="1170"/>
      <c r="I37" s="1170"/>
      <c r="J37" s="1170"/>
      <c r="K37" s="1170"/>
      <c r="L37" s="1170"/>
      <c r="M37" s="1170"/>
      <c r="N37" s="1170"/>
      <c r="O37" s="1170"/>
      <c r="P37" s="1170"/>
      <c r="Q37" s="1170"/>
      <c r="R37" s="1170"/>
      <c r="S37" s="1170"/>
      <c r="T37" s="1170"/>
      <c r="U37" s="1170"/>
      <c r="V37" s="1170"/>
      <c r="W37" s="1170"/>
      <c r="X37" s="1170"/>
      <c r="Y37" s="1170"/>
      <c r="Z37" s="1170"/>
      <c r="AA37" s="1170"/>
      <c r="AB37" s="1170"/>
      <c r="AC37" s="1170"/>
      <c r="AD37" s="1170"/>
      <c r="AE37" s="1170"/>
      <c r="AF37" s="1170"/>
      <c r="AG37" s="1170"/>
      <c r="AH37" s="1170"/>
      <c r="AI37" s="1170"/>
      <c r="AJ37" s="1170"/>
      <c r="AK37" s="1170"/>
      <c r="AL37" s="1170"/>
      <c r="AM37" s="1171"/>
    </row>
    <row r="38" spans="1:39" s="118" customFormat="1" ht="20.149999999999999" hidden="1" customHeight="1" outlineLevel="2" thickBot="1" x14ac:dyDescent="0.3">
      <c r="A38" s="1097"/>
      <c r="B38" s="1099"/>
      <c r="C38" s="122">
        <v>1</v>
      </c>
      <c r="D38" s="122">
        <f>C38+1</f>
        <v>2</v>
      </c>
      <c r="E38" s="122">
        <f t="shared" ref="E38:AK38" si="7">D38+1</f>
        <v>3</v>
      </c>
      <c r="F38" s="122">
        <f t="shared" si="7"/>
        <v>4</v>
      </c>
      <c r="G38" s="122">
        <f t="shared" si="7"/>
        <v>5</v>
      </c>
      <c r="H38" s="122">
        <f t="shared" si="7"/>
        <v>6</v>
      </c>
      <c r="I38" s="122">
        <f t="shared" si="7"/>
        <v>7</v>
      </c>
      <c r="J38" s="122">
        <f t="shared" si="7"/>
        <v>8</v>
      </c>
      <c r="K38" s="122">
        <f t="shared" si="7"/>
        <v>9</v>
      </c>
      <c r="L38" s="122">
        <f t="shared" si="7"/>
        <v>10</v>
      </c>
      <c r="M38" s="122">
        <f t="shared" si="7"/>
        <v>11</v>
      </c>
      <c r="N38" s="122">
        <f t="shared" si="7"/>
        <v>12</v>
      </c>
      <c r="O38" s="122">
        <f t="shared" si="7"/>
        <v>13</v>
      </c>
      <c r="P38" s="122">
        <f t="shared" si="7"/>
        <v>14</v>
      </c>
      <c r="Q38" s="122">
        <f t="shared" si="7"/>
        <v>15</v>
      </c>
      <c r="R38" s="122">
        <f t="shared" si="7"/>
        <v>16</v>
      </c>
      <c r="S38" s="122">
        <f t="shared" si="7"/>
        <v>17</v>
      </c>
      <c r="T38" s="122">
        <f t="shared" si="7"/>
        <v>18</v>
      </c>
      <c r="U38" s="122">
        <f t="shared" si="7"/>
        <v>19</v>
      </c>
      <c r="V38" s="122">
        <f t="shared" si="7"/>
        <v>20</v>
      </c>
      <c r="W38" s="122">
        <f t="shared" si="7"/>
        <v>21</v>
      </c>
      <c r="X38" s="122">
        <f t="shared" si="7"/>
        <v>22</v>
      </c>
      <c r="Y38" s="122">
        <f t="shared" si="7"/>
        <v>23</v>
      </c>
      <c r="Z38" s="122">
        <f t="shared" si="7"/>
        <v>24</v>
      </c>
      <c r="AA38" s="122">
        <f t="shared" si="7"/>
        <v>25</v>
      </c>
      <c r="AB38" s="122">
        <f t="shared" si="7"/>
        <v>26</v>
      </c>
      <c r="AC38" s="122">
        <f t="shared" si="7"/>
        <v>27</v>
      </c>
      <c r="AD38" s="122">
        <f t="shared" si="7"/>
        <v>28</v>
      </c>
      <c r="AE38" s="122">
        <f t="shared" si="7"/>
        <v>29</v>
      </c>
      <c r="AF38" s="122">
        <f t="shared" si="7"/>
        <v>30</v>
      </c>
      <c r="AG38" s="122">
        <f t="shared" si="7"/>
        <v>31</v>
      </c>
      <c r="AH38" s="122">
        <f t="shared" si="7"/>
        <v>32</v>
      </c>
      <c r="AI38" s="122">
        <f t="shared" si="7"/>
        <v>33</v>
      </c>
      <c r="AJ38" s="122">
        <f t="shared" si="7"/>
        <v>34</v>
      </c>
      <c r="AK38" s="122">
        <f t="shared" si="7"/>
        <v>35</v>
      </c>
      <c r="AL38" s="6"/>
      <c r="AM38" s="15"/>
    </row>
    <row r="39" spans="1:39" s="14" customFormat="1" ht="20.149999999999999" hidden="1" customHeight="1" outlineLevel="2" x14ac:dyDescent="0.25">
      <c r="A39" s="161">
        <v>1</v>
      </c>
      <c r="B39" s="130" t="s">
        <v>401</v>
      </c>
      <c r="C39" s="7"/>
      <c r="D39" s="7"/>
      <c r="E39" s="7">
        <f>D31</f>
        <v>0</v>
      </c>
      <c r="F39" s="7">
        <f t="shared" ref="F39:AK39" si="8">E39+E31</f>
        <v>0</v>
      </c>
      <c r="G39" s="7">
        <f t="shared" ref="G39:L39" si="9">F39+F31</f>
        <v>113.28171230714544</v>
      </c>
      <c r="H39" s="7">
        <f t="shared" si="9"/>
        <v>226.56342461429088</v>
      </c>
      <c r="I39" s="7">
        <f t="shared" si="9"/>
        <v>362.66581816761698</v>
      </c>
      <c r="J39" s="7">
        <f t="shared" si="9"/>
        <v>625.53317432247673</v>
      </c>
      <c r="K39" s="7">
        <f t="shared" si="9"/>
        <v>872.16164330151139</v>
      </c>
      <c r="L39" s="7">
        <f t="shared" si="9"/>
        <v>1125.9189486238563</v>
      </c>
      <c r="M39" s="7">
        <f t="shared" si="8"/>
        <v>1332.6210464150454</v>
      </c>
      <c r="N39" s="7">
        <f>M39+M31</f>
        <v>1479.1446726306954</v>
      </c>
      <c r="O39" s="7">
        <f t="shared" si="8"/>
        <v>1552.8600000000001</v>
      </c>
      <c r="P39" s="7">
        <f t="shared" si="8"/>
        <v>1552.8600000000001</v>
      </c>
      <c r="Q39" s="7">
        <f t="shared" si="8"/>
        <v>1552.8600000000001</v>
      </c>
      <c r="R39" s="7">
        <f t="shared" si="8"/>
        <v>1552.8600000000001</v>
      </c>
      <c r="S39" s="7">
        <f t="shared" si="8"/>
        <v>1552.8600000000001</v>
      </c>
      <c r="T39" s="7">
        <f t="shared" si="8"/>
        <v>1552.8600000000001</v>
      </c>
      <c r="U39" s="7">
        <f t="shared" si="8"/>
        <v>1552.8600000000001</v>
      </c>
      <c r="V39" s="7">
        <f t="shared" si="8"/>
        <v>1552.8600000000001</v>
      </c>
      <c r="W39" s="7">
        <f t="shared" si="8"/>
        <v>1552.8600000000001</v>
      </c>
      <c r="X39" s="7">
        <f t="shared" si="8"/>
        <v>1552.8600000000001</v>
      </c>
      <c r="Y39" s="7">
        <f t="shared" si="8"/>
        <v>1552.8600000000001</v>
      </c>
      <c r="Z39" s="7">
        <f t="shared" si="8"/>
        <v>1552.8600000000001</v>
      </c>
      <c r="AA39" s="7">
        <f t="shared" si="8"/>
        <v>1552.8600000000001</v>
      </c>
      <c r="AB39" s="7">
        <f t="shared" si="8"/>
        <v>1552.8600000000001</v>
      </c>
      <c r="AC39" s="7">
        <f t="shared" si="8"/>
        <v>1552.8600000000001</v>
      </c>
      <c r="AD39" s="7">
        <f t="shared" si="8"/>
        <v>1552.8600000000001</v>
      </c>
      <c r="AE39" s="7">
        <f t="shared" si="8"/>
        <v>1552.8600000000001</v>
      </c>
      <c r="AF39" s="7">
        <f t="shared" si="8"/>
        <v>1552.8600000000001</v>
      </c>
      <c r="AG39" s="7">
        <f t="shared" si="8"/>
        <v>1552.8600000000001</v>
      </c>
      <c r="AH39" s="7">
        <f t="shared" si="8"/>
        <v>1552.8600000000001</v>
      </c>
      <c r="AI39" s="7">
        <f t="shared" si="8"/>
        <v>1552.8600000000001</v>
      </c>
      <c r="AJ39" s="7">
        <f t="shared" si="8"/>
        <v>1552.8600000000001</v>
      </c>
      <c r="AK39" s="24">
        <f t="shared" si="8"/>
        <v>1552.8600000000001</v>
      </c>
      <c r="AL39" s="6"/>
    </row>
    <row r="40" spans="1:39" s="14" customFormat="1" ht="20.149999999999999" hidden="1" customHeight="1" outlineLevel="2" x14ac:dyDescent="0.25">
      <c r="A40" s="48">
        <v>2</v>
      </c>
      <c r="B40" s="33" t="s">
        <v>402</v>
      </c>
      <c r="C40" s="9"/>
      <c r="D40" s="9"/>
      <c r="E40" s="9">
        <f>D32</f>
        <v>0</v>
      </c>
      <c r="F40" s="9">
        <f t="shared" ref="F40:AK40" si="10">E40+E32</f>
        <v>0</v>
      </c>
      <c r="G40" s="9">
        <f>F40+F32</f>
        <v>62.934284615080799</v>
      </c>
      <c r="H40" s="9">
        <f>G40+G32</f>
        <v>125.8685692301616</v>
      </c>
      <c r="I40" s="9">
        <f>H40+H32</f>
        <v>201.48101009312055</v>
      </c>
      <c r="J40" s="9">
        <f t="shared" si="10"/>
        <v>347.51843017915377</v>
      </c>
      <c r="K40" s="9">
        <f t="shared" si="10"/>
        <v>484.5342462786175</v>
      </c>
      <c r="L40" s="9">
        <f>K40+K32</f>
        <v>625.51052701325352</v>
      </c>
      <c r="M40" s="9">
        <f>L40+L32</f>
        <v>740.34502578613638</v>
      </c>
      <c r="N40" s="9">
        <f>M40+M32</f>
        <v>821.74704035038633</v>
      </c>
      <c r="O40" s="9">
        <f>N40+N32</f>
        <v>862.7</v>
      </c>
      <c r="P40" s="9">
        <f t="shared" si="10"/>
        <v>862.7</v>
      </c>
      <c r="Q40" s="9">
        <f t="shared" si="10"/>
        <v>862.7</v>
      </c>
      <c r="R40" s="9">
        <f t="shared" si="10"/>
        <v>862.7</v>
      </c>
      <c r="S40" s="9">
        <f t="shared" si="10"/>
        <v>862.7</v>
      </c>
      <c r="T40" s="9">
        <f t="shared" si="10"/>
        <v>862.7</v>
      </c>
      <c r="U40" s="9">
        <f t="shared" si="10"/>
        <v>862.7</v>
      </c>
      <c r="V40" s="9">
        <f t="shared" si="10"/>
        <v>862.7</v>
      </c>
      <c r="W40" s="9">
        <f t="shared" si="10"/>
        <v>862.7</v>
      </c>
      <c r="X40" s="9">
        <f t="shared" si="10"/>
        <v>862.7</v>
      </c>
      <c r="Y40" s="9">
        <f t="shared" si="10"/>
        <v>862.7</v>
      </c>
      <c r="Z40" s="9">
        <f t="shared" si="10"/>
        <v>862.7</v>
      </c>
      <c r="AA40" s="9">
        <f t="shared" si="10"/>
        <v>862.7</v>
      </c>
      <c r="AB40" s="9">
        <f t="shared" si="10"/>
        <v>862.7</v>
      </c>
      <c r="AC40" s="9">
        <f t="shared" si="10"/>
        <v>862.7</v>
      </c>
      <c r="AD40" s="9">
        <f t="shared" si="10"/>
        <v>862.7</v>
      </c>
      <c r="AE40" s="9">
        <f t="shared" si="10"/>
        <v>862.7</v>
      </c>
      <c r="AF40" s="9">
        <f t="shared" si="10"/>
        <v>862.7</v>
      </c>
      <c r="AG40" s="9">
        <f t="shared" si="10"/>
        <v>862.7</v>
      </c>
      <c r="AH40" s="9">
        <f t="shared" si="10"/>
        <v>862.7</v>
      </c>
      <c r="AI40" s="9">
        <f t="shared" si="10"/>
        <v>862.7</v>
      </c>
      <c r="AJ40" s="9">
        <f t="shared" si="10"/>
        <v>862.7</v>
      </c>
      <c r="AK40" s="18">
        <f t="shared" si="10"/>
        <v>862.7</v>
      </c>
      <c r="AL40" s="6"/>
    </row>
    <row r="41" spans="1:39" s="14" customFormat="1" ht="20.149999999999999" hidden="1" customHeight="1" outlineLevel="2" x14ac:dyDescent="0.25">
      <c r="A41" s="48">
        <v>3</v>
      </c>
      <c r="B41" s="37" t="s">
        <v>403</v>
      </c>
      <c r="C41" s="9"/>
      <c r="D41" s="9"/>
      <c r="E41" s="9"/>
      <c r="F41" s="9">
        <f>D33</f>
        <v>0</v>
      </c>
      <c r="G41" s="9">
        <f t="shared" ref="G41:AK41" si="11">E33+F41</f>
        <v>0</v>
      </c>
      <c r="H41" s="9">
        <f t="shared" si="11"/>
        <v>62.934284615080799</v>
      </c>
      <c r="I41" s="9">
        <f t="shared" si="11"/>
        <v>125.8685692301616</v>
      </c>
      <c r="J41" s="9">
        <f t="shared" si="11"/>
        <v>201.48101009312055</v>
      </c>
      <c r="K41" s="9">
        <f t="shared" si="11"/>
        <v>347.51843017915377</v>
      </c>
      <c r="L41" s="9">
        <f t="shared" si="11"/>
        <v>484.5342462786175</v>
      </c>
      <c r="M41" s="9">
        <f t="shared" si="11"/>
        <v>625.51052701325352</v>
      </c>
      <c r="N41" s="9">
        <f t="shared" si="11"/>
        <v>740.34502578613638</v>
      </c>
      <c r="O41" s="9">
        <f t="shared" si="11"/>
        <v>821.74704035038633</v>
      </c>
      <c r="P41" s="9">
        <f t="shared" si="11"/>
        <v>862.7</v>
      </c>
      <c r="Q41" s="9">
        <f t="shared" si="11"/>
        <v>862.7</v>
      </c>
      <c r="R41" s="9">
        <f t="shared" si="11"/>
        <v>862.7</v>
      </c>
      <c r="S41" s="9">
        <f t="shared" si="11"/>
        <v>862.7</v>
      </c>
      <c r="T41" s="9">
        <f t="shared" si="11"/>
        <v>862.7</v>
      </c>
      <c r="U41" s="9">
        <f t="shared" si="11"/>
        <v>862.7</v>
      </c>
      <c r="V41" s="9">
        <f t="shared" si="11"/>
        <v>862.7</v>
      </c>
      <c r="W41" s="9">
        <f t="shared" si="11"/>
        <v>862.7</v>
      </c>
      <c r="X41" s="9">
        <f t="shared" si="11"/>
        <v>862.7</v>
      </c>
      <c r="Y41" s="9">
        <f t="shared" si="11"/>
        <v>862.7</v>
      </c>
      <c r="Z41" s="9">
        <f t="shared" si="11"/>
        <v>862.7</v>
      </c>
      <c r="AA41" s="9">
        <f t="shared" si="11"/>
        <v>862.7</v>
      </c>
      <c r="AB41" s="9">
        <f t="shared" si="11"/>
        <v>862.7</v>
      </c>
      <c r="AC41" s="9">
        <f t="shared" si="11"/>
        <v>862.7</v>
      </c>
      <c r="AD41" s="9">
        <f t="shared" si="11"/>
        <v>862.7</v>
      </c>
      <c r="AE41" s="9">
        <f t="shared" si="11"/>
        <v>862.7</v>
      </c>
      <c r="AF41" s="9">
        <f t="shared" si="11"/>
        <v>862.7</v>
      </c>
      <c r="AG41" s="9">
        <f t="shared" si="11"/>
        <v>862.7</v>
      </c>
      <c r="AH41" s="9">
        <f t="shared" si="11"/>
        <v>862.7</v>
      </c>
      <c r="AI41" s="9">
        <f t="shared" si="11"/>
        <v>862.7</v>
      </c>
      <c r="AJ41" s="9">
        <f t="shared" si="11"/>
        <v>862.7</v>
      </c>
      <c r="AK41" s="18">
        <f t="shared" si="11"/>
        <v>862.7</v>
      </c>
      <c r="AL41" s="6"/>
    </row>
    <row r="42" spans="1:39" s="14" customFormat="1" ht="20.149999999999999" hidden="1" customHeight="1" outlineLevel="2" x14ac:dyDescent="0.25">
      <c r="A42" s="48">
        <v>4</v>
      </c>
      <c r="B42" s="33" t="s">
        <v>409</v>
      </c>
      <c r="C42" s="9"/>
      <c r="D42" s="9"/>
      <c r="E42" s="9">
        <f>D34</f>
        <v>0</v>
      </c>
      <c r="F42" s="9">
        <f t="shared" ref="F42:AK42" si="12">E42+E34</f>
        <v>0</v>
      </c>
      <c r="G42" s="9">
        <f>F42+F34</f>
        <v>100.69485538412928</v>
      </c>
      <c r="H42" s="9">
        <f>G42+G34</f>
        <v>201.38971076825857</v>
      </c>
      <c r="I42" s="9">
        <f t="shared" si="12"/>
        <v>322.36961614899286</v>
      </c>
      <c r="J42" s="9">
        <f t="shared" si="12"/>
        <v>556.02948828664603</v>
      </c>
      <c r="K42" s="9">
        <f>J42+J34</f>
        <v>775.254794045788</v>
      </c>
      <c r="L42" s="9">
        <f t="shared" si="12"/>
        <v>1000.8168432212057</v>
      </c>
      <c r="M42" s="9">
        <f t="shared" si="12"/>
        <v>1184.5520412578182</v>
      </c>
      <c r="N42" s="9">
        <f t="shared" si="12"/>
        <v>1314.7952645606181</v>
      </c>
      <c r="O42" s="9">
        <f>N42+N34</f>
        <v>1380.32</v>
      </c>
      <c r="P42" s="9">
        <f t="shared" si="12"/>
        <v>1380.32</v>
      </c>
      <c r="Q42" s="9">
        <f t="shared" si="12"/>
        <v>1380.32</v>
      </c>
      <c r="R42" s="9">
        <f t="shared" si="12"/>
        <v>1380.32</v>
      </c>
      <c r="S42" s="9">
        <f t="shared" si="12"/>
        <v>1380.32</v>
      </c>
      <c r="T42" s="9">
        <f t="shared" si="12"/>
        <v>1380.32</v>
      </c>
      <c r="U42" s="9">
        <f t="shared" si="12"/>
        <v>1380.32</v>
      </c>
      <c r="V42" s="9">
        <f t="shared" si="12"/>
        <v>1380.32</v>
      </c>
      <c r="W42" s="9">
        <f t="shared" si="12"/>
        <v>1380.32</v>
      </c>
      <c r="X42" s="9">
        <f t="shared" si="12"/>
        <v>1380.32</v>
      </c>
      <c r="Y42" s="9">
        <f t="shared" si="12"/>
        <v>1380.32</v>
      </c>
      <c r="Z42" s="9">
        <f t="shared" si="12"/>
        <v>1380.32</v>
      </c>
      <c r="AA42" s="9">
        <f t="shared" si="12"/>
        <v>1380.32</v>
      </c>
      <c r="AB42" s="9">
        <f t="shared" si="12"/>
        <v>1380.32</v>
      </c>
      <c r="AC42" s="9">
        <f t="shared" si="12"/>
        <v>1380.32</v>
      </c>
      <c r="AD42" s="9">
        <f t="shared" si="12"/>
        <v>1380.32</v>
      </c>
      <c r="AE42" s="9">
        <f t="shared" si="12"/>
        <v>1380.32</v>
      </c>
      <c r="AF42" s="9">
        <f t="shared" si="12"/>
        <v>1380.32</v>
      </c>
      <c r="AG42" s="9">
        <f t="shared" si="12"/>
        <v>1380.32</v>
      </c>
      <c r="AH42" s="9">
        <f t="shared" si="12"/>
        <v>1380.32</v>
      </c>
      <c r="AI42" s="9">
        <f t="shared" si="12"/>
        <v>1380.32</v>
      </c>
      <c r="AJ42" s="9">
        <f t="shared" si="12"/>
        <v>1380.32</v>
      </c>
      <c r="AK42" s="18">
        <f t="shared" si="12"/>
        <v>1380.32</v>
      </c>
      <c r="AL42" s="6"/>
    </row>
    <row r="43" spans="1:39" s="14" customFormat="1" ht="20.149999999999999" hidden="1" customHeight="1" outlineLevel="2" x14ac:dyDescent="0.25">
      <c r="A43" s="48">
        <v>5</v>
      </c>
      <c r="B43" s="37" t="s">
        <v>404</v>
      </c>
      <c r="C43" s="9"/>
      <c r="D43" s="9">
        <f>$C$15*D30</f>
        <v>0</v>
      </c>
      <c r="E43" s="9">
        <f>$C$15*E30</f>
        <v>0</v>
      </c>
      <c r="F43" s="9">
        <f>$C$15*F30</f>
        <v>604.16913230477564</v>
      </c>
      <c r="G43" s="9">
        <f>($C$15*G30)+F43</f>
        <v>1208.3382646095513</v>
      </c>
      <c r="H43" s="9">
        <f t="shared" ref="H43:AK43" si="13">($C$15*H30)+G43</f>
        <v>1934.2176968939571</v>
      </c>
      <c r="I43" s="9">
        <f t="shared" si="13"/>
        <v>3336.1769297198762</v>
      </c>
      <c r="J43" s="9">
        <f t="shared" si="13"/>
        <v>4651.528764274728</v>
      </c>
      <c r="K43" s="9">
        <f t="shared" si="13"/>
        <v>6004.9010593272342</v>
      </c>
      <c r="L43" s="9">
        <f t="shared" si="13"/>
        <v>7107.312247546909</v>
      </c>
      <c r="M43" s="9">
        <f t="shared" si="13"/>
        <v>7888.7715873637089</v>
      </c>
      <c r="N43" s="9">
        <f t="shared" si="13"/>
        <v>8281.92</v>
      </c>
      <c r="O43" s="9">
        <f t="shared" si="13"/>
        <v>8281.92</v>
      </c>
      <c r="P43" s="9">
        <f>($C$15*P30)+O43</f>
        <v>8281.92</v>
      </c>
      <c r="Q43" s="9">
        <f t="shared" si="13"/>
        <v>8281.92</v>
      </c>
      <c r="R43" s="9">
        <f t="shared" si="13"/>
        <v>8281.92</v>
      </c>
      <c r="S43" s="9">
        <f t="shared" si="13"/>
        <v>8281.92</v>
      </c>
      <c r="T43" s="9">
        <f t="shared" si="13"/>
        <v>8281.92</v>
      </c>
      <c r="U43" s="9">
        <f t="shared" si="13"/>
        <v>8281.92</v>
      </c>
      <c r="V43" s="9">
        <f t="shared" si="13"/>
        <v>8281.92</v>
      </c>
      <c r="W43" s="9">
        <f t="shared" si="13"/>
        <v>8281.92</v>
      </c>
      <c r="X43" s="9">
        <f t="shared" si="13"/>
        <v>8281.92</v>
      </c>
      <c r="Y43" s="9">
        <f t="shared" si="13"/>
        <v>8281.92</v>
      </c>
      <c r="Z43" s="9">
        <f t="shared" si="13"/>
        <v>8281.92</v>
      </c>
      <c r="AA43" s="9">
        <f t="shared" si="13"/>
        <v>8281.92</v>
      </c>
      <c r="AB43" s="9">
        <f t="shared" si="13"/>
        <v>8281.92</v>
      </c>
      <c r="AC43" s="9">
        <f t="shared" si="13"/>
        <v>8281.92</v>
      </c>
      <c r="AD43" s="9">
        <f t="shared" si="13"/>
        <v>8281.92</v>
      </c>
      <c r="AE43" s="9">
        <f t="shared" si="13"/>
        <v>8281.92</v>
      </c>
      <c r="AF43" s="9">
        <f t="shared" si="13"/>
        <v>8281.92</v>
      </c>
      <c r="AG43" s="9">
        <f t="shared" si="13"/>
        <v>8281.92</v>
      </c>
      <c r="AH43" s="9">
        <f t="shared" si="13"/>
        <v>8281.92</v>
      </c>
      <c r="AI43" s="9">
        <f t="shared" si="13"/>
        <v>8281.92</v>
      </c>
      <c r="AJ43" s="9">
        <f t="shared" si="13"/>
        <v>8281.92</v>
      </c>
      <c r="AK43" s="9">
        <f t="shared" si="13"/>
        <v>8281.92</v>
      </c>
      <c r="AL43" s="6"/>
    </row>
    <row r="44" spans="1:39" s="14" customFormat="1" ht="20.149999999999999" hidden="1" customHeight="1" outlineLevel="2" x14ac:dyDescent="0.25">
      <c r="A44" s="48">
        <v>6</v>
      </c>
      <c r="B44" s="37" t="s">
        <v>405</v>
      </c>
      <c r="C44" s="9"/>
      <c r="D44" s="9">
        <f>D43</f>
        <v>0</v>
      </c>
      <c r="E44" s="9">
        <f t="shared" ref="E44:AK44" si="14">E43</f>
        <v>0</v>
      </c>
      <c r="F44" s="9">
        <f t="shared" si="14"/>
        <v>604.16913230477564</v>
      </c>
      <c r="G44" s="9">
        <f t="shared" si="14"/>
        <v>1208.3382646095513</v>
      </c>
      <c r="H44" s="9">
        <f t="shared" si="14"/>
        <v>1934.2176968939571</v>
      </c>
      <c r="I44" s="9">
        <f t="shared" si="14"/>
        <v>3336.1769297198762</v>
      </c>
      <c r="J44" s="9">
        <f t="shared" si="14"/>
        <v>4651.528764274728</v>
      </c>
      <c r="K44" s="9">
        <f t="shared" si="14"/>
        <v>6004.9010593272342</v>
      </c>
      <c r="L44" s="9">
        <f t="shared" si="14"/>
        <v>7107.312247546909</v>
      </c>
      <c r="M44" s="9">
        <f t="shared" si="14"/>
        <v>7888.7715873637089</v>
      </c>
      <c r="N44" s="9">
        <f t="shared" si="14"/>
        <v>8281.92</v>
      </c>
      <c r="O44" s="9">
        <f t="shared" si="14"/>
        <v>8281.92</v>
      </c>
      <c r="P44" s="9">
        <f t="shared" si="14"/>
        <v>8281.92</v>
      </c>
      <c r="Q44" s="9">
        <f t="shared" si="14"/>
        <v>8281.92</v>
      </c>
      <c r="R44" s="9">
        <f t="shared" si="14"/>
        <v>8281.92</v>
      </c>
      <c r="S44" s="9">
        <f t="shared" si="14"/>
        <v>8281.92</v>
      </c>
      <c r="T44" s="9">
        <f t="shared" si="14"/>
        <v>8281.92</v>
      </c>
      <c r="U44" s="9">
        <f t="shared" si="14"/>
        <v>8281.92</v>
      </c>
      <c r="V44" s="9">
        <f t="shared" si="14"/>
        <v>8281.92</v>
      </c>
      <c r="W44" s="9">
        <f t="shared" si="14"/>
        <v>8281.92</v>
      </c>
      <c r="X44" s="9">
        <f t="shared" si="14"/>
        <v>8281.92</v>
      </c>
      <c r="Y44" s="9">
        <f t="shared" si="14"/>
        <v>8281.92</v>
      </c>
      <c r="Z44" s="9">
        <f t="shared" si="14"/>
        <v>8281.92</v>
      </c>
      <c r="AA44" s="9">
        <f t="shared" si="14"/>
        <v>8281.92</v>
      </c>
      <c r="AB44" s="9">
        <f t="shared" si="14"/>
        <v>8281.92</v>
      </c>
      <c r="AC44" s="9">
        <f t="shared" si="14"/>
        <v>8281.92</v>
      </c>
      <c r="AD44" s="9">
        <f t="shared" si="14"/>
        <v>8281.92</v>
      </c>
      <c r="AE44" s="9">
        <f t="shared" si="14"/>
        <v>8281.92</v>
      </c>
      <c r="AF44" s="9">
        <f t="shared" si="14"/>
        <v>8281.92</v>
      </c>
      <c r="AG44" s="9">
        <f t="shared" si="14"/>
        <v>8281.92</v>
      </c>
      <c r="AH44" s="9">
        <f t="shared" si="14"/>
        <v>8281.92</v>
      </c>
      <c r="AI44" s="9">
        <f t="shared" si="14"/>
        <v>8281.92</v>
      </c>
      <c r="AJ44" s="9">
        <f t="shared" si="14"/>
        <v>8281.92</v>
      </c>
      <c r="AK44" s="18">
        <f t="shared" si="14"/>
        <v>8281.92</v>
      </c>
      <c r="AL44" s="6"/>
    </row>
    <row r="45" spans="1:39" s="14" customFormat="1" ht="20.149999999999999" hidden="1" customHeight="1" outlineLevel="2" x14ac:dyDescent="0.25">
      <c r="A45" s="48">
        <v>7</v>
      </c>
      <c r="B45" s="37" t="s">
        <v>406</v>
      </c>
      <c r="C45" s="9"/>
      <c r="D45" s="9">
        <f>$C$17*D30</f>
        <v>0</v>
      </c>
      <c r="E45" s="9">
        <f t="shared" ref="E45:F45" si="15">$C$17*E30</f>
        <v>0</v>
      </c>
      <c r="F45" s="9">
        <f t="shared" si="15"/>
        <v>314.67142307540399</v>
      </c>
      <c r="G45" s="9">
        <f>($C$17*G30)+F45</f>
        <v>629.34284615080799</v>
      </c>
      <c r="H45" s="9">
        <f t="shared" ref="H45:N45" si="16">($C$17*H30)+G45</f>
        <v>1007.4050504656027</v>
      </c>
      <c r="I45" s="9">
        <f t="shared" si="16"/>
        <v>1737.5921508957688</v>
      </c>
      <c r="J45" s="9">
        <f t="shared" si="16"/>
        <v>2422.6712313930875</v>
      </c>
      <c r="K45" s="9">
        <f t="shared" si="16"/>
        <v>3127.5526350662676</v>
      </c>
      <c r="L45" s="9">
        <f t="shared" si="16"/>
        <v>3701.7251289306814</v>
      </c>
      <c r="M45" s="9">
        <f t="shared" si="16"/>
        <v>4108.7352017519315</v>
      </c>
      <c r="N45" s="9">
        <f t="shared" si="16"/>
        <v>4313.5</v>
      </c>
      <c r="O45" s="9">
        <f t="shared" ref="O45:AH45" si="17">N45</f>
        <v>4313.5</v>
      </c>
      <c r="P45" s="9">
        <f t="shared" si="17"/>
        <v>4313.5</v>
      </c>
      <c r="Q45" s="9">
        <f t="shared" si="17"/>
        <v>4313.5</v>
      </c>
      <c r="R45" s="9">
        <f t="shared" si="17"/>
        <v>4313.5</v>
      </c>
      <c r="S45" s="9">
        <f t="shared" si="17"/>
        <v>4313.5</v>
      </c>
      <c r="T45" s="9">
        <f t="shared" si="17"/>
        <v>4313.5</v>
      </c>
      <c r="U45" s="9">
        <f t="shared" si="17"/>
        <v>4313.5</v>
      </c>
      <c r="V45" s="9">
        <f t="shared" si="17"/>
        <v>4313.5</v>
      </c>
      <c r="W45" s="9">
        <f t="shared" si="17"/>
        <v>4313.5</v>
      </c>
      <c r="X45" s="9">
        <f t="shared" si="17"/>
        <v>4313.5</v>
      </c>
      <c r="Y45" s="9">
        <f t="shared" si="17"/>
        <v>4313.5</v>
      </c>
      <c r="Z45" s="9">
        <f t="shared" si="17"/>
        <v>4313.5</v>
      </c>
      <c r="AA45" s="9">
        <f t="shared" si="17"/>
        <v>4313.5</v>
      </c>
      <c r="AB45" s="9">
        <f t="shared" si="17"/>
        <v>4313.5</v>
      </c>
      <c r="AC45" s="9">
        <f t="shared" si="17"/>
        <v>4313.5</v>
      </c>
      <c r="AD45" s="9">
        <f t="shared" si="17"/>
        <v>4313.5</v>
      </c>
      <c r="AE45" s="9">
        <f t="shared" si="17"/>
        <v>4313.5</v>
      </c>
      <c r="AF45" s="9">
        <f t="shared" si="17"/>
        <v>4313.5</v>
      </c>
      <c r="AG45" s="9">
        <f t="shared" si="17"/>
        <v>4313.5</v>
      </c>
      <c r="AH45" s="9">
        <f t="shared" si="17"/>
        <v>4313.5</v>
      </c>
      <c r="AI45" s="9">
        <f>AH45</f>
        <v>4313.5</v>
      </c>
      <c r="AJ45" s="9">
        <f>AI45</f>
        <v>4313.5</v>
      </c>
      <c r="AK45" s="18">
        <f>AJ45</f>
        <v>4313.5</v>
      </c>
      <c r="AL45" s="6"/>
    </row>
    <row r="46" spans="1:39" s="14" customFormat="1" ht="20.149999999999999" hidden="1" customHeight="1" outlineLevel="2" x14ac:dyDescent="0.25">
      <c r="A46" s="48">
        <v>8</v>
      </c>
      <c r="B46" s="37" t="s">
        <v>407</v>
      </c>
      <c r="C46" s="9"/>
      <c r="D46" s="9">
        <f t="shared" ref="D46:AK46" si="18">D45</f>
        <v>0</v>
      </c>
      <c r="E46" s="9">
        <f t="shared" si="18"/>
        <v>0</v>
      </c>
      <c r="F46" s="9">
        <f t="shared" si="18"/>
        <v>314.67142307540399</v>
      </c>
      <c r="G46" s="9">
        <f t="shared" si="18"/>
        <v>629.34284615080799</v>
      </c>
      <c r="H46" s="9">
        <f t="shared" si="18"/>
        <v>1007.4050504656027</v>
      </c>
      <c r="I46" s="9">
        <f t="shared" si="18"/>
        <v>1737.5921508957688</v>
      </c>
      <c r="J46" s="9">
        <f t="shared" si="18"/>
        <v>2422.6712313930875</v>
      </c>
      <c r="K46" s="9">
        <f t="shared" si="18"/>
        <v>3127.5526350662676</v>
      </c>
      <c r="L46" s="9">
        <f t="shared" si="18"/>
        <v>3701.7251289306814</v>
      </c>
      <c r="M46" s="9">
        <f t="shared" si="18"/>
        <v>4108.7352017519315</v>
      </c>
      <c r="N46" s="9">
        <f t="shared" si="18"/>
        <v>4313.5</v>
      </c>
      <c r="O46" s="9">
        <f t="shared" si="18"/>
        <v>4313.5</v>
      </c>
      <c r="P46" s="9">
        <f t="shared" si="18"/>
        <v>4313.5</v>
      </c>
      <c r="Q46" s="9">
        <f t="shared" si="18"/>
        <v>4313.5</v>
      </c>
      <c r="R46" s="9">
        <f t="shared" si="18"/>
        <v>4313.5</v>
      </c>
      <c r="S46" s="9">
        <f t="shared" si="18"/>
        <v>4313.5</v>
      </c>
      <c r="T46" s="9">
        <f t="shared" si="18"/>
        <v>4313.5</v>
      </c>
      <c r="U46" s="9">
        <f t="shared" si="18"/>
        <v>4313.5</v>
      </c>
      <c r="V46" s="9">
        <f t="shared" si="18"/>
        <v>4313.5</v>
      </c>
      <c r="W46" s="9">
        <f t="shared" si="18"/>
        <v>4313.5</v>
      </c>
      <c r="X46" s="9">
        <f t="shared" si="18"/>
        <v>4313.5</v>
      </c>
      <c r="Y46" s="9">
        <f t="shared" si="18"/>
        <v>4313.5</v>
      </c>
      <c r="Z46" s="9">
        <f t="shared" si="18"/>
        <v>4313.5</v>
      </c>
      <c r="AA46" s="9">
        <f t="shared" si="18"/>
        <v>4313.5</v>
      </c>
      <c r="AB46" s="9">
        <f t="shared" si="18"/>
        <v>4313.5</v>
      </c>
      <c r="AC46" s="9">
        <f t="shared" si="18"/>
        <v>4313.5</v>
      </c>
      <c r="AD46" s="9">
        <f t="shared" si="18"/>
        <v>4313.5</v>
      </c>
      <c r="AE46" s="9">
        <f t="shared" si="18"/>
        <v>4313.5</v>
      </c>
      <c r="AF46" s="9">
        <f t="shared" si="18"/>
        <v>4313.5</v>
      </c>
      <c r="AG46" s="9">
        <f t="shared" si="18"/>
        <v>4313.5</v>
      </c>
      <c r="AH46" s="9">
        <f t="shared" si="18"/>
        <v>4313.5</v>
      </c>
      <c r="AI46" s="9">
        <f t="shared" si="18"/>
        <v>4313.5</v>
      </c>
      <c r="AJ46" s="9">
        <f t="shared" si="18"/>
        <v>4313.5</v>
      </c>
      <c r="AK46" s="18">
        <f t="shared" si="18"/>
        <v>4313.5</v>
      </c>
      <c r="AL46" s="6"/>
    </row>
    <row r="47" spans="1:39" s="14" customFormat="1" ht="20.149999999999999" hidden="1" customHeight="1" outlineLevel="2" thickBot="1" x14ac:dyDescent="0.3">
      <c r="A47" s="50">
        <v>9</v>
      </c>
      <c r="B47" s="156" t="s">
        <v>408</v>
      </c>
      <c r="C47" s="26"/>
      <c r="D47" s="26">
        <f>C19*D30</f>
        <v>0</v>
      </c>
      <c r="E47" s="26">
        <f>D47+(C19*E30)</f>
        <v>0</v>
      </c>
      <c r="F47" s="26">
        <f>E47+(C19*F30)</f>
        <v>0</v>
      </c>
      <c r="G47" s="26">
        <f>F47</f>
        <v>0</v>
      </c>
      <c r="H47" s="26">
        <f>G47</f>
        <v>0</v>
      </c>
      <c r="I47" s="26">
        <f>H47</f>
        <v>0</v>
      </c>
      <c r="J47" s="26">
        <f>I47</f>
        <v>0</v>
      </c>
      <c r="K47" s="26">
        <f>J47</f>
        <v>0</v>
      </c>
      <c r="L47" s="26">
        <f t="shared" ref="L47:AH47" si="19">K47</f>
        <v>0</v>
      </c>
      <c r="M47" s="26">
        <f t="shared" si="19"/>
        <v>0</v>
      </c>
      <c r="N47" s="26">
        <f t="shared" si="19"/>
        <v>0</v>
      </c>
      <c r="O47" s="26">
        <f t="shared" si="19"/>
        <v>0</v>
      </c>
      <c r="P47" s="26">
        <f t="shared" si="19"/>
        <v>0</v>
      </c>
      <c r="Q47" s="26">
        <f t="shared" si="19"/>
        <v>0</v>
      </c>
      <c r="R47" s="26">
        <f t="shared" si="19"/>
        <v>0</v>
      </c>
      <c r="S47" s="26">
        <f t="shared" si="19"/>
        <v>0</v>
      </c>
      <c r="T47" s="26">
        <f t="shared" si="19"/>
        <v>0</v>
      </c>
      <c r="U47" s="26">
        <f t="shared" si="19"/>
        <v>0</v>
      </c>
      <c r="V47" s="26">
        <f t="shared" si="19"/>
        <v>0</v>
      </c>
      <c r="W47" s="26">
        <f t="shared" si="19"/>
        <v>0</v>
      </c>
      <c r="X47" s="26">
        <f t="shared" si="19"/>
        <v>0</v>
      </c>
      <c r="Y47" s="26">
        <f t="shared" si="19"/>
        <v>0</v>
      </c>
      <c r="Z47" s="26">
        <f t="shared" si="19"/>
        <v>0</v>
      </c>
      <c r="AA47" s="26">
        <f t="shared" si="19"/>
        <v>0</v>
      </c>
      <c r="AB47" s="26">
        <f t="shared" si="19"/>
        <v>0</v>
      </c>
      <c r="AC47" s="26">
        <f t="shared" si="19"/>
        <v>0</v>
      </c>
      <c r="AD47" s="26">
        <f t="shared" si="19"/>
        <v>0</v>
      </c>
      <c r="AE47" s="26">
        <f t="shared" si="19"/>
        <v>0</v>
      </c>
      <c r="AF47" s="26">
        <f t="shared" si="19"/>
        <v>0</v>
      </c>
      <c r="AG47" s="26">
        <f t="shared" si="19"/>
        <v>0</v>
      </c>
      <c r="AH47" s="26">
        <f t="shared" si="19"/>
        <v>0</v>
      </c>
      <c r="AI47" s="26">
        <f>AH47</f>
        <v>0</v>
      </c>
      <c r="AJ47" s="26">
        <f>AI47</f>
        <v>0</v>
      </c>
      <c r="AK47" s="27">
        <f>AJ47</f>
        <v>0</v>
      </c>
      <c r="AL47" s="6"/>
    </row>
    <row r="48" spans="1:39" s="6" customFormat="1" ht="13" hidden="1" outlineLevel="1" thickBot="1" x14ac:dyDescent="0.3"/>
    <row r="49" spans="1:40" s="557" customFormat="1" ht="30" customHeight="1" thickBot="1" x14ac:dyDescent="0.3">
      <c r="A49" s="555" t="s">
        <v>489</v>
      </c>
    </row>
    <row r="50" spans="1:40" s="124" customFormat="1" ht="20.149999999999999" customHeight="1" outlineLevel="1" thickBot="1" x14ac:dyDescent="0.3">
      <c r="A50" s="1096" t="s">
        <v>384</v>
      </c>
      <c r="B50" s="1098" t="s">
        <v>397</v>
      </c>
      <c r="C50" s="1164" t="s">
        <v>133</v>
      </c>
      <c r="D50" s="1165"/>
      <c r="E50" s="1165"/>
      <c r="F50" s="1165"/>
      <c r="G50" s="1165"/>
      <c r="H50" s="1165"/>
      <c r="I50" s="1165"/>
      <c r="J50" s="1165"/>
      <c r="K50" s="1165"/>
      <c r="L50" s="1165"/>
      <c r="M50" s="1165"/>
      <c r="N50" s="1165"/>
      <c r="O50" s="1165"/>
      <c r="P50" s="1165"/>
      <c r="Q50" s="1165"/>
      <c r="R50" s="1165"/>
      <c r="S50" s="1165"/>
      <c r="T50" s="1165"/>
      <c r="U50" s="1165"/>
      <c r="V50" s="1165"/>
      <c r="W50" s="1165"/>
      <c r="X50" s="1165"/>
      <c r="Y50" s="1165"/>
      <c r="Z50" s="1165"/>
      <c r="AA50" s="1165"/>
      <c r="AB50" s="1165"/>
      <c r="AC50" s="1165"/>
      <c r="AD50" s="1165"/>
      <c r="AE50" s="1165"/>
      <c r="AF50" s="1165"/>
      <c r="AG50" s="1165"/>
      <c r="AH50" s="1165"/>
      <c r="AI50" s="1165"/>
      <c r="AJ50" s="1165"/>
      <c r="AK50" s="1166"/>
    </row>
    <row r="51" spans="1:40" s="118" customFormat="1" ht="20.149999999999999" customHeight="1" outlineLevel="1" thickBot="1" x14ac:dyDescent="0.3">
      <c r="A51" s="1097"/>
      <c r="B51" s="1099"/>
      <c r="C51" s="122">
        <v>1</v>
      </c>
      <c r="D51" s="122">
        <f>C51+1</f>
        <v>2</v>
      </c>
      <c r="E51" s="122">
        <f t="shared" ref="E51:AK51" si="20">D51+1</f>
        <v>3</v>
      </c>
      <c r="F51" s="122">
        <f t="shared" si="20"/>
        <v>4</v>
      </c>
      <c r="G51" s="122">
        <f t="shared" si="20"/>
        <v>5</v>
      </c>
      <c r="H51" s="122">
        <f t="shared" si="20"/>
        <v>6</v>
      </c>
      <c r="I51" s="122">
        <f t="shared" si="20"/>
        <v>7</v>
      </c>
      <c r="J51" s="122">
        <f t="shared" si="20"/>
        <v>8</v>
      </c>
      <c r="K51" s="122">
        <f t="shared" si="20"/>
        <v>9</v>
      </c>
      <c r="L51" s="122">
        <f t="shared" si="20"/>
        <v>10</v>
      </c>
      <c r="M51" s="122">
        <f t="shared" si="20"/>
        <v>11</v>
      </c>
      <c r="N51" s="122">
        <f t="shared" si="20"/>
        <v>12</v>
      </c>
      <c r="O51" s="122">
        <f t="shared" si="20"/>
        <v>13</v>
      </c>
      <c r="P51" s="122">
        <f t="shared" si="20"/>
        <v>14</v>
      </c>
      <c r="Q51" s="122">
        <f t="shared" si="20"/>
        <v>15</v>
      </c>
      <c r="R51" s="122">
        <f t="shared" si="20"/>
        <v>16</v>
      </c>
      <c r="S51" s="122">
        <f t="shared" si="20"/>
        <v>17</v>
      </c>
      <c r="T51" s="122">
        <f t="shared" si="20"/>
        <v>18</v>
      </c>
      <c r="U51" s="122">
        <f t="shared" si="20"/>
        <v>19</v>
      </c>
      <c r="V51" s="122">
        <f t="shared" si="20"/>
        <v>20</v>
      </c>
      <c r="W51" s="122">
        <f t="shared" si="20"/>
        <v>21</v>
      </c>
      <c r="X51" s="122">
        <f t="shared" si="20"/>
        <v>22</v>
      </c>
      <c r="Y51" s="122">
        <f t="shared" si="20"/>
        <v>23</v>
      </c>
      <c r="Z51" s="122">
        <f t="shared" si="20"/>
        <v>24</v>
      </c>
      <c r="AA51" s="122">
        <f t="shared" si="20"/>
        <v>25</v>
      </c>
      <c r="AB51" s="122">
        <f t="shared" si="20"/>
        <v>26</v>
      </c>
      <c r="AC51" s="122">
        <f t="shared" si="20"/>
        <v>27</v>
      </c>
      <c r="AD51" s="122">
        <f t="shared" si="20"/>
        <v>28</v>
      </c>
      <c r="AE51" s="122">
        <f t="shared" si="20"/>
        <v>29</v>
      </c>
      <c r="AF51" s="122">
        <f t="shared" si="20"/>
        <v>30</v>
      </c>
      <c r="AG51" s="122">
        <f t="shared" si="20"/>
        <v>31</v>
      </c>
      <c r="AH51" s="122">
        <f t="shared" si="20"/>
        <v>32</v>
      </c>
      <c r="AI51" s="122">
        <f t="shared" si="20"/>
        <v>33</v>
      </c>
      <c r="AJ51" s="122">
        <f t="shared" si="20"/>
        <v>34</v>
      </c>
      <c r="AK51" s="122">
        <f t="shared" si="20"/>
        <v>35</v>
      </c>
    </row>
    <row r="52" spans="1:40" s="6" customFormat="1" ht="20.149999999999999" customHeight="1" outlineLevel="1" x14ac:dyDescent="0.25">
      <c r="A52" s="157" t="s">
        <v>398</v>
      </c>
      <c r="B52" s="1159" t="s">
        <v>401</v>
      </c>
      <c r="C52" s="138"/>
      <c r="D52" s="138"/>
      <c r="E52" s="138"/>
      <c r="F52" s="138"/>
      <c r="G52" s="975">
        <f>F31</f>
        <v>113.28171230714544</v>
      </c>
      <c r="H52" s="975">
        <f t="shared" ref="H52:S52" si="21">G52</f>
        <v>113.28171230714544</v>
      </c>
      <c r="I52" s="138">
        <f t="shared" si="21"/>
        <v>113.28171230714544</v>
      </c>
      <c r="J52" s="138">
        <f t="shared" si="21"/>
        <v>113.28171230714544</v>
      </c>
      <c r="K52" s="138">
        <f>J52</f>
        <v>113.28171230714544</v>
      </c>
      <c r="L52" s="138">
        <f t="shared" si="21"/>
        <v>113.28171230714544</v>
      </c>
      <c r="M52" s="138">
        <f t="shared" si="21"/>
        <v>113.28171230714544</v>
      </c>
      <c r="N52" s="138">
        <f t="shared" si="21"/>
        <v>113.28171230714544</v>
      </c>
      <c r="O52" s="138">
        <f t="shared" si="21"/>
        <v>113.28171230714544</v>
      </c>
      <c r="P52" s="138">
        <f t="shared" si="21"/>
        <v>113.28171230714544</v>
      </c>
      <c r="Q52" s="138">
        <f t="shared" si="21"/>
        <v>113.28171230714544</v>
      </c>
      <c r="R52" s="138">
        <f t="shared" si="21"/>
        <v>113.28171230714544</v>
      </c>
      <c r="S52" s="138">
        <f t="shared" si="21"/>
        <v>113.28171230714544</v>
      </c>
      <c r="T52" s="138">
        <f t="shared" ref="T52:AK52" si="22">S52</f>
        <v>113.28171230714544</v>
      </c>
      <c r="U52" s="138">
        <f t="shared" si="22"/>
        <v>113.28171230714544</v>
      </c>
      <c r="V52" s="138">
        <f t="shared" si="22"/>
        <v>113.28171230714544</v>
      </c>
      <c r="W52" s="138">
        <f t="shared" si="22"/>
        <v>113.28171230714544</v>
      </c>
      <c r="X52" s="138">
        <f t="shared" si="22"/>
        <v>113.28171230714544</v>
      </c>
      <c r="Y52" s="138">
        <f t="shared" si="22"/>
        <v>113.28171230714544</v>
      </c>
      <c r="Z52" s="138">
        <f t="shared" si="22"/>
        <v>113.28171230714544</v>
      </c>
      <c r="AA52" s="138">
        <f t="shared" si="22"/>
        <v>113.28171230714544</v>
      </c>
      <c r="AB52" s="138">
        <f t="shared" si="22"/>
        <v>113.28171230714544</v>
      </c>
      <c r="AC52" s="138">
        <f t="shared" si="22"/>
        <v>113.28171230714544</v>
      </c>
      <c r="AD52" s="138">
        <f t="shared" si="22"/>
        <v>113.28171230714544</v>
      </c>
      <c r="AE52" s="138">
        <f t="shared" si="22"/>
        <v>113.28171230714544</v>
      </c>
      <c r="AF52" s="138">
        <f t="shared" si="22"/>
        <v>113.28171230714544</v>
      </c>
      <c r="AG52" s="138">
        <f t="shared" si="22"/>
        <v>113.28171230714544</v>
      </c>
      <c r="AH52" s="138">
        <f t="shared" si="22"/>
        <v>113.28171230714544</v>
      </c>
      <c r="AI52" s="138">
        <f t="shared" si="22"/>
        <v>113.28171230714544</v>
      </c>
      <c r="AJ52" s="138">
        <f t="shared" si="22"/>
        <v>113.28171230714544</v>
      </c>
      <c r="AK52" s="867">
        <f t="shared" si="22"/>
        <v>113.28171230714544</v>
      </c>
      <c r="AN52" s="6">
        <f>AC52*1300</f>
        <v>147266.22599928908</v>
      </c>
    </row>
    <row r="53" spans="1:40" s="6" customFormat="1" ht="20.149999999999999" customHeight="1" outlineLevel="1" x14ac:dyDescent="0.25">
      <c r="A53" s="158" t="s">
        <v>399</v>
      </c>
      <c r="B53" s="1160"/>
      <c r="C53" s="139"/>
      <c r="D53" s="139"/>
      <c r="E53" s="139"/>
      <c r="F53" s="973"/>
      <c r="G53" s="972"/>
      <c r="H53" s="138">
        <f>G31</f>
        <v>113.28171230714544</v>
      </c>
      <c r="I53" s="138">
        <f>H53</f>
        <v>113.28171230714544</v>
      </c>
      <c r="J53" s="138">
        <f t="shared" ref="J53:P53" si="23">I53</f>
        <v>113.28171230714544</v>
      </c>
      <c r="K53" s="138">
        <f t="shared" si="23"/>
        <v>113.28171230714544</v>
      </c>
      <c r="L53" s="138">
        <f t="shared" si="23"/>
        <v>113.28171230714544</v>
      </c>
      <c r="M53" s="138">
        <f t="shared" si="23"/>
        <v>113.28171230714544</v>
      </c>
      <c r="N53" s="138">
        <f t="shared" si="23"/>
        <v>113.28171230714544</v>
      </c>
      <c r="O53" s="138">
        <f t="shared" si="23"/>
        <v>113.28171230714544</v>
      </c>
      <c r="P53" s="138">
        <f t="shared" si="23"/>
        <v>113.28171230714544</v>
      </c>
      <c r="Q53" s="138">
        <f t="shared" ref="P53:AK55" si="24">P53</f>
        <v>113.28171230714544</v>
      </c>
      <c r="R53" s="138">
        <f t="shared" si="24"/>
        <v>113.28171230714544</v>
      </c>
      <c r="S53" s="138">
        <f t="shared" si="24"/>
        <v>113.28171230714544</v>
      </c>
      <c r="T53" s="138">
        <f t="shared" si="24"/>
        <v>113.28171230714544</v>
      </c>
      <c r="U53" s="138">
        <f t="shared" si="24"/>
        <v>113.28171230714544</v>
      </c>
      <c r="V53" s="138">
        <f t="shared" si="24"/>
        <v>113.28171230714544</v>
      </c>
      <c r="W53" s="138">
        <f t="shared" si="24"/>
        <v>113.28171230714544</v>
      </c>
      <c r="X53" s="138">
        <f t="shared" si="24"/>
        <v>113.28171230714544</v>
      </c>
      <c r="Y53" s="138">
        <f t="shared" si="24"/>
        <v>113.28171230714544</v>
      </c>
      <c r="Z53" s="138">
        <f t="shared" si="24"/>
        <v>113.28171230714544</v>
      </c>
      <c r="AA53" s="138">
        <f t="shared" si="24"/>
        <v>113.28171230714544</v>
      </c>
      <c r="AB53" s="138">
        <f t="shared" si="24"/>
        <v>113.28171230714544</v>
      </c>
      <c r="AC53" s="138">
        <f t="shared" si="24"/>
        <v>113.28171230714544</v>
      </c>
      <c r="AD53" s="138">
        <f t="shared" si="24"/>
        <v>113.28171230714544</v>
      </c>
      <c r="AE53" s="138">
        <f t="shared" si="24"/>
        <v>113.28171230714544</v>
      </c>
      <c r="AF53" s="138">
        <f t="shared" si="24"/>
        <v>113.28171230714544</v>
      </c>
      <c r="AG53" s="138">
        <f t="shared" si="24"/>
        <v>113.28171230714544</v>
      </c>
      <c r="AH53" s="138">
        <f t="shared" si="24"/>
        <v>113.28171230714544</v>
      </c>
      <c r="AI53" s="138">
        <f t="shared" si="24"/>
        <v>113.28171230714544</v>
      </c>
      <c r="AJ53" s="138">
        <f t="shared" si="24"/>
        <v>113.28171230714544</v>
      </c>
      <c r="AK53" s="867">
        <f t="shared" si="24"/>
        <v>113.28171230714544</v>
      </c>
      <c r="AN53" s="6">
        <f t="shared" ref="AN53:AN60" si="25">AC53*1300</f>
        <v>147266.22599928908</v>
      </c>
    </row>
    <row r="54" spans="1:40" s="6" customFormat="1" ht="20.149999999999999" customHeight="1" outlineLevel="1" x14ac:dyDescent="0.25">
      <c r="A54" s="158" t="s">
        <v>400</v>
      </c>
      <c r="B54" s="1161"/>
      <c r="C54" s="971"/>
      <c r="D54" s="971"/>
      <c r="E54" s="971"/>
      <c r="F54" s="972"/>
      <c r="G54" s="972"/>
      <c r="H54" s="972"/>
      <c r="I54" s="972">
        <f>H31</f>
        <v>136.1023935533261</v>
      </c>
      <c r="J54" s="972">
        <f>I54</f>
        <v>136.1023935533261</v>
      </c>
      <c r="K54" s="972">
        <f t="shared" ref="K54:O54" si="26">J54</f>
        <v>136.1023935533261</v>
      </c>
      <c r="L54" s="972">
        <f t="shared" si="26"/>
        <v>136.1023935533261</v>
      </c>
      <c r="M54" s="972">
        <f t="shared" si="26"/>
        <v>136.1023935533261</v>
      </c>
      <c r="N54" s="972">
        <f t="shared" si="26"/>
        <v>136.1023935533261</v>
      </c>
      <c r="O54" s="972">
        <f t="shared" si="26"/>
        <v>136.1023935533261</v>
      </c>
      <c r="P54" s="972">
        <f t="shared" si="24"/>
        <v>136.1023935533261</v>
      </c>
      <c r="Q54" s="972">
        <f t="shared" si="24"/>
        <v>136.1023935533261</v>
      </c>
      <c r="R54" s="972">
        <f t="shared" si="24"/>
        <v>136.1023935533261</v>
      </c>
      <c r="S54" s="972">
        <f t="shared" si="24"/>
        <v>136.1023935533261</v>
      </c>
      <c r="T54" s="972">
        <f t="shared" si="24"/>
        <v>136.1023935533261</v>
      </c>
      <c r="U54" s="972">
        <f t="shared" si="24"/>
        <v>136.1023935533261</v>
      </c>
      <c r="V54" s="972">
        <f t="shared" ref="V54" si="27">U54</f>
        <v>136.1023935533261</v>
      </c>
      <c r="W54" s="972">
        <f t="shared" ref="W54" si="28">V54</f>
        <v>136.1023935533261</v>
      </c>
      <c r="X54" s="972">
        <f t="shared" ref="X54" si="29">W54</f>
        <v>136.1023935533261</v>
      </c>
      <c r="Y54" s="972">
        <f t="shared" ref="Y54" si="30">X54</f>
        <v>136.1023935533261</v>
      </c>
      <c r="Z54" s="972">
        <f t="shared" ref="Z54" si="31">Y54</f>
        <v>136.1023935533261</v>
      </c>
      <c r="AA54" s="972">
        <f t="shared" ref="AA54" si="32">Z54</f>
        <v>136.1023935533261</v>
      </c>
      <c r="AB54" s="972">
        <f t="shared" ref="AB54" si="33">AA54</f>
        <v>136.1023935533261</v>
      </c>
      <c r="AC54" s="972">
        <f t="shared" ref="AC54" si="34">AB54</f>
        <v>136.1023935533261</v>
      </c>
      <c r="AD54" s="972">
        <f t="shared" ref="AD54" si="35">AC54</f>
        <v>136.1023935533261</v>
      </c>
      <c r="AE54" s="972">
        <f t="shared" ref="AE54" si="36">AD54</f>
        <v>136.1023935533261</v>
      </c>
      <c r="AF54" s="972">
        <f t="shared" ref="AF54" si="37">AE54</f>
        <v>136.1023935533261</v>
      </c>
      <c r="AG54" s="972">
        <f t="shared" ref="AG54" si="38">AF54</f>
        <v>136.1023935533261</v>
      </c>
      <c r="AH54" s="972">
        <f t="shared" ref="AH54" si="39">AG54</f>
        <v>136.1023935533261</v>
      </c>
      <c r="AI54" s="972">
        <f t="shared" ref="AI54" si="40">AH54</f>
        <v>136.1023935533261</v>
      </c>
      <c r="AJ54" s="972">
        <f t="shared" ref="AJ54" si="41">AI54</f>
        <v>136.1023935533261</v>
      </c>
      <c r="AK54" s="867">
        <f t="shared" ref="AK54" si="42">AJ54</f>
        <v>136.1023935533261</v>
      </c>
      <c r="AN54" s="6">
        <f t="shared" si="25"/>
        <v>176933.11161932393</v>
      </c>
    </row>
    <row r="55" spans="1:40" s="6" customFormat="1" ht="20.149999999999999" customHeight="1" outlineLevel="1" x14ac:dyDescent="0.25">
      <c r="A55" s="157" t="s">
        <v>761</v>
      </c>
      <c r="B55" s="1161"/>
      <c r="C55" s="971"/>
      <c r="D55" s="971"/>
      <c r="E55" s="971"/>
      <c r="F55" s="972"/>
      <c r="G55" s="972"/>
      <c r="H55" s="972"/>
      <c r="I55" s="972"/>
      <c r="J55" s="972">
        <f>I31</f>
        <v>262.86735615485981</v>
      </c>
      <c r="K55" s="972">
        <f>J55</f>
        <v>262.86735615485981</v>
      </c>
      <c r="L55" s="972">
        <f t="shared" ref="L55:O57" si="43">K55</f>
        <v>262.86735615485981</v>
      </c>
      <c r="M55" s="972">
        <f t="shared" si="43"/>
        <v>262.86735615485981</v>
      </c>
      <c r="N55" s="972">
        <f t="shared" si="43"/>
        <v>262.86735615485981</v>
      </c>
      <c r="O55" s="972">
        <f t="shared" si="43"/>
        <v>262.86735615485981</v>
      </c>
      <c r="P55" s="972">
        <f t="shared" si="24"/>
        <v>262.86735615485981</v>
      </c>
      <c r="Q55" s="972">
        <f t="shared" si="24"/>
        <v>262.86735615485981</v>
      </c>
      <c r="R55" s="972">
        <f t="shared" si="24"/>
        <v>262.86735615485981</v>
      </c>
      <c r="S55" s="972">
        <f t="shared" si="24"/>
        <v>262.86735615485981</v>
      </c>
      <c r="T55" s="972">
        <f t="shared" si="24"/>
        <v>262.86735615485981</v>
      </c>
      <c r="U55" s="972">
        <f t="shared" si="24"/>
        <v>262.86735615485981</v>
      </c>
      <c r="V55" s="972">
        <f t="shared" ref="V55:AK55" si="44">U55</f>
        <v>262.86735615485981</v>
      </c>
      <c r="W55" s="972">
        <f t="shared" si="44"/>
        <v>262.86735615485981</v>
      </c>
      <c r="X55" s="972">
        <f t="shared" si="44"/>
        <v>262.86735615485981</v>
      </c>
      <c r="Y55" s="972">
        <f t="shared" si="44"/>
        <v>262.86735615485981</v>
      </c>
      <c r="Z55" s="972">
        <f t="shared" si="44"/>
        <v>262.86735615485981</v>
      </c>
      <c r="AA55" s="972">
        <f t="shared" si="44"/>
        <v>262.86735615485981</v>
      </c>
      <c r="AB55" s="972">
        <f t="shared" si="44"/>
        <v>262.86735615485981</v>
      </c>
      <c r="AC55" s="972">
        <f t="shared" si="44"/>
        <v>262.86735615485981</v>
      </c>
      <c r="AD55" s="972">
        <f t="shared" si="44"/>
        <v>262.86735615485981</v>
      </c>
      <c r="AE55" s="972">
        <f t="shared" si="44"/>
        <v>262.86735615485981</v>
      </c>
      <c r="AF55" s="972">
        <f t="shared" si="44"/>
        <v>262.86735615485981</v>
      </c>
      <c r="AG55" s="972">
        <f t="shared" si="44"/>
        <v>262.86735615485981</v>
      </c>
      <c r="AH55" s="972">
        <f t="shared" si="44"/>
        <v>262.86735615485981</v>
      </c>
      <c r="AI55" s="972">
        <f t="shared" si="44"/>
        <v>262.86735615485981</v>
      </c>
      <c r="AJ55" s="972">
        <f t="shared" si="44"/>
        <v>262.86735615485981</v>
      </c>
      <c r="AK55" s="867">
        <f t="shared" si="44"/>
        <v>262.86735615485981</v>
      </c>
      <c r="AN55" s="6">
        <f t="shared" si="25"/>
        <v>341727.56300131773</v>
      </c>
    </row>
    <row r="56" spans="1:40" s="6" customFormat="1" ht="20.149999999999999" customHeight="1" outlineLevel="1" x14ac:dyDescent="0.25">
      <c r="A56" s="158" t="s">
        <v>762</v>
      </c>
      <c r="B56" s="1161"/>
      <c r="C56" s="971"/>
      <c r="D56" s="971"/>
      <c r="E56" s="971"/>
      <c r="F56" s="972"/>
      <c r="G56" s="972"/>
      <c r="H56" s="972"/>
      <c r="I56" s="972"/>
      <c r="J56" s="972"/>
      <c r="K56" s="972">
        <f>J31</f>
        <v>246.62846897903469</v>
      </c>
      <c r="L56" s="972">
        <f t="shared" si="43"/>
        <v>246.62846897903469</v>
      </c>
      <c r="M56" s="972">
        <f t="shared" si="43"/>
        <v>246.62846897903469</v>
      </c>
      <c r="N56" s="972">
        <f t="shared" si="43"/>
        <v>246.62846897903469</v>
      </c>
      <c r="O56" s="972">
        <f t="shared" ref="O56" si="45">N56</f>
        <v>246.62846897903469</v>
      </c>
      <c r="P56" s="972">
        <f t="shared" ref="P56:P60" si="46">O56</f>
        <v>246.62846897903469</v>
      </c>
      <c r="Q56" s="972">
        <f t="shared" ref="Q56:Q60" si="47">P56</f>
        <v>246.62846897903469</v>
      </c>
      <c r="R56" s="972">
        <f t="shared" ref="R56:R60" si="48">Q56</f>
        <v>246.62846897903469</v>
      </c>
      <c r="S56" s="972">
        <f t="shared" ref="S56:S60" si="49">R56</f>
        <v>246.62846897903469</v>
      </c>
      <c r="T56" s="972">
        <f t="shared" ref="T56:T60" si="50">S56</f>
        <v>246.62846897903469</v>
      </c>
      <c r="U56" s="972">
        <f t="shared" ref="U56:AJ60" si="51">T56</f>
        <v>246.62846897903469</v>
      </c>
      <c r="V56" s="972">
        <f t="shared" si="51"/>
        <v>246.62846897903469</v>
      </c>
      <c r="W56" s="972">
        <f t="shared" si="51"/>
        <v>246.62846897903469</v>
      </c>
      <c r="X56" s="972">
        <f t="shared" si="51"/>
        <v>246.62846897903469</v>
      </c>
      <c r="Y56" s="972">
        <f t="shared" si="51"/>
        <v>246.62846897903469</v>
      </c>
      <c r="Z56" s="972">
        <f t="shared" si="51"/>
        <v>246.62846897903469</v>
      </c>
      <c r="AA56" s="972">
        <f t="shared" si="51"/>
        <v>246.62846897903469</v>
      </c>
      <c r="AB56" s="972">
        <f t="shared" si="51"/>
        <v>246.62846897903469</v>
      </c>
      <c r="AC56" s="972">
        <f t="shared" si="51"/>
        <v>246.62846897903469</v>
      </c>
      <c r="AD56" s="972">
        <f t="shared" si="51"/>
        <v>246.62846897903469</v>
      </c>
      <c r="AE56" s="972">
        <f t="shared" si="51"/>
        <v>246.62846897903469</v>
      </c>
      <c r="AF56" s="972">
        <f t="shared" si="51"/>
        <v>246.62846897903469</v>
      </c>
      <c r="AG56" s="972">
        <f t="shared" si="51"/>
        <v>246.62846897903469</v>
      </c>
      <c r="AH56" s="972">
        <f t="shared" si="51"/>
        <v>246.62846897903469</v>
      </c>
      <c r="AI56" s="972">
        <f t="shared" si="51"/>
        <v>246.62846897903469</v>
      </c>
      <c r="AJ56" s="972">
        <f t="shared" si="51"/>
        <v>246.62846897903469</v>
      </c>
      <c r="AK56" s="867">
        <f t="shared" ref="AK56" si="52">AJ56</f>
        <v>246.62846897903469</v>
      </c>
      <c r="AN56" s="6">
        <f t="shared" si="25"/>
        <v>320617.00967274507</v>
      </c>
    </row>
    <row r="57" spans="1:40" s="6" customFormat="1" ht="20.149999999999999" customHeight="1" outlineLevel="1" x14ac:dyDescent="0.25">
      <c r="A57" s="158" t="s">
        <v>763</v>
      </c>
      <c r="B57" s="1161"/>
      <c r="C57" s="971"/>
      <c r="D57" s="971"/>
      <c r="E57" s="971"/>
      <c r="F57" s="972"/>
      <c r="G57" s="972"/>
      <c r="H57" s="972"/>
      <c r="I57" s="972"/>
      <c r="J57" s="972"/>
      <c r="K57" s="972"/>
      <c r="L57" s="972">
        <f>K31</f>
        <v>253.75730532234482</v>
      </c>
      <c r="M57" s="972">
        <f t="shared" si="43"/>
        <v>253.75730532234482</v>
      </c>
      <c r="N57" s="972">
        <f>M57</f>
        <v>253.75730532234482</v>
      </c>
      <c r="O57" s="972">
        <f t="shared" ref="O57" si="53">N57</f>
        <v>253.75730532234482</v>
      </c>
      <c r="P57" s="972">
        <f t="shared" si="46"/>
        <v>253.75730532234482</v>
      </c>
      <c r="Q57" s="972">
        <f t="shared" si="47"/>
        <v>253.75730532234482</v>
      </c>
      <c r="R57" s="972">
        <f t="shared" si="48"/>
        <v>253.75730532234482</v>
      </c>
      <c r="S57" s="972">
        <f t="shared" si="49"/>
        <v>253.75730532234482</v>
      </c>
      <c r="T57" s="972">
        <f t="shared" si="50"/>
        <v>253.75730532234482</v>
      </c>
      <c r="U57" s="972">
        <f t="shared" si="51"/>
        <v>253.75730532234482</v>
      </c>
      <c r="V57" s="972">
        <f t="shared" si="51"/>
        <v>253.75730532234482</v>
      </c>
      <c r="W57" s="972">
        <f t="shared" si="51"/>
        <v>253.75730532234482</v>
      </c>
      <c r="X57" s="972">
        <f t="shared" si="51"/>
        <v>253.75730532234482</v>
      </c>
      <c r="Y57" s="972">
        <f t="shared" si="51"/>
        <v>253.75730532234482</v>
      </c>
      <c r="Z57" s="972">
        <f t="shared" si="51"/>
        <v>253.75730532234482</v>
      </c>
      <c r="AA57" s="972">
        <f t="shared" si="51"/>
        <v>253.75730532234482</v>
      </c>
      <c r="AB57" s="972">
        <f t="shared" si="51"/>
        <v>253.75730532234482</v>
      </c>
      <c r="AC57" s="972">
        <f t="shared" si="51"/>
        <v>253.75730532234482</v>
      </c>
      <c r="AD57" s="972">
        <f t="shared" si="51"/>
        <v>253.75730532234482</v>
      </c>
      <c r="AE57" s="972">
        <f t="shared" si="51"/>
        <v>253.75730532234482</v>
      </c>
      <c r="AF57" s="972">
        <f t="shared" si="51"/>
        <v>253.75730532234482</v>
      </c>
      <c r="AG57" s="972">
        <f t="shared" si="51"/>
        <v>253.75730532234482</v>
      </c>
      <c r="AH57" s="972">
        <f t="shared" si="51"/>
        <v>253.75730532234482</v>
      </c>
      <c r="AI57" s="972">
        <f t="shared" si="51"/>
        <v>253.75730532234482</v>
      </c>
      <c r="AJ57" s="972">
        <f t="shared" si="51"/>
        <v>253.75730532234482</v>
      </c>
      <c r="AK57" s="867">
        <f t="shared" ref="AK57" si="54">AJ57</f>
        <v>253.75730532234482</v>
      </c>
      <c r="AN57" s="6">
        <f t="shared" si="25"/>
        <v>329884.49691904825</v>
      </c>
    </row>
    <row r="58" spans="1:40" s="6" customFormat="1" ht="20.149999999999999" customHeight="1" outlineLevel="1" x14ac:dyDescent="0.25">
      <c r="A58" s="157" t="s">
        <v>764</v>
      </c>
      <c r="B58" s="1161"/>
      <c r="C58" s="971"/>
      <c r="D58" s="971"/>
      <c r="E58" s="971"/>
      <c r="F58" s="972"/>
      <c r="G58" s="972"/>
      <c r="H58" s="972"/>
      <c r="I58" s="972"/>
      <c r="J58" s="972"/>
      <c r="K58" s="972"/>
      <c r="L58" s="972"/>
      <c r="M58" s="972">
        <f>L31</f>
        <v>206.70209779118903</v>
      </c>
      <c r="N58" s="972">
        <f>M58</f>
        <v>206.70209779118903</v>
      </c>
      <c r="O58" s="972">
        <f t="shared" ref="O58" si="55">N58</f>
        <v>206.70209779118903</v>
      </c>
      <c r="P58" s="972">
        <f t="shared" si="46"/>
        <v>206.70209779118903</v>
      </c>
      <c r="Q58" s="972">
        <f t="shared" si="47"/>
        <v>206.70209779118903</v>
      </c>
      <c r="R58" s="972">
        <f t="shared" si="48"/>
        <v>206.70209779118903</v>
      </c>
      <c r="S58" s="972">
        <f t="shared" si="49"/>
        <v>206.70209779118903</v>
      </c>
      <c r="T58" s="972">
        <f t="shared" si="50"/>
        <v>206.70209779118903</v>
      </c>
      <c r="U58" s="972">
        <f t="shared" si="51"/>
        <v>206.70209779118903</v>
      </c>
      <c r="V58" s="972">
        <f t="shared" si="51"/>
        <v>206.70209779118903</v>
      </c>
      <c r="W58" s="972">
        <f t="shared" si="51"/>
        <v>206.70209779118903</v>
      </c>
      <c r="X58" s="972">
        <f t="shared" si="51"/>
        <v>206.70209779118903</v>
      </c>
      <c r="Y58" s="972">
        <f t="shared" si="51"/>
        <v>206.70209779118903</v>
      </c>
      <c r="Z58" s="972">
        <f t="shared" si="51"/>
        <v>206.70209779118903</v>
      </c>
      <c r="AA58" s="972">
        <f t="shared" si="51"/>
        <v>206.70209779118903</v>
      </c>
      <c r="AB58" s="972">
        <f t="shared" si="51"/>
        <v>206.70209779118903</v>
      </c>
      <c r="AC58" s="972">
        <f t="shared" si="51"/>
        <v>206.70209779118903</v>
      </c>
      <c r="AD58" s="972">
        <f t="shared" si="51"/>
        <v>206.70209779118903</v>
      </c>
      <c r="AE58" s="972">
        <f t="shared" si="51"/>
        <v>206.70209779118903</v>
      </c>
      <c r="AF58" s="972">
        <f t="shared" si="51"/>
        <v>206.70209779118903</v>
      </c>
      <c r="AG58" s="972">
        <f t="shared" si="51"/>
        <v>206.70209779118903</v>
      </c>
      <c r="AH58" s="972">
        <f t="shared" si="51"/>
        <v>206.70209779118903</v>
      </c>
      <c r="AI58" s="972">
        <f t="shared" si="51"/>
        <v>206.70209779118903</v>
      </c>
      <c r="AJ58" s="972">
        <f t="shared" si="51"/>
        <v>206.70209779118903</v>
      </c>
      <c r="AK58" s="867">
        <f t="shared" ref="AK58" si="56">AJ58</f>
        <v>206.70209779118903</v>
      </c>
      <c r="AN58" s="6">
        <f t="shared" si="25"/>
        <v>268712.72712854575</v>
      </c>
    </row>
    <row r="59" spans="1:40" s="6" customFormat="1" ht="20.149999999999999" customHeight="1" outlineLevel="1" x14ac:dyDescent="0.25">
      <c r="A59" s="158" t="s">
        <v>765</v>
      </c>
      <c r="B59" s="1161"/>
      <c r="C59" s="971"/>
      <c r="D59" s="971"/>
      <c r="E59" s="971"/>
      <c r="F59" s="972"/>
      <c r="G59" s="972"/>
      <c r="H59" s="972"/>
      <c r="I59" s="972"/>
      <c r="J59" s="972"/>
      <c r="K59" s="972"/>
      <c r="L59" s="972"/>
      <c r="M59" s="972"/>
      <c r="N59" s="972">
        <f>M31</f>
        <v>146.5236262156499</v>
      </c>
      <c r="O59" s="972">
        <f t="shared" ref="O59" si="57">N59</f>
        <v>146.5236262156499</v>
      </c>
      <c r="P59" s="972">
        <f t="shared" si="46"/>
        <v>146.5236262156499</v>
      </c>
      <c r="Q59" s="972">
        <f t="shared" si="47"/>
        <v>146.5236262156499</v>
      </c>
      <c r="R59" s="972">
        <f t="shared" si="48"/>
        <v>146.5236262156499</v>
      </c>
      <c r="S59" s="972">
        <f t="shared" si="49"/>
        <v>146.5236262156499</v>
      </c>
      <c r="T59" s="972">
        <f t="shared" si="50"/>
        <v>146.5236262156499</v>
      </c>
      <c r="U59" s="972">
        <f t="shared" si="51"/>
        <v>146.5236262156499</v>
      </c>
      <c r="V59" s="972">
        <f t="shared" si="51"/>
        <v>146.5236262156499</v>
      </c>
      <c r="W59" s="972">
        <f t="shared" si="51"/>
        <v>146.5236262156499</v>
      </c>
      <c r="X59" s="972">
        <f t="shared" si="51"/>
        <v>146.5236262156499</v>
      </c>
      <c r="Y59" s="972">
        <f t="shared" si="51"/>
        <v>146.5236262156499</v>
      </c>
      <c r="Z59" s="972">
        <f t="shared" si="51"/>
        <v>146.5236262156499</v>
      </c>
      <c r="AA59" s="972">
        <f t="shared" si="51"/>
        <v>146.5236262156499</v>
      </c>
      <c r="AB59" s="972">
        <f t="shared" si="51"/>
        <v>146.5236262156499</v>
      </c>
      <c r="AC59" s="972">
        <f t="shared" si="51"/>
        <v>146.5236262156499</v>
      </c>
      <c r="AD59" s="972">
        <f t="shared" si="51"/>
        <v>146.5236262156499</v>
      </c>
      <c r="AE59" s="972">
        <f t="shared" si="51"/>
        <v>146.5236262156499</v>
      </c>
      <c r="AF59" s="972">
        <f t="shared" si="51"/>
        <v>146.5236262156499</v>
      </c>
      <c r="AG59" s="972">
        <f t="shared" si="51"/>
        <v>146.5236262156499</v>
      </c>
      <c r="AH59" s="972">
        <f t="shared" si="51"/>
        <v>146.5236262156499</v>
      </c>
      <c r="AI59" s="972">
        <f t="shared" si="51"/>
        <v>146.5236262156499</v>
      </c>
      <c r="AJ59" s="972">
        <f t="shared" si="51"/>
        <v>146.5236262156499</v>
      </c>
      <c r="AK59" s="867">
        <f t="shared" ref="AK59" si="58">AJ59</f>
        <v>146.5236262156499</v>
      </c>
      <c r="AN59" s="6">
        <f t="shared" si="25"/>
        <v>190480.71408034486</v>
      </c>
    </row>
    <row r="60" spans="1:40" s="121" customFormat="1" ht="20.149999999999999" customHeight="1" outlineLevel="1" thickBot="1" x14ac:dyDescent="0.3">
      <c r="A60" s="159" t="s">
        <v>766</v>
      </c>
      <c r="B60" s="1162"/>
      <c r="C60" s="154"/>
      <c r="D60" s="154"/>
      <c r="E60" s="154"/>
      <c r="F60" s="154"/>
      <c r="G60" s="155"/>
      <c r="H60" s="155"/>
      <c r="I60" s="155"/>
      <c r="J60" s="155"/>
      <c r="K60" s="155"/>
      <c r="L60" s="155"/>
      <c r="M60" s="155"/>
      <c r="N60" s="155"/>
      <c r="O60" s="155">
        <f>N31</f>
        <v>73.715327369304703</v>
      </c>
      <c r="P60" s="155">
        <f t="shared" si="46"/>
        <v>73.715327369304703</v>
      </c>
      <c r="Q60" s="155">
        <f t="shared" si="47"/>
        <v>73.715327369304703</v>
      </c>
      <c r="R60" s="155">
        <f t="shared" si="48"/>
        <v>73.715327369304703</v>
      </c>
      <c r="S60" s="155">
        <f t="shared" si="49"/>
        <v>73.715327369304703</v>
      </c>
      <c r="T60" s="155">
        <f t="shared" si="50"/>
        <v>73.715327369304703</v>
      </c>
      <c r="U60" s="155">
        <f t="shared" si="51"/>
        <v>73.715327369304703</v>
      </c>
      <c r="V60" s="155">
        <f t="shared" si="51"/>
        <v>73.715327369304703</v>
      </c>
      <c r="W60" s="155">
        <f t="shared" si="51"/>
        <v>73.715327369304703</v>
      </c>
      <c r="X60" s="155">
        <f t="shared" si="51"/>
        <v>73.715327369304703</v>
      </c>
      <c r="Y60" s="155">
        <f t="shared" si="51"/>
        <v>73.715327369304703</v>
      </c>
      <c r="Z60" s="155">
        <f t="shared" si="51"/>
        <v>73.715327369304703</v>
      </c>
      <c r="AA60" s="155">
        <f t="shared" si="51"/>
        <v>73.715327369304703</v>
      </c>
      <c r="AB60" s="155">
        <f t="shared" si="51"/>
        <v>73.715327369304703</v>
      </c>
      <c r="AC60" s="155">
        <f t="shared" si="51"/>
        <v>73.715327369304703</v>
      </c>
      <c r="AD60" s="155">
        <f t="shared" si="51"/>
        <v>73.715327369304703</v>
      </c>
      <c r="AE60" s="155">
        <f t="shared" si="51"/>
        <v>73.715327369304703</v>
      </c>
      <c r="AF60" s="155">
        <f t="shared" si="51"/>
        <v>73.715327369304703</v>
      </c>
      <c r="AG60" s="155">
        <f t="shared" si="51"/>
        <v>73.715327369304703</v>
      </c>
      <c r="AH60" s="155">
        <f t="shared" si="51"/>
        <v>73.715327369304703</v>
      </c>
      <c r="AI60" s="155">
        <f t="shared" si="51"/>
        <v>73.715327369304703</v>
      </c>
      <c r="AJ60" s="155">
        <f t="shared" si="51"/>
        <v>73.715327369304703</v>
      </c>
      <c r="AK60" s="155">
        <f t="shared" ref="AK60" si="59">AJ60</f>
        <v>73.715327369304703</v>
      </c>
      <c r="AN60" s="6">
        <f t="shared" si="25"/>
        <v>95829.925580096111</v>
      </c>
    </row>
    <row r="61" spans="1:40" s="6" customFormat="1" ht="20.149999999999999" customHeight="1" outlineLevel="1" x14ac:dyDescent="0.25">
      <c r="A61" s="157" t="s">
        <v>398</v>
      </c>
      <c r="B61" s="1159" t="s">
        <v>402</v>
      </c>
      <c r="C61" s="153"/>
      <c r="D61" s="153"/>
      <c r="E61" s="153"/>
      <c r="F61" s="153"/>
      <c r="G61" s="153">
        <f>F32</f>
        <v>62.934284615080799</v>
      </c>
      <c r="H61" s="153">
        <f t="shared" ref="H61" si="60">G61</f>
        <v>62.934284615080799</v>
      </c>
      <c r="I61" s="153">
        <f t="shared" ref="I61:I102" si="61">H61</f>
        <v>62.934284615080799</v>
      </c>
      <c r="J61" s="153">
        <f t="shared" ref="J61:AK61" si="62">I61</f>
        <v>62.934284615080799</v>
      </c>
      <c r="K61" s="153">
        <f t="shared" si="62"/>
        <v>62.934284615080799</v>
      </c>
      <c r="L61" s="153">
        <f t="shared" si="62"/>
        <v>62.934284615080799</v>
      </c>
      <c r="M61" s="153">
        <f t="shared" si="62"/>
        <v>62.934284615080799</v>
      </c>
      <c r="N61" s="153">
        <f t="shared" si="62"/>
        <v>62.934284615080799</v>
      </c>
      <c r="O61" s="153">
        <f t="shared" si="62"/>
        <v>62.934284615080799</v>
      </c>
      <c r="P61" s="153">
        <f t="shared" si="62"/>
        <v>62.934284615080799</v>
      </c>
      <c r="Q61" s="153">
        <f t="shared" si="62"/>
        <v>62.934284615080799</v>
      </c>
      <c r="R61" s="153">
        <f t="shared" si="62"/>
        <v>62.934284615080799</v>
      </c>
      <c r="S61" s="153">
        <f t="shared" si="62"/>
        <v>62.934284615080799</v>
      </c>
      <c r="T61" s="153">
        <f t="shared" si="62"/>
        <v>62.934284615080799</v>
      </c>
      <c r="U61" s="153">
        <f t="shared" si="62"/>
        <v>62.934284615080799</v>
      </c>
      <c r="V61" s="153">
        <f t="shared" si="62"/>
        <v>62.934284615080799</v>
      </c>
      <c r="W61" s="153">
        <f t="shared" si="62"/>
        <v>62.934284615080799</v>
      </c>
      <c r="X61" s="153">
        <f t="shared" si="62"/>
        <v>62.934284615080799</v>
      </c>
      <c r="Y61" s="153">
        <f t="shared" si="62"/>
        <v>62.934284615080799</v>
      </c>
      <c r="Z61" s="153">
        <f t="shared" si="62"/>
        <v>62.934284615080799</v>
      </c>
      <c r="AA61" s="153">
        <f t="shared" si="62"/>
        <v>62.934284615080799</v>
      </c>
      <c r="AB61" s="153">
        <f t="shared" si="62"/>
        <v>62.934284615080799</v>
      </c>
      <c r="AC61" s="153">
        <f t="shared" si="62"/>
        <v>62.934284615080799</v>
      </c>
      <c r="AD61" s="153">
        <f t="shared" si="62"/>
        <v>62.934284615080799</v>
      </c>
      <c r="AE61" s="153">
        <f t="shared" si="62"/>
        <v>62.934284615080799</v>
      </c>
      <c r="AF61" s="153">
        <f t="shared" si="62"/>
        <v>62.934284615080799</v>
      </c>
      <c r="AG61" s="153">
        <f t="shared" si="62"/>
        <v>62.934284615080799</v>
      </c>
      <c r="AH61" s="153">
        <f t="shared" si="62"/>
        <v>62.934284615080799</v>
      </c>
      <c r="AI61" s="153">
        <f t="shared" si="62"/>
        <v>62.934284615080799</v>
      </c>
      <c r="AJ61" s="153">
        <f t="shared" si="62"/>
        <v>62.934284615080799</v>
      </c>
      <c r="AK61" s="869">
        <f t="shared" si="62"/>
        <v>62.934284615080799</v>
      </c>
    </row>
    <row r="62" spans="1:40" s="6" customFormat="1" ht="20.149999999999999" customHeight="1" outlineLevel="1" x14ac:dyDescent="0.25">
      <c r="A62" s="158" t="s">
        <v>399</v>
      </c>
      <c r="B62" s="1160"/>
      <c r="C62" s="139"/>
      <c r="D62" s="139"/>
      <c r="E62" s="139"/>
      <c r="F62" s="138"/>
      <c r="G62" s="138"/>
      <c r="H62" s="138">
        <f>G32</f>
        <v>62.934284615080799</v>
      </c>
      <c r="I62" s="138">
        <f t="shared" si="61"/>
        <v>62.934284615080799</v>
      </c>
      <c r="J62" s="138">
        <f t="shared" ref="J62:AK68" si="63">I62</f>
        <v>62.934284615080799</v>
      </c>
      <c r="K62" s="138">
        <f t="shared" si="63"/>
        <v>62.934284615080799</v>
      </c>
      <c r="L62" s="138">
        <f t="shared" si="63"/>
        <v>62.934284615080799</v>
      </c>
      <c r="M62" s="138">
        <f t="shared" si="63"/>
        <v>62.934284615080799</v>
      </c>
      <c r="N62" s="138">
        <f t="shared" si="63"/>
        <v>62.934284615080799</v>
      </c>
      <c r="O62" s="138">
        <f t="shared" si="63"/>
        <v>62.934284615080799</v>
      </c>
      <c r="P62" s="138">
        <f t="shared" si="63"/>
        <v>62.934284615080799</v>
      </c>
      <c r="Q62" s="138">
        <f t="shared" si="63"/>
        <v>62.934284615080799</v>
      </c>
      <c r="R62" s="138">
        <f t="shared" si="63"/>
        <v>62.934284615080799</v>
      </c>
      <c r="S62" s="138">
        <f t="shared" si="63"/>
        <v>62.934284615080799</v>
      </c>
      <c r="T62" s="138">
        <f t="shared" si="63"/>
        <v>62.934284615080799</v>
      </c>
      <c r="U62" s="138">
        <f t="shared" si="63"/>
        <v>62.934284615080799</v>
      </c>
      <c r="V62" s="138">
        <f t="shared" si="63"/>
        <v>62.934284615080799</v>
      </c>
      <c r="W62" s="138">
        <f t="shared" si="63"/>
        <v>62.934284615080799</v>
      </c>
      <c r="X62" s="138">
        <f t="shared" si="63"/>
        <v>62.934284615080799</v>
      </c>
      <c r="Y62" s="138">
        <f t="shared" si="63"/>
        <v>62.934284615080799</v>
      </c>
      <c r="Z62" s="138">
        <f t="shared" si="63"/>
        <v>62.934284615080799</v>
      </c>
      <c r="AA62" s="138">
        <f t="shared" si="63"/>
        <v>62.934284615080799</v>
      </c>
      <c r="AB62" s="138">
        <f t="shared" si="63"/>
        <v>62.934284615080799</v>
      </c>
      <c r="AC62" s="138">
        <f t="shared" si="63"/>
        <v>62.934284615080799</v>
      </c>
      <c r="AD62" s="138">
        <f t="shared" si="63"/>
        <v>62.934284615080799</v>
      </c>
      <c r="AE62" s="138">
        <f t="shared" si="63"/>
        <v>62.934284615080799</v>
      </c>
      <c r="AF62" s="138">
        <f t="shared" si="63"/>
        <v>62.934284615080799</v>
      </c>
      <c r="AG62" s="138">
        <f t="shared" si="63"/>
        <v>62.934284615080799</v>
      </c>
      <c r="AH62" s="138">
        <f t="shared" si="63"/>
        <v>62.934284615080799</v>
      </c>
      <c r="AI62" s="138">
        <f t="shared" si="63"/>
        <v>62.934284615080799</v>
      </c>
      <c r="AJ62" s="138">
        <f t="shared" si="63"/>
        <v>62.934284615080799</v>
      </c>
      <c r="AK62" s="867">
        <f t="shared" si="63"/>
        <v>62.934284615080799</v>
      </c>
    </row>
    <row r="63" spans="1:40" s="6" customFormat="1" ht="20.149999999999999" customHeight="1" outlineLevel="1" x14ac:dyDescent="0.25">
      <c r="A63" s="158" t="s">
        <v>400</v>
      </c>
      <c r="B63" s="1161"/>
      <c r="C63" s="971"/>
      <c r="D63" s="971"/>
      <c r="E63" s="971"/>
      <c r="F63" s="972"/>
      <c r="G63" s="972"/>
      <c r="H63" s="972"/>
      <c r="I63" s="972">
        <f>H32</f>
        <v>75.612440862958948</v>
      </c>
      <c r="J63" s="972">
        <f>I63</f>
        <v>75.612440862958948</v>
      </c>
      <c r="K63" s="972">
        <f t="shared" si="63"/>
        <v>75.612440862958948</v>
      </c>
      <c r="L63" s="972">
        <f t="shared" si="63"/>
        <v>75.612440862958948</v>
      </c>
      <c r="M63" s="972">
        <f t="shared" si="63"/>
        <v>75.612440862958948</v>
      </c>
      <c r="N63" s="972">
        <f t="shared" si="63"/>
        <v>75.612440862958948</v>
      </c>
      <c r="O63" s="972">
        <f t="shared" si="63"/>
        <v>75.612440862958948</v>
      </c>
      <c r="P63" s="972">
        <f t="shared" si="63"/>
        <v>75.612440862958948</v>
      </c>
      <c r="Q63" s="972">
        <f t="shared" si="63"/>
        <v>75.612440862958948</v>
      </c>
      <c r="R63" s="972">
        <f t="shared" si="63"/>
        <v>75.612440862958948</v>
      </c>
      <c r="S63" s="972">
        <f t="shared" si="63"/>
        <v>75.612440862958948</v>
      </c>
      <c r="T63" s="972">
        <f t="shared" si="63"/>
        <v>75.612440862958948</v>
      </c>
      <c r="U63" s="972">
        <f t="shared" si="63"/>
        <v>75.612440862958948</v>
      </c>
      <c r="V63" s="972">
        <f t="shared" si="63"/>
        <v>75.612440862958948</v>
      </c>
      <c r="W63" s="972">
        <f t="shared" si="63"/>
        <v>75.612440862958948</v>
      </c>
      <c r="X63" s="972">
        <f t="shared" si="63"/>
        <v>75.612440862958948</v>
      </c>
      <c r="Y63" s="972">
        <f t="shared" ref="Y63:Y68" si="64">X63</f>
        <v>75.612440862958948</v>
      </c>
      <c r="Z63" s="972">
        <f t="shared" ref="Z63:Z68" si="65">Y63</f>
        <v>75.612440862958948</v>
      </c>
      <c r="AA63" s="972">
        <f t="shared" ref="AA63:AA68" si="66">Z63</f>
        <v>75.612440862958948</v>
      </c>
      <c r="AB63" s="972">
        <f t="shared" ref="AB63:AB68" si="67">AA63</f>
        <v>75.612440862958948</v>
      </c>
      <c r="AC63" s="972">
        <f t="shared" ref="AC63:AC68" si="68">AB63</f>
        <v>75.612440862958948</v>
      </c>
      <c r="AD63" s="972">
        <f t="shared" ref="AD63:AD68" si="69">AC63</f>
        <v>75.612440862958948</v>
      </c>
      <c r="AE63" s="972">
        <f t="shared" ref="AE63:AE68" si="70">AD63</f>
        <v>75.612440862958948</v>
      </c>
      <c r="AF63" s="972">
        <f t="shared" ref="AF63:AF68" si="71">AE63</f>
        <v>75.612440862958948</v>
      </c>
      <c r="AG63" s="972">
        <f t="shared" ref="AG63:AG68" si="72">AF63</f>
        <v>75.612440862958948</v>
      </c>
      <c r="AH63" s="972">
        <f t="shared" ref="AH63:AH68" si="73">AG63</f>
        <v>75.612440862958948</v>
      </c>
      <c r="AI63" s="972">
        <f t="shared" ref="AI63:AI68" si="74">AH63</f>
        <v>75.612440862958948</v>
      </c>
      <c r="AJ63" s="972">
        <f t="shared" ref="AJ63:AJ68" si="75">AI63</f>
        <v>75.612440862958948</v>
      </c>
      <c r="AK63" s="867">
        <f t="shared" ref="AK63:AK68" si="76">AJ63</f>
        <v>75.612440862958948</v>
      </c>
    </row>
    <row r="64" spans="1:40" s="6" customFormat="1" ht="20.149999999999999" customHeight="1" outlineLevel="1" x14ac:dyDescent="0.25">
      <c r="A64" s="157" t="s">
        <v>761</v>
      </c>
      <c r="B64" s="1161"/>
      <c r="C64" s="971"/>
      <c r="D64" s="971"/>
      <c r="E64" s="971"/>
      <c r="F64" s="972"/>
      <c r="G64" s="972"/>
      <c r="H64" s="972"/>
      <c r="I64" s="972"/>
      <c r="J64" s="972">
        <f>I32</f>
        <v>146.03742008603322</v>
      </c>
      <c r="K64" s="972">
        <f>J64</f>
        <v>146.03742008603322</v>
      </c>
      <c r="L64" s="972">
        <f t="shared" si="63"/>
        <v>146.03742008603322</v>
      </c>
      <c r="M64" s="972">
        <f t="shared" si="63"/>
        <v>146.03742008603322</v>
      </c>
      <c r="N64" s="972">
        <f t="shared" si="63"/>
        <v>146.03742008603322</v>
      </c>
      <c r="O64" s="972">
        <f t="shared" si="63"/>
        <v>146.03742008603322</v>
      </c>
      <c r="P64" s="972">
        <f t="shared" si="63"/>
        <v>146.03742008603322</v>
      </c>
      <c r="Q64" s="972">
        <f t="shared" si="63"/>
        <v>146.03742008603322</v>
      </c>
      <c r="R64" s="972">
        <f t="shared" si="63"/>
        <v>146.03742008603322</v>
      </c>
      <c r="S64" s="972">
        <f t="shared" si="63"/>
        <v>146.03742008603322</v>
      </c>
      <c r="T64" s="972">
        <f t="shared" si="63"/>
        <v>146.03742008603322</v>
      </c>
      <c r="U64" s="972">
        <f t="shared" si="63"/>
        <v>146.03742008603322</v>
      </c>
      <c r="V64" s="972">
        <f t="shared" si="63"/>
        <v>146.03742008603322</v>
      </c>
      <c r="W64" s="972">
        <f t="shared" si="63"/>
        <v>146.03742008603322</v>
      </c>
      <c r="X64" s="972">
        <f t="shared" si="63"/>
        <v>146.03742008603322</v>
      </c>
      <c r="Y64" s="972">
        <f t="shared" si="64"/>
        <v>146.03742008603322</v>
      </c>
      <c r="Z64" s="972">
        <f t="shared" si="65"/>
        <v>146.03742008603322</v>
      </c>
      <c r="AA64" s="972">
        <f t="shared" si="66"/>
        <v>146.03742008603322</v>
      </c>
      <c r="AB64" s="972">
        <f t="shared" si="67"/>
        <v>146.03742008603322</v>
      </c>
      <c r="AC64" s="972">
        <f t="shared" si="68"/>
        <v>146.03742008603322</v>
      </c>
      <c r="AD64" s="972">
        <f t="shared" si="69"/>
        <v>146.03742008603322</v>
      </c>
      <c r="AE64" s="972">
        <f t="shared" si="70"/>
        <v>146.03742008603322</v>
      </c>
      <c r="AF64" s="972">
        <f t="shared" si="71"/>
        <v>146.03742008603322</v>
      </c>
      <c r="AG64" s="972">
        <f t="shared" si="72"/>
        <v>146.03742008603322</v>
      </c>
      <c r="AH64" s="972">
        <f t="shared" si="73"/>
        <v>146.03742008603322</v>
      </c>
      <c r="AI64" s="972">
        <f t="shared" si="74"/>
        <v>146.03742008603322</v>
      </c>
      <c r="AJ64" s="972">
        <f t="shared" si="75"/>
        <v>146.03742008603322</v>
      </c>
      <c r="AK64" s="867">
        <f t="shared" si="76"/>
        <v>146.03742008603322</v>
      </c>
    </row>
    <row r="65" spans="1:37" s="6" customFormat="1" ht="20.149999999999999" customHeight="1" outlineLevel="1" x14ac:dyDescent="0.25">
      <c r="A65" s="158" t="s">
        <v>762</v>
      </c>
      <c r="B65" s="1161"/>
      <c r="C65" s="971"/>
      <c r="D65" s="971"/>
      <c r="E65" s="971"/>
      <c r="F65" s="972"/>
      <c r="G65" s="972"/>
      <c r="H65" s="972"/>
      <c r="I65" s="972"/>
      <c r="J65" s="972"/>
      <c r="K65" s="972">
        <f>J32</f>
        <v>137.01581609946373</v>
      </c>
      <c r="L65" s="972">
        <f t="shared" si="63"/>
        <v>137.01581609946373</v>
      </c>
      <c r="M65" s="972">
        <f t="shared" si="63"/>
        <v>137.01581609946373</v>
      </c>
      <c r="N65" s="972">
        <f t="shared" si="63"/>
        <v>137.01581609946373</v>
      </c>
      <c r="O65" s="972">
        <f t="shared" si="63"/>
        <v>137.01581609946373</v>
      </c>
      <c r="P65" s="972">
        <f t="shared" si="63"/>
        <v>137.01581609946373</v>
      </c>
      <c r="Q65" s="972">
        <f t="shared" si="63"/>
        <v>137.01581609946373</v>
      </c>
      <c r="R65" s="972">
        <f t="shared" si="63"/>
        <v>137.01581609946373</v>
      </c>
      <c r="S65" s="972">
        <f t="shared" si="63"/>
        <v>137.01581609946373</v>
      </c>
      <c r="T65" s="972">
        <f t="shared" si="63"/>
        <v>137.01581609946373</v>
      </c>
      <c r="U65" s="972">
        <f t="shared" si="63"/>
        <v>137.01581609946373</v>
      </c>
      <c r="V65" s="972">
        <f t="shared" si="63"/>
        <v>137.01581609946373</v>
      </c>
      <c r="W65" s="972">
        <f t="shared" si="63"/>
        <v>137.01581609946373</v>
      </c>
      <c r="X65" s="972">
        <f t="shared" si="63"/>
        <v>137.01581609946373</v>
      </c>
      <c r="Y65" s="972">
        <f t="shared" si="64"/>
        <v>137.01581609946373</v>
      </c>
      <c r="Z65" s="972">
        <f t="shared" si="65"/>
        <v>137.01581609946373</v>
      </c>
      <c r="AA65" s="972">
        <f t="shared" si="66"/>
        <v>137.01581609946373</v>
      </c>
      <c r="AB65" s="972">
        <f t="shared" si="67"/>
        <v>137.01581609946373</v>
      </c>
      <c r="AC65" s="972">
        <f t="shared" si="68"/>
        <v>137.01581609946373</v>
      </c>
      <c r="AD65" s="972">
        <f t="shared" si="69"/>
        <v>137.01581609946373</v>
      </c>
      <c r="AE65" s="972">
        <f t="shared" si="70"/>
        <v>137.01581609946373</v>
      </c>
      <c r="AF65" s="972">
        <f t="shared" si="71"/>
        <v>137.01581609946373</v>
      </c>
      <c r="AG65" s="972">
        <f t="shared" si="72"/>
        <v>137.01581609946373</v>
      </c>
      <c r="AH65" s="972">
        <f t="shared" si="73"/>
        <v>137.01581609946373</v>
      </c>
      <c r="AI65" s="972">
        <f t="shared" si="74"/>
        <v>137.01581609946373</v>
      </c>
      <c r="AJ65" s="972">
        <f t="shared" si="75"/>
        <v>137.01581609946373</v>
      </c>
      <c r="AK65" s="867">
        <f t="shared" si="76"/>
        <v>137.01581609946373</v>
      </c>
    </row>
    <row r="66" spans="1:37" s="6" customFormat="1" ht="20.149999999999999" customHeight="1" outlineLevel="1" x14ac:dyDescent="0.25">
      <c r="A66" s="158" t="s">
        <v>763</v>
      </c>
      <c r="B66" s="1161"/>
      <c r="C66" s="971"/>
      <c r="D66" s="971"/>
      <c r="E66" s="971"/>
      <c r="F66" s="972"/>
      <c r="G66" s="972"/>
      <c r="H66" s="972"/>
      <c r="I66" s="972"/>
      <c r="J66" s="972"/>
      <c r="K66" s="972"/>
      <c r="L66" s="972">
        <f>K32</f>
        <v>140.97628073463602</v>
      </c>
      <c r="M66" s="972">
        <f t="shared" si="63"/>
        <v>140.97628073463602</v>
      </c>
      <c r="N66" s="972">
        <f t="shared" si="63"/>
        <v>140.97628073463602</v>
      </c>
      <c r="O66" s="972">
        <f t="shared" si="63"/>
        <v>140.97628073463602</v>
      </c>
      <c r="P66" s="972">
        <f t="shared" si="63"/>
        <v>140.97628073463602</v>
      </c>
      <c r="Q66" s="972">
        <f t="shared" si="63"/>
        <v>140.97628073463602</v>
      </c>
      <c r="R66" s="972">
        <f t="shared" si="63"/>
        <v>140.97628073463602</v>
      </c>
      <c r="S66" s="972">
        <f t="shared" si="63"/>
        <v>140.97628073463602</v>
      </c>
      <c r="T66" s="972">
        <f t="shared" si="63"/>
        <v>140.97628073463602</v>
      </c>
      <c r="U66" s="972">
        <f t="shared" si="63"/>
        <v>140.97628073463602</v>
      </c>
      <c r="V66" s="972">
        <f t="shared" si="63"/>
        <v>140.97628073463602</v>
      </c>
      <c r="W66" s="972">
        <f t="shared" si="63"/>
        <v>140.97628073463602</v>
      </c>
      <c r="X66" s="972">
        <f t="shared" si="63"/>
        <v>140.97628073463602</v>
      </c>
      <c r="Y66" s="972">
        <f t="shared" si="64"/>
        <v>140.97628073463602</v>
      </c>
      <c r="Z66" s="972">
        <f t="shared" si="65"/>
        <v>140.97628073463602</v>
      </c>
      <c r="AA66" s="972">
        <f t="shared" si="66"/>
        <v>140.97628073463602</v>
      </c>
      <c r="AB66" s="972">
        <f t="shared" si="67"/>
        <v>140.97628073463602</v>
      </c>
      <c r="AC66" s="972">
        <f t="shared" si="68"/>
        <v>140.97628073463602</v>
      </c>
      <c r="AD66" s="972">
        <f t="shared" si="69"/>
        <v>140.97628073463602</v>
      </c>
      <c r="AE66" s="972">
        <f t="shared" si="70"/>
        <v>140.97628073463602</v>
      </c>
      <c r="AF66" s="972">
        <f t="shared" si="71"/>
        <v>140.97628073463602</v>
      </c>
      <c r="AG66" s="972">
        <f t="shared" si="72"/>
        <v>140.97628073463602</v>
      </c>
      <c r="AH66" s="972">
        <f t="shared" si="73"/>
        <v>140.97628073463602</v>
      </c>
      <c r="AI66" s="972">
        <f t="shared" si="74"/>
        <v>140.97628073463602</v>
      </c>
      <c r="AJ66" s="972">
        <f t="shared" si="75"/>
        <v>140.97628073463602</v>
      </c>
      <c r="AK66" s="867">
        <f t="shared" si="76"/>
        <v>140.97628073463602</v>
      </c>
    </row>
    <row r="67" spans="1:37" s="6" customFormat="1" ht="20.149999999999999" customHeight="1" outlineLevel="1" x14ac:dyDescent="0.25">
      <c r="A67" s="157" t="s">
        <v>764</v>
      </c>
      <c r="B67" s="1161"/>
      <c r="C67" s="971"/>
      <c r="D67" s="971"/>
      <c r="E67" s="971"/>
      <c r="F67" s="972"/>
      <c r="G67" s="972"/>
      <c r="H67" s="972"/>
      <c r="I67" s="972"/>
      <c r="J67" s="972"/>
      <c r="K67" s="972"/>
      <c r="L67" s="972"/>
      <c r="M67" s="972">
        <f>L32</f>
        <v>114.83449877288281</v>
      </c>
      <c r="N67" s="972">
        <f t="shared" si="63"/>
        <v>114.83449877288281</v>
      </c>
      <c r="O67" s="972">
        <f t="shared" si="63"/>
        <v>114.83449877288281</v>
      </c>
      <c r="P67" s="972">
        <f t="shared" si="63"/>
        <v>114.83449877288281</v>
      </c>
      <c r="Q67" s="972">
        <f t="shared" si="63"/>
        <v>114.83449877288281</v>
      </c>
      <c r="R67" s="972">
        <f t="shared" si="63"/>
        <v>114.83449877288281</v>
      </c>
      <c r="S67" s="972">
        <f t="shared" si="63"/>
        <v>114.83449877288281</v>
      </c>
      <c r="T67" s="972">
        <f t="shared" si="63"/>
        <v>114.83449877288281</v>
      </c>
      <c r="U67" s="972">
        <f t="shared" si="63"/>
        <v>114.83449877288281</v>
      </c>
      <c r="V67" s="972">
        <f t="shared" si="63"/>
        <v>114.83449877288281</v>
      </c>
      <c r="W67" s="972">
        <f t="shared" si="63"/>
        <v>114.83449877288281</v>
      </c>
      <c r="X67" s="972">
        <f t="shared" si="63"/>
        <v>114.83449877288281</v>
      </c>
      <c r="Y67" s="972">
        <f t="shared" si="64"/>
        <v>114.83449877288281</v>
      </c>
      <c r="Z67" s="972">
        <f t="shared" si="65"/>
        <v>114.83449877288281</v>
      </c>
      <c r="AA67" s="972">
        <f t="shared" si="66"/>
        <v>114.83449877288281</v>
      </c>
      <c r="AB67" s="972">
        <f t="shared" si="67"/>
        <v>114.83449877288281</v>
      </c>
      <c r="AC67" s="972">
        <f t="shared" si="68"/>
        <v>114.83449877288281</v>
      </c>
      <c r="AD67" s="972">
        <f t="shared" si="69"/>
        <v>114.83449877288281</v>
      </c>
      <c r="AE67" s="972">
        <f t="shared" si="70"/>
        <v>114.83449877288281</v>
      </c>
      <c r="AF67" s="972">
        <f t="shared" si="71"/>
        <v>114.83449877288281</v>
      </c>
      <c r="AG67" s="972">
        <f t="shared" si="72"/>
        <v>114.83449877288281</v>
      </c>
      <c r="AH67" s="972">
        <f t="shared" si="73"/>
        <v>114.83449877288281</v>
      </c>
      <c r="AI67" s="972">
        <f t="shared" si="74"/>
        <v>114.83449877288281</v>
      </c>
      <c r="AJ67" s="972">
        <f t="shared" si="75"/>
        <v>114.83449877288281</v>
      </c>
      <c r="AK67" s="867">
        <f t="shared" si="76"/>
        <v>114.83449877288281</v>
      </c>
    </row>
    <row r="68" spans="1:37" s="6" customFormat="1" ht="20.149999999999999" customHeight="1" outlineLevel="1" x14ac:dyDescent="0.25">
      <c r="A68" s="158" t="s">
        <v>765</v>
      </c>
      <c r="B68" s="1161"/>
      <c r="C68" s="971"/>
      <c r="D68" s="971"/>
      <c r="E68" s="971"/>
      <c r="F68" s="972"/>
      <c r="G68" s="972"/>
      <c r="H68" s="972"/>
      <c r="I68" s="972"/>
      <c r="J68" s="972"/>
      <c r="K68" s="972"/>
      <c r="L68" s="972"/>
      <c r="M68" s="972"/>
      <c r="N68" s="972">
        <f>M32</f>
        <v>81.402014564249953</v>
      </c>
      <c r="O68" s="972">
        <f t="shared" si="63"/>
        <v>81.402014564249953</v>
      </c>
      <c r="P68" s="972">
        <f t="shared" si="63"/>
        <v>81.402014564249953</v>
      </c>
      <c r="Q68" s="972">
        <f t="shared" si="63"/>
        <v>81.402014564249953</v>
      </c>
      <c r="R68" s="972">
        <f t="shared" si="63"/>
        <v>81.402014564249953</v>
      </c>
      <c r="S68" s="972">
        <f t="shared" si="63"/>
        <v>81.402014564249953</v>
      </c>
      <c r="T68" s="972">
        <f t="shared" si="63"/>
        <v>81.402014564249953</v>
      </c>
      <c r="U68" s="972">
        <f t="shared" si="63"/>
        <v>81.402014564249953</v>
      </c>
      <c r="V68" s="972">
        <f t="shared" si="63"/>
        <v>81.402014564249953</v>
      </c>
      <c r="W68" s="972">
        <f t="shared" si="63"/>
        <v>81.402014564249953</v>
      </c>
      <c r="X68" s="972">
        <f t="shared" si="63"/>
        <v>81.402014564249953</v>
      </c>
      <c r="Y68" s="972">
        <f t="shared" si="64"/>
        <v>81.402014564249953</v>
      </c>
      <c r="Z68" s="972">
        <f t="shared" si="65"/>
        <v>81.402014564249953</v>
      </c>
      <c r="AA68" s="972">
        <f t="shared" si="66"/>
        <v>81.402014564249953</v>
      </c>
      <c r="AB68" s="972">
        <f t="shared" si="67"/>
        <v>81.402014564249953</v>
      </c>
      <c r="AC68" s="972">
        <f t="shared" si="68"/>
        <v>81.402014564249953</v>
      </c>
      <c r="AD68" s="972">
        <f t="shared" si="69"/>
        <v>81.402014564249953</v>
      </c>
      <c r="AE68" s="972">
        <f t="shared" si="70"/>
        <v>81.402014564249953</v>
      </c>
      <c r="AF68" s="972">
        <f t="shared" si="71"/>
        <v>81.402014564249953</v>
      </c>
      <c r="AG68" s="972">
        <f t="shared" si="72"/>
        <v>81.402014564249953</v>
      </c>
      <c r="AH68" s="972">
        <f t="shared" si="73"/>
        <v>81.402014564249953</v>
      </c>
      <c r="AI68" s="972">
        <f t="shared" si="74"/>
        <v>81.402014564249953</v>
      </c>
      <c r="AJ68" s="972">
        <f t="shared" si="75"/>
        <v>81.402014564249953</v>
      </c>
      <c r="AK68" s="867">
        <f t="shared" si="76"/>
        <v>81.402014564249953</v>
      </c>
    </row>
    <row r="69" spans="1:37" s="121" customFormat="1" ht="20.149999999999999" customHeight="1" outlineLevel="1" thickBot="1" x14ac:dyDescent="0.3">
      <c r="A69" s="159" t="s">
        <v>766</v>
      </c>
      <c r="B69" s="1162"/>
      <c r="C69" s="154"/>
      <c r="D69" s="154"/>
      <c r="E69" s="154"/>
      <c r="F69" s="154"/>
      <c r="G69" s="155"/>
      <c r="H69" s="155"/>
      <c r="I69" s="155"/>
      <c r="J69" s="155"/>
      <c r="K69" s="155"/>
      <c r="L69" s="155"/>
      <c r="M69" s="155"/>
      <c r="N69" s="155"/>
      <c r="O69" s="155">
        <f>N32</f>
        <v>40.952959649613724</v>
      </c>
      <c r="P69" s="155">
        <f t="shared" ref="P69:AK69" si="77">O69</f>
        <v>40.952959649613724</v>
      </c>
      <c r="Q69" s="155">
        <f t="shared" si="77"/>
        <v>40.952959649613724</v>
      </c>
      <c r="R69" s="155">
        <f t="shared" si="77"/>
        <v>40.952959649613724</v>
      </c>
      <c r="S69" s="155">
        <f t="shared" si="77"/>
        <v>40.952959649613724</v>
      </c>
      <c r="T69" s="155">
        <f t="shared" si="77"/>
        <v>40.952959649613724</v>
      </c>
      <c r="U69" s="155">
        <f t="shared" si="77"/>
        <v>40.952959649613724</v>
      </c>
      <c r="V69" s="155">
        <f t="shared" si="77"/>
        <v>40.952959649613724</v>
      </c>
      <c r="W69" s="155">
        <f t="shared" si="77"/>
        <v>40.952959649613724</v>
      </c>
      <c r="X69" s="155">
        <f t="shared" si="77"/>
        <v>40.952959649613724</v>
      </c>
      <c r="Y69" s="155">
        <f t="shared" si="77"/>
        <v>40.952959649613724</v>
      </c>
      <c r="Z69" s="155">
        <f t="shared" si="77"/>
        <v>40.952959649613724</v>
      </c>
      <c r="AA69" s="155">
        <f t="shared" si="77"/>
        <v>40.952959649613724</v>
      </c>
      <c r="AB69" s="155">
        <f t="shared" si="77"/>
        <v>40.952959649613724</v>
      </c>
      <c r="AC69" s="155">
        <f t="shared" si="77"/>
        <v>40.952959649613724</v>
      </c>
      <c r="AD69" s="155">
        <f t="shared" si="77"/>
        <v>40.952959649613724</v>
      </c>
      <c r="AE69" s="155">
        <f t="shared" si="77"/>
        <v>40.952959649613724</v>
      </c>
      <c r="AF69" s="155">
        <f t="shared" si="77"/>
        <v>40.952959649613724</v>
      </c>
      <c r="AG69" s="155">
        <f t="shared" si="77"/>
        <v>40.952959649613724</v>
      </c>
      <c r="AH69" s="155">
        <f t="shared" si="77"/>
        <v>40.952959649613724</v>
      </c>
      <c r="AI69" s="155">
        <f t="shared" si="77"/>
        <v>40.952959649613724</v>
      </c>
      <c r="AJ69" s="155">
        <f t="shared" si="77"/>
        <v>40.952959649613724</v>
      </c>
      <c r="AK69" s="868">
        <f t="shared" si="77"/>
        <v>40.952959649613724</v>
      </c>
    </row>
    <row r="70" spans="1:37" s="6" customFormat="1" ht="20.149999999999999" customHeight="1" outlineLevel="1" x14ac:dyDescent="0.25">
      <c r="A70" s="157" t="s">
        <v>398</v>
      </c>
      <c r="B70" s="1156" t="s">
        <v>403</v>
      </c>
      <c r="C70" s="153"/>
      <c r="D70" s="153"/>
      <c r="E70" s="153"/>
      <c r="F70" s="153"/>
      <c r="G70" s="153">
        <f>F33</f>
        <v>62.934284615080799</v>
      </c>
      <c r="H70" s="153">
        <f t="shared" ref="H70" si="78">G70</f>
        <v>62.934284615080799</v>
      </c>
      <c r="I70" s="153">
        <f t="shared" ref="I70:I71" si="79">H70</f>
        <v>62.934284615080799</v>
      </c>
      <c r="J70" s="153">
        <f t="shared" ref="J70:J71" si="80">I70</f>
        <v>62.934284615080799</v>
      </c>
      <c r="K70" s="153">
        <f t="shared" ref="K70:K72" si="81">J70</f>
        <v>62.934284615080799</v>
      </c>
      <c r="L70" s="153">
        <f t="shared" ref="L70:L74" si="82">K70</f>
        <v>62.934284615080799</v>
      </c>
      <c r="M70" s="153">
        <f t="shared" ref="M70:M75" si="83">L70</f>
        <v>62.934284615080799</v>
      </c>
      <c r="N70" s="153">
        <f t="shared" ref="N70:N76" si="84">M70</f>
        <v>62.934284615080799</v>
      </c>
      <c r="O70" s="153">
        <f t="shared" ref="O70:O71" si="85">N70</f>
        <v>62.934284615080799</v>
      </c>
      <c r="P70" s="153">
        <f t="shared" ref="P70:AK70" si="86">O70</f>
        <v>62.934284615080799</v>
      </c>
      <c r="Q70" s="153">
        <f t="shared" si="86"/>
        <v>62.934284615080799</v>
      </c>
      <c r="R70" s="153">
        <f t="shared" si="86"/>
        <v>62.934284615080799</v>
      </c>
      <c r="S70" s="153">
        <f t="shared" si="86"/>
        <v>62.934284615080799</v>
      </c>
      <c r="T70" s="153">
        <f t="shared" si="86"/>
        <v>62.934284615080799</v>
      </c>
      <c r="U70" s="153">
        <f t="shared" si="86"/>
        <v>62.934284615080799</v>
      </c>
      <c r="V70" s="153">
        <f t="shared" si="86"/>
        <v>62.934284615080799</v>
      </c>
      <c r="W70" s="153">
        <f t="shared" si="86"/>
        <v>62.934284615080799</v>
      </c>
      <c r="X70" s="153">
        <f t="shared" si="86"/>
        <v>62.934284615080799</v>
      </c>
      <c r="Y70" s="153">
        <f t="shared" si="86"/>
        <v>62.934284615080799</v>
      </c>
      <c r="Z70" s="153">
        <f t="shared" si="86"/>
        <v>62.934284615080799</v>
      </c>
      <c r="AA70" s="153">
        <f t="shared" si="86"/>
        <v>62.934284615080799</v>
      </c>
      <c r="AB70" s="153">
        <f t="shared" si="86"/>
        <v>62.934284615080799</v>
      </c>
      <c r="AC70" s="153">
        <f t="shared" si="86"/>
        <v>62.934284615080799</v>
      </c>
      <c r="AD70" s="153">
        <f t="shared" si="86"/>
        <v>62.934284615080799</v>
      </c>
      <c r="AE70" s="153">
        <f t="shared" si="86"/>
        <v>62.934284615080799</v>
      </c>
      <c r="AF70" s="153">
        <f t="shared" si="86"/>
        <v>62.934284615080799</v>
      </c>
      <c r="AG70" s="153">
        <f t="shared" si="86"/>
        <v>62.934284615080799</v>
      </c>
      <c r="AH70" s="153">
        <f t="shared" si="86"/>
        <v>62.934284615080799</v>
      </c>
      <c r="AI70" s="153">
        <f t="shared" si="86"/>
        <v>62.934284615080799</v>
      </c>
      <c r="AJ70" s="153">
        <f t="shared" si="86"/>
        <v>62.934284615080799</v>
      </c>
      <c r="AK70" s="869">
        <f t="shared" si="86"/>
        <v>62.934284615080799</v>
      </c>
    </row>
    <row r="71" spans="1:37" s="6" customFormat="1" ht="20.149999999999999" customHeight="1" outlineLevel="1" x14ac:dyDescent="0.25">
      <c r="A71" s="158" t="s">
        <v>399</v>
      </c>
      <c r="B71" s="1157"/>
      <c r="C71" s="139"/>
      <c r="D71" s="139"/>
      <c r="E71" s="139"/>
      <c r="F71" s="138"/>
      <c r="G71" s="138"/>
      <c r="H71" s="138">
        <f>G33</f>
        <v>62.934284615080799</v>
      </c>
      <c r="I71" s="138">
        <f t="shared" si="79"/>
        <v>62.934284615080799</v>
      </c>
      <c r="J71" s="138">
        <f t="shared" si="80"/>
        <v>62.934284615080799</v>
      </c>
      <c r="K71" s="138">
        <f t="shared" si="81"/>
        <v>62.934284615080799</v>
      </c>
      <c r="L71" s="138">
        <f t="shared" si="82"/>
        <v>62.934284615080799</v>
      </c>
      <c r="M71" s="138">
        <f t="shared" si="83"/>
        <v>62.934284615080799</v>
      </c>
      <c r="N71" s="138">
        <f t="shared" si="84"/>
        <v>62.934284615080799</v>
      </c>
      <c r="O71" s="138">
        <f t="shared" si="85"/>
        <v>62.934284615080799</v>
      </c>
      <c r="P71" s="138">
        <f t="shared" ref="P71:AK77" si="87">O71</f>
        <v>62.934284615080799</v>
      </c>
      <c r="Q71" s="138">
        <f t="shared" si="87"/>
        <v>62.934284615080799</v>
      </c>
      <c r="R71" s="138">
        <f t="shared" si="87"/>
        <v>62.934284615080799</v>
      </c>
      <c r="S71" s="138">
        <f t="shared" si="87"/>
        <v>62.934284615080799</v>
      </c>
      <c r="T71" s="138">
        <f t="shared" si="87"/>
        <v>62.934284615080799</v>
      </c>
      <c r="U71" s="138">
        <f t="shared" si="87"/>
        <v>62.934284615080799</v>
      </c>
      <c r="V71" s="138">
        <f t="shared" si="87"/>
        <v>62.934284615080799</v>
      </c>
      <c r="W71" s="138">
        <f t="shared" si="87"/>
        <v>62.934284615080799</v>
      </c>
      <c r="X71" s="138">
        <f t="shared" si="87"/>
        <v>62.934284615080799</v>
      </c>
      <c r="Y71" s="138">
        <f t="shared" si="87"/>
        <v>62.934284615080799</v>
      </c>
      <c r="Z71" s="138">
        <f t="shared" si="87"/>
        <v>62.934284615080799</v>
      </c>
      <c r="AA71" s="138">
        <f t="shared" si="87"/>
        <v>62.934284615080799</v>
      </c>
      <c r="AB71" s="138">
        <f t="shared" si="87"/>
        <v>62.934284615080799</v>
      </c>
      <c r="AC71" s="138">
        <f t="shared" si="87"/>
        <v>62.934284615080799</v>
      </c>
      <c r="AD71" s="138">
        <f t="shared" si="87"/>
        <v>62.934284615080799</v>
      </c>
      <c r="AE71" s="138">
        <f t="shared" si="87"/>
        <v>62.934284615080799</v>
      </c>
      <c r="AF71" s="138">
        <f t="shared" si="87"/>
        <v>62.934284615080799</v>
      </c>
      <c r="AG71" s="138">
        <f t="shared" si="87"/>
        <v>62.934284615080799</v>
      </c>
      <c r="AH71" s="138">
        <f t="shared" si="87"/>
        <v>62.934284615080799</v>
      </c>
      <c r="AI71" s="138">
        <f t="shared" si="87"/>
        <v>62.934284615080799</v>
      </c>
      <c r="AJ71" s="138">
        <f t="shared" si="87"/>
        <v>62.934284615080799</v>
      </c>
      <c r="AK71" s="867">
        <f t="shared" si="87"/>
        <v>62.934284615080799</v>
      </c>
    </row>
    <row r="72" spans="1:37" s="6" customFormat="1" ht="20.149999999999999" customHeight="1" outlineLevel="1" x14ac:dyDescent="0.25">
      <c r="A72" s="158" t="s">
        <v>400</v>
      </c>
      <c r="B72" s="1163"/>
      <c r="C72" s="971"/>
      <c r="D72" s="971"/>
      <c r="E72" s="971"/>
      <c r="F72" s="972"/>
      <c r="G72" s="972"/>
      <c r="H72" s="972"/>
      <c r="I72" s="972">
        <f>H33</f>
        <v>75.612440862958948</v>
      </c>
      <c r="J72" s="972">
        <f>I72</f>
        <v>75.612440862958948</v>
      </c>
      <c r="K72" s="972">
        <f t="shared" si="81"/>
        <v>75.612440862958948</v>
      </c>
      <c r="L72" s="972">
        <f t="shared" si="82"/>
        <v>75.612440862958948</v>
      </c>
      <c r="M72" s="972">
        <f t="shared" si="83"/>
        <v>75.612440862958948</v>
      </c>
      <c r="N72" s="972">
        <f t="shared" si="84"/>
        <v>75.612440862958948</v>
      </c>
      <c r="O72" s="972">
        <f t="shared" ref="O72:O77" si="88">N72</f>
        <v>75.612440862958948</v>
      </c>
      <c r="P72" s="972">
        <f t="shared" si="87"/>
        <v>75.612440862958948</v>
      </c>
      <c r="Q72" s="972">
        <f t="shared" si="87"/>
        <v>75.612440862958948</v>
      </c>
      <c r="R72" s="972">
        <f t="shared" si="87"/>
        <v>75.612440862958948</v>
      </c>
      <c r="S72" s="972">
        <f t="shared" si="87"/>
        <v>75.612440862958948</v>
      </c>
      <c r="T72" s="972">
        <f t="shared" si="87"/>
        <v>75.612440862958948</v>
      </c>
      <c r="U72" s="972">
        <f t="shared" si="87"/>
        <v>75.612440862958948</v>
      </c>
      <c r="V72" s="972">
        <f t="shared" si="87"/>
        <v>75.612440862958948</v>
      </c>
      <c r="W72" s="972">
        <f t="shared" si="87"/>
        <v>75.612440862958948</v>
      </c>
      <c r="X72" s="972">
        <f t="shared" si="87"/>
        <v>75.612440862958948</v>
      </c>
      <c r="Y72" s="972">
        <f t="shared" si="87"/>
        <v>75.612440862958948</v>
      </c>
      <c r="Z72" s="972">
        <f t="shared" si="87"/>
        <v>75.612440862958948</v>
      </c>
      <c r="AA72" s="972">
        <f t="shared" si="87"/>
        <v>75.612440862958948</v>
      </c>
      <c r="AB72" s="972">
        <f t="shared" si="87"/>
        <v>75.612440862958948</v>
      </c>
      <c r="AC72" s="972">
        <f t="shared" si="87"/>
        <v>75.612440862958948</v>
      </c>
      <c r="AD72" s="972">
        <f t="shared" si="87"/>
        <v>75.612440862958948</v>
      </c>
      <c r="AE72" s="972">
        <f t="shared" si="87"/>
        <v>75.612440862958948</v>
      </c>
      <c r="AF72" s="972">
        <f t="shared" si="87"/>
        <v>75.612440862958948</v>
      </c>
      <c r="AG72" s="972">
        <f t="shared" si="87"/>
        <v>75.612440862958948</v>
      </c>
      <c r="AH72" s="972">
        <f t="shared" si="87"/>
        <v>75.612440862958948</v>
      </c>
      <c r="AI72" s="972">
        <f t="shared" si="87"/>
        <v>75.612440862958948</v>
      </c>
      <c r="AJ72" s="972">
        <f t="shared" si="87"/>
        <v>75.612440862958948</v>
      </c>
      <c r="AK72" s="972">
        <f t="shared" si="87"/>
        <v>75.612440862958948</v>
      </c>
    </row>
    <row r="73" spans="1:37" s="6" customFormat="1" ht="20.149999999999999" customHeight="1" outlineLevel="1" x14ac:dyDescent="0.25">
      <c r="A73" s="157" t="s">
        <v>761</v>
      </c>
      <c r="B73" s="1163"/>
      <c r="C73" s="971"/>
      <c r="D73" s="971"/>
      <c r="E73" s="971"/>
      <c r="F73" s="972"/>
      <c r="G73" s="972"/>
      <c r="H73" s="972"/>
      <c r="I73" s="972"/>
      <c r="J73" s="972">
        <f>I33</f>
        <v>146.03742008603322</v>
      </c>
      <c r="K73" s="972">
        <f>J73</f>
        <v>146.03742008603322</v>
      </c>
      <c r="L73" s="972">
        <f t="shared" si="82"/>
        <v>146.03742008603322</v>
      </c>
      <c r="M73" s="972">
        <f t="shared" si="83"/>
        <v>146.03742008603322</v>
      </c>
      <c r="N73" s="972">
        <f t="shared" si="84"/>
        <v>146.03742008603322</v>
      </c>
      <c r="O73" s="972">
        <f t="shared" si="88"/>
        <v>146.03742008603322</v>
      </c>
      <c r="P73" s="972">
        <f t="shared" si="87"/>
        <v>146.03742008603322</v>
      </c>
      <c r="Q73" s="972">
        <f t="shared" si="87"/>
        <v>146.03742008603322</v>
      </c>
      <c r="R73" s="972">
        <f t="shared" si="87"/>
        <v>146.03742008603322</v>
      </c>
      <c r="S73" s="972">
        <f t="shared" si="87"/>
        <v>146.03742008603322</v>
      </c>
      <c r="T73" s="972">
        <f t="shared" si="87"/>
        <v>146.03742008603322</v>
      </c>
      <c r="U73" s="972">
        <f t="shared" si="87"/>
        <v>146.03742008603322</v>
      </c>
      <c r="V73" s="972">
        <f t="shared" si="87"/>
        <v>146.03742008603322</v>
      </c>
      <c r="W73" s="972">
        <f t="shared" si="87"/>
        <v>146.03742008603322</v>
      </c>
      <c r="X73" s="972">
        <f t="shared" si="87"/>
        <v>146.03742008603322</v>
      </c>
      <c r="Y73" s="972">
        <f t="shared" si="87"/>
        <v>146.03742008603322</v>
      </c>
      <c r="Z73" s="972">
        <f t="shared" si="87"/>
        <v>146.03742008603322</v>
      </c>
      <c r="AA73" s="972">
        <f t="shared" si="87"/>
        <v>146.03742008603322</v>
      </c>
      <c r="AB73" s="972">
        <f t="shared" si="87"/>
        <v>146.03742008603322</v>
      </c>
      <c r="AC73" s="972">
        <f t="shared" si="87"/>
        <v>146.03742008603322</v>
      </c>
      <c r="AD73" s="972">
        <f t="shared" si="87"/>
        <v>146.03742008603322</v>
      </c>
      <c r="AE73" s="972">
        <f t="shared" si="87"/>
        <v>146.03742008603322</v>
      </c>
      <c r="AF73" s="972">
        <f t="shared" si="87"/>
        <v>146.03742008603322</v>
      </c>
      <c r="AG73" s="972">
        <f t="shared" si="87"/>
        <v>146.03742008603322</v>
      </c>
      <c r="AH73" s="972">
        <f t="shared" si="87"/>
        <v>146.03742008603322</v>
      </c>
      <c r="AI73" s="972">
        <f t="shared" si="87"/>
        <v>146.03742008603322</v>
      </c>
      <c r="AJ73" s="972">
        <f t="shared" si="87"/>
        <v>146.03742008603322</v>
      </c>
      <c r="AK73" s="972">
        <f t="shared" si="87"/>
        <v>146.03742008603322</v>
      </c>
    </row>
    <row r="74" spans="1:37" s="6" customFormat="1" ht="20.149999999999999" customHeight="1" outlineLevel="1" x14ac:dyDescent="0.25">
      <c r="A74" s="158" t="s">
        <v>762</v>
      </c>
      <c r="B74" s="1163"/>
      <c r="C74" s="971"/>
      <c r="D74" s="971"/>
      <c r="E74" s="971"/>
      <c r="F74" s="972"/>
      <c r="G74" s="972"/>
      <c r="H74" s="972"/>
      <c r="I74" s="972"/>
      <c r="J74" s="972"/>
      <c r="K74" s="972">
        <f>J33</f>
        <v>137.01581609946373</v>
      </c>
      <c r="L74" s="972">
        <f t="shared" si="82"/>
        <v>137.01581609946373</v>
      </c>
      <c r="M74" s="972">
        <f t="shared" si="83"/>
        <v>137.01581609946373</v>
      </c>
      <c r="N74" s="972">
        <f t="shared" si="84"/>
        <v>137.01581609946373</v>
      </c>
      <c r="O74" s="972">
        <f t="shared" si="88"/>
        <v>137.01581609946373</v>
      </c>
      <c r="P74" s="972">
        <f t="shared" si="87"/>
        <v>137.01581609946373</v>
      </c>
      <c r="Q74" s="972">
        <f t="shared" si="87"/>
        <v>137.01581609946373</v>
      </c>
      <c r="R74" s="972">
        <f t="shared" si="87"/>
        <v>137.01581609946373</v>
      </c>
      <c r="S74" s="972">
        <f t="shared" si="87"/>
        <v>137.01581609946373</v>
      </c>
      <c r="T74" s="972">
        <f t="shared" si="87"/>
        <v>137.01581609946373</v>
      </c>
      <c r="U74" s="972">
        <f t="shared" si="87"/>
        <v>137.01581609946373</v>
      </c>
      <c r="V74" s="972">
        <f t="shared" si="87"/>
        <v>137.01581609946373</v>
      </c>
      <c r="W74" s="972">
        <f t="shared" si="87"/>
        <v>137.01581609946373</v>
      </c>
      <c r="X74" s="972">
        <f t="shared" si="87"/>
        <v>137.01581609946373</v>
      </c>
      <c r="Y74" s="972">
        <f t="shared" si="87"/>
        <v>137.01581609946373</v>
      </c>
      <c r="Z74" s="972">
        <f t="shared" si="87"/>
        <v>137.01581609946373</v>
      </c>
      <c r="AA74" s="972">
        <f t="shared" si="87"/>
        <v>137.01581609946373</v>
      </c>
      <c r="AB74" s="972">
        <f t="shared" si="87"/>
        <v>137.01581609946373</v>
      </c>
      <c r="AC74" s="972">
        <f t="shared" si="87"/>
        <v>137.01581609946373</v>
      </c>
      <c r="AD74" s="972">
        <f t="shared" si="87"/>
        <v>137.01581609946373</v>
      </c>
      <c r="AE74" s="972">
        <f t="shared" si="87"/>
        <v>137.01581609946373</v>
      </c>
      <c r="AF74" s="972">
        <f t="shared" si="87"/>
        <v>137.01581609946373</v>
      </c>
      <c r="AG74" s="972">
        <f t="shared" si="87"/>
        <v>137.01581609946373</v>
      </c>
      <c r="AH74" s="972">
        <f t="shared" si="87"/>
        <v>137.01581609946373</v>
      </c>
      <c r="AI74" s="972">
        <f t="shared" si="87"/>
        <v>137.01581609946373</v>
      </c>
      <c r="AJ74" s="972">
        <f t="shared" si="87"/>
        <v>137.01581609946373</v>
      </c>
      <c r="AK74" s="972">
        <f t="shared" si="87"/>
        <v>137.01581609946373</v>
      </c>
    </row>
    <row r="75" spans="1:37" s="6" customFormat="1" ht="20.149999999999999" customHeight="1" outlineLevel="1" x14ac:dyDescent="0.25">
      <c r="A75" s="158" t="s">
        <v>763</v>
      </c>
      <c r="B75" s="1163"/>
      <c r="C75" s="971"/>
      <c r="D75" s="971"/>
      <c r="E75" s="971"/>
      <c r="F75" s="972"/>
      <c r="G75" s="972"/>
      <c r="H75" s="972"/>
      <c r="I75" s="972"/>
      <c r="J75" s="972"/>
      <c r="K75" s="972"/>
      <c r="L75" s="972">
        <f>K33</f>
        <v>140.97628073463602</v>
      </c>
      <c r="M75" s="972">
        <f t="shared" si="83"/>
        <v>140.97628073463602</v>
      </c>
      <c r="N75" s="972">
        <f t="shared" si="84"/>
        <v>140.97628073463602</v>
      </c>
      <c r="O75" s="972">
        <f t="shared" si="88"/>
        <v>140.97628073463602</v>
      </c>
      <c r="P75" s="972">
        <f t="shared" si="87"/>
        <v>140.97628073463602</v>
      </c>
      <c r="Q75" s="972">
        <f t="shared" si="87"/>
        <v>140.97628073463602</v>
      </c>
      <c r="R75" s="972">
        <f t="shared" si="87"/>
        <v>140.97628073463602</v>
      </c>
      <c r="S75" s="972">
        <f t="shared" si="87"/>
        <v>140.97628073463602</v>
      </c>
      <c r="T75" s="972">
        <f t="shared" si="87"/>
        <v>140.97628073463602</v>
      </c>
      <c r="U75" s="972">
        <f t="shared" si="87"/>
        <v>140.97628073463602</v>
      </c>
      <c r="V75" s="972">
        <f t="shared" si="87"/>
        <v>140.97628073463602</v>
      </c>
      <c r="W75" s="972">
        <f t="shared" si="87"/>
        <v>140.97628073463602</v>
      </c>
      <c r="X75" s="972">
        <f t="shared" si="87"/>
        <v>140.97628073463602</v>
      </c>
      <c r="Y75" s="972">
        <f t="shared" si="87"/>
        <v>140.97628073463602</v>
      </c>
      <c r="Z75" s="972">
        <f t="shared" si="87"/>
        <v>140.97628073463602</v>
      </c>
      <c r="AA75" s="972">
        <f t="shared" si="87"/>
        <v>140.97628073463602</v>
      </c>
      <c r="AB75" s="972">
        <f t="shared" si="87"/>
        <v>140.97628073463602</v>
      </c>
      <c r="AC75" s="972">
        <f t="shared" si="87"/>
        <v>140.97628073463602</v>
      </c>
      <c r="AD75" s="972">
        <f t="shared" si="87"/>
        <v>140.97628073463602</v>
      </c>
      <c r="AE75" s="972">
        <f t="shared" si="87"/>
        <v>140.97628073463602</v>
      </c>
      <c r="AF75" s="972">
        <f t="shared" si="87"/>
        <v>140.97628073463602</v>
      </c>
      <c r="AG75" s="972">
        <f t="shared" si="87"/>
        <v>140.97628073463602</v>
      </c>
      <c r="AH75" s="972">
        <f t="shared" si="87"/>
        <v>140.97628073463602</v>
      </c>
      <c r="AI75" s="972">
        <f t="shared" si="87"/>
        <v>140.97628073463602</v>
      </c>
      <c r="AJ75" s="972">
        <f t="shared" si="87"/>
        <v>140.97628073463602</v>
      </c>
      <c r="AK75" s="972">
        <f t="shared" si="87"/>
        <v>140.97628073463602</v>
      </c>
    </row>
    <row r="76" spans="1:37" s="6" customFormat="1" ht="20.149999999999999" customHeight="1" outlineLevel="1" x14ac:dyDescent="0.25">
      <c r="A76" s="157" t="s">
        <v>764</v>
      </c>
      <c r="B76" s="1163"/>
      <c r="C76" s="971"/>
      <c r="D76" s="971"/>
      <c r="E76" s="971"/>
      <c r="F76" s="972"/>
      <c r="G76" s="972"/>
      <c r="H76" s="972"/>
      <c r="I76" s="972"/>
      <c r="J76" s="972"/>
      <c r="K76" s="972"/>
      <c r="L76" s="972"/>
      <c r="M76" s="972">
        <f>L33</f>
        <v>114.83449877288281</v>
      </c>
      <c r="N76" s="972">
        <f t="shared" si="84"/>
        <v>114.83449877288281</v>
      </c>
      <c r="O76" s="972">
        <f t="shared" si="88"/>
        <v>114.83449877288281</v>
      </c>
      <c r="P76" s="972">
        <f t="shared" si="87"/>
        <v>114.83449877288281</v>
      </c>
      <c r="Q76" s="972">
        <f t="shared" si="87"/>
        <v>114.83449877288281</v>
      </c>
      <c r="R76" s="972">
        <f t="shared" si="87"/>
        <v>114.83449877288281</v>
      </c>
      <c r="S76" s="972">
        <f t="shared" si="87"/>
        <v>114.83449877288281</v>
      </c>
      <c r="T76" s="972">
        <f t="shared" si="87"/>
        <v>114.83449877288281</v>
      </c>
      <c r="U76" s="972">
        <f t="shared" si="87"/>
        <v>114.83449877288281</v>
      </c>
      <c r="V76" s="972">
        <f t="shared" si="87"/>
        <v>114.83449877288281</v>
      </c>
      <c r="W76" s="972">
        <f t="shared" si="87"/>
        <v>114.83449877288281</v>
      </c>
      <c r="X76" s="972">
        <f t="shared" si="87"/>
        <v>114.83449877288281</v>
      </c>
      <c r="Y76" s="972">
        <f t="shared" si="87"/>
        <v>114.83449877288281</v>
      </c>
      <c r="Z76" s="972">
        <f t="shared" si="87"/>
        <v>114.83449877288281</v>
      </c>
      <c r="AA76" s="972">
        <f t="shared" si="87"/>
        <v>114.83449877288281</v>
      </c>
      <c r="AB76" s="972">
        <f t="shared" si="87"/>
        <v>114.83449877288281</v>
      </c>
      <c r="AC76" s="972">
        <f t="shared" si="87"/>
        <v>114.83449877288281</v>
      </c>
      <c r="AD76" s="972">
        <f t="shared" si="87"/>
        <v>114.83449877288281</v>
      </c>
      <c r="AE76" s="972">
        <f t="shared" si="87"/>
        <v>114.83449877288281</v>
      </c>
      <c r="AF76" s="972">
        <f t="shared" si="87"/>
        <v>114.83449877288281</v>
      </c>
      <c r="AG76" s="972">
        <f t="shared" si="87"/>
        <v>114.83449877288281</v>
      </c>
      <c r="AH76" s="972">
        <f t="shared" si="87"/>
        <v>114.83449877288281</v>
      </c>
      <c r="AI76" s="972">
        <f t="shared" si="87"/>
        <v>114.83449877288281</v>
      </c>
      <c r="AJ76" s="972">
        <f t="shared" si="87"/>
        <v>114.83449877288281</v>
      </c>
      <c r="AK76" s="972">
        <f t="shared" si="87"/>
        <v>114.83449877288281</v>
      </c>
    </row>
    <row r="77" spans="1:37" s="6" customFormat="1" ht="20.149999999999999" customHeight="1" outlineLevel="1" x14ac:dyDescent="0.25">
      <c r="A77" s="158" t="s">
        <v>765</v>
      </c>
      <c r="B77" s="1163"/>
      <c r="C77" s="971"/>
      <c r="D77" s="971"/>
      <c r="E77" s="971"/>
      <c r="F77" s="972"/>
      <c r="G77" s="972"/>
      <c r="H77" s="972"/>
      <c r="I77" s="972"/>
      <c r="J77" s="972"/>
      <c r="K77" s="972"/>
      <c r="L77" s="972"/>
      <c r="M77" s="972"/>
      <c r="N77" s="972">
        <f>M33</f>
        <v>81.402014564249953</v>
      </c>
      <c r="O77" s="972">
        <f t="shared" si="88"/>
        <v>81.402014564249953</v>
      </c>
      <c r="P77" s="972">
        <f t="shared" si="87"/>
        <v>81.402014564249953</v>
      </c>
      <c r="Q77" s="972">
        <f t="shared" si="87"/>
        <v>81.402014564249953</v>
      </c>
      <c r="R77" s="972">
        <f t="shared" si="87"/>
        <v>81.402014564249953</v>
      </c>
      <c r="S77" s="972">
        <f t="shared" si="87"/>
        <v>81.402014564249953</v>
      </c>
      <c r="T77" s="972">
        <f t="shared" si="87"/>
        <v>81.402014564249953</v>
      </c>
      <c r="U77" s="972">
        <f t="shared" si="87"/>
        <v>81.402014564249953</v>
      </c>
      <c r="V77" s="972">
        <f t="shared" si="87"/>
        <v>81.402014564249953</v>
      </c>
      <c r="W77" s="972">
        <f t="shared" si="87"/>
        <v>81.402014564249953</v>
      </c>
      <c r="X77" s="972">
        <f t="shared" si="87"/>
        <v>81.402014564249953</v>
      </c>
      <c r="Y77" s="972">
        <f t="shared" si="87"/>
        <v>81.402014564249953</v>
      </c>
      <c r="Z77" s="972">
        <f t="shared" si="87"/>
        <v>81.402014564249953</v>
      </c>
      <c r="AA77" s="972">
        <f t="shared" si="87"/>
        <v>81.402014564249953</v>
      </c>
      <c r="AB77" s="972">
        <f t="shared" si="87"/>
        <v>81.402014564249953</v>
      </c>
      <c r="AC77" s="972">
        <f t="shared" si="87"/>
        <v>81.402014564249953</v>
      </c>
      <c r="AD77" s="972">
        <f t="shared" si="87"/>
        <v>81.402014564249953</v>
      </c>
      <c r="AE77" s="972">
        <f t="shared" si="87"/>
        <v>81.402014564249953</v>
      </c>
      <c r="AF77" s="972">
        <f t="shared" si="87"/>
        <v>81.402014564249953</v>
      </c>
      <c r="AG77" s="972">
        <f t="shared" si="87"/>
        <v>81.402014564249953</v>
      </c>
      <c r="AH77" s="972">
        <f t="shared" si="87"/>
        <v>81.402014564249953</v>
      </c>
      <c r="AI77" s="972">
        <f t="shared" si="87"/>
        <v>81.402014564249953</v>
      </c>
      <c r="AJ77" s="972">
        <f t="shared" si="87"/>
        <v>81.402014564249953</v>
      </c>
      <c r="AK77" s="972">
        <f t="shared" si="87"/>
        <v>81.402014564249953</v>
      </c>
    </row>
    <row r="78" spans="1:37" s="121" customFormat="1" ht="20.149999999999999" customHeight="1" outlineLevel="1" thickBot="1" x14ac:dyDescent="0.3">
      <c r="A78" s="159" t="s">
        <v>766</v>
      </c>
      <c r="B78" s="1158"/>
      <c r="C78" s="154"/>
      <c r="D78" s="154"/>
      <c r="E78" s="154"/>
      <c r="F78" s="154"/>
      <c r="G78" s="155"/>
      <c r="H78" s="155"/>
      <c r="I78" s="155"/>
      <c r="J78" s="155"/>
      <c r="K78" s="155"/>
      <c r="L78" s="155"/>
      <c r="M78" s="155"/>
      <c r="N78" s="155"/>
      <c r="O78" s="155">
        <f>N33</f>
        <v>40.952959649613724</v>
      </c>
      <c r="P78" s="155">
        <f t="shared" ref="P78:AK78" si="89">O78</f>
        <v>40.952959649613724</v>
      </c>
      <c r="Q78" s="155">
        <f t="shared" si="89"/>
        <v>40.952959649613724</v>
      </c>
      <c r="R78" s="155">
        <f t="shared" si="89"/>
        <v>40.952959649613724</v>
      </c>
      <c r="S78" s="155">
        <f t="shared" si="89"/>
        <v>40.952959649613724</v>
      </c>
      <c r="T78" s="155">
        <f t="shared" si="89"/>
        <v>40.952959649613724</v>
      </c>
      <c r="U78" s="155">
        <f t="shared" si="89"/>
        <v>40.952959649613724</v>
      </c>
      <c r="V78" s="155">
        <f t="shared" si="89"/>
        <v>40.952959649613724</v>
      </c>
      <c r="W78" s="155">
        <f t="shared" si="89"/>
        <v>40.952959649613724</v>
      </c>
      <c r="X78" s="155">
        <f t="shared" si="89"/>
        <v>40.952959649613724</v>
      </c>
      <c r="Y78" s="155">
        <f t="shared" si="89"/>
        <v>40.952959649613724</v>
      </c>
      <c r="Z78" s="155">
        <f t="shared" si="89"/>
        <v>40.952959649613724</v>
      </c>
      <c r="AA78" s="155">
        <f t="shared" si="89"/>
        <v>40.952959649613724</v>
      </c>
      <c r="AB78" s="155">
        <f t="shared" si="89"/>
        <v>40.952959649613724</v>
      </c>
      <c r="AC78" s="155">
        <f t="shared" si="89"/>
        <v>40.952959649613724</v>
      </c>
      <c r="AD78" s="155">
        <f t="shared" si="89"/>
        <v>40.952959649613724</v>
      </c>
      <c r="AE78" s="155">
        <f t="shared" si="89"/>
        <v>40.952959649613724</v>
      </c>
      <c r="AF78" s="155">
        <f t="shared" si="89"/>
        <v>40.952959649613724</v>
      </c>
      <c r="AG78" s="155">
        <f t="shared" si="89"/>
        <v>40.952959649613724</v>
      </c>
      <c r="AH78" s="155">
        <f t="shared" si="89"/>
        <v>40.952959649613724</v>
      </c>
      <c r="AI78" s="155">
        <f t="shared" si="89"/>
        <v>40.952959649613724</v>
      </c>
      <c r="AJ78" s="155">
        <f t="shared" si="89"/>
        <v>40.952959649613724</v>
      </c>
      <c r="AK78" s="868">
        <f t="shared" si="89"/>
        <v>40.952959649613724</v>
      </c>
    </row>
    <row r="79" spans="1:37" s="6" customFormat="1" ht="20.149999999999999" customHeight="1" outlineLevel="1" x14ac:dyDescent="0.25">
      <c r="A79" s="157" t="s">
        <v>398</v>
      </c>
      <c r="B79" s="1159" t="s">
        <v>409</v>
      </c>
      <c r="C79" s="153"/>
      <c r="D79" s="153"/>
      <c r="E79" s="153"/>
      <c r="F79" s="153"/>
      <c r="G79" s="153">
        <f>F34</f>
        <v>100.69485538412928</v>
      </c>
      <c r="H79" s="153">
        <f>G79</f>
        <v>100.69485538412928</v>
      </c>
      <c r="I79" s="153">
        <f t="shared" si="61"/>
        <v>100.69485538412928</v>
      </c>
      <c r="J79" s="153">
        <f t="shared" ref="J79:AK79" si="90">I79</f>
        <v>100.69485538412928</v>
      </c>
      <c r="K79" s="153">
        <f t="shared" si="90"/>
        <v>100.69485538412928</v>
      </c>
      <c r="L79" s="153">
        <f t="shared" si="90"/>
        <v>100.69485538412928</v>
      </c>
      <c r="M79" s="153">
        <f t="shared" si="90"/>
        <v>100.69485538412928</v>
      </c>
      <c r="N79" s="153">
        <f t="shared" si="90"/>
        <v>100.69485538412928</v>
      </c>
      <c r="O79" s="153">
        <f t="shared" si="90"/>
        <v>100.69485538412928</v>
      </c>
      <c r="P79" s="153">
        <f t="shared" si="90"/>
        <v>100.69485538412928</v>
      </c>
      <c r="Q79" s="153">
        <f t="shared" si="90"/>
        <v>100.69485538412928</v>
      </c>
      <c r="R79" s="153">
        <f t="shared" si="90"/>
        <v>100.69485538412928</v>
      </c>
      <c r="S79" s="153">
        <f t="shared" si="90"/>
        <v>100.69485538412928</v>
      </c>
      <c r="T79" s="153">
        <f t="shared" si="90"/>
        <v>100.69485538412928</v>
      </c>
      <c r="U79" s="153">
        <f t="shared" si="90"/>
        <v>100.69485538412928</v>
      </c>
      <c r="V79" s="153">
        <f t="shared" si="90"/>
        <v>100.69485538412928</v>
      </c>
      <c r="W79" s="153">
        <f t="shared" si="90"/>
        <v>100.69485538412928</v>
      </c>
      <c r="X79" s="153">
        <f t="shared" si="90"/>
        <v>100.69485538412928</v>
      </c>
      <c r="Y79" s="153">
        <f t="shared" si="90"/>
        <v>100.69485538412928</v>
      </c>
      <c r="Z79" s="153">
        <f t="shared" si="90"/>
        <v>100.69485538412928</v>
      </c>
      <c r="AA79" s="153">
        <f t="shared" si="90"/>
        <v>100.69485538412928</v>
      </c>
      <c r="AB79" s="153">
        <f t="shared" si="90"/>
        <v>100.69485538412928</v>
      </c>
      <c r="AC79" s="153">
        <f t="shared" si="90"/>
        <v>100.69485538412928</v>
      </c>
      <c r="AD79" s="153">
        <f t="shared" si="90"/>
        <v>100.69485538412928</v>
      </c>
      <c r="AE79" s="153">
        <f t="shared" si="90"/>
        <v>100.69485538412928</v>
      </c>
      <c r="AF79" s="153">
        <f t="shared" si="90"/>
        <v>100.69485538412928</v>
      </c>
      <c r="AG79" s="153">
        <f t="shared" si="90"/>
        <v>100.69485538412928</v>
      </c>
      <c r="AH79" s="153">
        <f t="shared" si="90"/>
        <v>100.69485538412928</v>
      </c>
      <c r="AI79" s="153">
        <f t="shared" si="90"/>
        <v>100.69485538412928</v>
      </c>
      <c r="AJ79" s="153">
        <f t="shared" si="90"/>
        <v>100.69485538412928</v>
      </c>
      <c r="AK79" s="869">
        <f t="shared" si="90"/>
        <v>100.69485538412928</v>
      </c>
    </row>
    <row r="80" spans="1:37" s="6" customFormat="1" ht="20.149999999999999" customHeight="1" outlineLevel="1" x14ac:dyDescent="0.25">
      <c r="A80" s="158" t="s">
        <v>399</v>
      </c>
      <c r="B80" s="1157"/>
      <c r="C80" s="139"/>
      <c r="D80" s="139"/>
      <c r="E80" s="139"/>
      <c r="F80" s="138"/>
      <c r="G80" s="138"/>
      <c r="H80" s="138">
        <f>G34</f>
        <v>100.69485538412928</v>
      </c>
      <c r="I80" s="138">
        <f t="shared" si="61"/>
        <v>100.69485538412928</v>
      </c>
      <c r="J80" s="138">
        <f t="shared" ref="J80:AK86" si="91">I80</f>
        <v>100.69485538412928</v>
      </c>
      <c r="K80" s="138">
        <f t="shared" si="91"/>
        <v>100.69485538412928</v>
      </c>
      <c r="L80" s="138">
        <f t="shared" si="91"/>
        <v>100.69485538412928</v>
      </c>
      <c r="M80" s="138">
        <f t="shared" si="91"/>
        <v>100.69485538412928</v>
      </c>
      <c r="N80" s="138">
        <f t="shared" si="91"/>
        <v>100.69485538412928</v>
      </c>
      <c r="O80" s="138">
        <f t="shared" si="91"/>
        <v>100.69485538412928</v>
      </c>
      <c r="P80" s="138">
        <f t="shared" si="91"/>
        <v>100.69485538412928</v>
      </c>
      <c r="Q80" s="138">
        <f t="shared" si="91"/>
        <v>100.69485538412928</v>
      </c>
      <c r="R80" s="138">
        <f t="shared" si="91"/>
        <v>100.69485538412928</v>
      </c>
      <c r="S80" s="138">
        <f t="shared" si="91"/>
        <v>100.69485538412928</v>
      </c>
      <c r="T80" s="138">
        <f t="shared" si="91"/>
        <v>100.69485538412928</v>
      </c>
      <c r="U80" s="138">
        <f t="shared" si="91"/>
        <v>100.69485538412928</v>
      </c>
      <c r="V80" s="138">
        <f t="shared" si="91"/>
        <v>100.69485538412928</v>
      </c>
      <c r="W80" s="138">
        <f t="shared" si="91"/>
        <v>100.69485538412928</v>
      </c>
      <c r="X80" s="138">
        <f t="shared" si="91"/>
        <v>100.69485538412928</v>
      </c>
      <c r="Y80" s="138">
        <f t="shared" si="91"/>
        <v>100.69485538412928</v>
      </c>
      <c r="Z80" s="138">
        <f t="shared" si="91"/>
        <v>100.69485538412928</v>
      </c>
      <c r="AA80" s="138">
        <f t="shared" si="91"/>
        <v>100.69485538412928</v>
      </c>
      <c r="AB80" s="138">
        <f t="shared" si="91"/>
        <v>100.69485538412928</v>
      </c>
      <c r="AC80" s="138">
        <f t="shared" si="91"/>
        <v>100.69485538412928</v>
      </c>
      <c r="AD80" s="138">
        <f t="shared" si="91"/>
        <v>100.69485538412928</v>
      </c>
      <c r="AE80" s="138">
        <f t="shared" si="91"/>
        <v>100.69485538412928</v>
      </c>
      <c r="AF80" s="138">
        <f t="shared" si="91"/>
        <v>100.69485538412928</v>
      </c>
      <c r="AG80" s="138">
        <f t="shared" si="91"/>
        <v>100.69485538412928</v>
      </c>
      <c r="AH80" s="138">
        <f t="shared" si="91"/>
        <v>100.69485538412928</v>
      </c>
      <c r="AI80" s="138">
        <f t="shared" si="91"/>
        <v>100.69485538412928</v>
      </c>
      <c r="AJ80" s="138">
        <f t="shared" si="91"/>
        <v>100.69485538412928</v>
      </c>
      <c r="AK80" s="867">
        <f t="shared" si="91"/>
        <v>100.69485538412928</v>
      </c>
    </row>
    <row r="81" spans="1:37" s="6" customFormat="1" ht="20.149999999999999" customHeight="1" outlineLevel="1" x14ac:dyDescent="0.25">
      <c r="A81" s="158" t="s">
        <v>400</v>
      </c>
      <c r="B81" s="1163"/>
      <c r="C81" s="971"/>
      <c r="D81" s="971"/>
      <c r="E81" s="971"/>
      <c r="F81" s="972"/>
      <c r="G81" s="972"/>
      <c r="H81" s="972"/>
      <c r="I81" s="972">
        <f>H34</f>
        <v>120.97990538073431</v>
      </c>
      <c r="J81" s="972">
        <f>I81</f>
        <v>120.97990538073431</v>
      </c>
      <c r="K81" s="972">
        <f t="shared" si="91"/>
        <v>120.97990538073431</v>
      </c>
      <c r="L81" s="972">
        <f t="shared" si="91"/>
        <v>120.97990538073431</v>
      </c>
      <c r="M81" s="972">
        <f t="shared" si="91"/>
        <v>120.97990538073431</v>
      </c>
      <c r="N81" s="972">
        <f t="shared" si="91"/>
        <v>120.97990538073431</v>
      </c>
      <c r="O81" s="972">
        <f t="shared" si="91"/>
        <v>120.97990538073431</v>
      </c>
      <c r="P81" s="972">
        <f t="shared" si="91"/>
        <v>120.97990538073431</v>
      </c>
      <c r="Q81" s="972">
        <f t="shared" si="91"/>
        <v>120.97990538073431</v>
      </c>
      <c r="R81" s="972">
        <f t="shared" si="91"/>
        <v>120.97990538073431</v>
      </c>
      <c r="S81" s="972">
        <f t="shared" si="91"/>
        <v>120.97990538073431</v>
      </c>
      <c r="T81" s="972">
        <f t="shared" ref="T81:T86" si="92">S81</f>
        <v>120.97990538073431</v>
      </c>
      <c r="U81" s="972">
        <f t="shared" ref="U81:U86" si="93">T81</f>
        <v>120.97990538073431</v>
      </c>
      <c r="V81" s="972">
        <f t="shared" ref="V81:V86" si="94">U81</f>
        <v>120.97990538073431</v>
      </c>
      <c r="W81" s="972">
        <f t="shared" ref="W81:W86" si="95">V81</f>
        <v>120.97990538073431</v>
      </c>
      <c r="X81" s="972">
        <f t="shared" ref="X81:X86" si="96">W81</f>
        <v>120.97990538073431</v>
      </c>
      <c r="Y81" s="972">
        <f t="shared" ref="Y81:Y86" si="97">X81</f>
        <v>120.97990538073431</v>
      </c>
      <c r="Z81" s="972">
        <f t="shared" ref="Z81:Z86" si="98">Y81</f>
        <v>120.97990538073431</v>
      </c>
      <c r="AA81" s="972">
        <f t="shared" ref="AA81:AA86" si="99">Z81</f>
        <v>120.97990538073431</v>
      </c>
      <c r="AB81" s="972">
        <f t="shared" ref="AB81:AB86" si="100">AA81</f>
        <v>120.97990538073431</v>
      </c>
      <c r="AC81" s="972">
        <f t="shared" ref="AC81:AC86" si="101">AB81</f>
        <v>120.97990538073431</v>
      </c>
      <c r="AD81" s="972">
        <f t="shared" ref="AD81:AD86" si="102">AC81</f>
        <v>120.97990538073431</v>
      </c>
      <c r="AE81" s="972">
        <f t="shared" ref="AE81:AE86" si="103">AD81</f>
        <v>120.97990538073431</v>
      </c>
      <c r="AF81" s="972">
        <f t="shared" ref="AF81:AF86" si="104">AE81</f>
        <v>120.97990538073431</v>
      </c>
      <c r="AG81" s="972">
        <f t="shared" ref="AG81:AG86" si="105">AF81</f>
        <v>120.97990538073431</v>
      </c>
      <c r="AH81" s="972">
        <f t="shared" ref="AH81:AH86" si="106">AG81</f>
        <v>120.97990538073431</v>
      </c>
      <c r="AI81" s="972">
        <f t="shared" ref="AI81:AI86" si="107">AH81</f>
        <v>120.97990538073431</v>
      </c>
      <c r="AJ81" s="972">
        <f t="shared" ref="AJ81:AJ86" si="108">AI81</f>
        <v>120.97990538073431</v>
      </c>
      <c r="AK81" s="867">
        <f t="shared" ref="AK81:AK86" si="109">AJ81</f>
        <v>120.97990538073431</v>
      </c>
    </row>
    <row r="82" spans="1:37" s="6" customFormat="1" ht="20.149999999999999" customHeight="1" outlineLevel="1" x14ac:dyDescent="0.25">
      <c r="A82" s="157" t="s">
        <v>761</v>
      </c>
      <c r="B82" s="1163"/>
      <c r="C82" s="971"/>
      <c r="D82" s="971"/>
      <c r="E82" s="971"/>
      <c r="F82" s="972"/>
      <c r="G82" s="972"/>
      <c r="H82" s="972"/>
      <c r="I82" s="972"/>
      <c r="J82" s="972">
        <f>I34</f>
        <v>233.65987213765314</v>
      </c>
      <c r="K82" s="972">
        <f>J82</f>
        <v>233.65987213765314</v>
      </c>
      <c r="L82" s="972">
        <f t="shared" si="91"/>
        <v>233.65987213765314</v>
      </c>
      <c r="M82" s="972">
        <f t="shared" si="91"/>
        <v>233.65987213765314</v>
      </c>
      <c r="N82" s="972">
        <f t="shared" si="91"/>
        <v>233.65987213765314</v>
      </c>
      <c r="O82" s="972">
        <f t="shared" si="91"/>
        <v>233.65987213765314</v>
      </c>
      <c r="P82" s="972">
        <f t="shared" si="91"/>
        <v>233.65987213765314</v>
      </c>
      <c r="Q82" s="972">
        <f t="shared" si="91"/>
        <v>233.65987213765314</v>
      </c>
      <c r="R82" s="972">
        <f t="shared" si="91"/>
        <v>233.65987213765314</v>
      </c>
      <c r="S82" s="972">
        <f t="shared" si="91"/>
        <v>233.65987213765314</v>
      </c>
      <c r="T82" s="972">
        <f t="shared" si="92"/>
        <v>233.65987213765314</v>
      </c>
      <c r="U82" s="972">
        <f t="shared" si="93"/>
        <v>233.65987213765314</v>
      </c>
      <c r="V82" s="972">
        <f t="shared" si="94"/>
        <v>233.65987213765314</v>
      </c>
      <c r="W82" s="972">
        <f t="shared" si="95"/>
        <v>233.65987213765314</v>
      </c>
      <c r="X82" s="972">
        <f t="shared" si="96"/>
        <v>233.65987213765314</v>
      </c>
      <c r="Y82" s="972">
        <f t="shared" si="97"/>
        <v>233.65987213765314</v>
      </c>
      <c r="Z82" s="972">
        <f t="shared" si="98"/>
        <v>233.65987213765314</v>
      </c>
      <c r="AA82" s="972">
        <f t="shared" si="99"/>
        <v>233.65987213765314</v>
      </c>
      <c r="AB82" s="972">
        <f t="shared" si="100"/>
        <v>233.65987213765314</v>
      </c>
      <c r="AC82" s="972">
        <f t="shared" si="101"/>
        <v>233.65987213765314</v>
      </c>
      <c r="AD82" s="972">
        <f t="shared" si="102"/>
        <v>233.65987213765314</v>
      </c>
      <c r="AE82" s="972">
        <f t="shared" si="103"/>
        <v>233.65987213765314</v>
      </c>
      <c r="AF82" s="972">
        <f t="shared" si="104"/>
        <v>233.65987213765314</v>
      </c>
      <c r="AG82" s="972">
        <f t="shared" si="105"/>
        <v>233.65987213765314</v>
      </c>
      <c r="AH82" s="972">
        <f t="shared" si="106"/>
        <v>233.65987213765314</v>
      </c>
      <c r="AI82" s="972">
        <f t="shared" si="107"/>
        <v>233.65987213765314</v>
      </c>
      <c r="AJ82" s="972">
        <f t="shared" si="108"/>
        <v>233.65987213765314</v>
      </c>
      <c r="AK82" s="867">
        <f t="shared" si="109"/>
        <v>233.65987213765314</v>
      </c>
    </row>
    <row r="83" spans="1:37" s="6" customFormat="1" ht="20.149999999999999" customHeight="1" outlineLevel="1" x14ac:dyDescent="0.25">
      <c r="A83" s="158" t="s">
        <v>762</v>
      </c>
      <c r="B83" s="1163"/>
      <c r="C83" s="971"/>
      <c r="D83" s="971"/>
      <c r="E83" s="971"/>
      <c r="F83" s="972"/>
      <c r="G83" s="972"/>
      <c r="H83" s="972"/>
      <c r="I83" s="972"/>
      <c r="J83" s="972"/>
      <c r="K83" s="972">
        <f>J34</f>
        <v>219.22530575914197</v>
      </c>
      <c r="L83" s="972">
        <f t="shared" si="91"/>
        <v>219.22530575914197</v>
      </c>
      <c r="M83" s="972">
        <f t="shared" si="91"/>
        <v>219.22530575914197</v>
      </c>
      <c r="N83" s="972">
        <f t="shared" si="91"/>
        <v>219.22530575914197</v>
      </c>
      <c r="O83" s="972">
        <f t="shared" si="91"/>
        <v>219.22530575914197</v>
      </c>
      <c r="P83" s="972">
        <f t="shared" si="91"/>
        <v>219.22530575914197</v>
      </c>
      <c r="Q83" s="972">
        <f t="shared" si="91"/>
        <v>219.22530575914197</v>
      </c>
      <c r="R83" s="972">
        <f t="shared" si="91"/>
        <v>219.22530575914197</v>
      </c>
      <c r="S83" s="972">
        <f t="shared" si="91"/>
        <v>219.22530575914197</v>
      </c>
      <c r="T83" s="972">
        <f t="shared" si="92"/>
        <v>219.22530575914197</v>
      </c>
      <c r="U83" s="972">
        <f t="shared" si="93"/>
        <v>219.22530575914197</v>
      </c>
      <c r="V83" s="972">
        <f t="shared" si="94"/>
        <v>219.22530575914197</v>
      </c>
      <c r="W83" s="972">
        <f t="shared" si="95"/>
        <v>219.22530575914197</v>
      </c>
      <c r="X83" s="972">
        <f t="shared" si="96"/>
        <v>219.22530575914197</v>
      </c>
      <c r="Y83" s="972">
        <f t="shared" si="97"/>
        <v>219.22530575914197</v>
      </c>
      <c r="Z83" s="972">
        <f t="shared" si="98"/>
        <v>219.22530575914197</v>
      </c>
      <c r="AA83" s="972">
        <f t="shared" si="99"/>
        <v>219.22530575914197</v>
      </c>
      <c r="AB83" s="972">
        <f t="shared" si="100"/>
        <v>219.22530575914197</v>
      </c>
      <c r="AC83" s="972">
        <f t="shared" si="101"/>
        <v>219.22530575914197</v>
      </c>
      <c r="AD83" s="972">
        <f t="shared" si="102"/>
        <v>219.22530575914197</v>
      </c>
      <c r="AE83" s="972">
        <f t="shared" si="103"/>
        <v>219.22530575914197</v>
      </c>
      <c r="AF83" s="972">
        <f t="shared" si="104"/>
        <v>219.22530575914197</v>
      </c>
      <c r="AG83" s="972">
        <f t="shared" si="105"/>
        <v>219.22530575914197</v>
      </c>
      <c r="AH83" s="972">
        <f t="shared" si="106"/>
        <v>219.22530575914197</v>
      </c>
      <c r="AI83" s="972">
        <f t="shared" si="107"/>
        <v>219.22530575914197</v>
      </c>
      <c r="AJ83" s="972">
        <f t="shared" si="108"/>
        <v>219.22530575914197</v>
      </c>
      <c r="AK83" s="867">
        <f t="shared" si="109"/>
        <v>219.22530575914197</v>
      </c>
    </row>
    <row r="84" spans="1:37" s="6" customFormat="1" ht="20.149999999999999" customHeight="1" outlineLevel="1" x14ac:dyDescent="0.25">
      <c r="A84" s="158" t="s">
        <v>763</v>
      </c>
      <c r="B84" s="1163"/>
      <c r="C84" s="971"/>
      <c r="D84" s="971"/>
      <c r="E84" s="971"/>
      <c r="F84" s="972"/>
      <c r="G84" s="972"/>
      <c r="H84" s="972"/>
      <c r="I84" s="972"/>
      <c r="J84" s="972"/>
      <c r="K84" s="972"/>
      <c r="L84" s="972">
        <f>K34</f>
        <v>225.56204917541763</v>
      </c>
      <c r="M84" s="972">
        <f t="shared" si="91"/>
        <v>225.56204917541763</v>
      </c>
      <c r="N84" s="972">
        <f t="shared" si="91"/>
        <v>225.56204917541763</v>
      </c>
      <c r="O84" s="972">
        <f t="shared" si="91"/>
        <v>225.56204917541763</v>
      </c>
      <c r="P84" s="972">
        <f t="shared" si="91"/>
        <v>225.56204917541763</v>
      </c>
      <c r="Q84" s="972">
        <f t="shared" si="91"/>
        <v>225.56204917541763</v>
      </c>
      <c r="R84" s="972">
        <f t="shared" si="91"/>
        <v>225.56204917541763</v>
      </c>
      <c r="S84" s="972">
        <f t="shared" si="91"/>
        <v>225.56204917541763</v>
      </c>
      <c r="T84" s="972">
        <f t="shared" si="92"/>
        <v>225.56204917541763</v>
      </c>
      <c r="U84" s="972">
        <f t="shared" si="93"/>
        <v>225.56204917541763</v>
      </c>
      <c r="V84" s="972">
        <f t="shared" si="94"/>
        <v>225.56204917541763</v>
      </c>
      <c r="W84" s="972">
        <f t="shared" si="95"/>
        <v>225.56204917541763</v>
      </c>
      <c r="X84" s="972">
        <f t="shared" si="96"/>
        <v>225.56204917541763</v>
      </c>
      <c r="Y84" s="972">
        <f t="shared" si="97"/>
        <v>225.56204917541763</v>
      </c>
      <c r="Z84" s="972">
        <f t="shared" si="98"/>
        <v>225.56204917541763</v>
      </c>
      <c r="AA84" s="972">
        <f t="shared" si="99"/>
        <v>225.56204917541763</v>
      </c>
      <c r="AB84" s="972">
        <f t="shared" si="100"/>
        <v>225.56204917541763</v>
      </c>
      <c r="AC84" s="972">
        <f t="shared" si="101"/>
        <v>225.56204917541763</v>
      </c>
      <c r="AD84" s="972">
        <f t="shared" si="102"/>
        <v>225.56204917541763</v>
      </c>
      <c r="AE84" s="972">
        <f t="shared" si="103"/>
        <v>225.56204917541763</v>
      </c>
      <c r="AF84" s="972">
        <f t="shared" si="104"/>
        <v>225.56204917541763</v>
      </c>
      <c r="AG84" s="972">
        <f t="shared" si="105"/>
        <v>225.56204917541763</v>
      </c>
      <c r="AH84" s="972">
        <f t="shared" si="106"/>
        <v>225.56204917541763</v>
      </c>
      <c r="AI84" s="972">
        <f t="shared" si="107"/>
        <v>225.56204917541763</v>
      </c>
      <c r="AJ84" s="972">
        <f t="shared" si="108"/>
        <v>225.56204917541763</v>
      </c>
      <c r="AK84" s="867">
        <f t="shared" si="109"/>
        <v>225.56204917541763</v>
      </c>
    </row>
    <row r="85" spans="1:37" s="6" customFormat="1" ht="20.149999999999999" customHeight="1" outlineLevel="1" x14ac:dyDescent="0.25">
      <c r="A85" s="157" t="s">
        <v>764</v>
      </c>
      <c r="B85" s="1163"/>
      <c r="C85" s="971"/>
      <c r="D85" s="971"/>
      <c r="E85" s="971"/>
      <c r="F85" s="972"/>
      <c r="G85" s="972"/>
      <c r="H85" s="972"/>
      <c r="I85" s="972"/>
      <c r="J85" s="972"/>
      <c r="K85" s="972"/>
      <c r="L85" s="972"/>
      <c r="M85" s="972">
        <f>L34</f>
        <v>183.7351980366125</v>
      </c>
      <c r="N85" s="972">
        <f t="shared" si="91"/>
        <v>183.7351980366125</v>
      </c>
      <c r="O85" s="972">
        <f t="shared" si="91"/>
        <v>183.7351980366125</v>
      </c>
      <c r="P85" s="972">
        <f t="shared" si="91"/>
        <v>183.7351980366125</v>
      </c>
      <c r="Q85" s="972">
        <f t="shared" si="91"/>
        <v>183.7351980366125</v>
      </c>
      <c r="R85" s="972">
        <f t="shared" si="91"/>
        <v>183.7351980366125</v>
      </c>
      <c r="S85" s="972">
        <f t="shared" si="91"/>
        <v>183.7351980366125</v>
      </c>
      <c r="T85" s="972">
        <f t="shared" si="92"/>
        <v>183.7351980366125</v>
      </c>
      <c r="U85" s="972">
        <f t="shared" si="93"/>
        <v>183.7351980366125</v>
      </c>
      <c r="V85" s="972">
        <f t="shared" si="94"/>
        <v>183.7351980366125</v>
      </c>
      <c r="W85" s="972">
        <f t="shared" si="95"/>
        <v>183.7351980366125</v>
      </c>
      <c r="X85" s="972">
        <f t="shared" si="96"/>
        <v>183.7351980366125</v>
      </c>
      <c r="Y85" s="972">
        <f t="shared" si="97"/>
        <v>183.7351980366125</v>
      </c>
      <c r="Z85" s="972">
        <f t="shared" si="98"/>
        <v>183.7351980366125</v>
      </c>
      <c r="AA85" s="972">
        <f t="shared" si="99"/>
        <v>183.7351980366125</v>
      </c>
      <c r="AB85" s="972">
        <f t="shared" si="100"/>
        <v>183.7351980366125</v>
      </c>
      <c r="AC85" s="972">
        <f t="shared" si="101"/>
        <v>183.7351980366125</v>
      </c>
      <c r="AD85" s="972">
        <f t="shared" si="102"/>
        <v>183.7351980366125</v>
      </c>
      <c r="AE85" s="972">
        <f t="shared" si="103"/>
        <v>183.7351980366125</v>
      </c>
      <c r="AF85" s="972">
        <f t="shared" si="104"/>
        <v>183.7351980366125</v>
      </c>
      <c r="AG85" s="972">
        <f t="shared" si="105"/>
        <v>183.7351980366125</v>
      </c>
      <c r="AH85" s="972">
        <f t="shared" si="106"/>
        <v>183.7351980366125</v>
      </c>
      <c r="AI85" s="972">
        <f t="shared" si="107"/>
        <v>183.7351980366125</v>
      </c>
      <c r="AJ85" s="972">
        <f t="shared" si="108"/>
        <v>183.7351980366125</v>
      </c>
      <c r="AK85" s="867">
        <f t="shared" si="109"/>
        <v>183.7351980366125</v>
      </c>
    </row>
    <row r="86" spans="1:37" s="6" customFormat="1" ht="20.149999999999999" customHeight="1" outlineLevel="1" x14ac:dyDescent="0.25">
      <c r="A86" s="157" t="s">
        <v>765</v>
      </c>
      <c r="B86" s="1163"/>
      <c r="C86" s="971"/>
      <c r="D86" s="971"/>
      <c r="E86" s="971"/>
      <c r="F86" s="972"/>
      <c r="G86" s="972"/>
      <c r="H86" s="972"/>
      <c r="I86" s="972"/>
      <c r="J86" s="972"/>
      <c r="K86" s="972"/>
      <c r="L86" s="972"/>
      <c r="M86" s="972"/>
      <c r="N86" s="972">
        <f>M34</f>
        <v>130.24322330279992</v>
      </c>
      <c r="O86" s="972">
        <f t="shared" si="91"/>
        <v>130.24322330279992</v>
      </c>
      <c r="P86" s="972">
        <f t="shared" si="91"/>
        <v>130.24322330279992</v>
      </c>
      <c r="Q86" s="972">
        <f t="shared" si="91"/>
        <v>130.24322330279992</v>
      </c>
      <c r="R86" s="972">
        <f t="shared" si="91"/>
        <v>130.24322330279992</v>
      </c>
      <c r="S86" s="972">
        <f t="shared" si="91"/>
        <v>130.24322330279992</v>
      </c>
      <c r="T86" s="972">
        <f t="shared" si="92"/>
        <v>130.24322330279992</v>
      </c>
      <c r="U86" s="972">
        <f t="shared" si="93"/>
        <v>130.24322330279992</v>
      </c>
      <c r="V86" s="972">
        <f t="shared" si="94"/>
        <v>130.24322330279992</v>
      </c>
      <c r="W86" s="972">
        <f t="shared" si="95"/>
        <v>130.24322330279992</v>
      </c>
      <c r="X86" s="972">
        <f t="shared" si="96"/>
        <v>130.24322330279992</v>
      </c>
      <c r="Y86" s="972">
        <f t="shared" si="97"/>
        <v>130.24322330279992</v>
      </c>
      <c r="Z86" s="972">
        <f t="shared" si="98"/>
        <v>130.24322330279992</v>
      </c>
      <c r="AA86" s="972">
        <f t="shared" si="99"/>
        <v>130.24322330279992</v>
      </c>
      <c r="AB86" s="972">
        <f t="shared" si="100"/>
        <v>130.24322330279992</v>
      </c>
      <c r="AC86" s="972">
        <f t="shared" si="101"/>
        <v>130.24322330279992</v>
      </c>
      <c r="AD86" s="972">
        <f t="shared" si="102"/>
        <v>130.24322330279992</v>
      </c>
      <c r="AE86" s="972">
        <f t="shared" si="103"/>
        <v>130.24322330279992</v>
      </c>
      <c r="AF86" s="972">
        <f t="shared" si="104"/>
        <v>130.24322330279992</v>
      </c>
      <c r="AG86" s="972">
        <f t="shared" si="105"/>
        <v>130.24322330279992</v>
      </c>
      <c r="AH86" s="972">
        <f t="shared" si="106"/>
        <v>130.24322330279992</v>
      </c>
      <c r="AI86" s="972">
        <f t="shared" si="107"/>
        <v>130.24322330279992</v>
      </c>
      <c r="AJ86" s="972">
        <f t="shared" si="108"/>
        <v>130.24322330279992</v>
      </c>
      <c r="AK86" s="867">
        <f t="shared" si="109"/>
        <v>130.24322330279992</v>
      </c>
    </row>
    <row r="87" spans="1:37" s="121" customFormat="1" ht="20.149999999999999" customHeight="1" outlineLevel="1" thickBot="1" x14ac:dyDescent="0.3">
      <c r="A87" s="159" t="s">
        <v>766</v>
      </c>
      <c r="B87" s="1158"/>
      <c r="C87" s="154"/>
      <c r="D87" s="154"/>
      <c r="E87" s="154"/>
      <c r="F87" s="154"/>
      <c r="G87" s="155"/>
      <c r="H87" s="155"/>
      <c r="I87" s="155"/>
      <c r="J87" s="155"/>
      <c r="K87" s="155"/>
      <c r="L87" s="155"/>
      <c r="M87" s="155"/>
      <c r="N87" s="155"/>
      <c r="O87" s="155">
        <f>N34</f>
        <v>65.524735439381956</v>
      </c>
      <c r="P87" s="155">
        <f t="shared" ref="P87:AK87" si="110">O87</f>
        <v>65.524735439381956</v>
      </c>
      <c r="Q87" s="155">
        <f t="shared" si="110"/>
        <v>65.524735439381956</v>
      </c>
      <c r="R87" s="155">
        <f t="shared" si="110"/>
        <v>65.524735439381956</v>
      </c>
      <c r="S87" s="155">
        <f t="shared" si="110"/>
        <v>65.524735439381956</v>
      </c>
      <c r="T87" s="155">
        <f t="shared" si="110"/>
        <v>65.524735439381956</v>
      </c>
      <c r="U87" s="155">
        <f t="shared" si="110"/>
        <v>65.524735439381956</v>
      </c>
      <c r="V87" s="155">
        <f t="shared" si="110"/>
        <v>65.524735439381956</v>
      </c>
      <c r="W87" s="155">
        <f t="shared" si="110"/>
        <v>65.524735439381956</v>
      </c>
      <c r="X87" s="155">
        <f t="shared" si="110"/>
        <v>65.524735439381956</v>
      </c>
      <c r="Y87" s="155">
        <f t="shared" si="110"/>
        <v>65.524735439381956</v>
      </c>
      <c r="Z87" s="155">
        <f t="shared" si="110"/>
        <v>65.524735439381956</v>
      </c>
      <c r="AA87" s="155">
        <f t="shared" si="110"/>
        <v>65.524735439381956</v>
      </c>
      <c r="AB87" s="155">
        <f t="shared" si="110"/>
        <v>65.524735439381956</v>
      </c>
      <c r="AC87" s="155">
        <f t="shared" si="110"/>
        <v>65.524735439381956</v>
      </c>
      <c r="AD87" s="155">
        <f t="shared" si="110"/>
        <v>65.524735439381956</v>
      </c>
      <c r="AE87" s="155">
        <f t="shared" si="110"/>
        <v>65.524735439381956</v>
      </c>
      <c r="AF87" s="155">
        <f t="shared" si="110"/>
        <v>65.524735439381956</v>
      </c>
      <c r="AG87" s="155">
        <f t="shared" si="110"/>
        <v>65.524735439381956</v>
      </c>
      <c r="AH87" s="155">
        <f t="shared" si="110"/>
        <v>65.524735439381956</v>
      </c>
      <c r="AI87" s="155">
        <f t="shared" si="110"/>
        <v>65.524735439381956</v>
      </c>
      <c r="AJ87" s="155">
        <f t="shared" si="110"/>
        <v>65.524735439381956</v>
      </c>
      <c r="AK87" s="868">
        <f t="shared" si="110"/>
        <v>65.524735439381956</v>
      </c>
    </row>
    <row r="88" spans="1:37" s="6" customFormat="1" ht="20.149999999999999" customHeight="1" outlineLevel="1" x14ac:dyDescent="0.25">
      <c r="A88" s="160" t="s">
        <v>398</v>
      </c>
      <c r="B88" s="1156" t="s">
        <v>404</v>
      </c>
      <c r="C88" s="153"/>
      <c r="D88" s="153">
        <f>D43</f>
        <v>0</v>
      </c>
      <c r="E88" s="153">
        <f>D88</f>
        <v>0</v>
      </c>
      <c r="F88" s="153">
        <f>E88</f>
        <v>0</v>
      </c>
      <c r="G88" s="153">
        <f>F88</f>
        <v>0</v>
      </c>
      <c r="H88" s="153">
        <f t="shared" ref="H88:H102" si="111">G88</f>
        <v>0</v>
      </c>
      <c r="I88" s="153">
        <f t="shared" si="61"/>
        <v>0</v>
      </c>
      <c r="J88" s="153">
        <f t="shared" ref="J88:AK88" si="112">I88</f>
        <v>0</v>
      </c>
      <c r="K88" s="153">
        <f t="shared" si="112"/>
        <v>0</v>
      </c>
      <c r="L88" s="153">
        <f t="shared" si="112"/>
        <v>0</v>
      </c>
      <c r="M88" s="153">
        <f t="shared" si="112"/>
        <v>0</v>
      </c>
      <c r="N88" s="153">
        <f t="shared" si="112"/>
        <v>0</v>
      </c>
      <c r="O88" s="153">
        <f t="shared" si="112"/>
        <v>0</v>
      </c>
      <c r="P88" s="153">
        <f t="shared" si="112"/>
        <v>0</v>
      </c>
      <c r="Q88" s="153">
        <f t="shared" si="112"/>
        <v>0</v>
      </c>
      <c r="R88" s="153">
        <f t="shared" si="112"/>
        <v>0</v>
      </c>
      <c r="S88" s="153">
        <f t="shared" si="112"/>
        <v>0</v>
      </c>
      <c r="T88" s="153">
        <f t="shared" si="112"/>
        <v>0</v>
      </c>
      <c r="U88" s="153">
        <f t="shared" si="112"/>
        <v>0</v>
      </c>
      <c r="V88" s="153">
        <f t="shared" si="112"/>
        <v>0</v>
      </c>
      <c r="W88" s="153">
        <f t="shared" si="112"/>
        <v>0</v>
      </c>
      <c r="X88" s="153">
        <f t="shared" si="112"/>
        <v>0</v>
      </c>
      <c r="Y88" s="153">
        <f t="shared" si="112"/>
        <v>0</v>
      </c>
      <c r="Z88" s="153">
        <f t="shared" si="112"/>
        <v>0</v>
      </c>
      <c r="AA88" s="153">
        <f t="shared" si="112"/>
        <v>0</v>
      </c>
      <c r="AB88" s="153">
        <f t="shared" si="112"/>
        <v>0</v>
      </c>
      <c r="AC88" s="153">
        <f t="shared" si="112"/>
        <v>0</v>
      </c>
      <c r="AD88" s="153">
        <f t="shared" si="112"/>
        <v>0</v>
      </c>
      <c r="AE88" s="153">
        <f t="shared" si="112"/>
        <v>0</v>
      </c>
      <c r="AF88" s="153">
        <f t="shared" si="112"/>
        <v>0</v>
      </c>
      <c r="AG88" s="153">
        <f t="shared" si="112"/>
        <v>0</v>
      </c>
      <c r="AH88" s="153">
        <f t="shared" si="112"/>
        <v>0</v>
      </c>
      <c r="AI88" s="153">
        <f t="shared" si="112"/>
        <v>0</v>
      </c>
      <c r="AJ88" s="153">
        <f t="shared" si="112"/>
        <v>0</v>
      </c>
      <c r="AK88" s="869">
        <f t="shared" si="112"/>
        <v>0</v>
      </c>
    </row>
    <row r="89" spans="1:37" s="6" customFormat="1" ht="20.149999999999999" customHeight="1" outlineLevel="1" x14ac:dyDescent="0.25">
      <c r="A89" s="158" t="s">
        <v>399</v>
      </c>
      <c r="B89" s="1157"/>
      <c r="C89" s="139"/>
      <c r="D89" s="139"/>
      <c r="E89" s="139">
        <f>E43-D43</f>
        <v>0</v>
      </c>
      <c r="F89" s="138">
        <f>E89</f>
        <v>0</v>
      </c>
      <c r="G89" s="138">
        <f>F89</f>
        <v>0</v>
      </c>
      <c r="H89" s="138">
        <f t="shared" si="111"/>
        <v>0</v>
      </c>
      <c r="I89" s="138">
        <f t="shared" si="61"/>
        <v>0</v>
      </c>
      <c r="J89" s="138">
        <f t="shared" ref="J89:AK89" si="113">I89</f>
        <v>0</v>
      </c>
      <c r="K89" s="138">
        <f t="shared" si="113"/>
        <v>0</v>
      </c>
      <c r="L89" s="138">
        <f t="shared" si="113"/>
        <v>0</v>
      </c>
      <c r="M89" s="138">
        <f t="shared" si="113"/>
        <v>0</v>
      </c>
      <c r="N89" s="138">
        <f t="shared" si="113"/>
        <v>0</v>
      </c>
      <c r="O89" s="138">
        <f t="shared" si="113"/>
        <v>0</v>
      </c>
      <c r="P89" s="138">
        <f t="shared" si="113"/>
        <v>0</v>
      </c>
      <c r="Q89" s="138">
        <f t="shared" si="113"/>
        <v>0</v>
      </c>
      <c r="R89" s="138">
        <f t="shared" si="113"/>
        <v>0</v>
      </c>
      <c r="S89" s="138">
        <f t="shared" si="113"/>
        <v>0</v>
      </c>
      <c r="T89" s="138">
        <f t="shared" si="113"/>
        <v>0</v>
      </c>
      <c r="U89" s="138">
        <f t="shared" si="113"/>
        <v>0</v>
      </c>
      <c r="V89" s="138">
        <f t="shared" si="113"/>
        <v>0</v>
      </c>
      <c r="W89" s="138">
        <f t="shared" si="113"/>
        <v>0</v>
      </c>
      <c r="X89" s="138">
        <f t="shared" si="113"/>
        <v>0</v>
      </c>
      <c r="Y89" s="138">
        <f t="shared" si="113"/>
        <v>0</v>
      </c>
      <c r="Z89" s="138">
        <f t="shared" si="113"/>
        <v>0</v>
      </c>
      <c r="AA89" s="138">
        <f t="shared" si="113"/>
        <v>0</v>
      </c>
      <c r="AB89" s="138">
        <f t="shared" si="113"/>
        <v>0</v>
      </c>
      <c r="AC89" s="138">
        <f t="shared" si="113"/>
        <v>0</v>
      </c>
      <c r="AD89" s="138">
        <f t="shared" si="113"/>
        <v>0</v>
      </c>
      <c r="AE89" s="138">
        <f t="shared" si="113"/>
        <v>0</v>
      </c>
      <c r="AF89" s="138">
        <f t="shared" si="113"/>
        <v>0</v>
      </c>
      <c r="AG89" s="138">
        <f t="shared" si="113"/>
        <v>0</v>
      </c>
      <c r="AH89" s="138">
        <f t="shared" si="113"/>
        <v>0</v>
      </c>
      <c r="AI89" s="138">
        <f t="shared" si="113"/>
        <v>0</v>
      </c>
      <c r="AJ89" s="138">
        <f t="shared" si="113"/>
        <v>0</v>
      </c>
      <c r="AK89" s="867">
        <f t="shared" si="113"/>
        <v>0</v>
      </c>
    </row>
    <row r="90" spans="1:37" s="121" customFormat="1" ht="20.149999999999999" customHeight="1" outlineLevel="1" thickBot="1" x14ac:dyDescent="0.3">
      <c r="A90" s="159" t="s">
        <v>400</v>
      </c>
      <c r="B90" s="1158"/>
      <c r="C90" s="154"/>
      <c r="D90" s="154"/>
      <c r="E90" s="154"/>
      <c r="F90" s="155">
        <f>F43</f>
        <v>604.16913230477564</v>
      </c>
      <c r="G90" s="155">
        <f t="shared" ref="G90:AK90" si="114">G43</f>
        <v>1208.3382646095513</v>
      </c>
      <c r="H90" s="155">
        <f t="shared" si="114"/>
        <v>1934.2176968939571</v>
      </c>
      <c r="I90" s="155">
        <f t="shared" si="114"/>
        <v>3336.1769297198762</v>
      </c>
      <c r="J90" s="155">
        <f t="shared" si="114"/>
        <v>4651.528764274728</v>
      </c>
      <c r="K90" s="155">
        <f t="shared" si="114"/>
        <v>6004.9010593272342</v>
      </c>
      <c r="L90" s="155">
        <f t="shared" si="114"/>
        <v>7107.312247546909</v>
      </c>
      <c r="M90" s="155">
        <f t="shared" si="114"/>
        <v>7888.7715873637089</v>
      </c>
      <c r="N90" s="155">
        <f>N43</f>
        <v>8281.92</v>
      </c>
      <c r="O90" s="155">
        <f t="shared" si="114"/>
        <v>8281.92</v>
      </c>
      <c r="P90" s="155">
        <f>P43</f>
        <v>8281.92</v>
      </c>
      <c r="Q90" s="155">
        <f t="shared" si="114"/>
        <v>8281.92</v>
      </c>
      <c r="R90" s="155">
        <f t="shared" si="114"/>
        <v>8281.92</v>
      </c>
      <c r="S90" s="155">
        <f t="shared" si="114"/>
        <v>8281.92</v>
      </c>
      <c r="T90" s="155">
        <f t="shared" si="114"/>
        <v>8281.92</v>
      </c>
      <c r="U90" s="155">
        <f t="shared" si="114"/>
        <v>8281.92</v>
      </c>
      <c r="V90" s="155">
        <f t="shared" si="114"/>
        <v>8281.92</v>
      </c>
      <c r="W90" s="155">
        <f t="shared" si="114"/>
        <v>8281.92</v>
      </c>
      <c r="X90" s="155">
        <f t="shared" si="114"/>
        <v>8281.92</v>
      </c>
      <c r="Y90" s="155">
        <f t="shared" si="114"/>
        <v>8281.92</v>
      </c>
      <c r="Z90" s="155">
        <f t="shared" si="114"/>
        <v>8281.92</v>
      </c>
      <c r="AA90" s="155">
        <f t="shared" si="114"/>
        <v>8281.92</v>
      </c>
      <c r="AB90" s="155">
        <f t="shared" si="114"/>
        <v>8281.92</v>
      </c>
      <c r="AC90" s="155">
        <f t="shared" si="114"/>
        <v>8281.92</v>
      </c>
      <c r="AD90" s="155">
        <f t="shared" si="114"/>
        <v>8281.92</v>
      </c>
      <c r="AE90" s="155">
        <f t="shared" si="114"/>
        <v>8281.92</v>
      </c>
      <c r="AF90" s="155">
        <f t="shared" si="114"/>
        <v>8281.92</v>
      </c>
      <c r="AG90" s="155">
        <f t="shared" si="114"/>
        <v>8281.92</v>
      </c>
      <c r="AH90" s="155">
        <f t="shared" si="114"/>
        <v>8281.92</v>
      </c>
      <c r="AI90" s="155">
        <f t="shared" si="114"/>
        <v>8281.92</v>
      </c>
      <c r="AJ90" s="155">
        <f t="shared" si="114"/>
        <v>8281.92</v>
      </c>
      <c r="AK90" s="155">
        <f t="shared" si="114"/>
        <v>8281.92</v>
      </c>
    </row>
    <row r="91" spans="1:37" s="6" customFormat="1" ht="20.149999999999999" customHeight="1" outlineLevel="1" x14ac:dyDescent="0.25">
      <c r="A91" s="160" t="s">
        <v>398</v>
      </c>
      <c r="B91" s="1156" t="s">
        <v>405</v>
      </c>
      <c r="C91" s="153"/>
      <c r="D91" s="153">
        <f>D44</f>
        <v>0</v>
      </c>
      <c r="E91" s="153">
        <f>D91</f>
        <v>0</v>
      </c>
      <c r="F91" s="153">
        <f>E91</f>
        <v>0</v>
      </c>
      <c r="G91" s="153">
        <f t="shared" ref="G91:G102" si="115">F91</f>
        <v>0</v>
      </c>
      <c r="H91" s="153">
        <f t="shared" si="111"/>
        <v>0</v>
      </c>
      <c r="I91" s="153">
        <f t="shared" si="61"/>
        <v>0</v>
      </c>
      <c r="J91" s="153">
        <f t="shared" ref="J91:AK91" si="116">I91</f>
        <v>0</v>
      </c>
      <c r="K91" s="153">
        <f t="shared" si="116"/>
        <v>0</v>
      </c>
      <c r="L91" s="153">
        <f t="shared" si="116"/>
        <v>0</v>
      </c>
      <c r="M91" s="153">
        <f t="shared" si="116"/>
        <v>0</v>
      </c>
      <c r="N91" s="153">
        <f t="shared" si="116"/>
        <v>0</v>
      </c>
      <c r="O91" s="153">
        <f t="shared" si="116"/>
        <v>0</v>
      </c>
      <c r="P91" s="153">
        <f t="shared" si="116"/>
        <v>0</v>
      </c>
      <c r="Q91" s="153">
        <f t="shared" si="116"/>
        <v>0</v>
      </c>
      <c r="R91" s="153">
        <f t="shared" si="116"/>
        <v>0</v>
      </c>
      <c r="S91" s="153">
        <f t="shared" si="116"/>
        <v>0</v>
      </c>
      <c r="T91" s="153">
        <f t="shared" si="116"/>
        <v>0</v>
      </c>
      <c r="U91" s="153">
        <f t="shared" si="116"/>
        <v>0</v>
      </c>
      <c r="V91" s="153">
        <f t="shared" si="116"/>
        <v>0</v>
      </c>
      <c r="W91" s="153">
        <f t="shared" si="116"/>
        <v>0</v>
      </c>
      <c r="X91" s="153">
        <f t="shared" si="116"/>
        <v>0</v>
      </c>
      <c r="Y91" s="153">
        <f t="shared" si="116"/>
        <v>0</v>
      </c>
      <c r="Z91" s="153">
        <f t="shared" si="116"/>
        <v>0</v>
      </c>
      <c r="AA91" s="153">
        <f t="shared" si="116"/>
        <v>0</v>
      </c>
      <c r="AB91" s="153">
        <f t="shared" si="116"/>
        <v>0</v>
      </c>
      <c r="AC91" s="153">
        <f t="shared" si="116"/>
        <v>0</v>
      </c>
      <c r="AD91" s="153">
        <f t="shared" si="116"/>
        <v>0</v>
      </c>
      <c r="AE91" s="153">
        <f t="shared" si="116"/>
        <v>0</v>
      </c>
      <c r="AF91" s="153">
        <f t="shared" si="116"/>
        <v>0</v>
      </c>
      <c r="AG91" s="153">
        <f t="shared" si="116"/>
        <v>0</v>
      </c>
      <c r="AH91" s="153">
        <f t="shared" si="116"/>
        <v>0</v>
      </c>
      <c r="AI91" s="153">
        <f t="shared" si="116"/>
        <v>0</v>
      </c>
      <c r="AJ91" s="153">
        <f t="shared" si="116"/>
        <v>0</v>
      </c>
      <c r="AK91" s="869">
        <f t="shared" si="116"/>
        <v>0</v>
      </c>
    </row>
    <row r="92" spans="1:37" s="6" customFormat="1" ht="20.149999999999999" customHeight="1" outlineLevel="1" x14ac:dyDescent="0.25">
      <c r="A92" s="158" t="s">
        <v>399</v>
      </c>
      <c r="B92" s="1157"/>
      <c r="C92" s="139"/>
      <c r="D92" s="139"/>
      <c r="E92" s="138">
        <f>E44-D44</f>
        <v>0</v>
      </c>
      <c r="F92" s="138">
        <f>E92</f>
        <v>0</v>
      </c>
      <c r="G92" s="138">
        <f t="shared" si="115"/>
        <v>0</v>
      </c>
      <c r="H92" s="138">
        <f t="shared" si="111"/>
        <v>0</v>
      </c>
      <c r="I92" s="138">
        <f t="shared" si="61"/>
        <v>0</v>
      </c>
      <c r="J92" s="138">
        <f t="shared" ref="J92:AK92" si="117">I92</f>
        <v>0</v>
      </c>
      <c r="K92" s="138">
        <f t="shared" si="117"/>
        <v>0</v>
      </c>
      <c r="L92" s="138">
        <f t="shared" si="117"/>
        <v>0</v>
      </c>
      <c r="M92" s="138">
        <f t="shared" si="117"/>
        <v>0</v>
      </c>
      <c r="N92" s="138">
        <f t="shared" si="117"/>
        <v>0</v>
      </c>
      <c r="O92" s="138">
        <f t="shared" si="117"/>
        <v>0</v>
      </c>
      <c r="P92" s="138">
        <f t="shared" si="117"/>
        <v>0</v>
      </c>
      <c r="Q92" s="138">
        <f t="shared" si="117"/>
        <v>0</v>
      </c>
      <c r="R92" s="138">
        <f t="shared" si="117"/>
        <v>0</v>
      </c>
      <c r="S92" s="138">
        <f t="shared" si="117"/>
        <v>0</v>
      </c>
      <c r="T92" s="138">
        <f t="shared" si="117"/>
        <v>0</v>
      </c>
      <c r="U92" s="138">
        <f t="shared" si="117"/>
        <v>0</v>
      </c>
      <c r="V92" s="138">
        <f t="shared" si="117"/>
        <v>0</v>
      </c>
      <c r="W92" s="138">
        <f t="shared" si="117"/>
        <v>0</v>
      </c>
      <c r="X92" s="138">
        <f t="shared" si="117"/>
        <v>0</v>
      </c>
      <c r="Y92" s="138">
        <f t="shared" si="117"/>
        <v>0</v>
      </c>
      <c r="Z92" s="138">
        <f t="shared" si="117"/>
        <v>0</v>
      </c>
      <c r="AA92" s="138">
        <f t="shared" si="117"/>
        <v>0</v>
      </c>
      <c r="AB92" s="138">
        <f t="shared" si="117"/>
        <v>0</v>
      </c>
      <c r="AC92" s="138">
        <f t="shared" si="117"/>
        <v>0</v>
      </c>
      <c r="AD92" s="138">
        <f t="shared" si="117"/>
        <v>0</v>
      </c>
      <c r="AE92" s="138">
        <f t="shared" si="117"/>
        <v>0</v>
      </c>
      <c r="AF92" s="138">
        <f t="shared" si="117"/>
        <v>0</v>
      </c>
      <c r="AG92" s="138">
        <f t="shared" si="117"/>
        <v>0</v>
      </c>
      <c r="AH92" s="138">
        <f t="shared" si="117"/>
        <v>0</v>
      </c>
      <c r="AI92" s="138">
        <f t="shared" si="117"/>
        <v>0</v>
      </c>
      <c r="AJ92" s="138">
        <f t="shared" si="117"/>
        <v>0</v>
      </c>
      <c r="AK92" s="867">
        <f t="shared" si="117"/>
        <v>0</v>
      </c>
    </row>
    <row r="93" spans="1:37" s="121" customFormat="1" ht="20.149999999999999" customHeight="1" outlineLevel="1" thickBot="1" x14ac:dyDescent="0.3">
      <c r="A93" s="159" t="s">
        <v>400</v>
      </c>
      <c r="B93" s="1158"/>
      <c r="C93" s="154"/>
      <c r="D93" s="154"/>
      <c r="E93" s="154"/>
      <c r="F93" s="155">
        <f>F44</f>
        <v>604.16913230477564</v>
      </c>
      <c r="G93" s="155">
        <f t="shared" ref="G93:M93" si="118">G44</f>
        <v>1208.3382646095513</v>
      </c>
      <c r="H93" s="155">
        <f t="shared" si="118"/>
        <v>1934.2176968939571</v>
      </c>
      <c r="I93" s="155">
        <f t="shared" si="118"/>
        <v>3336.1769297198762</v>
      </c>
      <c r="J93" s="155">
        <f t="shared" si="118"/>
        <v>4651.528764274728</v>
      </c>
      <c r="K93" s="155">
        <f t="shared" si="118"/>
        <v>6004.9010593272342</v>
      </c>
      <c r="L93" s="155">
        <f t="shared" si="118"/>
        <v>7107.312247546909</v>
      </c>
      <c r="M93" s="155">
        <f t="shared" si="118"/>
        <v>7888.7715873637089</v>
      </c>
      <c r="N93" s="155">
        <f>N44</f>
        <v>8281.92</v>
      </c>
      <c r="O93" s="155">
        <f t="shared" ref="O93:AK93" si="119">N93</f>
        <v>8281.92</v>
      </c>
      <c r="P93" s="155">
        <f t="shared" si="119"/>
        <v>8281.92</v>
      </c>
      <c r="Q93" s="155">
        <f t="shared" si="119"/>
        <v>8281.92</v>
      </c>
      <c r="R93" s="155">
        <f t="shared" si="119"/>
        <v>8281.92</v>
      </c>
      <c r="S93" s="155">
        <f t="shared" si="119"/>
        <v>8281.92</v>
      </c>
      <c r="T93" s="155">
        <f t="shared" si="119"/>
        <v>8281.92</v>
      </c>
      <c r="U93" s="155">
        <f t="shared" si="119"/>
        <v>8281.92</v>
      </c>
      <c r="V93" s="155">
        <f t="shared" si="119"/>
        <v>8281.92</v>
      </c>
      <c r="W93" s="155">
        <f t="shared" si="119"/>
        <v>8281.92</v>
      </c>
      <c r="X93" s="155">
        <f t="shared" si="119"/>
        <v>8281.92</v>
      </c>
      <c r="Y93" s="155">
        <f t="shared" si="119"/>
        <v>8281.92</v>
      </c>
      <c r="Z93" s="155">
        <f t="shared" si="119"/>
        <v>8281.92</v>
      </c>
      <c r="AA93" s="155">
        <f t="shared" si="119"/>
        <v>8281.92</v>
      </c>
      <c r="AB93" s="155">
        <f t="shared" si="119"/>
        <v>8281.92</v>
      </c>
      <c r="AC93" s="155">
        <f t="shared" si="119"/>
        <v>8281.92</v>
      </c>
      <c r="AD93" s="155">
        <f t="shared" si="119"/>
        <v>8281.92</v>
      </c>
      <c r="AE93" s="155">
        <f t="shared" si="119"/>
        <v>8281.92</v>
      </c>
      <c r="AF93" s="155">
        <f t="shared" si="119"/>
        <v>8281.92</v>
      </c>
      <c r="AG93" s="155">
        <f t="shared" si="119"/>
        <v>8281.92</v>
      </c>
      <c r="AH93" s="155">
        <f t="shared" si="119"/>
        <v>8281.92</v>
      </c>
      <c r="AI93" s="155">
        <f t="shared" si="119"/>
        <v>8281.92</v>
      </c>
      <c r="AJ93" s="155">
        <f t="shared" si="119"/>
        <v>8281.92</v>
      </c>
      <c r="AK93" s="868">
        <f t="shared" si="119"/>
        <v>8281.92</v>
      </c>
    </row>
    <row r="94" spans="1:37" s="6" customFormat="1" ht="20.149999999999999" customHeight="1" outlineLevel="1" x14ac:dyDescent="0.25">
      <c r="A94" s="160" t="s">
        <v>398</v>
      </c>
      <c r="B94" s="1156" t="s">
        <v>406</v>
      </c>
      <c r="C94" s="153"/>
      <c r="D94" s="153">
        <f>D45</f>
        <v>0</v>
      </c>
      <c r="E94" s="153">
        <f>D94</f>
        <v>0</v>
      </c>
      <c r="F94" s="153">
        <f>E94</f>
        <v>0</v>
      </c>
      <c r="G94" s="153">
        <f t="shared" si="115"/>
        <v>0</v>
      </c>
      <c r="H94" s="153">
        <f t="shared" si="111"/>
        <v>0</v>
      </c>
      <c r="I94" s="153">
        <f t="shared" si="61"/>
        <v>0</v>
      </c>
      <c r="J94" s="153">
        <f t="shared" ref="J94:AK94" si="120">I94</f>
        <v>0</v>
      </c>
      <c r="K94" s="153">
        <f t="shared" si="120"/>
        <v>0</v>
      </c>
      <c r="L94" s="153">
        <f t="shared" si="120"/>
        <v>0</v>
      </c>
      <c r="M94" s="153">
        <f t="shared" si="120"/>
        <v>0</v>
      </c>
      <c r="N94" s="153">
        <f t="shared" si="120"/>
        <v>0</v>
      </c>
      <c r="O94" s="153">
        <f t="shared" si="120"/>
        <v>0</v>
      </c>
      <c r="P94" s="153">
        <f t="shared" si="120"/>
        <v>0</v>
      </c>
      <c r="Q94" s="153">
        <f t="shared" si="120"/>
        <v>0</v>
      </c>
      <c r="R94" s="153">
        <f t="shared" si="120"/>
        <v>0</v>
      </c>
      <c r="S94" s="153">
        <f t="shared" si="120"/>
        <v>0</v>
      </c>
      <c r="T94" s="153">
        <f t="shared" si="120"/>
        <v>0</v>
      </c>
      <c r="U94" s="153">
        <f t="shared" si="120"/>
        <v>0</v>
      </c>
      <c r="V94" s="153">
        <f t="shared" si="120"/>
        <v>0</v>
      </c>
      <c r="W94" s="153">
        <f t="shared" si="120"/>
        <v>0</v>
      </c>
      <c r="X94" s="153">
        <f t="shared" si="120"/>
        <v>0</v>
      </c>
      <c r="Y94" s="153">
        <f t="shared" si="120"/>
        <v>0</v>
      </c>
      <c r="Z94" s="153">
        <f t="shared" si="120"/>
        <v>0</v>
      </c>
      <c r="AA94" s="153">
        <f t="shared" si="120"/>
        <v>0</v>
      </c>
      <c r="AB94" s="153">
        <f t="shared" si="120"/>
        <v>0</v>
      </c>
      <c r="AC94" s="153">
        <f t="shared" si="120"/>
        <v>0</v>
      </c>
      <c r="AD94" s="153">
        <f t="shared" si="120"/>
        <v>0</v>
      </c>
      <c r="AE94" s="153">
        <f t="shared" si="120"/>
        <v>0</v>
      </c>
      <c r="AF94" s="153">
        <f t="shared" si="120"/>
        <v>0</v>
      </c>
      <c r="AG94" s="153">
        <f t="shared" si="120"/>
        <v>0</v>
      </c>
      <c r="AH94" s="153">
        <f t="shared" si="120"/>
        <v>0</v>
      </c>
      <c r="AI94" s="153">
        <f t="shared" si="120"/>
        <v>0</v>
      </c>
      <c r="AJ94" s="153">
        <f t="shared" si="120"/>
        <v>0</v>
      </c>
      <c r="AK94" s="869">
        <f t="shared" si="120"/>
        <v>0</v>
      </c>
    </row>
    <row r="95" spans="1:37" s="6" customFormat="1" ht="20.149999999999999" customHeight="1" outlineLevel="1" x14ac:dyDescent="0.25">
      <c r="A95" s="158" t="s">
        <v>399</v>
      </c>
      <c r="B95" s="1157"/>
      <c r="C95" s="139"/>
      <c r="D95" s="139"/>
      <c r="E95" s="138">
        <f>E45-D45</f>
        <v>0</v>
      </c>
      <c r="F95" s="138">
        <f>E95</f>
        <v>0</v>
      </c>
      <c r="G95" s="138">
        <f t="shared" si="115"/>
        <v>0</v>
      </c>
      <c r="H95" s="138">
        <f t="shared" si="111"/>
        <v>0</v>
      </c>
      <c r="I95" s="138">
        <f t="shared" si="61"/>
        <v>0</v>
      </c>
      <c r="J95" s="138">
        <f t="shared" ref="J95:AK95" si="121">I95</f>
        <v>0</v>
      </c>
      <c r="K95" s="138">
        <f t="shared" si="121"/>
        <v>0</v>
      </c>
      <c r="L95" s="138">
        <f t="shared" si="121"/>
        <v>0</v>
      </c>
      <c r="M95" s="138">
        <f t="shared" si="121"/>
        <v>0</v>
      </c>
      <c r="N95" s="138">
        <f t="shared" si="121"/>
        <v>0</v>
      </c>
      <c r="O95" s="138">
        <f t="shared" si="121"/>
        <v>0</v>
      </c>
      <c r="P95" s="138">
        <f t="shared" si="121"/>
        <v>0</v>
      </c>
      <c r="Q95" s="138">
        <f t="shared" si="121"/>
        <v>0</v>
      </c>
      <c r="R95" s="138">
        <f t="shared" si="121"/>
        <v>0</v>
      </c>
      <c r="S95" s="138">
        <f t="shared" si="121"/>
        <v>0</v>
      </c>
      <c r="T95" s="138">
        <f t="shared" si="121"/>
        <v>0</v>
      </c>
      <c r="U95" s="138">
        <f t="shared" si="121"/>
        <v>0</v>
      </c>
      <c r="V95" s="138">
        <f t="shared" si="121"/>
        <v>0</v>
      </c>
      <c r="W95" s="138">
        <f t="shared" si="121"/>
        <v>0</v>
      </c>
      <c r="X95" s="138">
        <f t="shared" si="121"/>
        <v>0</v>
      </c>
      <c r="Y95" s="138">
        <f t="shared" si="121"/>
        <v>0</v>
      </c>
      <c r="Z95" s="138">
        <f t="shared" si="121"/>
        <v>0</v>
      </c>
      <c r="AA95" s="138">
        <f t="shared" si="121"/>
        <v>0</v>
      </c>
      <c r="AB95" s="138">
        <f t="shared" si="121"/>
        <v>0</v>
      </c>
      <c r="AC95" s="138">
        <f t="shared" si="121"/>
        <v>0</v>
      </c>
      <c r="AD95" s="138">
        <f t="shared" si="121"/>
        <v>0</v>
      </c>
      <c r="AE95" s="138">
        <f t="shared" si="121"/>
        <v>0</v>
      </c>
      <c r="AF95" s="138">
        <f t="shared" si="121"/>
        <v>0</v>
      </c>
      <c r="AG95" s="138">
        <f t="shared" si="121"/>
        <v>0</v>
      </c>
      <c r="AH95" s="138">
        <f t="shared" si="121"/>
        <v>0</v>
      </c>
      <c r="AI95" s="138">
        <f t="shared" si="121"/>
        <v>0</v>
      </c>
      <c r="AJ95" s="138">
        <f t="shared" si="121"/>
        <v>0</v>
      </c>
      <c r="AK95" s="867">
        <f t="shared" si="121"/>
        <v>0</v>
      </c>
    </row>
    <row r="96" spans="1:37" s="121" customFormat="1" ht="20.149999999999999" customHeight="1" outlineLevel="1" thickBot="1" x14ac:dyDescent="0.3">
      <c r="A96" s="159" t="s">
        <v>400</v>
      </c>
      <c r="B96" s="1158"/>
      <c r="C96" s="154"/>
      <c r="D96" s="154"/>
      <c r="E96" s="154"/>
      <c r="F96" s="155">
        <f>F45</f>
        <v>314.67142307540399</v>
      </c>
      <c r="G96" s="155">
        <f t="shared" ref="G96:O96" si="122">G45</f>
        <v>629.34284615080799</v>
      </c>
      <c r="H96" s="155">
        <f t="shared" si="122"/>
        <v>1007.4050504656027</v>
      </c>
      <c r="I96" s="155">
        <f t="shared" si="122"/>
        <v>1737.5921508957688</v>
      </c>
      <c r="J96" s="155">
        <f t="shared" si="122"/>
        <v>2422.6712313930875</v>
      </c>
      <c r="K96" s="155">
        <f t="shared" si="122"/>
        <v>3127.5526350662676</v>
      </c>
      <c r="L96" s="155">
        <f t="shared" si="122"/>
        <v>3701.7251289306814</v>
      </c>
      <c r="M96" s="155">
        <f t="shared" si="122"/>
        <v>4108.7352017519315</v>
      </c>
      <c r="N96" s="155">
        <f t="shared" si="122"/>
        <v>4313.5</v>
      </c>
      <c r="O96" s="155">
        <f t="shared" si="122"/>
        <v>4313.5</v>
      </c>
      <c r="P96" s="155">
        <f t="shared" ref="P96:AK96" si="123">O96</f>
        <v>4313.5</v>
      </c>
      <c r="Q96" s="155">
        <f t="shared" si="123"/>
        <v>4313.5</v>
      </c>
      <c r="R96" s="155">
        <f t="shared" si="123"/>
        <v>4313.5</v>
      </c>
      <c r="S96" s="155">
        <f t="shared" si="123"/>
        <v>4313.5</v>
      </c>
      <c r="T96" s="155">
        <f t="shared" si="123"/>
        <v>4313.5</v>
      </c>
      <c r="U96" s="155">
        <f t="shared" si="123"/>
        <v>4313.5</v>
      </c>
      <c r="V96" s="155">
        <f t="shared" si="123"/>
        <v>4313.5</v>
      </c>
      <c r="W96" s="155">
        <f t="shared" si="123"/>
        <v>4313.5</v>
      </c>
      <c r="X96" s="155">
        <f t="shared" si="123"/>
        <v>4313.5</v>
      </c>
      <c r="Y96" s="155">
        <f t="shared" si="123"/>
        <v>4313.5</v>
      </c>
      <c r="Z96" s="155">
        <f t="shared" si="123"/>
        <v>4313.5</v>
      </c>
      <c r="AA96" s="155">
        <f t="shared" si="123"/>
        <v>4313.5</v>
      </c>
      <c r="AB96" s="155">
        <f t="shared" si="123"/>
        <v>4313.5</v>
      </c>
      <c r="AC96" s="155">
        <f t="shared" si="123"/>
        <v>4313.5</v>
      </c>
      <c r="AD96" s="155">
        <f t="shared" si="123"/>
        <v>4313.5</v>
      </c>
      <c r="AE96" s="155">
        <f t="shared" si="123"/>
        <v>4313.5</v>
      </c>
      <c r="AF96" s="155">
        <f t="shared" si="123"/>
        <v>4313.5</v>
      </c>
      <c r="AG96" s="155">
        <f t="shared" si="123"/>
        <v>4313.5</v>
      </c>
      <c r="AH96" s="155">
        <f t="shared" si="123"/>
        <v>4313.5</v>
      </c>
      <c r="AI96" s="155">
        <f t="shared" si="123"/>
        <v>4313.5</v>
      </c>
      <c r="AJ96" s="155">
        <f t="shared" si="123"/>
        <v>4313.5</v>
      </c>
      <c r="AK96" s="868">
        <f t="shared" si="123"/>
        <v>4313.5</v>
      </c>
    </row>
    <row r="97" spans="1:37" s="6" customFormat="1" ht="20.149999999999999" customHeight="1" outlineLevel="1" x14ac:dyDescent="0.25">
      <c r="A97" s="160" t="s">
        <v>398</v>
      </c>
      <c r="B97" s="1156" t="s">
        <v>407</v>
      </c>
      <c r="C97" s="153"/>
      <c r="D97" s="153">
        <f>D46</f>
        <v>0</v>
      </c>
      <c r="E97" s="153">
        <f>D97</f>
        <v>0</v>
      </c>
      <c r="F97" s="153">
        <f>E97</f>
        <v>0</v>
      </c>
      <c r="G97" s="153">
        <f t="shared" si="115"/>
        <v>0</v>
      </c>
      <c r="H97" s="153">
        <f t="shared" si="111"/>
        <v>0</v>
      </c>
      <c r="I97" s="153">
        <f t="shared" si="61"/>
        <v>0</v>
      </c>
      <c r="J97" s="153">
        <f t="shared" ref="J97:AK97" si="124">I97</f>
        <v>0</v>
      </c>
      <c r="K97" s="153">
        <f t="shared" si="124"/>
        <v>0</v>
      </c>
      <c r="L97" s="153">
        <f t="shared" si="124"/>
        <v>0</v>
      </c>
      <c r="M97" s="153">
        <f t="shared" si="124"/>
        <v>0</v>
      </c>
      <c r="N97" s="153">
        <f t="shared" si="124"/>
        <v>0</v>
      </c>
      <c r="O97" s="153">
        <f t="shared" si="124"/>
        <v>0</v>
      </c>
      <c r="P97" s="153">
        <f t="shared" si="124"/>
        <v>0</v>
      </c>
      <c r="Q97" s="153">
        <f t="shared" si="124"/>
        <v>0</v>
      </c>
      <c r="R97" s="153">
        <f t="shared" si="124"/>
        <v>0</v>
      </c>
      <c r="S97" s="153">
        <f t="shared" si="124"/>
        <v>0</v>
      </c>
      <c r="T97" s="153">
        <f t="shared" si="124"/>
        <v>0</v>
      </c>
      <c r="U97" s="153">
        <f t="shared" si="124"/>
        <v>0</v>
      </c>
      <c r="V97" s="153">
        <f t="shared" si="124"/>
        <v>0</v>
      </c>
      <c r="W97" s="153">
        <f t="shared" si="124"/>
        <v>0</v>
      </c>
      <c r="X97" s="153">
        <f t="shared" si="124"/>
        <v>0</v>
      </c>
      <c r="Y97" s="153">
        <f t="shared" si="124"/>
        <v>0</v>
      </c>
      <c r="Z97" s="153">
        <f t="shared" si="124"/>
        <v>0</v>
      </c>
      <c r="AA97" s="153">
        <f t="shared" si="124"/>
        <v>0</v>
      </c>
      <c r="AB97" s="153">
        <f t="shared" si="124"/>
        <v>0</v>
      </c>
      <c r="AC97" s="153">
        <f t="shared" si="124"/>
        <v>0</v>
      </c>
      <c r="AD97" s="153">
        <f t="shared" si="124"/>
        <v>0</v>
      </c>
      <c r="AE97" s="153">
        <f t="shared" si="124"/>
        <v>0</v>
      </c>
      <c r="AF97" s="153">
        <f t="shared" si="124"/>
        <v>0</v>
      </c>
      <c r="AG97" s="153">
        <f t="shared" si="124"/>
        <v>0</v>
      </c>
      <c r="AH97" s="153">
        <f t="shared" si="124"/>
        <v>0</v>
      </c>
      <c r="AI97" s="153">
        <f t="shared" si="124"/>
        <v>0</v>
      </c>
      <c r="AJ97" s="153">
        <f t="shared" si="124"/>
        <v>0</v>
      </c>
      <c r="AK97" s="869">
        <f t="shared" si="124"/>
        <v>0</v>
      </c>
    </row>
    <row r="98" spans="1:37" s="6" customFormat="1" ht="20.149999999999999" customHeight="1" outlineLevel="1" x14ac:dyDescent="0.25">
      <c r="A98" s="158" t="s">
        <v>399</v>
      </c>
      <c r="B98" s="1157"/>
      <c r="C98" s="139"/>
      <c r="D98" s="139"/>
      <c r="E98" s="139">
        <f>E46-D46</f>
        <v>0</v>
      </c>
      <c r="F98" s="138">
        <f>E98</f>
        <v>0</v>
      </c>
      <c r="G98" s="138">
        <f t="shared" si="115"/>
        <v>0</v>
      </c>
      <c r="H98" s="138">
        <f t="shared" si="111"/>
        <v>0</v>
      </c>
      <c r="I98" s="138">
        <f t="shared" si="61"/>
        <v>0</v>
      </c>
      <c r="J98" s="138">
        <f t="shared" ref="J98:AK98" si="125">I98</f>
        <v>0</v>
      </c>
      <c r="K98" s="138">
        <f t="shared" si="125"/>
        <v>0</v>
      </c>
      <c r="L98" s="138">
        <f t="shared" si="125"/>
        <v>0</v>
      </c>
      <c r="M98" s="138">
        <f t="shared" si="125"/>
        <v>0</v>
      </c>
      <c r="N98" s="138">
        <f t="shared" si="125"/>
        <v>0</v>
      </c>
      <c r="O98" s="138">
        <f t="shared" si="125"/>
        <v>0</v>
      </c>
      <c r="P98" s="138">
        <f t="shared" si="125"/>
        <v>0</v>
      </c>
      <c r="Q98" s="138">
        <f t="shared" si="125"/>
        <v>0</v>
      </c>
      <c r="R98" s="138">
        <f t="shared" si="125"/>
        <v>0</v>
      </c>
      <c r="S98" s="138">
        <f t="shared" si="125"/>
        <v>0</v>
      </c>
      <c r="T98" s="138">
        <f t="shared" si="125"/>
        <v>0</v>
      </c>
      <c r="U98" s="138">
        <f t="shared" si="125"/>
        <v>0</v>
      </c>
      <c r="V98" s="138">
        <f t="shared" si="125"/>
        <v>0</v>
      </c>
      <c r="W98" s="138">
        <f t="shared" si="125"/>
        <v>0</v>
      </c>
      <c r="X98" s="138">
        <f t="shared" si="125"/>
        <v>0</v>
      </c>
      <c r="Y98" s="138">
        <f t="shared" si="125"/>
        <v>0</v>
      </c>
      <c r="Z98" s="138">
        <f t="shared" si="125"/>
        <v>0</v>
      </c>
      <c r="AA98" s="138">
        <f t="shared" si="125"/>
        <v>0</v>
      </c>
      <c r="AB98" s="138">
        <f t="shared" si="125"/>
        <v>0</v>
      </c>
      <c r="AC98" s="138">
        <f t="shared" si="125"/>
        <v>0</v>
      </c>
      <c r="AD98" s="138">
        <f t="shared" si="125"/>
        <v>0</v>
      </c>
      <c r="AE98" s="138">
        <f t="shared" si="125"/>
        <v>0</v>
      </c>
      <c r="AF98" s="138">
        <f t="shared" si="125"/>
        <v>0</v>
      </c>
      <c r="AG98" s="138">
        <f t="shared" si="125"/>
        <v>0</v>
      </c>
      <c r="AH98" s="138">
        <f t="shared" si="125"/>
        <v>0</v>
      </c>
      <c r="AI98" s="138">
        <f t="shared" si="125"/>
        <v>0</v>
      </c>
      <c r="AJ98" s="138">
        <f t="shared" si="125"/>
        <v>0</v>
      </c>
      <c r="AK98" s="867">
        <f t="shared" si="125"/>
        <v>0</v>
      </c>
    </row>
    <row r="99" spans="1:37" s="121" customFormat="1" ht="20.149999999999999" customHeight="1" outlineLevel="1" thickBot="1" x14ac:dyDescent="0.3">
      <c r="A99" s="159" t="s">
        <v>400</v>
      </c>
      <c r="B99" s="1158"/>
      <c r="C99" s="154"/>
      <c r="D99" s="154"/>
      <c r="E99" s="154"/>
      <c r="F99" s="155">
        <f>F46</f>
        <v>314.67142307540399</v>
      </c>
      <c r="G99" s="155">
        <f t="shared" ref="G99:M99" si="126">G46</f>
        <v>629.34284615080799</v>
      </c>
      <c r="H99" s="155">
        <f t="shared" si="126"/>
        <v>1007.4050504656027</v>
      </c>
      <c r="I99" s="155">
        <f t="shared" si="126"/>
        <v>1737.5921508957688</v>
      </c>
      <c r="J99" s="155">
        <f t="shared" si="126"/>
        <v>2422.6712313930875</v>
      </c>
      <c r="K99" s="155">
        <f t="shared" si="126"/>
        <v>3127.5526350662676</v>
      </c>
      <c r="L99" s="155">
        <f t="shared" si="126"/>
        <v>3701.7251289306814</v>
      </c>
      <c r="M99" s="155">
        <f t="shared" si="126"/>
        <v>4108.7352017519315</v>
      </c>
      <c r="N99" s="155">
        <f>N46</f>
        <v>4313.5</v>
      </c>
      <c r="O99" s="155">
        <f>O46</f>
        <v>4313.5</v>
      </c>
      <c r="P99" s="155">
        <f t="shared" ref="P99:AK99" si="127">O99</f>
        <v>4313.5</v>
      </c>
      <c r="Q99" s="155">
        <f t="shared" si="127"/>
        <v>4313.5</v>
      </c>
      <c r="R99" s="155">
        <f t="shared" si="127"/>
        <v>4313.5</v>
      </c>
      <c r="S99" s="155">
        <f t="shared" si="127"/>
        <v>4313.5</v>
      </c>
      <c r="T99" s="155">
        <f t="shared" si="127"/>
        <v>4313.5</v>
      </c>
      <c r="U99" s="155">
        <f t="shared" si="127"/>
        <v>4313.5</v>
      </c>
      <c r="V99" s="155">
        <f t="shared" si="127"/>
        <v>4313.5</v>
      </c>
      <c r="W99" s="155">
        <f t="shared" si="127"/>
        <v>4313.5</v>
      </c>
      <c r="X99" s="155">
        <f t="shared" si="127"/>
        <v>4313.5</v>
      </c>
      <c r="Y99" s="155">
        <f t="shared" si="127"/>
        <v>4313.5</v>
      </c>
      <c r="Z99" s="155">
        <f t="shared" si="127"/>
        <v>4313.5</v>
      </c>
      <c r="AA99" s="155">
        <f t="shared" si="127"/>
        <v>4313.5</v>
      </c>
      <c r="AB99" s="155">
        <f t="shared" si="127"/>
        <v>4313.5</v>
      </c>
      <c r="AC99" s="155">
        <f t="shared" si="127"/>
        <v>4313.5</v>
      </c>
      <c r="AD99" s="155">
        <f t="shared" si="127"/>
        <v>4313.5</v>
      </c>
      <c r="AE99" s="155">
        <f t="shared" si="127"/>
        <v>4313.5</v>
      </c>
      <c r="AF99" s="155">
        <f t="shared" si="127"/>
        <v>4313.5</v>
      </c>
      <c r="AG99" s="155">
        <f t="shared" si="127"/>
        <v>4313.5</v>
      </c>
      <c r="AH99" s="155">
        <f t="shared" si="127"/>
        <v>4313.5</v>
      </c>
      <c r="AI99" s="155">
        <f t="shared" si="127"/>
        <v>4313.5</v>
      </c>
      <c r="AJ99" s="155">
        <f t="shared" si="127"/>
        <v>4313.5</v>
      </c>
      <c r="AK99" s="868">
        <f t="shared" si="127"/>
        <v>4313.5</v>
      </c>
    </row>
    <row r="100" spans="1:37" s="6" customFormat="1" ht="20.149999999999999" customHeight="1" outlineLevel="1" x14ac:dyDescent="0.25">
      <c r="A100" s="160" t="s">
        <v>398</v>
      </c>
      <c r="B100" s="1156" t="s">
        <v>408</v>
      </c>
      <c r="C100" s="153"/>
      <c r="D100" s="153">
        <f>D47</f>
        <v>0</v>
      </c>
      <c r="E100" s="153">
        <f>D100</f>
        <v>0</v>
      </c>
      <c r="F100" s="153">
        <f>E100</f>
        <v>0</v>
      </c>
      <c r="G100" s="153">
        <f t="shared" si="115"/>
        <v>0</v>
      </c>
      <c r="H100" s="153">
        <f t="shared" si="111"/>
        <v>0</v>
      </c>
      <c r="I100" s="153">
        <f t="shared" si="61"/>
        <v>0</v>
      </c>
      <c r="J100" s="153">
        <f t="shared" ref="J100:AK100" si="128">I100</f>
        <v>0</v>
      </c>
      <c r="K100" s="153">
        <f t="shared" si="128"/>
        <v>0</v>
      </c>
      <c r="L100" s="153">
        <f t="shared" si="128"/>
        <v>0</v>
      </c>
      <c r="M100" s="153">
        <f t="shared" si="128"/>
        <v>0</v>
      </c>
      <c r="N100" s="153">
        <f t="shared" si="128"/>
        <v>0</v>
      </c>
      <c r="O100" s="153">
        <f t="shared" si="128"/>
        <v>0</v>
      </c>
      <c r="P100" s="153">
        <f t="shared" si="128"/>
        <v>0</v>
      </c>
      <c r="Q100" s="153">
        <f t="shared" si="128"/>
        <v>0</v>
      </c>
      <c r="R100" s="153">
        <f t="shared" si="128"/>
        <v>0</v>
      </c>
      <c r="S100" s="153">
        <f t="shared" si="128"/>
        <v>0</v>
      </c>
      <c r="T100" s="153">
        <f t="shared" si="128"/>
        <v>0</v>
      </c>
      <c r="U100" s="153">
        <f t="shared" si="128"/>
        <v>0</v>
      </c>
      <c r="V100" s="153">
        <f t="shared" si="128"/>
        <v>0</v>
      </c>
      <c r="W100" s="153">
        <f t="shared" si="128"/>
        <v>0</v>
      </c>
      <c r="X100" s="153">
        <f t="shared" si="128"/>
        <v>0</v>
      </c>
      <c r="Y100" s="153">
        <f t="shared" si="128"/>
        <v>0</v>
      </c>
      <c r="Z100" s="153">
        <f t="shared" si="128"/>
        <v>0</v>
      </c>
      <c r="AA100" s="153">
        <f t="shared" si="128"/>
        <v>0</v>
      </c>
      <c r="AB100" s="153">
        <f t="shared" si="128"/>
        <v>0</v>
      </c>
      <c r="AC100" s="153">
        <f t="shared" si="128"/>
        <v>0</v>
      </c>
      <c r="AD100" s="153">
        <f t="shared" si="128"/>
        <v>0</v>
      </c>
      <c r="AE100" s="153">
        <f t="shared" si="128"/>
        <v>0</v>
      </c>
      <c r="AF100" s="153">
        <f t="shared" si="128"/>
        <v>0</v>
      </c>
      <c r="AG100" s="153">
        <f t="shared" si="128"/>
        <v>0</v>
      </c>
      <c r="AH100" s="153">
        <f t="shared" si="128"/>
        <v>0</v>
      </c>
      <c r="AI100" s="153">
        <f t="shared" si="128"/>
        <v>0</v>
      </c>
      <c r="AJ100" s="153">
        <f t="shared" si="128"/>
        <v>0</v>
      </c>
      <c r="AK100" s="869">
        <f t="shared" si="128"/>
        <v>0</v>
      </c>
    </row>
    <row r="101" spans="1:37" s="6" customFormat="1" ht="20.149999999999999" customHeight="1" outlineLevel="1" x14ac:dyDescent="0.25">
      <c r="A101" s="158" t="s">
        <v>399</v>
      </c>
      <c r="B101" s="1157"/>
      <c r="C101" s="139"/>
      <c r="D101" s="139"/>
      <c r="E101" s="139">
        <f>E47-D47</f>
        <v>0</v>
      </c>
      <c r="F101" s="138">
        <f>E101</f>
        <v>0</v>
      </c>
      <c r="G101" s="138">
        <f t="shared" si="115"/>
        <v>0</v>
      </c>
      <c r="H101" s="138">
        <f t="shared" si="111"/>
        <v>0</v>
      </c>
      <c r="I101" s="138">
        <f t="shared" si="61"/>
        <v>0</v>
      </c>
      <c r="J101" s="138">
        <f t="shared" ref="J101:AK101" si="129">I101</f>
        <v>0</v>
      </c>
      <c r="K101" s="138">
        <f t="shared" si="129"/>
        <v>0</v>
      </c>
      <c r="L101" s="138">
        <f t="shared" si="129"/>
        <v>0</v>
      </c>
      <c r="M101" s="138">
        <f t="shared" si="129"/>
        <v>0</v>
      </c>
      <c r="N101" s="138">
        <f t="shared" si="129"/>
        <v>0</v>
      </c>
      <c r="O101" s="138">
        <f t="shared" si="129"/>
        <v>0</v>
      </c>
      <c r="P101" s="138">
        <f t="shared" si="129"/>
        <v>0</v>
      </c>
      <c r="Q101" s="138">
        <f t="shared" si="129"/>
        <v>0</v>
      </c>
      <c r="R101" s="138">
        <f t="shared" si="129"/>
        <v>0</v>
      </c>
      <c r="S101" s="138">
        <f t="shared" si="129"/>
        <v>0</v>
      </c>
      <c r="T101" s="138">
        <f t="shared" si="129"/>
        <v>0</v>
      </c>
      <c r="U101" s="138">
        <f t="shared" si="129"/>
        <v>0</v>
      </c>
      <c r="V101" s="138">
        <f t="shared" si="129"/>
        <v>0</v>
      </c>
      <c r="W101" s="138">
        <f t="shared" si="129"/>
        <v>0</v>
      </c>
      <c r="X101" s="138">
        <f t="shared" si="129"/>
        <v>0</v>
      </c>
      <c r="Y101" s="138">
        <f t="shared" si="129"/>
        <v>0</v>
      </c>
      <c r="Z101" s="138">
        <f t="shared" si="129"/>
        <v>0</v>
      </c>
      <c r="AA101" s="138">
        <f t="shared" si="129"/>
        <v>0</v>
      </c>
      <c r="AB101" s="138">
        <f t="shared" si="129"/>
        <v>0</v>
      </c>
      <c r="AC101" s="138">
        <f t="shared" si="129"/>
        <v>0</v>
      </c>
      <c r="AD101" s="138">
        <f t="shared" si="129"/>
        <v>0</v>
      </c>
      <c r="AE101" s="138">
        <f t="shared" si="129"/>
        <v>0</v>
      </c>
      <c r="AF101" s="138">
        <f t="shared" si="129"/>
        <v>0</v>
      </c>
      <c r="AG101" s="138">
        <f t="shared" si="129"/>
        <v>0</v>
      </c>
      <c r="AH101" s="138">
        <f t="shared" si="129"/>
        <v>0</v>
      </c>
      <c r="AI101" s="138">
        <f t="shared" si="129"/>
        <v>0</v>
      </c>
      <c r="AJ101" s="138">
        <f t="shared" si="129"/>
        <v>0</v>
      </c>
      <c r="AK101" s="867">
        <f t="shared" si="129"/>
        <v>0</v>
      </c>
    </row>
    <row r="102" spans="1:37" s="121" customFormat="1" ht="20.149999999999999" customHeight="1" outlineLevel="1" thickBot="1" x14ac:dyDescent="0.3">
      <c r="A102" s="159" t="s">
        <v>400</v>
      </c>
      <c r="B102" s="1158"/>
      <c r="C102" s="154"/>
      <c r="D102" s="154"/>
      <c r="E102" s="154"/>
      <c r="F102" s="154">
        <f>F47-E47</f>
        <v>0</v>
      </c>
      <c r="G102" s="155">
        <f t="shared" si="115"/>
        <v>0</v>
      </c>
      <c r="H102" s="155">
        <f t="shared" si="111"/>
        <v>0</v>
      </c>
      <c r="I102" s="155">
        <f t="shared" si="61"/>
        <v>0</v>
      </c>
      <c r="J102" s="155">
        <f t="shared" ref="J102:AK102" si="130">I102</f>
        <v>0</v>
      </c>
      <c r="K102" s="155">
        <f t="shared" si="130"/>
        <v>0</v>
      </c>
      <c r="L102" s="155">
        <f t="shared" si="130"/>
        <v>0</v>
      </c>
      <c r="M102" s="155">
        <f t="shared" si="130"/>
        <v>0</v>
      </c>
      <c r="N102" s="155">
        <f t="shared" si="130"/>
        <v>0</v>
      </c>
      <c r="O102" s="155">
        <f t="shared" si="130"/>
        <v>0</v>
      </c>
      <c r="P102" s="155">
        <f t="shared" si="130"/>
        <v>0</v>
      </c>
      <c r="Q102" s="155">
        <f t="shared" si="130"/>
        <v>0</v>
      </c>
      <c r="R102" s="155">
        <f t="shared" si="130"/>
        <v>0</v>
      </c>
      <c r="S102" s="155">
        <f t="shared" si="130"/>
        <v>0</v>
      </c>
      <c r="T102" s="155">
        <f t="shared" si="130"/>
        <v>0</v>
      </c>
      <c r="U102" s="155">
        <f t="shared" si="130"/>
        <v>0</v>
      </c>
      <c r="V102" s="155">
        <f t="shared" si="130"/>
        <v>0</v>
      </c>
      <c r="W102" s="155">
        <f t="shared" si="130"/>
        <v>0</v>
      </c>
      <c r="X102" s="155">
        <f t="shared" si="130"/>
        <v>0</v>
      </c>
      <c r="Y102" s="155">
        <f t="shared" si="130"/>
        <v>0</v>
      </c>
      <c r="Z102" s="155">
        <f t="shared" si="130"/>
        <v>0</v>
      </c>
      <c r="AA102" s="155">
        <f t="shared" si="130"/>
        <v>0</v>
      </c>
      <c r="AB102" s="155">
        <f t="shared" si="130"/>
        <v>0</v>
      </c>
      <c r="AC102" s="155">
        <f t="shared" si="130"/>
        <v>0</v>
      </c>
      <c r="AD102" s="155">
        <f t="shared" si="130"/>
        <v>0</v>
      </c>
      <c r="AE102" s="155">
        <f t="shared" si="130"/>
        <v>0</v>
      </c>
      <c r="AF102" s="155">
        <f t="shared" si="130"/>
        <v>0</v>
      </c>
      <c r="AG102" s="155">
        <f t="shared" si="130"/>
        <v>0</v>
      </c>
      <c r="AH102" s="155">
        <f t="shared" si="130"/>
        <v>0</v>
      </c>
      <c r="AI102" s="155">
        <f t="shared" si="130"/>
        <v>0</v>
      </c>
      <c r="AJ102" s="155">
        <f t="shared" si="130"/>
        <v>0</v>
      </c>
      <c r="AK102" s="868">
        <f t="shared" si="130"/>
        <v>0</v>
      </c>
    </row>
    <row r="105" spans="1:37" hidden="1" x14ac:dyDescent="0.25">
      <c r="B105" s="562" t="e">
        <f>"=SEERRO(('Resumo "&amp;#REF!&amp;"'!C19*('CRITÉRIOS DE IMPLANTAÇÃO'!F$"&amp;B113&amp;"));0)+SEERRO(('Resumo "&amp;#REF!&amp;"'!B19*('CRITÉRIOS DE IMPLANTAÇÃO'!F$"&amp;B114&amp;"));0)+SEERRO(('Resumo "&amp;#REF!&amp;"'!A19*('CRITÉRIOS DE IMPLANTAÇÃO'!F$"&amp;B115&amp;"));0)"</f>
        <v>#REF!</v>
      </c>
    </row>
    <row r="106" spans="1:37" hidden="1" x14ac:dyDescent="0.25">
      <c r="B106" s="562" t="e">
        <f>"=SEERRO(('Resumo "&amp;#REF!&amp;"'!C19*('CRITÉRIOS DE IMPLANTAÇÃO'!F$"&amp;B116&amp;"));0)+SEERRO(('Resumo "&amp;#REF!&amp;"'!B19*('CRITÉRIOS DE IMPLANTAÇÃO'!F$"&amp;B117&amp;"));0)+SEERRO(('Resumo "&amp;#REF!&amp;"'!A19*('CRITÉRIOS DE IMPLANTAÇÃO'!F$"&amp;B118&amp;"));0)"</f>
        <v>#REF!</v>
      </c>
    </row>
    <row r="107" spans="1:37" hidden="1" x14ac:dyDescent="0.25">
      <c r="B107" s="562" t="e">
        <f>"=SEERRO(('Resumo "&amp;#REF!&amp;"'!C19*('CRITÉRIOS DE IMPLANTAÇÃO'!F$"&amp;B119&amp;"));0)+SEERRO(('Resumo "&amp;#REF!&amp;"'!B19*('CRITÉRIOS DE IMPLANTAÇÃO'!F$"&amp;B120&amp;"));0)+SEERRO(('Resumo "&amp;#REF!&amp;"'!A19*('CRITÉRIOS DE IMPLANTAÇÃO'!F$"&amp;B121&amp;"));0)"</f>
        <v>#REF!</v>
      </c>
    </row>
    <row r="108" spans="1:37" hidden="1" x14ac:dyDescent="0.25">
      <c r="B108" s="562" t="e">
        <f>"='Resumo "&amp;#REF!&amp;"'!C19*('CRITÉRIOS DE IMPLANTAÇÃO'!F$"&amp;B122&amp;"+'CRITÉRIOS DE IMPLANTAÇÃO'!G$"&amp;B123&amp;"+'CRITÉRIOS DE IMPLANTAÇÃO'!H$"&amp;B124&amp;")"</f>
        <v>#REF!</v>
      </c>
    </row>
    <row r="109" spans="1:37" hidden="1" x14ac:dyDescent="0.25">
      <c r="B109" s="562" t="e">
        <f>"='Resumo "&amp;#REF!&amp;"'!C19*('CRITÉRIOS DE IMPLANTAÇÃO'!F$"&amp;B125&amp;"+'CRITÉRIOS DE IMPLANTAÇÃO'!G$"&amp;B126&amp;"+'CRITÉRIOS DE IMPLANTAÇÃO'!H$"&amp;B127&amp;")"</f>
        <v>#REF!</v>
      </c>
    </row>
    <row r="110" spans="1:37" hidden="1" x14ac:dyDescent="0.25">
      <c r="B110" s="562" t="e">
        <f>"='Resumo "&amp;#REF!&amp;"'!C19*('CRITÉRIOS DE IMPLANTAÇÃO'!F$"&amp;B128&amp;"+'CRITÉRIOS DE IMPLANTAÇÃO'!G$"&amp;B129&amp;"+'CRITÉRIOS DE IMPLANTAÇÃO'!H$"&amp;B130&amp;")"</f>
        <v>#REF!</v>
      </c>
    </row>
    <row r="111" spans="1:37" hidden="1" x14ac:dyDescent="0.25">
      <c r="B111" s="562" t="e">
        <f>"='Resumo "&amp;#REF!&amp;"'!C19*('CRITÉRIOS DE IMPLANTAÇÃO'!F$"&amp;B131&amp;"+'CRITÉRIOS DE IMPLANTAÇÃO'!G$"&amp;B132&amp;"+'CRITÉRIOS DE IMPLANTAÇÃO'!H$"&amp;B133&amp;")"</f>
        <v>#REF!</v>
      </c>
    </row>
    <row r="112" spans="1:37" hidden="1" x14ac:dyDescent="0.25">
      <c r="B112" s="562" t="e">
        <f>"='Resumo "&amp;#REF!&amp;"'!C19*('CRITÉRIOS DE IMPLANTAÇÃO'!F$"&amp;B134&amp;"+'CRITÉRIOS DE IMPLANTAÇÃO'!G$"&amp;B135&amp;"+'CRITÉRIOS DE IMPLANTAÇÃO'!H$"&amp;B136&amp;")"</f>
        <v>#REF!</v>
      </c>
    </row>
    <row r="113" spans="2:2" x14ac:dyDescent="0.25">
      <c r="B113" s="531">
        <v>67</v>
      </c>
    </row>
    <row r="114" spans="2:2" x14ac:dyDescent="0.25">
      <c r="B114" s="531">
        <v>68</v>
      </c>
    </row>
    <row r="115" spans="2:2" x14ac:dyDescent="0.25">
      <c r="B115" s="531">
        <v>69</v>
      </c>
    </row>
    <row r="116" spans="2:2" x14ac:dyDescent="0.25">
      <c r="B116" s="531">
        <v>70</v>
      </c>
    </row>
    <row r="117" spans="2:2" x14ac:dyDescent="0.25">
      <c r="B117" s="531">
        <v>71</v>
      </c>
    </row>
    <row r="118" spans="2:2" x14ac:dyDescent="0.25">
      <c r="B118" s="531">
        <v>72</v>
      </c>
    </row>
    <row r="119" spans="2:2" x14ac:dyDescent="0.25">
      <c r="B119" s="531">
        <v>73</v>
      </c>
    </row>
    <row r="120" spans="2:2" x14ac:dyDescent="0.25">
      <c r="B120" s="531">
        <v>74</v>
      </c>
    </row>
    <row r="121" spans="2:2" x14ac:dyDescent="0.25">
      <c r="B121" s="531">
        <v>75</v>
      </c>
    </row>
    <row r="122" spans="2:2" x14ac:dyDescent="0.25">
      <c r="B122" s="531">
        <v>76</v>
      </c>
    </row>
    <row r="123" spans="2:2" x14ac:dyDescent="0.25">
      <c r="B123" s="531">
        <v>77</v>
      </c>
    </row>
    <row r="124" spans="2:2" x14ac:dyDescent="0.25">
      <c r="B124" s="531">
        <v>78</v>
      </c>
    </row>
    <row r="125" spans="2:2" x14ac:dyDescent="0.25">
      <c r="B125" s="531">
        <v>79</v>
      </c>
    </row>
    <row r="126" spans="2:2" x14ac:dyDescent="0.25">
      <c r="B126" s="531">
        <v>80</v>
      </c>
    </row>
    <row r="127" spans="2:2" x14ac:dyDescent="0.25">
      <c r="B127" s="531">
        <v>81</v>
      </c>
    </row>
    <row r="128" spans="2:2" x14ac:dyDescent="0.25">
      <c r="B128" s="531">
        <v>82</v>
      </c>
    </row>
    <row r="129" spans="2:2" x14ac:dyDescent="0.25">
      <c r="B129" s="531">
        <v>83</v>
      </c>
    </row>
    <row r="130" spans="2:2" x14ac:dyDescent="0.25">
      <c r="B130" s="531">
        <v>84</v>
      </c>
    </row>
    <row r="131" spans="2:2" x14ac:dyDescent="0.25">
      <c r="B131" s="531">
        <v>85</v>
      </c>
    </row>
    <row r="132" spans="2:2" x14ac:dyDescent="0.25">
      <c r="B132" s="531">
        <v>86</v>
      </c>
    </row>
    <row r="133" spans="2:2" x14ac:dyDescent="0.25">
      <c r="B133" s="531">
        <v>87</v>
      </c>
    </row>
    <row r="134" spans="2:2" x14ac:dyDescent="0.25">
      <c r="B134" s="531">
        <v>88</v>
      </c>
    </row>
    <row r="135" spans="2:2" x14ac:dyDescent="0.25">
      <c r="B135" s="531">
        <v>89</v>
      </c>
    </row>
    <row r="136" spans="2:2" x14ac:dyDescent="0.25">
      <c r="B136" s="531">
        <v>90</v>
      </c>
    </row>
  </sheetData>
  <mergeCells count="18">
    <mergeCell ref="C26:AM26"/>
    <mergeCell ref="C50:AK50"/>
    <mergeCell ref="B91:B93"/>
    <mergeCell ref="B50:B51"/>
    <mergeCell ref="A50:A51"/>
    <mergeCell ref="B37:B38"/>
    <mergeCell ref="B26:B27"/>
    <mergeCell ref="A26:A27"/>
    <mergeCell ref="A37:A38"/>
    <mergeCell ref="C37:AM37"/>
    <mergeCell ref="B94:B96"/>
    <mergeCell ref="B97:B99"/>
    <mergeCell ref="B100:B102"/>
    <mergeCell ref="B52:B60"/>
    <mergeCell ref="B61:B69"/>
    <mergeCell ref="B70:B78"/>
    <mergeCell ref="B79:B87"/>
    <mergeCell ref="B88:B90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ignoredErrors>
    <ignoredError sqref="C15 C17" unlockedFormula="1"/>
    <ignoredError sqref="C16" formula="1" unlocked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EADB-F29D-43BD-BAC4-E60151A956F5}">
  <sheetPr>
    <tabColor theme="6" tint="0.79998168889431442"/>
    <outlinePr summaryBelow="0"/>
  </sheetPr>
  <dimension ref="A1:U187"/>
  <sheetViews>
    <sheetView showGridLines="0" topLeftCell="A142" zoomScale="70" zoomScaleNormal="70" workbookViewId="0">
      <selection activeCell="F154" sqref="F154"/>
    </sheetView>
  </sheetViews>
  <sheetFormatPr defaultColWidth="9.1796875" defaultRowHeight="12.5" outlineLevelRow="2" x14ac:dyDescent="0.25"/>
  <cols>
    <col min="1" max="1" width="43.54296875" style="6" customWidth="1"/>
    <col min="2" max="6" width="20.7265625" style="6" customWidth="1"/>
    <col min="7" max="7" width="17.54296875" style="6" customWidth="1"/>
    <col min="8" max="10" width="9.1796875" style="6" customWidth="1"/>
    <col min="11" max="11" width="10.1796875" style="6" customWidth="1"/>
    <col min="12" max="12" width="21.54296875" style="6" customWidth="1"/>
    <col min="13" max="13" width="19" style="6" customWidth="1"/>
    <col min="14" max="18" width="9.1796875" style="6" customWidth="1"/>
    <col min="19" max="19" width="14.1796875" style="6" customWidth="1"/>
    <col min="20" max="16384" width="9.1796875" style="6"/>
  </cols>
  <sheetData>
    <row r="1" spans="1:21" ht="13" thickBot="1" x14ac:dyDescent="0.3"/>
    <row r="2" spans="1:21" s="564" customFormat="1" ht="40" customHeight="1" thickBot="1" x14ac:dyDescent="0.3">
      <c r="A2" s="538" t="s">
        <v>439</v>
      </c>
      <c r="B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</row>
    <row r="3" spans="1:21" ht="13" thickBot="1" x14ac:dyDescent="0.3">
      <c r="Q3" s="110"/>
    </row>
    <row r="4" spans="1:21" s="563" customFormat="1" ht="30" customHeight="1" collapsed="1" thickBot="1" x14ac:dyDescent="0.3">
      <c r="A4" s="555" t="s">
        <v>415</v>
      </c>
      <c r="B4" s="568"/>
      <c r="R4" s="569"/>
    </row>
    <row r="5" spans="1:21" s="15" customFormat="1" ht="20.149999999999999" hidden="1" customHeight="1" outlineLevel="1" x14ac:dyDescent="0.25">
      <c r="A5" s="184" t="s">
        <v>445</v>
      </c>
      <c r="B5" s="185" t="s">
        <v>446</v>
      </c>
      <c r="C5" s="185" t="s">
        <v>447</v>
      </c>
      <c r="D5" s="185" t="s">
        <v>448</v>
      </c>
      <c r="E5" s="185" t="s">
        <v>245</v>
      </c>
      <c r="F5" s="186" t="s">
        <v>470</v>
      </c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531">
        <v>1518</v>
      </c>
    </row>
    <row r="6" spans="1:21" s="110" customFormat="1" ht="20.149999999999999" hidden="1" customHeight="1" outlineLevel="1" x14ac:dyDescent="0.25">
      <c r="A6" s="22" t="s">
        <v>412</v>
      </c>
      <c r="B6" s="690">
        <v>1518</v>
      </c>
      <c r="C6" s="679">
        <f>B6</f>
        <v>1518</v>
      </c>
      <c r="D6" s="606">
        <f>B6</f>
        <v>1518</v>
      </c>
      <c r="E6" s="606">
        <f>B6</f>
        <v>1518</v>
      </c>
      <c r="F6" s="607">
        <f>B6</f>
        <v>1518</v>
      </c>
    </row>
    <row r="7" spans="1:21" s="110" customFormat="1" ht="20.149999999999999" hidden="1" customHeight="1" outlineLevel="1" x14ac:dyDescent="0.25">
      <c r="A7" s="22" t="s">
        <v>413</v>
      </c>
      <c r="B7" s="606">
        <f>0.3*B6</f>
        <v>455.4</v>
      </c>
      <c r="C7" s="608">
        <f>0.2*C6</f>
        <v>303.60000000000002</v>
      </c>
      <c r="D7" s="606">
        <f>0.45*D6</f>
        <v>683.1</v>
      </c>
      <c r="E7" s="606">
        <f>0.45*E6</f>
        <v>683.1</v>
      </c>
      <c r="F7" s="607">
        <f>0.1*F6</f>
        <v>151.80000000000001</v>
      </c>
    </row>
    <row r="8" spans="1:21" s="110" customFormat="1" ht="20.149999999999999" hidden="1" customHeight="1" outlineLevel="1" x14ac:dyDescent="0.25">
      <c r="A8" s="193" t="s">
        <v>565</v>
      </c>
      <c r="B8" s="606">
        <f>SUM(B6:B7)</f>
        <v>1973.4</v>
      </c>
      <c r="C8" s="608">
        <f>SUM(C6:C7)</f>
        <v>1821.6</v>
      </c>
      <c r="D8" s="606">
        <f>SUM(D6:D7)</f>
        <v>2201.1</v>
      </c>
      <c r="E8" s="606">
        <f>SUM(E6:E7)</f>
        <v>2201.1</v>
      </c>
      <c r="F8" s="607">
        <f>SUM(F6:F7)</f>
        <v>1669.8</v>
      </c>
    </row>
    <row r="9" spans="1:21" s="110" customFormat="1" ht="20.149999999999999" hidden="1" customHeight="1" outlineLevel="1" x14ac:dyDescent="0.25">
      <c r="A9" s="193"/>
      <c r="B9" s="194"/>
      <c r="C9" s="608"/>
      <c r="D9" s="606"/>
      <c r="E9" s="606"/>
      <c r="F9" s="607"/>
    </row>
    <row r="10" spans="1:21" s="110" customFormat="1" ht="20.149999999999999" hidden="1" customHeight="1" outlineLevel="1" x14ac:dyDescent="0.25">
      <c r="A10" s="22" t="s">
        <v>414</v>
      </c>
      <c r="B10" s="612">
        <f>B37-1</f>
        <v>0.26891555555555557</v>
      </c>
      <c r="C10" s="738">
        <f>B10</f>
        <v>0.26891555555555557</v>
      </c>
      <c r="D10" s="612">
        <f>B10</f>
        <v>0.26891555555555557</v>
      </c>
      <c r="E10" s="612">
        <f>B10</f>
        <v>0.26891555555555557</v>
      </c>
      <c r="F10" s="613">
        <f>B10</f>
        <v>0.26891555555555557</v>
      </c>
    </row>
    <row r="11" spans="1:21" s="110" customFormat="1" ht="20.149999999999999" hidden="1" customHeight="1" outlineLevel="1" x14ac:dyDescent="0.25">
      <c r="A11" s="22" t="s">
        <v>564</v>
      </c>
      <c r="B11" s="606">
        <f>B8*(B10)</f>
        <v>530.67795733333344</v>
      </c>
      <c r="C11" s="606">
        <f>C8*(C10)</f>
        <v>489.85657600000002</v>
      </c>
      <c r="D11" s="606">
        <f>D8*(D10)</f>
        <v>591.91002933333334</v>
      </c>
      <c r="E11" s="606">
        <f>E8*(E10)</f>
        <v>591.91002933333334</v>
      </c>
      <c r="F11" s="607">
        <f>F8*(F10)</f>
        <v>449.03519466666671</v>
      </c>
    </row>
    <row r="12" spans="1:21" s="110" customFormat="1" ht="20.149999999999999" hidden="1" customHeight="1" outlineLevel="1" x14ac:dyDescent="0.25">
      <c r="A12" s="193" t="s">
        <v>563</v>
      </c>
      <c r="B12" s="739">
        <f>SUM(B11,B8)</f>
        <v>2504.0779573333334</v>
      </c>
      <c r="C12" s="739">
        <f>SUM(C11,C8)</f>
        <v>2311.456576</v>
      </c>
      <c r="D12" s="739">
        <f>SUM(D11,D8)</f>
        <v>2793.0100293333335</v>
      </c>
      <c r="E12" s="739">
        <f>SUM(E11,E8)</f>
        <v>2793.0100293333335</v>
      </c>
      <c r="F12" s="740">
        <f>SUM(F11,F8)</f>
        <v>2118.8351946666667</v>
      </c>
    </row>
    <row r="13" spans="1:21" s="110" customFormat="1" ht="20.149999999999999" hidden="1" customHeight="1" outlineLevel="1" x14ac:dyDescent="0.25">
      <c r="A13" s="22"/>
      <c r="B13" s="608"/>
      <c r="C13" s="608"/>
      <c r="D13" s="608"/>
      <c r="E13" s="608"/>
      <c r="F13" s="609"/>
    </row>
    <row r="14" spans="1:21" s="110" customFormat="1" ht="20.149999999999999" hidden="1" customHeight="1" outlineLevel="1" x14ac:dyDescent="0.25">
      <c r="A14" s="22" t="s">
        <v>566</v>
      </c>
      <c r="B14" s="690">
        <v>100</v>
      </c>
      <c r="C14" s="679">
        <f>B14</f>
        <v>100</v>
      </c>
      <c r="D14" s="606">
        <f>B14</f>
        <v>100</v>
      </c>
      <c r="E14" s="606">
        <f>B14</f>
        <v>100</v>
      </c>
      <c r="F14" s="607">
        <v>100</v>
      </c>
    </row>
    <row r="15" spans="1:21" s="110" customFormat="1" ht="20.149999999999999" hidden="1" customHeight="1" outlineLevel="1" x14ac:dyDescent="0.25">
      <c r="A15" s="22" t="s">
        <v>567</v>
      </c>
      <c r="B15" s="690">
        <v>85</v>
      </c>
      <c r="C15" s="679">
        <f>B15</f>
        <v>85</v>
      </c>
      <c r="D15" s="606">
        <f>B15</f>
        <v>85</v>
      </c>
      <c r="E15" s="606">
        <f>B15</f>
        <v>85</v>
      </c>
      <c r="F15" s="607">
        <v>85</v>
      </c>
    </row>
    <row r="16" spans="1:21" s="110" customFormat="1" ht="20.149999999999999" hidden="1" customHeight="1" outlineLevel="1" x14ac:dyDescent="0.25">
      <c r="A16" s="193" t="s">
        <v>568</v>
      </c>
      <c r="B16" s="194">
        <f>SUM(B8,B11,B14:B15)</f>
        <v>2689.0779573333334</v>
      </c>
      <c r="C16" s="739">
        <f>SUM(C12:C15)</f>
        <v>2496.456576</v>
      </c>
      <c r="D16" s="194">
        <f>SUM(D12:D15)</f>
        <v>2978.0100293333335</v>
      </c>
      <c r="E16" s="194">
        <f>SUM(E12:E15)</f>
        <v>2978.0100293333335</v>
      </c>
      <c r="F16" s="202">
        <f>SUM(F12:F15)</f>
        <v>2303.8351946666667</v>
      </c>
    </row>
    <row r="17" spans="1:6" s="110" customFormat="1" ht="20.149999999999999" hidden="1" customHeight="1" outlineLevel="1" x14ac:dyDescent="0.25"/>
    <row r="18" spans="1:6" s="110" customFormat="1" ht="20.149999999999999" hidden="1" customHeight="1" outlineLevel="1" x14ac:dyDescent="0.25">
      <c r="A18" s="22" t="s">
        <v>569</v>
      </c>
      <c r="B18" s="606">
        <f>B16/21</f>
        <v>128.05133130158731</v>
      </c>
      <c r="C18" s="608">
        <f>C16/21</f>
        <v>118.87888457142857</v>
      </c>
      <c r="D18" s="606">
        <f>D16/21</f>
        <v>141.81000139682541</v>
      </c>
      <c r="E18" s="606">
        <f>E16/21</f>
        <v>141.81000139682541</v>
      </c>
      <c r="F18" s="607">
        <f>F16/21</f>
        <v>109.70643784126985</v>
      </c>
    </row>
    <row r="19" spans="1:6" s="110" customFormat="1" ht="20.149999999999999" hidden="1" customHeight="1" outlineLevel="1" x14ac:dyDescent="0.25">
      <c r="A19" s="22" t="s">
        <v>65</v>
      </c>
      <c r="B19" s="606">
        <f>B46</f>
        <v>17</v>
      </c>
      <c r="C19" s="608">
        <f>B46</f>
        <v>17</v>
      </c>
      <c r="D19" s="606">
        <f>B46</f>
        <v>17</v>
      </c>
      <c r="E19" s="606">
        <f>B46</f>
        <v>17</v>
      </c>
      <c r="F19" s="607">
        <f>B46</f>
        <v>17</v>
      </c>
    </row>
    <row r="20" spans="1:6" s="110" customFormat="1" ht="20.149999999999999" hidden="1" customHeight="1" outlineLevel="1" x14ac:dyDescent="0.25">
      <c r="A20" s="22" t="s">
        <v>41</v>
      </c>
      <c r="B20" s="606">
        <f>B18+B19</f>
        <v>145.05133130158731</v>
      </c>
      <c r="C20" s="608">
        <f>C18+C19</f>
        <v>135.87888457142856</v>
      </c>
      <c r="D20" s="606">
        <f>D18+D19</f>
        <v>158.81000139682541</v>
      </c>
      <c r="E20" s="606">
        <f>E18+E19</f>
        <v>158.81000139682541</v>
      </c>
      <c r="F20" s="607">
        <f>F18+F19</f>
        <v>126.70643784126985</v>
      </c>
    </row>
    <row r="21" spans="1:6" s="110" customFormat="1" ht="20.149999999999999" hidden="1" customHeight="1" outlineLevel="1" thickBot="1" x14ac:dyDescent="0.3">
      <c r="A21" s="680" t="s">
        <v>383</v>
      </c>
      <c r="B21" s="681">
        <v>145</v>
      </c>
      <c r="C21" s="681">
        <v>136</v>
      </c>
      <c r="D21" s="681">
        <v>159</v>
      </c>
      <c r="E21" s="681">
        <v>159</v>
      </c>
      <c r="F21" s="682">
        <v>127</v>
      </c>
    </row>
    <row r="22" spans="1:6" ht="13" hidden="1" outlineLevel="1" thickBot="1" x14ac:dyDescent="0.3"/>
    <row r="23" spans="1:6" s="563" customFormat="1" ht="30" customHeight="1" collapsed="1" thickBot="1" x14ac:dyDescent="0.3">
      <c r="A23" s="555" t="s">
        <v>476</v>
      </c>
      <c r="B23" s="568"/>
    </row>
    <row r="24" spans="1:6" s="110" customFormat="1" ht="20.149999999999999" hidden="1" customHeight="1" outlineLevel="1" collapsed="1" thickBot="1" x14ac:dyDescent="0.3">
      <c r="A24" s="559" t="s">
        <v>174</v>
      </c>
      <c r="B24" s="561"/>
    </row>
    <row r="25" spans="1:6" s="110" customFormat="1" ht="20.149999999999999" hidden="1" customHeight="1" outlineLevel="2" x14ac:dyDescent="0.25">
      <c r="A25" s="199" t="s">
        <v>445</v>
      </c>
      <c r="B25" s="200" t="s">
        <v>475</v>
      </c>
    </row>
    <row r="26" spans="1:6" s="110" customFormat="1" ht="20.149999999999999" hidden="1" customHeight="1" outlineLevel="2" x14ac:dyDescent="0.25">
      <c r="A26" s="22" t="s">
        <v>462</v>
      </c>
      <c r="B26" s="691">
        <v>100</v>
      </c>
    </row>
    <row r="27" spans="1:6" s="110" customFormat="1" ht="20.149999999999999" hidden="1" customHeight="1" outlineLevel="2" x14ac:dyDescent="0.25">
      <c r="A27" s="22" t="s">
        <v>472</v>
      </c>
      <c r="B27" s="607">
        <f>12*B26</f>
        <v>1200</v>
      </c>
    </row>
    <row r="28" spans="1:6" s="110" customFormat="1" ht="20.149999999999999" hidden="1" customHeight="1" outlineLevel="2" x14ac:dyDescent="0.25">
      <c r="A28" s="22" t="s">
        <v>473</v>
      </c>
      <c r="B28" s="691">
        <v>100</v>
      </c>
    </row>
    <row r="29" spans="1:6" s="110" customFormat="1" ht="20.149999999999999" hidden="1" customHeight="1" outlineLevel="2" x14ac:dyDescent="0.25">
      <c r="A29" s="22" t="s">
        <v>353</v>
      </c>
      <c r="B29" s="607">
        <f>B26/3</f>
        <v>33.333333333333336</v>
      </c>
    </row>
    <row r="30" spans="1:6" s="110" customFormat="1" ht="20.149999999999999" hidden="1" customHeight="1" outlineLevel="2" x14ac:dyDescent="0.25">
      <c r="A30" s="193" t="s">
        <v>484</v>
      </c>
      <c r="B30" s="202">
        <f>B27+B28+B29</f>
        <v>1333.3333333333333</v>
      </c>
    </row>
    <row r="31" spans="1:6" s="110" customFormat="1" ht="20.149999999999999" hidden="1" customHeight="1" outlineLevel="2" x14ac:dyDescent="0.25">
      <c r="A31" s="22" t="s">
        <v>483</v>
      </c>
      <c r="B31" s="607">
        <f>0.08*B30</f>
        <v>106.66666666666666</v>
      </c>
    </row>
    <row r="32" spans="1:6" s="110" customFormat="1" ht="20.149999999999999" hidden="1" customHeight="1" outlineLevel="2" x14ac:dyDescent="0.25">
      <c r="A32" s="22" t="s">
        <v>482</v>
      </c>
      <c r="B32" s="607">
        <f>0.4*B31</f>
        <v>42.666666666666664</v>
      </c>
    </row>
    <row r="33" spans="1:2" s="110" customFormat="1" ht="20.149999999999999" hidden="1" customHeight="1" outlineLevel="2" x14ac:dyDescent="0.25">
      <c r="A33" s="193" t="s">
        <v>481</v>
      </c>
      <c r="B33" s="202">
        <f>SUM(B27,B28,B29,B31,B32)</f>
        <v>1482.6666666666667</v>
      </c>
    </row>
    <row r="34" spans="1:2" s="110" customFormat="1" ht="20.149999999999999" hidden="1" customHeight="1" outlineLevel="2" x14ac:dyDescent="0.25">
      <c r="A34" s="22" t="s">
        <v>575</v>
      </c>
      <c r="B34" s="607">
        <f>0.027*B30</f>
        <v>36</v>
      </c>
    </row>
    <row r="35" spans="1:2" s="110" customFormat="1" ht="20.149999999999999" hidden="1" customHeight="1" outlineLevel="2" x14ac:dyDescent="0.25">
      <c r="A35" s="22" t="s">
        <v>576</v>
      </c>
      <c r="B35" s="607">
        <v>4.032</v>
      </c>
    </row>
    <row r="36" spans="1:2" s="110" customFormat="1" ht="20.149999999999999" hidden="1" customHeight="1" outlineLevel="2" x14ac:dyDescent="0.25">
      <c r="A36" s="193" t="s">
        <v>485</v>
      </c>
      <c r="B36" s="202">
        <f>B33+B34+B35</f>
        <v>1522.6986666666667</v>
      </c>
    </row>
    <row r="37" spans="1:2" s="110" customFormat="1" ht="20.149999999999999" hidden="1" customHeight="1" outlineLevel="2" thickBot="1" x14ac:dyDescent="0.3">
      <c r="A37" s="683" t="s">
        <v>477</v>
      </c>
      <c r="B37" s="684">
        <f>B36/12/100</f>
        <v>1.2689155555555556</v>
      </c>
    </row>
    <row r="38" spans="1:2" s="110" customFormat="1" ht="20.149999999999999" hidden="1" customHeight="1" outlineLevel="2" thickBot="1" x14ac:dyDescent="0.3"/>
    <row r="39" spans="1:2" s="110" customFormat="1" ht="20.149999999999999" hidden="1" customHeight="1" outlineLevel="1" collapsed="1" thickBot="1" x14ac:dyDescent="0.3">
      <c r="A39" s="559" t="s">
        <v>570</v>
      </c>
      <c r="B39" s="561"/>
    </row>
    <row r="40" spans="1:2" s="110" customFormat="1" ht="20.149999999999999" hidden="1" customHeight="1" outlineLevel="2" x14ac:dyDescent="0.25">
      <c r="A40" s="199" t="s">
        <v>445</v>
      </c>
      <c r="B40" s="200" t="s">
        <v>475</v>
      </c>
    </row>
    <row r="41" spans="1:2" s="110" customFormat="1" ht="20.149999999999999" hidden="1" customHeight="1" outlineLevel="2" x14ac:dyDescent="0.25">
      <c r="A41" s="174" t="s">
        <v>478</v>
      </c>
      <c r="B41" s="607">
        <f>B6*(F10+1)*1.5</f>
        <v>2889.3207199999997</v>
      </c>
    </row>
    <row r="42" spans="1:2" s="110" customFormat="1" ht="20.149999999999999" hidden="1" customHeight="1" outlineLevel="2" x14ac:dyDescent="0.25">
      <c r="A42" s="174" t="s">
        <v>479</v>
      </c>
      <c r="B42" s="691">
        <v>13500</v>
      </c>
    </row>
    <row r="43" spans="1:2" s="110" customFormat="1" ht="20.149999999999999" hidden="1" customHeight="1" outlineLevel="2" x14ac:dyDescent="0.25">
      <c r="A43" s="174" t="s">
        <v>480</v>
      </c>
      <c r="B43" s="691">
        <v>800</v>
      </c>
    </row>
    <row r="44" spans="1:2" s="110" customFormat="1" ht="20.149999999999999" hidden="1" customHeight="1" outlineLevel="2" x14ac:dyDescent="0.25">
      <c r="A44" s="201" t="s">
        <v>44</v>
      </c>
      <c r="B44" s="202">
        <f>SUM(B41:B43)</f>
        <v>17189.32072</v>
      </c>
    </row>
    <row r="45" spans="1:2" s="110" customFormat="1" ht="20.149999999999999" hidden="1" customHeight="1" outlineLevel="2" x14ac:dyDescent="0.25">
      <c r="A45" s="174" t="s">
        <v>465</v>
      </c>
      <c r="B45" s="607">
        <f>B44/21/(50)</f>
        <v>16.370781638095238</v>
      </c>
    </row>
    <row r="46" spans="1:2" s="110" customFormat="1" ht="20.149999999999999" hidden="1" customHeight="1" outlineLevel="2" thickBot="1" x14ac:dyDescent="0.3">
      <c r="A46" s="683" t="s">
        <v>477</v>
      </c>
      <c r="B46" s="684">
        <v>17</v>
      </c>
    </row>
    <row r="47" spans="1:2" s="110" customFormat="1" ht="20.149999999999999" hidden="1" customHeight="1" outlineLevel="2" x14ac:dyDescent="0.25">
      <c r="A47" s="741" t="s">
        <v>562</v>
      </c>
      <c r="B47" s="742"/>
    </row>
    <row r="48" spans="1:2" s="110" customFormat="1" ht="20.149999999999999" hidden="1" customHeight="1" outlineLevel="2" thickBot="1" x14ac:dyDescent="0.3"/>
    <row r="49" spans="1:5" s="110" customFormat="1" ht="20.149999999999999" hidden="1" customHeight="1" outlineLevel="1" collapsed="1" thickBot="1" x14ac:dyDescent="0.3">
      <c r="A49" s="559" t="s">
        <v>354</v>
      </c>
      <c r="B49" s="561"/>
    </row>
    <row r="50" spans="1:5" s="110" customFormat="1" ht="20.149999999999999" hidden="1" customHeight="1" outlineLevel="2" x14ac:dyDescent="0.25">
      <c r="A50" s="199" t="s">
        <v>445</v>
      </c>
      <c r="B50" s="200" t="s">
        <v>475</v>
      </c>
    </row>
    <row r="51" spans="1:5" s="110" customFormat="1" ht="20.149999999999999" hidden="1" customHeight="1" outlineLevel="2" x14ac:dyDescent="0.25">
      <c r="A51" s="174" t="s">
        <v>355</v>
      </c>
      <c r="B51" s="692">
        <v>1.7</v>
      </c>
    </row>
    <row r="52" spans="1:5" s="110" customFormat="1" ht="20.149999999999999" hidden="1" customHeight="1" outlineLevel="2" x14ac:dyDescent="0.25">
      <c r="A52" s="174" t="s">
        <v>356</v>
      </c>
      <c r="B52" s="692">
        <v>0.1</v>
      </c>
    </row>
    <row r="53" spans="1:5" s="110" customFormat="1" ht="20.149999999999999" hidden="1" customHeight="1" outlineLevel="2" x14ac:dyDescent="0.25">
      <c r="A53" s="174" t="s">
        <v>357</v>
      </c>
      <c r="B53" s="692">
        <v>0.25</v>
      </c>
    </row>
    <row r="54" spans="1:5" s="110" customFormat="1" ht="20.149999999999999" hidden="1" customHeight="1" outlineLevel="2" thickBot="1" x14ac:dyDescent="0.3">
      <c r="A54" s="683" t="s">
        <v>461</v>
      </c>
      <c r="B54" s="684">
        <f>SUM(B51:B53)</f>
        <v>2.0499999999999998</v>
      </c>
    </row>
    <row r="55" spans="1:5" s="110" customFormat="1" ht="13" hidden="1" outlineLevel="1" thickBot="1" x14ac:dyDescent="0.3"/>
    <row r="56" spans="1:5" s="563" customFormat="1" ht="30" customHeight="1" collapsed="1" thickBot="1" x14ac:dyDescent="0.3">
      <c r="A56" s="555" t="s">
        <v>450</v>
      </c>
      <c r="B56" s="568"/>
    </row>
    <row r="57" spans="1:5" s="15" customFormat="1" ht="20.149999999999999" hidden="1" customHeight="1" outlineLevel="1" thickBot="1" x14ac:dyDescent="0.3">
      <c r="A57" s="275" t="s">
        <v>445</v>
      </c>
      <c r="B57" s="211" t="s">
        <v>446</v>
      </c>
      <c r="C57" s="211" t="s">
        <v>447</v>
      </c>
      <c r="D57" s="211" t="s">
        <v>448</v>
      </c>
      <c r="E57" s="212" t="s">
        <v>245</v>
      </c>
    </row>
    <row r="58" spans="1:5" s="110" customFormat="1" ht="20.149999999999999" hidden="1" customHeight="1" outlineLevel="1" x14ac:dyDescent="0.25">
      <c r="A58" s="173" t="s">
        <v>451</v>
      </c>
      <c r="B58" s="610">
        <f>1.8*B6*(B10+1)</f>
        <v>3467.1848640000003</v>
      </c>
      <c r="C58" s="610">
        <f>1.8*C6*(C10+1)</f>
        <v>3467.1848640000003</v>
      </c>
      <c r="D58" s="610">
        <f>1.4*D6*(D10+1)</f>
        <v>2696.6993386666663</v>
      </c>
      <c r="E58" s="743">
        <f>1.4*E6*(E10+1)</f>
        <v>2696.6993386666663</v>
      </c>
    </row>
    <row r="59" spans="1:5" s="110" customFormat="1" ht="20.149999999999999" hidden="1" customHeight="1" outlineLevel="1" x14ac:dyDescent="0.25">
      <c r="A59" s="174" t="s">
        <v>452</v>
      </c>
      <c r="B59" s="203">
        <f>2.4*B6*(B10+1)</f>
        <v>4622.9131520000001</v>
      </c>
      <c r="C59" s="203">
        <f>2.4*C6*(C10+1)</f>
        <v>4622.9131520000001</v>
      </c>
      <c r="D59" s="203">
        <f>2*D6*(D10+1)</f>
        <v>3852.4276266666666</v>
      </c>
      <c r="E59" s="175">
        <f>2*E6*(E10+1)</f>
        <v>3852.4276266666666</v>
      </c>
    </row>
    <row r="60" spans="1:5" s="110" customFormat="1" ht="20.149999999999999" hidden="1" customHeight="1" outlineLevel="1" x14ac:dyDescent="0.25">
      <c r="A60" s="174" t="s">
        <v>453</v>
      </c>
      <c r="B60" s="203">
        <f>2.1*B6*(B10+1)</f>
        <v>4045.0490080000004</v>
      </c>
      <c r="C60" s="203">
        <f>2.1*C6*(C10+1)</f>
        <v>4045.0490080000004</v>
      </c>
      <c r="D60" s="203"/>
      <c r="E60" s="175"/>
    </row>
    <row r="61" spans="1:5" s="110" customFormat="1" ht="20.149999999999999" hidden="1" customHeight="1" outlineLevel="1" x14ac:dyDescent="0.25">
      <c r="A61" s="174" t="s">
        <v>454</v>
      </c>
      <c r="B61" s="203">
        <f>B6*1.5</f>
        <v>2277</v>
      </c>
      <c r="C61" s="203">
        <f>C6*1.5</f>
        <v>2277</v>
      </c>
      <c r="D61" s="203">
        <f>D6*1.5</f>
        <v>2277</v>
      </c>
      <c r="E61" s="175">
        <f>E6*1.2</f>
        <v>1821.6</v>
      </c>
    </row>
    <row r="62" spans="1:5" s="110" customFormat="1" ht="20.149999999999999" hidden="1" customHeight="1" outlineLevel="1" x14ac:dyDescent="0.25">
      <c r="A62" s="174" t="s">
        <v>455</v>
      </c>
      <c r="B62" s="203">
        <f>1.5*2900+200</f>
        <v>4550</v>
      </c>
      <c r="C62" s="203">
        <f>1.5*2900+200</f>
        <v>4550</v>
      </c>
      <c r="D62" s="203">
        <f>1.5*2900+200</f>
        <v>4550</v>
      </c>
      <c r="E62" s="175">
        <f>1.5*2900+200</f>
        <v>4550</v>
      </c>
    </row>
    <row r="63" spans="1:5" s="110" customFormat="1" ht="20.149999999999999" hidden="1" customHeight="1" outlineLevel="1" x14ac:dyDescent="0.25">
      <c r="A63" s="174" t="s">
        <v>456</v>
      </c>
      <c r="B63" s="689">
        <v>3000</v>
      </c>
      <c r="C63" s="689">
        <v>3000</v>
      </c>
      <c r="D63" s="689">
        <v>600</v>
      </c>
      <c r="E63" s="692">
        <v>350</v>
      </c>
    </row>
    <row r="64" spans="1:5" s="110" customFormat="1" ht="20.149999999999999" hidden="1" customHeight="1" outlineLevel="1" x14ac:dyDescent="0.25">
      <c r="A64" s="174" t="s">
        <v>67</v>
      </c>
      <c r="B64" s="203">
        <f>B6*1.5</f>
        <v>2277</v>
      </c>
      <c r="C64" s="203">
        <f>C6*1.5</f>
        <v>2277</v>
      </c>
      <c r="D64" s="203">
        <f>D6</f>
        <v>1518</v>
      </c>
      <c r="E64" s="175">
        <f>E6</f>
        <v>1518</v>
      </c>
    </row>
    <row r="65" spans="1:5" s="110" customFormat="1" ht="20.149999999999999" hidden="1" customHeight="1" outlineLevel="1" x14ac:dyDescent="0.25">
      <c r="A65" s="174" t="s">
        <v>457</v>
      </c>
      <c r="B65" s="203">
        <f>2*B6</f>
        <v>3036</v>
      </c>
      <c r="C65" s="203">
        <f>2*C6</f>
        <v>3036</v>
      </c>
      <c r="D65" s="203">
        <f>D6</f>
        <v>1518</v>
      </c>
      <c r="E65" s="175">
        <f>E6</f>
        <v>1518</v>
      </c>
    </row>
    <row r="66" spans="1:5" s="110" customFormat="1" ht="20.149999999999999" hidden="1" customHeight="1" outlineLevel="1" x14ac:dyDescent="0.25">
      <c r="A66" s="174" t="s">
        <v>175</v>
      </c>
      <c r="B66" s="203">
        <f>SUM(B58:B65)</f>
        <v>27275.147023999998</v>
      </c>
      <c r="C66" s="203">
        <f>SUM(C58:C65)</f>
        <v>27275.147023999998</v>
      </c>
      <c r="D66" s="203">
        <f>SUM(D58:D65)</f>
        <v>17012.126965333333</v>
      </c>
      <c r="E66" s="175">
        <f>SUM(E58:E65)</f>
        <v>16306.726965333333</v>
      </c>
    </row>
    <row r="67" spans="1:5" s="110" customFormat="1" ht="20.149999999999999" hidden="1" customHeight="1" outlineLevel="1" thickBot="1" x14ac:dyDescent="0.3">
      <c r="A67" s="680" t="s">
        <v>458</v>
      </c>
      <c r="B67" s="685">
        <f>B66*12/(200)</f>
        <v>1636.5088214399998</v>
      </c>
      <c r="C67" s="685">
        <f>C66*12/(200)</f>
        <v>1636.5088214399998</v>
      </c>
      <c r="D67" s="685">
        <f>D66*12/(200)/2</f>
        <v>510.36380896000003</v>
      </c>
      <c r="E67" s="684">
        <f>E66*12/(200)</f>
        <v>978.40361791999999</v>
      </c>
    </row>
    <row r="68" spans="1:5" s="110" customFormat="1" ht="20.149999999999999" hidden="1" customHeight="1" outlineLevel="1" x14ac:dyDescent="0.25">
      <c r="A68" s="1172" t="s">
        <v>449</v>
      </c>
      <c r="B68" s="1172"/>
      <c r="C68" s="1172"/>
      <c r="D68" s="1172"/>
      <c r="E68" s="1172"/>
    </row>
    <row r="69" spans="1:5" s="110" customFormat="1" ht="20.149999999999999" hidden="1" customHeight="1" outlineLevel="1" x14ac:dyDescent="0.25">
      <c r="A69" s="1173"/>
      <c r="B69" s="1173"/>
      <c r="C69" s="1173"/>
      <c r="D69" s="1173"/>
      <c r="E69" s="1173"/>
    </row>
    <row r="70" spans="1:5" ht="13.5" hidden="1" outlineLevel="1" thickBot="1" x14ac:dyDescent="0.3">
      <c r="A70" s="570"/>
      <c r="B70" s="570"/>
      <c r="C70" s="570"/>
      <c r="D70" s="570"/>
      <c r="E70" s="570"/>
    </row>
    <row r="71" spans="1:5" s="563" customFormat="1" ht="30" customHeight="1" thickBot="1" x14ac:dyDescent="0.3">
      <c r="A71" s="555" t="s">
        <v>266</v>
      </c>
      <c r="B71" s="568"/>
    </row>
    <row r="72" spans="1:5" s="110" customFormat="1" ht="20.149999999999999" customHeight="1" outlineLevel="1" collapsed="1" thickBot="1" x14ac:dyDescent="0.3">
      <c r="A72" s="559" t="s">
        <v>459</v>
      </c>
      <c r="B72" s="560"/>
      <c r="C72" s="588"/>
      <c r="D72" s="588"/>
      <c r="E72" s="589"/>
    </row>
    <row r="73" spans="1:5" s="571" customFormat="1" ht="20.149999999999999" hidden="1" customHeight="1" outlineLevel="2" x14ac:dyDescent="0.25">
      <c r="A73" s="184" t="s">
        <v>445</v>
      </c>
      <c r="B73" s="185" t="s">
        <v>446</v>
      </c>
      <c r="C73" s="185" t="s">
        <v>447</v>
      </c>
      <c r="D73" s="185" t="s">
        <v>448</v>
      </c>
      <c r="E73" s="186" t="s">
        <v>245</v>
      </c>
    </row>
    <row r="74" spans="1:5" s="110" customFormat="1" ht="20.149999999999999" hidden="1" customHeight="1" outlineLevel="2" x14ac:dyDescent="0.25">
      <c r="A74" s="22" t="s">
        <v>462</v>
      </c>
      <c r="B74" s="606">
        <f>B6</f>
        <v>1518</v>
      </c>
      <c r="C74" s="608">
        <f>C6</f>
        <v>1518</v>
      </c>
      <c r="D74" s="606">
        <f>D6</f>
        <v>1518</v>
      </c>
      <c r="E74" s="607">
        <f>E6</f>
        <v>1518</v>
      </c>
    </row>
    <row r="75" spans="1:5" s="110" customFormat="1" ht="20.149999999999999" hidden="1" customHeight="1" outlineLevel="2" x14ac:dyDescent="0.25">
      <c r="A75" s="22" t="s">
        <v>463</v>
      </c>
      <c r="B75" s="606">
        <f>0.45*B74</f>
        <v>683.1</v>
      </c>
      <c r="C75" s="608">
        <f>0.3*C74</f>
        <v>455.4</v>
      </c>
      <c r="D75" s="606">
        <f>0.45*D74</f>
        <v>683.1</v>
      </c>
      <c r="E75" s="607">
        <f>0.45*E74</f>
        <v>683.1</v>
      </c>
    </row>
    <row r="76" spans="1:5" s="110" customFormat="1" ht="20.149999999999999" hidden="1" customHeight="1" outlineLevel="2" x14ac:dyDescent="0.25">
      <c r="A76" s="22" t="s">
        <v>174</v>
      </c>
      <c r="B76" s="606">
        <f>(B74+B75)*(B10)</f>
        <v>591.91002933333334</v>
      </c>
      <c r="C76" s="608">
        <f>(C74+C75)*(C10)</f>
        <v>530.67795733333344</v>
      </c>
      <c r="D76" s="606">
        <f>(D74+D75)*(D10)</f>
        <v>591.91002933333334</v>
      </c>
      <c r="E76" s="607">
        <f>(E74+E75)*(E10)</f>
        <v>591.91002933333334</v>
      </c>
    </row>
    <row r="77" spans="1:5" s="110" customFormat="1" ht="20.149999999999999" hidden="1" customHeight="1" outlineLevel="2" x14ac:dyDescent="0.25">
      <c r="A77" s="22" t="s">
        <v>464</v>
      </c>
      <c r="B77" s="606">
        <f>SUM(B74:B76)</f>
        <v>2793.0100293333335</v>
      </c>
      <c r="C77" s="608">
        <f>SUM(C74:C76)</f>
        <v>2504.0779573333334</v>
      </c>
      <c r="D77" s="606">
        <f>SUM(D74:D76)</f>
        <v>2793.0100293333335</v>
      </c>
      <c r="E77" s="607">
        <f>SUM(E74:E76)</f>
        <v>2793.0100293333335</v>
      </c>
    </row>
    <row r="78" spans="1:5" s="110" customFormat="1" ht="20.149999999999999" hidden="1" customHeight="1" outlineLevel="2" x14ac:dyDescent="0.25">
      <c r="A78" s="22" t="s">
        <v>42</v>
      </c>
      <c r="B78" s="690">
        <v>100</v>
      </c>
      <c r="C78" s="693">
        <v>100</v>
      </c>
      <c r="D78" s="690">
        <v>100</v>
      </c>
      <c r="E78" s="691">
        <v>100</v>
      </c>
    </row>
    <row r="79" spans="1:5" s="110" customFormat="1" ht="20.149999999999999" hidden="1" customHeight="1" outlineLevel="2" x14ac:dyDescent="0.25">
      <c r="A79" s="22" t="s">
        <v>73</v>
      </c>
      <c r="B79" s="690">
        <v>85</v>
      </c>
      <c r="C79" s="693">
        <v>85</v>
      </c>
      <c r="D79" s="690">
        <v>85</v>
      </c>
      <c r="E79" s="691">
        <v>85</v>
      </c>
    </row>
    <row r="80" spans="1:5" s="110" customFormat="1" ht="20.149999999999999" hidden="1" customHeight="1" outlineLevel="2" x14ac:dyDescent="0.25">
      <c r="A80" s="22" t="s">
        <v>44</v>
      </c>
      <c r="B80" s="606">
        <f>B77+B78+B79</f>
        <v>2978.0100293333335</v>
      </c>
      <c r="C80" s="608">
        <f>C77+C78+C79</f>
        <v>2689.0779573333334</v>
      </c>
      <c r="D80" s="606">
        <f>D77+D78+D79</f>
        <v>2978.0100293333335</v>
      </c>
      <c r="E80" s="607">
        <f>E77+E78+E79</f>
        <v>2978.0100293333335</v>
      </c>
    </row>
    <row r="81" spans="1:5" s="110" customFormat="1" ht="20.149999999999999" hidden="1" customHeight="1" outlineLevel="2" x14ac:dyDescent="0.25">
      <c r="A81" s="22" t="s">
        <v>465</v>
      </c>
      <c r="B81" s="606">
        <f>B80/21</f>
        <v>141.81000139682541</v>
      </c>
      <c r="C81" s="608">
        <f>C80/21</f>
        <v>128.05133130158731</v>
      </c>
      <c r="D81" s="606">
        <f>D80/21</f>
        <v>141.81000139682541</v>
      </c>
      <c r="E81" s="607">
        <f>E80/21</f>
        <v>141.81000139682541</v>
      </c>
    </row>
    <row r="82" spans="1:5" s="110" customFormat="1" ht="20.149999999999999" hidden="1" customHeight="1" outlineLevel="2" x14ac:dyDescent="0.25">
      <c r="A82" s="22" t="s">
        <v>65</v>
      </c>
      <c r="B82" s="606">
        <f>B46</f>
        <v>17</v>
      </c>
      <c r="C82" s="608">
        <f>B46</f>
        <v>17</v>
      </c>
      <c r="D82" s="606">
        <f>B46</f>
        <v>17</v>
      </c>
      <c r="E82" s="607">
        <f>B46</f>
        <v>17</v>
      </c>
    </row>
    <row r="83" spans="1:5" s="110" customFormat="1" ht="20.149999999999999" hidden="1" customHeight="1" outlineLevel="2" x14ac:dyDescent="0.25">
      <c r="A83" s="22" t="s">
        <v>44</v>
      </c>
      <c r="B83" s="606">
        <f>B81+B82</f>
        <v>158.81000139682541</v>
      </c>
      <c r="C83" s="608">
        <f>C81+C82</f>
        <v>145.05133130158731</v>
      </c>
      <c r="D83" s="606">
        <f>D81+D82</f>
        <v>158.81000139682541</v>
      </c>
      <c r="E83" s="607">
        <f>E81+E82</f>
        <v>158.81000139682541</v>
      </c>
    </row>
    <row r="84" spans="1:5" s="110" customFormat="1" ht="20.149999999999999" hidden="1" customHeight="1" outlineLevel="2" thickBot="1" x14ac:dyDescent="0.3">
      <c r="A84" s="683" t="s">
        <v>477</v>
      </c>
      <c r="B84" s="681">
        <v>160</v>
      </c>
      <c r="C84" s="681">
        <v>145</v>
      </c>
      <c r="D84" s="681">
        <v>159</v>
      </c>
      <c r="E84" s="682">
        <v>159</v>
      </c>
    </row>
    <row r="85" spans="1:5" s="110" customFormat="1" ht="20.149999999999999" hidden="1" customHeight="1" outlineLevel="2" thickBot="1" x14ac:dyDescent="0.3"/>
    <row r="86" spans="1:5" s="110" customFormat="1" ht="20.149999999999999" customHeight="1" outlineLevel="1" collapsed="1" thickBot="1" x14ac:dyDescent="0.3">
      <c r="A86" s="559" t="s">
        <v>460</v>
      </c>
      <c r="B86" s="560"/>
      <c r="C86" s="588"/>
      <c r="D86" s="588"/>
      <c r="E86" s="589"/>
    </row>
    <row r="87" spans="1:5" s="110" customFormat="1" ht="20.149999999999999" hidden="1" customHeight="1" outlineLevel="2" x14ac:dyDescent="0.25">
      <c r="A87" s="184" t="s">
        <v>445</v>
      </c>
      <c r="B87" s="185" t="s">
        <v>446</v>
      </c>
      <c r="C87" s="197" t="s">
        <v>447</v>
      </c>
      <c r="D87" s="185" t="s">
        <v>448</v>
      </c>
      <c r="E87" s="186" t="s">
        <v>245</v>
      </c>
    </row>
    <row r="88" spans="1:5" s="110" customFormat="1" ht="20.149999999999999" hidden="1" customHeight="1" outlineLevel="2" x14ac:dyDescent="0.25">
      <c r="A88" s="66" t="s">
        <v>462</v>
      </c>
      <c r="B88" s="606">
        <f>B6</f>
        <v>1518</v>
      </c>
      <c r="C88" s="611">
        <f>C6</f>
        <v>1518</v>
      </c>
      <c r="D88" s="606"/>
      <c r="E88" s="607"/>
    </row>
    <row r="89" spans="1:5" s="110" customFormat="1" ht="20.149999999999999" hidden="1" customHeight="1" outlineLevel="2" x14ac:dyDescent="0.25">
      <c r="A89" s="66" t="s">
        <v>463</v>
      </c>
      <c r="B89" s="606">
        <f>0.6*B88</f>
        <v>910.8</v>
      </c>
      <c r="C89" s="611">
        <f>0.45*C88</f>
        <v>683.1</v>
      </c>
      <c r="D89" s="606"/>
      <c r="E89" s="607"/>
    </row>
    <row r="90" spans="1:5" s="110" customFormat="1" ht="20.149999999999999" hidden="1" customHeight="1" outlineLevel="2" x14ac:dyDescent="0.25">
      <c r="A90" s="66" t="s">
        <v>174</v>
      </c>
      <c r="B90" s="606">
        <f>(B88+B89)*(B10)</f>
        <v>653.14210133333347</v>
      </c>
      <c r="C90" s="611">
        <f>(C88+C89)*(C10)</f>
        <v>591.91002933333334</v>
      </c>
      <c r="D90" s="606"/>
      <c r="E90" s="607"/>
    </row>
    <row r="91" spans="1:5" s="110" customFormat="1" ht="20.149999999999999" hidden="1" customHeight="1" outlineLevel="2" x14ac:dyDescent="0.25">
      <c r="A91" s="66" t="s">
        <v>464</v>
      </c>
      <c r="B91" s="606">
        <f>B88+B89+B90</f>
        <v>3081.9421013333335</v>
      </c>
      <c r="C91" s="611">
        <f>C88+C89+C90</f>
        <v>2793.0100293333335</v>
      </c>
      <c r="D91" s="606"/>
      <c r="E91" s="607"/>
    </row>
    <row r="92" spans="1:5" s="110" customFormat="1" ht="20.149999999999999" hidden="1" customHeight="1" outlineLevel="2" x14ac:dyDescent="0.25">
      <c r="A92" s="66" t="s">
        <v>42</v>
      </c>
      <c r="B92" s="690">
        <v>100</v>
      </c>
      <c r="C92" s="694">
        <v>100</v>
      </c>
      <c r="D92" s="606"/>
      <c r="E92" s="607"/>
    </row>
    <row r="93" spans="1:5" s="110" customFormat="1" ht="20.149999999999999" hidden="1" customHeight="1" outlineLevel="2" x14ac:dyDescent="0.25">
      <c r="A93" s="66" t="s">
        <v>466</v>
      </c>
      <c r="B93" s="690">
        <v>85</v>
      </c>
      <c r="C93" s="694">
        <v>85</v>
      </c>
      <c r="D93" s="606"/>
      <c r="E93" s="607"/>
    </row>
    <row r="94" spans="1:5" s="110" customFormat="1" ht="20.149999999999999" hidden="1" customHeight="1" outlineLevel="2" x14ac:dyDescent="0.25">
      <c r="A94" s="66" t="s">
        <v>44</v>
      </c>
      <c r="B94" s="606">
        <f>B91+B92+B93</f>
        <v>3266.9421013333335</v>
      </c>
      <c r="C94" s="611">
        <f>C91+C92+C93</f>
        <v>2978.0100293333335</v>
      </c>
      <c r="D94" s="606"/>
      <c r="E94" s="607"/>
    </row>
    <row r="95" spans="1:5" s="110" customFormat="1" ht="20.149999999999999" hidden="1" customHeight="1" outlineLevel="2" x14ac:dyDescent="0.25">
      <c r="A95" s="66" t="s">
        <v>465</v>
      </c>
      <c r="B95" s="606">
        <f>B91/21</f>
        <v>146.75914768253969</v>
      </c>
      <c r="C95" s="611">
        <f>C91/21</f>
        <v>133.00047758730159</v>
      </c>
      <c r="D95" s="606"/>
      <c r="E95" s="607"/>
    </row>
    <row r="96" spans="1:5" s="110" customFormat="1" ht="20.149999999999999" hidden="1" customHeight="1" outlineLevel="2" x14ac:dyDescent="0.25">
      <c r="A96" s="66" t="s">
        <v>65</v>
      </c>
      <c r="B96" s="606">
        <f>B46</f>
        <v>17</v>
      </c>
      <c r="C96" s="611">
        <f>B46</f>
        <v>17</v>
      </c>
      <c r="D96" s="606"/>
      <c r="E96" s="607"/>
    </row>
    <row r="97" spans="1:6" s="110" customFormat="1" ht="20.149999999999999" hidden="1" customHeight="1" outlineLevel="2" x14ac:dyDescent="0.25">
      <c r="A97" s="66" t="s">
        <v>44</v>
      </c>
      <c r="B97" s="606">
        <f>B95+B96</f>
        <v>163.75914768253969</v>
      </c>
      <c r="C97" s="611">
        <f>C95+C96</f>
        <v>150.00047758730159</v>
      </c>
      <c r="D97" s="606"/>
      <c r="E97" s="607"/>
    </row>
    <row r="98" spans="1:6" s="110" customFormat="1" ht="20.149999999999999" hidden="1" customHeight="1" outlineLevel="2" thickBot="1" x14ac:dyDescent="0.3">
      <c r="A98" s="683" t="s">
        <v>477</v>
      </c>
      <c r="B98" s="681">
        <v>165</v>
      </c>
      <c r="C98" s="686">
        <v>150</v>
      </c>
      <c r="D98" s="681"/>
      <c r="E98" s="682"/>
    </row>
    <row r="99" spans="1:6" s="110" customFormat="1" ht="20.149999999999999" customHeight="1" outlineLevel="1" x14ac:dyDescent="0.25"/>
    <row r="100" spans="1:6" s="110" customFormat="1" ht="20.149999999999999" customHeight="1" outlineLevel="1" x14ac:dyDescent="0.25"/>
    <row r="101" spans="1:6" s="110" customFormat="1" ht="13" outlineLevel="1" thickBot="1" x14ac:dyDescent="0.3"/>
    <row r="102" spans="1:6" s="563" customFormat="1" ht="30" customHeight="1" thickBot="1" x14ac:dyDescent="0.3">
      <c r="A102" s="555" t="s">
        <v>471</v>
      </c>
      <c r="B102" s="568"/>
    </row>
    <row r="103" spans="1:6" s="110" customFormat="1" ht="20.149999999999999" customHeight="1" outlineLevel="1" thickBot="1" x14ac:dyDescent="0.3">
      <c r="A103" s="547" t="s">
        <v>440</v>
      </c>
      <c r="B103" s="548"/>
      <c r="C103" s="548"/>
      <c r="D103" s="548"/>
      <c r="E103" s="548"/>
      <c r="F103" s="549"/>
    </row>
    <row r="104" spans="1:6" s="110" customFormat="1" ht="20.149999999999999" customHeight="1" outlineLevel="2" x14ac:dyDescent="0.25">
      <c r="A104" s="485" t="s">
        <v>445</v>
      </c>
      <c r="B104" s="484" t="s">
        <v>13</v>
      </c>
      <c r="C104" s="484" t="s">
        <v>91</v>
      </c>
      <c r="D104" s="484" t="s">
        <v>97</v>
      </c>
      <c r="E104" s="484" t="s">
        <v>98</v>
      </c>
      <c r="F104" s="180" t="s">
        <v>120</v>
      </c>
    </row>
    <row r="105" spans="1:6" s="110" customFormat="1" ht="20.149999999999999" customHeight="1" outlineLevel="2" x14ac:dyDescent="0.25">
      <c r="A105" s="22" t="s">
        <v>54</v>
      </c>
      <c r="B105" s="12" t="s">
        <v>9</v>
      </c>
      <c r="C105" s="689">
        <v>22500</v>
      </c>
      <c r="D105" s="689">
        <v>1</v>
      </c>
      <c r="E105" s="203">
        <f>C105*D105</f>
        <v>22500</v>
      </c>
      <c r="F105" s="175">
        <f>0.01*E105</f>
        <v>225</v>
      </c>
    </row>
    <row r="106" spans="1:6" s="110" customFormat="1" ht="20.149999999999999" customHeight="1" outlineLevel="2" x14ac:dyDescent="0.25">
      <c r="A106" s="22" t="s">
        <v>85</v>
      </c>
      <c r="B106" s="12" t="s">
        <v>88</v>
      </c>
      <c r="C106" s="689">
        <v>680</v>
      </c>
      <c r="D106" s="689">
        <v>3.23</v>
      </c>
      <c r="E106" s="203">
        <f>C106*D106</f>
        <v>2196.4</v>
      </c>
      <c r="F106" s="175">
        <f>0.01*E106</f>
        <v>21.964000000000002</v>
      </c>
    </row>
    <row r="107" spans="1:6" s="110" customFormat="1" ht="20.149999999999999" customHeight="1" outlineLevel="2" x14ac:dyDescent="0.25">
      <c r="A107" s="22" t="s">
        <v>89</v>
      </c>
      <c r="B107" s="12" t="s">
        <v>88</v>
      </c>
      <c r="C107" s="689">
        <v>530</v>
      </c>
      <c r="D107" s="689">
        <v>3.9</v>
      </c>
      <c r="E107" s="203">
        <f>C107*D107</f>
        <v>2067</v>
      </c>
      <c r="F107" s="175">
        <f>0.01*E107</f>
        <v>20.67</v>
      </c>
    </row>
    <row r="108" spans="1:6" s="110" customFormat="1" ht="20.149999999999999" customHeight="1" outlineLevel="2" x14ac:dyDescent="0.25">
      <c r="A108" s="22" t="s">
        <v>55</v>
      </c>
      <c r="B108" s="12" t="s">
        <v>88</v>
      </c>
      <c r="C108" s="689">
        <v>500</v>
      </c>
      <c r="D108" s="689">
        <v>3.1</v>
      </c>
      <c r="E108" s="203">
        <f>C108*D108</f>
        <v>1550</v>
      </c>
      <c r="F108" s="175">
        <f>0.01*E108</f>
        <v>15.5</v>
      </c>
    </row>
    <row r="109" spans="1:6" s="110" customFormat="1" ht="20.149999999999999" customHeight="1" outlineLevel="2" x14ac:dyDescent="0.25">
      <c r="A109" s="22" t="s">
        <v>56</v>
      </c>
      <c r="B109" s="12" t="s">
        <v>90</v>
      </c>
      <c r="C109" s="689">
        <v>250</v>
      </c>
      <c r="D109" s="689">
        <v>70.5</v>
      </c>
      <c r="E109" s="203">
        <f>C109*D109</f>
        <v>17625</v>
      </c>
      <c r="F109" s="175">
        <f>0.01*E109</f>
        <v>176.25</v>
      </c>
    </row>
    <row r="110" spans="1:6" s="110" customFormat="1" ht="20.149999999999999" customHeight="1" outlineLevel="2" thickBot="1" x14ac:dyDescent="0.3">
      <c r="A110" s="176"/>
      <c r="B110" s="177"/>
      <c r="C110" s="177"/>
      <c r="D110" s="178"/>
      <c r="E110" s="179" t="s">
        <v>461</v>
      </c>
      <c r="F110" s="30">
        <f>SUM(F106:F109)</f>
        <v>234.38400000000001</v>
      </c>
    </row>
    <row r="111" spans="1:6" s="110" customFormat="1" ht="20.149999999999999" customHeight="1" outlineLevel="2" thickBot="1" x14ac:dyDescent="0.3">
      <c r="D111" s="38"/>
    </row>
    <row r="112" spans="1:6" s="110" customFormat="1" ht="20.149999999999999" customHeight="1" outlineLevel="1" thickBot="1" x14ac:dyDescent="0.3">
      <c r="A112" s="574" t="s">
        <v>443</v>
      </c>
      <c r="B112" s="575"/>
      <c r="C112" s="575"/>
      <c r="D112" s="575"/>
      <c r="E112" s="575"/>
      <c r="F112" s="576"/>
    </row>
    <row r="113" spans="1:6" s="110" customFormat="1" ht="20.149999999999999" customHeight="1" outlineLevel="2" x14ac:dyDescent="0.25">
      <c r="A113" s="485" t="s">
        <v>445</v>
      </c>
      <c r="B113" s="484" t="s">
        <v>13</v>
      </c>
      <c r="C113" s="484" t="s">
        <v>91</v>
      </c>
      <c r="D113" s="484" t="s">
        <v>97</v>
      </c>
      <c r="E113" s="484" t="s">
        <v>98</v>
      </c>
      <c r="F113" s="180" t="s">
        <v>120</v>
      </c>
    </row>
    <row r="114" spans="1:6" s="110" customFormat="1" ht="20.149999999999999" customHeight="1" outlineLevel="2" x14ac:dyDescent="0.25">
      <c r="A114" s="22" t="s">
        <v>54</v>
      </c>
      <c r="B114" s="12" t="s">
        <v>9</v>
      </c>
      <c r="C114" s="689">
        <v>20000</v>
      </c>
      <c r="D114" s="689">
        <v>1</v>
      </c>
      <c r="E114" s="203">
        <f>C114*D114</f>
        <v>20000</v>
      </c>
      <c r="F114" s="175">
        <f>0.01*E114</f>
        <v>200</v>
      </c>
    </row>
    <row r="115" spans="1:6" s="110" customFormat="1" ht="20.149999999999999" customHeight="1" outlineLevel="2" x14ac:dyDescent="0.25">
      <c r="A115" s="22" t="s">
        <v>85</v>
      </c>
      <c r="B115" s="12" t="s">
        <v>88</v>
      </c>
      <c r="C115" s="689">
        <v>680</v>
      </c>
      <c r="D115" s="689">
        <v>3.23</v>
      </c>
      <c r="E115" s="203">
        <f>C115*D115</f>
        <v>2196.4</v>
      </c>
      <c r="F115" s="175">
        <f>0.01*E115</f>
        <v>21.964000000000002</v>
      </c>
    </row>
    <row r="116" spans="1:6" s="110" customFormat="1" ht="20.149999999999999" customHeight="1" outlineLevel="2" x14ac:dyDescent="0.25">
      <c r="A116" s="22" t="s">
        <v>332</v>
      </c>
      <c r="B116" s="12" t="s">
        <v>88</v>
      </c>
      <c r="C116" s="689">
        <v>530</v>
      </c>
      <c r="D116" s="689">
        <v>3.9</v>
      </c>
      <c r="E116" s="203">
        <f>C116*D116</f>
        <v>2067</v>
      </c>
      <c r="F116" s="175">
        <f>0.01*E116</f>
        <v>20.67</v>
      </c>
    </row>
    <row r="117" spans="1:6" s="110" customFormat="1" ht="20.149999999999999" customHeight="1" outlineLevel="2" thickBot="1" x14ac:dyDescent="0.3">
      <c r="A117" s="102"/>
      <c r="B117" s="181"/>
      <c r="C117" s="181"/>
      <c r="D117" s="182"/>
      <c r="E117" s="183" t="s">
        <v>461</v>
      </c>
      <c r="F117" s="30">
        <f>SUM(F115:F116)</f>
        <v>42.634</v>
      </c>
    </row>
    <row r="118" spans="1:6" s="110" customFormat="1" ht="20.149999999999999" customHeight="1" outlineLevel="2" thickBot="1" x14ac:dyDescent="0.3">
      <c r="D118" s="38"/>
    </row>
    <row r="119" spans="1:6" s="110" customFormat="1" ht="20.149999999999999" customHeight="1" outlineLevel="1" thickBot="1" x14ac:dyDescent="0.3">
      <c r="A119" s="574" t="s">
        <v>178</v>
      </c>
      <c r="B119" s="575"/>
      <c r="C119" s="575"/>
      <c r="D119" s="575"/>
      <c r="E119" s="575"/>
      <c r="F119" s="576"/>
    </row>
    <row r="120" spans="1:6" s="110" customFormat="1" ht="20.149999999999999" customHeight="1" outlineLevel="2" x14ac:dyDescent="0.25">
      <c r="A120" s="485" t="s">
        <v>445</v>
      </c>
      <c r="B120" s="484" t="s">
        <v>13</v>
      </c>
      <c r="C120" s="484" t="s">
        <v>91</v>
      </c>
      <c r="D120" s="484" t="s">
        <v>97</v>
      </c>
      <c r="E120" s="484" t="s">
        <v>98</v>
      </c>
      <c r="F120" s="180" t="s">
        <v>120</v>
      </c>
    </row>
    <row r="121" spans="1:6" s="110" customFormat="1" ht="20.149999999999999" customHeight="1" outlineLevel="2" x14ac:dyDescent="0.25">
      <c r="A121" s="22" t="s">
        <v>54</v>
      </c>
      <c r="B121" s="12" t="s">
        <v>9</v>
      </c>
      <c r="C121" s="689">
        <v>22000</v>
      </c>
      <c r="D121" s="689">
        <v>1</v>
      </c>
      <c r="E121" s="203">
        <f>C121*D121</f>
        <v>22000</v>
      </c>
      <c r="F121" s="175">
        <f>0.01*E121</f>
        <v>220</v>
      </c>
    </row>
    <row r="122" spans="1:6" s="110" customFormat="1" ht="20.149999999999999" customHeight="1" outlineLevel="2" x14ac:dyDescent="0.25">
      <c r="A122" s="22" t="s">
        <v>85</v>
      </c>
      <c r="B122" s="12" t="s">
        <v>88</v>
      </c>
      <c r="C122" s="689">
        <v>680</v>
      </c>
      <c r="D122" s="689">
        <v>3.23</v>
      </c>
      <c r="E122" s="203">
        <f>C122*D122</f>
        <v>2196.4</v>
      </c>
      <c r="F122" s="175">
        <f>0.01*E122</f>
        <v>21.964000000000002</v>
      </c>
    </row>
    <row r="123" spans="1:6" s="110" customFormat="1" ht="20.149999999999999" customHeight="1" outlineLevel="2" x14ac:dyDescent="0.25">
      <c r="A123" s="22" t="s">
        <v>316</v>
      </c>
      <c r="B123" s="12" t="s">
        <v>88</v>
      </c>
      <c r="C123" s="689">
        <v>530</v>
      </c>
      <c r="D123" s="689">
        <v>3.9</v>
      </c>
      <c r="E123" s="203">
        <f>C123*D123</f>
        <v>2067</v>
      </c>
      <c r="F123" s="175">
        <f>0.01*E123</f>
        <v>20.67</v>
      </c>
    </row>
    <row r="124" spans="1:6" s="110" customFormat="1" ht="20.149999999999999" customHeight="1" outlineLevel="2" x14ac:dyDescent="0.25">
      <c r="A124" s="22" t="s">
        <v>55</v>
      </c>
      <c r="B124" s="12" t="s">
        <v>88</v>
      </c>
      <c r="C124" s="689">
        <v>850</v>
      </c>
      <c r="D124" s="689">
        <v>10</v>
      </c>
      <c r="E124" s="203">
        <f>C124*D124</f>
        <v>8500</v>
      </c>
      <c r="F124" s="175">
        <f>0.01*E124</f>
        <v>85</v>
      </c>
    </row>
    <row r="125" spans="1:6" s="110" customFormat="1" ht="20.149999999999999" customHeight="1" outlineLevel="2" thickBot="1" x14ac:dyDescent="0.3">
      <c r="A125" s="102"/>
      <c r="B125" s="181"/>
      <c r="C125" s="181"/>
      <c r="D125" s="182"/>
      <c r="E125" s="183" t="s">
        <v>461</v>
      </c>
      <c r="F125" s="30">
        <f>SUM(F122:F124)</f>
        <v>127.634</v>
      </c>
    </row>
    <row r="126" spans="1:6" s="110" customFormat="1" ht="20.149999999999999" customHeight="1" outlineLevel="2" thickBot="1" x14ac:dyDescent="0.3">
      <c r="D126" s="38"/>
    </row>
    <row r="127" spans="1:6" s="110" customFormat="1" ht="20.149999999999999" customHeight="1" outlineLevel="1" collapsed="1" thickBot="1" x14ac:dyDescent="0.3">
      <c r="A127" s="574" t="s">
        <v>442</v>
      </c>
      <c r="B127" s="575"/>
      <c r="C127" s="575"/>
      <c r="D127" s="575"/>
      <c r="E127" s="575"/>
      <c r="F127" s="576"/>
    </row>
    <row r="128" spans="1:6" s="110" customFormat="1" ht="20.149999999999999" hidden="1" customHeight="1" outlineLevel="2" x14ac:dyDescent="0.25">
      <c r="A128" s="485" t="s">
        <v>445</v>
      </c>
      <c r="B128" s="484" t="s">
        <v>13</v>
      </c>
      <c r="C128" s="484" t="s">
        <v>91</v>
      </c>
      <c r="D128" s="484" t="s">
        <v>97</v>
      </c>
      <c r="E128" s="484" t="s">
        <v>98</v>
      </c>
      <c r="F128" s="180" t="s">
        <v>120</v>
      </c>
    </row>
    <row r="129" spans="1:7" s="110" customFormat="1" ht="20.149999999999999" hidden="1" customHeight="1" outlineLevel="2" x14ac:dyDescent="0.25">
      <c r="A129" s="22" t="s">
        <v>54</v>
      </c>
      <c r="B129" s="12" t="s">
        <v>9</v>
      </c>
      <c r="C129" s="689">
        <v>18500</v>
      </c>
      <c r="D129" s="689">
        <v>0.5</v>
      </c>
      <c r="E129" s="203">
        <f>C129*D129</f>
        <v>9250</v>
      </c>
      <c r="F129" s="175">
        <f>0.01*E129</f>
        <v>92.5</v>
      </c>
    </row>
    <row r="130" spans="1:7" s="110" customFormat="1" ht="20.149999999999999" hidden="1" customHeight="1" outlineLevel="2" x14ac:dyDescent="0.25">
      <c r="A130" s="22" t="s">
        <v>85</v>
      </c>
      <c r="B130" s="12" t="s">
        <v>88</v>
      </c>
      <c r="C130" s="689">
        <v>350</v>
      </c>
      <c r="D130" s="689">
        <f>3.23/2</f>
        <v>1.615</v>
      </c>
      <c r="E130" s="203">
        <f>C130*D130</f>
        <v>565.25</v>
      </c>
      <c r="F130" s="175">
        <f>0.01*E130</f>
        <v>5.6524999999999999</v>
      </c>
    </row>
    <row r="131" spans="1:7" s="110" customFormat="1" ht="20.149999999999999" hidden="1" customHeight="1" outlineLevel="2" x14ac:dyDescent="0.25">
      <c r="A131" s="22" t="s">
        <v>89</v>
      </c>
      <c r="B131" s="12" t="s">
        <v>88</v>
      </c>
      <c r="C131" s="689">
        <v>530</v>
      </c>
      <c r="D131" s="689">
        <f>3.9/2</f>
        <v>1.95</v>
      </c>
      <c r="E131" s="203">
        <f>C131*D131</f>
        <v>1033.5</v>
      </c>
      <c r="F131" s="175">
        <f>0.01*E131</f>
        <v>10.335000000000001</v>
      </c>
    </row>
    <row r="132" spans="1:7" s="110" customFormat="1" ht="20.149999999999999" hidden="1" customHeight="1" outlineLevel="2" thickBot="1" x14ac:dyDescent="0.3">
      <c r="A132" s="102"/>
      <c r="B132" s="181"/>
      <c r="C132" s="181"/>
      <c r="D132" s="182"/>
      <c r="E132" s="183" t="s">
        <v>461</v>
      </c>
      <c r="F132" s="30">
        <f>SUM(F130:F131)</f>
        <v>15.987500000000001</v>
      </c>
    </row>
    <row r="133" spans="1:7" s="110" customFormat="1" ht="20.149999999999999" hidden="1" customHeight="1" outlineLevel="2" x14ac:dyDescent="0.25">
      <c r="A133" s="110" t="s">
        <v>264</v>
      </c>
      <c r="D133" s="38"/>
    </row>
    <row r="134" spans="1:7" s="110" customFormat="1" ht="20.149999999999999" hidden="1" customHeight="1" outlineLevel="2" thickBot="1" x14ac:dyDescent="0.3">
      <c r="D134" s="38"/>
    </row>
    <row r="135" spans="1:7" s="110" customFormat="1" ht="20.149999999999999" customHeight="1" outlineLevel="1" thickBot="1" x14ac:dyDescent="0.3">
      <c r="A135" s="574" t="s">
        <v>441</v>
      </c>
      <c r="B135" s="575"/>
      <c r="C135" s="575"/>
      <c r="D135" s="575"/>
      <c r="E135" s="575"/>
      <c r="F135" s="576"/>
    </row>
    <row r="136" spans="1:7" s="110" customFormat="1" ht="20.149999999999999" customHeight="1" outlineLevel="2" x14ac:dyDescent="0.25">
      <c r="A136" s="485" t="s">
        <v>445</v>
      </c>
      <c r="B136" s="484" t="s">
        <v>13</v>
      </c>
      <c r="C136" s="484" t="s">
        <v>91</v>
      </c>
      <c r="D136" s="484" t="s">
        <v>97</v>
      </c>
      <c r="E136" s="484" t="s">
        <v>98</v>
      </c>
      <c r="F136" s="180" t="s">
        <v>120</v>
      </c>
    </row>
    <row r="137" spans="1:7" s="110" customFormat="1" ht="20.149999999999999" customHeight="1" outlineLevel="2" x14ac:dyDescent="0.25">
      <c r="A137" s="22" t="s">
        <v>54</v>
      </c>
      <c r="B137" s="12" t="s">
        <v>9</v>
      </c>
      <c r="C137" s="689">
        <v>18500</v>
      </c>
      <c r="D137" s="689">
        <v>1</v>
      </c>
      <c r="E137" s="203">
        <f>C137*D137</f>
        <v>18500</v>
      </c>
      <c r="F137" s="175">
        <f>0.01*E137</f>
        <v>185</v>
      </c>
    </row>
    <row r="138" spans="1:7" s="110" customFormat="1" ht="20.149999999999999" customHeight="1" outlineLevel="2" x14ac:dyDescent="0.25">
      <c r="A138" s="22" t="s">
        <v>85</v>
      </c>
      <c r="B138" s="12" t="s">
        <v>88</v>
      </c>
      <c r="C138" s="689">
        <v>350</v>
      </c>
      <c r="D138" s="689">
        <f>3.23</f>
        <v>3.23</v>
      </c>
      <c r="E138" s="203">
        <f>C138*D138</f>
        <v>1130.5</v>
      </c>
      <c r="F138" s="175">
        <f>0.01*E138</f>
        <v>11.305</v>
      </c>
    </row>
    <row r="139" spans="1:7" s="110" customFormat="1" ht="20.149999999999999" customHeight="1" outlineLevel="2" x14ac:dyDescent="0.25">
      <c r="A139" s="22" t="s">
        <v>89</v>
      </c>
      <c r="B139" s="12" t="s">
        <v>88</v>
      </c>
      <c r="C139" s="689">
        <v>530</v>
      </c>
      <c r="D139" s="689">
        <f>3.9</f>
        <v>3.9</v>
      </c>
      <c r="E139" s="203">
        <f>C139*D139</f>
        <v>2067</v>
      </c>
      <c r="F139" s="175">
        <f>0.01*E139</f>
        <v>20.67</v>
      </c>
    </row>
    <row r="140" spans="1:7" s="110" customFormat="1" ht="20.149999999999999" customHeight="1" outlineLevel="2" thickBot="1" x14ac:dyDescent="0.3">
      <c r="A140" s="102"/>
      <c r="B140" s="181"/>
      <c r="C140" s="181"/>
      <c r="D140" s="182"/>
      <c r="E140" s="183" t="s">
        <v>461</v>
      </c>
      <c r="F140" s="30">
        <f>SUM(F138:F139)</f>
        <v>31.975000000000001</v>
      </c>
    </row>
    <row r="141" spans="1:7" s="110" customFormat="1" ht="20.149999999999999" customHeight="1" outlineLevel="2" x14ac:dyDescent="0.25">
      <c r="D141" s="38"/>
    </row>
    <row r="142" spans="1:7" s="110" customFormat="1" ht="20.149999999999999" customHeight="1" outlineLevel="1" thickBot="1" x14ac:dyDescent="0.3">
      <c r="D142" s="38"/>
    </row>
    <row r="143" spans="1:7" s="563" customFormat="1" ht="30" customHeight="1" thickBot="1" x14ac:dyDescent="0.3">
      <c r="A143" s="555" t="s">
        <v>444</v>
      </c>
      <c r="B143" s="568"/>
    </row>
    <row r="144" spans="1:7" s="110" customFormat="1" ht="20.149999999999999" customHeight="1" outlineLevel="1" thickBot="1" x14ac:dyDescent="0.3">
      <c r="A144" s="1176" t="s">
        <v>444</v>
      </c>
      <c r="B144" s="1174" t="s">
        <v>468</v>
      </c>
      <c r="C144" s="195" t="s">
        <v>91</v>
      </c>
      <c r="D144" s="195"/>
      <c r="E144" s="195"/>
      <c r="F144" s="195"/>
      <c r="G144" s="196"/>
    </row>
    <row r="145" spans="1:7" s="110" customFormat="1" ht="20.149999999999999" customHeight="1" outlineLevel="1" thickBot="1" x14ac:dyDescent="0.3">
      <c r="A145" s="1177"/>
      <c r="B145" s="1175"/>
      <c r="C145" s="44" t="s">
        <v>446</v>
      </c>
      <c r="D145" s="44" t="s">
        <v>162</v>
      </c>
      <c r="E145" s="44" t="s">
        <v>163</v>
      </c>
      <c r="F145" s="44" t="s">
        <v>467</v>
      </c>
      <c r="G145" s="45" t="s">
        <v>245</v>
      </c>
    </row>
    <row r="146" spans="1:7" s="110" customFormat="1" ht="20.149999999999999" customHeight="1" outlineLevel="1" x14ac:dyDescent="0.25">
      <c r="A146" s="66" t="s">
        <v>95</v>
      </c>
      <c r="B146" s="12" t="s">
        <v>121</v>
      </c>
      <c r="C146" s="688">
        <v>0.23</v>
      </c>
      <c r="D146" s="688">
        <v>0.23</v>
      </c>
      <c r="E146" s="688">
        <v>0.23</v>
      </c>
      <c r="F146" s="688">
        <v>0.23</v>
      </c>
      <c r="G146" s="688">
        <v>0.23</v>
      </c>
    </row>
    <row r="147" spans="1:7" s="110" customFormat="1" ht="20.149999999999999" customHeight="1" outlineLevel="1" x14ac:dyDescent="0.25">
      <c r="A147" s="66" t="s">
        <v>94</v>
      </c>
      <c r="B147" s="12" t="s">
        <v>122</v>
      </c>
      <c r="C147" s="688">
        <v>12</v>
      </c>
      <c r="D147" s="688">
        <v>12</v>
      </c>
      <c r="E147" s="688">
        <v>12</v>
      </c>
      <c r="F147" s="688">
        <v>12</v>
      </c>
      <c r="G147" s="688">
        <v>12</v>
      </c>
    </row>
    <row r="148" spans="1:7" s="110" customFormat="1" ht="20.149999999999999" customHeight="1" outlineLevel="1" x14ac:dyDescent="0.25">
      <c r="A148" s="66" t="s">
        <v>196</v>
      </c>
      <c r="B148" s="12" t="s">
        <v>7</v>
      </c>
      <c r="C148" s="612"/>
      <c r="D148" s="612"/>
      <c r="E148" s="688">
        <f>'Custos Insumos'!D59</f>
        <v>6</v>
      </c>
      <c r="F148" s="612"/>
      <c r="G148" s="614"/>
    </row>
    <row r="149" spans="1:7" s="110" customFormat="1" ht="20.149999999999999" customHeight="1" outlineLevel="1" x14ac:dyDescent="0.25">
      <c r="A149" s="66" t="s">
        <v>24</v>
      </c>
      <c r="B149" s="12" t="s">
        <v>177</v>
      </c>
      <c r="C149" s="612">
        <f>F105</f>
        <v>225</v>
      </c>
      <c r="D149" s="612">
        <f>F114</f>
        <v>200</v>
      </c>
      <c r="E149" s="612">
        <f>F121</f>
        <v>220</v>
      </c>
      <c r="F149" s="612">
        <f>F129</f>
        <v>92.5</v>
      </c>
      <c r="G149" s="613">
        <f>F137</f>
        <v>185</v>
      </c>
    </row>
    <row r="150" spans="1:7" s="110" customFormat="1" ht="20.149999999999999" customHeight="1" outlineLevel="1" x14ac:dyDescent="0.25">
      <c r="A150" s="66" t="s">
        <v>25</v>
      </c>
      <c r="B150" s="12" t="s">
        <v>177</v>
      </c>
      <c r="C150" s="612">
        <f>F110</f>
        <v>234.38400000000001</v>
      </c>
      <c r="D150" s="612">
        <f>F117</f>
        <v>42.634</v>
      </c>
      <c r="E150" s="612">
        <f>F125</f>
        <v>127.634</v>
      </c>
      <c r="F150" s="612">
        <f>F132</f>
        <v>15.987500000000001</v>
      </c>
      <c r="G150" s="613">
        <f>F140</f>
        <v>31.975000000000001</v>
      </c>
    </row>
    <row r="151" spans="1:7" s="110" customFormat="1" ht="20.149999999999999" customHeight="1" outlineLevel="1" x14ac:dyDescent="0.25">
      <c r="A151" s="66" t="s">
        <v>63</v>
      </c>
      <c r="B151" s="12" t="s">
        <v>177</v>
      </c>
      <c r="C151" s="687">
        <f>50*12</f>
        <v>600</v>
      </c>
      <c r="D151" s="688">
        <v>1100</v>
      </c>
      <c r="E151" s="688">
        <v>1100</v>
      </c>
      <c r="F151" s="688">
        <f>25*12</f>
        <v>300</v>
      </c>
      <c r="G151" s="695">
        <f>40*12</f>
        <v>480</v>
      </c>
    </row>
    <row r="152" spans="1:7" s="110" customFormat="1" ht="20.149999999999999" customHeight="1" outlineLevel="1" x14ac:dyDescent="0.25">
      <c r="A152" s="66" t="s">
        <v>64</v>
      </c>
      <c r="B152" s="12" t="s">
        <v>177</v>
      </c>
      <c r="C152" s="688">
        <v>580</v>
      </c>
      <c r="D152" s="688">
        <v>580</v>
      </c>
      <c r="E152" s="688">
        <v>580</v>
      </c>
      <c r="F152" s="688">
        <v>50</v>
      </c>
      <c r="G152" s="695">
        <v>150</v>
      </c>
    </row>
    <row r="153" spans="1:7" s="110" customFormat="1" ht="20.149999999999999" customHeight="1" outlineLevel="1" x14ac:dyDescent="0.25">
      <c r="A153" s="66" t="s">
        <v>735</v>
      </c>
      <c r="B153" s="12" t="s">
        <v>177</v>
      </c>
      <c r="C153" s="688">
        <v>300</v>
      </c>
      <c r="D153" s="688">
        <v>300</v>
      </c>
      <c r="E153" s="688">
        <v>300</v>
      </c>
      <c r="F153" s="688">
        <v>110</v>
      </c>
      <c r="G153" s="695">
        <v>110</v>
      </c>
    </row>
    <row r="154" spans="1:7" s="110" customFormat="1" ht="20.149999999999999" customHeight="1" outlineLevel="1" x14ac:dyDescent="0.25">
      <c r="A154" s="66" t="s">
        <v>6</v>
      </c>
      <c r="B154" s="12" t="str">
        <f>'Custos Insumos'!C54</f>
        <v>UD</v>
      </c>
      <c r="C154" s="612"/>
      <c r="D154" s="615"/>
      <c r="E154" s="612"/>
      <c r="F154" s="612">
        <f>'Custos Insumos'!D54</f>
        <v>1.5</v>
      </c>
      <c r="G154" s="614"/>
    </row>
    <row r="155" spans="1:7" s="110" customFormat="1" ht="20.149999999999999" customHeight="1" outlineLevel="1" thickBot="1" x14ac:dyDescent="0.3">
      <c r="A155" s="192" t="s">
        <v>57</v>
      </c>
      <c r="B155" s="208" t="s">
        <v>177</v>
      </c>
      <c r="C155" s="616">
        <f>B67</f>
        <v>1636.5088214399998</v>
      </c>
      <c r="D155" s="616">
        <f>C67</f>
        <v>1636.5088214399998</v>
      </c>
      <c r="E155" s="616">
        <f>C67</f>
        <v>1636.5088214399998</v>
      </c>
      <c r="F155" s="616">
        <f>D67</f>
        <v>510.36380896000003</v>
      </c>
      <c r="G155" s="618">
        <f>E67</f>
        <v>978.40361791999999</v>
      </c>
    </row>
    <row r="156" spans="1:7" ht="13" outlineLevel="1" thickBot="1" x14ac:dyDescent="0.3"/>
    <row r="157" spans="1:7" s="563" customFormat="1" ht="30" customHeight="1" collapsed="1" thickBot="1" x14ac:dyDescent="0.3">
      <c r="A157" s="555" t="s">
        <v>469</v>
      </c>
      <c r="B157" s="568"/>
    </row>
    <row r="158" spans="1:7" s="110" customFormat="1" ht="20.149999999999999" hidden="1" customHeight="1" outlineLevel="1" thickBot="1" x14ac:dyDescent="0.3">
      <c r="A158" s="577" t="s">
        <v>490</v>
      </c>
      <c r="B158" s="578"/>
      <c r="C158" s="578"/>
      <c r="D158" s="578"/>
      <c r="E158" s="579"/>
    </row>
    <row r="159" spans="1:7" s="110" customFormat="1" ht="20.149999999999999" hidden="1" customHeight="1" outlineLevel="2" x14ac:dyDescent="0.25">
      <c r="A159" s="485" t="s">
        <v>445</v>
      </c>
      <c r="B159" s="484" t="s">
        <v>13</v>
      </c>
      <c r="C159" s="484" t="s">
        <v>124</v>
      </c>
      <c r="D159" s="484" t="s">
        <v>125</v>
      </c>
      <c r="E159" s="198" t="s">
        <v>44</v>
      </c>
    </row>
    <row r="160" spans="1:7" s="110" customFormat="1" ht="20.149999999999999" hidden="1" customHeight="1" outlineLevel="2" x14ac:dyDescent="0.25">
      <c r="A160" s="22" t="s">
        <v>167</v>
      </c>
      <c r="B160" s="12" t="str">
        <f>'Custos Insumos'!C46</f>
        <v>HME</v>
      </c>
      <c r="C160" s="696">
        <v>4</v>
      </c>
      <c r="D160" s="203">
        <f>'Custos Insumos'!D46</f>
        <v>500</v>
      </c>
      <c r="E160" s="175">
        <f>C160*D160</f>
        <v>2000</v>
      </c>
    </row>
    <row r="161" spans="1:5" s="110" customFormat="1" ht="20.149999999999999" hidden="1" customHeight="1" outlineLevel="2" x14ac:dyDescent="0.25">
      <c r="A161" s="22" t="s">
        <v>325</v>
      </c>
      <c r="B161" s="12" t="s">
        <v>21</v>
      </c>
      <c r="C161" s="696">
        <v>5</v>
      </c>
      <c r="D161" s="203">
        <f>F21</f>
        <v>127</v>
      </c>
      <c r="E161" s="175">
        <f>C161*D161</f>
        <v>635</v>
      </c>
    </row>
    <row r="162" spans="1:5" s="110" customFormat="1" ht="20.149999999999999" hidden="1" customHeight="1" outlineLevel="2" x14ac:dyDescent="0.25">
      <c r="A162" s="22" t="s">
        <v>123</v>
      </c>
      <c r="B162" s="12" t="str">
        <f>'Custos Insumos'!C46</f>
        <v>HME</v>
      </c>
      <c r="C162" s="696">
        <v>1</v>
      </c>
      <c r="D162" s="203">
        <f>'Custos Insumos'!D46</f>
        <v>500</v>
      </c>
      <c r="E162" s="175">
        <f>C162*D162</f>
        <v>500</v>
      </c>
    </row>
    <row r="163" spans="1:5" s="110" customFormat="1" ht="20.149999999999999" hidden="1" customHeight="1" outlineLevel="2" x14ac:dyDescent="0.25">
      <c r="A163" s="22" t="s">
        <v>44</v>
      </c>
      <c r="B163" s="120"/>
      <c r="C163" s="120"/>
      <c r="D163" s="120"/>
      <c r="E163" s="175">
        <f>SUM(E160:E162)</f>
        <v>3135</v>
      </c>
    </row>
    <row r="164" spans="1:5" s="110" customFormat="1" ht="20.149999999999999" hidden="1" customHeight="1" outlineLevel="2" x14ac:dyDescent="0.25">
      <c r="A164" s="22" t="s">
        <v>172</v>
      </c>
      <c r="B164" s="120"/>
      <c r="C164" s="933">
        <f>'Critérios de Implantação'!C22</f>
        <v>0.41265507149191444</v>
      </c>
      <c r="D164" s="120"/>
      <c r="E164" s="175">
        <f>C164*E163</f>
        <v>1293.6736491271517</v>
      </c>
    </row>
    <row r="165" spans="1:5" s="110" customFormat="1" ht="20.149999999999999" hidden="1" customHeight="1" outlineLevel="2" thickBot="1" x14ac:dyDescent="0.3">
      <c r="A165" s="204"/>
      <c r="B165" s="553"/>
      <c r="C165" s="553"/>
      <c r="D165" s="205" t="s">
        <v>474</v>
      </c>
      <c r="E165" s="206">
        <f>E164/2</f>
        <v>646.83682456357587</v>
      </c>
    </row>
    <row r="166" spans="1:5" s="110" customFormat="1" ht="20.149999999999999" hidden="1" customHeight="1" outlineLevel="2" thickBot="1" x14ac:dyDescent="0.3"/>
    <row r="167" spans="1:5" s="110" customFormat="1" ht="20.149999999999999" hidden="1" customHeight="1" outlineLevel="1" collapsed="1" thickBot="1" x14ac:dyDescent="0.3">
      <c r="A167" s="577" t="s">
        <v>491</v>
      </c>
      <c r="B167" s="578"/>
      <c r="C167" s="578"/>
      <c r="D167" s="578"/>
      <c r="E167" s="579"/>
    </row>
    <row r="168" spans="1:5" s="110" customFormat="1" ht="20.149999999999999" hidden="1" customHeight="1" outlineLevel="2" x14ac:dyDescent="0.25">
      <c r="A168" s="485" t="s">
        <v>445</v>
      </c>
      <c r="B168" s="484" t="s">
        <v>13</v>
      </c>
      <c r="C168" s="484" t="s">
        <v>124</v>
      </c>
      <c r="D168" s="484" t="s">
        <v>125</v>
      </c>
      <c r="E168" s="198" t="s">
        <v>44</v>
      </c>
    </row>
    <row r="169" spans="1:5" s="110" customFormat="1" ht="20.149999999999999" hidden="1" customHeight="1" outlineLevel="2" x14ac:dyDescent="0.25">
      <c r="A169" s="22" t="s">
        <v>167</v>
      </c>
      <c r="B169" s="12" t="str">
        <f>'Custos Insumos'!$C$46</f>
        <v>HME</v>
      </c>
      <c r="C169" s="696">
        <v>4</v>
      </c>
      <c r="D169" s="203">
        <f>'Custos Insumos'!$D$46</f>
        <v>500</v>
      </c>
      <c r="E169" s="175">
        <f>C169*D169</f>
        <v>2000</v>
      </c>
    </row>
    <row r="170" spans="1:5" s="110" customFormat="1" ht="20.149999999999999" hidden="1" customHeight="1" outlineLevel="2" x14ac:dyDescent="0.25">
      <c r="A170" s="22" t="s">
        <v>325</v>
      </c>
      <c r="B170" s="12" t="s">
        <v>21</v>
      </c>
      <c r="C170" s="696">
        <v>8</v>
      </c>
      <c r="D170" s="203">
        <f>'Custos Diversos'!$F$21</f>
        <v>127</v>
      </c>
      <c r="E170" s="175">
        <f>C170*D170</f>
        <v>1016</v>
      </c>
    </row>
    <row r="171" spans="1:5" s="110" customFormat="1" ht="20.149999999999999" hidden="1" customHeight="1" outlineLevel="2" x14ac:dyDescent="0.25">
      <c r="A171" s="22" t="s">
        <v>328</v>
      </c>
      <c r="B171" s="12" t="str">
        <f>'Custos Insumos'!$C$48</f>
        <v>HMR</v>
      </c>
      <c r="C171" s="696">
        <v>3</v>
      </c>
      <c r="D171" s="203">
        <f>'Custos Insumos'!$D$48</f>
        <v>250</v>
      </c>
      <c r="E171" s="175">
        <f>C171*D171</f>
        <v>750</v>
      </c>
    </row>
    <row r="172" spans="1:5" s="110" customFormat="1" ht="20.149999999999999" hidden="1" customHeight="1" outlineLevel="2" thickBot="1" x14ac:dyDescent="0.3">
      <c r="A172" s="136" t="s">
        <v>44</v>
      </c>
      <c r="B172" s="619"/>
      <c r="C172" s="619"/>
      <c r="D172" s="179" t="s">
        <v>461</v>
      </c>
      <c r="E172" s="30">
        <f>SUM(E169:E171)</f>
        <v>3766</v>
      </c>
    </row>
    <row r="173" spans="1:5" s="110" customFormat="1" ht="20.149999999999999" hidden="1" customHeight="1" outlineLevel="2" thickBot="1" x14ac:dyDescent="0.3"/>
    <row r="174" spans="1:5" s="110" customFormat="1" ht="20.149999999999999" hidden="1" customHeight="1" outlineLevel="1" collapsed="1" thickBot="1" x14ac:dyDescent="0.3">
      <c r="A174" s="577" t="s">
        <v>492</v>
      </c>
      <c r="B174" s="578"/>
      <c r="C174" s="578"/>
      <c r="D174" s="578"/>
      <c r="E174" s="579"/>
    </row>
    <row r="175" spans="1:5" s="110" customFormat="1" ht="20.149999999999999" hidden="1" customHeight="1" outlineLevel="2" x14ac:dyDescent="0.25">
      <c r="A175" s="485" t="s">
        <v>445</v>
      </c>
      <c r="B175" s="484" t="s">
        <v>13</v>
      </c>
      <c r="C175" s="484" t="s">
        <v>124</v>
      </c>
      <c r="D175" s="484" t="s">
        <v>125</v>
      </c>
      <c r="E175" s="198" t="s">
        <v>44</v>
      </c>
    </row>
    <row r="176" spans="1:5" s="110" customFormat="1" ht="20.149999999999999" hidden="1" customHeight="1" outlineLevel="2" x14ac:dyDescent="0.25">
      <c r="A176" s="22" t="s">
        <v>167</v>
      </c>
      <c r="B176" s="12" t="str">
        <f>'Custos Insumos'!$C$46</f>
        <v>HME</v>
      </c>
      <c r="C176" s="696">
        <v>4</v>
      </c>
      <c r="D176" s="203">
        <f>'Custos Insumos'!$D$46</f>
        <v>500</v>
      </c>
      <c r="E176" s="175">
        <f>C176*D176</f>
        <v>2000</v>
      </c>
    </row>
    <row r="177" spans="1:5" s="110" customFormat="1" ht="20.149999999999999" hidden="1" customHeight="1" outlineLevel="2" x14ac:dyDescent="0.25">
      <c r="A177" s="22" t="s">
        <v>325</v>
      </c>
      <c r="B177" s="12" t="s">
        <v>21</v>
      </c>
      <c r="C177" s="696">
        <v>8</v>
      </c>
      <c r="D177" s="203">
        <f>'Custos Diversos'!$F$21</f>
        <v>127</v>
      </c>
      <c r="E177" s="175">
        <f>C177*D177</f>
        <v>1016</v>
      </c>
    </row>
    <row r="178" spans="1:5" s="110" customFormat="1" ht="20.149999999999999" hidden="1" customHeight="1" outlineLevel="2" x14ac:dyDescent="0.25">
      <c r="A178" s="22" t="s">
        <v>328</v>
      </c>
      <c r="B178" s="12" t="str">
        <f>'Custos Insumos'!$C$48</f>
        <v>HMR</v>
      </c>
      <c r="C178" s="696">
        <v>4</v>
      </c>
      <c r="D178" s="203">
        <f>'Custos Insumos'!$D$48</f>
        <v>250</v>
      </c>
      <c r="E178" s="175">
        <f>C178*D178</f>
        <v>1000</v>
      </c>
    </row>
    <row r="179" spans="1:5" s="110" customFormat="1" ht="20.149999999999999" hidden="1" customHeight="1" outlineLevel="2" thickBot="1" x14ac:dyDescent="0.3">
      <c r="A179" s="136" t="s">
        <v>44</v>
      </c>
      <c r="B179" s="619"/>
      <c r="C179" s="619"/>
      <c r="D179" s="179" t="s">
        <v>461</v>
      </c>
      <c r="E179" s="30">
        <f>SUM(E176:E178)</f>
        <v>4016</v>
      </c>
    </row>
    <row r="180" spans="1:5" s="110" customFormat="1" ht="20.149999999999999" hidden="1" customHeight="1" outlineLevel="2" thickBot="1" x14ac:dyDescent="0.3"/>
    <row r="181" spans="1:5" s="110" customFormat="1" ht="20.149999999999999" hidden="1" customHeight="1" outlineLevel="1" collapsed="1" thickBot="1" x14ac:dyDescent="0.3">
      <c r="A181" s="577" t="s">
        <v>493</v>
      </c>
      <c r="B181" s="578"/>
      <c r="C181" s="578"/>
      <c r="D181" s="578"/>
      <c r="E181" s="579"/>
    </row>
    <row r="182" spans="1:5" s="110" customFormat="1" ht="20.149999999999999" hidden="1" customHeight="1" outlineLevel="2" x14ac:dyDescent="0.25">
      <c r="A182" s="485" t="s">
        <v>445</v>
      </c>
      <c r="B182" s="484" t="s">
        <v>13</v>
      </c>
      <c r="C182" s="484" t="s">
        <v>124</v>
      </c>
      <c r="D182" s="484" t="s">
        <v>125</v>
      </c>
      <c r="E182" s="198" t="s">
        <v>44</v>
      </c>
    </row>
    <row r="183" spans="1:5" s="110" customFormat="1" ht="20.149999999999999" hidden="1" customHeight="1" outlineLevel="2" x14ac:dyDescent="0.25">
      <c r="A183" s="22" t="s">
        <v>167</v>
      </c>
      <c r="B183" s="12" t="str">
        <f>'Custos Insumos'!$C$46</f>
        <v>HME</v>
      </c>
      <c r="C183" s="696">
        <v>5</v>
      </c>
      <c r="D183" s="203">
        <f>'Custos Insumos'!$D$46</f>
        <v>500</v>
      </c>
      <c r="E183" s="175">
        <f>C183*D183</f>
        <v>2500</v>
      </c>
    </row>
    <row r="184" spans="1:5" s="110" customFormat="1" ht="20.149999999999999" hidden="1" customHeight="1" outlineLevel="2" x14ac:dyDescent="0.25">
      <c r="A184" s="22" t="s">
        <v>325</v>
      </c>
      <c r="B184" s="12" t="s">
        <v>21</v>
      </c>
      <c r="C184" s="696">
        <v>12</v>
      </c>
      <c r="D184" s="203">
        <f>'Custos Diversos'!$F$21</f>
        <v>127</v>
      </c>
      <c r="E184" s="175">
        <f>C184*D184</f>
        <v>1524</v>
      </c>
    </row>
    <row r="185" spans="1:5" s="110" customFormat="1" ht="20.149999999999999" hidden="1" customHeight="1" outlineLevel="2" x14ac:dyDescent="0.25">
      <c r="A185" s="22" t="s">
        <v>328</v>
      </c>
      <c r="B185" s="12" t="str">
        <f>'Custos Insumos'!$C$48</f>
        <v>HMR</v>
      </c>
      <c r="C185" s="696">
        <v>4</v>
      </c>
      <c r="D185" s="203">
        <f>'Custos Insumos'!$D$48</f>
        <v>250</v>
      </c>
      <c r="E185" s="175">
        <f>C185*D185</f>
        <v>1000</v>
      </c>
    </row>
    <row r="186" spans="1:5" s="110" customFormat="1" ht="20.149999999999999" hidden="1" customHeight="1" outlineLevel="2" thickBot="1" x14ac:dyDescent="0.3">
      <c r="A186" s="136" t="s">
        <v>44</v>
      </c>
      <c r="B186" s="619"/>
      <c r="C186" s="619"/>
      <c r="D186" s="179" t="s">
        <v>461</v>
      </c>
      <c r="E186" s="30">
        <f>SUM(E183:E185)</f>
        <v>5024</v>
      </c>
    </row>
    <row r="187" spans="1:5" s="110" customFormat="1" hidden="1" outlineLevel="1" x14ac:dyDescent="0.25"/>
  </sheetData>
  <mergeCells count="3">
    <mergeCell ref="A68:E69"/>
    <mergeCell ref="B144:B145"/>
    <mergeCell ref="A144:A145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8057-DD44-4457-B063-33DF205755AD}">
  <sheetPr>
    <tabColor theme="6" tint="0.79998168889431442"/>
    <outlinePr summaryBelow="0"/>
  </sheetPr>
  <dimension ref="A1:P108"/>
  <sheetViews>
    <sheetView showGridLines="0" zoomScale="70" zoomScaleNormal="70" workbookViewId="0">
      <selection activeCell="E9" sqref="E9"/>
    </sheetView>
  </sheetViews>
  <sheetFormatPr defaultColWidth="9.1796875" defaultRowHeight="12.5" outlineLevelRow="1" x14ac:dyDescent="0.25"/>
  <cols>
    <col min="1" max="1" width="44.81640625" style="14" customWidth="1"/>
    <col min="2" max="14" width="15.7265625" style="14" customWidth="1"/>
    <col min="15" max="16" width="9.1796875" style="14" customWidth="1"/>
    <col min="17" max="16384" width="9.1796875" style="14"/>
  </cols>
  <sheetData>
    <row r="1" spans="1:16" ht="13" thickBot="1" x14ac:dyDescent="0.3"/>
    <row r="2" spans="1:16" s="564" customFormat="1" ht="40" customHeight="1" thickBot="1" x14ac:dyDescent="0.3">
      <c r="A2" s="538" t="s">
        <v>522</v>
      </c>
      <c r="B2" s="539"/>
      <c r="I2" s="539"/>
      <c r="J2" s="539"/>
      <c r="K2" s="539"/>
      <c r="L2" s="539"/>
      <c r="M2" s="539"/>
      <c r="N2" s="539"/>
      <c r="O2" s="539"/>
      <c r="P2" s="539"/>
    </row>
    <row r="3" spans="1:16" ht="13" thickBot="1" x14ac:dyDescent="0.3">
      <c r="A3" s="38"/>
    </row>
    <row r="4" spans="1:16" s="563" customFormat="1" ht="30" customHeight="1" collapsed="1" thickBot="1" x14ac:dyDescent="0.3">
      <c r="A4" s="555" t="s">
        <v>530</v>
      </c>
      <c r="B4" s="568"/>
    </row>
    <row r="5" spans="1:16" s="38" customFormat="1" ht="20.149999999999999" hidden="1" customHeight="1" outlineLevel="1" x14ac:dyDescent="0.25">
      <c r="A5" s="1127" t="s">
        <v>197</v>
      </c>
      <c r="B5" s="1124" t="s">
        <v>211</v>
      </c>
      <c r="C5" s="525" t="s">
        <v>212</v>
      </c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6"/>
    </row>
    <row r="6" spans="1:16" s="38" customFormat="1" ht="20.149999999999999" hidden="1" customHeight="1" outlineLevel="1" thickBot="1" x14ac:dyDescent="0.3">
      <c r="A6" s="1128"/>
      <c r="B6" s="1129"/>
      <c r="C6" s="226" t="s">
        <v>198</v>
      </c>
      <c r="D6" s="226" t="s">
        <v>199</v>
      </c>
      <c r="E6" s="226" t="s">
        <v>200</v>
      </c>
      <c r="F6" s="226" t="s">
        <v>201</v>
      </c>
      <c r="G6" s="226" t="s">
        <v>202</v>
      </c>
      <c r="H6" s="226" t="s">
        <v>203</v>
      </c>
      <c r="I6" s="226" t="s">
        <v>204</v>
      </c>
      <c r="J6" s="226" t="s">
        <v>205</v>
      </c>
      <c r="K6" s="226" t="s">
        <v>206</v>
      </c>
      <c r="L6" s="226" t="s">
        <v>207</v>
      </c>
      <c r="M6" s="226" t="s">
        <v>208</v>
      </c>
      <c r="N6" s="271" t="s">
        <v>209</v>
      </c>
      <c r="O6" s="110"/>
      <c r="P6" s="39"/>
    </row>
    <row r="7" spans="1:16" s="38" customFormat="1" ht="20.149999999999999" hidden="1" customHeight="1" outlineLevel="1" x14ac:dyDescent="0.25">
      <c r="A7" s="514" t="s">
        <v>523</v>
      </c>
      <c r="B7" s="584" t="s">
        <v>210</v>
      </c>
      <c r="C7" s="699">
        <v>182.83</v>
      </c>
      <c r="D7" s="699">
        <v>93.38</v>
      </c>
      <c r="E7" s="699">
        <v>102.42</v>
      </c>
      <c r="F7" s="699">
        <v>44.02</v>
      </c>
      <c r="G7" s="699">
        <v>10.6</v>
      </c>
      <c r="H7" s="699">
        <v>2.75</v>
      </c>
      <c r="I7" s="699">
        <v>1.19</v>
      </c>
      <c r="J7" s="699">
        <v>2.54</v>
      </c>
      <c r="K7" s="699">
        <v>13.56</v>
      </c>
      <c r="L7" s="699">
        <v>71.09</v>
      </c>
      <c r="M7" s="699">
        <v>150.27000000000001</v>
      </c>
      <c r="N7" s="700">
        <v>211.07</v>
      </c>
    </row>
    <row r="8" spans="1:16" s="38" customFormat="1" ht="20.149999999999999" hidden="1" customHeight="1" outlineLevel="1" x14ac:dyDescent="0.25">
      <c r="A8" s="66" t="s">
        <v>524</v>
      </c>
      <c r="B8" s="12" t="s">
        <v>210</v>
      </c>
      <c r="C8" s="701">
        <v>178.86</v>
      </c>
      <c r="D8" s="701">
        <v>160.68</v>
      </c>
      <c r="E8" s="701">
        <v>158.59</v>
      </c>
      <c r="F8" s="701">
        <v>141</v>
      </c>
      <c r="G8" s="701">
        <v>130.5</v>
      </c>
      <c r="H8" s="701">
        <v>114.63</v>
      </c>
      <c r="I8" s="701">
        <v>132.13999999999999</v>
      </c>
      <c r="J8" s="701">
        <v>161.72999999999999</v>
      </c>
      <c r="K8" s="701">
        <v>178.08</v>
      </c>
      <c r="L8" s="701">
        <v>195.15</v>
      </c>
      <c r="M8" s="701">
        <v>164.79</v>
      </c>
      <c r="N8" s="702">
        <v>156.97</v>
      </c>
    </row>
    <row r="9" spans="1:16" s="38" customFormat="1" ht="20.149999999999999" hidden="1" customHeight="1" outlineLevel="1" x14ac:dyDescent="0.25">
      <c r="A9" s="66" t="s">
        <v>525</v>
      </c>
      <c r="B9" s="12" t="s">
        <v>210</v>
      </c>
      <c r="C9" s="701">
        <v>154.74</v>
      </c>
      <c r="D9" s="701">
        <v>139.68</v>
      </c>
      <c r="E9" s="701">
        <v>139.55000000000001</v>
      </c>
      <c r="F9" s="701">
        <v>118.58</v>
      </c>
      <c r="G9" s="701">
        <v>109.38</v>
      </c>
      <c r="H9" s="701">
        <v>95.34</v>
      </c>
      <c r="I9" s="701">
        <v>104.91</v>
      </c>
      <c r="J9" s="701">
        <v>132.08000000000001</v>
      </c>
      <c r="K9" s="701">
        <v>160.24</v>
      </c>
      <c r="L9" s="701">
        <v>186.17</v>
      </c>
      <c r="M9" s="701">
        <v>160.21</v>
      </c>
      <c r="N9" s="702">
        <v>150.52000000000001</v>
      </c>
    </row>
    <row r="10" spans="1:16" s="38" customFormat="1" ht="20.149999999999999" hidden="1" customHeight="1" outlineLevel="1" x14ac:dyDescent="0.25">
      <c r="A10" s="66" t="s">
        <v>526</v>
      </c>
      <c r="B10" s="12" t="s">
        <v>210</v>
      </c>
      <c r="C10" s="701">
        <v>136.47</v>
      </c>
      <c r="D10" s="701">
        <v>116.67</v>
      </c>
      <c r="E10" s="701">
        <v>140.69999999999999</v>
      </c>
      <c r="F10" s="701">
        <v>121.59</v>
      </c>
      <c r="G10" s="701">
        <v>115.67</v>
      </c>
      <c r="H10" s="701">
        <v>100.96</v>
      </c>
      <c r="I10" s="701">
        <v>114.5</v>
      </c>
      <c r="J10" s="701">
        <v>133.47</v>
      </c>
      <c r="K10" s="701">
        <v>134</v>
      </c>
      <c r="L10" s="701">
        <v>151.5</v>
      </c>
      <c r="M10" s="701">
        <v>122.53</v>
      </c>
      <c r="N10" s="702">
        <v>111.1</v>
      </c>
    </row>
    <row r="11" spans="1:16" s="38" customFormat="1" ht="20.149999999999999" hidden="1" customHeight="1" outlineLevel="1" x14ac:dyDescent="0.25">
      <c r="A11" s="717" t="s">
        <v>527</v>
      </c>
      <c r="B11" s="718" t="s">
        <v>210</v>
      </c>
      <c r="C11" s="719">
        <f>C8</f>
        <v>178.86</v>
      </c>
      <c r="D11" s="719">
        <v>160.69999999999999</v>
      </c>
      <c r="E11" s="719">
        <f>E8</f>
        <v>158.59</v>
      </c>
      <c r="F11" s="719">
        <v>141</v>
      </c>
      <c r="G11" s="719">
        <f>G8</f>
        <v>130.5</v>
      </c>
      <c r="H11" s="719">
        <f>H8</f>
        <v>114.63</v>
      </c>
      <c r="I11" s="719">
        <v>132.1</v>
      </c>
      <c r="J11" s="719">
        <f>J8</f>
        <v>161.72999999999999</v>
      </c>
      <c r="K11" s="719">
        <f>K8</f>
        <v>178.08</v>
      </c>
      <c r="L11" s="719">
        <f>L8</f>
        <v>195.15</v>
      </c>
      <c r="M11" s="719">
        <f>M8</f>
        <v>164.79</v>
      </c>
      <c r="N11" s="720">
        <f>N8</f>
        <v>156.97</v>
      </c>
    </row>
    <row r="12" spans="1:16" s="38" customFormat="1" ht="20.149999999999999" hidden="1" customHeight="1" outlineLevel="1" x14ac:dyDescent="0.25">
      <c r="A12" s="66" t="s">
        <v>528</v>
      </c>
      <c r="B12" s="12"/>
      <c r="C12" s="697">
        <v>0.5</v>
      </c>
      <c r="D12" s="697">
        <v>0.5</v>
      </c>
      <c r="E12" s="697">
        <v>0.5</v>
      </c>
      <c r="F12" s="697">
        <v>0.5</v>
      </c>
      <c r="G12" s="697">
        <v>1</v>
      </c>
      <c r="H12" s="697">
        <v>1</v>
      </c>
      <c r="I12" s="697">
        <v>1</v>
      </c>
      <c r="J12" s="697">
        <v>1</v>
      </c>
      <c r="K12" s="697">
        <v>1</v>
      </c>
      <c r="L12" s="697">
        <v>0.5</v>
      </c>
      <c r="M12" s="697">
        <v>0.5</v>
      </c>
      <c r="N12" s="698">
        <v>0.5</v>
      </c>
    </row>
    <row r="13" spans="1:16" s="38" customFormat="1" ht="20.149999999999999" hidden="1" customHeight="1" outlineLevel="1" thickBot="1" x14ac:dyDescent="0.3">
      <c r="A13" s="192" t="s">
        <v>529</v>
      </c>
      <c r="B13" s="208"/>
      <c r="C13" s="309">
        <f>C7*C12</f>
        <v>91.415000000000006</v>
      </c>
      <c r="D13" s="309">
        <f t="shared" ref="D13:N13" si="0">D7*D12</f>
        <v>46.69</v>
      </c>
      <c r="E13" s="309">
        <f t="shared" si="0"/>
        <v>51.21</v>
      </c>
      <c r="F13" s="309">
        <f t="shared" si="0"/>
        <v>22.01</v>
      </c>
      <c r="G13" s="309">
        <f t="shared" si="0"/>
        <v>10.6</v>
      </c>
      <c r="H13" s="309">
        <f t="shared" si="0"/>
        <v>2.75</v>
      </c>
      <c r="I13" s="309">
        <f t="shared" si="0"/>
        <v>1.19</v>
      </c>
      <c r="J13" s="309">
        <f t="shared" si="0"/>
        <v>2.54</v>
      </c>
      <c r="K13" s="309">
        <f t="shared" si="0"/>
        <v>13.56</v>
      </c>
      <c r="L13" s="309">
        <f t="shared" si="0"/>
        <v>35.545000000000002</v>
      </c>
      <c r="M13" s="309">
        <f t="shared" si="0"/>
        <v>75.135000000000005</v>
      </c>
      <c r="N13" s="587">
        <f t="shared" si="0"/>
        <v>105.535</v>
      </c>
    </row>
    <row r="14" spans="1:16" ht="13" hidden="1" outlineLevel="1" thickBot="1" x14ac:dyDescent="0.3">
      <c r="A14" s="39"/>
    </row>
    <row r="15" spans="1:16" s="563" customFormat="1" ht="30" customHeight="1" collapsed="1" thickBot="1" x14ac:dyDescent="0.3">
      <c r="A15" s="555" t="s">
        <v>547</v>
      </c>
      <c r="B15" s="568"/>
    </row>
    <row r="16" spans="1:16" s="110" customFormat="1" ht="21.75" hidden="1" customHeight="1" outlineLevel="1" thickBot="1" x14ac:dyDescent="0.3">
      <c r="A16" s="559" t="s">
        <v>446</v>
      </c>
      <c r="B16" s="588"/>
      <c r="C16" s="588"/>
      <c r="D16" s="588"/>
      <c r="E16" s="588"/>
      <c r="F16" s="588"/>
      <c r="G16" s="588"/>
      <c r="H16" s="588"/>
      <c r="I16" s="588"/>
      <c r="J16" s="588"/>
      <c r="K16" s="588"/>
      <c r="L16" s="588"/>
      <c r="M16" s="589"/>
      <c r="N16" s="38"/>
      <c r="O16" s="38"/>
      <c r="P16" s="38"/>
    </row>
    <row r="17" spans="1:16" s="110" customFormat="1" ht="20.149999999999999" hidden="1" customHeight="1" outlineLevel="1" x14ac:dyDescent="0.25">
      <c r="A17" s="1179" t="s">
        <v>197</v>
      </c>
      <c r="B17" s="512" t="s">
        <v>212</v>
      </c>
      <c r="C17" s="512"/>
      <c r="D17" s="512"/>
      <c r="E17" s="512"/>
      <c r="F17" s="512"/>
      <c r="G17" s="512"/>
      <c r="H17" s="512"/>
      <c r="I17" s="512"/>
      <c r="J17" s="512"/>
      <c r="K17" s="512"/>
      <c r="L17" s="512"/>
      <c r="M17" s="513"/>
      <c r="N17" s="38"/>
      <c r="O17" s="38"/>
      <c r="P17" s="38"/>
    </row>
    <row r="18" spans="1:16" s="110" customFormat="1" ht="20.149999999999999" hidden="1" customHeight="1" outlineLevel="1" thickBot="1" x14ac:dyDescent="0.3">
      <c r="A18" s="1180"/>
      <c r="B18" s="226" t="s">
        <v>198</v>
      </c>
      <c r="C18" s="226" t="s">
        <v>199</v>
      </c>
      <c r="D18" s="226" t="s">
        <v>200</v>
      </c>
      <c r="E18" s="226" t="s">
        <v>201</v>
      </c>
      <c r="F18" s="226" t="s">
        <v>202</v>
      </c>
      <c r="G18" s="226" t="s">
        <v>203</v>
      </c>
      <c r="H18" s="226" t="s">
        <v>204</v>
      </c>
      <c r="I18" s="226" t="s">
        <v>205</v>
      </c>
      <c r="J18" s="226" t="s">
        <v>206</v>
      </c>
      <c r="K18" s="226" t="s">
        <v>207</v>
      </c>
      <c r="L18" s="226" t="s">
        <v>208</v>
      </c>
      <c r="M18" s="271" t="s">
        <v>209</v>
      </c>
    </row>
    <row r="19" spans="1:16" s="38" customFormat="1" ht="20.149999999999999" hidden="1" customHeight="1" outlineLevel="1" x14ac:dyDescent="0.25">
      <c r="A19" s="514" t="s">
        <v>219</v>
      </c>
      <c r="B19" s="699">
        <v>1</v>
      </c>
      <c r="C19" s="699">
        <v>1</v>
      </c>
      <c r="D19" s="699">
        <v>1</v>
      </c>
      <c r="E19" s="699">
        <v>1</v>
      </c>
      <c r="F19" s="699">
        <v>1</v>
      </c>
      <c r="G19" s="699">
        <v>1</v>
      </c>
      <c r="H19" s="699">
        <v>1</v>
      </c>
      <c r="I19" s="699">
        <v>1</v>
      </c>
      <c r="J19" s="699">
        <v>1</v>
      </c>
      <c r="K19" s="699">
        <v>1</v>
      </c>
      <c r="L19" s="699">
        <v>1</v>
      </c>
      <c r="M19" s="700">
        <v>1</v>
      </c>
      <c r="N19" s="529"/>
    </row>
    <row r="20" spans="1:16" s="38" customFormat="1" ht="20.149999999999999" hidden="1" customHeight="1" outlineLevel="1" x14ac:dyDescent="0.25">
      <c r="A20" s="66" t="s">
        <v>216</v>
      </c>
      <c r="B20" s="701">
        <v>0.9</v>
      </c>
      <c r="C20" s="701">
        <v>0.9</v>
      </c>
      <c r="D20" s="701">
        <v>0.9</v>
      </c>
      <c r="E20" s="701">
        <v>0.9</v>
      </c>
      <c r="F20" s="701">
        <v>0.9</v>
      </c>
      <c r="G20" s="701">
        <v>0.9</v>
      </c>
      <c r="H20" s="701">
        <v>0.9</v>
      </c>
      <c r="I20" s="701">
        <v>0.9</v>
      </c>
      <c r="J20" s="701">
        <v>0.9</v>
      </c>
      <c r="K20" s="701">
        <v>0.9</v>
      </c>
      <c r="L20" s="701">
        <v>0.9</v>
      </c>
      <c r="M20" s="702">
        <v>0.9</v>
      </c>
      <c r="N20" s="529"/>
    </row>
    <row r="21" spans="1:16" s="38" customFormat="1" ht="20.149999999999999" hidden="1" customHeight="1" outlineLevel="1" x14ac:dyDescent="0.25">
      <c r="A21" s="66" t="s">
        <v>214</v>
      </c>
      <c r="B21" s="701">
        <v>0.9</v>
      </c>
      <c r="C21" s="701">
        <v>0.9</v>
      </c>
      <c r="D21" s="701">
        <v>0.9</v>
      </c>
      <c r="E21" s="701">
        <v>0.9</v>
      </c>
      <c r="F21" s="701">
        <v>0.9</v>
      </c>
      <c r="G21" s="701">
        <v>0.9</v>
      </c>
      <c r="H21" s="701">
        <v>0.9</v>
      </c>
      <c r="I21" s="701">
        <v>0.9</v>
      </c>
      <c r="J21" s="701">
        <v>0.9</v>
      </c>
      <c r="K21" s="701">
        <v>0.9</v>
      </c>
      <c r="L21" s="701">
        <v>0.9</v>
      </c>
      <c r="M21" s="702">
        <v>0.9</v>
      </c>
      <c r="N21" s="529"/>
    </row>
    <row r="22" spans="1:16" s="38" customFormat="1" ht="20.149999999999999" hidden="1" customHeight="1" outlineLevel="1" x14ac:dyDescent="0.25">
      <c r="A22" s="66" t="s">
        <v>215</v>
      </c>
      <c r="B22" s="307">
        <f t="shared" ref="B22:M22" si="1">C11*B19/B20</f>
        <v>198.73333333333335</v>
      </c>
      <c r="C22" s="307">
        <f t="shared" si="1"/>
        <v>178.55555555555554</v>
      </c>
      <c r="D22" s="307">
        <f t="shared" si="1"/>
        <v>176.21111111111111</v>
      </c>
      <c r="E22" s="307">
        <f t="shared" si="1"/>
        <v>156.66666666666666</v>
      </c>
      <c r="F22" s="307">
        <f t="shared" si="1"/>
        <v>145</v>
      </c>
      <c r="G22" s="307">
        <f t="shared" si="1"/>
        <v>127.36666666666666</v>
      </c>
      <c r="H22" s="307">
        <f t="shared" si="1"/>
        <v>146.77777777777777</v>
      </c>
      <c r="I22" s="307">
        <f t="shared" si="1"/>
        <v>179.7</v>
      </c>
      <c r="J22" s="307">
        <f t="shared" si="1"/>
        <v>197.86666666666667</v>
      </c>
      <c r="K22" s="307">
        <f t="shared" si="1"/>
        <v>216.83333333333334</v>
      </c>
      <c r="L22" s="307">
        <f t="shared" si="1"/>
        <v>183.1</v>
      </c>
      <c r="M22" s="586">
        <f t="shared" si="1"/>
        <v>174.4111111111111</v>
      </c>
      <c r="N22" s="529" t="s">
        <v>554</v>
      </c>
      <c r="O22" s="39" t="s">
        <v>555</v>
      </c>
    </row>
    <row r="23" spans="1:16" s="38" customFormat="1" ht="20.149999999999999" hidden="1" customHeight="1" outlineLevel="1" thickBot="1" x14ac:dyDescent="0.3">
      <c r="A23" s="192" t="s">
        <v>217</v>
      </c>
      <c r="B23" s="309">
        <f t="shared" ref="B23:M23" si="2">(B22-C13)*B21</f>
        <v>96.586500000000015</v>
      </c>
      <c r="C23" s="309">
        <f t="shared" si="2"/>
        <v>118.67899999999999</v>
      </c>
      <c r="D23" s="309">
        <f t="shared" si="2"/>
        <v>112.50099999999999</v>
      </c>
      <c r="E23" s="309">
        <f t="shared" si="2"/>
        <v>121.191</v>
      </c>
      <c r="F23" s="309">
        <f t="shared" si="2"/>
        <v>120.96000000000001</v>
      </c>
      <c r="G23" s="309">
        <f t="shared" si="2"/>
        <v>112.155</v>
      </c>
      <c r="H23" s="309">
        <f t="shared" si="2"/>
        <v>131.029</v>
      </c>
      <c r="I23" s="309">
        <f t="shared" si="2"/>
        <v>159.44399999999999</v>
      </c>
      <c r="J23" s="309">
        <f t="shared" si="2"/>
        <v>165.876</v>
      </c>
      <c r="K23" s="309">
        <f t="shared" si="2"/>
        <v>163.15950000000004</v>
      </c>
      <c r="L23" s="309">
        <f t="shared" si="2"/>
        <v>97.168499999999995</v>
      </c>
      <c r="M23" s="587">
        <f t="shared" si="2"/>
        <v>61.988499999999995</v>
      </c>
      <c r="N23" s="529">
        <f>SUM(B23:M23)</f>
        <v>1460.7379999999998</v>
      </c>
      <c r="O23" s="529">
        <f>N23*10/1000</f>
        <v>14.607379999999997</v>
      </c>
      <c r="P23" s="40" t="s">
        <v>223</v>
      </c>
    </row>
    <row r="24" spans="1:16" s="38" customFormat="1" ht="13" hidden="1" outlineLevel="1" thickBot="1" x14ac:dyDescent="0.3">
      <c r="A24" s="39"/>
    </row>
    <row r="25" spans="1:16" s="110" customFormat="1" ht="21.75" hidden="1" customHeight="1" outlineLevel="1" thickBot="1" x14ac:dyDescent="0.3">
      <c r="A25" s="559" t="s">
        <v>162</v>
      </c>
      <c r="B25" s="588"/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9"/>
    </row>
    <row r="26" spans="1:16" s="110" customFormat="1" ht="20.149999999999999" hidden="1" customHeight="1" outlineLevel="1" x14ac:dyDescent="0.25">
      <c r="A26" s="1179" t="s">
        <v>197</v>
      </c>
      <c r="B26" s="512" t="s">
        <v>212</v>
      </c>
      <c r="C26" s="512"/>
      <c r="D26" s="512"/>
      <c r="E26" s="512"/>
      <c r="F26" s="512"/>
      <c r="G26" s="512"/>
      <c r="H26" s="512"/>
      <c r="I26" s="512"/>
      <c r="J26" s="512"/>
      <c r="K26" s="512"/>
      <c r="L26" s="512"/>
      <c r="M26" s="513"/>
    </row>
    <row r="27" spans="1:16" s="110" customFormat="1" ht="20.149999999999999" hidden="1" customHeight="1" outlineLevel="1" thickBot="1" x14ac:dyDescent="0.3">
      <c r="A27" s="1180"/>
      <c r="B27" s="226" t="s">
        <v>198</v>
      </c>
      <c r="C27" s="226" t="s">
        <v>199</v>
      </c>
      <c r="D27" s="226" t="s">
        <v>200</v>
      </c>
      <c r="E27" s="226" t="s">
        <v>201</v>
      </c>
      <c r="F27" s="226" t="s">
        <v>202</v>
      </c>
      <c r="G27" s="226" t="s">
        <v>203</v>
      </c>
      <c r="H27" s="226" t="s">
        <v>204</v>
      </c>
      <c r="I27" s="226" t="s">
        <v>205</v>
      </c>
      <c r="J27" s="226" t="s">
        <v>206</v>
      </c>
      <c r="K27" s="226" t="s">
        <v>207</v>
      </c>
      <c r="L27" s="226" t="s">
        <v>208</v>
      </c>
      <c r="M27" s="271" t="s">
        <v>209</v>
      </c>
    </row>
    <row r="28" spans="1:16" s="38" customFormat="1" ht="20.149999999999999" hidden="1" customHeight="1" outlineLevel="1" x14ac:dyDescent="0.25">
      <c r="A28" s="514" t="s">
        <v>219</v>
      </c>
      <c r="B28" s="699">
        <v>1</v>
      </c>
      <c r="C28" s="699">
        <v>1</v>
      </c>
      <c r="D28" s="699">
        <v>0</v>
      </c>
      <c r="E28" s="699">
        <v>0</v>
      </c>
      <c r="F28" s="699">
        <v>0</v>
      </c>
      <c r="G28" s="699">
        <v>1.1000000000000001</v>
      </c>
      <c r="H28" s="699">
        <v>1.2</v>
      </c>
      <c r="I28" s="699">
        <v>1.2</v>
      </c>
      <c r="J28" s="699">
        <v>1.2</v>
      </c>
      <c r="K28" s="699">
        <v>1.2</v>
      </c>
      <c r="L28" s="699">
        <v>1.2</v>
      </c>
      <c r="M28" s="700">
        <v>1.2</v>
      </c>
      <c r="N28" s="529"/>
    </row>
    <row r="29" spans="1:16" s="38" customFormat="1" ht="20.149999999999999" hidden="1" customHeight="1" outlineLevel="1" x14ac:dyDescent="0.25">
      <c r="A29" s="66" t="s">
        <v>216</v>
      </c>
      <c r="B29" s="701">
        <v>0.9</v>
      </c>
      <c r="C29" s="701">
        <v>0.9</v>
      </c>
      <c r="D29" s="701">
        <v>0.9</v>
      </c>
      <c r="E29" s="701">
        <v>0.9</v>
      </c>
      <c r="F29" s="701">
        <v>0.9</v>
      </c>
      <c r="G29" s="701">
        <v>0.9</v>
      </c>
      <c r="H29" s="701">
        <v>0.9</v>
      </c>
      <c r="I29" s="701">
        <v>0.9</v>
      </c>
      <c r="J29" s="701">
        <v>0.9</v>
      </c>
      <c r="K29" s="701">
        <v>0.9</v>
      </c>
      <c r="L29" s="701">
        <v>0.9</v>
      </c>
      <c r="M29" s="702">
        <v>0.9</v>
      </c>
      <c r="N29" s="529"/>
    </row>
    <row r="30" spans="1:16" s="38" customFormat="1" ht="20.149999999999999" hidden="1" customHeight="1" outlineLevel="1" x14ac:dyDescent="0.25">
      <c r="A30" s="66" t="s">
        <v>214</v>
      </c>
      <c r="B30" s="701">
        <v>0.8</v>
      </c>
      <c r="C30" s="701">
        <v>0.8</v>
      </c>
      <c r="D30" s="701">
        <v>0.8</v>
      </c>
      <c r="E30" s="701">
        <v>0.8</v>
      </c>
      <c r="F30" s="701">
        <v>0.8</v>
      </c>
      <c r="G30" s="701">
        <v>0.8</v>
      </c>
      <c r="H30" s="701">
        <v>0.8</v>
      </c>
      <c r="I30" s="701">
        <v>0.8</v>
      </c>
      <c r="J30" s="701">
        <v>0.8</v>
      </c>
      <c r="K30" s="701">
        <v>0.8</v>
      </c>
      <c r="L30" s="701">
        <v>0.8</v>
      </c>
      <c r="M30" s="702">
        <v>0.8</v>
      </c>
      <c r="N30" s="529"/>
    </row>
    <row r="31" spans="1:16" s="38" customFormat="1" ht="20.149999999999999" hidden="1" customHeight="1" outlineLevel="1" x14ac:dyDescent="0.25">
      <c r="A31" s="66" t="s">
        <v>215</v>
      </c>
      <c r="B31" s="307">
        <f t="shared" ref="B31:M31" si="3">C11*B28/B29</f>
        <v>198.73333333333335</v>
      </c>
      <c r="C31" s="307">
        <f t="shared" si="3"/>
        <v>178.55555555555554</v>
      </c>
      <c r="D31" s="307">
        <f t="shared" si="3"/>
        <v>0</v>
      </c>
      <c r="E31" s="307">
        <f t="shared" si="3"/>
        <v>0</v>
      </c>
      <c r="F31" s="307">
        <f t="shared" si="3"/>
        <v>0</v>
      </c>
      <c r="G31" s="307">
        <f t="shared" si="3"/>
        <v>140.10333333333332</v>
      </c>
      <c r="H31" s="307">
        <f t="shared" si="3"/>
        <v>176.1333333333333</v>
      </c>
      <c r="I31" s="307">
        <f t="shared" si="3"/>
        <v>215.64</v>
      </c>
      <c r="J31" s="307">
        <f t="shared" si="3"/>
        <v>237.44</v>
      </c>
      <c r="K31" s="307">
        <f t="shared" si="3"/>
        <v>260.2</v>
      </c>
      <c r="L31" s="307">
        <f t="shared" si="3"/>
        <v>219.71999999999997</v>
      </c>
      <c r="M31" s="586">
        <f t="shared" si="3"/>
        <v>209.29333333333332</v>
      </c>
      <c r="N31" s="529" t="s">
        <v>554</v>
      </c>
      <c r="O31" s="39" t="s">
        <v>555</v>
      </c>
    </row>
    <row r="32" spans="1:16" s="38" customFormat="1" ht="20.149999999999999" hidden="1" customHeight="1" outlineLevel="1" thickBot="1" x14ac:dyDescent="0.3">
      <c r="A32" s="192" t="s">
        <v>218</v>
      </c>
      <c r="B32" s="309">
        <f t="shared" ref="B32:M32" si="4">(B31-C13)*B30</f>
        <v>85.854666666666674</v>
      </c>
      <c r="C32" s="309">
        <f t="shared" si="4"/>
        <v>105.49244444444444</v>
      </c>
      <c r="D32" s="309">
        <f t="shared" si="4"/>
        <v>-40.968000000000004</v>
      </c>
      <c r="E32" s="309">
        <f t="shared" si="4"/>
        <v>-17.608000000000001</v>
      </c>
      <c r="F32" s="309">
        <f t="shared" si="4"/>
        <v>-8.48</v>
      </c>
      <c r="G32" s="309">
        <f t="shared" si="4"/>
        <v>109.88266666666667</v>
      </c>
      <c r="H32" s="309">
        <f t="shared" si="4"/>
        <v>139.95466666666664</v>
      </c>
      <c r="I32" s="309">
        <f t="shared" si="4"/>
        <v>170.48000000000002</v>
      </c>
      <c r="J32" s="309">
        <f t="shared" si="4"/>
        <v>179.10400000000001</v>
      </c>
      <c r="K32" s="309">
        <f t="shared" si="4"/>
        <v>179.72399999999999</v>
      </c>
      <c r="L32" s="309">
        <f t="shared" si="4"/>
        <v>115.66799999999999</v>
      </c>
      <c r="M32" s="587">
        <f t="shared" si="4"/>
        <v>83.006666666666661</v>
      </c>
      <c r="N32" s="529">
        <f>SUM(B32:M32)</f>
        <v>1102.1111111111113</v>
      </c>
      <c r="O32" s="529">
        <f>N32*10/1000</f>
        <v>11.021111111111113</v>
      </c>
      <c r="P32" s="40" t="s">
        <v>223</v>
      </c>
    </row>
    <row r="33" spans="1:16" s="38" customFormat="1" ht="13" hidden="1" outlineLevel="1" thickBot="1" x14ac:dyDescent="0.3"/>
    <row r="34" spans="1:16" s="110" customFormat="1" ht="21.75" hidden="1" customHeight="1" outlineLevel="1" thickBot="1" x14ac:dyDescent="0.3">
      <c r="A34" s="559" t="s">
        <v>163</v>
      </c>
      <c r="B34" s="588"/>
      <c r="C34" s="588"/>
      <c r="D34" s="588"/>
      <c r="E34" s="588"/>
      <c r="F34" s="588"/>
      <c r="G34" s="588"/>
      <c r="H34" s="588"/>
      <c r="I34" s="588"/>
      <c r="J34" s="588"/>
      <c r="K34" s="588"/>
      <c r="L34" s="588"/>
      <c r="M34" s="589"/>
    </row>
    <row r="35" spans="1:16" s="110" customFormat="1" ht="20.149999999999999" hidden="1" customHeight="1" outlineLevel="1" x14ac:dyDescent="0.25">
      <c r="A35" s="1179" t="s">
        <v>197</v>
      </c>
      <c r="B35" s="512" t="s">
        <v>212</v>
      </c>
      <c r="C35" s="512"/>
      <c r="D35" s="512"/>
      <c r="E35" s="512"/>
      <c r="F35" s="512"/>
      <c r="G35" s="512"/>
      <c r="H35" s="512"/>
      <c r="I35" s="512"/>
      <c r="J35" s="512"/>
      <c r="K35" s="512"/>
      <c r="L35" s="512"/>
      <c r="M35" s="513"/>
    </row>
    <row r="36" spans="1:16" s="110" customFormat="1" ht="20.149999999999999" hidden="1" customHeight="1" outlineLevel="1" thickBot="1" x14ac:dyDescent="0.3">
      <c r="A36" s="1180"/>
      <c r="B36" s="226" t="s">
        <v>198</v>
      </c>
      <c r="C36" s="226" t="s">
        <v>199</v>
      </c>
      <c r="D36" s="226" t="s">
        <v>200</v>
      </c>
      <c r="E36" s="226" t="s">
        <v>201</v>
      </c>
      <c r="F36" s="226" t="s">
        <v>202</v>
      </c>
      <c r="G36" s="226" t="s">
        <v>203</v>
      </c>
      <c r="H36" s="226" t="s">
        <v>204</v>
      </c>
      <c r="I36" s="226" t="s">
        <v>205</v>
      </c>
      <c r="J36" s="226" t="s">
        <v>206</v>
      </c>
      <c r="K36" s="226" t="s">
        <v>207</v>
      </c>
      <c r="L36" s="226" t="s">
        <v>208</v>
      </c>
      <c r="M36" s="271" t="s">
        <v>209</v>
      </c>
    </row>
    <row r="37" spans="1:16" s="38" customFormat="1" ht="20.149999999999999" hidden="1" customHeight="1" outlineLevel="1" x14ac:dyDescent="0.25">
      <c r="A37" s="66" t="s">
        <v>219</v>
      </c>
      <c r="B37" s="701">
        <v>0.8</v>
      </c>
      <c r="C37" s="701">
        <v>0.8</v>
      </c>
      <c r="D37" s="701">
        <v>0.5</v>
      </c>
      <c r="E37" s="701">
        <v>0</v>
      </c>
      <c r="F37" s="701">
        <v>0</v>
      </c>
      <c r="G37" s="701">
        <v>1</v>
      </c>
      <c r="H37" s="701">
        <v>1.2</v>
      </c>
      <c r="I37" s="701">
        <v>1.2</v>
      </c>
      <c r="J37" s="701">
        <v>1.2</v>
      </c>
      <c r="K37" s="701">
        <v>1.1000000000000001</v>
      </c>
      <c r="L37" s="701">
        <v>1</v>
      </c>
      <c r="M37" s="702">
        <v>0.8</v>
      </c>
      <c r="N37" s="529"/>
    </row>
    <row r="38" spans="1:16" s="38" customFormat="1" ht="20.149999999999999" hidden="1" customHeight="1" outlineLevel="1" x14ac:dyDescent="0.25">
      <c r="A38" s="66" t="s">
        <v>216</v>
      </c>
      <c r="B38" s="701">
        <v>0.9</v>
      </c>
      <c r="C38" s="701">
        <v>0.9</v>
      </c>
      <c r="D38" s="701">
        <v>0.9</v>
      </c>
      <c r="E38" s="701">
        <v>0.9</v>
      </c>
      <c r="F38" s="701">
        <v>0.9</v>
      </c>
      <c r="G38" s="701">
        <v>0.9</v>
      </c>
      <c r="H38" s="701">
        <v>0.9</v>
      </c>
      <c r="I38" s="701">
        <v>0.9</v>
      </c>
      <c r="J38" s="701">
        <v>0.9</v>
      </c>
      <c r="K38" s="701">
        <v>0.9</v>
      </c>
      <c r="L38" s="701">
        <v>0.9</v>
      </c>
      <c r="M38" s="702">
        <v>0.9</v>
      </c>
      <c r="N38" s="529"/>
    </row>
    <row r="39" spans="1:16" s="38" customFormat="1" ht="20.149999999999999" hidden="1" customHeight="1" outlineLevel="1" x14ac:dyDescent="0.25">
      <c r="A39" s="66" t="s">
        <v>214</v>
      </c>
      <c r="B39" s="701">
        <v>0.75</v>
      </c>
      <c r="C39" s="701">
        <v>0.75</v>
      </c>
      <c r="D39" s="701">
        <v>0.75</v>
      </c>
      <c r="E39" s="701">
        <v>0.75</v>
      </c>
      <c r="F39" s="701">
        <v>0.75</v>
      </c>
      <c r="G39" s="701">
        <v>0.75</v>
      </c>
      <c r="H39" s="701">
        <v>0.75</v>
      </c>
      <c r="I39" s="701">
        <v>0.75</v>
      </c>
      <c r="J39" s="701">
        <v>0.75</v>
      </c>
      <c r="K39" s="701">
        <v>0.75</v>
      </c>
      <c r="L39" s="701">
        <v>0.75</v>
      </c>
      <c r="M39" s="702">
        <v>0.75</v>
      </c>
      <c r="N39" s="529"/>
    </row>
    <row r="40" spans="1:16" s="38" customFormat="1" ht="20.149999999999999" hidden="1" customHeight="1" outlineLevel="1" x14ac:dyDescent="0.25">
      <c r="A40" s="66" t="s">
        <v>215</v>
      </c>
      <c r="B40" s="307">
        <f t="shared" ref="B40:M40" si="5">C11*B37/B38</f>
        <v>158.98666666666668</v>
      </c>
      <c r="C40" s="307">
        <f t="shared" si="5"/>
        <v>142.84444444444443</v>
      </c>
      <c r="D40" s="307">
        <f t="shared" si="5"/>
        <v>88.105555555555554</v>
      </c>
      <c r="E40" s="307">
        <f t="shared" si="5"/>
        <v>0</v>
      </c>
      <c r="F40" s="307">
        <f t="shared" si="5"/>
        <v>0</v>
      </c>
      <c r="G40" s="307">
        <f t="shared" si="5"/>
        <v>127.36666666666666</v>
      </c>
      <c r="H40" s="307">
        <f t="shared" si="5"/>
        <v>176.1333333333333</v>
      </c>
      <c r="I40" s="307">
        <f t="shared" si="5"/>
        <v>215.64</v>
      </c>
      <c r="J40" s="307">
        <f t="shared" si="5"/>
        <v>237.44</v>
      </c>
      <c r="K40" s="307">
        <f t="shared" si="5"/>
        <v>238.51666666666668</v>
      </c>
      <c r="L40" s="307">
        <f t="shared" si="5"/>
        <v>183.1</v>
      </c>
      <c r="M40" s="586">
        <f t="shared" si="5"/>
        <v>139.5288888888889</v>
      </c>
      <c r="N40" s="529" t="s">
        <v>554</v>
      </c>
      <c r="O40" s="39" t="s">
        <v>555</v>
      </c>
    </row>
    <row r="41" spans="1:16" s="38" customFormat="1" ht="20.149999999999999" hidden="1" customHeight="1" outlineLevel="1" thickBot="1" x14ac:dyDescent="0.3">
      <c r="A41" s="192" t="s">
        <v>218</v>
      </c>
      <c r="B41" s="309">
        <f>(B40-C13)*B39</f>
        <v>50.678750000000008</v>
      </c>
      <c r="C41" s="309">
        <f>(C40-D13)*C39</f>
        <v>72.115833333333327</v>
      </c>
      <c r="D41" s="309">
        <f>(D40-E13)*D39</f>
        <v>27.671666666666667</v>
      </c>
      <c r="E41" s="309"/>
      <c r="F41" s="309">
        <f t="shared" ref="F41:M41" si="6">(F40-G13)*F39</f>
        <v>-7.9499999999999993</v>
      </c>
      <c r="G41" s="309">
        <f t="shared" si="6"/>
        <v>93.462499999999991</v>
      </c>
      <c r="H41" s="309">
        <f t="shared" si="6"/>
        <v>131.20749999999998</v>
      </c>
      <c r="I41" s="309">
        <f t="shared" si="6"/>
        <v>159.82499999999999</v>
      </c>
      <c r="J41" s="309">
        <f t="shared" si="6"/>
        <v>167.91</v>
      </c>
      <c r="K41" s="309">
        <f t="shared" si="6"/>
        <v>152.22875000000002</v>
      </c>
      <c r="L41" s="309">
        <f t="shared" si="6"/>
        <v>80.973749999999995</v>
      </c>
      <c r="M41" s="587">
        <f t="shared" si="6"/>
        <v>25.495416666666678</v>
      </c>
      <c r="N41" s="529">
        <f>SUM(B41:M41)</f>
        <v>953.61916666666662</v>
      </c>
      <c r="O41" s="529">
        <f>N41*10/1000</f>
        <v>9.5361916666666655</v>
      </c>
      <c r="P41" s="40" t="s">
        <v>223</v>
      </c>
    </row>
    <row r="42" spans="1:16" s="38" customFormat="1" ht="20.149999999999999" hidden="1" customHeight="1" outlineLevel="1" x14ac:dyDescent="0.25">
      <c r="A42" s="39"/>
    </row>
    <row r="43" spans="1:16" ht="20.149999999999999" hidden="1" customHeight="1" outlineLevel="1" x14ac:dyDescent="0.25">
      <c r="A43" s="524" t="s">
        <v>213</v>
      </c>
    </row>
    <row r="44" spans="1:16" ht="13" hidden="1" outlineLevel="1" thickBot="1" x14ac:dyDescent="0.3">
      <c r="A44" s="36"/>
    </row>
    <row r="45" spans="1:16" s="563" customFormat="1" ht="30" customHeight="1" collapsed="1" thickBot="1" x14ac:dyDescent="0.3">
      <c r="A45" s="555" t="s">
        <v>552</v>
      </c>
      <c r="B45" s="568"/>
    </row>
    <row r="46" spans="1:16" s="38" customFormat="1" ht="20.149999999999999" hidden="1" customHeight="1" outlineLevel="1" x14ac:dyDescent="0.25">
      <c r="A46" s="1112" t="s">
        <v>220</v>
      </c>
      <c r="B46" s="580" t="s">
        <v>534</v>
      </c>
      <c r="C46" s="581"/>
      <c r="D46" s="580" t="s">
        <v>533</v>
      </c>
      <c r="E46" s="581"/>
      <c r="F46" s="580" t="s">
        <v>532</v>
      </c>
      <c r="G46" s="581"/>
    </row>
    <row r="47" spans="1:16" s="38" customFormat="1" ht="20.149999999999999" hidden="1" customHeight="1" outlineLevel="1" x14ac:dyDescent="0.25">
      <c r="A47" s="1178"/>
      <c r="B47" s="582" t="s">
        <v>531</v>
      </c>
      <c r="C47" s="583">
        <v>85</v>
      </c>
      <c r="D47" s="582" t="s">
        <v>531</v>
      </c>
      <c r="E47" s="583">
        <v>140</v>
      </c>
      <c r="F47" s="582" t="s">
        <v>531</v>
      </c>
      <c r="G47" s="583">
        <v>20</v>
      </c>
    </row>
    <row r="48" spans="1:16" s="38" customFormat="1" ht="20.149999999999999" hidden="1" customHeight="1" outlineLevel="1" x14ac:dyDescent="0.25">
      <c r="A48" s="1178"/>
      <c r="B48" s="199" t="s">
        <v>224</v>
      </c>
      <c r="C48" s="200" t="s">
        <v>225</v>
      </c>
      <c r="D48" s="199" t="s">
        <v>224</v>
      </c>
      <c r="E48" s="200" t="s">
        <v>225</v>
      </c>
      <c r="F48" s="199" t="s">
        <v>224</v>
      </c>
      <c r="G48" s="200" t="s">
        <v>225</v>
      </c>
    </row>
    <row r="49" spans="1:7" s="38" customFormat="1" ht="20.149999999999999" hidden="1" customHeight="1" outlineLevel="1" thickBot="1" x14ac:dyDescent="0.3">
      <c r="A49" s="1113"/>
      <c r="B49" s="199" t="s">
        <v>227</v>
      </c>
      <c r="C49" s="200" t="s">
        <v>226</v>
      </c>
      <c r="D49" s="199" t="s">
        <v>227</v>
      </c>
      <c r="E49" s="200" t="s">
        <v>226</v>
      </c>
      <c r="F49" s="199" t="s">
        <v>227</v>
      </c>
      <c r="G49" s="200" t="s">
        <v>226</v>
      </c>
    </row>
    <row r="50" spans="1:7" s="38" customFormat="1" ht="20.149999999999999" hidden="1" customHeight="1" outlineLevel="1" x14ac:dyDescent="0.25">
      <c r="A50" s="590">
        <v>2015</v>
      </c>
      <c r="B50" s="703">
        <v>1271530</v>
      </c>
      <c r="C50" s="704">
        <v>234362</v>
      </c>
      <c r="D50" s="703">
        <v>1597820</v>
      </c>
      <c r="E50" s="704">
        <v>328417</v>
      </c>
      <c r="F50" s="703">
        <v>205700</v>
      </c>
      <c r="G50" s="704">
        <v>42694</v>
      </c>
    </row>
    <row r="51" spans="1:7" s="38" customFormat="1" ht="20.149999999999999" hidden="1" customHeight="1" outlineLevel="1" x14ac:dyDescent="0.25">
      <c r="A51" s="429">
        <f>A50+1</f>
        <v>2016</v>
      </c>
      <c r="B51" s="703">
        <v>1427434</v>
      </c>
      <c r="C51" s="704">
        <v>298900</v>
      </c>
      <c r="D51" s="703">
        <v>1824760</v>
      </c>
      <c r="E51" s="704">
        <v>373341</v>
      </c>
      <c r="F51" s="703">
        <v>224218</v>
      </c>
      <c r="G51" s="704">
        <v>48534</v>
      </c>
    </row>
    <row r="52" spans="1:7" s="38" customFormat="1" ht="20.149999999999999" hidden="1" customHeight="1" outlineLevel="1" x14ac:dyDescent="0.25">
      <c r="A52" s="429">
        <f t="shared" ref="A52:A59" si="7">A51+1</f>
        <v>2017</v>
      </c>
      <c r="B52" s="703">
        <v>1310500</v>
      </c>
      <c r="C52" s="704">
        <v>252310</v>
      </c>
      <c r="D52" s="703">
        <v>1766174</v>
      </c>
      <c r="E52" s="704">
        <v>353617</v>
      </c>
      <c r="F52" s="703">
        <v>229820</v>
      </c>
      <c r="G52" s="704">
        <v>45970</v>
      </c>
    </row>
    <row r="53" spans="1:7" s="38" customFormat="1" ht="20.149999999999999" hidden="1" customHeight="1" outlineLevel="1" x14ac:dyDescent="0.25">
      <c r="A53" s="429">
        <f t="shared" si="7"/>
        <v>2018</v>
      </c>
      <c r="B53" s="703">
        <v>1198910</v>
      </c>
      <c r="C53" s="704">
        <v>238843</v>
      </c>
      <c r="D53" s="703">
        <v>1326074</v>
      </c>
      <c r="E53" s="704">
        <v>290457</v>
      </c>
      <c r="F53" s="703">
        <v>162389</v>
      </c>
      <c r="G53" s="704">
        <v>37759</v>
      </c>
    </row>
    <row r="54" spans="1:7" s="38" customFormat="1" ht="20.149999999999999" hidden="1" customHeight="1" outlineLevel="1" x14ac:dyDescent="0.25">
      <c r="A54" s="429">
        <f t="shared" si="7"/>
        <v>2019</v>
      </c>
      <c r="B54" s="703">
        <v>1330140</v>
      </c>
      <c r="C54" s="704">
        <v>262040</v>
      </c>
      <c r="D54" s="703">
        <v>1583939</v>
      </c>
      <c r="E54" s="704">
        <v>348010</v>
      </c>
      <c r="F54" s="703">
        <v>204870</v>
      </c>
      <c r="G54" s="704">
        <v>45241</v>
      </c>
    </row>
    <row r="55" spans="1:7" s="38" customFormat="1" ht="20.149999999999999" hidden="1" customHeight="1" outlineLevel="1" x14ac:dyDescent="0.25">
      <c r="A55" s="429">
        <f t="shared" si="7"/>
        <v>2020</v>
      </c>
      <c r="B55" s="703">
        <v>983960</v>
      </c>
      <c r="C55" s="704">
        <v>233060</v>
      </c>
      <c r="D55" s="703">
        <v>1165110</v>
      </c>
      <c r="E55" s="704">
        <v>282614</v>
      </c>
      <c r="F55" s="703">
        <v>149600</v>
      </c>
      <c r="G55" s="704">
        <v>36739</v>
      </c>
    </row>
    <row r="56" spans="1:7" s="38" customFormat="1" ht="20.149999999999999" hidden="1" customHeight="1" outlineLevel="1" x14ac:dyDescent="0.25">
      <c r="A56" s="429">
        <f t="shared" si="7"/>
        <v>2021</v>
      </c>
      <c r="B56" s="703">
        <v>1199850</v>
      </c>
      <c r="C56" s="704">
        <v>311900</v>
      </c>
      <c r="D56" s="703">
        <v>1494927</v>
      </c>
      <c r="E56" s="704">
        <v>265020</v>
      </c>
      <c r="F56" s="703">
        <v>182900</v>
      </c>
      <c r="G56" s="704">
        <v>34452.6</v>
      </c>
    </row>
    <row r="57" spans="1:7" s="38" customFormat="1" ht="20.149999999999999" hidden="1" customHeight="1" outlineLevel="1" x14ac:dyDescent="0.25">
      <c r="A57" s="429">
        <f t="shared" si="7"/>
        <v>2022</v>
      </c>
      <c r="B57" s="703">
        <v>870920</v>
      </c>
      <c r="C57" s="704">
        <v>212975</v>
      </c>
      <c r="D57" s="85"/>
      <c r="E57" s="591"/>
      <c r="F57" s="85"/>
      <c r="G57" s="591"/>
    </row>
    <row r="58" spans="1:7" s="38" customFormat="1" ht="20.149999999999999" hidden="1" customHeight="1" outlineLevel="1" x14ac:dyDescent="0.25">
      <c r="A58" s="429">
        <f t="shared" si="7"/>
        <v>2023</v>
      </c>
      <c r="B58" s="703">
        <v>1509720</v>
      </c>
      <c r="C58" s="704">
        <v>336390</v>
      </c>
      <c r="D58" s="85"/>
      <c r="E58" s="591"/>
      <c r="F58" s="85"/>
      <c r="G58" s="591"/>
    </row>
    <row r="59" spans="1:7" s="38" customFormat="1" ht="20.149999999999999" hidden="1" customHeight="1" outlineLevel="1" x14ac:dyDescent="0.25">
      <c r="A59" s="429">
        <f t="shared" si="7"/>
        <v>2024</v>
      </c>
      <c r="B59" s="703">
        <v>1084800</v>
      </c>
      <c r="C59" s="704">
        <v>229212</v>
      </c>
      <c r="D59" s="85"/>
      <c r="E59" s="591"/>
      <c r="F59" s="85"/>
      <c r="G59" s="591"/>
    </row>
    <row r="60" spans="1:7" s="38" customFormat="1" ht="20.149999999999999" hidden="1" customHeight="1" outlineLevel="1" x14ac:dyDescent="0.25">
      <c r="A60" s="744" t="s">
        <v>535</v>
      </c>
      <c r="B60" s="745">
        <f>SUM(B50:B59)/10/C47</f>
        <v>14338.545882352941</v>
      </c>
      <c r="C60" s="746">
        <f>SUM(C50:C56)/10/C47</f>
        <v>2154.6058823529411</v>
      </c>
      <c r="D60" s="745">
        <f>SUM(D50:D56)/7/E47</f>
        <v>10978.371428571429</v>
      </c>
      <c r="E60" s="746">
        <f>SUM(E50:E56)/7/E47</f>
        <v>2287.2204081632653</v>
      </c>
      <c r="F60" s="745">
        <f>SUM(F50:F56)/7/G47</f>
        <v>9710.6928571428562</v>
      </c>
      <c r="G60" s="746">
        <f>SUM(G50:G56)/7/G47</f>
        <v>2081.3542857142857</v>
      </c>
    </row>
    <row r="61" spans="1:7" s="38" customFormat="1" ht="20.149999999999999" hidden="1" customHeight="1" outlineLevel="1" x14ac:dyDescent="0.25">
      <c r="A61" s="747" t="s">
        <v>171</v>
      </c>
      <c r="B61" s="748" t="s">
        <v>537</v>
      </c>
      <c r="C61" s="749">
        <v>14.3</v>
      </c>
      <c r="D61" s="750" t="s">
        <v>537</v>
      </c>
      <c r="E61" s="749">
        <v>11</v>
      </c>
      <c r="F61" s="750" t="s">
        <v>537</v>
      </c>
      <c r="G61" s="749">
        <v>10</v>
      </c>
    </row>
    <row r="62" spans="1:7" s="38" customFormat="1" ht="20.149999999999999" hidden="1" customHeight="1" outlineLevel="1" thickBot="1" x14ac:dyDescent="0.3">
      <c r="A62" s="751" t="s">
        <v>171</v>
      </c>
      <c r="B62" s="752" t="s">
        <v>536</v>
      </c>
      <c r="C62" s="753">
        <v>2200</v>
      </c>
      <c r="D62" s="754" t="s">
        <v>536</v>
      </c>
      <c r="E62" s="753">
        <v>2300</v>
      </c>
      <c r="F62" s="754" t="s">
        <v>536</v>
      </c>
      <c r="G62" s="753">
        <v>2100</v>
      </c>
    </row>
    <row r="63" spans="1:7" ht="13" hidden="1" outlineLevel="1" thickBot="1" x14ac:dyDescent="0.3"/>
    <row r="64" spans="1:7" s="563" customFormat="1" ht="30" customHeight="1" collapsed="1" thickBot="1" x14ac:dyDescent="0.3">
      <c r="A64" s="555" t="s">
        <v>571</v>
      </c>
      <c r="B64" s="568"/>
    </row>
    <row r="65" spans="1:13" s="38" customFormat="1" ht="20.149999999999999" hidden="1" customHeight="1" outlineLevel="1" x14ac:dyDescent="0.25">
      <c r="A65" s="623" t="s">
        <v>250</v>
      </c>
      <c r="B65" s="624">
        <v>0.85</v>
      </c>
    </row>
    <row r="66" spans="1:13" s="38" customFormat="1" ht="20.149999999999999" hidden="1" customHeight="1" outlineLevel="1" thickBot="1" x14ac:dyDescent="0.3"/>
    <row r="67" spans="1:13" s="38" customFormat="1" ht="20.149999999999999" hidden="1" customHeight="1" outlineLevel="1" thickBot="1" x14ac:dyDescent="0.3">
      <c r="A67" s="592" t="s">
        <v>229</v>
      </c>
      <c r="B67" s="593"/>
      <c r="C67" s="593"/>
      <c r="D67" s="593"/>
      <c r="E67" s="593"/>
      <c r="F67" s="593"/>
      <c r="G67" s="593"/>
      <c r="H67" s="593"/>
      <c r="I67" s="593"/>
      <c r="J67" s="593"/>
      <c r="K67" s="593"/>
      <c r="L67" s="593"/>
      <c r="M67" s="594"/>
    </row>
    <row r="68" spans="1:13" s="38" customFormat="1" ht="20.149999999999999" hidden="1" customHeight="1" outlineLevel="1" thickBot="1" x14ac:dyDescent="0.3">
      <c r="A68" s="595" t="s">
        <v>230</v>
      </c>
      <c r="B68" s="596"/>
      <c r="C68" s="596"/>
      <c r="D68" s="596"/>
      <c r="E68" s="596"/>
      <c r="F68" s="596"/>
      <c r="G68" s="596"/>
      <c r="H68" s="596"/>
      <c r="I68" s="596"/>
      <c r="J68" s="596"/>
      <c r="K68" s="596"/>
      <c r="L68" s="596"/>
      <c r="M68" s="597"/>
    </row>
    <row r="69" spans="1:13" s="38" customFormat="1" ht="20.149999999999999" hidden="1" customHeight="1" outlineLevel="1" thickBot="1" x14ac:dyDescent="0.3">
      <c r="A69" s="522" t="s">
        <v>231</v>
      </c>
      <c r="B69" s="598" t="s">
        <v>232</v>
      </c>
      <c r="C69" s="598" t="s">
        <v>233</v>
      </c>
      <c r="D69" s="598" t="s">
        <v>234</v>
      </c>
      <c r="E69" s="598" t="s">
        <v>235</v>
      </c>
      <c r="F69" s="598" t="s">
        <v>236</v>
      </c>
      <c r="G69" s="598" t="s">
        <v>237</v>
      </c>
      <c r="H69" s="598" t="s">
        <v>238</v>
      </c>
      <c r="I69" s="598" t="s">
        <v>239</v>
      </c>
      <c r="J69" s="598" t="s">
        <v>240</v>
      </c>
      <c r="K69" s="598" t="s">
        <v>241</v>
      </c>
      <c r="L69" s="598" t="s">
        <v>242</v>
      </c>
      <c r="M69" s="599" t="s">
        <v>243</v>
      </c>
    </row>
    <row r="70" spans="1:13" s="38" customFormat="1" ht="20.149999999999999" hidden="1" customHeight="1" outlineLevel="1" x14ac:dyDescent="0.25">
      <c r="A70" s="21" t="s">
        <v>260</v>
      </c>
      <c r="B70" s="699">
        <v>0.4</v>
      </c>
      <c r="C70" s="308"/>
      <c r="D70" s="308"/>
      <c r="E70" s="308"/>
      <c r="F70" s="308"/>
      <c r="G70" s="308"/>
      <c r="H70" s="308"/>
      <c r="I70" s="308"/>
      <c r="J70" s="308"/>
      <c r="K70" s="699">
        <v>0.3</v>
      </c>
      <c r="L70" s="699">
        <v>0.7</v>
      </c>
      <c r="M70" s="700">
        <v>1</v>
      </c>
    </row>
    <row r="71" spans="1:13" s="38" customFormat="1" ht="20.149999999999999" hidden="1" customHeight="1" outlineLevel="1" thickBot="1" x14ac:dyDescent="0.3">
      <c r="A71" s="41" t="s">
        <v>538</v>
      </c>
      <c r="B71" s="309"/>
      <c r="C71" s="705">
        <v>0.6</v>
      </c>
      <c r="D71" s="705">
        <v>0.9</v>
      </c>
      <c r="E71" s="705">
        <v>1.1000000000000001</v>
      </c>
      <c r="F71" s="705">
        <v>0.9</v>
      </c>
      <c r="G71" s="705">
        <v>0.4</v>
      </c>
      <c r="H71" s="309"/>
      <c r="I71" s="309"/>
      <c r="J71" s="309"/>
      <c r="K71" s="309"/>
      <c r="L71" s="309"/>
      <c r="M71" s="587"/>
    </row>
    <row r="72" spans="1:13" s="38" customFormat="1" ht="20.149999999999999" hidden="1" customHeight="1" outlineLevel="1" thickBot="1" x14ac:dyDescent="0.3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</row>
    <row r="73" spans="1:13" s="38" customFormat="1" ht="20.149999999999999" hidden="1" customHeight="1" outlineLevel="1" thickBot="1" x14ac:dyDescent="0.3">
      <c r="A73" s="595" t="s">
        <v>244</v>
      </c>
      <c r="B73" s="596"/>
      <c r="C73" s="596"/>
      <c r="D73" s="596"/>
      <c r="E73" s="596"/>
      <c r="F73" s="596"/>
      <c r="G73" s="596"/>
      <c r="H73" s="596"/>
      <c r="I73" s="596"/>
      <c r="J73" s="596"/>
      <c r="K73" s="596"/>
      <c r="L73" s="596"/>
      <c r="M73" s="597"/>
    </row>
    <row r="74" spans="1:13" s="38" customFormat="1" ht="20.149999999999999" hidden="1" customHeight="1" outlineLevel="1" thickBot="1" x14ac:dyDescent="0.3">
      <c r="A74" s="522" t="s">
        <v>231</v>
      </c>
      <c r="B74" s="598" t="s">
        <v>232</v>
      </c>
      <c r="C74" s="598" t="s">
        <v>233</v>
      </c>
      <c r="D74" s="598" t="s">
        <v>234</v>
      </c>
      <c r="E74" s="598" t="s">
        <v>235</v>
      </c>
      <c r="F74" s="598" t="s">
        <v>236</v>
      </c>
      <c r="G74" s="598" t="s">
        <v>237</v>
      </c>
      <c r="H74" s="598" t="s">
        <v>238</v>
      </c>
      <c r="I74" s="598" t="s">
        <v>239</v>
      </c>
      <c r="J74" s="598" t="s">
        <v>240</v>
      </c>
      <c r="K74" s="598" t="s">
        <v>241</v>
      </c>
      <c r="L74" s="598" t="s">
        <v>242</v>
      </c>
      <c r="M74" s="599" t="s">
        <v>243</v>
      </c>
    </row>
    <row r="75" spans="1:13" s="38" customFormat="1" ht="20.149999999999999" hidden="1" customHeight="1" outlineLevel="1" thickBot="1" x14ac:dyDescent="0.3">
      <c r="A75" s="132" t="s">
        <v>245</v>
      </c>
      <c r="B75" s="706">
        <v>1.05</v>
      </c>
      <c r="C75" s="706">
        <v>1.05</v>
      </c>
      <c r="D75" s="706">
        <v>0.9</v>
      </c>
      <c r="E75" s="706">
        <v>0.8</v>
      </c>
      <c r="F75" s="706">
        <v>0</v>
      </c>
      <c r="G75" s="706">
        <v>0</v>
      </c>
      <c r="H75" s="706">
        <v>0.6</v>
      </c>
      <c r="I75" s="706">
        <v>0.8</v>
      </c>
      <c r="J75" s="706">
        <v>0.9</v>
      </c>
      <c r="K75" s="706">
        <v>1</v>
      </c>
      <c r="L75" s="706">
        <v>1.05</v>
      </c>
      <c r="M75" s="707">
        <v>1.05</v>
      </c>
    </row>
    <row r="76" spans="1:13" s="38" customFormat="1" ht="20.149999999999999" hidden="1" customHeight="1" outlineLevel="1" thickBot="1" x14ac:dyDescent="0.3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</row>
    <row r="77" spans="1:13" s="38" customFormat="1" ht="20.149999999999999" hidden="1" customHeight="1" outlineLevel="1" thickBot="1" x14ac:dyDescent="0.3">
      <c r="A77" s="595" t="s">
        <v>246</v>
      </c>
      <c r="B77" s="596"/>
      <c r="C77" s="596"/>
      <c r="D77" s="596"/>
      <c r="E77" s="596"/>
      <c r="F77" s="596"/>
      <c r="G77" s="596"/>
      <c r="H77" s="596"/>
      <c r="I77" s="596"/>
      <c r="J77" s="596"/>
      <c r="K77" s="596"/>
      <c r="L77" s="596"/>
      <c r="M77" s="597"/>
    </row>
    <row r="78" spans="1:13" s="38" customFormat="1" ht="20.149999999999999" hidden="1" customHeight="1" outlineLevel="1" thickBot="1" x14ac:dyDescent="0.3">
      <c r="A78" s="522" t="s">
        <v>231</v>
      </c>
      <c r="B78" s="598" t="s">
        <v>232</v>
      </c>
      <c r="C78" s="598" t="s">
        <v>233</v>
      </c>
      <c r="D78" s="598" t="s">
        <v>234</v>
      </c>
      <c r="E78" s="598" t="s">
        <v>235</v>
      </c>
      <c r="F78" s="598" t="s">
        <v>236</v>
      </c>
      <c r="G78" s="598" t="s">
        <v>237</v>
      </c>
      <c r="H78" s="598" t="s">
        <v>238</v>
      </c>
      <c r="I78" s="598" t="s">
        <v>239</v>
      </c>
      <c r="J78" s="598" t="s">
        <v>240</v>
      </c>
      <c r="K78" s="598" t="s">
        <v>241</v>
      </c>
      <c r="L78" s="598" t="s">
        <v>242</v>
      </c>
      <c r="M78" s="599" t="s">
        <v>243</v>
      </c>
    </row>
    <row r="79" spans="1:13" s="38" customFormat="1" ht="20.149999999999999" hidden="1" customHeight="1" outlineLevel="1" x14ac:dyDescent="0.25">
      <c r="A79" s="21" t="s">
        <v>539</v>
      </c>
      <c r="B79" s="699">
        <v>0.9</v>
      </c>
      <c r="C79" s="699">
        <v>0.4</v>
      </c>
      <c r="D79" s="308"/>
      <c r="E79" s="308"/>
      <c r="F79" s="308"/>
      <c r="G79" s="308"/>
      <c r="H79" s="308"/>
      <c r="I79" s="308"/>
      <c r="J79" s="308"/>
      <c r="K79" s="699">
        <v>0.4</v>
      </c>
      <c r="L79" s="699">
        <v>0.7</v>
      </c>
      <c r="M79" s="700">
        <v>1.1000000000000001</v>
      </c>
    </row>
    <row r="80" spans="1:13" s="38" customFormat="1" ht="20.149999999999999" hidden="1" customHeight="1" outlineLevel="1" thickBot="1" x14ac:dyDescent="0.3">
      <c r="A80" s="41" t="s">
        <v>248</v>
      </c>
      <c r="B80" s="309"/>
      <c r="C80" s="309"/>
      <c r="D80" s="309"/>
      <c r="E80" s="705">
        <v>0.4</v>
      </c>
      <c r="F80" s="705">
        <v>0.9</v>
      </c>
      <c r="G80" s="705">
        <v>1.1000000000000001</v>
      </c>
      <c r="H80" s="705">
        <v>0.4</v>
      </c>
      <c r="I80" s="309"/>
      <c r="J80" s="309"/>
      <c r="K80" s="309"/>
      <c r="L80" s="309"/>
      <c r="M80" s="587"/>
    </row>
    <row r="81" spans="1:14" s="38" customFormat="1" ht="20.149999999999999" hidden="1" customHeight="1" outlineLevel="1" thickBot="1" x14ac:dyDescent="0.3"/>
    <row r="82" spans="1:14" s="38" customFormat="1" ht="20.149999999999999" hidden="1" customHeight="1" outlineLevel="1" thickBot="1" x14ac:dyDescent="0.3">
      <c r="A82" s="592" t="s">
        <v>546</v>
      </c>
      <c r="B82" s="593"/>
      <c r="C82" s="593"/>
      <c r="D82" s="593"/>
      <c r="E82" s="593"/>
      <c r="F82" s="593"/>
      <c r="G82" s="593"/>
      <c r="H82" s="593"/>
      <c r="I82" s="593"/>
      <c r="J82" s="593"/>
      <c r="K82" s="593"/>
      <c r="L82" s="593"/>
      <c r="M82" s="593"/>
      <c r="N82" s="601"/>
    </row>
    <row r="83" spans="1:14" s="38" customFormat="1" ht="20.149999999999999" hidden="1" customHeight="1" outlineLevel="1" thickBot="1" x14ac:dyDescent="0.3">
      <c r="A83" s="595" t="s">
        <v>230</v>
      </c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595"/>
    </row>
    <row r="84" spans="1:14" s="38" customFormat="1" ht="20.149999999999999" hidden="1" customHeight="1" outlineLevel="1" thickBot="1" x14ac:dyDescent="0.3">
      <c r="A84" s="522" t="s">
        <v>231</v>
      </c>
      <c r="B84" s="598" t="s">
        <v>232</v>
      </c>
      <c r="C84" s="598" t="s">
        <v>233</v>
      </c>
      <c r="D84" s="598" t="s">
        <v>234</v>
      </c>
      <c r="E84" s="598" t="s">
        <v>235</v>
      </c>
      <c r="F84" s="598" t="s">
        <v>236</v>
      </c>
      <c r="G84" s="598" t="s">
        <v>237</v>
      </c>
      <c r="H84" s="598" t="s">
        <v>238</v>
      </c>
      <c r="I84" s="598" t="s">
        <v>239</v>
      </c>
      <c r="J84" s="598" t="s">
        <v>240</v>
      </c>
      <c r="K84" s="598" t="s">
        <v>241</v>
      </c>
      <c r="L84" s="598" t="s">
        <v>242</v>
      </c>
      <c r="M84" s="598" t="s">
        <v>243</v>
      </c>
      <c r="N84" s="527" t="s">
        <v>249</v>
      </c>
    </row>
    <row r="85" spans="1:14" s="38" customFormat="1" ht="20.149999999999999" hidden="1" customHeight="1" outlineLevel="1" x14ac:dyDescent="0.25">
      <c r="A85" s="514" t="s">
        <v>260</v>
      </c>
      <c r="B85" s="308"/>
      <c r="C85" s="308"/>
      <c r="D85" s="308"/>
      <c r="E85" s="308"/>
      <c r="F85" s="308"/>
      <c r="G85" s="308"/>
      <c r="H85" s="308"/>
      <c r="I85" s="308"/>
      <c r="J85" s="308"/>
      <c r="K85" s="699">
        <f>((L11*K70/$B$65)-L13)*10/1000</f>
        <v>0.3333147058823529</v>
      </c>
      <c r="L85" s="699">
        <f>((M11*L70/$B$65)-M13)*10/1000</f>
        <v>0.6057441176470586</v>
      </c>
      <c r="M85" s="699">
        <f>((N11*M70/$B$65)-N13)*10/1000</f>
        <v>0.7913558823529413</v>
      </c>
      <c r="N85" s="585">
        <f>SUM(B85:M85)</f>
        <v>1.7304147058823527</v>
      </c>
    </row>
    <row r="86" spans="1:14" s="38" customFormat="1" ht="20.149999999999999" hidden="1" customHeight="1" outlineLevel="1" thickBot="1" x14ac:dyDescent="0.3">
      <c r="A86" s="192" t="s">
        <v>538</v>
      </c>
      <c r="B86" s="309"/>
      <c r="C86" s="705">
        <f>((D11*C71/$B$65)-D13)*10/1000</f>
        <v>0.66745294117647047</v>
      </c>
      <c r="D86" s="705">
        <f>((E11*D71/$B$65)-E13)*10/1000</f>
        <v>1.1670882352941176</v>
      </c>
      <c r="E86" s="705">
        <f>((F11*E71/$B$65)-F13)*10/1000</f>
        <v>1.6046058823529414</v>
      </c>
      <c r="F86" s="705">
        <f>((G11*F71/$B$65)-G13)*10/1000</f>
        <v>1.2757647058823531</v>
      </c>
      <c r="G86" s="705">
        <f>((H11*G71/$B$65)-H13)*10/1000</f>
        <v>0.51193529411764715</v>
      </c>
      <c r="H86" s="309"/>
      <c r="I86" s="309"/>
      <c r="J86" s="309"/>
      <c r="K86" s="309"/>
      <c r="L86" s="309"/>
      <c r="M86" s="309"/>
      <c r="N86" s="587">
        <f>SUM(B86:M86)</f>
        <v>5.2268470588235294</v>
      </c>
    </row>
    <row r="87" spans="1:14" s="38" customFormat="1" ht="20.149999999999999" hidden="1" customHeight="1" outlineLevel="1" thickBot="1" x14ac:dyDescent="0.3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449"/>
    </row>
    <row r="88" spans="1:14" s="38" customFormat="1" ht="20.149999999999999" hidden="1" customHeight="1" outlineLevel="1" thickBot="1" x14ac:dyDescent="0.3">
      <c r="A88" s="595" t="s">
        <v>244</v>
      </c>
      <c r="B88" s="596"/>
      <c r="C88" s="596"/>
      <c r="D88" s="596"/>
      <c r="E88" s="596"/>
      <c r="F88" s="596"/>
      <c r="G88" s="596"/>
      <c r="H88" s="596"/>
      <c r="I88" s="596"/>
      <c r="J88" s="596"/>
      <c r="K88" s="596"/>
      <c r="L88" s="596"/>
      <c r="M88" s="597"/>
      <c r="N88" s="595"/>
    </row>
    <row r="89" spans="1:14" s="38" customFormat="1" ht="20.149999999999999" hidden="1" customHeight="1" outlineLevel="1" thickBot="1" x14ac:dyDescent="0.3">
      <c r="A89" s="522" t="s">
        <v>231</v>
      </c>
      <c r="B89" s="598" t="s">
        <v>232</v>
      </c>
      <c r="C89" s="598" t="s">
        <v>233</v>
      </c>
      <c r="D89" s="598" t="s">
        <v>234</v>
      </c>
      <c r="E89" s="598" t="s">
        <v>235</v>
      </c>
      <c r="F89" s="598" t="s">
        <v>236</v>
      </c>
      <c r="G89" s="598" t="s">
        <v>237</v>
      </c>
      <c r="H89" s="598" t="s">
        <v>238</v>
      </c>
      <c r="I89" s="598" t="s">
        <v>239</v>
      </c>
      <c r="J89" s="598" t="s">
        <v>240</v>
      </c>
      <c r="K89" s="598" t="s">
        <v>241</v>
      </c>
      <c r="L89" s="598" t="s">
        <v>242</v>
      </c>
      <c r="M89" s="598" t="s">
        <v>243</v>
      </c>
      <c r="N89" s="523" t="s">
        <v>249</v>
      </c>
    </row>
    <row r="90" spans="1:14" s="38" customFormat="1" ht="20.149999999999999" hidden="1" customHeight="1" outlineLevel="1" thickBot="1" x14ac:dyDescent="0.3">
      <c r="A90" s="518" t="s">
        <v>245</v>
      </c>
      <c r="B90" s="706">
        <f>((C11*B75/$B$65)-C13)*10/1000</f>
        <v>1.2952970588235297</v>
      </c>
      <c r="C90" s="706">
        <f>((D11*C75/$B$65)-D13)*10/1000</f>
        <v>1.5182176470588233</v>
      </c>
      <c r="D90" s="706">
        <f>((E11*D75/$B$65)-E13)*10/1000</f>
        <v>1.1670882352941176</v>
      </c>
      <c r="E90" s="706">
        <f>((F11*E75/$B$65)-F13)*10/1000</f>
        <v>1.1069588235294119</v>
      </c>
      <c r="F90" s="530"/>
      <c r="G90" s="530"/>
      <c r="H90" s="706">
        <f t="shared" ref="H90:M90" si="8">((I11*H75/$B$65)-I13)*10/1000</f>
        <v>0.92057058823529403</v>
      </c>
      <c r="I90" s="706">
        <f t="shared" si="8"/>
        <v>1.4967647058823528</v>
      </c>
      <c r="J90" s="706">
        <f t="shared" si="8"/>
        <v>1.7499529411764709</v>
      </c>
      <c r="K90" s="706">
        <f t="shared" si="8"/>
        <v>1.9404323529411767</v>
      </c>
      <c r="L90" s="706">
        <f t="shared" si="8"/>
        <v>1.2842911764705882</v>
      </c>
      <c r="M90" s="706">
        <f t="shared" si="8"/>
        <v>0.88369117647058826</v>
      </c>
      <c r="N90" s="600">
        <f>SUM(B90:M90)</f>
        <v>13.363264705882353</v>
      </c>
    </row>
    <row r="91" spans="1:14" s="38" customFormat="1" ht="20.149999999999999" hidden="1" customHeight="1" outlineLevel="1" thickBot="1" x14ac:dyDescent="0.3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</row>
    <row r="92" spans="1:14" s="38" customFormat="1" ht="20.149999999999999" hidden="1" customHeight="1" outlineLevel="1" thickBot="1" x14ac:dyDescent="0.3">
      <c r="A92" s="595" t="s">
        <v>246</v>
      </c>
      <c r="B92" s="596"/>
      <c r="C92" s="596"/>
      <c r="D92" s="596"/>
      <c r="E92" s="596"/>
      <c r="F92" s="596"/>
      <c r="G92" s="596"/>
      <c r="H92" s="596"/>
      <c r="I92" s="596"/>
      <c r="J92" s="596"/>
      <c r="K92" s="596"/>
      <c r="L92" s="596"/>
      <c r="M92" s="597"/>
      <c r="N92" s="755"/>
    </row>
    <row r="93" spans="1:14" s="38" customFormat="1" ht="20.149999999999999" hidden="1" customHeight="1" outlineLevel="1" thickBot="1" x14ac:dyDescent="0.3">
      <c r="A93" s="522" t="s">
        <v>231</v>
      </c>
      <c r="B93" s="598" t="s">
        <v>232</v>
      </c>
      <c r="C93" s="598" t="s">
        <v>233</v>
      </c>
      <c r="D93" s="598" t="s">
        <v>234</v>
      </c>
      <c r="E93" s="598" t="s">
        <v>235</v>
      </c>
      <c r="F93" s="598" t="s">
        <v>236</v>
      </c>
      <c r="G93" s="598" t="s">
        <v>237</v>
      </c>
      <c r="H93" s="598" t="s">
        <v>238</v>
      </c>
      <c r="I93" s="598" t="s">
        <v>239</v>
      </c>
      <c r="J93" s="598" t="s">
        <v>240</v>
      </c>
      <c r="K93" s="598" t="s">
        <v>241</v>
      </c>
      <c r="L93" s="598" t="s">
        <v>242</v>
      </c>
      <c r="M93" s="598" t="s">
        <v>243</v>
      </c>
      <c r="N93" s="523" t="s">
        <v>249</v>
      </c>
    </row>
    <row r="94" spans="1:14" s="38" customFormat="1" ht="20.149999999999999" hidden="1" customHeight="1" outlineLevel="1" x14ac:dyDescent="0.25">
      <c r="A94" s="21" t="s">
        <v>247</v>
      </c>
      <c r="B94" s="699">
        <f>((C11*B79/$B$65)-C13)*10/1000</f>
        <v>0.97966176470588251</v>
      </c>
      <c r="C94" s="699">
        <f>((D11*C79/$B$65)-D13)*10/1000</f>
        <v>0.28933529411764708</v>
      </c>
      <c r="D94" s="308"/>
      <c r="E94" s="308"/>
      <c r="F94" s="308"/>
      <c r="G94" s="308"/>
      <c r="H94" s="308"/>
      <c r="I94" s="308"/>
      <c r="J94" s="308"/>
      <c r="K94" s="699">
        <f>((L11*K79/$B$65)-L13)*10/1000</f>
        <v>0.56290294117647066</v>
      </c>
      <c r="L94" s="699">
        <f>((M11*L79/$B$65)-M13)*10/1000</f>
        <v>0.6057441176470586</v>
      </c>
      <c r="M94" s="699">
        <f>((N11*M79/$B$65)-N13)*10/1000</f>
        <v>0.97602647058823555</v>
      </c>
      <c r="N94" s="585">
        <f>SUM(B94:M94)</f>
        <v>3.4136705882352945</v>
      </c>
    </row>
    <row r="95" spans="1:14" s="38" customFormat="1" ht="20.149999999999999" hidden="1" customHeight="1" outlineLevel="1" thickBot="1" x14ac:dyDescent="0.3">
      <c r="A95" s="41" t="s">
        <v>248</v>
      </c>
      <c r="B95" s="309"/>
      <c r="C95" s="309"/>
      <c r="D95" s="309"/>
      <c r="E95" s="309"/>
      <c r="F95" s="705">
        <f>((G11*F80/$B$65)-G13)*10/1000</f>
        <v>1.2757647058823531</v>
      </c>
      <c r="G95" s="705">
        <f>((H11*G80/$B$65)-H13)*10/1000</f>
        <v>1.4559470588235295</v>
      </c>
      <c r="H95" s="705">
        <f>((I11*H80/$B$65)-I13)*10/1000</f>
        <v>0.60974705882352953</v>
      </c>
      <c r="I95" s="309"/>
      <c r="J95" s="309"/>
      <c r="K95" s="309"/>
      <c r="L95" s="309"/>
      <c r="M95" s="309"/>
      <c r="N95" s="587">
        <f>SUM(B95:M95)</f>
        <v>3.341458823529412</v>
      </c>
    </row>
    <row r="96" spans="1:14" s="38" customFormat="1" ht="20.149999999999999" hidden="1" customHeight="1" outlineLevel="1" thickBot="1" x14ac:dyDescent="0.3"/>
    <row r="97" spans="1:6" s="38" customFormat="1" ht="20.149999999999999" hidden="1" customHeight="1" outlineLevel="1" thickBot="1" x14ac:dyDescent="0.3">
      <c r="A97" s="592" t="s">
        <v>545</v>
      </c>
      <c r="B97" s="593"/>
      <c r="C97" s="593"/>
      <c r="D97" s="593"/>
      <c r="E97" s="593"/>
      <c r="F97" s="594"/>
    </row>
    <row r="98" spans="1:6" s="38" customFormat="1" ht="26.5" hidden="1" outlineLevel="1" thickBot="1" x14ac:dyDescent="0.3">
      <c r="A98" s="519" t="s">
        <v>231</v>
      </c>
      <c r="B98" s="602" t="s">
        <v>544</v>
      </c>
      <c r="C98" s="602" t="s">
        <v>540</v>
      </c>
      <c r="D98" s="520" t="s">
        <v>541</v>
      </c>
      <c r="E98" s="602" t="s">
        <v>542</v>
      </c>
      <c r="F98" s="603" t="s">
        <v>543</v>
      </c>
    </row>
    <row r="99" spans="1:6" s="38" customFormat="1" ht="20.149999999999999" hidden="1" customHeight="1" outlineLevel="1" x14ac:dyDescent="0.25">
      <c r="A99" s="66" t="s">
        <v>260</v>
      </c>
      <c r="B99" s="307">
        <f>$B$105*N85*1000</f>
        <v>129781.10294117645</v>
      </c>
      <c r="C99" s="307">
        <f>B99/$B$106</f>
        <v>422.73974899406011</v>
      </c>
      <c r="D99" s="307">
        <f>C99*$B$108</f>
        <v>20069.569583493001</v>
      </c>
      <c r="E99" s="307">
        <f>D99/$B$105</f>
        <v>267.59426111324001</v>
      </c>
      <c r="F99" s="604">
        <f>N85</f>
        <v>1.7304147058823527</v>
      </c>
    </row>
    <row r="100" spans="1:6" s="38" customFormat="1" ht="20.149999999999999" hidden="1" customHeight="1" outlineLevel="1" x14ac:dyDescent="0.25">
      <c r="A100" s="66" t="s">
        <v>538</v>
      </c>
      <c r="B100" s="307">
        <f>$B$105*N86*1000</f>
        <v>392013.5294117647</v>
      </c>
      <c r="C100" s="307">
        <f>B100/$B$106</f>
        <v>1276.917033914543</v>
      </c>
      <c r="D100" s="307">
        <f>C100*$B$108</f>
        <v>60621.636185092924</v>
      </c>
      <c r="E100" s="307">
        <f>D100/$B$105</f>
        <v>808.28848246790562</v>
      </c>
      <c r="F100" s="604">
        <f>N86</f>
        <v>5.2268470588235294</v>
      </c>
    </row>
    <row r="101" spans="1:6" s="38" customFormat="1" ht="20.149999999999999" hidden="1" customHeight="1" outlineLevel="1" x14ac:dyDescent="0.25">
      <c r="A101" s="66" t="s">
        <v>245</v>
      </c>
      <c r="B101" s="307">
        <f>$B$105*N90*1000</f>
        <v>1002244.8529411764</v>
      </c>
      <c r="C101" s="307">
        <f>B101/$B$106</f>
        <v>3264.6412147921055</v>
      </c>
      <c r="D101" s="307">
        <f>C101*$B$108</f>
        <v>154988.84167225519</v>
      </c>
      <c r="E101" s="307">
        <f>D101/$B$105</f>
        <v>2066.5178889634026</v>
      </c>
      <c r="F101" s="604">
        <f>N90</f>
        <v>13.363264705882353</v>
      </c>
    </row>
    <row r="102" spans="1:6" s="38" customFormat="1" ht="20.149999999999999" hidden="1" customHeight="1" outlineLevel="1" x14ac:dyDescent="0.25">
      <c r="A102" s="66" t="s">
        <v>539</v>
      </c>
      <c r="B102" s="307">
        <f>$B$105*N94*1000</f>
        <v>256025.29411764711</v>
      </c>
      <c r="C102" s="307">
        <f>B102/$B$106</f>
        <v>833.95861276106552</v>
      </c>
      <c r="D102" s="307">
        <f>C102*$B$108</f>
        <v>39592.185140831578</v>
      </c>
      <c r="E102" s="307">
        <f>D102/$B$105</f>
        <v>527.89580187775437</v>
      </c>
      <c r="F102" s="604">
        <f>N94</f>
        <v>3.4136705882352945</v>
      </c>
    </row>
    <row r="103" spans="1:6" s="38" customFormat="1" ht="20.149999999999999" hidden="1" customHeight="1" outlineLevel="1" thickBot="1" x14ac:dyDescent="0.3">
      <c r="A103" s="192" t="s">
        <v>248</v>
      </c>
      <c r="B103" s="309">
        <f>$B$105*N95*1000</f>
        <v>250609.4117647059</v>
      </c>
      <c r="C103" s="309">
        <f>B103/$B$106</f>
        <v>816.31730216516576</v>
      </c>
      <c r="D103" s="309">
        <f>C103*$B$108</f>
        <v>38754.663920291241</v>
      </c>
      <c r="E103" s="309">
        <f>D103/$B$105</f>
        <v>516.72885227054985</v>
      </c>
      <c r="F103" s="605">
        <f>N95</f>
        <v>3.341458823529412</v>
      </c>
    </row>
    <row r="104" spans="1:6" s="38" customFormat="1" ht="20.149999999999999" hidden="1" customHeight="1" outlineLevel="1" x14ac:dyDescent="0.25">
      <c r="A104" s="528" t="s">
        <v>553</v>
      </c>
      <c r="B104" s="486"/>
    </row>
    <row r="105" spans="1:6" s="38" customFormat="1" ht="13" hidden="1" outlineLevel="1" x14ac:dyDescent="0.25">
      <c r="A105" s="521" t="s">
        <v>548</v>
      </c>
      <c r="B105" s="756">
        <v>75</v>
      </c>
    </row>
    <row r="106" spans="1:6" s="38" customFormat="1" ht="13" hidden="1" outlineLevel="1" x14ac:dyDescent="0.25">
      <c r="A106" s="521" t="s">
        <v>551</v>
      </c>
      <c r="B106" s="756">
        <v>307</v>
      </c>
    </row>
    <row r="107" spans="1:6" s="38" customFormat="1" ht="13" hidden="1" outlineLevel="1" x14ac:dyDescent="0.25">
      <c r="A107" s="521" t="s">
        <v>549</v>
      </c>
      <c r="B107" s="756">
        <v>63.3</v>
      </c>
    </row>
    <row r="108" spans="1:6" s="38" customFormat="1" ht="13" hidden="1" outlineLevel="1" x14ac:dyDescent="0.25">
      <c r="A108" s="521" t="s">
        <v>550</v>
      </c>
      <c r="B108" s="756">
        <f>B107*0.75</f>
        <v>47.474999999999994</v>
      </c>
    </row>
  </sheetData>
  <mergeCells count="6">
    <mergeCell ref="B5:B6"/>
    <mergeCell ref="A5:A6"/>
    <mergeCell ref="A46:A49"/>
    <mergeCell ref="A35:A36"/>
    <mergeCell ref="A26:A27"/>
    <mergeCell ref="A17:A18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BFE0-9BED-42D9-8C14-5ACE785C0245}">
  <sheetPr codeName="Plan1">
    <tabColor theme="6" tint="0.79998168889431442"/>
    <pageSetUpPr fitToPage="1"/>
  </sheetPr>
  <dimension ref="A2:J63"/>
  <sheetViews>
    <sheetView showGridLines="0" topLeftCell="A40" zoomScale="80" zoomScaleNormal="80" workbookViewId="0">
      <selection activeCell="A54" sqref="A54"/>
    </sheetView>
  </sheetViews>
  <sheetFormatPr defaultColWidth="0" defaultRowHeight="12.5" x14ac:dyDescent="0.25"/>
  <cols>
    <col min="1" max="1" width="40.7265625" style="6" bestFit="1" customWidth="1"/>
    <col min="2" max="2" width="18.26953125" style="6" bestFit="1" customWidth="1"/>
    <col min="3" max="3" width="6.453125" style="14" bestFit="1" customWidth="1"/>
    <col min="4" max="4" width="10.7265625" style="517" customWidth="1"/>
    <col min="5" max="5" width="9.1796875" style="6" customWidth="1"/>
    <col min="6" max="16384" width="9.1796875" style="6" hidden="1"/>
  </cols>
  <sheetData>
    <row r="2" spans="1:4" ht="40" customHeight="1" thickBot="1" x14ac:dyDescent="0.3">
      <c r="A2" s="565" t="s">
        <v>511</v>
      </c>
      <c r="B2" s="566"/>
      <c r="C2" s="566"/>
      <c r="D2" s="567"/>
    </row>
    <row r="3" spans="1:4" ht="13" thickBot="1" x14ac:dyDescent="0.3"/>
    <row r="4" spans="1:4" ht="13" x14ac:dyDescent="0.25">
      <c r="A4" s="168" t="s">
        <v>113</v>
      </c>
      <c r="B4" s="213" t="s">
        <v>496</v>
      </c>
      <c r="C4" s="169" t="s">
        <v>497</v>
      </c>
      <c r="D4" s="170" t="s">
        <v>498</v>
      </c>
    </row>
    <row r="5" spans="1:4" ht="15" customHeight="1" x14ac:dyDescent="0.25">
      <c r="A5" s="23" t="s">
        <v>114</v>
      </c>
      <c r="B5" s="126" t="s">
        <v>419</v>
      </c>
      <c r="C5" s="8" t="s">
        <v>2</v>
      </c>
      <c r="D5" s="171">
        <v>7.5</v>
      </c>
    </row>
    <row r="6" spans="1:4" ht="15" customHeight="1" x14ac:dyDescent="0.25">
      <c r="A6" s="22" t="s">
        <v>1</v>
      </c>
      <c r="B6" s="120" t="s">
        <v>420</v>
      </c>
      <c r="C6" s="8" t="s">
        <v>284</v>
      </c>
      <c r="D6" s="171">
        <v>450</v>
      </c>
    </row>
    <row r="7" spans="1:4" ht="15" customHeight="1" x14ac:dyDescent="0.25">
      <c r="A7" s="22" t="s">
        <v>290</v>
      </c>
      <c r="B7" s="120" t="s">
        <v>420</v>
      </c>
      <c r="C7" s="8" t="s">
        <v>284</v>
      </c>
      <c r="D7" s="171">
        <v>550</v>
      </c>
    </row>
    <row r="8" spans="1:4" ht="15" customHeight="1" x14ac:dyDescent="0.25">
      <c r="A8" s="22" t="s">
        <v>87</v>
      </c>
      <c r="B8" s="120" t="s">
        <v>420</v>
      </c>
      <c r="C8" s="12" t="s">
        <v>284</v>
      </c>
      <c r="D8" s="171">
        <v>2650</v>
      </c>
    </row>
    <row r="9" spans="1:4" ht="15" customHeight="1" x14ac:dyDescent="0.25">
      <c r="A9" s="23" t="s">
        <v>115</v>
      </c>
      <c r="B9" s="126" t="s">
        <v>421</v>
      </c>
      <c r="C9" s="8" t="s">
        <v>437</v>
      </c>
      <c r="D9" s="171">
        <v>25</v>
      </c>
    </row>
    <row r="10" spans="1:4" ht="15" customHeight="1" x14ac:dyDescent="0.25">
      <c r="A10" s="23" t="s">
        <v>252</v>
      </c>
      <c r="B10" s="120" t="s">
        <v>421</v>
      </c>
      <c r="C10" s="12" t="s">
        <v>437</v>
      </c>
      <c r="D10" s="171">
        <v>90</v>
      </c>
    </row>
    <row r="11" spans="1:4" ht="15" customHeight="1" x14ac:dyDescent="0.25">
      <c r="A11" s="22" t="s">
        <v>119</v>
      </c>
      <c r="B11" s="126" t="s">
        <v>419</v>
      </c>
      <c r="C11" s="8" t="s">
        <v>284</v>
      </c>
      <c r="D11" s="171">
        <v>2700</v>
      </c>
    </row>
    <row r="12" spans="1:4" ht="15" customHeight="1" x14ac:dyDescent="0.25">
      <c r="A12" s="22" t="s">
        <v>119</v>
      </c>
      <c r="B12" s="126" t="s">
        <v>420</v>
      </c>
      <c r="C12" s="8" t="s">
        <v>284</v>
      </c>
      <c r="D12" s="171">
        <v>2700</v>
      </c>
    </row>
    <row r="13" spans="1:4" ht="15" customHeight="1" x14ac:dyDescent="0.25">
      <c r="A13" s="22" t="s">
        <v>251</v>
      </c>
      <c r="B13" s="120" t="s">
        <v>420</v>
      </c>
      <c r="C13" s="8" t="s">
        <v>284</v>
      </c>
      <c r="D13" s="171">
        <v>3550</v>
      </c>
    </row>
    <row r="14" spans="1:4" ht="15" customHeight="1" x14ac:dyDescent="0.25">
      <c r="A14" s="22" t="s">
        <v>253</v>
      </c>
      <c r="B14" s="120" t="s">
        <v>420</v>
      </c>
      <c r="C14" s="8" t="s">
        <v>284</v>
      </c>
      <c r="D14" s="171">
        <v>2950</v>
      </c>
    </row>
    <row r="15" spans="1:4" ht="15" customHeight="1" x14ac:dyDescent="0.25">
      <c r="A15" s="22" t="s">
        <v>179</v>
      </c>
      <c r="B15" s="120" t="s">
        <v>422</v>
      </c>
      <c r="C15" s="8" t="s">
        <v>2</v>
      </c>
      <c r="D15" s="171">
        <v>2.8</v>
      </c>
    </row>
    <row r="16" spans="1:4" ht="15" customHeight="1" x14ac:dyDescent="0.25">
      <c r="A16" s="22" t="s">
        <v>180</v>
      </c>
      <c r="B16" s="120" t="s">
        <v>422</v>
      </c>
      <c r="C16" s="8" t="s">
        <v>2</v>
      </c>
      <c r="D16" s="171">
        <v>8.9</v>
      </c>
    </row>
    <row r="17" spans="1:4" ht="15" customHeight="1" x14ac:dyDescent="0.25">
      <c r="A17" s="22" t="s">
        <v>181</v>
      </c>
      <c r="B17" s="126" t="s">
        <v>419</v>
      </c>
      <c r="C17" s="8" t="s">
        <v>2</v>
      </c>
      <c r="D17" s="171"/>
    </row>
    <row r="18" spans="1:4" ht="15" customHeight="1" x14ac:dyDescent="0.25">
      <c r="A18" s="22" t="s">
        <v>182</v>
      </c>
      <c r="B18" s="126" t="s">
        <v>419</v>
      </c>
      <c r="C18" s="8" t="s">
        <v>2</v>
      </c>
      <c r="D18" s="171"/>
    </row>
    <row r="19" spans="1:4" ht="15" customHeight="1" x14ac:dyDescent="0.25">
      <c r="A19" s="22" t="s">
        <v>183</v>
      </c>
      <c r="B19" s="126" t="s">
        <v>419</v>
      </c>
      <c r="C19" s="8" t="s">
        <v>2</v>
      </c>
      <c r="D19" s="171">
        <v>1.5</v>
      </c>
    </row>
    <row r="20" spans="1:4" ht="15" customHeight="1" x14ac:dyDescent="0.25">
      <c r="A20" s="22" t="s">
        <v>184</v>
      </c>
      <c r="B20" s="126" t="s">
        <v>419</v>
      </c>
      <c r="C20" s="8" t="s">
        <v>2</v>
      </c>
      <c r="D20" s="171">
        <v>6</v>
      </c>
    </row>
    <row r="21" spans="1:4" ht="15" customHeight="1" x14ac:dyDescent="0.25">
      <c r="A21" s="22" t="s">
        <v>185</v>
      </c>
      <c r="B21" s="126" t="s">
        <v>419</v>
      </c>
      <c r="C21" s="8" t="s">
        <v>2</v>
      </c>
      <c r="D21" s="171"/>
    </row>
    <row r="22" spans="1:4" ht="15" customHeight="1" x14ac:dyDescent="0.25">
      <c r="A22" s="23" t="s">
        <v>3</v>
      </c>
      <c r="B22" s="126" t="s">
        <v>420</v>
      </c>
      <c r="C22" s="8" t="s">
        <v>284</v>
      </c>
      <c r="D22" s="171">
        <v>3150</v>
      </c>
    </row>
    <row r="23" spans="1:4" ht="15" customHeight="1" x14ac:dyDescent="0.25">
      <c r="A23" s="22" t="s">
        <v>186</v>
      </c>
      <c r="B23" s="126" t="s">
        <v>423</v>
      </c>
      <c r="C23" s="8" t="s">
        <v>438</v>
      </c>
      <c r="D23" s="171">
        <v>80</v>
      </c>
    </row>
    <row r="24" spans="1:4" ht="15" customHeight="1" x14ac:dyDescent="0.25">
      <c r="A24" s="22" t="s">
        <v>187</v>
      </c>
      <c r="B24" s="126" t="s">
        <v>419</v>
      </c>
      <c r="C24" s="8" t="s">
        <v>2</v>
      </c>
      <c r="D24" s="171"/>
    </row>
    <row r="25" spans="1:4" ht="15" customHeight="1" x14ac:dyDescent="0.25">
      <c r="A25" s="22" t="s">
        <v>188</v>
      </c>
      <c r="B25" s="126" t="s">
        <v>419</v>
      </c>
      <c r="C25" s="8" t="s">
        <v>284</v>
      </c>
      <c r="D25" s="171">
        <v>2200</v>
      </c>
    </row>
    <row r="26" spans="1:4" ht="15" customHeight="1" x14ac:dyDescent="0.25">
      <c r="A26" s="22" t="s">
        <v>333</v>
      </c>
      <c r="B26" s="120" t="s">
        <v>424</v>
      </c>
      <c r="C26" s="12" t="s">
        <v>437</v>
      </c>
      <c r="D26" s="171">
        <v>60</v>
      </c>
    </row>
    <row r="27" spans="1:4" ht="15" customHeight="1" x14ac:dyDescent="0.25">
      <c r="A27" s="22" t="s">
        <v>254</v>
      </c>
      <c r="B27" s="120" t="s">
        <v>422</v>
      </c>
      <c r="C27" s="12" t="s">
        <v>2</v>
      </c>
      <c r="D27" s="171">
        <v>10</v>
      </c>
    </row>
    <row r="28" spans="1:4" ht="15" customHeight="1" x14ac:dyDescent="0.25">
      <c r="A28" s="22" t="s">
        <v>258</v>
      </c>
      <c r="B28" s="120" t="s">
        <v>422</v>
      </c>
      <c r="C28" s="12" t="s">
        <v>2</v>
      </c>
      <c r="D28" s="171">
        <v>35</v>
      </c>
    </row>
    <row r="29" spans="1:4" ht="15" customHeight="1" x14ac:dyDescent="0.25">
      <c r="A29" s="22" t="s">
        <v>259</v>
      </c>
      <c r="B29" s="120" t="s">
        <v>422</v>
      </c>
      <c r="C29" s="12" t="s">
        <v>2</v>
      </c>
      <c r="D29" s="171">
        <v>18</v>
      </c>
    </row>
    <row r="30" spans="1:4" ht="15" customHeight="1" x14ac:dyDescent="0.25">
      <c r="A30" s="23" t="s">
        <v>285</v>
      </c>
      <c r="B30" s="126" t="s">
        <v>421</v>
      </c>
      <c r="C30" s="8" t="s">
        <v>437</v>
      </c>
      <c r="D30" s="171">
        <v>75</v>
      </c>
    </row>
    <row r="31" spans="1:4" ht="15" customHeight="1" x14ac:dyDescent="0.25">
      <c r="A31" s="23" t="s">
        <v>286</v>
      </c>
      <c r="B31" s="126" t="s">
        <v>421</v>
      </c>
      <c r="C31" s="8" t="s">
        <v>437</v>
      </c>
      <c r="D31" s="171">
        <v>40</v>
      </c>
    </row>
    <row r="32" spans="1:4" ht="15" customHeight="1" x14ac:dyDescent="0.25">
      <c r="A32" s="23" t="s">
        <v>287</v>
      </c>
      <c r="B32" s="126" t="s">
        <v>422</v>
      </c>
      <c r="C32" s="8" t="s">
        <v>2</v>
      </c>
      <c r="D32" s="171">
        <v>800</v>
      </c>
    </row>
    <row r="33" spans="1:4" ht="15" customHeight="1" x14ac:dyDescent="0.25">
      <c r="A33" s="23" t="s">
        <v>288</v>
      </c>
      <c r="B33" s="126" t="s">
        <v>421</v>
      </c>
      <c r="C33" s="8" t="s">
        <v>437</v>
      </c>
      <c r="D33" s="171">
        <v>210</v>
      </c>
    </row>
    <row r="34" spans="1:4" ht="15" customHeight="1" x14ac:dyDescent="0.25">
      <c r="A34" s="23" t="s">
        <v>289</v>
      </c>
      <c r="B34" s="126" t="s">
        <v>422</v>
      </c>
      <c r="C34" s="8" t="s">
        <v>2</v>
      </c>
      <c r="D34" s="171">
        <v>7.5</v>
      </c>
    </row>
    <row r="35" spans="1:4" ht="15" customHeight="1" x14ac:dyDescent="0.25">
      <c r="A35" s="23" t="s">
        <v>4</v>
      </c>
      <c r="B35" s="126" t="s">
        <v>421</v>
      </c>
      <c r="C35" s="8" t="s">
        <v>437</v>
      </c>
      <c r="D35" s="171">
        <v>15</v>
      </c>
    </row>
    <row r="36" spans="1:4" ht="15" customHeight="1" x14ac:dyDescent="0.25">
      <c r="A36" s="23" t="s">
        <v>40</v>
      </c>
      <c r="B36" s="126" t="s">
        <v>421</v>
      </c>
      <c r="C36" s="8" t="s">
        <v>437</v>
      </c>
      <c r="D36" s="171">
        <v>65</v>
      </c>
    </row>
    <row r="37" spans="1:4" ht="15" customHeight="1" x14ac:dyDescent="0.25">
      <c r="A37" s="23" t="s">
        <v>291</v>
      </c>
      <c r="B37" s="126" t="s">
        <v>422</v>
      </c>
      <c r="C37" s="8" t="s">
        <v>2</v>
      </c>
      <c r="D37" s="171">
        <v>240</v>
      </c>
    </row>
    <row r="38" spans="1:4" ht="15" customHeight="1" x14ac:dyDescent="0.25">
      <c r="A38" s="23" t="s">
        <v>292</v>
      </c>
      <c r="B38" s="126" t="s">
        <v>425</v>
      </c>
      <c r="C38" s="8" t="s">
        <v>0</v>
      </c>
      <c r="D38" s="171">
        <v>12</v>
      </c>
    </row>
    <row r="39" spans="1:4" ht="15" customHeight="1" x14ac:dyDescent="0.25">
      <c r="A39" s="23" t="s">
        <v>297</v>
      </c>
      <c r="B39" s="126" t="s">
        <v>421</v>
      </c>
      <c r="C39" s="8" t="s">
        <v>437</v>
      </c>
      <c r="D39" s="171">
        <v>230</v>
      </c>
    </row>
    <row r="40" spans="1:4" ht="15" customHeight="1" x14ac:dyDescent="0.25">
      <c r="A40" s="23" t="s">
        <v>5</v>
      </c>
      <c r="B40" s="126" t="s">
        <v>421</v>
      </c>
      <c r="C40" s="8" t="s">
        <v>437</v>
      </c>
      <c r="D40" s="171">
        <v>10</v>
      </c>
    </row>
    <row r="41" spans="1:4" ht="15" customHeight="1" x14ac:dyDescent="0.25">
      <c r="A41" s="22" t="s">
        <v>166</v>
      </c>
      <c r="B41" s="120" t="s">
        <v>426</v>
      </c>
      <c r="C41" s="8" t="s">
        <v>426</v>
      </c>
      <c r="D41" s="171">
        <v>400</v>
      </c>
    </row>
    <row r="42" spans="1:4" ht="15" customHeight="1" x14ac:dyDescent="0.25">
      <c r="A42" s="23" t="s">
        <v>165</v>
      </c>
      <c r="B42" s="120" t="s">
        <v>427</v>
      </c>
      <c r="C42" s="8" t="s">
        <v>427</v>
      </c>
      <c r="D42" s="171">
        <v>250</v>
      </c>
    </row>
    <row r="43" spans="1:4" ht="15" customHeight="1" x14ac:dyDescent="0.25">
      <c r="A43" s="23" t="s">
        <v>116</v>
      </c>
      <c r="B43" s="126" t="s">
        <v>428</v>
      </c>
      <c r="C43" s="8" t="s">
        <v>428</v>
      </c>
      <c r="D43" s="171">
        <v>450</v>
      </c>
    </row>
    <row r="44" spans="1:4" ht="15" customHeight="1" x14ac:dyDescent="0.25">
      <c r="A44" s="22" t="s">
        <v>117</v>
      </c>
      <c r="B44" s="126" t="s">
        <v>429</v>
      </c>
      <c r="C44" s="12" t="s">
        <v>429</v>
      </c>
      <c r="D44" s="171">
        <v>85</v>
      </c>
    </row>
    <row r="45" spans="1:4" ht="15" customHeight="1" x14ac:dyDescent="0.25">
      <c r="A45" s="22" t="s">
        <v>118</v>
      </c>
      <c r="B45" s="120" t="s">
        <v>430</v>
      </c>
      <c r="C45" s="12" t="s">
        <v>430</v>
      </c>
      <c r="D45" s="171">
        <v>250</v>
      </c>
    </row>
    <row r="46" spans="1:4" ht="15" customHeight="1" x14ac:dyDescent="0.25">
      <c r="A46" s="23" t="s">
        <v>164</v>
      </c>
      <c r="B46" s="126" t="s">
        <v>431</v>
      </c>
      <c r="C46" s="8" t="s">
        <v>431</v>
      </c>
      <c r="D46" s="171">
        <v>500</v>
      </c>
    </row>
    <row r="47" spans="1:4" ht="15" customHeight="1" x14ac:dyDescent="0.25">
      <c r="A47" s="23" t="s">
        <v>294</v>
      </c>
      <c r="B47" s="126" t="s">
        <v>432</v>
      </c>
      <c r="C47" s="8" t="s">
        <v>432</v>
      </c>
      <c r="D47" s="171">
        <v>400</v>
      </c>
    </row>
    <row r="48" spans="1:4" ht="15" customHeight="1" x14ac:dyDescent="0.25">
      <c r="A48" s="23" t="s">
        <v>329</v>
      </c>
      <c r="B48" s="126" t="s">
        <v>430</v>
      </c>
      <c r="C48" s="8" t="s">
        <v>430</v>
      </c>
      <c r="D48" s="171">
        <v>250</v>
      </c>
    </row>
    <row r="49" spans="1:10" ht="15" customHeight="1" x14ac:dyDescent="0.25">
      <c r="A49" s="23" t="s">
        <v>256</v>
      </c>
      <c r="B49" s="126" t="s">
        <v>433</v>
      </c>
      <c r="C49" s="8" t="s">
        <v>433</v>
      </c>
      <c r="D49" s="171">
        <v>400</v>
      </c>
    </row>
    <row r="50" spans="1:10" ht="15" customHeight="1" x14ac:dyDescent="0.25">
      <c r="A50" s="23" t="s">
        <v>295</v>
      </c>
      <c r="B50" s="126" t="s">
        <v>434</v>
      </c>
      <c r="C50" s="8" t="s">
        <v>434</v>
      </c>
      <c r="D50" s="171">
        <v>1050</v>
      </c>
    </row>
    <row r="51" spans="1:10" ht="15" customHeight="1" x14ac:dyDescent="0.25">
      <c r="A51" s="23" t="s">
        <v>255</v>
      </c>
      <c r="B51" s="120" t="s">
        <v>435</v>
      </c>
      <c r="C51" s="8" t="s">
        <v>429</v>
      </c>
      <c r="D51" s="171">
        <v>370</v>
      </c>
    </row>
    <row r="52" spans="1:10" ht="15" customHeight="1" x14ac:dyDescent="0.25">
      <c r="A52" s="23" t="s">
        <v>273</v>
      </c>
      <c r="B52" s="120" t="s">
        <v>435</v>
      </c>
      <c r="C52" s="8" t="s">
        <v>429</v>
      </c>
      <c r="D52" s="171">
        <v>550</v>
      </c>
    </row>
    <row r="53" spans="1:10" ht="15" customHeight="1" x14ac:dyDescent="0.25">
      <c r="A53" s="23" t="s">
        <v>296</v>
      </c>
      <c r="B53" s="126" t="s">
        <v>436</v>
      </c>
      <c r="C53" s="8" t="s">
        <v>284</v>
      </c>
      <c r="D53" s="171">
        <v>41</v>
      </c>
    </row>
    <row r="54" spans="1:10" ht="15" customHeight="1" x14ac:dyDescent="0.25">
      <c r="A54" s="23" t="s">
        <v>6</v>
      </c>
      <c r="B54" s="126" t="s">
        <v>0</v>
      </c>
      <c r="C54" s="8" t="s">
        <v>0</v>
      </c>
      <c r="D54" s="171">
        <v>1.5</v>
      </c>
      <c r="F54" s="14" t="s">
        <v>11</v>
      </c>
      <c r="G54" s="14" t="s">
        <v>12</v>
      </c>
    </row>
    <row r="55" spans="1:10" ht="15" customHeight="1" x14ac:dyDescent="0.25">
      <c r="A55" s="22" t="s">
        <v>416</v>
      </c>
      <c r="B55" s="126" t="s">
        <v>0</v>
      </c>
      <c r="C55" s="8" t="s">
        <v>0</v>
      </c>
      <c r="D55" s="171">
        <v>20</v>
      </c>
    </row>
    <row r="56" spans="1:10" ht="15" customHeight="1" x14ac:dyDescent="0.25">
      <c r="A56" s="22" t="s">
        <v>417</v>
      </c>
      <c r="B56" s="126" t="s">
        <v>0</v>
      </c>
      <c r="C56" s="8" t="s">
        <v>0</v>
      </c>
      <c r="D56" s="171">
        <v>4</v>
      </c>
      <c r="F56" s="14"/>
      <c r="G56" s="14"/>
    </row>
    <row r="57" spans="1:10" ht="15" customHeight="1" x14ac:dyDescent="0.25">
      <c r="A57" s="22" t="s">
        <v>418</v>
      </c>
      <c r="B57" s="126" t="s">
        <v>0</v>
      </c>
      <c r="C57" s="8" t="s">
        <v>0</v>
      </c>
      <c r="D57" s="171">
        <v>21</v>
      </c>
      <c r="F57" s="14"/>
      <c r="G57" s="14"/>
    </row>
    <row r="58" spans="1:10" ht="15" customHeight="1" x14ac:dyDescent="0.25">
      <c r="A58" s="23" t="s">
        <v>283</v>
      </c>
      <c r="B58" s="126" t="s">
        <v>420</v>
      </c>
      <c r="C58" s="8" t="s">
        <v>284</v>
      </c>
      <c r="D58" s="171">
        <v>220</v>
      </c>
    </row>
    <row r="59" spans="1:10" ht="15" customHeight="1" thickBot="1" x14ac:dyDescent="0.3">
      <c r="A59" s="41" t="s">
        <v>334</v>
      </c>
      <c r="B59" s="134" t="s">
        <v>0</v>
      </c>
      <c r="C59" s="25" t="s">
        <v>0</v>
      </c>
      <c r="D59" s="172">
        <v>6</v>
      </c>
      <c r="F59" s="111"/>
      <c r="G59" s="111"/>
      <c r="H59" s="111"/>
      <c r="I59" s="111"/>
      <c r="J59" s="111"/>
    </row>
    <row r="60" spans="1:10" s="768" customFormat="1" x14ac:dyDescent="0.25">
      <c r="A60" s="932" t="s">
        <v>574</v>
      </c>
      <c r="C60" s="766"/>
      <c r="D60" s="767"/>
    </row>
    <row r="61" spans="1:10" s="768" customFormat="1" x14ac:dyDescent="0.25">
      <c r="C61" s="766"/>
      <c r="D61" s="767"/>
    </row>
    <row r="62" spans="1:10" x14ac:dyDescent="0.25">
      <c r="J62" s="6">
        <f>3920/5.75/1000</f>
        <v>0.68173913043478263</v>
      </c>
    </row>
    <row r="63" spans="1:10" x14ac:dyDescent="0.25">
      <c r="F63" s="6">
        <f>D59/6</f>
        <v>1</v>
      </c>
    </row>
  </sheetData>
  <phoneticPr fontId="0" type="noConversion"/>
  <pageMargins left="0.59055118110236227" right="0.59055118110236227" top="0.59055118110236227" bottom="0.59055118110236227" header="0.51181102362204722" footer="0.51181102362204722"/>
  <pageSetup paperSize="9" scale="83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1766-609E-45F1-AA61-033C4832BD8B}">
  <sheetPr>
    <tabColor theme="6" tint="0.79998168889431442"/>
  </sheetPr>
  <dimension ref="A2:AG90"/>
  <sheetViews>
    <sheetView showGridLines="0" topLeftCell="A45" zoomScale="70" zoomScaleNormal="70" workbookViewId="0">
      <selection activeCell="F79" sqref="F79"/>
    </sheetView>
  </sheetViews>
  <sheetFormatPr defaultColWidth="9.1796875" defaultRowHeight="12.5" x14ac:dyDescent="0.25"/>
  <cols>
    <col min="1" max="1" width="9.1796875" style="6" customWidth="1"/>
    <col min="2" max="14" width="10.7265625" style="6" customWidth="1"/>
    <col min="15" max="15" width="9.1796875" style="6"/>
    <col min="16" max="16" width="16.1796875" style="6" customWidth="1"/>
    <col min="17" max="32" width="9.1796875" style="6"/>
    <col min="34" max="16384" width="9.1796875" style="6"/>
  </cols>
  <sheetData>
    <row r="2" spans="1:31" ht="40" customHeight="1" thickBot="1" x14ac:dyDescent="0.3">
      <c r="A2" s="538" t="s">
        <v>601</v>
      </c>
      <c r="B2" s="539"/>
      <c r="C2" s="564"/>
      <c r="D2" s="564"/>
      <c r="E2" s="564"/>
      <c r="F2" s="564"/>
      <c r="G2" s="564"/>
      <c r="H2" s="564"/>
      <c r="I2" s="539"/>
      <c r="J2" s="539"/>
      <c r="K2" s="539"/>
      <c r="L2" s="539"/>
      <c r="M2" s="539"/>
      <c r="N2" s="539"/>
      <c r="O2" s="539"/>
      <c r="P2" s="539"/>
    </row>
    <row r="3" spans="1:31" ht="13" thickBot="1" x14ac:dyDescent="0.3"/>
    <row r="4" spans="1:31" ht="30" customHeight="1" thickBot="1" x14ac:dyDescent="0.3">
      <c r="A4" s="640" t="s">
        <v>636</v>
      </c>
      <c r="B4" s="789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</row>
    <row r="5" spans="1:31" ht="164.25" customHeight="1" x14ac:dyDescent="0.25">
      <c r="A5" s="1185" t="s">
        <v>737</v>
      </c>
      <c r="B5" s="1185"/>
      <c r="C5" s="1185"/>
      <c r="D5" s="1185"/>
      <c r="E5" s="1185"/>
      <c r="F5" s="1185"/>
      <c r="G5" s="1185"/>
      <c r="H5" s="1185"/>
      <c r="I5" s="1185"/>
      <c r="N5" s="788"/>
    </row>
    <row r="6" spans="1:31" x14ac:dyDescent="0.25">
      <c r="A6" s="934"/>
      <c r="B6" s="934"/>
      <c r="C6" s="934"/>
      <c r="D6" s="934"/>
      <c r="E6" s="934"/>
      <c r="F6" s="934"/>
      <c r="G6" s="934"/>
      <c r="H6" s="934"/>
      <c r="I6" s="934"/>
      <c r="N6" s="788"/>
    </row>
    <row r="7" spans="1:31" x14ac:dyDescent="0.25">
      <c r="A7" s="934"/>
      <c r="B7" s="934"/>
      <c r="C7" s="934"/>
      <c r="D7" s="934"/>
      <c r="E7" s="934"/>
      <c r="F7" s="934"/>
      <c r="G7" s="934"/>
      <c r="H7" s="934"/>
      <c r="I7" s="934"/>
      <c r="N7" s="788"/>
    </row>
    <row r="8" spans="1:31" ht="13.5" thickBot="1" x14ac:dyDescent="0.3">
      <c r="A8" s="15" t="s">
        <v>749</v>
      </c>
      <c r="N8" s="788"/>
      <c r="R8" s="15" t="s">
        <v>748</v>
      </c>
    </row>
    <row r="9" spans="1:31" ht="20.149999999999999" customHeight="1" thickBot="1" x14ac:dyDescent="0.3">
      <c r="A9" s="559" t="s">
        <v>623</v>
      </c>
      <c r="B9" s="560"/>
      <c r="C9" s="572"/>
      <c r="D9" s="572"/>
      <c r="E9" s="572"/>
      <c r="F9" s="572"/>
      <c r="G9" s="572"/>
      <c r="H9" s="572"/>
      <c r="I9" s="572"/>
      <c r="J9" s="572"/>
      <c r="K9" s="572"/>
      <c r="L9" s="572"/>
      <c r="M9" s="572"/>
      <c r="N9" s="573"/>
      <c r="R9" s="559" t="s">
        <v>623</v>
      </c>
      <c r="S9" s="560"/>
      <c r="T9" s="572"/>
      <c r="U9" s="572"/>
      <c r="V9" s="572"/>
      <c r="W9" s="572"/>
      <c r="X9" s="572"/>
      <c r="Y9" s="572"/>
      <c r="Z9" s="572"/>
      <c r="AA9" s="572"/>
      <c r="AB9" s="572"/>
      <c r="AC9" s="572"/>
      <c r="AD9" s="572"/>
      <c r="AE9" s="573"/>
    </row>
    <row r="10" spans="1:31" ht="39" x14ac:dyDescent="0.25">
      <c r="A10" s="793" t="s">
        <v>617</v>
      </c>
      <c r="B10" s="792" t="s">
        <v>615</v>
      </c>
      <c r="C10" s="792" t="s">
        <v>614</v>
      </c>
      <c r="D10" s="792" t="s">
        <v>613</v>
      </c>
      <c r="E10" s="792" t="s">
        <v>612</v>
      </c>
      <c r="F10" s="792" t="s">
        <v>611</v>
      </c>
      <c r="G10" s="792" t="s">
        <v>610</v>
      </c>
      <c r="H10" s="792" t="s">
        <v>609</v>
      </c>
      <c r="I10" s="792" t="s">
        <v>608</v>
      </c>
      <c r="J10" s="792" t="s">
        <v>607</v>
      </c>
      <c r="K10" s="792" t="s">
        <v>606</v>
      </c>
      <c r="L10" s="792" t="s">
        <v>605</v>
      </c>
      <c r="M10" s="792" t="s">
        <v>604</v>
      </c>
      <c r="N10" s="794" t="s">
        <v>624</v>
      </c>
      <c r="P10" s="796" t="s">
        <v>625</v>
      </c>
      <c r="R10" s="793" t="s">
        <v>617</v>
      </c>
      <c r="S10" s="792" t="s">
        <v>615</v>
      </c>
      <c r="T10" s="792" t="s">
        <v>614</v>
      </c>
      <c r="U10" s="792" t="s">
        <v>613</v>
      </c>
      <c r="V10" s="792" t="s">
        <v>612</v>
      </c>
      <c r="W10" s="792" t="s">
        <v>611</v>
      </c>
      <c r="X10" s="792" t="s">
        <v>610</v>
      </c>
      <c r="Y10" s="792" t="s">
        <v>609</v>
      </c>
      <c r="Z10" s="792" t="s">
        <v>608</v>
      </c>
      <c r="AA10" s="792" t="s">
        <v>607</v>
      </c>
      <c r="AB10" s="792" t="s">
        <v>606</v>
      </c>
      <c r="AC10" s="792" t="s">
        <v>605</v>
      </c>
      <c r="AD10" s="792" t="s">
        <v>604</v>
      </c>
      <c r="AE10" s="794" t="s">
        <v>624</v>
      </c>
    </row>
    <row r="11" spans="1:31" ht="20.149999999999999" customHeight="1" x14ac:dyDescent="0.25">
      <c r="A11" s="795">
        <v>2020</v>
      </c>
      <c r="B11" s="790">
        <v>0.99</v>
      </c>
      <c r="C11" s="790">
        <v>1.1000000000000001</v>
      </c>
      <c r="D11" s="790">
        <v>1.37</v>
      </c>
      <c r="E11" s="790">
        <v>1.03</v>
      </c>
      <c r="F11" s="790">
        <v>0.76</v>
      </c>
      <c r="G11" s="790">
        <v>0.79</v>
      </c>
      <c r="H11" s="790">
        <v>1.34</v>
      </c>
      <c r="I11" s="790">
        <v>1.53</v>
      </c>
      <c r="J11" s="790">
        <v>1.88</v>
      </c>
      <c r="K11" s="790">
        <v>1.8</v>
      </c>
      <c r="L11" s="790">
        <v>2.0499999999999998</v>
      </c>
      <c r="M11" s="790">
        <v>2.6</v>
      </c>
      <c r="N11" s="790">
        <f>AVERAGE(B11:M11)</f>
        <v>1.4366666666666668</v>
      </c>
      <c r="P11" s="791">
        <v>0.95</v>
      </c>
      <c r="R11" s="795">
        <v>2020</v>
      </c>
      <c r="S11" s="790">
        <f>B11*Inflação!$D$28</f>
        <v>1.3614813935412446</v>
      </c>
      <c r="T11" s="790">
        <f>C11*Inflação!$E$28</f>
        <v>1.5089846423288942</v>
      </c>
      <c r="U11" s="790">
        <f>D11*Inflação!$F$28</f>
        <v>1.8780571418103555</v>
      </c>
      <c r="V11" s="790">
        <f>E11*Inflação!$G$28</f>
        <v>1.4163606860571905</v>
      </c>
      <c r="W11" s="790">
        <f>F11*Inflação!$H$28</f>
        <v>1.0490681301601081</v>
      </c>
      <c r="X11" s="790">
        <f>G11*Inflação!$I$28</f>
        <v>1.0876508221078951</v>
      </c>
      <c r="Y11" s="790">
        <f>H11*Inflação!$J$28</f>
        <v>1.8382583479531651</v>
      </c>
      <c r="Z11" s="790">
        <f>I11*Inflação!$K$28</f>
        <v>2.0938816038286787</v>
      </c>
      <c r="AA11" s="790">
        <f>J11*Inflação!$L$28</f>
        <v>2.5565124479136898</v>
      </c>
      <c r="AB11" s="790">
        <f>K11*Inflação!$M$28</f>
        <v>2.4268537419915548</v>
      </c>
      <c r="AC11" s="790">
        <f>L11*Inflação!$N$28</f>
        <v>2.7395349010928776</v>
      </c>
      <c r="AD11" s="790">
        <f>M11*Inflação!$O$28</f>
        <v>3.4282506854255272</v>
      </c>
      <c r="AE11" s="790">
        <f>AVERAGE(S11:AD11)</f>
        <v>1.9487412120175984</v>
      </c>
    </row>
    <row r="12" spans="1:31" ht="20.149999999999999" customHeight="1" x14ac:dyDescent="0.25">
      <c r="A12" s="795">
        <v>2021</v>
      </c>
      <c r="B12" s="790">
        <v>1.48</v>
      </c>
      <c r="C12" s="790">
        <v>1.87</v>
      </c>
      <c r="D12" s="790">
        <v>1.38</v>
      </c>
      <c r="E12" s="790">
        <v>0.76</v>
      </c>
      <c r="F12" s="790">
        <v>0.62</v>
      </c>
      <c r="G12" s="790">
        <v>0.76</v>
      </c>
      <c r="H12" s="790">
        <v>1.39</v>
      </c>
      <c r="I12" s="790">
        <v>1.62</v>
      </c>
      <c r="J12" s="790">
        <v>1.41</v>
      </c>
      <c r="K12" s="790">
        <v>1.25</v>
      </c>
      <c r="L12" s="790">
        <v>1.75</v>
      </c>
      <c r="M12" s="790">
        <v>1.91</v>
      </c>
      <c r="N12" s="790">
        <f>AVERAGE(B12:M12)</f>
        <v>1.3499999999999999</v>
      </c>
      <c r="P12" s="791">
        <v>0.94</v>
      </c>
      <c r="R12" s="795">
        <v>2021</v>
      </c>
      <c r="S12" s="790">
        <f>B12*Inflação!$D$29</f>
        <v>1.9465992765892117</v>
      </c>
      <c r="T12" s="790">
        <f>C12*Inflação!$E$29</f>
        <v>2.4385826803153869</v>
      </c>
      <c r="U12" s="790">
        <f>D12*Inflação!$F$29</f>
        <v>1.7830137469317344</v>
      </c>
      <c r="V12" s="790">
        <f>E12*Inflação!$G$29</f>
        <v>0.9789149633730494</v>
      </c>
      <c r="W12" s="790">
        <f>F12*Inflação!$H$29</f>
        <v>0.79201479991242496</v>
      </c>
      <c r="X12" s="790">
        <f>G12*Inflação!$I$29</f>
        <v>0.965738437785291</v>
      </c>
      <c r="Y12" s="790">
        <f>H12*Inflação!$J$29</f>
        <v>1.7494896735048202</v>
      </c>
      <c r="Z12" s="790">
        <f>I12*Inflação!$K$29</f>
        <v>2.0213875050212855</v>
      </c>
      <c r="AA12" s="790">
        <f>J12*Inflação!$L$29</f>
        <v>1.7391812884612645</v>
      </c>
      <c r="AB12" s="790">
        <f>K12*Inflação!$M$29</f>
        <v>1.5227924774198969</v>
      </c>
      <c r="AC12" s="790">
        <f>L12*Inflação!$N$29</f>
        <v>2.1118469226229379</v>
      </c>
      <c r="AD12" s="790">
        <f>M12*Inflação!$O$29</f>
        <v>2.2882260198889881</v>
      </c>
      <c r="AE12" s="790">
        <f>AVERAGE(S12:AD12)</f>
        <v>1.6948156493188578</v>
      </c>
    </row>
    <row r="13" spans="1:31" ht="20.149999999999999" customHeight="1" x14ac:dyDescent="0.25">
      <c r="A13" s="795">
        <v>2022</v>
      </c>
      <c r="B13" s="790">
        <v>1.33</v>
      </c>
      <c r="C13" s="790">
        <v>1.39</v>
      </c>
      <c r="D13" s="790">
        <v>1.55</v>
      </c>
      <c r="E13" s="790">
        <v>1.1000000000000001</v>
      </c>
      <c r="F13" s="790">
        <v>0.94</v>
      </c>
      <c r="G13" s="790">
        <v>1.75</v>
      </c>
      <c r="H13" s="790">
        <v>2.4500000000000002</v>
      </c>
      <c r="I13" s="790">
        <v>2.15</v>
      </c>
      <c r="J13" s="790">
        <v>3.35</v>
      </c>
      <c r="K13" s="790">
        <v>3.41</v>
      </c>
      <c r="L13" s="790">
        <v>2.92</v>
      </c>
      <c r="M13" s="790">
        <v>1.74</v>
      </c>
      <c r="N13" s="790">
        <f>AVERAGE(B13:M13)</f>
        <v>2.0066666666666664</v>
      </c>
      <c r="P13" s="791">
        <v>1.29</v>
      </c>
      <c r="R13" s="795">
        <v>2022</v>
      </c>
      <c r="S13" s="790">
        <f>B13*Inflação!$D$30</f>
        <v>1.5848140493962728</v>
      </c>
      <c r="T13" s="790">
        <f>C13*Inflação!$E$30</f>
        <v>1.6397479655932365</v>
      </c>
      <c r="U13" s="790">
        <f>D13*Inflação!$F$30</f>
        <v>1.7993465192440146</v>
      </c>
      <c r="V13" s="790">
        <f>E13*Inflação!$G$30</f>
        <v>1.2635618388108094</v>
      </c>
      <c r="W13" s="790">
        <f>F13*Inflação!$H$30</f>
        <v>1.0747198426325006</v>
      </c>
      <c r="X13" s="790">
        <f>G13*Inflação!$I$30</f>
        <v>1.98749202112535</v>
      </c>
      <c r="Y13" s="790">
        <f>H13*Inflação!$J$30</f>
        <v>2.8015392967936874</v>
      </c>
      <c r="Z13" s="790">
        <f>I13*Inflação!$K$30</f>
        <v>2.4673762230177321</v>
      </c>
      <c r="AA13" s="790">
        <f>J13*Inflação!$L$30</f>
        <v>3.8556979646133809</v>
      </c>
      <c r="AB13" s="790">
        <f>K13*Inflação!$M$30</f>
        <v>3.901735005061667</v>
      </c>
      <c r="AC13" s="790">
        <f>L13*Inflação!$N$30</f>
        <v>3.3274326623833672</v>
      </c>
      <c r="AD13" s="790">
        <f>M13*Inflação!$O$30</f>
        <v>1.9705676969048951</v>
      </c>
      <c r="AE13" s="790">
        <f>AVERAGE(S13:AD13)</f>
        <v>2.3061692571314096</v>
      </c>
    </row>
    <row r="14" spans="1:31" ht="20.149999999999999" customHeight="1" x14ac:dyDescent="0.25">
      <c r="A14" s="795">
        <v>2023</v>
      </c>
      <c r="B14" s="790">
        <v>1.07</v>
      </c>
      <c r="C14" s="790">
        <v>1.38</v>
      </c>
      <c r="D14" s="790">
        <v>1.58</v>
      </c>
      <c r="E14" s="790">
        <v>1.49</v>
      </c>
      <c r="F14" s="790">
        <v>1.5</v>
      </c>
      <c r="G14" s="790">
        <v>1.32</v>
      </c>
      <c r="H14" s="790">
        <v>2.37</v>
      </c>
      <c r="I14" s="790">
        <v>3.08</v>
      </c>
      <c r="J14" s="790">
        <v>2.2200000000000002</v>
      </c>
      <c r="K14" s="790">
        <v>1.79</v>
      </c>
      <c r="L14" s="790">
        <v>2.3199999999999998</v>
      </c>
      <c r="M14" s="790">
        <v>2.1800000000000002</v>
      </c>
      <c r="N14" s="790">
        <f>AVERAGE(B14:M14)</f>
        <v>1.8583333333333334</v>
      </c>
      <c r="P14" s="791">
        <v>1.24</v>
      </c>
      <c r="R14" s="795">
        <v>2023</v>
      </c>
      <c r="S14" s="790">
        <f>B14*Inflação!$D$31</f>
        <v>1.2053972770112871</v>
      </c>
      <c r="T14" s="790">
        <f>C14*Inflação!$E$31</f>
        <v>1.5416744600269658</v>
      </c>
      <c r="U14" s="790">
        <f>D14*Inflação!$F$31</f>
        <v>1.7526616435212932</v>
      </c>
      <c r="V14" s="790">
        <f>E14*Inflação!$G$31</f>
        <v>1.6428053738314803</v>
      </c>
      <c r="W14" s="790">
        <f>F14*Inflação!$H$31</f>
        <v>1.6500358308422307</v>
      </c>
      <c r="X14" s="790">
        <f>G14*Inflação!$I$31</f>
        <v>1.4531940864102915</v>
      </c>
      <c r="Y14" s="790">
        <f>H14*Inflação!$J$31</f>
        <v>2.6060167078236347</v>
      </c>
      <c r="Z14" s="790">
        <f>I14*Inflação!$K$31</f>
        <v>3.3789505487997</v>
      </c>
      <c r="AA14" s="790">
        <f>J14*Inflação!$L$31</f>
        <v>2.4291615236538688</v>
      </c>
      <c r="AB14" s="790">
        <f>K14*Inflação!$M$31</f>
        <v>1.953958754547835</v>
      </c>
      <c r="AC14" s="790">
        <f>L14*Inflação!$N$31</f>
        <v>2.5254339862635886</v>
      </c>
      <c r="AD14" s="790">
        <f>M14*Inflação!$O$31</f>
        <v>2.3598221039997669</v>
      </c>
      <c r="AE14" s="790">
        <f>AVERAGE(S14:AD14)</f>
        <v>2.0415926913943285</v>
      </c>
    </row>
    <row r="15" spans="1:31" ht="20.149999999999999" customHeight="1" x14ac:dyDescent="0.25">
      <c r="A15" s="795">
        <v>2024</v>
      </c>
      <c r="B15" s="790">
        <v>2.11</v>
      </c>
      <c r="C15" s="790">
        <v>3.29</v>
      </c>
      <c r="D15" s="790">
        <v>2.35</v>
      </c>
      <c r="E15" s="790">
        <v>1.1599999999999999</v>
      </c>
      <c r="F15" s="790">
        <v>1.0900000000000001</v>
      </c>
      <c r="G15" s="790">
        <v>1.75</v>
      </c>
      <c r="H15" s="790">
        <v>1.99</v>
      </c>
      <c r="I15" s="790">
        <v>2.75</v>
      </c>
      <c r="J15" s="790">
        <v>2.82</v>
      </c>
      <c r="K15" s="790">
        <v>2.8</v>
      </c>
      <c r="L15" s="790">
        <v>2.38</v>
      </c>
      <c r="M15" s="790">
        <v>2.44</v>
      </c>
      <c r="N15" s="790">
        <f>AVERAGE(B15:M15)</f>
        <v>2.2441666666666671</v>
      </c>
      <c r="P15" s="791">
        <v>1.39</v>
      </c>
      <c r="R15" s="795">
        <v>2024</v>
      </c>
      <c r="S15" s="790">
        <f>B15*Inflação!$D$32</f>
        <v>2.2744951202378947</v>
      </c>
      <c r="T15" s="790">
        <f>C15*Inflação!$E$32</f>
        <v>3.517294110815151</v>
      </c>
      <c r="U15" s="790">
        <f>D15*Inflação!$F$32</f>
        <v>2.5083395929478196</v>
      </c>
      <c r="V15" s="790">
        <f>E15*Inflação!$G$32</f>
        <v>1.2334719249064068</v>
      </c>
      <c r="W15" s="790">
        <f>F15*Inflação!$H$32</f>
        <v>1.1537311111541939</v>
      </c>
      <c r="X15" s="790">
        <f>G15*Inflação!$I$32</f>
        <v>1.8484388696762848</v>
      </c>
      <c r="Y15" s="790">
        <f>H15*Inflação!$J$32</f>
        <v>2.093981926198051</v>
      </c>
      <c r="Z15" s="790">
        <f>I15*Inflação!$K$32</f>
        <v>2.8942724710995673</v>
      </c>
      <c r="AA15" s="790">
        <f>J15*Inflação!$L$32</f>
        <v>2.9549431115820499</v>
      </c>
      <c r="AB15" s="790">
        <f>K15*Inflação!$M$32</f>
        <v>2.9176472436729277</v>
      </c>
      <c r="AC15" s="790">
        <f>L15*Inflação!$N$32</f>
        <v>2.4703657307719777</v>
      </c>
      <c r="AD15" s="790">
        <f>M15*Inflação!$O$32</f>
        <v>2.5195422387967552</v>
      </c>
      <c r="AE15" s="790">
        <f>AVERAGE(S15:AD15)</f>
        <v>2.3655436209882565</v>
      </c>
    </row>
    <row r="16" spans="1:31" ht="20.149999999999999" customHeight="1" x14ac:dyDescent="0.25">
      <c r="A16" s="718" t="s">
        <v>626</v>
      </c>
      <c r="B16" s="797">
        <f t="shared" ref="B16:N16" si="0">AVERAGE(B11:B15)</f>
        <v>1.3960000000000001</v>
      </c>
      <c r="C16" s="797">
        <f t="shared" si="0"/>
        <v>1.8060000000000003</v>
      </c>
      <c r="D16" s="797">
        <f t="shared" si="0"/>
        <v>1.6460000000000001</v>
      </c>
      <c r="E16" s="797">
        <f t="shared" si="0"/>
        <v>1.1080000000000001</v>
      </c>
      <c r="F16" s="797">
        <f t="shared" si="0"/>
        <v>0.98199999999999998</v>
      </c>
      <c r="G16" s="797">
        <f t="shared" si="0"/>
        <v>1.274</v>
      </c>
      <c r="H16" s="797">
        <f t="shared" si="0"/>
        <v>1.9079999999999999</v>
      </c>
      <c r="I16" s="797">
        <f t="shared" si="0"/>
        <v>2.226</v>
      </c>
      <c r="J16" s="797">
        <f t="shared" si="0"/>
        <v>2.3360000000000003</v>
      </c>
      <c r="K16" s="797">
        <f t="shared" si="0"/>
        <v>2.21</v>
      </c>
      <c r="L16" s="797">
        <f t="shared" si="0"/>
        <v>2.2839999999999998</v>
      </c>
      <c r="M16" s="797">
        <f t="shared" si="0"/>
        <v>2.1739999999999999</v>
      </c>
      <c r="N16" s="797">
        <f t="shared" si="0"/>
        <v>1.7791666666666668</v>
      </c>
      <c r="P16" s="806">
        <f>AVERAGE(P11:P15)</f>
        <v>1.1619999999999999</v>
      </c>
      <c r="R16" s="718" t="s">
        <v>626</v>
      </c>
      <c r="S16" s="797">
        <f t="shared" ref="S16:AE16" si="1">AVERAGE(S11:S15)</f>
        <v>1.6745574233551821</v>
      </c>
      <c r="T16" s="797">
        <f t="shared" si="1"/>
        <v>2.129256771815927</v>
      </c>
      <c r="U16" s="797">
        <f t="shared" si="1"/>
        <v>1.9442837288910435</v>
      </c>
      <c r="V16" s="797">
        <f t="shared" si="1"/>
        <v>1.3070229573957874</v>
      </c>
      <c r="W16" s="797">
        <f t="shared" si="1"/>
        <v>1.1439139429402916</v>
      </c>
      <c r="X16" s="797">
        <f t="shared" si="1"/>
        <v>1.4685028474210224</v>
      </c>
      <c r="Y16" s="797">
        <f t="shared" si="1"/>
        <v>2.2178571904546716</v>
      </c>
      <c r="Z16" s="797">
        <f t="shared" si="1"/>
        <v>2.5711736703533927</v>
      </c>
      <c r="AA16" s="797">
        <f t="shared" si="1"/>
        <v>2.7070992672448506</v>
      </c>
      <c r="AB16" s="797">
        <f t="shared" si="1"/>
        <v>2.544597444538776</v>
      </c>
      <c r="AC16" s="797">
        <f t="shared" si="1"/>
        <v>2.6349228406269498</v>
      </c>
      <c r="AD16" s="797">
        <f t="shared" si="1"/>
        <v>2.5132817490031862</v>
      </c>
      <c r="AE16" s="797">
        <f t="shared" si="1"/>
        <v>2.0713724861700902</v>
      </c>
    </row>
    <row r="17" spans="1:33" ht="20.149999999999999" customHeight="1" x14ac:dyDescent="0.25">
      <c r="A17" s="6" t="s">
        <v>602</v>
      </c>
      <c r="B17" s="764"/>
      <c r="C17" s="764"/>
      <c r="D17" s="764"/>
      <c r="E17" s="764"/>
      <c r="F17" s="764"/>
      <c r="G17" s="764"/>
      <c r="H17" s="764"/>
      <c r="I17" s="764"/>
      <c r="J17" s="764"/>
      <c r="K17" s="764"/>
      <c r="L17" s="764"/>
      <c r="M17" s="764"/>
      <c r="N17" s="764"/>
    </row>
    <row r="18" spans="1:33" ht="13" thickBot="1" x14ac:dyDescent="0.3">
      <c r="R18" s="950"/>
      <c r="S18" s="950"/>
      <c r="T18" s="950"/>
      <c r="U18" s="950"/>
      <c r="V18" s="950"/>
      <c r="W18" s="950"/>
      <c r="X18" s="950"/>
      <c r="Y18" s="950"/>
      <c r="Z18" s="950"/>
      <c r="AA18" s="950"/>
      <c r="AB18" s="950"/>
      <c r="AC18" s="950"/>
      <c r="AD18" s="950"/>
      <c r="AE18" s="950"/>
    </row>
    <row r="19" spans="1:33" s="902" customFormat="1" ht="20.149999999999999" customHeight="1" thickBot="1" x14ac:dyDescent="0.3">
      <c r="A19" s="919" t="s">
        <v>623</v>
      </c>
      <c r="B19" s="920"/>
      <c r="C19" s="921"/>
      <c r="D19" s="921"/>
      <c r="E19" s="921"/>
      <c r="F19" s="921"/>
      <c r="G19" s="921"/>
      <c r="H19" s="921"/>
      <c r="I19" s="921"/>
      <c r="J19" s="921"/>
      <c r="K19" s="921"/>
      <c r="L19" s="921"/>
      <c r="M19" s="921"/>
      <c r="N19" s="922"/>
      <c r="R19" s="919" t="s">
        <v>623</v>
      </c>
      <c r="S19" s="920"/>
      <c r="T19" s="951"/>
      <c r="U19" s="951"/>
      <c r="V19" s="951"/>
      <c r="W19" s="951"/>
      <c r="X19" s="951"/>
      <c r="Y19" s="951"/>
      <c r="Z19" s="951"/>
      <c r="AA19" s="951"/>
      <c r="AB19" s="951"/>
      <c r="AC19" s="951"/>
      <c r="AD19" s="951"/>
      <c r="AE19" s="952"/>
      <c r="AG19"/>
    </row>
    <row r="20" spans="1:33" s="902" customFormat="1" ht="39" x14ac:dyDescent="0.25">
      <c r="A20" s="907" t="s">
        <v>617</v>
      </c>
      <c r="B20" s="908" t="s">
        <v>615</v>
      </c>
      <c r="C20" s="908" t="s">
        <v>614</v>
      </c>
      <c r="D20" s="908" t="s">
        <v>613</v>
      </c>
      <c r="E20" s="908" t="s">
        <v>612</v>
      </c>
      <c r="F20" s="908" t="s">
        <v>611</v>
      </c>
      <c r="G20" s="908" t="s">
        <v>610</v>
      </c>
      <c r="H20" s="908" t="s">
        <v>609</v>
      </c>
      <c r="I20" s="908" t="s">
        <v>608</v>
      </c>
      <c r="J20" s="908" t="s">
        <v>607</v>
      </c>
      <c r="K20" s="908" t="s">
        <v>606</v>
      </c>
      <c r="L20" s="908" t="s">
        <v>605</v>
      </c>
      <c r="M20" s="908" t="s">
        <v>604</v>
      </c>
      <c r="N20" s="909" t="s">
        <v>624</v>
      </c>
      <c r="P20" s="923"/>
      <c r="R20" s="907" t="s">
        <v>617</v>
      </c>
      <c r="S20" s="908" t="s">
        <v>615</v>
      </c>
      <c r="T20" s="908" t="s">
        <v>614</v>
      </c>
      <c r="U20" s="908" t="s">
        <v>613</v>
      </c>
      <c r="V20" s="908" t="s">
        <v>612</v>
      </c>
      <c r="W20" s="908" t="s">
        <v>611</v>
      </c>
      <c r="X20" s="908" t="s">
        <v>610</v>
      </c>
      <c r="Y20" s="908" t="s">
        <v>609</v>
      </c>
      <c r="Z20" s="908" t="s">
        <v>608</v>
      </c>
      <c r="AA20" s="908" t="s">
        <v>607</v>
      </c>
      <c r="AB20" s="908" t="s">
        <v>606</v>
      </c>
      <c r="AC20" s="908" t="s">
        <v>605</v>
      </c>
      <c r="AD20" s="908" t="s">
        <v>604</v>
      </c>
      <c r="AE20" s="909" t="s">
        <v>624</v>
      </c>
      <c r="AG20"/>
    </row>
    <row r="21" spans="1:33" s="902" customFormat="1" ht="20.149999999999999" customHeight="1" x14ac:dyDescent="0.25">
      <c r="A21" s="911">
        <v>2020</v>
      </c>
      <c r="B21" s="924">
        <v>0.59</v>
      </c>
      <c r="C21" s="924">
        <v>0.75</v>
      </c>
      <c r="D21" s="924">
        <v>1.05</v>
      </c>
      <c r="E21" s="924">
        <v>0.57999999999999996</v>
      </c>
      <c r="F21" s="924">
        <v>0.45</v>
      </c>
      <c r="G21" s="924">
        <v>0.5</v>
      </c>
      <c r="H21" s="924">
        <v>0.85</v>
      </c>
      <c r="I21" s="924">
        <v>0.99</v>
      </c>
      <c r="J21" s="924">
        <v>1.28</v>
      </c>
      <c r="K21" s="924">
        <v>1.06</v>
      </c>
      <c r="L21" s="924">
        <v>1.62</v>
      </c>
      <c r="M21" s="924">
        <v>1.72</v>
      </c>
      <c r="N21" s="912">
        <f>AVERAGE(B21:M21)</f>
        <v>0.95333333333333325</v>
      </c>
      <c r="P21" s="918"/>
      <c r="R21" s="911">
        <v>2020</v>
      </c>
      <c r="S21" s="790">
        <f>B21*Inflação!$D$28</f>
        <v>0.81138790120134774</v>
      </c>
      <c r="T21" s="790">
        <f>C21*Inflação!$E$28</f>
        <v>1.0288531652242461</v>
      </c>
      <c r="U21" s="790">
        <f>D21*Inflação!$F$28</f>
        <v>1.4393868605115863</v>
      </c>
      <c r="V21" s="790">
        <f>E21*Inflação!$G$28</f>
        <v>0.79756232807103922</v>
      </c>
      <c r="W21" s="790">
        <f>F21*Inflação!$H$28</f>
        <v>0.62115876127901148</v>
      </c>
      <c r="X21" s="790">
        <f>G21*Inflação!$I$28</f>
        <v>0.68838659627081966</v>
      </c>
      <c r="Y21" s="790">
        <f>H21*Inflação!$J$28</f>
        <v>1.1660593998210376</v>
      </c>
      <c r="Z21" s="790">
        <f>I21*Inflação!$K$28</f>
        <v>1.3548645671832629</v>
      </c>
      <c r="AA21" s="790">
        <f>J21*Inflação!$L$28</f>
        <v>1.7406042198561291</v>
      </c>
      <c r="AB21" s="790">
        <f>K21*Inflação!$M$28</f>
        <v>1.4291472036172488</v>
      </c>
      <c r="AC21" s="790">
        <f>L21*Inflação!$N$28</f>
        <v>2.1649007511075427</v>
      </c>
      <c r="AD21" s="790">
        <f>M21*Inflação!$O$28</f>
        <v>2.2679196842045792</v>
      </c>
      <c r="AE21" s="953">
        <f>AVERAGE(S21:AD21)</f>
        <v>1.2925192865289874</v>
      </c>
      <c r="AG21"/>
    </row>
    <row r="22" spans="1:33" s="902" customFormat="1" ht="20.149999999999999" customHeight="1" x14ac:dyDescent="0.25">
      <c r="A22" s="911">
        <v>2021</v>
      </c>
      <c r="B22" s="924">
        <v>1.52</v>
      </c>
      <c r="C22" s="924">
        <v>1.17</v>
      </c>
      <c r="D22" s="924">
        <v>0.92</v>
      </c>
      <c r="E22" s="924">
        <v>0.32</v>
      </c>
      <c r="F22" s="924">
        <v>0.43</v>
      </c>
      <c r="G22" s="924">
        <v>0.52</v>
      </c>
      <c r="H22" s="924">
        <v>1.1200000000000001</v>
      </c>
      <c r="I22" s="924">
        <v>1.1499999999999999</v>
      </c>
      <c r="J22" s="924">
        <v>0.89</v>
      </c>
      <c r="K22" s="924">
        <v>0.8</v>
      </c>
      <c r="L22" s="924">
        <v>1.17</v>
      </c>
      <c r="M22" s="924">
        <v>1.24</v>
      </c>
      <c r="N22" s="912">
        <f>AVERAGE(B22:M22)</f>
        <v>0.9375</v>
      </c>
      <c r="P22" s="918"/>
      <c r="R22" s="911">
        <v>2021</v>
      </c>
      <c r="S22" s="790">
        <f>B22*Inflação!$D$29</f>
        <v>1.9992100678483797</v>
      </c>
      <c r="T22" s="790">
        <f>C22*Inflação!$E$29</f>
        <v>1.525744243833691</v>
      </c>
      <c r="U22" s="790">
        <f>D22*Inflação!$F$29</f>
        <v>1.1886758312878229</v>
      </c>
      <c r="V22" s="790">
        <f>E22*Inflação!$G$29</f>
        <v>0.41217472142023137</v>
      </c>
      <c r="W22" s="790">
        <f>F22*Inflação!$H$29</f>
        <v>0.54930058703603668</v>
      </c>
      <c r="X22" s="790">
        <f>G22*Inflação!$I$29</f>
        <v>0.66076840480046228</v>
      </c>
      <c r="Y22" s="790">
        <f>H22*Inflação!$J$29</f>
        <v>1.4096607441189921</v>
      </c>
      <c r="Z22" s="790">
        <f>I22*Inflação!$K$29</f>
        <v>1.4349355745521468</v>
      </c>
      <c r="AA22" s="790">
        <f>J22*Inflação!$L$29</f>
        <v>1.0977810969720039</v>
      </c>
      <c r="AB22" s="790">
        <f>K22*Inflação!$M$29</f>
        <v>0.97458718554873414</v>
      </c>
      <c r="AC22" s="790">
        <f>L22*Inflação!$N$29</f>
        <v>1.4119205139821926</v>
      </c>
      <c r="AD22" s="790">
        <f>M22*Inflação!$O$29</f>
        <v>1.4855498767865682</v>
      </c>
      <c r="AE22" s="953">
        <f>AVERAGE(S22:AD22)</f>
        <v>1.179192404015605</v>
      </c>
      <c r="AG22"/>
    </row>
    <row r="23" spans="1:33" s="902" customFormat="1" ht="20.149999999999999" customHeight="1" x14ac:dyDescent="0.25">
      <c r="A23" s="911">
        <v>2022</v>
      </c>
      <c r="B23" s="924">
        <v>0.79</v>
      </c>
      <c r="C23" s="924">
        <v>1.19</v>
      </c>
      <c r="D23" s="924">
        <v>0.85</v>
      </c>
      <c r="E23" s="924">
        <v>0.83</v>
      </c>
      <c r="F23" s="924">
        <v>0.54</v>
      </c>
      <c r="G23" s="924">
        <v>1.35</v>
      </c>
      <c r="H23" s="924">
        <v>1.73</v>
      </c>
      <c r="I23" s="924">
        <v>1.32</v>
      </c>
      <c r="J23" s="924">
        <v>2.25</v>
      </c>
      <c r="K23" s="924">
        <v>2.25</v>
      </c>
      <c r="L23" s="924">
        <v>1.55</v>
      </c>
      <c r="M23" s="924">
        <v>0.88</v>
      </c>
      <c r="N23" s="912">
        <f>AVERAGE(B23:M23)</f>
        <v>1.2941666666666669</v>
      </c>
      <c r="P23" s="918"/>
      <c r="R23" s="911">
        <v>2022</v>
      </c>
      <c r="S23" s="790">
        <f>B23*Inflação!$D$30</f>
        <v>0.94135571355116954</v>
      </c>
      <c r="T23" s="790">
        <f>C23*Inflação!$E$30</f>
        <v>1.4038130065150731</v>
      </c>
      <c r="U23" s="790">
        <f>D23*Inflação!$F$30</f>
        <v>0.98673841377897564</v>
      </c>
      <c r="V23" s="790">
        <f>E23*Inflação!$G$30</f>
        <v>0.95341484201179239</v>
      </c>
      <c r="W23" s="790">
        <f>F23*Inflação!$H$30</f>
        <v>0.61739225002292597</v>
      </c>
      <c r="X23" s="790">
        <f>G23*Inflação!$I$30</f>
        <v>1.5332081305824128</v>
      </c>
      <c r="Y23" s="790">
        <f>H23*Inflação!$J$30</f>
        <v>1.978229789164522</v>
      </c>
      <c r="Z23" s="790">
        <f>I23*Inflação!$K$30</f>
        <v>1.5148542392480961</v>
      </c>
      <c r="AA23" s="790">
        <f>J23*Inflação!$L$30</f>
        <v>2.5896478866806287</v>
      </c>
      <c r="AB23" s="790">
        <f>K23*Inflação!$M$30</f>
        <v>2.5744585810524194</v>
      </c>
      <c r="AC23" s="790">
        <f>L23*Inflação!$N$30</f>
        <v>1.7662741872240477</v>
      </c>
      <c r="AD23" s="790">
        <f>M23*Inflação!$O$30</f>
        <v>0.99660895015879747</v>
      </c>
      <c r="AE23" s="953">
        <f>AVERAGE(S23:AD23)</f>
        <v>1.4879996658325718</v>
      </c>
      <c r="AG23"/>
    </row>
    <row r="24" spans="1:33" s="902" customFormat="1" ht="20.149999999999999" customHeight="1" x14ac:dyDescent="0.25">
      <c r="A24" s="911">
        <v>2023</v>
      </c>
      <c r="B24" s="924">
        <v>0.64</v>
      </c>
      <c r="C24" s="924">
        <v>0.94</v>
      </c>
      <c r="D24" s="924">
        <v>1.05</v>
      </c>
      <c r="E24" s="924">
        <v>0.88</v>
      </c>
      <c r="F24" s="924">
        <v>1.07</v>
      </c>
      <c r="G24" s="924">
        <v>0.87</v>
      </c>
      <c r="H24" s="924">
        <v>1.69</v>
      </c>
      <c r="I24" s="924">
        <v>2.2799999999999998</v>
      </c>
      <c r="J24" s="924">
        <v>1.54</v>
      </c>
      <c r="K24" s="924">
        <v>1.07</v>
      </c>
      <c r="L24" s="924">
        <v>1.62</v>
      </c>
      <c r="M24" s="924">
        <v>1.28</v>
      </c>
      <c r="N24" s="912">
        <f>AVERAGE(B24:M24)</f>
        <v>1.2441666666666669</v>
      </c>
      <c r="P24" s="918"/>
      <c r="R24" s="911">
        <v>2023</v>
      </c>
      <c r="S24" s="790">
        <f>B24*Inflação!$D$31</f>
        <v>0.7209852871843212</v>
      </c>
      <c r="T24" s="790">
        <f>C24*Inflação!$E$31</f>
        <v>1.0501260814676434</v>
      </c>
      <c r="U24" s="790">
        <f>D24*Inflação!$F$31</f>
        <v>1.1647434972768087</v>
      </c>
      <c r="V24" s="790">
        <f>E24*Inflação!$G$31</f>
        <v>0.97024746910852522</v>
      </c>
      <c r="W24" s="790">
        <f>F24*Inflação!$H$31</f>
        <v>1.1770255593341246</v>
      </c>
      <c r="X24" s="790">
        <f>G24*Inflação!$I$31</f>
        <v>0.95778701149769208</v>
      </c>
      <c r="Y24" s="790">
        <f>H24*Inflação!$J$31</f>
        <v>1.8582988338489208</v>
      </c>
      <c r="Z24" s="790">
        <f>I24*Inflação!$K$31</f>
        <v>2.5013010556049724</v>
      </c>
      <c r="AA24" s="790">
        <f>J24*Inflação!$L$31</f>
        <v>1.6850940299220529</v>
      </c>
      <c r="AB24" s="790">
        <f>K24*Inflação!$M$31</f>
        <v>1.1680088644503819</v>
      </c>
      <c r="AC24" s="790">
        <f>L24*Inflação!$N$31</f>
        <v>1.7634495938564718</v>
      </c>
      <c r="AD24" s="790">
        <f>M24*Inflação!$O$31</f>
        <v>1.3855836206971108</v>
      </c>
      <c r="AE24" s="953">
        <f>AVERAGE(S24:AD24)</f>
        <v>1.3668875753540854</v>
      </c>
      <c r="AG24"/>
    </row>
    <row r="25" spans="1:33" s="902" customFormat="1" ht="20.149999999999999" customHeight="1" x14ac:dyDescent="0.25">
      <c r="A25" s="911">
        <v>2024</v>
      </c>
      <c r="B25" s="924">
        <v>1.27</v>
      </c>
      <c r="C25" s="924">
        <v>2.4300000000000002</v>
      </c>
      <c r="D25" s="924">
        <v>1.23</v>
      </c>
      <c r="E25" s="924">
        <v>0.61</v>
      </c>
      <c r="F25" s="924">
        <v>0.52</v>
      </c>
      <c r="G25" s="924">
        <v>1.28</v>
      </c>
      <c r="H25" s="924">
        <v>1.36</v>
      </c>
      <c r="I25" s="924">
        <v>1.93</v>
      </c>
      <c r="J25" s="924">
        <v>1.94</v>
      </c>
      <c r="K25" s="924">
        <v>1.48</v>
      </c>
      <c r="L25" s="924">
        <v>1.36</v>
      </c>
      <c r="M25" s="924">
        <v>1.26</v>
      </c>
      <c r="N25" s="912">
        <f>AVERAGE(B25:M25)</f>
        <v>1.3891666666666669</v>
      </c>
      <c r="P25" s="918"/>
      <c r="R25" s="911">
        <v>2024</v>
      </c>
      <c r="S25" s="790">
        <f>B25*Inflação!$D$32</f>
        <v>1.3690089112332353</v>
      </c>
      <c r="T25" s="790">
        <f>C25*Inflação!$E$32</f>
        <v>2.5978798447662057</v>
      </c>
      <c r="U25" s="790">
        <f>D25*Inflação!$F$32</f>
        <v>1.3128756167343907</v>
      </c>
      <c r="V25" s="790">
        <f>E25*Inflação!$G$32</f>
        <v>0.64863609844216219</v>
      </c>
      <c r="W25" s="790">
        <f>F25*Inflação!$H$32</f>
        <v>0.55040383284420258</v>
      </c>
      <c r="X25" s="790">
        <f>G25*Inflação!$I$32</f>
        <v>1.3520010018203683</v>
      </c>
      <c r="Y25" s="790">
        <f>H25*Inflação!$J$32</f>
        <v>1.4310630249393717</v>
      </c>
      <c r="Z25" s="790">
        <f>I25*Inflação!$K$32</f>
        <v>2.0312530433535145</v>
      </c>
      <c r="AA25" s="790">
        <f>J25*Inflação!$L$32</f>
        <v>2.0328332044216939</v>
      </c>
      <c r="AB25" s="790">
        <f>K25*Inflação!$M$32</f>
        <v>1.5421849716556904</v>
      </c>
      <c r="AC25" s="790">
        <f>L25*Inflação!$N$32</f>
        <v>1.4116375604411304</v>
      </c>
      <c r="AD25" s="790">
        <f>M25*Inflação!$O$32</f>
        <v>1.3010750905261932</v>
      </c>
      <c r="AE25" s="953">
        <f>AVERAGE(S25:AD25)</f>
        <v>1.4650710167648464</v>
      </c>
      <c r="AG25"/>
    </row>
    <row r="26" spans="1:33" s="902" customFormat="1" ht="20.149999999999999" customHeight="1" x14ac:dyDescent="0.25">
      <c r="A26" s="914" t="s">
        <v>626</v>
      </c>
      <c r="B26" s="915">
        <f t="shared" ref="B26:N26" si="2">AVERAGE(B21:B25)</f>
        <v>0.96200000000000008</v>
      </c>
      <c r="C26" s="915">
        <f t="shared" si="2"/>
        <v>1.296</v>
      </c>
      <c r="D26" s="915">
        <f t="shared" si="2"/>
        <v>1.02</v>
      </c>
      <c r="E26" s="915">
        <f t="shared" si="2"/>
        <v>0.64399999999999991</v>
      </c>
      <c r="F26" s="915">
        <f t="shared" si="2"/>
        <v>0.60200000000000009</v>
      </c>
      <c r="G26" s="915">
        <f t="shared" si="2"/>
        <v>0.90400000000000014</v>
      </c>
      <c r="H26" s="915">
        <f t="shared" si="2"/>
        <v>1.35</v>
      </c>
      <c r="I26" s="915">
        <f t="shared" si="2"/>
        <v>1.534</v>
      </c>
      <c r="J26" s="915">
        <f t="shared" si="2"/>
        <v>1.58</v>
      </c>
      <c r="K26" s="915">
        <f t="shared" si="2"/>
        <v>1.3320000000000001</v>
      </c>
      <c r="L26" s="915">
        <f t="shared" si="2"/>
        <v>1.464</v>
      </c>
      <c r="M26" s="915">
        <f t="shared" si="2"/>
        <v>1.276</v>
      </c>
      <c r="N26" s="915">
        <f t="shared" si="2"/>
        <v>1.1636666666666668</v>
      </c>
      <c r="P26" s="925"/>
      <c r="R26" s="914" t="s">
        <v>626</v>
      </c>
      <c r="S26" s="915">
        <f t="shared" ref="S26:AE26" si="3">AVERAGE(S21:S25)</f>
        <v>1.1683895762036909</v>
      </c>
      <c r="T26" s="915">
        <f t="shared" si="3"/>
        <v>1.521283268361372</v>
      </c>
      <c r="U26" s="915">
        <f t="shared" si="3"/>
        <v>1.218484043917917</v>
      </c>
      <c r="V26" s="915">
        <f t="shared" si="3"/>
        <v>0.75640709181075017</v>
      </c>
      <c r="W26" s="915">
        <f t="shared" si="3"/>
        <v>0.70305619810326037</v>
      </c>
      <c r="X26" s="915">
        <f t="shared" si="3"/>
        <v>1.038430228994351</v>
      </c>
      <c r="Y26" s="915">
        <f t="shared" si="3"/>
        <v>1.5686623583785688</v>
      </c>
      <c r="Z26" s="915">
        <f t="shared" si="3"/>
        <v>1.7674416959883985</v>
      </c>
      <c r="AA26" s="915">
        <f t="shared" si="3"/>
        <v>1.8291920875705017</v>
      </c>
      <c r="AB26" s="915">
        <f t="shared" si="3"/>
        <v>1.5376773612648951</v>
      </c>
      <c r="AC26" s="915">
        <f t="shared" si="3"/>
        <v>1.7036365213222768</v>
      </c>
      <c r="AD26" s="915">
        <f t="shared" si="3"/>
        <v>1.4873474444746499</v>
      </c>
      <c r="AE26" s="915">
        <f t="shared" si="3"/>
        <v>1.358333989699219</v>
      </c>
      <c r="AG26"/>
    </row>
    <row r="27" spans="1:33" s="902" customFormat="1" ht="20.149999999999999" customHeight="1" x14ac:dyDescent="0.25">
      <c r="A27" s="902" t="s">
        <v>730</v>
      </c>
      <c r="B27" s="918"/>
      <c r="C27" s="918"/>
      <c r="D27" s="918"/>
      <c r="E27" s="918"/>
      <c r="F27" s="918"/>
      <c r="G27" s="918"/>
      <c r="H27" s="918"/>
      <c r="I27" s="918"/>
      <c r="J27" s="918"/>
      <c r="K27" s="918"/>
      <c r="L27" s="918"/>
      <c r="M27" s="918"/>
      <c r="N27" s="918"/>
      <c r="AG27"/>
    </row>
    <row r="28" spans="1:33" s="902" customFormat="1" ht="20.149999999999999" customHeight="1" x14ac:dyDescent="0.25">
      <c r="B28" s="918"/>
      <c r="C28" s="918"/>
      <c r="D28" s="918"/>
      <c r="E28" s="918"/>
      <c r="F28" s="918"/>
      <c r="G28" s="918"/>
      <c r="H28" s="918"/>
      <c r="I28" s="918"/>
      <c r="J28" s="918"/>
      <c r="K28" s="918"/>
      <c r="L28" s="918"/>
      <c r="M28" s="918"/>
      <c r="N28" s="918"/>
      <c r="AG28"/>
    </row>
    <row r="29" spans="1:33" ht="20.149999999999999" customHeight="1" thickBot="1" x14ac:dyDescent="0.3">
      <c r="B29" s="764"/>
      <c r="C29" s="764"/>
      <c r="D29" s="764"/>
      <c r="E29" s="764"/>
      <c r="F29" s="764"/>
      <c r="G29" s="764"/>
      <c r="H29" s="764"/>
      <c r="I29" s="764"/>
      <c r="J29" s="764"/>
      <c r="K29" s="764"/>
      <c r="L29" s="764"/>
      <c r="M29" s="764"/>
      <c r="N29" s="764"/>
    </row>
    <row r="30" spans="1:33" ht="20.149999999999999" customHeight="1" thickBot="1" x14ac:dyDescent="0.3">
      <c r="A30" s="559" t="s">
        <v>616</v>
      </c>
      <c r="B30" s="560"/>
      <c r="C30" s="572"/>
      <c r="D30" s="572"/>
      <c r="E30" s="572"/>
      <c r="F30" s="572"/>
      <c r="G30" s="572"/>
      <c r="H30" s="572"/>
      <c r="I30" s="572"/>
      <c r="J30" s="572"/>
      <c r="K30" s="572"/>
      <c r="L30" s="572"/>
      <c r="M30" s="572"/>
      <c r="N30" s="573"/>
      <c r="R30" s="559" t="s">
        <v>616</v>
      </c>
      <c r="S30" s="560"/>
      <c r="T30" s="572"/>
      <c r="U30" s="572"/>
      <c r="V30" s="572"/>
      <c r="W30" s="572"/>
      <c r="X30" s="572"/>
      <c r="Y30" s="572"/>
      <c r="Z30" s="572"/>
      <c r="AA30" s="572"/>
      <c r="AB30" s="572"/>
      <c r="AC30" s="572"/>
      <c r="AD30" s="572"/>
      <c r="AE30" s="573"/>
    </row>
    <row r="31" spans="1:33" ht="39" x14ac:dyDescent="0.25">
      <c r="A31" s="793" t="s">
        <v>617</v>
      </c>
      <c r="B31" s="792" t="s">
        <v>615</v>
      </c>
      <c r="C31" s="792" t="s">
        <v>614</v>
      </c>
      <c r="D31" s="792" t="s">
        <v>613</v>
      </c>
      <c r="E31" s="792" t="s">
        <v>612</v>
      </c>
      <c r="F31" s="792" t="s">
        <v>611</v>
      </c>
      <c r="G31" s="792" t="s">
        <v>610</v>
      </c>
      <c r="H31" s="792" t="s">
        <v>609</v>
      </c>
      <c r="I31" s="792" t="s">
        <v>608</v>
      </c>
      <c r="J31" s="792" t="s">
        <v>607</v>
      </c>
      <c r="K31" s="792" t="s">
        <v>606</v>
      </c>
      <c r="L31" s="792" t="s">
        <v>605</v>
      </c>
      <c r="M31" s="792" t="s">
        <v>604</v>
      </c>
      <c r="N31" s="794" t="s">
        <v>624</v>
      </c>
      <c r="P31" s="796" t="s">
        <v>625</v>
      </c>
      <c r="R31" s="793" t="s">
        <v>617</v>
      </c>
      <c r="S31" s="792" t="s">
        <v>615</v>
      </c>
      <c r="T31" s="792" t="s">
        <v>614</v>
      </c>
      <c r="U31" s="792" t="s">
        <v>613</v>
      </c>
      <c r="V31" s="792" t="s">
        <v>612</v>
      </c>
      <c r="W31" s="792" t="s">
        <v>611</v>
      </c>
      <c r="X31" s="792" t="s">
        <v>610</v>
      </c>
      <c r="Y31" s="792" t="s">
        <v>609</v>
      </c>
      <c r="Z31" s="792" t="s">
        <v>608</v>
      </c>
      <c r="AA31" s="792" t="s">
        <v>607</v>
      </c>
      <c r="AB31" s="792" t="s">
        <v>606</v>
      </c>
      <c r="AC31" s="792" t="s">
        <v>605</v>
      </c>
      <c r="AD31" s="792" t="s">
        <v>604</v>
      </c>
      <c r="AE31" s="794" t="s">
        <v>624</v>
      </c>
    </row>
    <row r="32" spans="1:33" ht="20.149999999999999" customHeight="1" x14ac:dyDescent="0.25">
      <c r="A32" s="795">
        <v>2020</v>
      </c>
      <c r="B32" s="790">
        <v>2.2599999999999998</v>
      </c>
      <c r="C32" s="790">
        <v>2.5</v>
      </c>
      <c r="D32" s="790">
        <v>2.48</v>
      </c>
      <c r="E32" s="790">
        <v>2.0499999999999998</v>
      </c>
      <c r="F32" s="790">
        <v>1.64</v>
      </c>
      <c r="G32" s="790">
        <v>1.55</v>
      </c>
      <c r="H32" s="790">
        <v>1.27</v>
      </c>
      <c r="I32" s="790">
        <v>1.08</v>
      </c>
      <c r="J32" s="790">
        <v>1.59</v>
      </c>
      <c r="K32" s="790">
        <v>1.2</v>
      </c>
      <c r="L32" s="790">
        <v>1.89</v>
      </c>
      <c r="M32" s="790">
        <v>2.89</v>
      </c>
      <c r="N32" s="790">
        <f>AVERAGE(B32:M32)</f>
        <v>1.8666666666666669</v>
      </c>
      <c r="P32" s="791">
        <v>1.3</v>
      </c>
      <c r="R32" s="795">
        <v>2020</v>
      </c>
      <c r="S32" s="790">
        <f>B32*Inflação!$D$28</f>
        <v>3.1080282317204166</v>
      </c>
      <c r="T32" s="790">
        <f>C32*Inflação!$E$28</f>
        <v>3.4295105507474863</v>
      </c>
      <c r="U32" s="790">
        <f>D32*Inflação!$F$28</f>
        <v>3.3996946800654606</v>
      </c>
      <c r="V32" s="790">
        <f>E32*Inflação!$G$28</f>
        <v>2.818970297492466</v>
      </c>
      <c r="W32" s="790">
        <f>F32*Inflação!$H$28</f>
        <v>2.263778596661286</v>
      </c>
      <c r="X32" s="790">
        <f>G32*Inflação!$I$28</f>
        <v>2.1339984484395411</v>
      </c>
      <c r="Y32" s="790">
        <f>H32*Inflação!$J$28</f>
        <v>1.7422299267914325</v>
      </c>
      <c r="Z32" s="790">
        <f>I32*Inflação!$K$28</f>
        <v>1.4780340732908321</v>
      </c>
      <c r="AA32" s="790">
        <f>J32*Inflação!$L$28</f>
        <v>2.1621568043525357</v>
      </c>
      <c r="AB32" s="790">
        <f>K32*Inflação!$M$28</f>
        <v>1.6179024946610363</v>
      </c>
      <c r="AC32" s="790">
        <f>L32*Inflação!$N$28</f>
        <v>2.5257175429587995</v>
      </c>
      <c r="AD32" s="790">
        <f>M32*Inflação!$O$28</f>
        <v>3.8106324926460666</v>
      </c>
      <c r="AE32" s="790">
        <f>AVERAGE(S32:AD32)</f>
        <v>2.5408878449856132</v>
      </c>
    </row>
    <row r="33" spans="1:33" ht="20.149999999999999" customHeight="1" x14ac:dyDescent="0.25">
      <c r="A33" s="795">
        <v>2021</v>
      </c>
      <c r="B33" s="790">
        <v>3.45</v>
      </c>
      <c r="C33" s="790">
        <v>2.93</v>
      </c>
      <c r="D33" s="790">
        <v>2.2599999999999998</v>
      </c>
      <c r="E33" s="790">
        <v>2.23</v>
      </c>
      <c r="F33" s="790">
        <v>1.41</v>
      </c>
      <c r="G33" s="790">
        <v>1.21</v>
      </c>
      <c r="H33" s="790">
        <v>1.25</v>
      </c>
      <c r="I33" s="790">
        <v>1.8</v>
      </c>
      <c r="J33" s="790">
        <v>2.31</v>
      </c>
      <c r="K33" s="790">
        <v>2.06</v>
      </c>
      <c r="L33" s="790">
        <v>2.11</v>
      </c>
      <c r="M33" s="790">
        <v>3.69</v>
      </c>
      <c r="N33" s="790">
        <f>AVERAGE(B33:M33)</f>
        <v>2.2258333333333336</v>
      </c>
      <c r="P33" s="791">
        <v>1.44</v>
      </c>
      <c r="R33" s="795">
        <v>2021</v>
      </c>
      <c r="S33" s="790">
        <f>B33*Inflação!$D$29</f>
        <v>4.5376807461032307</v>
      </c>
      <c r="T33" s="790">
        <f>C33*Inflação!$E$29</f>
        <v>3.8208808841305255</v>
      </c>
      <c r="U33" s="790">
        <f>D33*Inflação!$F$29</f>
        <v>2.9200080203374781</v>
      </c>
      <c r="V33" s="790">
        <f>E33*Inflação!$G$29</f>
        <v>2.872342589897237</v>
      </c>
      <c r="W33" s="790">
        <f>F33*Inflação!$H$29</f>
        <v>1.8011949481879341</v>
      </c>
      <c r="X33" s="790">
        <f>G33*Inflação!$I$29</f>
        <v>1.5375572496318448</v>
      </c>
      <c r="Y33" s="790">
        <f>H33*Inflação!$J$29</f>
        <v>1.5732820804899463</v>
      </c>
      <c r="Z33" s="790">
        <f>I33*Inflação!$K$29</f>
        <v>2.2459861166903172</v>
      </c>
      <c r="AA33" s="790">
        <f>J33*Inflação!$L$29</f>
        <v>2.8492970045003698</v>
      </c>
      <c r="AB33" s="790">
        <f>K33*Inflação!$M$29</f>
        <v>2.5095620027879901</v>
      </c>
      <c r="AC33" s="790">
        <f>L33*Inflação!$N$29</f>
        <v>2.5462840038482275</v>
      </c>
      <c r="AD33" s="790">
        <f>M33*Inflação!$O$29</f>
        <v>4.4207089075342232</v>
      </c>
      <c r="AE33" s="790">
        <f>AVERAGE(S33:AD33)</f>
        <v>2.8028987128449443</v>
      </c>
    </row>
    <row r="34" spans="1:33" ht="20.149999999999999" customHeight="1" x14ac:dyDescent="0.25">
      <c r="A34" s="795">
        <v>2022</v>
      </c>
      <c r="B34" s="790">
        <v>3.94</v>
      </c>
      <c r="C34" s="790">
        <v>3.71</v>
      </c>
      <c r="D34" s="790">
        <v>2.69</v>
      </c>
      <c r="E34" s="790">
        <v>2.71</v>
      </c>
      <c r="F34" s="790">
        <v>1.61</v>
      </c>
      <c r="G34" s="790">
        <v>2.17</v>
      </c>
      <c r="H34" s="790">
        <v>2.8</v>
      </c>
      <c r="I34" s="790">
        <v>3.1</v>
      </c>
      <c r="J34" s="790">
        <v>3.8</v>
      </c>
      <c r="K34" s="790">
        <v>3.54</v>
      </c>
      <c r="L34" s="790">
        <v>3.99</v>
      </c>
      <c r="M34" s="790">
        <v>4.28</v>
      </c>
      <c r="N34" s="790">
        <f>AVERAGE(B34:M34)</f>
        <v>3.1950000000000003</v>
      </c>
      <c r="P34" s="791">
        <v>2.2599999999999998</v>
      </c>
      <c r="R34" s="795">
        <v>2022</v>
      </c>
      <c r="S34" s="790">
        <f>B34*Inflação!$D$30</f>
        <v>4.6948626726476048</v>
      </c>
      <c r="T34" s="790">
        <f>C34*Inflação!$E$30</f>
        <v>4.3765934908999338</v>
      </c>
      <c r="U34" s="790">
        <f>D34*Inflação!$F$30</f>
        <v>3.1227368624299348</v>
      </c>
      <c r="V34" s="790">
        <f>E34*Inflação!$G$30</f>
        <v>3.1129568937975391</v>
      </c>
      <c r="W34" s="790">
        <f>F34*Inflação!$H$30</f>
        <v>1.8407435602535385</v>
      </c>
      <c r="X34" s="790">
        <f>G34*Inflação!$I$30</f>
        <v>2.4644901061954338</v>
      </c>
      <c r="Y34" s="790">
        <f>H34*Inflação!$J$30</f>
        <v>3.2017591963356424</v>
      </c>
      <c r="Z34" s="790">
        <f>I34*Inflação!$K$30</f>
        <v>3.5576122285371952</v>
      </c>
      <c r="AA34" s="790">
        <f>J34*Inflação!$L$30</f>
        <v>4.3736275419495065</v>
      </c>
      <c r="AB34" s="790">
        <f>K34*Inflação!$M$30</f>
        <v>4.0504815008558062</v>
      </c>
      <c r="AC34" s="790">
        <f>L34*Inflação!$N$30</f>
        <v>4.5467316174348067</v>
      </c>
      <c r="AD34" s="790">
        <f>M34*Inflação!$O$30</f>
        <v>4.8471435303177879</v>
      </c>
      <c r="AE34" s="790">
        <f>AVERAGE(S34:AD34)</f>
        <v>3.6824782668045608</v>
      </c>
    </row>
    <row r="35" spans="1:33" ht="20.149999999999999" customHeight="1" x14ac:dyDescent="0.25">
      <c r="A35" s="795">
        <v>2023</v>
      </c>
      <c r="B35" s="790">
        <v>4.5599999999999996</v>
      </c>
      <c r="C35" s="790">
        <v>4.18</v>
      </c>
      <c r="D35" s="790">
        <v>2.94</v>
      </c>
      <c r="E35" s="790">
        <v>2.64</v>
      </c>
      <c r="F35" s="790">
        <v>2.2599999999999998</v>
      </c>
      <c r="G35" s="790">
        <v>2.7</v>
      </c>
      <c r="H35" s="790">
        <v>3.42</v>
      </c>
      <c r="I35" s="790">
        <v>3.41</v>
      </c>
      <c r="J35" s="790">
        <v>2.78</v>
      </c>
      <c r="K35" s="790">
        <v>2.81</v>
      </c>
      <c r="L35" s="790">
        <v>3.69</v>
      </c>
      <c r="M35" s="790">
        <v>5.03</v>
      </c>
      <c r="N35" s="790">
        <f>AVERAGE(B35:M35)</f>
        <v>3.3683333333333327</v>
      </c>
      <c r="P35" s="791">
        <v>2.35</v>
      </c>
      <c r="R35" s="795">
        <v>2023</v>
      </c>
      <c r="S35" s="790">
        <f>B35*Inflação!$D$31</f>
        <v>5.1370201711882881</v>
      </c>
      <c r="T35" s="790">
        <f>C35*Inflação!$E$31</f>
        <v>4.6697095963135631</v>
      </c>
      <c r="U35" s="790">
        <f>D35*Inflação!$F$31</f>
        <v>3.2612817923750641</v>
      </c>
      <c r="V35" s="790">
        <f>E35*Inflação!$G$31</f>
        <v>2.9107424073255759</v>
      </c>
      <c r="W35" s="790">
        <f>F35*Inflação!$H$31</f>
        <v>2.4860539851356274</v>
      </c>
      <c r="X35" s="790">
        <f>G35*Inflação!$I$31</f>
        <v>2.9724424494755963</v>
      </c>
      <c r="Y35" s="790">
        <f>H35*Inflação!$J$31</f>
        <v>3.7605810720492956</v>
      </c>
      <c r="Z35" s="790">
        <f>I35*Inflação!$K$31</f>
        <v>3.740980964742525</v>
      </c>
      <c r="AA35" s="790">
        <f>J35*Inflação!$L$31</f>
        <v>3.0419229890800694</v>
      </c>
      <c r="AB35" s="790">
        <f>K35*Inflação!$M$31</f>
        <v>3.0673877655192272</v>
      </c>
      <c r="AC35" s="790">
        <f>L35*Inflação!$N$31</f>
        <v>4.0167462971175185</v>
      </c>
      <c r="AD35" s="790">
        <f>M35*Inflação!$O$31</f>
        <v>5.4449106344581777</v>
      </c>
      <c r="AE35" s="790">
        <f>AVERAGE(S35:AD35)</f>
        <v>3.7091483437317105</v>
      </c>
    </row>
    <row r="36" spans="1:33" ht="20.149999999999999" customHeight="1" x14ac:dyDescent="0.25">
      <c r="A36" s="795">
        <v>2024</v>
      </c>
      <c r="B36" s="790">
        <v>5.43</v>
      </c>
      <c r="C36" s="790">
        <v>5.95</v>
      </c>
      <c r="D36" s="790">
        <v>6.56</v>
      </c>
      <c r="E36" s="790">
        <v>5.71</v>
      </c>
      <c r="F36" s="790">
        <v>3.89</v>
      </c>
      <c r="G36" s="790">
        <v>2.93</v>
      </c>
      <c r="H36" s="790">
        <v>3.16</v>
      </c>
      <c r="I36" s="790">
        <v>5.14</v>
      </c>
      <c r="J36" s="790">
        <v>3.69</v>
      </c>
      <c r="K36" s="790">
        <v>3.01</v>
      </c>
      <c r="L36" s="790">
        <v>3.27</v>
      </c>
      <c r="M36" s="790">
        <v>3.19</v>
      </c>
      <c r="N36" s="790">
        <f>AVERAGE(B36:M36)</f>
        <v>4.3274999999999997</v>
      </c>
      <c r="P36" s="791">
        <v>2.68</v>
      </c>
      <c r="R36" s="795">
        <v>2024</v>
      </c>
      <c r="S36" s="790">
        <f>B36*Inflação!$D$32</f>
        <v>5.8533215653515489</v>
      </c>
      <c r="T36" s="790">
        <f>C36*Inflação!$E$32</f>
        <v>6.3610638174316563</v>
      </c>
      <c r="U36" s="790">
        <f>D36*Inflação!$F$32</f>
        <v>7.0020032892500828</v>
      </c>
      <c r="V36" s="790">
        <f>E36*Inflação!$G$32</f>
        <v>6.0716592165651582</v>
      </c>
      <c r="W36" s="790">
        <f>F36*Inflação!$H$32</f>
        <v>4.1174440572383615</v>
      </c>
      <c r="X36" s="790">
        <f>G36*Inflação!$I$32</f>
        <v>3.0948147932294372</v>
      </c>
      <c r="Y36" s="790">
        <f>H36*Inflação!$J$32</f>
        <v>3.3251170285355989</v>
      </c>
      <c r="Z36" s="790">
        <f>I36*Inflação!$K$32</f>
        <v>5.4096583641642821</v>
      </c>
      <c r="AA36" s="790">
        <f>J36*Inflação!$L$32</f>
        <v>3.866574497070129</v>
      </c>
      <c r="AB36" s="790">
        <f>K36*Inflação!$M$32</f>
        <v>3.1364707869483972</v>
      </c>
      <c r="AC36" s="790">
        <f>L36*Inflação!$N$32</f>
        <v>3.3941579578253647</v>
      </c>
      <c r="AD36" s="790">
        <f>M36*Inflação!$O$32</f>
        <v>3.2939916974432988</v>
      </c>
      <c r="AE36" s="790">
        <f>AVERAGE(S36:AD36)</f>
        <v>4.5771897559211085</v>
      </c>
    </row>
    <row r="37" spans="1:33" ht="20.149999999999999" customHeight="1" x14ac:dyDescent="0.25">
      <c r="A37" s="718" t="s">
        <v>626</v>
      </c>
      <c r="B37" s="798">
        <f t="shared" ref="B37:N37" si="4">AVERAGE(B32:B36)</f>
        <v>3.9279999999999999</v>
      </c>
      <c r="C37" s="798">
        <f t="shared" si="4"/>
        <v>3.8540000000000001</v>
      </c>
      <c r="D37" s="798">
        <f t="shared" si="4"/>
        <v>3.3860000000000001</v>
      </c>
      <c r="E37" s="798">
        <f t="shared" si="4"/>
        <v>3.0680000000000001</v>
      </c>
      <c r="F37" s="798">
        <f t="shared" si="4"/>
        <v>2.1619999999999999</v>
      </c>
      <c r="G37" s="798">
        <f t="shared" si="4"/>
        <v>2.1120000000000001</v>
      </c>
      <c r="H37" s="798">
        <f t="shared" si="4"/>
        <v>2.38</v>
      </c>
      <c r="I37" s="798">
        <f t="shared" si="4"/>
        <v>2.9060000000000001</v>
      </c>
      <c r="J37" s="798">
        <f t="shared" si="4"/>
        <v>2.8340000000000001</v>
      </c>
      <c r="K37" s="798">
        <f t="shared" si="4"/>
        <v>2.524</v>
      </c>
      <c r="L37" s="798">
        <f t="shared" si="4"/>
        <v>2.9899999999999998</v>
      </c>
      <c r="M37" s="798">
        <f t="shared" si="4"/>
        <v>3.8160000000000003</v>
      </c>
      <c r="N37" s="798">
        <f t="shared" si="4"/>
        <v>2.996666666666667</v>
      </c>
      <c r="P37" s="806">
        <f>AVERAGE(P32:P36)</f>
        <v>2.0059999999999998</v>
      </c>
      <c r="R37" s="718" t="s">
        <v>626</v>
      </c>
      <c r="S37" s="798">
        <f t="shared" ref="S37:AE37" si="5">AVERAGE(S32:S36)</f>
        <v>4.666182677402217</v>
      </c>
      <c r="T37" s="798">
        <f t="shared" si="5"/>
        <v>4.5315516679046324</v>
      </c>
      <c r="U37" s="798">
        <f t="shared" si="5"/>
        <v>3.9411449288916041</v>
      </c>
      <c r="V37" s="798">
        <f t="shared" si="5"/>
        <v>3.5573342810155957</v>
      </c>
      <c r="W37" s="798">
        <f t="shared" si="5"/>
        <v>2.5018430294953498</v>
      </c>
      <c r="X37" s="798">
        <f t="shared" si="5"/>
        <v>2.4406606093943704</v>
      </c>
      <c r="Y37" s="798">
        <f t="shared" si="5"/>
        <v>2.720593860840383</v>
      </c>
      <c r="Z37" s="798">
        <f t="shared" si="5"/>
        <v>3.2864543494850302</v>
      </c>
      <c r="AA37" s="798">
        <f t="shared" si="5"/>
        <v>3.2587157673905223</v>
      </c>
      <c r="AB37" s="798">
        <f t="shared" si="5"/>
        <v>2.8763609101544914</v>
      </c>
      <c r="AC37" s="798">
        <f t="shared" si="5"/>
        <v>3.4059274838369431</v>
      </c>
      <c r="AD37" s="798">
        <f t="shared" si="5"/>
        <v>4.3634774524799109</v>
      </c>
      <c r="AE37" s="798">
        <f t="shared" si="5"/>
        <v>3.4625205848575873</v>
      </c>
    </row>
    <row r="38" spans="1:33" ht="20.149999999999999" customHeight="1" x14ac:dyDescent="0.25">
      <c r="A38" s="6" t="s">
        <v>602</v>
      </c>
      <c r="R38" s="6" t="s">
        <v>602</v>
      </c>
    </row>
    <row r="39" spans="1:33" s="902" customFormat="1" ht="20.149999999999999" customHeight="1" thickBot="1" x14ac:dyDescent="0.3">
      <c r="AG39"/>
    </row>
    <row r="40" spans="1:33" s="902" customFormat="1" ht="20.149999999999999" customHeight="1" thickBot="1" x14ac:dyDescent="0.3">
      <c r="A40" s="919" t="s">
        <v>616</v>
      </c>
      <c r="B40" s="920"/>
      <c r="C40" s="921"/>
      <c r="D40" s="921"/>
      <c r="E40" s="921"/>
      <c r="F40" s="921"/>
      <c r="G40" s="921"/>
      <c r="H40" s="921"/>
      <c r="I40" s="921"/>
      <c r="J40" s="921"/>
      <c r="K40" s="921"/>
      <c r="L40" s="921"/>
      <c r="M40" s="921"/>
      <c r="N40" s="922"/>
      <c r="R40" s="919" t="s">
        <v>616</v>
      </c>
      <c r="S40" s="920"/>
      <c r="T40" s="951"/>
      <c r="U40" s="951"/>
      <c r="V40" s="951"/>
      <c r="W40" s="951"/>
      <c r="X40" s="951"/>
      <c r="Y40" s="951"/>
      <c r="Z40" s="951"/>
      <c r="AA40" s="951"/>
      <c r="AB40" s="951"/>
      <c r="AC40" s="951"/>
      <c r="AD40" s="951"/>
      <c r="AE40" s="952"/>
      <c r="AG40"/>
    </row>
    <row r="41" spans="1:33" s="902" customFormat="1" ht="39" x14ac:dyDescent="0.25">
      <c r="A41" s="907" t="s">
        <v>617</v>
      </c>
      <c r="B41" s="908" t="s">
        <v>615</v>
      </c>
      <c r="C41" s="908" t="s">
        <v>614</v>
      </c>
      <c r="D41" s="908" t="s">
        <v>613</v>
      </c>
      <c r="E41" s="908" t="s">
        <v>612</v>
      </c>
      <c r="F41" s="908" t="s">
        <v>611</v>
      </c>
      <c r="G41" s="908" t="s">
        <v>610</v>
      </c>
      <c r="H41" s="908" t="s">
        <v>609</v>
      </c>
      <c r="I41" s="908" t="s">
        <v>608</v>
      </c>
      <c r="J41" s="908" t="s">
        <v>607</v>
      </c>
      <c r="K41" s="908" t="s">
        <v>606</v>
      </c>
      <c r="L41" s="908" t="s">
        <v>605</v>
      </c>
      <c r="M41" s="908" t="s">
        <v>604</v>
      </c>
      <c r="N41" s="909" t="s">
        <v>624</v>
      </c>
      <c r="O41" s="926"/>
      <c r="P41" s="923"/>
      <c r="R41" s="907" t="s">
        <v>617</v>
      </c>
      <c r="S41" s="908" t="s">
        <v>615</v>
      </c>
      <c r="T41" s="908" t="s">
        <v>614</v>
      </c>
      <c r="U41" s="908" t="s">
        <v>613</v>
      </c>
      <c r="V41" s="908" t="s">
        <v>612</v>
      </c>
      <c r="W41" s="908" t="s">
        <v>611</v>
      </c>
      <c r="X41" s="908" t="s">
        <v>610</v>
      </c>
      <c r="Y41" s="908" t="s">
        <v>609</v>
      </c>
      <c r="Z41" s="908" t="s">
        <v>608</v>
      </c>
      <c r="AA41" s="908" t="s">
        <v>607</v>
      </c>
      <c r="AB41" s="908" t="s">
        <v>606</v>
      </c>
      <c r="AC41" s="908" t="s">
        <v>605</v>
      </c>
      <c r="AD41" s="908" t="s">
        <v>604</v>
      </c>
      <c r="AE41" s="909" t="s">
        <v>624</v>
      </c>
      <c r="AG41"/>
    </row>
    <row r="42" spans="1:33" s="902" customFormat="1" ht="20.149999999999999" customHeight="1" x14ac:dyDescent="0.25">
      <c r="A42" s="911">
        <v>2020</v>
      </c>
      <c r="B42" s="927">
        <v>1.58</v>
      </c>
      <c r="C42" s="927">
        <v>1.76</v>
      </c>
      <c r="D42" s="927">
        <v>1.7</v>
      </c>
      <c r="E42" s="927">
        <v>1.32</v>
      </c>
      <c r="F42" s="927">
        <v>0.86</v>
      </c>
      <c r="G42" s="927">
        <v>0.82</v>
      </c>
      <c r="H42" s="927">
        <v>0.65</v>
      </c>
      <c r="I42" s="927">
        <v>1.1599999999999999</v>
      </c>
      <c r="J42" s="927">
        <v>1.1499999999999999</v>
      </c>
      <c r="K42" s="927">
        <v>1.19</v>
      </c>
      <c r="L42" s="927">
        <v>1.46</v>
      </c>
      <c r="M42" s="927">
        <v>1.98</v>
      </c>
      <c r="N42" s="912">
        <f>AVERAGE(B42:M42)</f>
        <v>1.3025000000000002</v>
      </c>
      <c r="O42" s="926"/>
      <c r="P42" s="918"/>
      <c r="R42" s="911">
        <v>2020</v>
      </c>
      <c r="S42" s="790">
        <f>B42*Inflação!$D$28</f>
        <v>2.1728692947425925</v>
      </c>
      <c r="T42" s="790">
        <f>C42*Inflação!$E$28</f>
        <v>2.4143754277262306</v>
      </c>
      <c r="U42" s="790">
        <f>D42*Inflação!$F$28</f>
        <v>2.3304358693997109</v>
      </c>
      <c r="V42" s="790">
        <f>E42*Inflação!$G$28</f>
        <v>1.8151418500927101</v>
      </c>
      <c r="W42" s="790">
        <f>F42*Inflação!$H$28</f>
        <v>1.187103410444333</v>
      </c>
      <c r="X42" s="790">
        <f>G42*Inflação!$I$28</f>
        <v>1.1289540178841442</v>
      </c>
      <c r="Y42" s="790">
        <f>H42*Inflação!$J$28</f>
        <v>0.89169248221608755</v>
      </c>
      <c r="Z42" s="790">
        <f>I42*Inflação!$K$28</f>
        <v>1.5875180787197825</v>
      </c>
      <c r="AA42" s="790">
        <f>J42*Inflação!$L$28</f>
        <v>1.5638241037769909</v>
      </c>
      <c r="AB42" s="790">
        <f>K42*Inflação!$M$28</f>
        <v>1.6044199738721943</v>
      </c>
      <c r="AC42" s="790">
        <f>L42*Inflação!$N$28</f>
        <v>1.9510833929734641</v>
      </c>
      <c r="AD42" s="790">
        <f>M42*Inflação!$O$28</f>
        <v>2.6107447527471321</v>
      </c>
      <c r="AE42" s="953">
        <f>AVERAGE(S42:AD42)</f>
        <v>1.7715135545496146</v>
      </c>
      <c r="AG42"/>
    </row>
    <row r="43" spans="1:33" s="902" customFormat="1" ht="20.149999999999999" customHeight="1" x14ac:dyDescent="0.25">
      <c r="A43" s="911">
        <v>2021</v>
      </c>
      <c r="B43" s="927">
        <v>2.4500000000000002</v>
      </c>
      <c r="C43" s="927">
        <v>1.91</v>
      </c>
      <c r="D43" s="927">
        <v>1.54</v>
      </c>
      <c r="E43" s="927">
        <v>1.46</v>
      </c>
      <c r="F43" s="927">
        <v>0.61</v>
      </c>
      <c r="G43" s="927">
        <v>0.62</v>
      </c>
      <c r="H43" s="927">
        <v>0.83</v>
      </c>
      <c r="I43" s="927">
        <v>1.33</v>
      </c>
      <c r="J43" s="927">
        <v>1.67</v>
      </c>
      <c r="K43" s="927">
        <v>1.1599999999999999</v>
      </c>
      <c r="L43" s="927">
        <v>1.3</v>
      </c>
      <c r="M43" s="927">
        <v>2.4500000000000002</v>
      </c>
      <c r="N43" s="912">
        <f>AVERAGE(B43:M43)</f>
        <v>1.4441666666666668</v>
      </c>
      <c r="O43" s="926"/>
      <c r="P43" s="918"/>
      <c r="R43" s="911">
        <v>2021</v>
      </c>
      <c r="S43" s="790">
        <f>B43*Inflação!$D$29</f>
        <v>3.2224109646240331</v>
      </c>
      <c r="T43" s="790">
        <f>C43*Inflação!$E$29</f>
        <v>2.4907448766857692</v>
      </c>
      <c r="U43" s="790">
        <f>D43*Inflação!$F$29</f>
        <v>1.9897399784600516</v>
      </c>
      <c r="V43" s="790">
        <f>E43*Inflação!$G$29</f>
        <v>1.8805471664798055</v>
      </c>
      <c r="W43" s="790">
        <f>F43*Inflação!$H$29</f>
        <v>0.77924036765577287</v>
      </c>
      <c r="X43" s="790">
        <f>G43*Inflação!$I$29</f>
        <v>0.78783925187747428</v>
      </c>
      <c r="Y43" s="790">
        <f>H43*Inflação!$J$29</f>
        <v>1.0446593014453243</v>
      </c>
      <c r="Z43" s="790">
        <f>I43*Inflação!$K$29</f>
        <v>1.6595341862211788</v>
      </c>
      <c r="AA43" s="790">
        <f>J43*Inflação!$L$29</f>
        <v>2.0598813842058949</v>
      </c>
      <c r="AB43" s="790">
        <f>K43*Inflação!$M$29</f>
        <v>1.4131514190456642</v>
      </c>
      <c r="AC43" s="790">
        <f>L43*Inflação!$N$29</f>
        <v>1.5688005710913253</v>
      </c>
      <c r="AD43" s="790">
        <f>M43*Inflação!$O$29</f>
        <v>2.9351590307476552</v>
      </c>
      <c r="AE43" s="953">
        <f>AVERAGE(S43:AD43)</f>
        <v>1.8193090415449957</v>
      </c>
      <c r="AG43"/>
    </row>
    <row r="44" spans="1:33" s="902" customFormat="1" ht="20.149999999999999" customHeight="1" x14ac:dyDescent="0.25">
      <c r="A44" s="911">
        <v>2022</v>
      </c>
      <c r="B44" s="927">
        <v>2.75</v>
      </c>
      <c r="C44" s="927">
        <v>2.17</v>
      </c>
      <c r="D44" s="927">
        <v>1.65</v>
      </c>
      <c r="E44" s="927">
        <v>1.68</v>
      </c>
      <c r="F44" s="927">
        <v>1.05</v>
      </c>
      <c r="G44" s="927">
        <v>1.82</v>
      </c>
      <c r="H44" s="927">
        <v>2.0099999999999998</v>
      </c>
      <c r="I44" s="927">
        <v>2.35</v>
      </c>
      <c r="J44" s="927">
        <v>2.78</v>
      </c>
      <c r="K44" s="927">
        <v>2.65</v>
      </c>
      <c r="L44" s="927">
        <v>2.95</v>
      </c>
      <c r="M44" s="927">
        <v>3.2</v>
      </c>
      <c r="N44" s="912">
        <f>AVERAGE(B44:M44)</f>
        <v>2.2549999999999999</v>
      </c>
      <c r="O44" s="926"/>
      <c r="P44" s="918"/>
      <c r="R44" s="911">
        <v>2022</v>
      </c>
      <c r="S44" s="790">
        <f>B44*Inflação!$D$30</f>
        <v>3.2768711547667291</v>
      </c>
      <c r="T44" s="790">
        <f>C44*Inflação!$E$30</f>
        <v>2.5598943059980743</v>
      </c>
      <c r="U44" s="790">
        <f>D44*Inflação!$F$30</f>
        <v>1.9154333914533057</v>
      </c>
      <c r="V44" s="790">
        <f>E44*Inflação!$G$30</f>
        <v>1.9298035356383267</v>
      </c>
      <c r="W44" s="790">
        <f>F44*Inflação!$H$30</f>
        <v>1.2004849306001337</v>
      </c>
      <c r="X44" s="790">
        <f>G44*Inflação!$I$30</f>
        <v>2.0669917019703639</v>
      </c>
      <c r="Y44" s="790">
        <f>H44*Inflação!$J$30</f>
        <v>2.2984057087980863</v>
      </c>
      <c r="Z44" s="790">
        <f>I44*Inflação!$K$30</f>
        <v>2.6968995926007771</v>
      </c>
      <c r="AA44" s="790">
        <f>J44*Inflação!$L$30</f>
        <v>3.1996538333209545</v>
      </c>
      <c r="AB44" s="790">
        <f>K44*Inflação!$M$30</f>
        <v>3.0321401065728493</v>
      </c>
      <c r="AC44" s="790">
        <f>L44*Inflação!$N$30</f>
        <v>3.3616186143941555</v>
      </c>
      <c r="AD44" s="790">
        <f>M44*Inflação!$O$30</f>
        <v>3.6240325460319909</v>
      </c>
      <c r="AE44" s="953">
        <f>AVERAGE(S44:AD44)</f>
        <v>2.596852451845479</v>
      </c>
      <c r="AG44"/>
    </row>
    <row r="45" spans="1:33" s="902" customFormat="1" ht="20.149999999999999" customHeight="1" x14ac:dyDescent="0.25">
      <c r="A45" s="911">
        <v>2023</v>
      </c>
      <c r="B45" s="927">
        <v>3.38</v>
      </c>
      <c r="C45" s="927">
        <v>2.62</v>
      </c>
      <c r="D45" s="927">
        <v>1.51</v>
      </c>
      <c r="E45" s="927">
        <v>1.91</v>
      </c>
      <c r="F45" s="927">
        <v>1.65</v>
      </c>
      <c r="G45" s="927">
        <v>2.0099999999999998</v>
      </c>
      <c r="H45" s="927">
        <v>2.4500000000000002</v>
      </c>
      <c r="I45" s="927">
        <v>2.38</v>
      </c>
      <c r="J45" s="927">
        <v>1.95</v>
      </c>
      <c r="K45" s="927">
        <v>1.68</v>
      </c>
      <c r="L45" s="927">
        <v>2.65</v>
      </c>
      <c r="M45" s="927">
        <v>3.98</v>
      </c>
      <c r="N45" s="912">
        <f>AVERAGE(B45:M45)</f>
        <v>2.3474999999999997</v>
      </c>
      <c r="O45" s="926"/>
      <c r="P45" s="918"/>
      <c r="R45" s="911">
        <v>2023</v>
      </c>
      <c r="S45" s="790">
        <f>B45*Inflação!$D$31</f>
        <v>3.8077035479421961</v>
      </c>
      <c r="T45" s="790">
        <f>C45*Inflação!$E$31</f>
        <v>2.926947163239602</v>
      </c>
      <c r="U45" s="790">
        <f>D45*Inflação!$F$31</f>
        <v>1.6750120770361725</v>
      </c>
      <c r="V45" s="790">
        <f>E45*Inflação!$G$31</f>
        <v>2.1058780295423674</v>
      </c>
      <c r="W45" s="790">
        <f>F45*Inflação!$H$31</f>
        <v>1.8150394139264536</v>
      </c>
      <c r="X45" s="790">
        <f>G45*Inflação!$I$31</f>
        <v>2.2128182679429433</v>
      </c>
      <c r="Y45" s="790">
        <f>H45*Inflação!$J$31</f>
        <v>2.6939835165265422</v>
      </c>
      <c r="Z45" s="790">
        <f>I45*Inflação!$K$31</f>
        <v>2.6110072422543134</v>
      </c>
      <c r="AA45" s="790">
        <f>J45*Inflação!$L$31</f>
        <v>2.133722959966236</v>
      </c>
      <c r="AB45" s="790">
        <f>K45*Inflação!$M$31</f>
        <v>1.8338830768940573</v>
      </c>
      <c r="AC45" s="790">
        <f>L45*Inflação!$N$31</f>
        <v>2.8846551998269443</v>
      </c>
      <c r="AD45" s="790">
        <f>M45*Inflação!$O$31</f>
        <v>4.308299070605079</v>
      </c>
      <c r="AE45" s="953">
        <f>AVERAGE(S45:AD45)</f>
        <v>2.5840791304752422</v>
      </c>
      <c r="AG45"/>
    </row>
    <row r="46" spans="1:33" s="902" customFormat="1" ht="20.149999999999999" customHeight="1" x14ac:dyDescent="0.25">
      <c r="A46" s="911">
        <v>2024</v>
      </c>
      <c r="B46" s="927">
        <v>3.91</v>
      </c>
      <c r="C46" s="927">
        <v>3.87</v>
      </c>
      <c r="D46" s="927">
        <v>4.33</v>
      </c>
      <c r="E46" s="927">
        <v>2.58</v>
      </c>
      <c r="F46" s="927">
        <v>2.31</v>
      </c>
      <c r="G46" s="927">
        <v>1.85</v>
      </c>
      <c r="H46" s="927">
        <v>2.21</v>
      </c>
      <c r="I46" s="927">
        <v>3.43</v>
      </c>
      <c r="J46" s="927">
        <v>1.92</v>
      </c>
      <c r="K46" s="927">
        <v>1.81</v>
      </c>
      <c r="L46" s="927">
        <v>1.74</v>
      </c>
      <c r="M46" s="927">
        <v>2.2000000000000002</v>
      </c>
      <c r="N46" s="912">
        <f>AVERAGE(B46:M46)</f>
        <v>2.68</v>
      </c>
      <c r="O46" s="926"/>
      <c r="P46" s="918"/>
      <c r="R46" s="911">
        <v>2024</v>
      </c>
      <c r="S46" s="790">
        <f>B46*Inflação!$D$32</f>
        <v>4.2148227109621654</v>
      </c>
      <c r="T46" s="790">
        <f>C46*Inflação!$E$32</f>
        <v>4.1373641972202533</v>
      </c>
      <c r="U46" s="790">
        <f>D46*Inflação!$F$32</f>
        <v>4.6217491223251317</v>
      </c>
      <c r="V46" s="790">
        <f>E46*Inflação!$G$32</f>
        <v>2.7434116950504568</v>
      </c>
      <c r="W46" s="790">
        <f>F46*Inflação!$H$32</f>
        <v>2.4450631805194383</v>
      </c>
      <c r="X46" s="790">
        <f>G46*Inflação!$I$32</f>
        <v>1.9540639479435011</v>
      </c>
      <c r="Y46" s="790">
        <f>H46*Inflação!$J$32</f>
        <v>2.3254774155264788</v>
      </c>
      <c r="Z46" s="790">
        <f>I46*Inflação!$K$32</f>
        <v>3.6099471184987331</v>
      </c>
      <c r="AA46" s="790">
        <f>J46*Inflação!$L$32</f>
        <v>2.0118761610771401</v>
      </c>
      <c r="AB46" s="790">
        <f>K46*Inflação!$M$32</f>
        <v>1.8860505396599998</v>
      </c>
      <c r="AC46" s="790">
        <f>L46*Inflação!$N$32</f>
        <v>1.8060657023290931</v>
      </c>
      <c r="AD46" s="790">
        <f>M46*Inflação!$O$32</f>
        <v>2.2717184120298612</v>
      </c>
      <c r="AE46" s="953">
        <f>AVERAGE(S46:AD46)</f>
        <v>2.8356341835951877</v>
      </c>
      <c r="AG46"/>
    </row>
    <row r="47" spans="1:33" s="902" customFormat="1" ht="20.149999999999999" customHeight="1" x14ac:dyDescent="0.25">
      <c r="A47" s="914" t="s">
        <v>626</v>
      </c>
      <c r="B47" s="928">
        <f t="shared" ref="B47:N47" si="6">AVERAGE(B42:B46)</f>
        <v>2.8140000000000001</v>
      </c>
      <c r="C47" s="928">
        <f t="shared" si="6"/>
        <v>2.4660000000000002</v>
      </c>
      <c r="D47" s="928">
        <f t="shared" si="6"/>
        <v>2.1459999999999999</v>
      </c>
      <c r="E47" s="928">
        <f t="shared" si="6"/>
        <v>1.7899999999999998</v>
      </c>
      <c r="F47" s="928">
        <f t="shared" si="6"/>
        <v>1.296</v>
      </c>
      <c r="G47" s="928">
        <f t="shared" si="6"/>
        <v>1.4239999999999999</v>
      </c>
      <c r="H47" s="928">
        <f t="shared" si="6"/>
        <v>1.6299999999999997</v>
      </c>
      <c r="I47" s="928">
        <f t="shared" si="6"/>
        <v>2.13</v>
      </c>
      <c r="J47" s="928">
        <f t="shared" si="6"/>
        <v>1.8939999999999997</v>
      </c>
      <c r="K47" s="928">
        <f t="shared" si="6"/>
        <v>1.698</v>
      </c>
      <c r="L47" s="928">
        <f t="shared" si="6"/>
        <v>2.02</v>
      </c>
      <c r="M47" s="928">
        <f t="shared" si="6"/>
        <v>2.7619999999999996</v>
      </c>
      <c r="N47" s="928">
        <f t="shared" si="6"/>
        <v>2.0058333333333334</v>
      </c>
      <c r="O47" s="926"/>
      <c r="P47" s="925"/>
      <c r="R47" s="914" t="s">
        <v>626</v>
      </c>
      <c r="S47" s="928">
        <f t="shared" ref="S47:AE47" si="7">AVERAGE(S42:S46)</f>
        <v>3.3389355346075433</v>
      </c>
      <c r="T47" s="928">
        <f t="shared" si="7"/>
        <v>2.9058651941739861</v>
      </c>
      <c r="U47" s="928">
        <f t="shared" si="7"/>
        <v>2.5064740877348748</v>
      </c>
      <c r="V47" s="928">
        <f t="shared" si="7"/>
        <v>2.0949564553607329</v>
      </c>
      <c r="W47" s="928">
        <f t="shared" si="7"/>
        <v>1.4853862606292263</v>
      </c>
      <c r="X47" s="928">
        <f t="shared" si="7"/>
        <v>1.6301334375236856</v>
      </c>
      <c r="Y47" s="928">
        <f t="shared" si="7"/>
        <v>1.8508436849025038</v>
      </c>
      <c r="Z47" s="928">
        <f t="shared" si="7"/>
        <v>2.4329812436589568</v>
      </c>
      <c r="AA47" s="928">
        <f t="shared" si="7"/>
        <v>2.1937916884694433</v>
      </c>
      <c r="AB47" s="928">
        <f t="shared" si="7"/>
        <v>1.953929023208953</v>
      </c>
      <c r="AC47" s="928">
        <f t="shared" si="7"/>
        <v>2.3144446961229965</v>
      </c>
      <c r="AD47" s="928">
        <f t="shared" si="7"/>
        <v>3.1499907624323433</v>
      </c>
      <c r="AE47" s="928">
        <f t="shared" si="7"/>
        <v>2.321477672402104</v>
      </c>
      <c r="AG47"/>
    </row>
    <row r="48" spans="1:33" s="902" customFormat="1" ht="20.149999999999999" customHeight="1" x14ac:dyDescent="0.25">
      <c r="A48" s="902" t="s">
        <v>730</v>
      </c>
      <c r="R48" s="902" t="s">
        <v>730</v>
      </c>
      <c r="AG48"/>
    </row>
    <row r="49" spans="1:33" s="902" customFormat="1" ht="20.149999999999999" customHeight="1" thickBot="1" x14ac:dyDescent="0.3">
      <c r="B49" s="918"/>
      <c r="C49" s="918"/>
      <c r="D49" s="918"/>
      <c r="E49" s="918"/>
      <c r="F49" s="918"/>
      <c r="G49" s="918"/>
      <c r="H49" s="918"/>
      <c r="I49" s="918"/>
      <c r="J49" s="918"/>
      <c r="K49" s="918"/>
      <c r="L49" s="918"/>
      <c r="M49" s="918"/>
      <c r="N49" s="918"/>
      <c r="S49" s="954"/>
      <c r="T49" s="954"/>
      <c r="U49" s="954"/>
      <c r="V49" s="954"/>
      <c r="W49" s="954"/>
      <c r="X49" s="954"/>
      <c r="Y49" s="954"/>
      <c r="Z49" s="954"/>
      <c r="AA49" s="954"/>
      <c r="AB49" s="954"/>
      <c r="AC49" s="954"/>
      <c r="AD49" s="954"/>
      <c r="AE49" s="954"/>
      <c r="AG49"/>
    </row>
    <row r="50" spans="1:33" s="902" customFormat="1" ht="20.149999999999999" customHeight="1" thickBot="1" x14ac:dyDescent="0.3">
      <c r="A50" s="929" t="s">
        <v>731</v>
      </c>
      <c r="B50" s="904"/>
      <c r="C50" s="905"/>
      <c r="D50" s="905"/>
      <c r="E50" s="905"/>
      <c r="F50" s="905"/>
      <c r="G50" s="905"/>
      <c r="H50" s="905"/>
      <c r="I50" s="905"/>
      <c r="J50" s="905"/>
      <c r="K50" s="905"/>
      <c r="L50" s="905"/>
      <c r="M50" s="905"/>
      <c r="N50" s="906"/>
      <c r="R50" s="929" t="s">
        <v>731</v>
      </c>
      <c r="S50" s="904"/>
      <c r="T50" s="955"/>
      <c r="U50" s="955"/>
      <c r="V50" s="955"/>
      <c r="W50" s="955"/>
      <c r="X50" s="955"/>
      <c r="Y50" s="955"/>
      <c r="Z50" s="955"/>
      <c r="AA50" s="955"/>
      <c r="AB50" s="955"/>
      <c r="AC50" s="955"/>
      <c r="AD50" s="955"/>
      <c r="AE50" s="956"/>
      <c r="AG50"/>
    </row>
    <row r="51" spans="1:33" s="902" customFormat="1" ht="39" x14ac:dyDescent="0.25">
      <c r="A51" s="907" t="s">
        <v>617</v>
      </c>
      <c r="B51" s="908" t="s">
        <v>615</v>
      </c>
      <c r="C51" s="908" t="s">
        <v>614</v>
      </c>
      <c r="D51" s="908" t="s">
        <v>613</v>
      </c>
      <c r="E51" s="908" t="s">
        <v>612</v>
      </c>
      <c r="F51" s="908" t="s">
        <v>611</v>
      </c>
      <c r="G51" s="908" t="s">
        <v>610</v>
      </c>
      <c r="H51" s="908" t="s">
        <v>609</v>
      </c>
      <c r="I51" s="908" t="s">
        <v>608</v>
      </c>
      <c r="J51" s="908" t="s">
        <v>607</v>
      </c>
      <c r="K51" s="908" t="s">
        <v>606</v>
      </c>
      <c r="L51" s="908" t="s">
        <v>605</v>
      </c>
      <c r="M51" s="908" t="s">
        <v>604</v>
      </c>
      <c r="N51" s="909" t="s">
        <v>624</v>
      </c>
      <c r="R51" s="907" t="s">
        <v>617</v>
      </c>
      <c r="S51" s="908" t="s">
        <v>615</v>
      </c>
      <c r="T51" s="908" t="s">
        <v>614</v>
      </c>
      <c r="U51" s="908" t="s">
        <v>613</v>
      </c>
      <c r="V51" s="908" t="s">
        <v>612</v>
      </c>
      <c r="W51" s="908" t="s">
        <v>611</v>
      </c>
      <c r="X51" s="908" t="s">
        <v>610</v>
      </c>
      <c r="Y51" s="908" t="s">
        <v>609</v>
      </c>
      <c r="Z51" s="908" t="s">
        <v>608</v>
      </c>
      <c r="AA51" s="908" t="s">
        <v>607</v>
      </c>
      <c r="AB51" s="908" t="s">
        <v>606</v>
      </c>
      <c r="AC51" s="908" t="s">
        <v>605</v>
      </c>
      <c r="AD51" s="908" t="s">
        <v>604</v>
      </c>
      <c r="AE51" s="909" t="s">
        <v>624</v>
      </c>
      <c r="AG51"/>
    </row>
    <row r="52" spans="1:33" s="902" customFormat="1" ht="20.149999999999999" customHeight="1" x14ac:dyDescent="0.25">
      <c r="A52" s="911">
        <v>2020</v>
      </c>
      <c r="B52" s="912">
        <v>0.95</v>
      </c>
      <c r="C52" s="912">
        <v>0.9</v>
      </c>
      <c r="D52" s="912">
        <v>0.95</v>
      </c>
      <c r="E52" s="912">
        <v>1.25</v>
      </c>
      <c r="F52" s="912">
        <v>1.4</v>
      </c>
      <c r="G52" s="912">
        <v>1.86</v>
      </c>
      <c r="H52" s="912">
        <v>2.6</v>
      </c>
      <c r="I52" s="912">
        <v>2.85</v>
      </c>
      <c r="J52" s="912">
        <v>3.1</v>
      </c>
      <c r="K52" s="912">
        <v>2.96</v>
      </c>
      <c r="L52" s="912">
        <v>2.75</v>
      </c>
      <c r="M52" s="912">
        <v>1.1499999999999999</v>
      </c>
      <c r="N52" s="912">
        <f>AVERAGE(B52:M52)</f>
        <v>1.8933333333333333</v>
      </c>
      <c r="R52" s="911">
        <v>2020</v>
      </c>
      <c r="S52" s="790">
        <f>B52*Inflação!$D$28</f>
        <v>1.3064720443072548</v>
      </c>
      <c r="T52" s="790">
        <f>C52*Inflação!$E$28</f>
        <v>1.2346237982690953</v>
      </c>
      <c r="U52" s="790">
        <f>D52*Inflação!$F$28</f>
        <v>1.3023023976057209</v>
      </c>
      <c r="V52" s="790">
        <f>E52*Inflação!$G$28</f>
        <v>1.7188843277393087</v>
      </c>
      <c r="W52" s="790">
        <f>F52*Inflação!$H$28</f>
        <v>1.9324939239791465</v>
      </c>
      <c r="X52" s="790">
        <f>G52*Inflação!$I$28</f>
        <v>2.5607981381274492</v>
      </c>
      <c r="Y52" s="790">
        <f>H52*Inflação!$J$28</f>
        <v>3.5667699288643502</v>
      </c>
      <c r="Z52" s="790">
        <f>I52*Inflação!$K$28</f>
        <v>3.9003676934063627</v>
      </c>
      <c r="AA52" s="790">
        <f>J52*Inflação!$L$28</f>
        <v>4.2155258449640627</v>
      </c>
      <c r="AB52" s="790">
        <f>K52*Inflação!$M$28</f>
        <v>3.9908261534972231</v>
      </c>
      <c r="AC52" s="790">
        <f>L52*Inflação!$N$28</f>
        <v>3.6749858429294702</v>
      </c>
      <c r="AD52" s="790">
        <f>M52*Inflação!$O$28</f>
        <v>1.5163416493228292</v>
      </c>
      <c r="AE52" s="953">
        <f>AVERAGE(S52:AD52)</f>
        <v>2.5766993119176895</v>
      </c>
      <c r="AG52"/>
    </row>
    <row r="53" spans="1:33" s="902" customFormat="1" ht="20.149999999999999" customHeight="1" x14ac:dyDescent="0.25">
      <c r="A53" s="911">
        <v>2021</v>
      </c>
      <c r="B53" s="912">
        <v>0.85</v>
      </c>
      <c r="C53" s="912">
        <v>0.88</v>
      </c>
      <c r="D53" s="912">
        <v>0.85</v>
      </c>
      <c r="E53" s="912">
        <v>1.1499999999999999</v>
      </c>
      <c r="F53" s="912">
        <v>1.98</v>
      </c>
      <c r="G53" s="912">
        <v>2.2999999999999998</v>
      </c>
      <c r="H53" s="912">
        <v>2.4</v>
      </c>
      <c r="I53" s="912">
        <v>3.2</v>
      </c>
      <c r="J53" s="912">
        <v>2.95</v>
      </c>
      <c r="K53" s="912">
        <v>2.75</v>
      </c>
      <c r="L53" s="912">
        <v>2.65</v>
      </c>
      <c r="M53" s="912">
        <v>1.03</v>
      </c>
      <c r="N53" s="912">
        <f>AVERAGE(B53:M53)</f>
        <v>1.9158333333333333</v>
      </c>
      <c r="R53" s="911">
        <v>2021</v>
      </c>
      <c r="S53" s="790">
        <f>B53*Inflação!$D$29</f>
        <v>1.1179793142573176</v>
      </c>
      <c r="T53" s="790">
        <f>C53*Inflação!$E$29</f>
        <v>1.1475683201484173</v>
      </c>
      <c r="U53" s="790">
        <f>D53*Inflação!$F$29</f>
        <v>1.0982331049941843</v>
      </c>
      <c r="V53" s="790">
        <f>E53*Inflação!$G$29</f>
        <v>1.4812529051039562</v>
      </c>
      <c r="W53" s="790">
        <f>F53*Inflação!$H$29</f>
        <v>2.5293375868170989</v>
      </c>
      <c r="X53" s="790">
        <f>G53*Inflação!$I$29</f>
        <v>2.9226294827712751</v>
      </c>
      <c r="Y53" s="790">
        <f>H53*Inflação!$J$29</f>
        <v>3.020701594540697</v>
      </c>
      <c r="Z53" s="790">
        <f>I53*Inflação!$K$29</f>
        <v>3.9928642074494527</v>
      </c>
      <c r="AA53" s="790">
        <f>J53*Inflação!$L$29</f>
        <v>3.6387126247948443</v>
      </c>
      <c r="AB53" s="790">
        <f>K53*Inflação!$M$29</f>
        <v>3.3501434503237735</v>
      </c>
      <c r="AC53" s="790">
        <f>L53*Inflação!$N$29</f>
        <v>3.1979396256861627</v>
      </c>
      <c r="AD53" s="790">
        <f>M53*Inflação!$O$29</f>
        <v>1.2339648170081978</v>
      </c>
      <c r="AE53" s="953">
        <f>AVERAGE(S53:AD53)</f>
        <v>2.3942772528246148</v>
      </c>
      <c r="AG53"/>
    </row>
    <row r="54" spans="1:33" s="902" customFormat="1" ht="20.149999999999999" customHeight="1" x14ac:dyDescent="0.25">
      <c r="A54" s="911">
        <v>2022</v>
      </c>
      <c r="B54" s="912">
        <v>0.91799999999999993</v>
      </c>
      <c r="C54" s="912">
        <v>1.0806</v>
      </c>
      <c r="D54" s="912">
        <v>1.22</v>
      </c>
      <c r="E54" s="912">
        <v>1.35</v>
      </c>
      <c r="F54" s="912">
        <v>1.82</v>
      </c>
      <c r="G54" s="912">
        <v>1.89</v>
      </c>
      <c r="H54" s="912">
        <v>2.65</v>
      </c>
      <c r="I54" s="912">
        <v>2.94</v>
      </c>
      <c r="J54" s="912">
        <v>3.94</v>
      </c>
      <c r="K54" s="912">
        <v>3.98</v>
      </c>
      <c r="L54" s="912">
        <v>3.12</v>
      </c>
      <c r="M54" s="912">
        <v>0.98</v>
      </c>
      <c r="N54" s="912">
        <f>AVERAGE(B54:M54)</f>
        <v>2.1573833333333337</v>
      </c>
      <c r="R54" s="911">
        <v>2022</v>
      </c>
      <c r="S54" s="790">
        <f>B54*Inflação!$D$30</f>
        <v>1.0938791709366753</v>
      </c>
      <c r="T54" s="790">
        <f>C54*Inflação!$E$30</f>
        <v>1.2747565838993178</v>
      </c>
      <c r="U54" s="790">
        <f>D54*Inflação!$F$30</f>
        <v>1.4162598409533533</v>
      </c>
      <c r="V54" s="790">
        <f>E54*Inflação!$G$30</f>
        <v>1.5507349839950841</v>
      </c>
      <c r="W54" s="790">
        <f>F54*Inflação!$H$30</f>
        <v>2.0808405463735653</v>
      </c>
      <c r="X54" s="790">
        <f>G54*Inflação!$I$30</f>
        <v>2.1464913828153778</v>
      </c>
      <c r="Y54" s="790">
        <f>H54*Inflação!$J$30</f>
        <v>3.0302363822462333</v>
      </c>
      <c r="Z54" s="790">
        <f>I54*Inflação!$K$30</f>
        <v>3.3739935328707591</v>
      </c>
      <c r="AA54" s="790">
        <f>J54*Inflação!$L$30</f>
        <v>4.5347611882318564</v>
      </c>
      <c r="AB54" s="790">
        <f>K54*Inflação!$M$30</f>
        <v>4.5539311789282797</v>
      </c>
      <c r="AC54" s="790">
        <f>L54*Inflação!$N$30</f>
        <v>3.5553390091219543</v>
      </c>
      <c r="AD54" s="790">
        <f>M54*Inflação!$O$30</f>
        <v>1.1098599672222973</v>
      </c>
      <c r="AE54" s="953">
        <f>AVERAGE(S54:AD54)</f>
        <v>2.4767569806328966</v>
      </c>
      <c r="AG54"/>
    </row>
    <row r="55" spans="1:33" s="902" customFormat="1" ht="20.149999999999999" customHeight="1" x14ac:dyDescent="0.25">
      <c r="A55" s="911">
        <v>2023</v>
      </c>
      <c r="B55" s="912">
        <v>0.473715</v>
      </c>
      <c r="C55" s="912">
        <v>0.64</v>
      </c>
      <c r="D55" s="912">
        <v>1.3086149999999999</v>
      </c>
      <c r="E55" s="912">
        <v>2.0497400000000003</v>
      </c>
      <c r="F55" s="912">
        <v>1.7188050000000001</v>
      </c>
      <c r="G55" s="912">
        <v>1.67</v>
      </c>
      <c r="H55" s="912">
        <v>2.7013249999999998</v>
      </c>
      <c r="I55" s="912">
        <v>3.73285</v>
      </c>
      <c r="J55" s="912">
        <v>3.6</v>
      </c>
      <c r="K55" s="912">
        <v>4.1139999999999999</v>
      </c>
      <c r="L55" s="912">
        <v>2.8453150000000003</v>
      </c>
      <c r="M55" s="912">
        <v>1.2535599999999998</v>
      </c>
      <c r="N55" s="912">
        <f>AVERAGE(B55:M55)</f>
        <v>2.1756604166666667</v>
      </c>
      <c r="R55" s="911">
        <v>2023</v>
      </c>
      <c r="S55" s="790">
        <f>B55*Inflação!$D$31</f>
        <v>0.53365866456018862</v>
      </c>
      <c r="T55" s="790">
        <f>C55*Inflação!$E$31</f>
        <v>0.71497945972265087</v>
      </c>
      <c r="U55" s="790">
        <f>D55*Inflação!$F$31</f>
        <v>1.4516198206560864</v>
      </c>
      <c r="V55" s="790">
        <f>E55*Inflação!$G$31</f>
        <v>2.2599489174210325</v>
      </c>
      <c r="W55" s="790">
        <f>F55*Inflação!$H$31</f>
        <v>1.890726557487187</v>
      </c>
      <c r="X55" s="790">
        <f>G55*Inflação!$I$31</f>
        <v>1.8385107002312018</v>
      </c>
      <c r="Y55" s="790">
        <f>H55*Inflação!$J$31</f>
        <v>2.9703367439922697</v>
      </c>
      <c r="Z55" s="790">
        <f>I55*Inflação!$K$31</f>
        <v>4.095167388339922</v>
      </c>
      <c r="AA55" s="790">
        <f>J55*Inflação!$L$31</f>
        <v>3.9391808491684355</v>
      </c>
      <c r="AB55" s="790">
        <f>K55*Inflação!$M$31</f>
        <v>4.4908303442512807</v>
      </c>
      <c r="AC55" s="790">
        <f>L55*Inflação!$N$31</f>
        <v>3.0972651735455106</v>
      </c>
      <c r="AD55" s="790">
        <f>M55*Inflação!$O$31</f>
        <v>1.3569626590320858</v>
      </c>
      <c r="AE55" s="953">
        <f>AVERAGE(S55:AD55)</f>
        <v>2.3865989398673206</v>
      </c>
      <c r="AG55"/>
    </row>
    <row r="56" spans="1:33" s="902" customFormat="1" ht="20.149999999999999" customHeight="1" x14ac:dyDescent="0.25">
      <c r="A56" s="911">
        <v>2024</v>
      </c>
      <c r="B56" s="912">
        <v>0.83050000000000002</v>
      </c>
      <c r="C56" s="912">
        <v>0.82</v>
      </c>
      <c r="D56" s="912">
        <v>1.28</v>
      </c>
      <c r="E56" s="912">
        <v>1.67608</v>
      </c>
      <c r="F56" s="912">
        <v>1.76</v>
      </c>
      <c r="G56" s="912">
        <v>1.85</v>
      </c>
      <c r="H56" s="912">
        <v>2.2799999999999998</v>
      </c>
      <c r="I56" s="912">
        <v>2.68</v>
      </c>
      <c r="J56" s="912">
        <v>3.95</v>
      </c>
      <c r="K56" s="912">
        <v>4.8499999999999996</v>
      </c>
      <c r="L56" s="912">
        <v>3.6</v>
      </c>
      <c r="M56" s="912">
        <v>1.3725600000000002</v>
      </c>
      <c r="N56" s="912">
        <f>AVERAGE(B56:M56)</f>
        <v>2.2457616666666667</v>
      </c>
      <c r="R56" s="911">
        <v>2024</v>
      </c>
      <c r="S56" s="790">
        <f>B56*Inflação!$D$32</f>
        <v>0.89524559116472591</v>
      </c>
      <c r="T56" s="790">
        <f>C56*Inflação!$E$32</f>
        <v>0.87665081181411053</v>
      </c>
      <c r="U56" s="790">
        <f>D56*Inflação!$F$32</f>
        <v>1.3662445442439188</v>
      </c>
      <c r="V56" s="790">
        <f>E56*Inflação!$G$32</f>
        <v>1.782239330945802</v>
      </c>
      <c r="W56" s="790">
        <f>F56*Inflação!$H$32</f>
        <v>1.8629052803957626</v>
      </c>
      <c r="X56" s="790">
        <f>G56*Inflação!$I$32</f>
        <v>1.9540639479435011</v>
      </c>
      <c r="Y56" s="790">
        <f>H56*Inflação!$J$32</f>
        <v>2.3991350712218877</v>
      </c>
      <c r="Z56" s="790">
        <f>I56*Inflação!$K$32</f>
        <v>2.8206000809261238</v>
      </c>
      <c r="AA56" s="790">
        <f>J56*Inflação!$L$32</f>
        <v>4.1390160605493254</v>
      </c>
      <c r="AB56" s="790">
        <f>K56*Inflação!$M$32</f>
        <v>5.053781832790607</v>
      </c>
      <c r="AC56" s="790">
        <f>L56*Inflação!$N$32</f>
        <v>3.7366876599912273</v>
      </c>
      <c r="AD56" s="790">
        <f>M56*Inflação!$O$32</f>
        <v>1.4173044652798668</v>
      </c>
      <c r="AE56" s="953">
        <f>AVERAGE(S56:AD56)</f>
        <v>2.3586562231055717</v>
      </c>
      <c r="AG56"/>
    </row>
    <row r="57" spans="1:33" s="902" customFormat="1" ht="20.149999999999999" customHeight="1" x14ac:dyDescent="0.25">
      <c r="A57" s="914" t="s">
        <v>626</v>
      </c>
      <c r="B57" s="928">
        <f>AVERAGE(B52:B56)</f>
        <v>0.80444300000000002</v>
      </c>
      <c r="C57" s="928">
        <f t="shared" ref="C57:N57" si="8">AVERAGE(C52:C56)</f>
        <v>0.86412</v>
      </c>
      <c r="D57" s="928">
        <f t="shared" si="8"/>
        <v>1.1217229999999998</v>
      </c>
      <c r="E57" s="928">
        <f t="shared" si="8"/>
        <v>1.4951639999999999</v>
      </c>
      <c r="F57" s="928">
        <f t="shared" si="8"/>
        <v>1.7357610000000001</v>
      </c>
      <c r="G57" s="928">
        <f t="shared" si="8"/>
        <v>1.9140000000000001</v>
      </c>
      <c r="H57" s="928">
        <f t="shared" si="8"/>
        <v>2.5262649999999995</v>
      </c>
      <c r="I57" s="928">
        <f t="shared" si="8"/>
        <v>3.0805700000000003</v>
      </c>
      <c r="J57" s="928">
        <f t="shared" si="8"/>
        <v>3.508</v>
      </c>
      <c r="K57" s="928">
        <f t="shared" si="8"/>
        <v>3.7307999999999995</v>
      </c>
      <c r="L57" s="928">
        <f t="shared" si="8"/>
        <v>2.9930629999999998</v>
      </c>
      <c r="M57" s="928">
        <f t="shared" si="8"/>
        <v>1.1572239999999998</v>
      </c>
      <c r="N57" s="928">
        <f t="shared" si="8"/>
        <v>2.0775944166666664</v>
      </c>
      <c r="R57" s="914" t="s">
        <v>626</v>
      </c>
      <c r="S57" s="928">
        <f t="shared" ref="S57:AE57" si="9">AVERAGE(S52:S56)</f>
        <v>0.98944695704523244</v>
      </c>
      <c r="T57" s="928">
        <f t="shared" si="9"/>
        <v>1.0497157947707183</v>
      </c>
      <c r="U57" s="928">
        <f t="shared" si="9"/>
        <v>1.3269319416906526</v>
      </c>
      <c r="V57" s="928">
        <f t="shared" si="9"/>
        <v>1.7586120930410367</v>
      </c>
      <c r="W57" s="928">
        <f t="shared" si="9"/>
        <v>2.0592607790105522</v>
      </c>
      <c r="X57" s="928">
        <f t="shared" si="9"/>
        <v>2.2844987303777611</v>
      </c>
      <c r="Y57" s="928">
        <f t="shared" si="9"/>
        <v>2.9974359441730876</v>
      </c>
      <c r="Z57" s="928">
        <f t="shared" si="9"/>
        <v>3.6365985805985241</v>
      </c>
      <c r="AA57" s="928">
        <f t="shared" si="9"/>
        <v>4.0934393135417038</v>
      </c>
      <c r="AB57" s="928">
        <f t="shared" si="9"/>
        <v>4.2879025919582316</v>
      </c>
      <c r="AC57" s="928">
        <f t="shared" si="9"/>
        <v>3.4524434622548648</v>
      </c>
      <c r="AD57" s="928">
        <f t="shared" si="9"/>
        <v>1.3268867115730554</v>
      </c>
      <c r="AE57" s="928">
        <f t="shared" si="9"/>
        <v>2.4385977416696187</v>
      </c>
      <c r="AG57"/>
    </row>
    <row r="58" spans="1:33" s="902" customFormat="1" ht="20.149999999999999" customHeight="1" x14ac:dyDescent="0.25">
      <c r="A58" s="902" t="s">
        <v>732</v>
      </c>
      <c r="R58" s="902" t="s">
        <v>732</v>
      </c>
      <c r="AG58"/>
    </row>
    <row r="59" spans="1:33" s="902" customFormat="1" ht="20.149999999999999" customHeight="1" thickBot="1" x14ac:dyDescent="0.3">
      <c r="B59" s="918"/>
      <c r="C59" s="918"/>
      <c r="D59" s="918"/>
      <c r="E59" s="918"/>
      <c r="F59" s="918"/>
      <c r="G59" s="918"/>
      <c r="H59" s="918"/>
      <c r="I59" s="918"/>
      <c r="J59" s="918"/>
      <c r="K59" s="918"/>
      <c r="L59" s="918"/>
      <c r="M59" s="918"/>
      <c r="N59" s="918"/>
      <c r="S59" s="954"/>
      <c r="T59" s="954"/>
      <c r="U59" s="954"/>
      <c r="V59" s="954"/>
      <c r="W59" s="954"/>
      <c r="X59" s="954"/>
      <c r="Y59" s="954"/>
      <c r="Z59" s="954"/>
      <c r="AA59" s="954"/>
      <c r="AB59" s="954"/>
      <c r="AC59" s="954"/>
      <c r="AD59" s="954"/>
      <c r="AE59" s="954"/>
      <c r="AG59"/>
    </row>
    <row r="60" spans="1:33" s="902" customFormat="1" ht="20.149999999999999" customHeight="1" thickBot="1" x14ac:dyDescent="0.3">
      <c r="A60" s="904" t="s">
        <v>733</v>
      </c>
      <c r="B60" s="904"/>
      <c r="C60" s="905"/>
      <c r="D60" s="905"/>
      <c r="E60" s="905"/>
      <c r="F60" s="905"/>
      <c r="G60" s="905"/>
      <c r="H60" s="905"/>
      <c r="I60" s="905"/>
      <c r="J60" s="905"/>
      <c r="K60" s="905"/>
      <c r="L60" s="905"/>
      <c r="M60" s="905"/>
      <c r="N60" s="906"/>
      <c r="R60" s="904" t="s">
        <v>733</v>
      </c>
      <c r="S60" s="904"/>
      <c r="T60" s="955"/>
      <c r="U60" s="955"/>
      <c r="V60" s="955"/>
      <c r="W60" s="955"/>
      <c r="X60" s="955"/>
      <c r="Y60" s="955"/>
      <c r="Z60" s="955"/>
      <c r="AA60" s="955"/>
      <c r="AB60" s="955"/>
      <c r="AC60" s="955"/>
      <c r="AD60" s="955"/>
      <c r="AE60" s="956"/>
      <c r="AG60"/>
    </row>
    <row r="61" spans="1:33" s="902" customFormat="1" ht="39" x14ac:dyDescent="0.25">
      <c r="A61" s="907" t="s">
        <v>617</v>
      </c>
      <c r="B61" s="908" t="s">
        <v>615</v>
      </c>
      <c r="C61" s="908" t="s">
        <v>614</v>
      </c>
      <c r="D61" s="908" t="s">
        <v>613</v>
      </c>
      <c r="E61" s="908" t="s">
        <v>612</v>
      </c>
      <c r="F61" s="908" t="s">
        <v>611</v>
      </c>
      <c r="G61" s="908" t="s">
        <v>610</v>
      </c>
      <c r="H61" s="908" t="s">
        <v>609</v>
      </c>
      <c r="I61" s="908" t="s">
        <v>608</v>
      </c>
      <c r="J61" s="908" t="s">
        <v>607</v>
      </c>
      <c r="K61" s="908" t="s">
        <v>606</v>
      </c>
      <c r="L61" s="908" t="s">
        <v>605</v>
      </c>
      <c r="M61" s="908" t="s">
        <v>604</v>
      </c>
      <c r="N61" s="909" t="s">
        <v>624</v>
      </c>
      <c r="R61" s="907" t="s">
        <v>617</v>
      </c>
      <c r="S61" s="908" t="s">
        <v>615</v>
      </c>
      <c r="T61" s="908" t="s">
        <v>614</v>
      </c>
      <c r="U61" s="908" t="s">
        <v>613</v>
      </c>
      <c r="V61" s="908" t="s">
        <v>612</v>
      </c>
      <c r="W61" s="908" t="s">
        <v>611</v>
      </c>
      <c r="X61" s="908" t="s">
        <v>610</v>
      </c>
      <c r="Y61" s="908" t="s">
        <v>609</v>
      </c>
      <c r="Z61" s="908" t="s">
        <v>608</v>
      </c>
      <c r="AA61" s="908" t="s">
        <v>607</v>
      </c>
      <c r="AB61" s="908" t="s">
        <v>606</v>
      </c>
      <c r="AC61" s="908" t="s">
        <v>605</v>
      </c>
      <c r="AD61" s="908" t="s">
        <v>604</v>
      </c>
      <c r="AE61" s="909" t="s">
        <v>624</v>
      </c>
      <c r="AG61"/>
    </row>
    <row r="62" spans="1:33" s="902" customFormat="1" ht="20.149999999999999" customHeight="1" x14ac:dyDescent="0.25">
      <c r="A62" s="911">
        <v>2020</v>
      </c>
      <c r="B62" s="912">
        <v>3.26</v>
      </c>
      <c r="C62" s="912">
        <v>3.51</v>
      </c>
      <c r="D62" s="912">
        <v>3.76</v>
      </c>
      <c r="E62" s="912">
        <v>3.41</v>
      </c>
      <c r="F62" s="912">
        <v>4.7</v>
      </c>
      <c r="G62" s="912">
        <v>4.8900000000000006</v>
      </c>
      <c r="H62" s="912">
        <v>4.34</v>
      </c>
      <c r="I62" s="912">
        <v>3.9699999999999998</v>
      </c>
      <c r="J62" s="912">
        <v>3.64</v>
      </c>
      <c r="K62" s="912">
        <v>3.4299999999999997</v>
      </c>
      <c r="L62" s="912">
        <v>3</v>
      </c>
      <c r="M62" s="912">
        <v>2.93</v>
      </c>
      <c r="N62" s="912">
        <f>AVERAGE(B62:M62)</f>
        <v>3.7366666666666664</v>
      </c>
      <c r="R62" s="911">
        <v>2020</v>
      </c>
      <c r="S62" s="790">
        <f>B62*Inflação!$D$28</f>
        <v>4.4832619625701584</v>
      </c>
      <c r="T62" s="790">
        <f>C62*Inflação!$E$28</f>
        <v>4.8150328132494709</v>
      </c>
      <c r="U62" s="790">
        <f>D62*Inflação!$F$28</f>
        <v>5.1543758052605373</v>
      </c>
      <c r="V62" s="790">
        <f>E62*Inflação!$G$28</f>
        <v>4.6891164460728341</v>
      </c>
      <c r="W62" s="790">
        <f>F62*Inflação!$H$28</f>
        <v>6.4876581733585637</v>
      </c>
      <c r="X62" s="790">
        <f>G62*Inflação!$I$28</f>
        <v>6.7324209115286173</v>
      </c>
      <c r="Y62" s="790">
        <f>H62*Inflação!$J$28</f>
        <v>5.9537621120274151</v>
      </c>
      <c r="Z62" s="790">
        <f>I62*Inflação!$K$28</f>
        <v>5.4331437694116698</v>
      </c>
      <c r="AA62" s="790">
        <f>J62*Inflação!$L$28</f>
        <v>4.9498432502158671</v>
      </c>
      <c r="AB62" s="790">
        <f>K62*Inflação!$M$28</f>
        <v>4.6245046305727948</v>
      </c>
      <c r="AC62" s="790">
        <f>L62*Inflação!$N$28</f>
        <v>4.0090754650139671</v>
      </c>
      <c r="AD62" s="790">
        <f>M62*Inflação!$O$28</f>
        <v>3.8633748108833825</v>
      </c>
      <c r="AE62" s="953">
        <f>AVERAGE(S62:AD62)</f>
        <v>5.0996308458471065</v>
      </c>
      <c r="AG62"/>
    </row>
    <row r="63" spans="1:33" s="902" customFormat="1" ht="20.149999999999999" customHeight="1" x14ac:dyDescent="0.25">
      <c r="A63" s="911">
        <v>2021</v>
      </c>
      <c r="B63" s="912">
        <v>3.55</v>
      </c>
      <c r="C63" s="912">
        <v>4.46</v>
      </c>
      <c r="D63" s="912">
        <v>5.27</v>
      </c>
      <c r="E63" s="912">
        <v>4.83</v>
      </c>
      <c r="F63" s="912">
        <v>3.41</v>
      </c>
      <c r="G63" s="912">
        <v>3.37</v>
      </c>
      <c r="H63" s="912">
        <v>3.52</v>
      </c>
      <c r="I63" s="912">
        <v>3.39</v>
      </c>
      <c r="J63" s="912">
        <v>3.44</v>
      </c>
      <c r="K63" s="912">
        <v>3.48</v>
      </c>
      <c r="L63" s="912">
        <v>3.6399999999999997</v>
      </c>
      <c r="M63" s="912">
        <v>3.73</v>
      </c>
      <c r="N63" s="912">
        <f>AVERAGE(B63:M63)</f>
        <v>3.8408333333333329</v>
      </c>
      <c r="R63" s="911">
        <v>2021</v>
      </c>
      <c r="S63" s="790">
        <f>B63*Inflação!$D$29</f>
        <v>4.6692077242511498</v>
      </c>
      <c r="T63" s="790">
        <f>C63*Inflação!$E$29</f>
        <v>5.81608489529766</v>
      </c>
      <c r="U63" s="790">
        <f>D63*Inflação!$F$29</f>
        <v>6.8090452509639423</v>
      </c>
      <c r="V63" s="790">
        <f>E63*Inflação!$G$29</f>
        <v>6.221262201436617</v>
      </c>
      <c r="W63" s="790">
        <f>F63*Inflação!$H$29</f>
        <v>4.3560813995183372</v>
      </c>
      <c r="X63" s="790">
        <f>G63*Inflação!$I$29</f>
        <v>4.2822875464953034</v>
      </c>
      <c r="Y63" s="790">
        <f>H63*Inflação!$J$29</f>
        <v>4.4303623386596893</v>
      </c>
      <c r="Z63" s="790">
        <f>I63*Inflação!$K$29</f>
        <v>4.2299405197667639</v>
      </c>
      <c r="AA63" s="790">
        <f>J63*Inflação!$L$29</f>
        <v>4.2431089590828011</v>
      </c>
      <c r="AB63" s="790">
        <f>K63*Inflação!$M$29</f>
        <v>4.2394542571369929</v>
      </c>
      <c r="AC63" s="790">
        <f>L63*Inflação!$N$29</f>
        <v>4.3926415990557102</v>
      </c>
      <c r="AD63" s="790">
        <f>M63*Inflação!$O$29</f>
        <v>4.4686298713015313</v>
      </c>
      <c r="AE63" s="953">
        <f>AVERAGE(S63:AD63)</f>
        <v>4.8465088802472076</v>
      </c>
      <c r="AG63"/>
    </row>
    <row r="64" spans="1:33" s="902" customFormat="1" ht="20.149999999999999" customHeight="1" x14ac:dyDescent="0.25">
      <c r="A64" s="911">
        <v>2022</v>
      </c>
      <c r="B64" s="912">
        <v>3.4299999999999997</v>
      </c>
      <c r="C64" s="912">
        <v>3.45</v>
      </c>
      <c r="D64" s="912">
        <v>3.6799999999999997</v>
      </c>
      <c r="E64" s="912">
        <v>3.8600000000000003</v>
      </c>
      <c r="F64" s="912">
        <v>4.17</v>
      </c>
      <c r="G64" s="912">
        <v>4.42</v>
      </c>
      <c r="H64" s="912">
        <v>4.32</v>
      </c>
      <c r="I64" s="912">
        <v>4.1500000000000004</v>
      </c>
      <c r="J64" s="912">
        <v>3.7800000000000002</v>
      </c>
      <c r="K64" s="912">
        <v>3.38</v>
      </c>
      <c r="L64" s="912">
        <v>3.12</v>
      </c>
      <c r="M64" s="912">
        <v>2.82</v>
      </c>
      <c r="N64" s="912">
        <f>AVERAGE(B64:M64)</f>
        <v>3.7149999999999999</v>
      </c>
      <c r="R64" s="911">
        <v>2022</v>
      </c>
      <c r="S64" s="790">
        <f>B64*Inflação!$D$30</f>
        <v>4.0871520221272286</v>
      </c>
      <c r="T64" s="790">
        <f>C64*Inflação!$E$30</f>
        <v>4.0698780440983215</v>
      </c>
      <c r="U64" s="790">
        <f>D64*Inflação!$F$30</f>
        <v>4.2719968973019178</v>
      </c>
      <c r="V64" s="790">
        <f>E64*Inflação!$G$30</f>
        <v>4.4339533616452043</v>
      </c>
      <c r="W64" s="790">
        <f>F64*Inflação!$H$30</f>
        <v>4.7676401529548169</v>
      </c>
      <c r="X64" s="790">
        <f>G64*Inflação!$I$30</f>
        <v>5.0198369904994546</v>
      </c>
      <c r="Y64" s="790">
        <f>H64*Inflação!$J$30</f>
        <v>4.9398570457749917</v>
      </c>
      <c r="Z64" s="790">
        <f>I64*Inflação!$K$30</f>
        <v>4.762609918848181</v>
      </c>
      <c r="AA64" s="790">
        <f>J64*Inflação!$L$30</f>
        <v>4.3506084496234569</v>
      </c>
      <c r="AB64" s="790">
        <f>K64*Inflação!$M$30</f>
        <v>3.8674088906476345</v>
      </c>
      <c r="AC64" s="790">
        <f>L64*Inflação!$N$30</f>
        <v>3.5553390091219543</v>
      </c>
      <c r="AD64" s="790">
        <f>M64*Inflação!$O$30</f>
        <v>3.1936786811906916</v>
      </c>
      <c r="AE64" s="953">
        <f>AVERAGE(S64:AD64)</f>
        <v>4.2766632886528209</v>
      </c>
      <c r="AG64"/>
    </row>
    <row r="65" spans="1:33" s="902" customFormat="1" ht="20.149999999999999" customHeight="1" x14ac:dyDescent="0.25">
      <c r="A65" s="911">
        <v>2023</v>
      </c>
      <c r="B65" s="912">
        <v>2.67</v>
      </c>
      <c r="C65" s="912">
        <v>3.83</v>
      </c>
      <c r="D65" s="912">
        <v>4.0999999999999996</v>
      </c>
      <c r="E65" s="912">
        <v>4.6899999999999995</v>
      </c>
      <c r="F65" s="912">
        <v>4.4700000000000006</v>
      </c>
      <c r="G65" s="912">
        <v>3.59</v>
      </c>
      <c r="H65" s="912">
        <v>3.41</v>
      </c>
      <c r="I65" s="912">
        <v>3.85</v>
      </c>
      <c r="J65" s="912">
        <v>3.97</v>
      </c>
      <c r="K65" s="912">
        <v>4.9800000000000004</v>
      </c>
      <c r="L65" s="912">
        <v>3.79</v>
      </c>
      <c r="M65" s="912">
        <v>3.71</v>
      </c>
      <c r="N65" s="912">
        <f>AVERAGE(B65:M65)</f>
        <v>3.9216666666666669</v>
      </c>
      <c r="R65" s="911">
        <v>2023</v>
      </c>
      <c r="S65" s="790">
        <f>B65*Inflação!$D$31</f>
        <v>3.00786049497209</v>
      </c>
      <c r="T65" s="790">
        <f>C65*Inflação!$E$31</f>
        <v>4.2787052042777391</v>
      </c>
      <c r="U65" s="790">
        <f>D65*Inflação!$F$31</f>
        <v>4.5480460369856335</v>
      </c>
      <c r="V65" s="790">
        <f>E65*Inflação!$G$31</f>
        <v>5.170977988771571</v>
      </c>
      <c r="W65" s="790">
        <f>F65*Inflação!$H$31</f>
        <v>4.9171067759098479</v>
      </c>
      <c r="X65" s="790">
        <f>G65*Inflação!$I$31</f>
        <v>3.9522475531916257</v>
      </c>
      <c r="Y65" s="790">
        <f>H65*Inflação!$J$31</f>
        <v>3.7495852209614324</v>
      </c>
      <c r="Z65" s="790">
        <f>I65*Inflação!$K$31</f>
        <v>4.2236881859996247</v>
      </c>
      <c r="AA65" s="790">
        <f>J65*Inflação!$L$31</f>
        <v>4.3440411031107473</v>
      </c>
      <c r="AB65" s="790">
        <f>K65*Inflação!$M$31</f>
        <v>5.4361534065073851</v>
      </c>
      <c r="AC65" s="790">
        <f>L65*Inflação!$N$31</f>
        <v>4.1256012103185355</v>
      </c>
      <c r="AD65" s="790">
        <f>M65*Inflação!$O$31</f>
        <v>4.0160275256142821</v>
      </c>
      <c r="AE65" s="953">
        <f>AVERAGE(S65:AD65)</f>
        <v>4.3141700588850433</v>
      </c>
      <c r="AG65"/>
    </row>
    <row r="66" spans="1:33" s="902" customFormat="1" ht="20.149999999999999" customHeight="1" x14ac:dyDescent="0.25">
      <c r="A66" s="911">
        <v>2024</v>
      </c>
      <c r="B66" s="912">
        <v>4.82</v>
      </c>
      <c r="C66" s="912">
        <v>5.82</v>
      </c>
      <c r="D66" s="912">
        <v>5.2200000000000006</v>
      </c>
      <c r="E66" s="912">
        <v>5.38</v>
      </c>
      <c r="F66" s="912">
        <v>5.52</v>
      </c>
      <c r="G66" s="912">
        <v>6.1</v>
      </c>
      <c r="H66" s="912">
        <v>4.63</v>
      </c>
      <c r="I66" s="912">
        <v>3.97</v>
      </c>
      <c r="J66" s="912">
        <v>3.8</v>
      </c>
      <c r="K66" s="912">
        <v>2.95</v>
      </c>
      <c r="L66" s="912">
        <v>2.25</v>
      </c>
      <c r="M66" s="912">
        <v>2.2800000000000002</v>
      </c>
      <c r="N66" s="912">
        <f>AVERAGE(B66:M66)</f>
        <v>4.3950000000000005</v>
      </c>
      <c r="R66" s="911">
        <v>2024</v>
      </c>
      <c r="S66" s="790">
        <f>B66*Inflação!$D$32</f>
        <v>5.1957661040505467</v>
      </c>
      <c r="T66" s="790">
        <f>C66*Inflação!$E$32</f>
        <v>6.2220825911684434</v>
      </c>
      <c r="U66" s="790">
        <f>D66*Inflação!$F$32</f>
        <v>5.5717160319947316</v>
      </c>
      <c r="V66" s="790">
        <f>E66*Inflação!$G$32</f>
        <v>5.7207577206866107</v>
      </c>
      <c r="W66" s="790">
        <f>F66*Inflação!$H$32</f>
        <v>5.8427483794230728</v>
      </c>
      <c r="X66" s="790">
        <f>G66*Inflação!$I$32</f>
        <v>6.4431297743001927</v>
      </c>
      <c r="Y66" s="790">
        <f>H66*Inflação!$J$32</f>
        <v>4.8719277981391844</v>
      </c>
      <c r="Z66" s="790">
        <f>I66*Inflação!$K$32</f>
        <v>4.1782769855510118</v>
      </c>
      <c r="AA66" s="790">
        <f>J66*Inflação!$L$32</f>
        <v>3.9818382354651733</v>
      </c>
      <c r="AB66" s="790">
        <f>K66*Inflação!$M$32</f>
        <v>3.0739497745839777</v>
      </c>
      <c r="AC66" s="790">
        <f>L66*Inflação!$N$32</f>
        <v>2.3354297874945171</v>
      </c>
      <c r="AD66" s="790">
        <f>M66*Inflação!$O$32</f>
        <v>2.3543263542854929</v>
      </c>
      <c r="AE66" s="953">
        <f>AVERAGE(S66:AD66)</f>
        <v>4.6493291280952462</v>
      </c>
      <c r="AG66"/>
    </row>
    <row r="67" spans="1:33" s="902" customFormat="1" ht="20.149999999999999" customHeight="1" x14ac:dyDescent="0.25">
      <c r="A67" s="914" t="s">
        <v>626</v>
      </c>
      <c r="B67" s="928">
        <f t="shared" ref="B67:N67" si="10">AVERAGE(B62:B66)</f>
        <v>3.5459999999999994</v>
      </c>
      <c r="C67" s="928">
        <f t="shared" si="10"/>
        <v>4.2140000000000004</v>
      </c>
      <c r="D67" s="928">
        <f t="shared" si="10"/>
        <v>4.4060000000000006</v>
      </c>
      <c r="E67" s="928">
        <f t="shared" si="10"/>
        <v>4.4339999999999993</v>
      </c>
      <c r="F67" s="928">
        <f t="shared" si="10"/>
        <v>4.4539999999999997</v>
      </c>
      <c r="G67" s="928">
        <f t="shared" si="10"/>
        <v>4.4740000000000011</v>
      </c>
      <c r="H67" s="928">
        <f t="shared" si="10"/>
        <v>4.0439999999999996</v>
      </c>
      <c r="I67" s="928">
        <f t="shared" si="10"/>
        <v>3.8659999999999997</v>
      </c>
      <c r="J67" s="928">
        <f t="shared" si="10"/>
        <v>3.726</v>
      </c>
      <c r="K67" s="928">
        <f t="shared" si="10"/>
        <v>3.6439999999999997</v>
      </c>
      <c r="L67" s="928">
        <f t="shared" si="10"/>
        <v>3.16</v>
      </c>
      <c r="M67" s="928">
        <f t="shared" si="10"/>
        <v>3.0940000000000003</v>
      </c>
      <c r="N67" s="928">
        <f t="shared" si="10"/>
        <v>3.9218333333333333</v>
      </c>
      <c r="R67" s="914" t="s">
        <v>626</v>
      </c>
      <c r="S67" s="928">
        <f t="shared" ref="S67:AE67" si="11">AVERAGE(S62:S66)</f>
        <v>4.2886496615942349</v>
      </c>
      <c r="T67" s="928">
        <f t="shared" si="11"/>
        <v>5.0403567096183268</v>
      </c>
      <c r="U67" s="928">
        <f t="shared" si="11"/>
        <v>5.2710360045013527</v>
      </c>
      <c r="V67" s="928">
        <f t="shared" si="11"/>
        <v>5.2472135437225678</v>
      </c>
      <c r="W67" s="928">
        <f t="shared" si="11"/>
        <v>5.274246976232928</v>
      </c>
      <c r="X67" s="928">
        <f t="shared" si="11"/>
        <v>5.2859845552030382</v>
      </c>
      <c r="Y67" s="928">
        <f t="shared" si="11"/>
        <v>4.789098903112543</v>
      </c>
      <c r="Z67" s="928">
        <f t="shared" si="11"/>
        <v>4.5655318759154504</v>
      </c>
      <c r="AA67" s="928">
        <f t="shared" si="11"/>
        <v>4.3738879994996092</v>
      </c>
      <c r="AB67" s="928">
        <f t="shared" si="11"/>
        <v>4.248294191889757</v>
      </c>
      <c r="AC67" s="928">
        <f t="shared" si="11"/>
        <v>3.683617414200937</v>
      </c>
      <c r="AD67" s="928">
        <f t="shared" si="11"/>
        <v>3.579207448655076</v>
      </c>
      <c r="AE67" s="928">
        <f t="shared" si="11"/>
        <v>4.6372604403454849</v>
      </c>
      <c r="AG67"/>
    </row>
    <row r="68" spans="1:33" s="902" customFormat="1" ht="20.149999999999999" customHeight="1" x14ac:dyDescent="0.35">
      <c r="A68" s="930" t="s">
        <v>734</v>
      </c>
      <c r="AG68"/>
    </row>
    <row r="69" spans="1:33" s="902" customFormat="1" ht="20.149999999999999" customHeight="1" x14ac:dyDescent="0.25">
      <c r="AG69"/>
    </row>
    <row r="70" spans="1:33" ht="20.149999999999999" customHeight="1" thickBot="1" x14ac:dyDescent="0.35">
      <c r="A70" s="2" t="s">
        <v>750</v>
      </c>
    </row>
    <row r="71" spans="1:33" ht="20.149999999999999" customHeight="1" x14ac:dyDescent="0.25">
      <c r="A71" s="1181" t="s">
        <v>622</v>
      </c>
      <c r="B71" s="1181" t="s">
        <v>621</v>
      </c>
      <c r="C71" s="1183"/>
      <c r="D71" s="1183"/>
      <c r="E71" s="1184"/>
    </row>
    <row r="72" spans="1:33" ht="26.5" thickBot="1" x14ac:dyDescent="0.3">
      <c r="A72" s="1182"/>
      <c r="B72" s="477" t="s">
        <v>620</v>
      </c>
      <c r="C72" s="477" t="s">
        <v>619</v>
      </c>
      <c r="D72" s="477" t="s">
        <v>646</v>
      </c>
      <c r="E72" s="801" t="s">
        <v>618</v>
      </c>
    </row>
    <row r="73" spans="1:33" ht="20.149999999999999" customHeight="1" x14ac:dyDescent="0.25">
      <c r="A73" s="161">
        <v>2020</v>
      </c>
      <c r="B73" s="800">
        <f>AE21</f>
        <v>1.2925192865289874</v>
      </c>
      <c r="C73" s="800">
        <f>AE42</f>
        <v>1.7715135545496146</v>
      </c>
      <c r="D73" s="800">
        <f>AE62</f>
        <v>5.0996308458471065</v>
      </c>
      <c r="E73" s="802">
        <f>AE52</f>
        <v>2.5766993119176895</v>
      </c>
    </row>
    <row r="74" spans="1:33" ht="20.149999999999999" customHeight="1" x14ac:dyDescent="0.25">
      <c r="A74" s="48">
        <v>2021</v>
      </c>
      <c r="B74" s="800">
        <f>AE22</f>
        <v>1.179192404015605</v>
      </c>
      <c r="C74" s="800">
        <f>AE43</f>
        <v>1.8193090415449957</v>
      </c>
      <c r="D74" s="800">
        <f>AE63</f>
        <v>4.8465088802472076</v>
      </c>
      <c r="E74" s="802">
        <f>AE53</f>
        <v>2.3942772528246148</v>
      </c>
    </row>
    <row r="75" spans="1:33" ht="20.149999999999999" customHeight="1" x14ac:dyDescent="0.25">
      <c r="A75" s="48">
        <v>2022</v>
      </c>
      <c r="B75" s="800">
        <f>AE23</f>
        <v>1.4879996658325718</v>
      </c>
      <c r="C75" s="800">
        <f>AE44</f>
        <v>2.596852451845479</v>
      </c>
      <c r="D75" s="800">
        <f>AE64</f>
        <v>4.2766632886528209</v>
      </c>
      <c r="E75" s="802">
        <f>AE54</f>
        <v>2.4767569806328966</v>
      </c>
    </row>
    <row r="76" spans="1:33" ht="20.149999999999999" customHeight="1" x14ac:dyDescent="0.25">
      <c r="A76" s="48">
        <v>2023</v>
      </c>
      <c r="B76" s="800">
        <f>AE24</f>
        <v>1.3668875753540854</v>
      </c>
      <c r="C76" s="800">
        <f>AE45</f>
        <v>2.5840791304752422</v>
      </c>
      <c r="D76" s="800">
        <f>AE65</f>
        <v>4.3141700588850433</v>
      </c>
      <c r="E76" s="802">
        <f>AE55</f>
        <v>2.3865989398673206</v>
      </c>
    </row>
    <row r="77" spans="1:33" ht="20.149999999999999" customHeight="1" x14ac:dyDescent="0.25">
      <c r="A77" s="48">
        <v>2024</v>
      </c>
      <c r="B77" s="800">
        <f>AE25</f>
        <v>1.4650710167648464</v>
      </c>
      <c r="C77" s="800">
        <f>AE46</f>
        <v>2.8356341835951877</v>
      </c>
      <c r="D77" s="800">
        <f>AE66</f>
        <v>4.6493291280952462</v>
      </c>
      <c r="E77" s="802">
        <f>AE56</f>
        <v>2.3586562231055717</v>
      </c>
    </row>
    <row r="78" spans="1:33" ht="20.149999999999999" customHeight="1" x14ac:dyDescent="0.25">
      <c r="A78" s="748" t="s">
        <v>603</v>
      </c>
      <c r="B78" s="797">
        <f>AVERAGE(B73:B77)</f>
        <v>1.358333989699219</v>
      </c>
      <c r="C78" s="797">
        <f>AVERAGE(C73:C77)</f>
        <v>2.321477672402104</v>
      </c>
      <c r="D78" s="797">
        <f>AVERAGE(D73:D77)</f>
        <v>4.6372604403454849</v>
      </c>
      <c r="E78" s="803">
        <f>AVERAGE(E73:E77)</f>
        <v>2.4385977416696187</v>
      </c>
    </row>
    <row r="79" spans="1:33" ht="20.149999999999999" customHeight="1" thickBot="1" x14ac:dyDescent="0.3">
      <c r="A79" s="752" t="s">
        <v>627</v>
      </c>
      <c r="B79" s="804">
        <v>1300</v>
      </c>
      <c r="C79" s="804">
        <v>2300</v>
      </c>
      <c r="D79" s="804">
        <v>4600</v>
      </c>
      <c r="E79" s="805">
        <v>2400</v>
      </c>
    </row>
    <row r="80" spans="1:33" ht="20.149999999999999" customHeight="1" x14ac:dyDescent="0.25">
      <c r="A80" s="6" t="s">
        <v>647</v>
      </c>
      <c r="D80" s="6">
        <f>0.45</f>
        <v>0.45</v>
      </c>
    </row>
    <row r="81" spans="1:33" ht="20.149999999999999" customHeight="1" x14ac:dyDescent="0.25">
      <c r="A81" s="6" t="s">
        <v>648</v>
      </c>
      <c r="D81" s="845">
        <f>D78+D80</f>
        <v>5.0872604403454851</v>
      </c>
    </row>
    <row r="83" spans="1:33" ht="20.149999999999999" customHeight="1" x14ac:dyDescent="0.25">
      <c r="A83" s="799" t="s">
        <v>628</v>
      </c>
    </row>
    <row r="84" spans="1:33" ht="20.149999999999999" customHeight="1" thickBot="1" x14ac:dyDescent="0.3"/>
    <row r="85" spans="1:33" ht="30" customHeight="1" thickBot="1" x14ac:dyDescent="0.3">
      <c r="A85" s="640" t="s">
        <v>650</v>
      </c>
      <c r="B85" s="789"/>
      <c r="C85" s="641"/>
      <c r="D85" s="641"/>
      <c r="E85" s="641"/>
      <c r="F85" s="641"/>
      <c r="G85" s="641"/>
      <c r="H85" s="641"/>
      <c r="I85" s="641"/>
    </row>
    <row r="86" spans="1:33" ht="66.75" customHeight="1" x14ac:dyDescent="0.25">
      <c r="A86" s="1185" t="s">
        <v>651</v>
      </c>
      <c r="B86" s="1185"/>
      <c r="C86" s="1185"/>
      <c r="D86" s="1185"/>
      <c r="E86" s="1185"/>
      <c r="F86" s="1185"/>
      <c r="G86" s="1185"/>
      <c r="H86" s="1185"/>
      <c r="I86" s="1185"/>
    </row>
    <row r="87" spans="1:33" ht="13" x14ac:dyDescent="0.25">
      <c r="A87" s="15" t="s">
        <v>652</v>
      </c>
      <c r="B87" s="849">
        <v>192</v>
      </c>
    </row>
    <row r="89" spans="1:33" ht="13" thickBot="1" x14ac:dyDescent="0.3"/>
    <row r="90" spans="1:33" s="902" customFormat="1" ht="30" customHeight="1" thickBot="1" x14ac:dyDescent="0.3">
      <c r="A90" s="899" t="s">
        <v>721</v>
      </c>
      <c r="B90" s="900"/>
      <c r="C90" s="901"/>
      <c r="D90" s="901"/>
      <c r="E90" s="901"/>
      <c r="F90" s="901"/>
      <c r="G90" s="901"/>
      <c r="H90" s="901"/>
      <c r="I90" s="901"/>
      <c r="AG90"/>
    </row>
  </sheetData>
  <mergeCells count="4">
    <mergeCell ref="A71:A72"/>
    <mergeCell ref="B71:E71"/>
    <mergeCell ref="A5:I5"/>
    <mergeCell ref="A86:I86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57C3-412A-48CC-B11C-6C0E6D01EAFE}">
  <sheetPr>
    <tabColor theme="6" tint="0.79998168889431442"/>
  </sheetPr>
  <dimension ref="A2:AU136"/>
  <sheetViews>
    <sheetView showGridLines="0" topLeftCell="A56" zoomScale="55" zoomScaleNormal="80" workbookViewId="0">
      <selection activeCell="AG75" sqref="AG75"/>
    </sheetView>
  </sheetViews>
  <sheetFormatPr defaultColWidth="9.1796875" defaultRowHeight="12.5" x14ac:dyDescent="0.25"/>
  <cols>
    <col min="1" max="14" width="10.7265625" style="6" customWidth="1"/>
    <col min="15" max="17" width="9.1796875" style="6"/>
    <col min="18" max="21" width="9.1796875" style="6" bestFit="1"/>
    <col min="22" max="33" width="9.1796875" style="6"/>
    <col min="34" max="34" width="22.7265625" style="6" bestFit="1" customWidth="1"/>
    <col min="35" max="16384" width="9.1796875" style="6"/>
  </cols>
  <sheetData>
    <row r="2" spans="1:33" ht="40" customHeight="1" thickBot="1" x14ac:dyDescent="0.3">
      <c r="A2" s="538" t="s">
        <v>629</v>
      </c>
      <c r="B2" s="539"/>
      <c r="C2" s="564"/>
      <c r="D2" s="564"/>
      <c r="E2" s="564"/>
      <c r="F2" s="564"/>
      <c r="G2" s="564"/>
      <c r="H2" s="539"/>
      <c r="I2" s="539"/>
      <c r="J2" s="539"/>
      <c r="K2" s="539"/>
      <c r="L2" s="539"/>
      <c r="M2" s="539"/>
      <c r="N2" s="539"/>
    </row>
    <row r="3" spans="1:33" ht="13" thickBot="1" x14ac:dyDescent="0.3"/>
    <row r="4" spans="1:33" ht="30" customHeight="1" thickBot="1" x14ac:dyDescent="0.3">
      <c r="A4" s="640" t="s">
        <v>630</v>
      </c>
      <c r="B4" s="789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</row>
    <row r="5" spans="1:33" ht="78" customHeight="1" x14ac:dyDescent="0.25">
      <c r="A5" s="1185" t="s">
        <v>736</v>
      </c>
      <c r="B5" s="1185"/>
      <c r="C5" s="1185"/>
      <c r="D5" s="1185"/>
      <c r="E5" s="1185"/>
      <c r="F5" s="1185"/>
      <c r="G5" s="1185"/>
      <c r="H5" s="1185"/>
      <c r="L5" s="788"/>
    </row>
    <row r="6" spans="1:33" ht="13" thickBot="1" x14ac:dyDescent="0.3"/>
    <row r="7" spans="1:33" ht="20.149999999999999" customHeight="1" thickBot="1" x14ac:dyDescent="0.3">
      <c r="A7" s="559" t="s">
        <v>638</v>
      </c>
      <c r="B7" s="560"/>
      <c r="C7" s="560"/>
      <c r="D7" s="561"/>
      <c r="F7" s="559" t="s">
        <v>639</v>
      </c>
      <c r="G7" s="560"/>
      <c r="H7" s="560"/>
      <c r="I7" s="561"/>
      <c r="K7" s="559" t="s">
        <v>640</v>
      </c>
      <c r="L7" s="560"/>
      <c r="M7" s="560"/>
      <c r="N7" s="561"/>
      <c r="T7" s="559" t="s">
        <v>638</v>
      </c>
      <c r="U7" s="560"/>
      <c r="V7" s="560"/>
      <c r="W7" s="561"/>
      <c r="Y7" s="559" t="s">
        <v>639</v>
      </c>
      <c r="Z7" s="560"/>
      <c r="AA7" s="560"/>
      <c r="AB7" s="561"/>
      <c r="AD7" s="559" t="s">
        <v>640</v>
      </c>
      <c r="AE7" s="560"/>
      <c r="AF7" s="560"/>
      <c r="AG7" s="561"/>
    </row>
    <row r="8" spans="1:33" ht="25.5" customHeight="1" thickBot="1" x14ac:dyDescent="0.3">
      <c r="A8" s="807" t="s">
        <v>635</v>
      </c>
      <c r="B8" s="808" t="s">
        <v>634</v>
      </c>
      <c r="C8" s="809" t="s">
        <v>633</v>
      </c>
      <c r="D8" s="810" t="s">
        <v>631</v>
      </c>
      <c r="F8" s="807" t="s">
        <v>635</v>
      </c>
      <c r="G8" s="808" t="s">
        <v>634</v>
      </c>
      <c r="H8" s="809" t="s">
        <v>633</v>
      </c>
      <c r="I8" s="810" t="s">
        <v>631</v>
      </c>
      <c r="K8" s="807" t="s">
        <v>635</v>
      </c>
      <c r="L8" s="808" t="s">
        <v>634</v>
      </c>
      <c r="M8" s="809" t="s">
        <v>633</v>
      </c>
      <c r="N8" s="810" t="s">
        <v>631</v>
      </c>
      <c r="Q8" s="6" t="s">
        <v>740</v>
      </c>
      <c r="R8" s="6" t="s">
        <v>751</v>
      </c>
      <c r="T8" s="807" t="s">
        <v>635</v>
      </c>
      <c r="U8" s="808" t="s">
        <v>634</v>
      </c>
      <c r="V8" s="809" t="s">
        <v>633</v>
      </c>
      <c r="W8" s="810" t="s">
        <v>631</v>
      </c>
      <c r="Y8" s="807" t="s">
        <v>635</v>
      </c>
      <c r="Z8" s="808" t="s">
        <v>634</v>
      </c>
      <c r="AA8" s="809" t="s">
        <v>633</v>
      </c>
      <c r="AB8" s="810" t="s">
        <v>631</v>
      </c>
      <c r="AD8" s="807" t="s">
        <v>635</v>
      </c>
      <c r="AE8" s="808" t="s">
        <v>634</v>
      </c>
      <c r="AF8" s="809" t="s">
        <v>633</v>
      </c>
      <c r="AG8" s="810" t="s">
        <v>631</v>
      </c>
    </row>
    <row r="9" spans="1:33" ht="20.149999999999999" customHeight="1" x14ac:dyDescent="0.25">
      <c r="A9" s="815">
        <v>43831</v>
      </c>
      <c r="B9" s="816">
        <v>49.55</v>
      </c>
      <c r="C9" s="817">
        <f t="shared" ref="C9:C40" si="0">ROUND(B9/D9,2)</f>
        <v>12.1</v>
      </c>
      <c r="D9" s="811">
        <v>4.0949</v>
      </c>
      <c r="F9" s="815">
        <v>43831</v>
      </c>
      <c r="G9" s="816">
        <v>82.03</v>
      </c>
      <c r="H9" s="817">
        <f t="shared" ref="H9:H40" si="1">ROUND(G9/I9,2)</f>
        <v>20.03</v>
      </c>
      <c r="I9" s="811">
        <v>4.0949</v>
      </c>
      <c r="K9" s="815">
        <v>43831</v>
      </c>
      <c r="L9" s="816">
        <v>192.36</v>
      </c>
      <c r="M9" s="817">
        <f t="shared" ref="M9:M40" si="2">ROUND(L9/N9,2)</f>
        <v>46.98</v>
      </c>
      <c r="N9" s="811">
        <v>4.0949</v>
      </c>
      <c r="Q9" s="6">
        <f t="array" ref="Q9:Q68">TRANSPOSE(Inflação!C23:BJ23)</f>
        <v>1.375233730849742</v>
      </c>
      <c r="R9" s="6">
        <f t="array" ref="R9:R68">TRANSPOSE(Inflação!C22:BJ22)</f>
        <v>1.2522647894530781</v>
      </c>
      <c r="T9" s="815">
        <v>43831</v>
      </c>
      <c r="U9" s="959">
        <f>B9*Q9</f>
        <v>68.142831363604714</v>
      </c>
      <c r="V9" s="959">
        <f t="shared" ref="V9:V40" si="3">C9*R9</f>
        <v>15.152403952382244</v>
      </c>
      <c r="W9" s="811">
        <f t="shared" ref="W9:W40" si="4">U9/V9</f>
        <v>4.4971630625575667</v>
      </c>
      <c r="Y9" s="815">
        <v>43831</v>
      </c>
      <c r="Z9" s="959">
        <f t="shared" ref="Z9:Z40" si="5">G9*Q9</f>
        <v>112.81042294160434</v>
      </c>
      <c r="AA9" s="959">
        <f t="shared" ref="AA9:AA40" si="6">H9*R9</f>
        <v>25.082863732745157</v>
      </c>
      <c r="AB9" s="811">
        <f t="shared" ref="AB9:AB40" si="7">Z9/AA9</f>
        <v>4.4975096999922179</v>
      </c>
      <c r="AD9" s="815">
        <v>43831</v>
      </c>
      <c r="AE9" s="959">
        <f t="shared" ref="AE9:AE40" si="8">L9*Q9</f>
        <v>264.53996046625639</v>
      </c>
      <c r="AF9" s="959">
        <f t="shared" ref="AF9:AF40" si="9">M9*R9</f>
        <v>58.831399808505601</v>
      </c>
      <c r="AG9" s="811">
        <f t="shared" ref="AG9:AG40" si="10">AE9/AF9</f>
        <v>4.4965777004682161</v>
      </c>
    </row>
    <row r="10" spans="1:33" ht="20.149999999999999" customHeight="1" x14ac:dyDescent="0.25">
      <c r="A10" s="818">
        <v>43862</v>
      </c>
      <c r="B10" s="819">
        <v>48.02</v>
      </c>
      <c r="C10" s="820">
        <f t="shared" si="0"/>
        <v>11.54</v>
      </c>
      <c r="D10" s="812">
        <v>4.1622000000000003</v>
      </c>
      <c r="F10" s="818">
        <v>43862</v>
      </c>
      <c r="G10" s="819">
        <v>81.290000000000006</v>
      </c>
      <c r="H10" s="820">
        <f t="shared" si="1"/>
        <v>19.53</v>
      </c>
      <c r="I10" s="812">
        <v>4.1622000000000003</v>
      </c>
      <c r="K10" s="818">
        <v>43862</v>
      </c>
      <c r="L10" s="819">
        <v>196.18</v>
      </c>
      <c r="M10" s="820">
        <f t="shared" si="2"/>
        <v>47.13</v>
      </c>
      <c r="N10" s="812">
        <v>4.1622000000000003</v>
      </c>
      <c r="Q10" s="6">
        <v>1.3718042202989946</v>
      </c>
      <c r="R10" s="6">
        <v>1.2488421899040507</v>
      </c>
      <c r="T10" s="818">
        <v>43862</v>
      </c>
      <c r="U10" s="959">
        <f t="shared" ref="U10:U40" si="11">B10*Q10</f>
        <v>65.874038658757726</v>
      </c>
      <c r="V10" s="959">
        <f t="shared" si="3"/>
        <v>14.411638871492745</v>
      </c>
      <c r="W10" s="811">
        <f t="shared" si="4"/>
        <v>4.5708915721626431</v>
      </c>
      <c r="Y10" s="818">
        <v>43862</v>
      </c>
      <c r="Z10" s="959">
        <f t="shared" si="5"/>
        <v>111.51396506810528</v>
      </c>
      <c r="AA10" s="959">
        <f t="shared" si="6"/>
        <v>24.389887968826113</v>
      </c>
      <c r="AB10" s="811">
        <f t="shared" si="7"/>
        <v>4.5721392902926263</v>
      </c>
      <c r="AD10" s="818">
        <v>43862</v>
      </c>
      <c r="AE10" s="959">
        <f t="shared" si="8"/>
        <v>269.12055193825677</v>
      </c>
      <c r="AF10" s="959">
        <f t="shared" si="9"/>
        <v>58.857932410177916</v>
      </c>
      <c r="AG10" s="811">
        <f t="shared" si="10"/>
        <v>4.5723752248510774</v>
      </c>
    </row>
    <row r="11" spans="1:33" ht="20.149999999999999" customHeight="1" x14ac:dyDescent="0.25">
      <c r="A11" s="818">
        <v>43891</v>
      </c>
      <c r="B11" s="819">
        <v>51.14</v>
      </c>
      <c r="C11" s="821">
        <f t="shared" si="0"/>
        <v>11.85</v>
      </c>
      <c r="D11" s="812">
        <v>4.3163</v>
      </c>
      <c r="F11" s="818">
        <v>43891</v>
      </c>
      <c r="G11" s="819">
        <v>83.78</v>
      </c>
      <c r="H11" s="821">
        <f t="shared" si="1"/>
        <v>19.41</v>
      </c>
      <c r="I11" s="812">
        <v>4.3163</v>
      </c>
      <c r="K11" s="818">
        <v>43891</v>
      </c>
      <c r="L11" s="819">
        <v>233.69</v>
      </c>
      <c r="M11" s="821">
        <f t="shared" si="2"/>
        <v>54.14</v>
      </c>
      <c r="N11" s="812">
        <v>4.3163</v>
      </c>
      <c r="Q11" s="6">
        <v>1.3708446290586536</v>
      </c>
      <c r="R11" s="6">
        <v>1.2515661623694865</v>
      </c>
      <c r="T11" s="818">
        <v>43891</v>
      </c>
      <c r="U11" s="959">
        <f t="shared" si="11"/>
        <v>70.10499433005954</v>
      </c>
      <c r="V11" s="959">
        <f t="shared" si="3"/>
        <v>14.831059024078414</v>
      </c>
      <c r="W11" s="811">
        <f t="shared" si="4"/>
        <v>4.7269041419256164</v>
      </c>
      <c r="Y11" s="818">
        <v>43891</v>
      </c>
      <c r="Z11" s="959">
        <f t="shared" si="5"/>
        <v>114.84936302253399</v>
      </c>
      <c r="AA11" s="959">
        <f t="shared" si="6"/>
        <v>24.292899211591731</v>
      </c>
      <c r="AB11" s="811">
        <f t="shared" si="7"/>
        <v>4.7276927312048391</v>
      </c>
      <c r="AD11" s="818">
        <v>43891</v>
      </c>
      <c r="AE11" s="959">
        <f t="shared" si="8"/>
        <v>320.35268136471677</v>
      </c>
      <c r="AF11" s="959">
        <f t="shared" si="9"/>
        <v>67.759792030683997</v>
      </c>
      <c r="AG11" s="811">
        <f t="shared" si="10"/>
        <v>4.7277695483429154</v>
      </c>
    </row>
    <row r="12" spans="1:33" ht="20.149999999999999" customHeight="1" x14ac:dyDescent="0.25">
      <c r="A12" s="818">
        <v>43922</v>
      </c>
      <c r="B12" s="819">
        <v>55.85</v>
      </c>
      <c r="C12" s="821">
        <f t="shared" si="0"/>
        <v>11.79</v>
      </c>
      <c r="D12" s="812">
        <v>4.7362000000000002</v>
      </c>
      <c r="F12" s="818">
        <v>43922</v>
      </c>
      <c r="G12" s="819">
        <v>89.7</v>
      </c>
      <c r="H12" s="821">
        <f t="shared" si="1"/>
        <v>18.940000000000001</v>
      </c>
      <c r="I12" s="812">
        <v>4.7362000000000002</v>
      </c>
      <c r="K12" s="818">
        <v>43922</v>
      </c>
      <c r="L12" s="819">
        <v>298.45</v>
      </c>
      <c r="M12" s="821">
        <f t="shared" si="2"/>
        <v>63.01</v>
      </c>
      <c r="N12" s="812">
        <v>4.7362000000000002</v>
      </c>
      <c r="Q12" s="6">
        <v>1.375107462191447</v>
      </c>
      <c r="R12" s="6">
        <v>1.2599916533080593</v>
      </c>
      <c r="T12" s="818">
        <v>43922</v>
      </c>
      <c r="U12" s="959">
        <f t="shared" si="11"/>
        <v>76.799751763392322</v>
      </c>
      <c r="V12" s="959">
        <f t="shared" si="3"/>
        <v>14.855301592502018</v>
      </c>
      <c r="W12" s="811">
        <f t="shared" si="4"/>
        <v>5.1698547676848108</v>
      </c>
      <c r="Y12" s="818">
        <v>43922</v>
      </c>
      <c r="Z12" s="959">
        <f t="shared" si="5"/>
        <v>123.3471393585728</v>
      </c>
      <c r="AA12" s="959">
        <f t="shared" si="6"/>
        <v>23.864241913654645</v>
      </c>
      <c r="AB12" s="811">
        <f t="shared" si="7"/>
        <v>5.1687013484386455</v>
      </c>
      <c r="AD12" s="818">
        <v>43922</v>
      </c>
      <c r="AE12" s="959">
        <f t="shared" si="8"/>
        <v>410.40082209103736</v>
      </c>
      <c r="AF12" s="959">
        <f t="shared" si="9"/>
        <v>79.392074074940808</v>
      </c>
      <c r="AG12" s="811">
        <f t="shared" si="10"/>
        <v>5.1692921097343598</v>
      </c>
    </row>
    <row r="13" spans="1:33" ht="20.149999999999999" customHeight="1" x14ac:dyDescent="0.25">
      <c r="A13" s="818">
        <v>43952</v>
      </c>
      <c r="B13" s="819">
        <v>61.32</v>
      </c>
      <c r="C13" s="821">
        <f t="shared" si="0"/>
        <v>11.66</v>
      </c>
      <c r="D13" s="812">
        <v>5.2579000000000002</v>
      </c>
      <c r="F13" s="818">
        <v>43952</v>
      </c>
      <c r="G13" s="819">
        <v>99.46</v>
      </c>
      <c r="H13" s="821">
        <f t="shared" si="1"/>
        <v>18.920000000000002</v>
      </c>
      <c r="I13" s="812">
        <v>5.2579000000000002</v>
      </c>
      <c r="K13" s="818">
        <v>43952</v>
      </c>
      <c r="L13" s="819">
        <v>295.38</v>
      </c>
      <c r="M13" s="821">
        <f t="shared" si="2"/>
        <v>56.18</v>
      </c>
      <c r="N13" s="812">
        <v>5.2579000000000002</v>
      </c>
      <c r="Q13" s="6">
        <v>1.3803528028422476</v>
      </c>
      <c r="R13" s="6">
        <v>1.2599670819129933</v>
      </c>
      <c r="T13" s="818">
        <v>43952</v>
      </c>
      <c r="U13" s="959">
        <f t="shared" si="11"/>
        <v>84.643233870286622</v>
      </c>
      <c r="V13" s="959">
        <f t="shared" si="3"/>
        <v>14.691216175105502</v>
      </c>
      <c r="W13" s="811">
        <f t="shared" si="4"/>
        <v>5.7614858335360903</v>
      </c>
      <c r="Y13" s="818">
        <v>43952</v>
      </c>
      <c r="Z13" s="959">
        <f t="shared" si="5"/>
        <v>137.28988977068994</v>
      </c>
      <c r="AA13" s="959">
        <f t="shared" si="6"/>
        <v>23.838577189793835</v>
      </c>
      <c r="AB13" s="811">
        <f t="shared" si="7"/>
        <v>5.7591478164841465</v>
      </c>
      <c r="AD13" s="818">
        <v>43952</v>
      </c>
      <c r="AE13" s="959">
        <f t="shared" si="8"/>
        <v>407.72861090354309</v>
      </c>
      <c r="AF13" s="959">
        <f t="shared" si="9"/>
        <v>70.78495066187196</v>
      </c>
      <c r="AG13" s="811">
        <f t="shared" si="10"/>
        <v>5.7601030599172898</v>
      </c>
    </row>
    <row r="14" spans="1:33" ht="20.149999999999999" customHeight="1" x14ac:dyDescent="0.25">
      <c r="A14" s="818">
        <v>43983</v>
      </c>
      <c r="B14" s="819">
        <v>68.599999999999994</v>
      </c>
      <c r="C14" s="820">
        <f t="shared" si="0"/>
        <v>11.78</v>
      </c>
      <c r="D14" s="812">
        <v>5.8228999999999997</v>
      </c>
      <c r="F14" s="818">
        <v>43983</v>
      </c>
      <c r="G14" s="819">
        <v>111.05</v>
      </c>
      <c r="H14" s="820">
        <f t="shared" si="1"/>
        <v>19.07</v>
      </c>
      <c r="I14" s="812">
        <v>5.8228999999999997</v>
      </c>
      <c r="K14" s="818">
        <v>43983</v>
      </c>
      <c r="L14" s="819">
        <v>254.43</v>
      </c>
      <c r="M14" s="820">
        <f t="shared" si="2"/>
        <v>43.69</v>
      </c>
      <c r="N14" s="812">
        <v>5.8228999999999997</v>
      </c>
      <c r="Q14" s="6">
        <v>1.3767731925416393</v>
      </c>
      <c r="R14" s="6">
        <v>1.253110005159098</v>
      </c>
      <c r="T14" s="818">
        <v>43983</v>
      </c>
      <c r="U14" s="959">
        <f t="shared" si="11"/>
        <v>94.446641008356451</v>
      </c>
      <c r="V14" s="959">
        <f t="shared" si="3"/>
        <v>14.761635860774174</v>
      </c>
      <c r="W14" s="811">
        <f t="shared" si="4"/>
        <v>6.3981148091674438</v>
      </c>
      <c r="Y14" s="818">
        <v>43983</v>
      </c>
      <c r="Z14" s="959">
        <f t="shared" si="5"/>
        <v>152.89066303174906</v>
      </c>
      <c r="AA14" s="959">
        <f t="shared" si="6"/>
        <v>23.896807798384</v>
      </c>
      <c r="AB14" s="811">
        <f t="shared" si="7"/>
        <v>6.3979534137646681</v>
      </c>
      <c r="AD14" s="818">
        <v>43983</v>
      </c>
      <c r="AE14" s="959">
        <f t="shared" si="8"/>
        <v>350.29240337836933</v>
      </c>
      <c r="AF14" s="959">
        <f t="shared" si="9"/>
        <v>54.748376125400988</v>
      </c>
      <c r="AG14" s="811">
        <f t="shared" si="10"/>
        <v>6.3982245350259461</v>
      </c>
    </row>
    <row r="15" spans="1:33" ht="20.149999999999999" customHeight="1" x14ac:dyDescent="0.25">
      <c r="A15" s="818">
        <v>44013</v>
      </c>
      <c r="B15" s="819">
        <v>78.83</v>
      </c>
      <c r="C15" s="820">
        <f t="shared" si="0"/>
        <v>15.19</v>
      </c>
      <c r="D15" s="812">
        <v>5.1882999999999999</v>
      </c>
      <c r="F15" s="818">
        <v>44013</v>
      </c>
      <c r="G15" s="819">
        <v>107.32</v>
      </c>
      <c r="H15" s="820">
        <f t="shared" si="1"/>
        <v>20.69</v>
      </c>
      <c r="I15" s="812">
        <v>5.1882999999999999</v>
      </c>
      <c r="K15" s="818">
        <v>44013</v>
      </c>
      <c r="L15" s="819">
        <v>210.18</v>
      </c>
      <c r="M15" s="820">
        <f t="shared" si="2"/>
        <v>40.51</v>
      </c>
      <c r="N15" s="812">
        <v>5.1882999999999999</v>
      </c>
      <c r="Q15" s="6">
        <v>1.37183458802475</v>
      </c>
      <c r="R15" s="6">
        <v>1.246803370114357</v>
      </c>
      <c r="T15" s="818">
        <v>44013</v>
      </c>
      <c r="U15" s="959">
        <f t="shared" si="11"/>
        <v>108.14172057399104</v>
      </c>
      <c r="V15" s="959">
        <f t="shared" si="3"/>
        <v>18.938943192037083</v>
      </c>
      <c r="W15" s="811">
        <f t="shared" si="4"/>
        <v>5.7100187416718926</v>
      </c>
      <c r="Y15" s="818">
        <v>44013</v>
      </c>
      <c r="Z15" s="959">
        <f t="shared" si="5"/>
        <v>147.22528798681617</v>
      </c>
      <c r="AA15" s="959">
        <f t="shared" si="6"/>
        <v>25.796361727666049</v>
      </c>
      <c r="AB15" s="811">
        <f t="shared" si="7"/>
        <v>5.7072113323996456</v>
      </c>
      <c r="AD15" s="818">
        <v>44013</v>
      </c>
      <c r="AE15" s="959">
        <f t="shared" si="8"/>
        <v>288.33219371104195</v>
      </c>
      <c r="AF15" s="959">
        <f t="shared" si="9"/>
        <v>50.508004523332602</v>
      </c>
      <c r="AG15" s="811">
        <f t="shared" si="10"/>
        <v>5.7086435394184782</v>
      </c>
    </row>
    <row r="16" spans="1:33" ht="20.149999999999999" customHeight="1" x14ac:dyDescent="0.25">
      <c r="A16" s="818">
        <v>44044</v>
      </c>
      <c r="B16" s="819">
        <v>69.86</v>
      </c>
      <c r="C16" s="820">
        <f t="shared" si="0"/>
        <v>13.06</v>
      </c>
      <c r="D16" s="812">
        <v>5.3491</v>
      </c>
      <c r="F16" s="818">
        <v>44044</v>
      </c>
      <c r="G16" s="819">
        <v>120.69</v>
      </c>
      <c r="H16" s="820">
        <f t="shared" si="1"/>
        <v>22.56</v>
      </c>
      <c r="I16" s="812">
        <v>5.3491</v>
      </c>
      <c r="K16" s="818">
        <v>44044</v>
      </c>
      <c r="L16" s="819">
        <v>213.87</v>
      </c>
      <c r="M16" s="820">
        <f t="shared" si="2"/>
        <v>39.979999999999997</v>
      </c>
      <c r="N16" s="812">
        <v>5.3491</v>
      </c>
      <c r="Q16" s="6">
        <v>1.3685500678618816</v>
      </c>
      <c r="R16" s="6">
        <v>1.2428842942774259</v>
      </c>
      <c r="T16" s="818">
        <v>44044</v>
      </c>
      <c r="U16" s="959">
        <f t="shared" si="11"/>
        <v>95.606907740831048</v>
      </c>
      <c r="V16" s="959">
        <f t="shared" si="3"/>
        <v>16.232068883263182</v>
      </c>
      <c r="W16" s="811">
        <f t="shared" si="4"/>
        <v>5.890001356475941</v>
      </c>
      <c r="Y16" s="818">
        <v>44044</v>
      </c>
      <c r="Z16" s="959">
        <f t="shared" si="5"/>
        <v>165.1703076902505</v>
      </c>
      <c r="AA16" s="959">
        <f t="shared" si="6"/>
        <v>28.039469678898726</v>
      </c>
      <c r="AB16" s="811">
        <f t="shared" si="7"/>
        <v>5.890635935049457</v>
      </c>
      <c r="AD16" s="818">
        <v>44044</v>
      </c>
      <c r="AE16" s="959">
        <f t="shared" si="8"/>
        <v>292.69180301362064</v>
      </c>
      <c r="AF16" s="959">
        <f t="shared" si="9"/>
        <v>49.690514085211483</v>
      </c>
      <c r="AG16" s="811">
        <f t="shared" si="10"/>
        <v>5.8902953290380502</v>
      </c>
    </row>
    <row r="17" spans="1:33" ht="20.149999999999999" customHeight="1" x14ac:dyDescent="0.25">
      <c r="A17" s="818">
        <v>44075</v>
      </c>
      <c r="B17" s="822">
        <v>70.7</v>
      </c>
      <c r="C17" s="820">
        <f t="shared" si="0"/>
        <v>13.13</v>
      </c>
      <c r="D17" s="812">
        <v>5.3852000000000002</v>
      </c>
      <c r="F17" s="818">
        <v>44075</v>
      </c>
      <c r="G17" s="822">
        <v>135.13999999999999</v>
      </c>
      <c r="H17" s="820">
        <f t="shared" si="1"/>
        <v>25.09</v>
      </c>
      <c r="I17" s="812">
        <v>5.3852000000000002</v>
      </c>
      <c r="K17" s="818">
        <v>44075</v>
      </c>
      <c r="L17" s="822">
        <v>267.55</v>
      </c>
      <c r="M17" s="820">
        <f t="shared" si="2"/>
        <v>49.68</v>
      </c>
      <c r="N17" s="812">
        <v>5.3852000000000002</v>
      </c>
      <c r="Q17" s="6">
        <v>1.3598470467626009</v>
      </c>
      <c r="R17" s="6">
        <v>1.241155678500077</v>
      </c>
      <c r="T17" s="818">
        <v>44075</v>
      </c>
      <c r="U17" s="959">
        <f t="shared" si="11"/>
        <v>96.14118620611589</v>
      </c>
      <c r="V17" s="959">
        <f t="shared" si="3"/>
        <v>16.296374058706011</v>
      </c>
      <c r="W17" s="811">
        <f t="shared" si="4"/>
        <v>5.8995446385666623</v>
      </c>
      <c r="Y17" s="818">
        <v>44075</v>
      </c>
      <c r="Z17" s="959">
        <f t="shared" si="5"/>
        <v>183.76972989949786</v>
      </c>
      <c r="AA17" s="959">
        <f t="shared" si="6"/>
        <v>31.140595973566931</v>
      </c>
      <c r="AB17" s="811">
        <f t="shared" si="7"/>
        <v>5.901291357926711</v>
      </c>
      <c r="AD17" s="818">
        <v>44075</v>
      </c>
      <c r="AE17" s="959">
        <f t="shared" si="8"/>
        <v>363.82707736133392</v>
      </c>
      <c r="AF17" s="959">
        <f t="shared" si="9"/>
        <v>61.660614107883823</v>
      </c>
      <c r="AG17" s="811">
        <f t="shared" si="10"/>
        <v>5.9004776813407638</v>
      </c>
    </row>
    <row r="18" spans="1:33" ht="20.149999999999999" customHeight="1" x14ac:dyDescent="0.25">
      <c r="A18" s="818">
        <v>44105</v>
      </c>
      <c r="B18" s="819">
        <v>75.040000000000006</v>
      </c>
      <c r="C18" s="821">
        <f t="shared" si="0"/>
        <v>14.23</v>
      </c>
      <c r="D18" s="812">
        <v>5.2728000000000002</v>
      </c>
      <c r="F18" s="818">
        <v>44105</v>
      </c>
      <c r="G18" s="819">
        <v>163.68</v>
      </c>
      <c r="H18" s="821">
        <f t="shared" si="1"/>
        <v>31.04</v>
      </c>
      <c r="I18" s="812">
        <v>5.2728000000000002</v>
      </c>
      <c r="K18" s="818">
        <v>44105</v>
      </c>
      <c r="L18" s="819">
        <v>254.38</v>
      </c>
      <c r="M18" s="821">
        <f t="shared" si="2"/>
        <v>48.24</v>
      </c>
      <c r="N18" s="812">
        <v>5.2728000000000002</v>
      </c>
      <c r="Q18" s="6">
        <v>1.348252078884197</v>
      </c>
      <c r="R18" s="6">
        <v>1.2406408897491437</v>
      </c>
      <c r="T18" s="818">
        <v>44105</v>
      </c>
      <c r="U18" s="959">
        <f t="shared" si="11"/>
        <v>101.17283599947015</v>
      </c>
      <c r="V18" s="959">
        <f t="shared" si="3"/>
        <v>17.654319861130315</v>
      </c>
      <c r="W18" s="811">
        <f t="shared" si="4"/>
        <v>5.7307693978187944</v>
      </c>
      <c r="Y18" s="818">
        <v>44105</v>
      </c>
      <c r="Z18" s="959">
        <f t="shared" si="5"/>
        <v>220.68190027176536</v>
      </c>
      <c r="AA18" s="959">
        <f t="shared" si="6"/>
        <v>38.509493217813421</v>
      </c>
      <c r="AB18" s="811">
        <f t="shared" si="7"/>
        <v>5.7305843788586666</v>
      </c>
      <c r="AD18" s="818">
        <v>44105</v>
      </c>
      <c r="AE18" s="959">
        <f t="shared" si="8"/>
        <v>342.96836382656204</v>
      </c>
      <c r="AF18" s="959">
        <f t="shared" si="9"/>
        <v>59.848516521498695</v>
      </c>
      <c r="AG18" s="811">
        <f t="shared" si="10"/>
        <v>5.7306076033373605</v>
      </c>
    </row>
    <row r="19" spans="1:33" ht="20.149999999999999" customHeight="1" x14ac:dyDescent="0.25">
      <c r="A19" s="818">
        <v>44136</v>
      </c>
      <c r="B19" s="819">
        <v>78.14</v>
      </c>
      <c r="C19" s="821">
        <f t="shared" si="0"/>
        <v>13.91</v>
      </c>
      <c r="D19" s="812">
        <v>5.6172000000000004</v>
      </c>
      <c r="F19" s="818">
        <v>44136</v>
      </c>
      <c r="G19" s="819">
        <v>178.11</v>
      </c>
      <c r="H19" s="821">
        <f t="shared" si="1"/>
        <v>31.71</v>
      </c>
      <c r="I19" s="812">
        <v>5.6172000000000004</v>
      </c>
      <c r="K19" s="818">
        <v>44136</v>
      </c>
      <c r="L19" s="819">
        <v>257.88</v>
      </c>
      <c r="M19" s="821">
        <f t="shared" si="2"/>
        <v>45.91</v>
      </c>
      <c r="N19" s="812">
        <v>5.6172000000000004</v>
      </c>
      <c r="Q19" s="6">
        <v>1.3363584883379891</v>
      </c>
      <c r="R19" s="6">
        <v>1.2413989217189476</v>
      </c>
      <c r="T19" s="818">
        <v>44136</v>
      </c>
      <c r="U19" s="959">
        <f t="shared" si="11"/>
        <v>104.42305227873047</v>
      </c>
      <c r="V19" s="959">
        <f t="shared" si="3"/>
        <v>17.267859001110562</v>
      </c>
      <c r="W19" s="811">
        <f t="shared" si="4"/>
        <v>6.0472495329047229</v>
      </c>
      <c r="Y19" s="818">
        <v>44136</v>
      </c>
      <c r="Z19" s="959">
        <f t="shared" si="5"/>
        <v>238.01881035787926</v>
      </c>
      <c r="AA19" s="959">
        <f t="shared" si="6"/>
        <v>39.364759807707827</v>
      </c>
      <c r="AB19" s="811">
        <f t="shared" si="7"/>
        <v>6.0464946698664708</v>
      </c>
      <c r="AD19" s="818">
        <v>44136</v>
      </c>
      <c r="AE19" s="959">
        <f t="shared" si="8"/>
        <v>344.62012697260064</v>
      </c>
      <c r="AF19" s="959">
        <f t="shared" si="9"/>
        <v>56.992624496116882</v>
      </c>
      <c r="AG19" s="811">
        <f t="shared" si="10"/>
        <v>6.0467495578499086</v>
      </c>
    </row>
    <row r="20" spans="1:33" ht="20.149999999999999" customHeight="1" x14ac:dyDescent="0.25">
      <c r="A20" s="818">
        <v>44166</v>
      </c>
      <c r="B20" s="819">
        <v>75.349999999999994</v>
      </c>
      <c r="C20" s="821">
        <f t="shared" si="0"/>
        <v>13.74</v>
      </c>
      <c r="D20" s="812">
        <v>5.4854000000000003</v>
      </c>
      <c r="F20" s="818">
        <v>44166</v>
      </c>
      <c r="G20" s="819">
        <v>157.47999999999999</v>
      </c>
      <c r="H20" s="821">
        <f t="shared" si="1"/>
        <v>28.71</v>
      </c>
      <c r="I20" s="812">
        <v>5.4854000000000003</v>
      </c>
      <c r="K20" s="818">
        <v>44166</v>
      </c>
      <c r="L20" s="819">
        <v>277.7</v>
      </c>
      <c r="M20" s="821">
        <f t="shared" si="2"/>
        <v>50.63</v>
      </c>
      <c r="N20" s="812">
        <v>5.4854000000000003</v>
      </c>
      <c r="Q20" s="6">
        <v>1.318557955932895</v>
      </c>
      <c r="R20" s="6">
        <v>1.2402312706834464</v>
      </c>
      <c r="T20" s="818">
        <v>44166</v>
      </c>
      <c r="U20" s="959">
        <f t="shared" si="11"/>
        <v>99.353341979543629</v>
      </c>
      <c r="V20" s="959">
        <f t="shared" si="3"/>
        <v>17.040777659190553</v>
      </c>
      <c r="W20" s="811">
        <f t="shared" si="4"/>
        <v>5.8303291062517726</v>
      </c>
      <c r="Y20" s="818">
        <v>44166</v>
      </c>
      <c r="Z20" s="959">
        <f t="shared" si="5"/>
        <v>207.64650690031229</v>
      </c>
      <c r="AA20" s="959">
        <f t="shared" si="6"/>
        <v>35.607039781321745</v>
      </c>
      <c r="AB20" s="811">
        <f t="shared" si="7"/>
        <v>5.8316138655602776</v>
      </c>
      <c r="AD20" s="818">
        <v>44166</v>
      </c>
      <c r="AE20" s="959">
        <f t="shared" si="8"/>
        <v>366.16354436256495</v>
      </c>
      <c r="AF20" s="959">
        <f t="shared" si="9"/>
        <v>62.792909234702897</v>
      </c>
      <c r="AG20" s="811">
        <f t="shared" si="10"/>
        <v>5.8312880996474421</v>
      </c>
    </row>
    <row r="21" spans="1:33" ht="20.149999999999999" customHeight="1" x14ac:dyDescent="0.25">
      <c r="A21" s="818">
        <v>44197</v>
      </c>
      <c r="B21" s="819">
        <v>76.930000000000007</v>
      </c>
      <c r="C21" s="821">
        <f t="shared" si="0"/>
        <v>15.09</v>
      </c>
      <c r="D21" s="812">
        <v>5.0968</v>
      </c>
      <c r="F21" s="818">
        <v>44197</v>
      </c>
      <c r="G21" s="819">
        <v>166.7</v>
      </c>
      <c r="H21" s="821">
        <f t="shared" si="1"/>
        <v>32.71</v>
      </c>
      <c r="I21" s="812">
        <v>5.0968</v>
      </c>
      <c r="K21" s="818">
        <v>44197</v>
      </c>
      <c r="L21" s="819">
        <v>279.07</v>
      </c>
      <c r="M21" s="821">
        <f t="shared" si="2"/>
        <v>54.75</v>
      </c>
      <c r="N21" s="812">
        <v>5.0968</v>
      </c>
      <c r="Q21" s="6">
        <v>1.3152697814791972</v>
      </c>
      <c r="R21" s="6">
        <v>1.2349779419073179</v>
      </c>
      <c r="T21" s="818">
        <v>44197</v>
      </c>
      <c r="U21" s="959">
        <f t="shared" si="11"/>
        <v>101.18370428919465</v>
      </c>
      <c r="V21" s="959">
        <f t="shared" si="3"/>
        <v>18.635817143381427</v>
      </c>
      <c r="W21" s="811">
        <f t="shared" si="4"/>
        <v>5.4295287140188746</v>
      </c>
      <c r="Y21" s="818">
        <v>44197</v>
      </c>
      <c r="Z21" s="959">
        <f t="shared" si="5"/>
        <v>219.25547257258216</v>
      </c>
      <c r="AA21" s="959">
        <f t="shared" si="6"/>
        <v>40.396128479788366</v>
      </c>
      <c r="AB21" s="811">
        <f t="shared" si="7"/>
        <v>5.4276357864908649</v>
      </c>
      <c r="AD21" s="818">
        <v>44197</v>
      </c>
      <c r="AE21" s="959">
        <f t="shared" si="8"/>
        <v>367.05233791739954</v>
      </c>
      <c r="AF21" s="959">
        <f t="shared" si="9"/>
        <v>67.615042319425655</v>
      </c>
      <c r="AG21" s="811">
        <f t="shared" si="10"/>
        <v>5.4285603517539496</v>
      </c>
    </row>
    <row r="22" spans="1:33" ht="20.149999999999999" customHeight="1" x14ac:dyDescent="0.25">
      <c r="A22" s="818">
        <v>44228</v>
      </c>
      <c r="B22" s="819">
        <v>78.11</v>
      </c>
      <c r="C22" s="821">
        <f t="shared" si="0"/>
        <v>14.82</v>
      </c>
      <c r="D22" s="812">
        <v>5.2713999999999999</v>
      </c>
      <c r="F22" s="818">
        <v>44228</v>
      </c>
      <c r="G22" s="819">
        <v>161.85</v>
      </c>
      <c r="H22" s="821">
        <f t="shared" si="1"/>
        <v>30.7</v>
      </c>
      <c r="I22" s="812">
        <v>5.2713999999999999</v>
      </c>
      <c r="K22" s="818">
        <v>44228</v>
      </c>
      <c r="L22" s="819">
        <v>283.51</v>
      </c>
      <c r="M22" s="821">
        <f t="shared" si="2"/>
        <v>53.78</v>
      </c>
      <c r="N22" s="812">
        <v>5.2713999999999999</v>
      </c>
      <c r="Q22" s="6">
        <v>1.304054909259565</v>
      </c>
      <c r="R22" s="6">
        <v>1.2282540092922809</v>
      </c>
      <c r="T22" s="818">
        <v>44228</v>
      </c>
      <c r="U22" s="959">
        <f t="shared" si="11"/>
        <v>101.85972896226463</v>
      </c>
      <c r="V22" s="959">
        <f t="shared" si="3"/>
        <v>18.202724417711604</v>
      </c>
      <c r="W22" s="811">
        <f t="shared" si="4"/>
        <v>5.5958507432630871</v>
      </c>
      <c r="Y22" s="818">
        <v>44228</v>
      </c>
      <c r="Z22" s="959">
        <f t="shared" si="5"/>
        <v>211.06128706366059</v>
      </c>
      <c r="AA22" s="959">
        <f t="shared" si="6"/>
        <v>37.70739808527302</v>
      </c>
      <c r="AB22" s="811">
        <f t="shared" si="7"/>
        <v>5.5973442290119868</v>
      </c>
      <c r="AD22" s="818">
        <v>44228</v>
      </c>
      <c r="AE22" s="959">
        <f t="shared" si="8"/>
        <v>369.71260732417926</v>
      </c>
      <c r="AF22" s="959">
        <f t="shared" si="9"/>
        <v>66.055500619738865</v>
      </c>
      <c r="AG22" s="811">
        <f t="shared" si="10"/>
        <v>5.5969995512183104</v>
      </c>
    </row>
    <row r="23" spans="1:33" ht="20.149999999999999" customHeight="1" x14ac:dyDescent="0.25">
      <c r="A23" s="818">
        <v>44256</v>
      </c>
      <c r="B23" s="819">
        <v>90.08</v>
      </c>
      <c r="C23" s="821">
        <f t="shared" si="0"/>
        <v>16.739999999999998</v>
      </c>
      <c r="D23" s="812">
        <v>5.3815</v>
      </c>
      <c r="F23" s="818">
        <v>44256</v>
      </c>
      <c r="G23" s="819">
        <v>162.41999999999999</v>
      </c>
      <c r="H23" s="821">
        <f t="shared" si="1"/>
        <v>30.18</v>
      </c>
      <c r="I23" s="812">
        <v>5.3815</v>
      </c>
      <c r="K23" s="818">
        <v>44256</v>
      </c>
      <c r="L23" s="819">
        <v>281.48</v>
      </c>
      <c r="M23" s="821">
        <f t="shared" si="2"/>
        <v>52.31</v>
      </c>
      <c r="N23" s="812">
        <v>5.3815</v>
      </c>
      <c r="Q23" s="6">
        <v>1.2920389470519815</v>
      </c>
      <c r="R23" s="6">
        <v>1.2196151421225701</v>
      </c>
      <c r="T23" s="818">
        <v>44256</v>
      </c>
      <c r="U23" s="959">
        <f t="shared" si="11"/>
        <v>116.3868683504425</v>
      </c>
      <c r="V23" s="959">
        <f t="shared" si="3"/>
        <v>20.416357479131822</v>
      </c>
      <c r="W23" s="811">
        <f t="shared" si="4"/>
        <v>5.7006676371828346</v>
      </c>
      <c r="Y23" s="818">
        <v>44256</v>
      </c>
      <c r="Z23" s="959">
        <f t="shared" si="5"/>
        <v>209.85296578018281</v>
      </c>
      <c r="AA23" s="959">
        <f t="shared" si="6"/>
        <v>36.807984989259161</v>
      </c>
      <c r="AB23" s="811">
        <f t="shared" si="7"/>
        <v>5.7012891588990664</v>
      </c>
      <c r="AD23" s="818">
        <v>44256</v>
      </c>
      <c r="AE23" s="959">
        <f t="shared" si="8"/>
        <v>363.68312281619177</v>
      </c>
      <c r="AF23" s="959">
        <f t="shared" si="9"/>
        <v>63.798068084431641</v>
      </c>
      <c r="AG23" s="811">
        <f t="shared" si="10"/>
        <v>5.7005350433948285</v>
      </c>
    </row>
    <row r="24" spans="1:33" ht="20.149999999999999" customHeight="1" x14ac:dyDescent="0.25">
      <c r="A24" s="818">
        <v>44287</v>
      </c>
      <c r="B24" s="819">
        <v>94.28</v>
      </c>
      <c r="C24" s="821">
        <f t="shared" si="0"/>
        <v>16.75</v>
      </c>
      <c r="D24" s="812">
        <v>5.6295999999999999</v>
      </c>
      <c r="F24" s="818">
        <v>44287</v>
      </c>
      <c r="G24" s="819">
        <v>163.72</v>
      </c>
      <c r="H24" s="821">
        <f t="shared" si="1"/>
        <v>29.08</v>
      </c>
      <c r="I24" s="812">
        <v>5.6295999999999999</v>
      </c>
      <c r="K24" s="818">
        <v>44287</v>
      </c>
      <c r="L24" s="819">
        <v>288.11</v>
      </c>
      <c r="M24" s="821">
        <f t="shared" si="2"/>
        <v>51.18</v>
      </c>
      <c r="N24" s="812">
        <v>5.6295999999999999</v>
      </c>
      <c r="Q24" s="6">
        <v>1.2880460044382229</v>
      </c>
      <c r="R24" s="6">
        <v>1.2096729500400669</v>
      </c>
      <c r="T24" s="818">
        <v>44287</v>
      </c>
      <c r="U24" s="959">
        <f t="shared" si="11"/>
        <v>121.43697729843566</v>
      </c>
      <c r="V24" s="959">
        <f t="shared" si="3"/>
        <v>20.262021913171122</v>
      </c>
      <c r="W24" s="811">
        <f t="shared" si="4"/>
        <v>5.9933296794776831</v>
      </c>
      <c r="Y24" s="818">
        <v>44287</v>
      </c>
      <c r="Z24" s="959">
        <f t="shared" si="5"/>
        <v>210.87889184662586</v>
      </c>
      <c r="AA24" s="959">
        <f t="shared" si="6"/>
        <v>35.177289387165146</v>
      </c>
      <c r="AB24" s="811">
        <f t="shared" si="7"/>
        <v>5.9947453462280569</v>
      </c>
      <c r="AD24" s="818">
        <v>44287</v>
      </c>
      <c r="AE24" s="959">
        <f t="shared" si="8"/>
        <v>371.09893433869644</v>
      </c>
      <c r="AF24" s="959">
        <f t="shared" si="9"/>
        <v>61.911061583050625</v>
      </c>
      <c r="AG24" s="811">
        <f t="shared" si="10"/>
        <v>5.9940651129182401</v>
      </c>
    </row>
    <row r="25" spans="1:33" ht="20.149999999999999" customHeight="1" x14ac:dyDescent="0.25">
      <c r="A25" s="818">
        <v>44317</v>
      </c>
      <c r="B25" s="819">
        <v>94.32</v>
      </c>
      <c r="C25" s="821">
        <f t="shared" si="0"/>
        <v>16.77</v>
      </c>
      <c r="D25" s="812">
        <v>5.6234000000000002</v>
      </c>
      <c r="F25" s="818">
        <v>44317</v>
      </c>
      <c r="G25" s="819">
        <v>172.28</v>
      </c>
      <c r="H25" s="821">
        <f t="shared" si="1"/>
        <v>30.64</v>
      </c>
      <c r="I25" s="812">
        <v>5.6234000000000002</v>
      </c>
      <c r="K25" s="818">
        <v>44317</v>
      </c>
      <c r="L25" s="819">
        <v>283.42</v>
      </c>
      <c r="M25" s="821">
        <f t="shared" si="2"/>
        <v>50.4</v>
      </c>
      <c r="N25" s="812">
        <v>5.6234000000000002</v>
      </c>
      <c r="Q25" s="6">
        <v>1.2774432256652015</v>
      </c>
      <c r="R25" s="6">
        <v>1.2000520069094895</v>
      </c>
      <c r="T25" s="818">
        <v>44317</v>
      </c>
      <c r="U25" s="959">
        <f t="shared" si="11"/>
        <v>120.48844504474179</v>
      </c>
      <c r="V25" s="959">
        <f t="shared" si="3"/>
        <v>20.12487215587214</v>
      </c>
      <c r="W25" s="811">
        <f t="shared" si="4"/>
        <v>5.987041513184721</v>
      </c>
      <c r="Y25" s="818">
        <v>44317</v>
      </c>
      <c r="Z25" s="959">
        <f t="shared" si="5"/>
        <v>220.07791891760093</v>
      </c>
      <c r="AA25" s="959">
        <f t="shared" si="6"/>
        <v>36.769593491706758</v>
      </c>
      <c r="AB25" s="811">
        <f t="shared" si="7"/>
        <v>5.9853236878247964</v>
      </c>
      <c r="AD25" s="818">
        <v>44317</v>
      </c>
      <c r="AE25" s="959">
        <f t="shared" si="8"/>
        <v>362.05295901803146</v>
      </c>
      <c r="AF25" s="959">
        <f t="shared" si="9"/>
        <v>60.482621148238273</v>
      </c>
      <c r="AG25" s="811">
        <f t="shared" si="10"/>
        <v>5.9860659499307642</v>
      </c>
    </row>
    <row r="26" spans="1:33" ht="20.149999999999999" customHeight="1" x14ac:dyDescent="0.25">
      <c r="A26" s="818">
        <v>44348</v>
      </c>
      <c r="B26" s="822">
        <v>95.4</v>
      </c>
      <c r="C26" s="821">
        <f t="shared" si="0"/>
        <v>18.100000000000001</v>
      </c>
      <c r="D26" s="812">
        <v>5.2701000000000002</v>
      </c>
      <c r="F26" s="818">
        <v>44348</v>
      </c>
      <c r="G26" s="822">
        <v>159.22999999999999</v>
      </c>
      <c r="H26" s="821">
        <f t="shared" si="1"/>
        <v>30.21</v>
      </c>
      <c r="I26" s="812">
        <v>5.2701000000000002</v>
      </c>
      <c r="K26" s="818">
        <v>44348</v>
      </c>
      <c r="L26" s="822">
        <v>275.25</v>
      </c>
      <c r="M26" s="821">
        <f t="shared" si="2"/>
        <v>52.23</v>
      </c>
      <c r="N26" s="812">
        <v>5.2701000000000002</v>
      </c>
      <c r="Q26" s="6">
        <v>1.2707084707701197</v>
      </c>
      <c r="R26" s="6">
        <v>1.1890053589305694</v>
      </c>
      <c r="T26" s="818">
        <v>44348</v>
      </c>
      <c r="U26" s="959">
        <f t="shared" si="11"/>
        <v>121.22558811146943</v>
      </c>
      <c r="V26" s="959">
        <f t="shared" si="3"/>
        <v>21.520996996643309</v>
      </c>
      <c r="W26" s="811">
        <f t="shared" si="4"/>
        <v>5.6328983332127844</v>
      </c>
      <c r="Y26" s="818">
        <v>44348</v>
      </c>
      <c r="Z26" s="959">
        <f t="shared" si="5"/>
        <v>202.33490980072614</v>
      </c>
      <c r="AA26" s="959">
        <f t="shared" si="6"/>
        <v>35.919851893292503</v>
      </c>
      <c r="AB26" s="811">
        <f t="shared" si="7"/>
        <v>5.6329550133392718</v>
      </c>
      <c r="AD26" s="818">
        <v>44348</v>
      </c>
      <c r="AE26" s="959">
        <f t="shared" si="8"/>
        <v>349.76250657947543</v>
      </c>
      <c r="AF26" s="959">
        <f t="shared" si="9"/>
        <v>62.10174989694363</v>
      </c>
      <c r="AG26" s="811">
        <f t="shared" si="10"/>
        <v>5.6320877778790122</v>
      </c>
    </row>
    <row r="27" spans="1:33" ht="20.149999999999999" customHeight="1" x14ac:dyDescent="0.25">
      <c r="A27" s="818">
        <v>44378</v>
      </c>
      <c r="B27" s="822">
        <v>94.7</v>
      </c>
      <c r="C27" s="821">
        <f t="shared" si="0"/>
        <v>18.61</v>
      </c>
      <c r="D27" s="812">
        <v>5.0873999999999997</v>
      </c>
      <c r="F27" s="818">
        <v>44378</v>
      </c>
      <c r="G27" s="822">
        <v>155.5</v>
      </c>
      <c r="H27" s="821">
        <f t="shared" si="1"/>
        <v>30.57</v>
      </c>
      <c r="I27" s="812">
        <v>5.0873999999999997</v>
      </c>
      <c r="K27" s="818">
        <v>44378</v>
      </c>
      <c r="L27" s="822">
        <v>276.77999999999997</v>
      </c>
      <c r="M27" s="821">
        <f t="shared" si="2"/>
        <v>54.41</v>
      </c>
      <c r="N27" s="812">
        <v>5.0873999999999997</v>
      </c>
      <c r="Q27" s="6">
        <v>1.2586256643919571</v>
      </c>
      <c r="R27" s="6">
        <v>1.1833130038864041</v>
      </c>
      <c r="T27" s="818">
        <v>44378</v>
      </c>
      <c r="U27" s="959">
        <f t="shared" si="11"/>
        <v>119.19185041791835</v>
      </c>
      <c r="V27" s="959">
        <f t="shared" si="3"/>
        <v>22.021455002325979</v>
      </c>
      <c r="W27" s="811">
        <f t="shared" si="4"/>
        <v>5.4125329323302616</v>
      </c>
      <c r="Y27" s="818">
        <v>44378</v>
      </c>
      <c r="Z27" s="959">
        <f t="shared" si="5"/>
        <v>195.71629081294932</v>
      </c>
      <c r="AA27" s="959">
        <f t="shared" si="6"/>
        <v>36.173878528807379</v>
      </c>
      <c r="AB27" s="811">
        <f t="shared" si="7"/>
        <v>5.4104314707942907</v>
      </c>
      <c r="AD27" s="818">
        <v>44378</v>
      </c>
      <c r="AE27" s="959">
        <f t="shared" si="8"/>
        <v>348.36241139040584</v>
      </c>
      <c r="AF27" s="959">
        <f t="shared" si="9"/>
        <v>64.384060541459249</v>
      </c>
      <c r="AG27" s="811">
        <f t="shared" si="10"/>
        <v>5.4106933992782666</v>
      </c>
    </row>
    <row r="28" spans="1:33" ht="20.149999999999999" customHeight="1" x14ac:dyDescent="0.25">
      <c r="A28" s="818">
        <v>44409</v>
      </c>
      <c r="B28" s="819">
        <v>95.96</v>
      </c>
      <c r="C28" s="820">
        <f t="shared" si="0"/>
        <v>18.82</v>
      </c>
      <c r="D28" s="812">
        <v>5.0999999999999996</v>
      </c>
      <c r="F28" s="818">
        <v>44409</v>
      </c>
      <c r="G28" s="819">
        <v>168.1</v>
      </c>
      <c r="H28" s="820">
        <f t="shared" si="1"/>
        <v>32.96</v>
      </c>
      <c r="I28" s="812">
        <v>5.0999999999999996</v>
      </c>
      <c r="K28" s="818">
        <v>44409</v>
      </c>
      <c r="L28" s="819">
        <v>279.32</v>
      </c>
      <c r="M28" s="820">
        <f t="shared" si="2"/>
        <v>54.77</v>
      </c>
      <c r="N28" s="812">
        <v>5.0999999999999996</v>
      </c>
      <c r="Q28" s="6">
        <v>1.2477700648279539</v>
      </c>
      <c r="R28" s="6">
        <v>1.1808734240606507</v>
      </c>
      <c r="T28" s="818">
        <v>44409</v>
      </c>
      <c r="U28" s="959">
        <f t="shared" si="11"/>
        <v>119.73601542089045</v>
      </c>
      <c r="V28" s="959">
        <f t="shared" si="3"/>
        <v>22.224037840821445</v>
      </c>
      <c r="W28" s="811">
        <f t="shared" si="4"/>
        <v>5.387680505158138</v>
      </c>
      <c r="Y28" s="818">
        <v>44409</v>
      </c>
      <c r="Z28" s="959">
        <f t="shared" si="5"/>
        <v>209.75014789757904</v>
      </c>
      <c r="AA28" s="959">
        <f t="shared" si="6"/>
        <v>38.921588057039045</v>
      </c>
      <c r="AB28" s="811">
        <f t="shared" si="7"/>
        <v>5.3890439308435489</v>
      </c>
      <c r="AD28" s="818">
        <v>44409</v>
      </c>
      <c r="AE28" s="959">
        <f t="shared" si="8"/>
        <v>348.52713450774411</v>
      </c>
      <c r="AF28" s="959">
        <f t="shared" si="9"/>
        <v>64.676437435801844</v>
      </c>
      <c r="AG28" s="811">
        <f t="shared" si="10"/>
        <v>5.3887806491149712</v>
      </c>
    </row>
    <row r="29" spans="1:33" ht="20.149999999999999" customHeight="1" x14ac:dyDescent="0.25">
      <c r="A29" s="818">
        <v>44440</v>
      </c>
      <c r="B29" s="819">
        <v>95.99</v>
      </c>
      <c r="C29" s="820">
        <f t="shared" si="0"/>
        <v>18.29</v>
      </c>
      <c r="D29" s="812">
        <v>5.2473999999999998</v>
      </c>
      <c r="F29" s="818">
        <v>44440</v>
      </c>
      <c r="G29" s="819">
        <v>171.17</v>
      </c>
      <c r="H29" s="820">
        <f t="shared" si="1"/>
        <v>32.619999999999997</v>
      </c>
      <c r="I29" s="812">
        <v>5.2473999999999998</v>
      </c>
      <c r="K29" s="818">
        <v>44440</v>
      </c>
      <c r="L29" s="819">
        <v>269.77</v>
      </c>
      <c r="M29" s="820">
        <f t="shared" si="2"/>
        <v>51.41</v>
      </c>
      <c r="N29" s="812">
        <v>5.2473999999999998</v>
      </c>
      <c r="Q29" s="6">
        <v>1.2334619067101167</v>
      </c>
      <c r="R29" s="6">
        <v>1.1776748933688164</v>
      </c>
      <c r="T29" s="818">
        <v>44440</v>
      </c>
      <c r="U29" s="959">
        <f t="shared" si="11"/>
        <v>118.40000842510409</v>
      </c>
      <c r="V29" s="959">
        <f t="shared" si="3"/>
        <v>21.539673799715651</v>
      </c>
      <c r="W29" s="811">
        <f t="shared" si="4"/>
        <v>5.4968338669393919</v>
      </c>
      <c r="Y29" s="818">
        <v>44440</v>
      </c>
      <c r="Z29" s="959">
        <f t="shared" si="5"/>
        <v>211.13167457157067</v>
      </c>
      <c r="AA29" s="959">
        <f t="shared" si="6"/>
        <v>38.415755021690785</v>
      </c>
      <c r="AB29" s="811">
        <f t="shared" si="7"/>
        <v>5.4959657685332193</v>
      </c>
      <c r="AD29" s="818">
        <v>44440</v>
      </c>
      <c r="AE29" s="959">
        <f t="shared" si="8"/>
        <v>332.75101857318816</v>
      </c>
      <c r="AF29" s="959">
        <f t="shared" si="9"/>
        <v>60.544266268090844</v>
      </c>
      <c r="AG29" s="811">
        <f t="shared" si="10"/>
        <v>5.4959955596746699</v>
      </c>
    </row>
    <row r="30" spans="1:33" ht="20.149999999999999" customHeight="1" x14ac:dyDescent="0.25">
      <c r="A30" s="818">
        <v>44470</v>
      </c>
      <c r="B30" s="819">
        <v>87.48</v>
      </c>
      <c r="C30" s="821">
        <f t="shared" si="0"/>
        <v>16.64</v>
      </c>
      <c r="D30" s="812">
        <v>5.2576000000000001</v>
      </c>
      <c r="F30" s="818">
        <v>44470</v>
      </c>
      <c r="G30" s="819">
        <v>176.35</v>
      </c>
      <c r="H30" s="821">
        <f t="shared" si="1"/>
        <v>33.54</v>
      </c>
      <c r="I30" s="812">
        <v>5.2576000000000001</v>
      </c>
      <c r="K30" s="818">
        <v>44470</v>
      </c>
      <c r="L30" s="819">
        <v>255.77</v>
      </c>
      <c r="M30" s="821">
        <f t="shared" si="2"/>
        <v>48.65</v>
      </c>
      <c r="N30" s="812">
        <v>5.2576000000000001</v>
      </c>
      <c r="Q30" s="6">
        <v>1.2182339819359176</v>
      </c>
      <c r="R30" s="6">
        <v>1.1679712497604748</v>
      </c>
      <c r="T30" s="818">
        <v>44470</v>
      </c>
      <c r="U30" s="959">
        <f t="shared" si="11"/>
        <v>106.57110873975408</v>
      </c>
      <c r="V30" s="959">
        <f t="shared" si="3"/>
        <v>19.435041596014301</v>
      </c>
      <c r="W30" s="811">
        <f t="shared" si="4"/>
        <v>5.4834515384628491</v>
      </c>
      <c r="Y30" s="818">
        <v>44470</v>
      </c>
      <c r="Z30" s="959">
        <f t="shared" si="5"/>
        <v>214.83556271439906</v>
      </c>
      <c r="AA30" s="959">
        <f t="shared" si="6"/>
        <v>39.173755716966326</v>
      </c>
      <c r="AB30" s="811">
        <f t="shared" si="7"/>
        <v>5.4841706847462888</v>
      </c>
      <c r="AD30" s="818">
        <v>44470</v>
      </c>
      <c r="AE30" s="959">
        <f t="shared" si="8"/>
        <v>311.58770555974968</v>
      </c>
      <c r="AF30" s="959">
        <f t="shared" si="9"/>
        <v>56.821801300847099</v>
      </c>
      <c r="AG30" s="811">
        <f t="shared" si="10"/>
        <v>5.4835942970203684</v>
      </c>
    </row>
    <row r="31" spans="1:33" ht="20.149999999999999" customHeight="1" x14ac:dyDescent="0.25">
      <c r="A31" s="818">
        <v>44501</v>
      </c>
      <c r="B31" s="819">
        <v>87.73</v>
      </c>
      <c r="C31" s="821">
        <f t="shared" si="0"/>
        <v>16.09</v>
      </c>
      <c r="D31" s="812">
        <v>5.4509999999999996</v>
      </c>
      <c r="F31" s="818">
        <v>44501</v>
      </c>
      <c r="G31" s="819">
        <v>164.52</v>
      </c>
      <c r="H31" s="821">
        <f t="shared" si="1"/>
        <v>30.18</v>
      </c>
      <c r="I31" s="812">
        <v>5.4509999999999996</v>
      </c>
      <c r="K31" s="818">
        <v>44501</v>
      </c>
      <c r="L31" s="819">
        <v>251.76</v>
      </c>
      <c r="M31" s="821">
        <f t="shared" si="2"/>
        <v>46.19</v>
      </c>
      <c r="N31" s="812">
        <v>5.4509999999999996</v>
      </c>
      <c r="Q31" s="6">
        <v>1.2067696700702502</v>
      </c>
      <c r="R31" s="6">
        <v>1.1622605667247112</v>
      </c>
      <c r="T31" s="818">
        <v>44501</v>
      </c>
      <c r="U31" s="959">
        <f t="shared" si="11"/>
        <v>105.86990315526305</v>
      </c>
      <c r="V31" s="959">
        <f t="shared" si="3"/>
        <v>18.700772518600605</v>
      </c>
      <c r="W31" s="811">
        <f t="shared" si="4"/>
        <v>5.6612582742215709</v>
      </c>
      <c r="Y31" s="818">
        <v>44501</v>
      </c>
      <c r="Z31" s="959">
        <f t="shared" si="5"/>
        <v>198.53774611995757</v>
      </c>
      <c r="AA31" s="959">
        <f t="shared" si="6"/>
        <v>35.077023903751787</v>
      </c>
      <c r="AB31" s="811">
        <f t="shared" si="7"/>
        <v>5.6600510540668267</v>
      </c>
      <c r="AD31" s="818">
        <v>44501</v>
      </c>
      <c r="AE31" s="959">
        <f t="shared" si="8"/>
        <v>303.81633213688616</v>
      </c>
      <c r="AF31" s="959">
        <f t="shared" si="9"/>
        <v>53.684815577014412</v>
      </c>
      <c r="AG31" s="811">
        <f t="shared" si="10"/>
        <v>5.6592600509364059</v>
      </c>
    </row>
    <row r="32" spans="1:33" ht="20.149999999999999" customHeight="1" x14ac:dyDescent="0.25">
      <c r="A32" s="818">
        <v>44531</v>
      </c>
      <c r="B32" s="819">
        <v>93.31</v>
      </c>
      <c r="C32" s="821">
        <f t="shared" si="0"/>
        <v>17.22</v>
      </c>
      <c r="D32" s="812">
        <v>5.4199000000000002</v>
      </c>
      <c r="F32" s="818">
        <v>44531</v>
      </c>
      <c r="G32" s="819">
        <v>154.54</v>
      </c>
      <c r="H32" s="821">
        <f t="shared" si="1"/>
        <v>28.51</v>
      </c>
      <c r="I32" s="812">
        <v>5.4199000000000002</v>
      </c>
      <c r="K32" s="818">
        <v>44531</v>
      </c>
      <c r="L32" s="819">
        <v>247.16</v>
      </c>
      <c r="M32" s="821">
        <f t="shared" si="2"/>
        <v>45.6</v>
      </c>
      <c r="N32" s="812">
        <v>5.4199000000000002</v>
      </c>
      <c r="Q32" s="6">
        <v>1.1980240941827163</v>
      </c>
      <c r="R32" s="6">
        <v>1.1587004397385958</v>
      </c>
      <c r="T32" s="818">
        <v>44531</v>
      </c>
      <c r="U32" s="959">
        <f t="shared" si="11"/>
        <v>111.78762822818926</v>
      </c>
      <c r="V32" s="959">
        <f t="shared" si="3"/>
        <v>19.952821572298618</v>
      </c>
      <c r="W32" s="811">
        <f t="shared" si="4"/>
        <v>5.6025974984605167</v>
      </c>
      <c r="Y32" s="818">
        <v>44531</v>
      </c>
      <c r="Z32" s="959">
        <f t="shared" si="5"/>
        <v>185.14264351499696</v>
      </c>
      <c r="AA32" s="959">
        <f t="shared" si="6"/>
        <v>33.034549536947367</v>
      </c>
      <c r="AB32" s="811">
        <f t="shared" si="7"/>
        <v>5.6045154576097636</v>
      </c>
      <c r="AD32" s="818">
        <v>44531</v>
      </c>
      <c r="AE32" s="959">
        <f t="shared" si="8"/>
        <v>296.10363511820015</v>
      </c>
      <c r="AF32" s="959">
        <f t="shared" si="9"/>
        <v>52.836740052079968</v>
      </c>
      <c r="AG32" s="811">
        <f t="shared" si="10"/>
        <v>5.6041238506830204</v>
      </c>
    </row>
    <row r="33" spans="1:33" ht="20.149999999999999" customHeight="1" x14ac:dyDescent="0.25">
      <c r="A33" s="818">
        <v>44562</v>
      </c>
      <c r="B33" s="819">
        <v>96.75</v>
      </c>
      <c r="C33" s="821">
        <f t="shared" si="0"/>
        <v>16.940000000000001</v>
      </c>
      <c r="D33" s="812">
        <v>5.7126999999999999</v>
      </c>
      <c r="F33" s="818">
        <v>44562</v>
      </c>
      <c r="G33" s="819">
        <v>166.86</v>
      </c>
      <c r="H33" s="821">
        <f t="shared" si="1"/>
        <v>29.21</v>
      </c>
      <c r="I33" s="812">
        <v>5.7126999999999999</v>
      </c>
      <c r="K33" s="818">
        <v>44562</v>
      </c>
      <c r="L33" s="819">
        <v>282.54000000000002</v>
      </c>
      <c r="M33" s="821">
        <f t="shared" si="2"/>
        <v>49.46</v>
      </c>
      <c r="N33" s="812">
        <v>5.7126999999999999</v>
      </c>
      <c r="Q33" s="6">
        <v>1.1915895108242651</v>
      </c>
      <c r="R33" s="6">
        <v>1.1490318266535773</v>
      </c>
      <c r="T33" s="818">
        <v>44562</v>
      </c>
      <c r="U33" s="959">
        <f t="shared" si="11"/>
        <v>115.28628517224764</v>
      </c>
      <c r="V33" s="959">
        <f t="shared" si="3"/>
        <v>19.464599143511602</v>
      </c>
      <c r="W33" s="811">
        <f t="shared" si="4"/>
        <v>5.9228697350634922</v>
      </c>
      <c r="Y33" s="818">
        <v>44562</v>
      </c>
      <c r="Z33" s="959">
        <f t="shared" si="5"/>
        <v>198.8286257761369</v>
      </c>
      <c r="AA33" s="959">
        <f t="shared" si="6"/>
        <v>33.563219656550991</v>
      </c>
      <c r="AB33" s="811">
        <f t="shared" si="7"/>
        <v>5.9240033527989864</v>
      </c>
      <c r="AD33" s="818">
        <v>44562</v>
      </c>
      <c r="AE33" s="959">
        <f t="shared" si="8"/>
        <v>336.67170038828789</v>
      </c>
      <c r="AF33" s="959">
        <f t="shared" si="9"/>
        <v>56.831114146285934</v>
      </c>
      <c r="AG33" s="811">
        <f t="shared" si="10"/>
        <v>5.9240735545264736</v>
      </c>
    </row>
    <row r="34" spans="1:33" ht="20.149999999999999" customHeight="1" x14ac:dyDescent="0.25">
      <c r="A34" s="818">
        <v>44593</v>
      </c>
      <c r="B34" s="819">
        <v>98.08</v>
      </c>
      <c r="C34" s="821">
        <f t="shared" si="0"/>
        <v>17.72</v>
      </c>
      <c r="D34" s="812">
        <v>5.5349000000000004</v>
      </c>
      <c r="F34" s="818">
        <v>44593</v>
      </c>
      <c r="G34" s="819">
        <v>182.94</v>
      </c>
      <c r="H34" s="821">
        <f t="shared" si="1"/>
        <v>33.049999999999997</v>
      </c>
      <c r="I34" s="812">
        <v>5.5349000000000004</v>
      </c>
      <c r="K34" s="818">
        <v>44593</v>
      </c>
      <c r="L34" s="819">
        <v>298.79000000000002</v>
      </c>
      <c r="M34" s="821">
        <f t="shared" si="2"/>
        <v>53.98</v>
      </c>
      <c r="N34" s="812">
        <v>5.5349000000000004</v>
      </c>
      <c r="Q34" s="6">
        <v>1.1796747953908178</v>
      </c>
      <c r="R34" s="6">
        <v>1.1386315893358148</v>
      </c>
      <c r="T34" s="818">
        <v>44593</v>
      </c>
      <c r="U34" s="959">
        <f t="shared" si="11"/>
        <v>115.7025039319314</v>
      </c>
      <c r="V34" s="959">
        <f t="shared" si="3"/>
        <v>20.176551763030638</v>
      </c>
      <c r="W34" s="811">
        <f t="shared" si="4"/>
        <v>5.7345033626574553</v>
      </c>
      <c r="Y34" s="818">
        <v>44593</v>
      </c>
      <c r="Z34" s="959">
        <f t="shared" si="5"/>
        <v>215.8097070687962</v>
      </c>
      <c r="AA34" s="959">
        <f t="shared" si="6"/>
        <v>37.631774027548673</v>
      </c>
      <c r="AB34" s="811">
        <f t="shared" si="7"/>
        <v>5.7347736758519758</v>
      </c>
      <c r="AD34" s="818">
        <v>44593</v>
      </c>
      <c r="AE34" s="959">
        <f t="shared" si="8"/>
        <v>352.47503211482245</v>
      </c>
      <c r="AF34" s="959">
        <f t="shared" si="9"/>
        <v>61.463333192347278</v>
      </c>
      <c r="AG34" s="811">
        <f t="shared" si="10"/>
        <v>5.7347204228538109</v>
      </c>
    </row>
    <row r="35" spans="1:33" ht="20.149999999999999" customHeight="1" x14ac:dyDescent="0.25">
      <c r="A35" s="823">
        <v>44621</v>
      </c>
      <c r="B35" s="819">
        <v>95.95</v>
      </c>
      <c r="C35" s="821">
        <f t="shared" si="0"/>
        <v>18.350000000000001</v>
      </c>
      <c r="D35" s="812">
        <v>5.23</v>
      </c>
      <c r="F35" s="823">
        <v>44621</v>
      </c>
      <c r="G35" s="819">
        <v>187.27</v>
      </c>
      <c r="H35" s="821">
        <f t="shared" si="1"/>
        <v>35.81</v>
      </c>
      <c r="I35" s="812">
        <v>5.23</v>
      </c>
      <c r="K35" s="823">
        <v>44621</v>
      </c>
      <c r="L35" s="819">
        <v>312.94</v>
      </c>
      <c r="M35" s="821">
        <f t="shared" si="2"/>
        <v>59.84</v>
      </c>
      <c r="N35" s="812">
        <v>5.23</v>
      </c>
      <c r="Q35" s="6">
        <v>1.1608687220929126</v>
      </c>
      <c r="R35" s="6">
        <v>1.1236295842840447</v>
      </c>
      <c r="T35" s="823">
        <v>44621</v>
      </c>
      <c r="U35" s="959">
        <f t="shared" si="11"/>
        <v>111.38535388481496</v>
      </c>
      <c r="V35" s="959">
        <f t="shared" si="3"/>
        <v>20.618602871612222</v>
      </c>
      <c r="W35" s="811">
        <f t="shared" si="4"/>
        <v>5.402177566462119</v>
      </c>
      <c r="Y35" s="823">
        <v>44621</v>
      </c>
      <c r="Z35" s="959">
        <f t="shared" si="5"/>
        <v>217.39588558633974</v>
      </c>
      <c r="AA35" s="959">
        <f t="shared" si="6"/>
        <v>40.237175413211645</v>
      </c>
      <c r="AB35" s="811">
        <f t="shared" si="7"/>
        <v>5.4028614919863154</v>
      </c>
      <c r="AD35" s="823">
        <v>44621</v>
      </c>
      <c r="AE35" s="959">
        <f t="shared" si="8"/>
        <v>363.28225789175605</v>
      </c>
      <c r="AF35" s="959">
        <f t="shared" si="9"/>
        <v>67.237994323557231</v>
      </c>
      <c r="AG35" s="811">
        <f t="shared" si="10"/>
        <v>5.4029312079655227</v>
      </c>
    </row>
    <row r="36" spans="1:33" ht="20.149999999999999" customHeight="1" x14ac:dyDescent="0.25">
      <c r="A36" s="815">
        <v>44652</v>
      </c>
      <c r="B36" s="819">
        <v>98.54</v>
      </c>
      <c r="C36" s="821">
        <f t="shared" si="0"/>
        <v>19.2</v>
      </c>
      <c r="D36" s="812">
        <v>5.1314000000000002</v>
      </c>
      <c r="F36" s="815">
        <v>44652</v>
      </c>
      <c r="G36" s="819">
        <v>178.1</v>
      </c>
      <c r="H36" s="821">
        <f t="shared" si="1"/>
        <v>34.71</v>
      </c>
      <c r="I36" s="812">
        <v>5.1314000000000002</v>
      </c>
      <c r="K36" s="815">
        <v>44652</v>
      </c>
      <c r="L36" s="819">
        <v>311.45999999999998</v>
      </c>
      <c r="M36" s="821">
        <f t="shared" si="2"/>
        <v>60.7</v>
      </c>
      <c r="N36" s="812">
        <v>5.1314000000000002</v>
      </c>
      <c r="Q36" s="6">
        <v>1.1486925807370993</v>
      </c>
      <c r="R36" s="6">
        <v>1.117391710392966</v>
      </c>
      <c r="T36" s="815">
        <v>44652</v>
      </c>
      <c r="U36" s="959">
        <f t="shared" si="11"/>
        <v>113.19216690583377</v>
      </c>
      <c r="V36" s="959">
        <f t="shared" si="3"/>
        <v>21.453920839544946</v>
      </c>
      <c r="W36" s="811">
        <f t="shared" si="4"/>
        <v>5.2760596886883393</v>
      </c>
      <c r="Y36" s="815">
        <v>44652</v>
      </c>
      <c r="Z36" s="959">
        <f t="shared" si="5"/>
        <v>204.58214862927738</v>
      </c>
      <c r="AA36" s="959">
        <f t="shared" si="6"/>
        <v>38.784666267739851</v>
      </c>
      <c r="AB36" s="811">
        <f t="shared" si="7"/>
        <v>5.2748203946631316</v>
      </c>
      <c r="AD36" s="815">
        <v>44652</v>
      </c>
      <c r="AE36" s="959">
        <f t="shared" si="8"/>
        <v>357.77179119637697</v>
      </c>
      <c r="AF36" s="959">
        <f t="shared" si="9"/>
        <v>67.825676820853047</v>
      </c>
      <c r="AG36" s="811">
        <f t="shared" si="10"/>
        <v>5.274872407707103</v>
      </c>
    </row>
    <row r="37" spans="1:33" ht="20.149999999999999" customHeight="1" x14ac:dyDescent="0.25">
      <c r="A37" s="818">
        <v>44682</v>
      </c>
      <c r="B37" s="819">
        <v>88.66</v>
      </c>
      <c r="C37" s="821">
        <f t="shared" si="0"/>
        <v>18.8</v>
      </c>
      <c r="D37" s="812">
        <v>4.7157999999999998</v>
      </c>
      <c r="F37" s="818">
        <v>44682</v>
      </c>
      <c r="G37" s="819">
        <v>176.57</v>
      </c>
      <c r="H37" s="821">
        <f t="shared" si="1"/>
        <v>37.44</v>
      </c>
      <c r="I37" s="812">
        <v>4.7157999999999998</v>
      </c>
      <c r="K37" s="818">
        <v>44682</v>
      </c>
      <c r="L37" s="819">
        <v>306.19</v>
      </c>
      <c r="M37" s="821">
        <f t="shared" si="2"/>
        <v>64.930000000000007</v>
      </c>
      <c r="N37" s="812">
        <v>4.7157999999999998</v>
      </c>
      <c r="Q37" s="6">
        <v>1.1433189815239369</v>
      </c>
      <c r="R37" s="6">
        <v>1.1052084188630704</v>
      </c>
      <c r="T37" s="818">
        <v>44682</v>
      </c>
      <c r="U37" s="959">
        <f t="shared" si="11"/>
        <v>101.36666090191224</v>
      </c>
      <c r="V37" s="959">
        <f t="shared" si="3"/>
        <v>20.777918274625726</v>
      </c>
      <c r="W37" s="811">
        <f t="shared" si="4"/>
        <v>4.8785763598705927</v>
      </c>
      <c r="Y37" s="818">
        <v>44682</v>
      </c>
      <c r="Z37" s="959">
        <f t="shared" si="5"/>
        <v>201.87583256768153</v>
      </c>
      <c r="AA37" s="959">
        <f t="shared" si="6"/>
        <v>41.379003202233356</v>
      </c>
      <c r="AB37" s="811">
        <f t="shared" si="7"/>
        <v>4.878702166435601</v>
      </c>
      <c r="AD37" s="818">
        <v>44682</v>
      </c>
      <c r="AE37" s="959">
        <f t="shared" si="8"/>
        <v>350.07283895281421</v>
      </c>
      <c r="AF37" s="959">
        <f t="shared" si="9"/>
        <v>71.761182636779168</v>
      </c>
      <c r="AG37" s="811">
        <f t="shared" si="10"/>
        <v>4.878303646760056</v>
      </c>
    </row>
    <row r="38" spans="1:33" ht="20.149999999999999" customHeight="1" x14ac:dyDescent="0.25">
      <c r="A38" s="818">
        <v>44713</v>
      </c>
      <c r="B38" s="822">
        <v>88</v>
      </c>
      <c r="C38" s="821">
        <f t="shared" si="0"/>
        <v>17.23</v>
      </c>
      <c r="D38" s="812">
        <v>5.1074999999999999</v>
      </c>
      <c r="F38" s="818">
        <v>44713</v>
      </c>
      <c r="G38" s="822">
        <v>177.65</v>
      </c>
      <c r="H38" s="821">
        <f t="shared" si="1"/>
        <v>34.78</v>
      </c>
      <c r="I38" s="812">
        <v>5.1074999999999999</v>
      </c>
      <c r="K38" s="818">
        <v>44713</v>
      </c>
      <c r="L38" s="822">
        <v>311.44</v>
      </c>
      <c r="M38" s="821">
        <f t="shared" si="2"/>
        <v>60.98</v>
      </c>
      <c r="N38" s="812">
        <v>5.1074999999999999</v>
      </c>
      <c r="Q38" s="6">
        <v>1.1357097263573428</v>
      </c>
      <c r="R38" s="6">
        <v>1.0902328971924768</v>
      </c>
      <c r="T38" s="818">
        <v>44713</v>
      </c>
      <c r="U38" s="959">
        <f t="shared" si="11"/>
        <v>99.942455919446161</v>
      </c>
      <c r="V38" s="959">
        <f t="shared" si="3"/>
        <v>18.784712818626378</v>
      </c>
      <c r="W38" s="811">
        <f t="shared" si="4"/>
        <v>5.3204143648310724</v>
      </c>
      <c r="Y38" s="818">
        <v>44713</v>
      </c>
      <c r="Z38" s="959">
        <f t="shared" si="5"/>
        <v>201.75883288738194</v>
      </c>
      <c r="AA38" s="959">
        <f t="shared" si="6"/>
        <v>37.918300164354349</v>
      </c>
      <c r="AB38" s="811">
        <f t="shared" si="7"/>
        <v>5.3208828458256754</v>
      </c>
      <c r="AD38" s="818">
        <v>44713</v>
      </c>
      <c r="AE38" s="959">
        <f t="shared" si="8"/>
        <v>353.70543717673081</v>
      </c>
      <c r="AF38" s="959">
        <f t="shared" si="9"/>
        <v>66.482402070797235</v>
      </c>
      <c r="AG38" s="811">
        <f t="shared" si="10"/>
        <v>5.3202866647337625</v>
      </c>
    </row>
    <row r="39" spans="1:33" ht="20.149999999999999" customHeight="1" x14ac:dyDescent="0.25">
      <c r="A39" s="818">
        <v>44743</v>
      </c>
      <c r="B39" s="819">
        <v>88.29</v>
      </c>
      <c r="C39" s="820">
        <f t="shared" si="0"/>
        <v>17.27</v>
      </c>
      <c r="D39" s="812">
        <v>5.1119000000000003</v>
      </c>
      <c r="F39" s="818">
        <v>44743</v>
      </c>
      <c r="G39" s="819">
        <v>176.15</v>
      </c>
      <c r="H39" s="820">
        <f t="shared" si="1"/>
        <v>34.46</v>
      </c>
      <c r="I39" s="812">
        <v>5.1119000000000003</v>
      </c>
      <c r="K39" s="818">
        <v>44743</v>
      </c>
      <c r="L39" s="819">
        <v>318.83999999999997</v>
      </c>
      <c r="M39" s="820">
        <f t="shared" si="2"/>
        <v>62.37</v>
      </c>
      <c r="N39" s="812">
        <v>5.1119000000000003</v>
      </c>
      <c r="Q39" s="6">
        <v>1.1434854272627295</v>
      </c>
      <c r="R39" s="6">
        <v>1.0903616897757495</v>
      </c>
      <c r="T39" s="818">
        <v>44743</v>
      </c>
      <c r="U39" s="959">
        <f t="shared" si="11"/>
        <v>100.95832837302639</v>
      </c>
      <c r="V39" s="959">
        <f t="shared" si="3"/>
        <v>18.830546382427194</v>
      </c>
      <c r="W39" s="811">
        <f t="shared" si="4"/>
        <v>5.3614125858419834</v>
      </c>
      <c r="Y39" s="818">
        <v>44743</v>
      </c>
      <c r="Z39" s="959">
        <f t="shared" si="5"/>
        <v>201.4249580123298</v>
      </c>
      <c r="AA39" s="959">
        <f t="shared" si="6"/>
        <v>37.573863829672327</v>
      </c>
      <c r="AB39" s="811">
        <f t="shared" si="7"/>
        <v>5.360773087522162</v>
      </c>
      <c r="AD39" s="818">
        <v>44743</v>
      </c>
      <c r="AE39" s="959">
        <f t="shared" si="8"/>
        <v>364.58889362844866</v>
      </c>
      <c r="AF39" s="959">
        <f t="shared" si="9"/>
        <v>68.005858591313498</v>
      </c>
      <c r="AG39" s="811">
        <f t="shared" si="10"/>
        <v>5.3611394838711472</v>
      </c>
    </row>
    <row r="40" spans="1:33" ht="20.149999999999999" customHeight="1" x14ac:dyDescent="0.25">
      <c r="A40" s="818">
        <v>44774</v>
      </c>
      <c r="B40" s="822">
        <v>82.3</v>
      </c>
      <c r="C40" s="821">
        <f t="shared" si="0"/>
        <v>15.24</v>
      </c>
      <c r="D40" s="812">
        <v>5.4013999999999998</v>
      </c>
      <c r="F40" s="818">
        <v>44774</v>
      </c>
      <c r="G40" s="822">
        <v>173.37</v>
      </c>
      <c r="H40" s="821">
        <f t="shared" si="1"/>
        <v>32.1</v>
      </c>
      <c r="I40" s="812">
        <v>5.4013999999999998</v>
      </c>
      <c r="K40" s="818">
        <v>44774</v>
      </c>
      <c r="L40" s="822">
        <v>306.52999999999997</v>
      </c>
      <c r="M40" s="821">
        <f t="shared" si="2"/>
        <v>56.75</v>
      </c>
      <c r="N40" s="812">
        <v>5.4013999999999998</v>
      </c>
      <c r="Q40" s="6">
        <v>1.1476168479152242</v>
      </c>
      <c r="R40" s="6">
        <v>1.0907482501662891</v>
      </c>
      <c r="T40" s="818">
        <v>44774</v>
      </c>
      <c r="U40" s="959">
        <f t="shared" si="11"/>
        <v>94.448866583422955</v>
      </c>
      <c r="V40" s="959">
        <f t="shared" si="3"/>
        <v>16.623003332534246</v>
      </c>
      <c r="W40" s="811">
        <f t="shared" si="4"/>
        <v>5.6818172200308306</v>
      </c>
      <c r="Y40" s="818">
        <v>44774</v>
      </c>
      <c r="Z40" s="959">
        <f t="shared" si="5"/>
        <v>198.96233292306243</v>
      </c>
      <c r="AA40" s="959">
        <f t="shared" si="6"/>
        <v>35.013018830337877</v>
      </c>
      <c r="AB40" s="811">
        <f t="shared" si="7"/>
        <v>5.6825243743526253</v>
      </c>
      <c r="AD40" s="818">
        <v>44774</v>
      </c>
      <c r="AE40" s="959">
        <f t="shared" si="8"/>
        <v>351.77899239145364</v>
      </c>
      <c r="AF40" s="959">
        <f t="shared" si="9"/>
        <v>61.899963196936902</v>
      </c>
      <c r="AG40" s="811">
        <f t="shared" si="10"/>
        <v>5.6830242575792242</v>
      </c>
    </row>
    <row r="41" spans="1:33" ht="20.149999999999999" customHeight="1" x14ac:dyDescent="0.25">
      <c r="A41" s="818">
        <v>44805</v>
      </c>
      <c r="B41" s="822">
        <v>78.8</v>
      </c>
      <c r="C41" s="821">
        <f t="shared" ref="C41:C68" si="12">ROUND(B41/D41,2)</f>
        <v>15.47</v>
      </c>
      <c r="D41" s="812">
        <v>5.0925000000000002</v>
      </c>
      <c r="F41" s="818">
        <v>44805</v>
      </c>
      <c r="G41" s="822">
        <v>174.64</v>
      </c>
      <c r="H41" s="821">
        <f t="shared" ref="H41:H68" si="13">ROUND(G41/I41,2)</f>
        <v>34.29</v>
      </c>
      <c r="I41" s="812">
        <v>5.0925000000000002</v>
      </c>
      <c r="K41" s="818">
        <v>44805</v>
      </c>
      <c r="L41" s="822">
        <v>289.89</v>
      </c>
      <c r="M41" s="821">
        <f t="shared" ref="M41:M68" si="14">ROUND(L41/N41,2)</f>
        <v>56.92</v>
      </c>
      <c r="N41" s="812">
        <v>5.0925000000000002</v>
      </c>
      <c r="Q41" s="6">
        <v>1.1509546163025017</v>
      </c>
      <c r="R41" s="6">
        <v>1.0884073205573974</v>
      </c>
      <c r="T41" s="818">
        <v>44805</v>
      </c>
      <c r="U41" s="959">
        <f t="shared" ref="U41:U68" si="15">B41*Q41</f>
        <v>90.695223764637134</v>
      </c>
      <c r="V41" s="959">
        <f t="shared" ref="V41:V68" si="16">C41*R41</f>
        <v>16.83766124902294</v>
      </c>
      <c r="W41" s="811">
        <f t="shared" ref="W41:W68" si="17">U41/V41</f>
        <v>5.3864501977612846</v>
      </c>
      <c r="Y41" s="818">
        <v>44805</v>
      </c>
      <c r="Z41" s="959">
        <f t="shared" ref="Z41:Z68" si="18">G41*Q41</f>
        <v>201.00271419106889</v>
      </c>
      <c r="AA41" s="959">
        <f t="shared" ref="AA41:AA68" si="19">H41*R41</f>
        <v>37.321487021913157</v>
      </c>
      <c r="AB41" s="811">
        <f t="shared" ref="AB41:AB68" si="20">Z41/AA41</f>
        <v>5.3857102229889975</v>
      </c>
      <c r="AD41" s="818">
        <v>44805</v>
      </c>
      <c r="AE41" s="959">
        <f t="shared" ref="AE41:AE68" si="21">L41*Q41</f>
        <v>333.6502337199322</v>
      </c>
      <c r="AF41" s="959">
        <f t="shared" ref="AF41:AF68" si="22">M41*R41</f>
        <v>61.952144686127063</v>
      </c>
      <c r="AG41" s="811">
        <f t="shared" ref="AG41:AG68" si="23">AE41/AF41</f>
        <v>5.3856123207732383</v>
      </c>
    </row>
    <row r="42" spans="1:33" ht="20.149999999999999" customHeight="1" x14ac:dyDescent="0.25">
      <c r="A42" s="818">
        <v>44835</v>
      </c>
      <c r="B42" s="819">
        <v>80.22</v>
      </c>
      <c r="C42" s="821">
        <f t="shared" si="12"/>
        <v>15.36</v>
      </c>
      <c r="D42" s="812">
        <v>5.2210999999999999</v>
      </c>
      <c r="F42" s="818">
        <v>44835</v>
      </c>
      <c r="G42" s="819">
        <v>167.85</v>
      </c>
      <c r="H42" s="821">
        <f t="shared" si="13"/>
        <v>32.15</v>
      </c>
      <c r="I42" s="812">
        <v>5.2210999999999999</v>
      </c>
      <c r="K42" s="818">
        <v>44835</v>
      </c>
      <c r="L42" s="819">
        <v>291.79000000000002</v>
      </c>
      <c r="M42" s="821">
        <f t="shared" si="14"/>
        <v>55.89</v>
      </c>
      <c r="N42" s="812">
        <v>5.2210999999999999</v>
      </c>
      <c r="Q42" s="6">
        <v>1.1442038138010753</v>
      </c>
      <c r="R42" s="6">
        <v>1.0840100398641666</v>
      </c>
      <c r="T42" s="818">
        <v>44835</v>
      </c>
      <c r="U42" s="959">
        <f t="shared" si="15"/>
        <v>91.788029943122254</v>
      </c>
      <c r="V42" s="959">
        <f t="shared" si="16"/>
        <v>16.650394212313596</v>
      </c>
      <c r="W42" s="811">
        <f t="shared" si="17"/>
        <v>5.5126640710549379</v>
      </c>
      <c r="Y42" s="818">
        <v>44835</v>
      </c>
      <c r="Z42" s="959">
        <f t="shared" si="18"/>
        <v>192.05461014651047</v>
      </c>
      <c r="AA42" s="959">
        <f t="shared" si="19"/>
        <v>34.850922781632953</v>
      </c>
      <c r="AB42" s="811">
        <f t="shared" si="20"/>
        <v>5.5107467698883035</v>
      </c>
      <c r="AD42" s="818">
        <v>44835</v>
      </c>
      <c r="AE42" s="959">
        <f t="shared" si="21"/>
        <v>333.8672308290158</v>
      </c>
      <c r="AF42" s="959">
        <f t="shared" si="22"/>
        <v>60.585321128008268</v>
      </c>
      <c r="AG42" s="811">
        <f t="shared" si="23"/>
        <v>5.5106950761819231</v>
      </c>
    </row>
    <row r="43" spans="1:33" ht="20.149999999999999" customHeight="1" x14ac:dyDescent="0.25">
      <c r="A43" s="818">
        <v>44866</v>
      </c>
      <c r="B43" s="819">
        <v>78.349999999999994</v>
      </c>
      <c r="C43" s="821">
        <f t="shared" si="12"/>
        <v>14.83</v>
      </c>
      <c r="D43" s="812">
        <v>5.2824</v>
      </c>
      <c r="F43" s="818">
        <v>44866</v>
      </c>
      <c r="G43" s="819">
        <v>169.93</v>
      </c>
      <c r="H43" s="821">
        <f t="shared" si="13"/>
        <v>32.17</v>
      </c>
      <c r="I43" s="812">
        <v>5.2824</v>
      </c>
      <c r="K43" s="818">
        <v>44866</v>
      </c>
      <c r="L43" s="819">
        <v>316.72000000000003</v>
      </c>
      <c r="M43" s="821">
        <f t="shared" si="14"/>
        <v>59.96</v>
      </c>
      <c r="N43" s="812">
        <v>5.2824</v>
      </c>
      <c r="Q43" s="6">
        <v>1.139531733692934</v>
      </c>
      <c r="R43" s="6">
        <v>1.0851060256423175</v>
      </c>
      <c r="T43" s="818">
        <v>44866</v>
      </c>
      <c r="U43" s="959">
        <f t="shared" si="15"/>
        <v>89.282311334841381</v>
      </c>
      <c r="V43" s="959">
        <f t="shared" si="16"/>
        <v>16.092122360275567</v>
      </c>
      <c r="W43" s="811">
        <f t="shared" si="17"/>
        <v>5.5481998791682363</v>
      </c>
      <c r="Y43" s="818">
        <v>44866</v>
      </c>
      <c r="Z43" s="959">
        <f t="shared" si="18"/>
        <v>193.6406275064403</v>
      </c>
      <c r="AA43" s="959">
        <f t="shared" si="19"/>
        <v>34.907860844913358</v>
      </c>
      <c r="AB43" s="811">
        <f t="shared" si="20"/>
        <v>5.5471926041740502</v>
      </c>
      <c r="AD43" s="818">
        <v>44866</v>
      </c>
      <c r="AE43" s="959">
        <f t="shared" si="21"/>
        <v>360.9124906952261</v>
      </c>
      <c r="AF43" s="959">
        <f t="shared" si="22"/>
        <v>65.062957297513364</v>
      </c>
      <c r="AG43" s="811">
        <f t="shared" si="23"/>
        <v>5.5471270548751983</v>
      </c>
    </row>
    <row r="44" spans="1:33" ht="20.149999999999999" customHeight="1" x14ac:dyDescent="0.25">
      <c r="A44" s="818">
        <v>44896</v>
      </c>
      <c r="B44" s="819">
        <v>78.849999999999994</v>
      </c>
      <c r="C44" s="821">
        <f t="shared" si="12"/>
        <v>14.87</v>
      </c>
      <c r="D44" s="812">
        <v>5.3013000000000003</v>
      </c>
      <c r="F44" s="818">
        <v>44896</v>
      </c>
      <c r="G44" s="819">
        <v>167.63</v>
      </c>
      <c r="H44" s="821">
        <f t="shared" si="13"/>
        <v>31.62</v>
      </c>
      <c r="I44" s="812">
        <v>5.3013000000000003</v>
      </c>
      <c r="K44" s="818">
        <v>44896</v>
      </c>
      <c r="L44" s="819">
        <v>370.39</v>
      </c>
      <c r="M44" s="821">
        <f t="shared" si="14"/>
        <v>69.87</v>
      </c>
      <c r="N44" s="812">
        <v>5.3013000000000003</v>
      </c>
      <c r="Q44" s="6">
        <v>1.1325101706349971</v>
      </c>
      <c r="R44" s="6">
        <v>1.088447659511383</v>
      </c>
      <c r="T44" s="818">
        <v>44896</v>
      </c>
      <c r="U44" s="959">
        <f t="shared" si="15"/>
        <v>89.298426954569521</v>
      </c>
      <c r="V44" s="959">
        <f t="shared" si="16"/>
        <v>16.185216696934265</v>
      </c>
      <c r="W44" s="811">
        <f t="shared" si="17"/>
        <v>5.517283372022078</v>
      </c>
      <c r="Y44" s="818">
        <v>44896</v>
      </c>
      <c r="Z44" s="959">
        <f t="shared" si="18"/>
        <v>189.84267990354456</v>
      </c>
      <c r="AA44" s="959">
        <f t="shared" si="19"/>
        <v>34.416714993749935</v>
      </c>
      <c r="AB44" s="811">
        <f t="shared" si="20"/>
        <v>5.5160023243944094</v>
      </c>
      <c r="AD44" s="818">
        <v>44896</v>
      </c>
      <c r="AE44" s="959">
        <f t="shared" si="21"/>
        <v>419.47044210149659</v>
      </c>
      <c r="AF44" s="959">
        <f t="shared" si="22"/>
        <v>76.049837970060338</v>
      </c>
      <c r="AG44" s="811">
        <f t="shared" si="23"/>
        <v>5.5157309114404125</v>
      </c>
    </row>
    <row r="45" spans="1:33" ht="20.149999999999999" customHeight="1" x14ac:dyDescent="0.25">
      <c r="A45" s="818">
        <v>44927</v>
      </c>
      <c r="B45" s="819">
        <v>79.5</v>
      </c>
      <c r="C45" s="821">
        <f t="shared" si="12"/>
        <v>14.95</v>
      </c>
      <c r="D45" s="812">
        <v>5.3182999999999998</v>
      </c>
      <c r="F45" s="818">
        <v>44927</v>
      </c>
      <c r="G45" s="819">
        <v>167.07</v>
      </c>
      <c r="H45" s="821">
        <f t="shared" si="13"/>
        <v>31.41</v>
      </c>
      <c r="I45" s="812">
        <v>5.3182999999999998</v>
      </c>
      <c r="K45" s="818">
        <v>44927</v>
      </c>
      <c r="L45" s="819">
        <v>389.1</v>
      </c>
      <c r="M45" s="821">
        <f t="shared" si="14"/>
        <v>73.16</v>
      </c>
      <c r="N45" s="812">
        <v>5.3182999999999998</v>
      </c>
      <c r="Q45" s="6">
        <v>1.1265395112255019</v>
      </c>
      <c r="R45" s="6">
        <v>1.0798141524885516</v>
      </c>
      <c r="T45" s="818">
        <v>44927</v>
      </c>
      <c r="U45" s="959">
        <f t="shared" si="15"/>
        <v>89.559891142427404</v>
      </c>
      <c r="V45" s="959">
        <f t="shared" si="16"/>
        <v>16.143221579703845</v>
      </c>
      <c r="W45" s="811">
        <f t="shared" si="17"/>
        <v>5.5478326119878743</v>
      </c>
      <c r="Y45" s="818">
        <v>44927</v>
      </c>
      <c r="Z45" s="959">
        <f t="shared" si="18"/>
        <v>188.21095614044458</v>
      </c>
      <c r="AA45" s="959">
        <f t="shared" si="19"/>
        <v>33.916962529665405</v>
      </c>
      <c r="AB45" s="811">
        <f t="shared" si="20"/>
        <v>5.549168973366239</v>
      </c>
      <c r="AD45" s="818">
        <v>44927</v>
      </c>
      <c r="AE45" s="959">
        <f t="shared" si="21"/>
        <v>438.33652381784282</v>
      </c>
      <c r="AF45" s="959">
        <f t="shared" si="22"/>
        <v>78.999203396062427</v>
      </c>
      <c r="AG45" s="811">
        <f t="shared" si="23"/>
        <v>5.5486195426584635</v>
      </c>
    </row>
    <row r="46" spans="1:33" ht="20.149999999999999" customHeight="1" x14ac:dyDescent="0.25">
      <c r="A46" s="818">
        <v>44958</v>
      </c>
      <c r="B46" s="819">
        <v>78.33</v>
      </c>
      <c r="C46" s="821">
        <f t="shared" si="12"/>
        <v>15.31</v>
      </c>
      <c r="D46" s="812">
        <v>5.1146000000000003</v>
      </c>
      <c r="F46" s="818">
        <v>44958</v>
      </c>
      <c r="G46" s="819">
        <v>158.47999999999999</v>
      </c>
      <c r="H46" s="821">
        <f t="shared" si="13"/>
        <v>30.99</v>
      </c>
      <c r="I46" s="812">
        <v>5.1146000000000003</v>
      </c>
      <c r="K46" s="818">
        <v>44958</v>
      </c>
      <c r="L46" s="819">
        <v>357.04</v>
      </c>
      <c r="M46" s="821">
        <f t="shared" si="14"/>
        <v>69.81</v>
      </c>
      <c r="N46" s="812">
        <v>5.1146000000000003</v>
      </c>
      <c r="Q46" s="6">
        <v>1.117155405816642</v>
      </c>
      <c r="R46" s="6">
        <v>1.0738199707485707</v>
      </c>
      <c r="T46" s="818">
        <v>44958</v>
      </c>
      <c r="U46" s="959">
        <f t="shared" si="15"/>
        <v>87.506782937617558</v>
      </c>
      <c r="V46" s="959">
        <f t="shared" si="16"/>
        <v>16.440183752160618</v>
      </c>
      <c r="W46" s="811">
        <f t="shared" si="17"/>
        <v>5.3227375226944869</v>
      </c>
      <c r="Y46" s="818">
        <v>44958</v>
      </c>
      <c r="Z46" s="959">
        <f t="shared" si="18"/>
        <v>177.0467887138214</v>
      </c>
      <c r="AA46" s="959">
        <f t="shared" si="19"/>
        <v>33.277680893498207</v>
      </c>
      <c r="AB46" s="811">
        <f t="shared" si="20"/>
        <v>5.3202862687589745</v>
      </c>
      <c r="AD46" s="818">
        <v>44958</v>
      </c>
      <c r="AE46" s="959">
        <f t="shared" si="21"/>
        <v>398.86916609277387</v>
      </c>
      <c r="AF46" s="959">
        <f t="shared" si="22"/>
        <v>74.963372157957721</v>
      </c>
      <c r="AG46" s="811">
        <f t="shared" si="23"/>
        <v>5.320854099950358</v>
      </c>
    </row>
    <row r="47" spans="1:33" ht="20.149999999999999" customHeight="1" x14ac:dyDescent="0.25">
      <c r="A47" s="818">
        <v>44986</v>
      </c>
      <c r="B47" s="819">
        <v>72.86</v>
      </c>
      <c r="C47" s="821">
        <f t="shared" si="12"/>
        <v>13.95</v>
      </c>
      <c r="D47" s="812">
        <v>5.2243000000000004</v>
      </c>
      <c r="F47" s="818">
        <v>44986</v>
      </c>
      <c r="G47" s="819">
        <v>148.19999999999999</v>
      </c>
      <c r="H47" s="821">
        <f t="shared" si="13"/>
        <v>28.37</v>
      </c>
      <c r="I47" s="812">
        <v>5.2243000000000004</v>
      </c>
      <c r="K47" s="818">
        <v>44986</v>
      </c>
      <c r="L47" s="819">
        <v>386.94</v>
      </c>
      <c r="M47" s="821">
        <f t="shared" si="14"/>
        <v>74.069999999999993</v>
      </c>
      <c r="N47" s="812">
        <v>5.2243000000000004</v>
      </c>
      <c r="Q47" s="6">
        <v>1.1092795212160083</v>
      </c>
      <c r="R47" s="6">
        <v>1.0702765740335811</v>
      </c>
      <c r="T47" s="818">
        <v>44986</v>
      </c>
      <c r="U47" s="959">
        <f t="shared" si="15"/>
        <v>80.82210591579836</v>
      </c>
      <c r="V47" s="959">
        <f t="shared" si="16"/>
        <v>14.930358207768457</v>
      </c>
      <c r="W47" s="811">
        <f t="shared" si="17"/>
        <v>5.4132730635856801</v>
      </c>
      <c r="Y47" s="818">
        <v>44986</v>
      </c>
      <c r="Z47" s="959">
        <f t="shared" si="18"/>
        <v>164.39522504421242</v>
      </c>
      <c r="AA47" s="959">
        <f t="shared" si="19"/>
        <v>30.363746405332698</v>
      </c>
      <c r="AB47" s="811">
        <f t="shared" si="20"/>
        <v>5.4141943767301441</v>
      </c>
      <c r="AD47" s="818">
        <v>44986</v>
      </c>
      <c r="AE47" s="959">
        <f t="shared" si="21"/>
        <v>429.22461793932223</v>
      </c>
      <c r="AF47" s="959">
        <f t="shared" si="22"/>
        <v>79.275385838667347</v>
      </c>
      <c r="AG47" s="811">
        <f t="shared" si="23"/>
        <v>5.4143491500985377</v>
      </c>
    </row>
    <row r="48" spans="1:33" ht="20.149999999999999" customHeight="1" x14ac:dyDescent="0.25">
      <c r="A48" s="818">
        <v>45017</v>
      </c>
      <c r="B48" s="822">
        <v>69.099999999999994</v>
      </c>
      <c r="C48" s="821">
        <f t="shared" si="12"/>
        <v>13.04</v>
      </c>
      <c r="D48" s="812">
        <v>5.2980999999999998</v>
      </c>
      <c r="F48" s="818">
        <v>45017</v>
      </c>
      <c r="G48" s="822">
        <v>129.05000000000001</v>
      </c>
      <c r="H48" s="821">
        <f t="shared" si="13"/>
        <v>24.36</v>
      </c>
      <c r="I48" s="812">
        <v>5.2980999999999998</v>
      </c>
      <c r="K48" s="818">
        <v>45017</v>
      </c>
      <c r="L48" s="822">
        <v>396.84</v>
      </c>
      <c r="M48" s="821">
        <f t="shared" si="14"/>
        <v>74.900000000000006</v>
      </c>
      <c r="N48" s="812">
        <v>5.2980999999999998</v>
      </c>
      <c r="Q48" s="6">
        <v>1.1025539421687787</v>
      </c>
      <c r="R48" s="6">
        <v>1.0648892580835501</v>
      </c>
      <c r="T48" s="818">
        <v>45017</v>
      </c>
      <c r="U48" s="959">
        <f t="shared" si="15"/>
        <v>76.186477403862597</v>
      </c>
      <c r="V48" s="959">
        <f t="shared" si="16"/>
        <v>13.886155925409492</v>
      </c>
      <c r="W48" s="811">
        <f t="shared" si="17"/>
        <v>5.4865059713504492</v>
      </c>
      <c r="Y48" s="818">
        <v>45017</v>
      </c>
      <c r="Z48" s="959">
        <f t="shared" si="18"/>
        <v>142.2845862368809</v>
      </c>
      <c r="AA48" s="959">
        <f t="shared" si="19"/>
        <v>25.940702326915279</v>
      </c>
      <c r="AB48" s="811">
        <f t="shared" si="20"/>
        <v>5.4849935997781669</v>
      </c>
      <c r="AD48" s="818">
        <v>45017</v>
      </c>
      <c r="AE48" s="959">
        <f t="shared" si="21"/>
        <v>437.53750641025812</v>
      </c>
      <c r="AF48" s="959">
        <f t="shared" si="22"/>
        <v>79.760205430457901</v>
      </c>
      <c r="AG48" s="811">
        <f t="shared" si="23"/>
        <v>5.4856617287895846</v>
      </c>
    </row>
    <row r="49" spans="1:33" ht="20.149999999999999" customHeight="1" x14ac:dyDescent="0.25">
      <c r="A49" s="818">
        <v>45047</v>
      </c>
      <c r="B49" s="819">
        <v>64.2</v>
      </c>
      <c r="C49" s="821">
        <f t="shared" si="12"/>
        <v>12.98</v>
      </c>
      <c r="D49" s="812">
        <v>4.9455</v>
      </c>
      <c r="F49" s="818">
        <v>45047</v>
      </c>
      <c r="G49" s="819">
        <v>114.86</v>
      </c>
      <c r="H49" s="821">
        <f t="shared" si="13"/>
        <v>23.23</v>
      </c>
      <c r="I49" s="812">
        <v>4.9455</v>
      </c>
      <c r="K49" s="818">
        <v>45047</v>
      </c>
      <c r="L49" s="819">
        <v>353.85</v>
      </c>
      <c r="M49" s="821">
        <f t="shared" si="14"/>
        <v>71.55</v>
      </c>
      <c r="N49" s="812">
        <v>4.9455</v>
      </c>
      <c r="Q49" s="6">
        <v>1.1000238872281538</v>
      </c>
      <c r="R49" s="6">
        <v>1.0622141408030197</v>
      </c>
      <c r="T49" s="818">
        <v>45047</v>
      </c>
      <c r="U49" s="959">
        <f t="shared" si="15"/>
        <v>70.621533560047482</v>
      </c>
      <c r="V49" s="959">
        <f t="shared" si="16"/>
        <v>13.787539547623195</v>
      </c>
      <c r="W49" s="811">
        <f t="shared" si="17"/>
        <v>5.1221273611666103</v>
      </c>
      <c r="Y49" s="818">
        <v>45047</v>
      </c>
      <c r="Z49" s="959">
        <f t="shared" si="18"/>
        <v>126.34874368702575</v>
      </c>
      <c r="AA49" s="959">
        <f t="shared" si="19"/>
        <v>24.675234490854148</v>
      </c>
      <c r="AB49" s="811">
        <f t="shared" si="20"/>
        <v>5.1204678007763933</v>
      </c>
      <c r="AD49" s="818">
        <v>45047</v>
      </c>
      <c r="AE49" s="959">
        <f t="shared" si="21"/>
        <v>389.24345249568228</v>
      </c>
      <c r="AF49" s="959">
        <f t="shared" si="22"/>
        <v>76.001421774456048</v>
      </c>
      <c r="AG49" s="811">
        <f t="shared" si="23"/>
        <v>5.1215285636472965</v>
      </c>
    </row>
    <row r="50" spans="1:33" ht="20.149999999999999" customHeight="1" x14ac:dyDescent="0.25">
      <c r="A50" s="818">
        <v>45078</v>
      </c>
      <c r="B50" s="819">
        <v>65.180000000000007</v>
      </c>
      <c r="C50" s="820">
        <f t="shared" si="12"/>
        <v>13.27</v>
      </c>
      <c r="D50" s="812">
        <v>4.9103000000000003</v>
      </c>
      <c r="F50" s="818">
        <v>45078</v>
      </c>
      <c r="G50" s="819">
        <v>115.57</v>
      </c>
      <c r="H50" s="820">
        <f t="shared" si="13"/>
        <v>23.54</v>
      </c>
      <c r="I50" s="812">
        <v>4.9103000000000003</v>
      </c>
      <c r="K50" s="818">
        <v>45078</v>
      </c>
      <c r="L50" s="819">
        <v>270.05</v>
      </c>
      <c r="M50" s="820">
        <f t="shared" si="14"/>
        <v>55</v>
      </c>
      <c r="N50" s="812">
        <v>4.9103000000000003</v>
      </c>
      <c r="Q50" s="6">
        <v>1.1009046109168874</v>
      </c>
      <c r="R50" s="6">
        <v>1.0587953813227404</v>
      </c>
      <c r="T50" s="818">
        <v>45078</v>
      </c>
      <c r="U50" s="959">
        <f t="shared" si="15"/>
        <v>71.756962539562736</v>
      </c>
      <c r="V50" s="959">
        <f t="shared" si="16"/>
        <v>14.050214710152765</v>
      </c>
      <c r="W50" s="811">
        <f t="shared" si="17"/>
        <v>5.1071790730508013</v>
      </c>
      <c r="Y50" s="818">
        <v>45078</v>
      </c>
      <c r="Z50" s="959">
        <f t="shared" si="18"/>
        <v>127.23154588366467</v>
      </c>
      <c r="AA50" s="959">
        <f t="shared" si="19"/>
        <v>24.924043276337308</v>
      </c>
      <c r="AB50" s="811">
        <f t="shared" si="20"/>
        <v>5.1047715040864698</v>
      </c>
      <c r="AD50" s="818">
        <v>45078</v>
      </c>
      <c r="AE50" s="959">
        <f t="shared" si="21"/>
        <v>297.29929017810548</v>
      </c>
      <c r="AF50" s="959">
        <f t="shared" si="22"/>
        <v>58.233745972750725</v>
      </c>
      <c r="AG50" s="811">
        <f t="shared" si="23"/>
        <v>5.1052750464862848</v>
      </c>
    </row>
    <row r="51" spans="1:33" ht="20.149999999999999" customHeight="1" x14ac:dyDescent="0.25">
      <c r="A51" s="818">
        <v>45108</v>
      </c>
      <c r="B51" s="822">
        <v>62.2</v>
      </c>
      <c r="C51" s="821">
        <f t="shared" si="12"/>
        <v>12.9</v>
      </c>
      <c r="D51" s="812">
        <v>4.8221999999999996</v>
      </c>
      <c r="F51" s="818">
        <v>45108</v>
      </c>
      <c r="G51" s="822">
        <v>124.96</v>
      </c>
      <c r="H51" s="821">
        <f t="shared" si="13"/>
        <v>25.91</v>
      </c>
      <c r="I51" s="812">
        <v>4.8221999999999996</v>
      </c>
      <c r="K51" s="818">
        <v>45108</v>
      </c>
      <c r="L51" s="822">
        <v>204.43</v>
      </c>
      <c r="M51" s="821">
        <f t="shared" si="14"/>
        <v>42.39</v>
      </c>
      <c r="N51" s="812">
        <v>4.8221999999999996</v>
      </c>
      <c r="Q51" s="6">
        <v>1.0995851087863437</v>
      </c>
      <c r="R51" s="6">
        <v>1.0567795584430031</v>
      </c>
      <c r="T51" s="818">
        <v>45108</v>
      </c>
      <c r="U51" s="959">
        <f t="shared" si="15"/>
        <v>68.394193766510583</v>
      </c>
      <c r="V51" s="959">
        <f t="shared" si="16"/>
        <v>13.63245630391474</v>
      </c>
      <c r="W51" s="811">
        <f t="shared" si="17"/>
        <v>5.0170117726231247</v>
      </c>
      <c r="Y51" s="818">
        <v>45108</v>
      </c>
      <c r="Z51" s="959">
        <f t="shared" si="18"/>
        <v>137.40415519394151</v>
      </c>
      <c r="AA51" s="959">
        <f t="shared" si="19"/>
        <v>27.381158359258212</v>
      </c>
      <c r="AB51" s="811">
        <f t="shared" si="20"/>
        <v>5.0182009610810328</v>
      </c>
      <c r="AD51" s="818">
        <v>45108</v>
      </c>
      <c r="AE51" s="959">
        <f t="shared" si="21"/>
        <v>224.78818378919226</v>
      </c>
      <c r="AF51" s="959">
        <f t="shared" si="22"/>
        <v>44.796885482398899</v>
      </c>
      <c r="AG51" s="811">
        <f t="shared" si="23"/>
        <v>5.0179422379154808</v>
      </c>
    </row>
    <row r="52" spans="1:33" ht="20.149999999999999" customHeight="1" x14ac:dyDescent="0.25">
      <c r="A52" s="818">
        <v>45139</v>
      </c>
      <c r="B52" s="819">
        <v>62.08</v>
      </c>
      <c r="C52" s="821">
        <f t="shared" si="12"/>
        <v>12.94</v>
      </c>
      <c r="D52" s="812">
        <v>4.7957000000000001</v>
      </c>
      <c r="F52" s="818">
        <v>45139</v>
      </c>
      <c r="G52" s="819">
        <v>126.41</v>
      </c>
      <c r="H52" s="821">
        <f t="shared" si="13"/>
        <v>26.36</v>
      </c>
      <c r="I52" s="812">
        <v>4.7957000000000001</v>
      </c>
      <c r="K52" s="818">
        <v>45139</v>
      </c>
      <c r="L52" s="819">
        <v>196.45</v>
      </c>
      <c r="M52" s="821">
        <f t="shared" si="14"/>
        <v>40.96</v>
      </c>
      <c r="N52" s="812">
        <v>4.7957000000000001</v>
      </c>
      <c r="Q52" s="6">
        <v>1.0970618664934091</v>
      </c>
      <c r="R52" s="6">
        <v>1.0521845055467616</v>
      </c>
      <c r="T52" s="818">
        <v>45139</v>
      </c>
      <c r="U52" s="959">
        <f t="shared" si="15"/>
        <v>68.105600671910835</v>
      </c>
      <c r="V52" s="959">
        <f t="shared" si="16"/>
        <v>13.615267501775094</v>
      </c>
      <c r="W52" s="811">
        <f t="shared" si="17"/>
        <v>5.0021492903486147</v>
      </c>
      <c r="Y52" s="818">
        <v>45139</v>
      </c>
      <c r="Z52" s="959">
        <f t="shared" si="18"/>
        <v>138.67959054343183</v>
      </c>
      <c r="AA52" s="959">
        <f t="shared" si="19"/>
        <v>27.735583566212636</v>
      </c>
      <c r="AB52" s="811">
        <f t="shared" si="20"/>
        <v>5.0000603092545237</v>
      </c>
      <c r="AD52" s="818">
        <v>45139</v>
      </c>
      <c r="AE52" s="959">
        <f t="shared" si="21"/>
        <v>215.51780367263021</v>
      </c>
      <c r="AF52" s="959">
        <f t="shared" si="22"/>
        <v>43.097477347195358</v>
      </c>
      <c r="AG52" s="811">
        <f t="shared" si="23"/>
        <v>5.0007057706976301</v>
      </c>
    </row>
    <row r="53" spans="1:33" ht="20.149999999999999" customHeight="1" x14ac:dyDescent="0.25">
      <c r="A53" s="818">
        <v>45170</v>
      </c>
      <c r="B53" s="819">
        <v>58.05</v>
      </c>
      <c r="C53" s="821">
        <f t="shared" si="12"/>
        <v>11.65</v>
      </c>
      <c r="D53" s="812">
        <v>4.9812000000000003</v>
      </c>
      <c r="F53" s="818">
        <v>45170</v>
      </c>
      <c r="G53" s="819">
        <v>130.6</v>
      </c>
      <c r="H53" s="821">
        <f t="shared" si="13"/>
        <v>26.22</v>
      </c>
      <c r="I53" s="812">
        <v>4.9812000000000003</v>
      </c>
      <c r="K53" s="818">
        <v>45170</v>
      </c>
      <c r="L53" s="819">
        <v>196.9</v>
      </c>
      <c r="M53" s="821">
        <f t="shared" si="14"/>
        <v>39.53</v>
      </c>
      <c r="N53" s="812">
        <v>4.9812000000000003</v>
      </c>
      <c r="Q53" s="6">
        <v>1.0942169025467876</v>
      </c>
      <c r="R53" s="6">
        <v>1.0495761706883613</v>
      </c>
      <c r="T53" s="818">
        <v>45170</v>
      </c>
      <c r="U53" s="959">
        <f t="shared" si="15"/>
        <v>63.519291192841017</v>
      </c>
      <c r="V53" s="959">
        <f t="shared" si="16"/>
        <v>12.227562388519409</v>
      </c>
      <c r="W53" s="811">
        <f t="shared" si="17"/>
        <v>5.1947632058275133</v>
      </c>
      <c r="Y53" s="818">
        <v>45170</v>
      </c>
      <c r="Z53" s="959">
        <f t="shared" si="18"/>
        <v>142.90472747261046</v>
      </c>
      <c r="AA53" s="959">
        <f t="shared" si="19"/>
        <v>27.519887195448831</v>
      </c>
      <c r="AB53" s="811">
        <f t="shared" si="20"/>
        <v>5.1927802776838297</v>
      </c>
      <c r="AD53" s="818">
        <v>45170</v>
      </c>
      <c r="AE53" s="959">
        <f t="shared" si="21"/>
        <v>215.45130811146248</v>
      </c>
      <c r="AF53" s="959">
        <f t="shared" si="22"/>
        <v>41.489746027310922</v>
      </c>
      <c r="AG53" s="811">
        <f t="shared" si="23"/>
        <v>5.1928808619276703</v>
      </c>
    </row>
    <row r="54" spans="1:33" ht="20.149999999999999" customHeight="1" x14ac:dyDescent="0.25">
      <c r="A54" s="818">
        <v>45200</v>
      </c>
      <c r="B54" s="819">
        <v>58.53</v>
      </c>
      <c r="C54" s="821">
        <f t="shared" si="12"/>
        <v>12.02</v>
      </c>
      <c r="D54" s="812">
        <v>4.8689</v>
      </c>
      <c r="F54" s="818">
        <v>45200</v>
      </c>
      <c r="G54" s="819">
        <v>128.41999999999999</v>
      </c>
      <c r="H54" s="821">
        <f t="shared" si="13"/>
        <v>26.38</v>
      </c>
      <c r="I54" s="812">
        <v>4.8689</v>
      </c>
      <c r="K54" s="818">
        <v>45200</v>
      </c>
      <c r="L54" s="819">
        <v>217.93</v>
      </c>
      <c r="M54" s="821">
        <f t="shared" si="14"/>
        <v>44.76</v>
      </c>
      <c r="N54" s="812">
        <v>4.8689</v>
      </c>
      <c r="Q54" s="6">
        <v>1.0915970695797961</v>
      </c>
      <c r="R54" s="6">
        <v>1.0499787110257386</v>
      </c>
      <c r="T54" s="818">
        <v>45200</v>
      </c>
      <c r="U54" s="959">
        <f t="shared" si="15"/>
        <v>63.891176482505465</v>
      </c>
      <c r="V54" s="959">
        <f t="shared" si="16"/>
        <v>12.620744106529378</v>
      </c>
      <c r="W54" s="811">
        <f t="shared" si="17"/>
        <v>5.0623937814768931</v>
      </c>
      <c r="Y54" s="818">
        <v>45200</v>
      </c>
      <c r="Z54" s="959">
        <f t="shared" si="18"/>
        <v>140.18289567543741</v>
      </c>
      <c r="AA54" s="959">
        <f t="shared" si="19"/>
        <v>27.698438396858982</v>
      </c>
      <c r="AB54" s="811">
        <f t="shared" si="20"/>
        <v>5.0610396754834461</v>
      </c>
      <c r="AD54" s="818">
        <v>45200</v>
      </c>
      <c r="AE54" s="959">
        <f t="shared" si="21"/>
        <v>237.89174937352496</v>
      </c>
      <c r="AF54" s="959">
        <f t="shared" si="22"/>
        <v>46.99704710551206</v>
      </c>
      <c r="AG54" s="811">
        <f t="shared" si="23"/>
        <v>5.0618446056714861</v>
      </c>
    </row>
    <row r="55" spans="1:33" ht="20.149999999999999" customHeight="1" x14ac:dyDescent="0.25">
      <c r="A55" s="824">
        <v>45231</v>
      </c>
      <c r="B55" s="825">
        <v>58.43</v>
      </c>
      <c r="C55" s="821">
        <f t="shared" si="12"/>
        <v>11.54</v>
      </c>
      <c r="D55" s="812">
        <v>5.0625</v>
      </c>
      <c r="F55" s="824">
        <v>45231</v>
      </c>
      <c r="G55" s="825">
        <v>131.26</v>
      </c>
      <c r="H55" s="821">
        <f t="shared" si="13"/>
        <v>25.93</v>
      </c>
      <c r="I55" s="812">
        <v>5.0625</v>
      </c>
      <c r="K55" s="824">
        <v>45231</v>
      </c>
      <c r="L55" s="825">
        <v>231.24</v>
      </c>
      <c r="M55" s="821">
        <f t="shared" si="14"/>
        <v>45.68</v>
      </c>
      <c r="N55" s="812">
        <v>5.0625</v>
      </c>
      <c r="Q55" s="6">
        <v>1.0885491320101677</v>
      </c>
      <c r="R55" s="6">
        <v>1.0520988370010194</v>
      </c>
      <c r="T55" s="824">
        <v>45231</v>
      </c>
      <c r="U55" s="959">
        <f t="shared" si="15"/>
        <v>63.6039257833541</v>
      </c>
      <c r="V55" s="959">
        <f t="shared" si="16"/>
        <v>12.141220578991762</v>
      </c>
      <c r="W55" s="811">
        <f t="shared" si="17"/>
        <v>5.2386764056827584</v>
      </c>
      <c r="Y55" s="824">
        <v>45231</v>
      </c>
      <c r="Z55" s="959">
        <f t="shared" si="18"/>
        <v>142.88295906765461</v>
      </c>
      <c r="AA55" s="959">
        <f t="shared" si="19"/>
        <v>27.280922843436432</v>
      </c>
      <c r="AB55" s="811">
        <f t="shared" si="20"/>
        <v>5.2374679510532429</v>
      </c>
      <c r="AD55" s="824">
        <v>45231</v>
      </c>
      <c r="AE55" s="959">
        <f t="shared" si="21"/>
        <v>251.71610128603118</v>
      </c>
      <c r="AF55" s="959">
        <f t="shared" si="22"/>
        <v>48.059874874206564</v>
      </c>
      <c r="AG55" s="811">
        <f t="shared" si="23"/>
        <v>5.2375521564481984</v>
      </c>
    </row>
    <row r="56" spans="1:33" ht="20.149999999999999" customHeight="1" x14ac:dyDescent="0.25">
      <c r="A56" s="824">
        <v>45261</v>
      </c>
      <c r="B56" s="825">
        <v>68.44</v>
      </c>
      <c r="C56" s="821">
        <f t="shared" si="12"/>
        <v>14.06</v>
      </c>
      <c r="D56" s="812">
        <v>4.8681999999999999</v>
      </c>
      <c r="F56" s="824">
        <v>45261</v>
      </c>
      <c r="G56" s="825">
        <v>136.53</v>
      </c>
      <c r="H56" s="821">
        <f t="shared" si="13"/>
        <v>28.05</v>
      </c>
      <c r="I56" s="812">
        <v>4.8681999999999999</v>
      </c>
      <c r="K56" s="824">
        <v>45261</v>
      </c>
      <c r="L56" s="825">
        <v>341.73</v>
      </c>
      <c r="M56" s="821">
        <f t="shared" si="14"/>
        <v>70.2</v>
      </c>
      <c r="N56" s="812">
        <v>4.8681999999999999</v>
      </c>
      <c r="Q56" s="6">
        <v>1.0824872036696178</v>
      </c>
      <c r="R56" s="6">
        <v>1.0531449472853762</v>
      </c>
      <c r="T56" s="824">
        <v>45261</v>
      </c>
      <c r="U56" s="959">
        <f t="shared" si="15"/>
        <v>74.085424219148635</v>
      </c>
      <c r="V56" s="959">
        <f t="shared" si="16"/>
        <v>14.807217958832391</v>
      </c>
      <c r="W56" s="811">
        <f t="shared" si="17"/>
        <v>5.0033317821837864</v>
      </c>
      <c r="Y56" s="824">
        <v>45261</v>
      </c>
      <c r="Z56" s="959">
        <f t="shared" si="18"/>
        <v>147.79197791701293</v>
      </c>
      <c r="AA56" s="959">
        <f t="shared" si="19"/>
        <v>29.540715771354805</v>
      </c>
      <c r="AB56" s="811">
        <f t="shared" si="20"/>
        <v>5.0029924481492971</v>
      </c>
      <c r="AD56" s="824">
        <v>45261</v>
      </c>
      <c r="AE56" s="959">
        <f t="shared" si="21"/>
        <v>369.91835211001853</v>
      </c>
      <c r="AF56" s="959">
        <f t="shared" si="22"/>
        <v>73.930775299433407</v>
      </c>
      <c r="AG56" s="811">
        <f t="shared" si="23"/>
        <v>5.0035773412598514</v>
      </c>
    </row>
    <row r="57" spans="1:33" ht="20.149999999999999" customHeight="1" x14ac:dyDescent="0.25">
      <c r="A57" s="824">
        <v>45292</v>
      </c>
      <c r="B57" s="825">
        <v>67.78</v>
      </c>
      <c r="C57" s="821">
        <f t="shared" si="12"/>
        <v>13.72</v>
      </c>
      <c r="D57" s="812">
        <v>4.9397000000000002</v>
      </c>
      <c r="F57" s="824">
        <v>45292</v>
      </c>
      <c r="G57" s="825">
        <v>127.59</v>
      </c>
      <c r="H57" s="821">
        <f t="shared" si="13"/>
        <v>25.83</v>
      </c>
      <c r="I57" s="812">
        <v>4.9397000000000002</v>
      </c>
      <c r="K57" s="824">
        <v>45292</v>
      </c>
      <c r="L57" s="825">
        <v>303.60000000000002</v>
      </c>
      <c r="M57" s="821">
        <f t="shared" si="14"/>
        <v>61.46</v>
      </c>
      <c r="N57" s="812">
        <v>4.9397000000000002</v>
      </c>
      <c r="Q57" s="6">
        <v>1.0779597726245946</v>
      </c>
      <c r="R57" s="6">
        <v>1.0474390192499117</v>
      </c>
      <c r="T57" s="824">
        <v>45292</v>
      </c>
      <c r="U57" s="959">
        <f t="shared" si="15"/>
        <v>73.064113388495031</v>
      </c>
      <c r="V57" s="959">
        <f t="shared" si="16"/>
        <v>14.370863344108789</v>
      </c>
      <c r="W57" s="811">
        <f t="shared" si="17"/>
        <v>5.0841839936114228</v>
      </c>
      <c r="Y57" s="824">
        <v>45292</v>
      </c>
      <c r="Z57" s="959">
        <f t="shared" si="18"/>
        <v>137.53688738917202</v>
      </c>
      <c r="AA57" s="959">
        <f t="shared" si="19"/>
        <v>27.055349867225218</v>
      </c>
      <c r="AB57" s="811">
        <f t="shared" si="20"/>
        <v>5.0835375651816594</v>
      </c>
      <c r="AD57" s="824">
        <v>45292</v>
      </c>
      <c r="AE57" s="959">
        <f t="shared" si="21"/>
        <v>327.26858696882698</v>
      </c>
      <c r="AF57" s="959">
        <f t="shared" si="22"/>
        <v>64.375602123099569</v>
      </c>
      <c r="AG57" s="811">
        <f t="shared" si="23"/>
        <v>5.0837363251845202</v>
      </c>
    </row>
    <row r="58" spans="1:33" ht="20.149999999999999" customHeight="1" x14ac:dyDescent="0.25">
      <c r="A58" s="824">
        <v>45323</v>
      </c>
      <c r="B58" s="825">
        <v>59.45</v>
      </c>
      <c r="C58" s="821">
        <f t="shared" si="12"/>
        <v>12.19</v>
      </c>
      <c r="D58" s="812">
        <v>4.8765000000000001</v>
      </c>
      <c r="F58" s="824">
        <v>45323</v>
      </c>
      <c r="G58" s="825">
        <v>101.87</v>
      </c>
      <c r="H58" s="821">
        <f t="shared" si="13"/>
        <v>20.89</v>
      </c>
      <c r="I58" s="812">
        <v>4.8765000000000001</v>
      </c>
      <c r="K58" s="824">
        <v>45323</v>
      </c>
      <c r="L58" s="825">
        <v>307.67</v>
      </c>
      <c r="M58" s="821">
        <f t="shared" si="14"/>
        <v>63.09</v>
      </c>
      <c r="N58" s="812">
        <v>4.8765000000000001</v>
      </c>
      <c r="Q58" s="6">
        <v>1.0690863558708665</v>
      </c>
      <c r="R58" s="6">
        <v>1.0409955981774004</v>
      </c>
      <c r="T58" s="824">
        <v>45323</v>
      </c>
      <c r="U58" s="959">
        <f t="shared" si="15"/>
        <v>63.557183856523018</v>
      </c>
      <c r="V58" s="959">
        <f t="shared" si="16"/>
        <v>12.68973634178251</v>
      </c>
      <c r="W58" s="811">
        <f t="shared" si="17"/>
        <v>5.0085503862876344</v>
      </c>
      <c r="Y58" s="824">
        <v>45323</v>
      </c>
      <c r="Z58" s="959">
        <f t="shared" si="18"/>
        <v>108.90782707256518</v>
      </c>
      <c r="AA58" s="959">
        <f t="shared" si="19"/>
        <v>21.746398045925893</v>
      </c>
      <c r="AB58" s="811">
        <f t="shared" si="20"/>
        <v>5.008085791613138</v>
      </c>
      <c r="AD58" s="824">
        <v>45323</v>
      </c>
      <c r="AE58" s="959">
        <f t="shared" si="21"/>
        <v>328.92579911078951</v>
      </c>
      <c r="AF58" s="959">
        <f t="shared" si="22"/>
        <v>65.676412289012191</v>
      </c>
      <c r="AG58" s="811">
        <f t="shared" si="23"/>
        <v>5.0082790403247941</v>
      </c>
    </row>
    <row r="59" spans="1:33" ht="20.149999999999999" customHeight="1" x14ac:dyDescent="0.25">
      <c r="A59" s="824">
        <v>45352</v>
      </c>
      <c r="B59" s="825">
        <v>54.93</v>
      </c>
      <c r="C59" s="821">
        <f t="shared" si="12"/>
        <v>11.05</v>
      </c>
      <c r="D59" s="812">
        <v>4.9710000000000001</v>
      </c>
      <c r="F59" s="824">
        <v>45352</v>
      </c>
      <c r="G59" s="825">
        <v>108.15</v>
      </c>
      <c r="H59" s="821">
        <f t="shared" si="13"/>
        <v>21.76</v>
      </c>
      <c r="I59" s="812">
        <v>4.9710000000000001</v>
      </c>
      <c r="K59" s="824">
        <v>45352</v>
      </c>
      <c r="L59" s="825">
        <v>282.42</v>
      </c>
      <c r="M59" s="821">
        <f t="shared" si="14"/>
        <v>56.81</v>
      </c>
      <c r="N59" s="812">
        <v>4.9710000000000001</v>
      </c>
      <c r="Q59" s="6">
        <v>1.0673785501905615</v>
      </c>
      <c r="R59" s="6">
        <v>1.0343096448650795</v>
      </c>
      <c r="T59" s="824">
        <v>45352</v>
      </c>
      <c r="U59" s="959">
        <f t="shared" si="15"/>
        <v>58.631103761967545</v>
      </c>
      <c r="V59" s="959">
        <f t="shared" si="16"/>
        <v>11.42912157575913</v>
      </c>
      <c r="W59" s="811">
        <f t="shared" si="17"/>
        <v>5.1299746330743909</v>
      </c>
      <c r="Y59" s="824">
        <v>45352</v>
      </c>
      <c r="Z59" s="959">
        <f t="shared" si="18"/>
        <v>115.43699020310923</v>
      </c>
      <c r="AA59" s="959">
        <f t="shared" si="19"/>
        <v>22.506577872264131</v>
      </c>
      <c r="AB59" s="811">
        <f t="shared" si="20"/>
        <v>5.1290334256176475</v>
      </c>
      <c r="AD59" s="824">
        <v>45352</v>
      </c>
      <c r="AE59" s="959">
        <f t="shared" si="21"/>
        <v>301.44905014481839</v>
      </c>
      <c r="AF59" s="959">
        <f t="shared" si="22"/>
        <v>58.759130924785168</v>
      </c>
      <c r="AG59" s="811">
        <f t="shared" si="23"/>
        <v>5.1302503185537125</v>
      </c>
    </row>
    <row r="60" spans="1:33" ht="20.149999999999999" customHeight="1" x14ac:dyDescent="0.25">
      <c r="A60" s="826">
        <v>45383</v>
      </c>
      <c r="B60" s="827">
        <v>55.36</v>
      </c>
      <c r="C60" s="828">
        <f t="shared" si="12"/>
        <v>11.09</v>
      </c>
      <c r="D60" s="812">
        <v>4.9936999999999996</v>
      </c>
      <c r="F60" s="826">
        <v>45383</v>
      </c>
      <c r="G60" s="827">
        <v>127.1</v>
      </c>
      <c r="H60" s="828">
        <f t="shared" si="13"/>
        <v>25.45</v>
      </c>
      <c r="I60" s="812">
        <v>4.9936999999999996</v>
      </c>
      <c r="K60" s="826">
        <v>45383</v>
      </c>
      <c r="L60" s="827">
        <v>283.62</v>
      </c>
      <c r="M60" s="828">
        <f t="shared" si="14"/>
        <v>56.8</v>
      </c>
      <c r="N60" s="812">
        <v>4.9936999999999996</v>
      </c>
      <c r="Q60" s="6">
        <v>1.0633378662986266</v>
      </c>
      <c r="R60" s="6">
        <v>1.0302983913148864</v>
      </c>
      <c r="T60" s="826">
        <v>45383</v>
      </c>
      <c r="U60" s="959">
        <f t="shared" si="15"/>
        <v>58.866384278291967</v>
      </c>
      <c r="V60" s="959">
        <f t="shared" si="16"/>
        <v>11.42600915968209</v>
      </c>
      <c r="W60" s="811">
        <f t="shared" si="17"/>
        <v>5.1519636870245451</v>
      </c>
      <c r="Y60" s="826">
        <v>45383</v>
      </c>
      <c r="Z60" s="959">
        <f t="shared" si="18"/>
        <v>135.15024280655544</v>
      </c>
      <c r="AA60" s="959">
        <f t="shared" si="19"/>
        <v>26.22109405896386</v>
      </c>
      <c r="AB60" s="811">
        <f t="shared" si="20"/>
        <v>5.1542564357780263</v>
      </c>
      <c r="AD60" s="826">
        <v>45383</v>
      </c>
      <c r="AE60" s="959">
        <f t="shared" si="21"/>
        <v>301.58388563961648</v>
      </c>
      <c r="AF60" s="959">
        <f t="shared" si="22"/>
        <v>58.520948626685545</v>
      </c>
      <c r="AG60" s="811">
        <f t="shared" si="23"/>
        <v>5.1534346711203902</v>
      </c>
    </row>
    <row r="61" spans="1:33" ht="20.149999999999999" customHeight="1" x14ac:dyDescent="0.25">
      <c r="A61" s="829">
        <v>45413</v>
      </c>
      <c r="B61" s="830">
        <v>55.08</v>
      </c>
      <c r="C61" s="821">
        <f t="shared" si="12"/>
        <v>10.64</v>
      </c>
      <c r="D61" s="812">
        <v>5.1745999999999999</v>
      </c>
      <c r="F61" s="829">
        <v>45413</v>
      </c>
      <c r="G61" s="834">
        <v>121.97</v>
      </c>
      <c r="H61" s="821">
        <f t="shared" si="13"/>
        <v>23.57</v>
      </c>
      <c r="I61" s="812">
        <v>5.1745999999999999</v>
      </c>
      <c r="K61" s="829">
        <v>45413</v>
      </c>
      <c r="L61" s="834">
        <v>284.61</v>
      </c>
      <c r="M61" s="821">
        <f t="shared" si="14"/>
        <v>55</v>
      </c>
      <c r="N61" s="812">
        <v>5.1745999999999999</v>
      </c>
      <c r="Q61" s="6">
        <v>1.0584689093157742</v>
      </c>
      <c r="R61" s="6">
        <v>1.0285892590481709</v>
      </c>
      <c r="T61" s="829">
        <v>45413</v>
      </c>
      <c r="U61" s="959">
        <f t="shared" si="15"/>
        <v>58.300467525112843</v>
      </c>
      <c r="V61" s="959">
        <f t="shared" si="16"/>
        <v>10.94418971627254</v>
      </c>
      <c r="W61" s="811">
        <f t="shared" si="17"/>
        <v>5.3270702570541042</v>
      </c>
      <c r="Y61" s="829">
        <v>45413</v>
      </c>
      <c r="Z61" s="959">
        <f t="shared" si="18"/>
        <v>129.10145286924498</v>
      </c>
      <c r="AA61" s="959">
        <f t="shared" si="19"/>
        <v>24.243848835765387</v>
      </c>
      <c r="AB61" s="811">
        <f t="shared" si="20"/>
        <v>5.3251220028558306</v>
      </c>
      <c r="AD61" s="829">
        <v>45413</v>
      </c>
      <c r="AE61" s="959">
        <f t="shared" si="21"/>
        <v>301.25083628036253</v>
      </c>
      <c r="AF61" s="959">
        <f t="shared" si="22"/>
        <v>56.572409247649396</v>
      </c>
      <c r="AG61" s="811">
        <f t="shared" si="23"/>
        <v>5.3250487346511521</v>
      </c>
    </row>
    <row r="62" spans="1:33" ht="20.149999999999999" customHeight="1" x14ac:dyDescent="0.25">
      <c r="A62" s="829">
        <v>45444</v>
      </c>
      <c r="B62" s="830">
        <v>56.08</v>
      </c>
      <c r="C62" s="821">
        <f t="shared" si="12"/>
        <v>10.91</v>
      </c>
      <c r="D62" s="812">
        <v>5.1422999999999996</v>
      </c>
      <c r="F62" s="829">
        <v>45444</v>
      </c>
      <c r="G62" s="834">
        <v>127.35</v>
      </c>
      <c r="H62" s="821">
        <f t="shared" si="13"/>
        <v>24.77</v>
      </c>
      <c r="I62" s="812">
        <v>5.1422999999999996</v>
      </c>
      <c r="K62" s="829">
        <v>45444</v>
      </c>
      <c r="L62" s="834">
        <v>276.26</v>
      </c>
      <c r="M62" s="821">
        <f t="shared" si="14"/>
        <v>53.72</v>
      </c>
      <c r="N62" s="812">
        <v>5.1422999999999996</v>
      </c>
      <c r="Q62" s="6">
        <v>1.0562507826721628</v>
      </c>
      <c r="R62" s="6">
        <v>1.0282422216917322</v>
      </c>
      <c r="T62" s="829">
        <v>45444</v>
      </c>
      <c r="U62" s="959">
        <f t="shared" si="15"/>
        <v>59.234543892254884</v>
      </c>
      <c r="V62" s="959">
        <f t="shared" si="16"/>
        <v>11.218122638656798</v>
      </c>
      <c r="W62" s="811">
        <f t="shared" si="17"/>
        <v>5.2802546201569545</v>
      </c>
      <c r="Y62" s="829">
        <v>45444</v>
      </c>
      <c r="Z62" s="959">
        <f t="shared" si="18"/>
        <v>134.51353717329991</v>
      </c>
      <c r="AA62" s="959">
        <f t="shared" si="19"/>
        <v>25.469559831304206</v>
      </c>
      <c r="AB62" s="811">
        <f t="shared" si="20"/>
        <v>5.2813451847711788</v>
      </c>
      <c r="AD62" s="829">
        <v>45444</v>
      </c>
      <c r="AE62" s="959">
        <f t="shared" si="21"/>
        <v>291.79984122101166</v>
      </c>
      <c r="AF62" s="959">
        <f t="shared" si="22"/>
        <v>55.23717214927985</v>
      </c>
      <c r="AG62" s="811">
        <f t="shared" si="23"/>
        <v>5.2826716116533854</v>
      </c>
    </row>
    <row r="63" spans="1:33" ht="20.149999999999999" customHeight="1" x14ac:dyDescent="0.25">
      <c r="A63" s="829">
        <v>45474</v>
      </c>
      <c r="B63" s="830">
        <v>56.64</v>
      </c>
      <c r="C63" s="821">
        <f t="shared" si="12"/>
        <v>10.56</v>
      </c>
      <c r="D63" s="812">
        <v>5.3630000000000004</v>
      </c>
      <c r="F63" s="829">
        <v>45474</v>
      </c>
      <c r="G63" s="834">
        <v>122.74</v>
      </c>
      <c r="H63" s="821">
        <f t="shared" si="13"/>
        <v>22.89</v>
      </c>
      <c r="I63" s="812">
        <v>5.3630000000000004</v>
      </c>
      <c r="K63" s="829">
        <v>45474</v>
      </c>
      <c r="L63" s="834">
        <v>275.44</v>
      </c>
      <c r="M63" s="821">
        <f t="shared" si="14"/>
        <v>51.36</v>
      </c>
      <c r="N63" s="812">
        <v>5.3630000000000004</v>
      </c>
      <c r="Q63" s="6">
        <v>1.0522522242201262</v>
      </c>
      <c r="R63" s="6">
        <v>1.027049023971514</v>
      </c>
      <c r="T63" s="829">
        <v>45474</v>
      </c>
      <c r="U63" s="959">
        <f t="shared" si="15"/>
        <v>59.59956597982795</v>
      </c>
      <c r="V63" s="959">
        <f t="shared" si="16"/>
        <v>10.845637693139189</v>
      </c>
      <c r="W63" s="811">
        <f t="shared" si="17"/>
        <v>5.4952569564009934</v>
      </c>
      <c r="Y63" s="829">
        <v>45474</v>
      </c>
      <c r="Z63" s="959">
        <f t="shared" si="18"/>
        <v>129.15343800077829</v>
      </c>
      <c r="AA63" s="959">
        <f t="shared" si="19"/>
        <v>23.509152158707955</v>
      </c>
      <c r="AB63" s="811">
        <f t="shared" si="20"/>
        <v>5.4937514176979345</v>
      </c>
      <c r="AD63" s="829">
        <v>45474</v>
      </c>
      <c r="AE63" s="959">
        <f t="shared" si="21"/>
        <v>289.83235263919158</v>
      </c>
      <c r="AF63" s="959">
        <f t="shared" si="22"/>
        <v>52.749237871176959</v>
      </c>
      <c r="AG63" s="811">
        <f t="shared" si="23"/>
        <v>5.4945315673946578</v>
      </c>
    </row>
    <row r="64" spans="1:33" ht="20.149999999999999" customHeight="1" x14ac:dyDescent="0.25">
      <c r="A64" s="829">
        <v>45505</v>
      </c>
      <c r="B64" s="830">
        <v>59.8</v>
      </c>
      <c r="C64" s="821">
        <f t="shared" si="12"/>
        <v>10.96</v>
      </c>
      <c r="D64" s="812">
        <v>5.4562999999999997</v>
      </c>
      <c r="F64" s="829">
        <v>45505</v>
      </c>
      <c r="G64" s="834">
        <v>135.1</v>
      </c>
      <c r="H64" s="821">
        <f t="shared" si="13"/>
        <v>24.76</v>
      </c>
      <c r="I64" s="812">
        <v>5.4562999999999997</v>
      </c>
      <c r="K64" s="829">
        <v>45505</v>
      </c>
      <c r="L64" s="834">
        <v>225.76</v>
      </c>
      <c r="M64" s="821">
        <f t="shared" si="14"/>
        <v>41.38</v>
      </c>
      <c r="N64" s="812">
        <v>5.4562999999999997</v>
      </c>
      <c r="Q64" s="6">
        <v>1.052462716763479</v>
      </c>
      <c r="R64" s="6">
        <v>1.0262138019542815</v>
      </c>
      <c r="T64" s="829">
        <v>45505</v>
      </c>
      <c r="U64" s="959">
        <f t="shared" si="15"/>
        <v>62.937270462456041</v>
      </c>
      <c r="V64" s="959">
        <f t="shared" si="16"/>
        <v>11.247303269418925</v>
      </c>
      <c r="W64" s="811">
        <f t="shared" si="17"/>
        <v>5.5957653985894167</v>
      </c>
      <c r="Y64" s="829">
        <v>45505</v>
      </c>
      <c r="Z64" s="959">
        <f t="shared" si="18"/>
        <v>142.187713034746</v>
      </c>
      <c r="AA64" s="959">
        <f t="shared" si="19"/>
        <v>25.40905373638801</v>
      </c>
      <c r="AB64" s="811">
        <f t="shared" si="20"/>
        <v>5.5959468034467035</v>
      </c>
      <c r="AD64" s="829">
        <v>45505</v>
      </c>
      <c r="AE64" s="959">
        <f t="shared" si="21"/>
        <v>237.60398293652301</v>
      </c>
      <c r="AF64" s="959">
        <f t="shared" si="22"/>
        <v>42.464727124868169</v>
      </c>
      <c r="AG64" s="811">
        <f t="shared" si="23"/>
        <v>5.5953257921061148</v>
      </c>
    </row>
    <row r="65" spans="1:47" ht="20.149999999999999" customHeight="1" x14ac:dyDescent="0.25">
      <c r="A65" s="829">
        <v>45536</v>
      </c>
      <c r="B65" s="830">
        <v>59.67</v>
      </c>
      <c r="C65" s="821">
        <f t="shared" si="12"/>
        <v>10.92</v>
      </c>
      <c r="D65" s="812">
        <v>5.4650999999999996</v>
      </c>
      <c r="F65" s="829">
        <v>45536</v>
      </c>
      <c r="G65" s="834">
        <v>131.93</v>
      </c>
      <c r="H65" s="821">
        <f t="shared" si="13"/>
        <v>24.14</v>
      </c>
      <c r="I65" s="812">
        <v>5.4650999999999996</v>
      </c>
      <c r="K65" s="829">
        <v>45536</v>
      </c>
      <c r="L65" s="834">
        <v>250.63</v>
      </c>
      <c r="M65" s="821">
        <f t="shared" si="14"/>
        <v>45.86</v>
      </c>
      <c r="N65" s="812">
        <v>5.4650999999999996</v>
      </c>
      <c r="Q65" s="6">
        <v>1.0478521672276773</v>
      </c>
      <c r="R65" s="6">
        <v>1.0245701726286944</v>
      </c>
      <c r="T65" s="829">
        <v>45536</v>
      </c>
      <c r="U65" s="959">
        <f t="shared" si="15"/>
        <v>62.525338818475504</v>
      </c>
      <c r="V65" s="959">
        <f t="shared" si="16"/>
        <v>11.188306285105343</v>
      </c>
      <c r="W65" s="811">
        <f t="shared" si="17"/>
        <v>5.5884543401992506</v>
      </c>
      <c r="Y65" s="829">
        <v>45536</v>
      </c>
      <c r="Z65" s="959">
        <f t="shared" si="18"/>
        <v>138.24313642234748</v>
      </c>
      <c r="AA65" s="959">
        <f t="shared" si="19"/>
        <v>24.733123967256684</v>
      </c>
      <c r="AB65" s="811">
        <f t="shared" si="20"/>
        <v>5.5893924522176297</v>
      </c>
      <c r="AD65" s="829">
        <v>45536</v>
      </c>
      <c r="AE65" s="959">
        <f t="shared" si="21"/>
        <v>262.62318867227276</v>
      </c>
      <c r="AF65" s="959">
        <f>M65*R65</f>
        <v>46.986788116751924</v>
      </c>
      <c r="AG65" s="811">
        <f t="shared" si="23"/>
        <v>5.5892985921853482</v>
      </c>
    </row>
    <row r="66" spans="1:47" ht="20.149999999999999" customHeight="1" x14ac:dyDescent="0.25">
      <c r="A66" s="829">
        <v>45566</v>
      </c>
      <c r="B66" s="830">
        <v>61.95</v>
      </c>
      <c r="C66" s="821">
        <f t="shared" si="12"/>
        <v>11.12</v>
      </c>
      <c r="D66" s="812">
        <v>5.5716999999999999</v>
      </c>
      <c r="F66" s="829">
        <v>45566</v>
      </c>
      <c r="G66" s="834">
        <v>139.72999999999999</v>
      </c>
      <c r="H66" s="821">
        <f t="shared" si="13"/>
        <v>25.08</v>
      </c>
      <c r="I66" s="812">
        <v>5.5716999999999999</v>
      </c>
      <c r="K66" s="829">
        <v>45566</v>
      </c>
      <c r="L66" s="834">
        <v>236.75</v>
      </c>
      <c r="M66" s="821">
        <f t="shared" si="14"/>
        <v>42.49</v>
      </c>
      <c r="N66" s="812">
        <v>5.5716999999999999</v>
      </c>
      <c r="Q66" s="6">
        <v>1.0420168727403314</v>
      </c>
      <c r="R66" s="6">
        <v>1.0233919610725328</v>
      </c>
      <c r="T66" s="829">
        <v>45566</v>
      </c>
      <c r="U66" s="959">
        <f t="shared" si="15"/>
        <v>64.552945266263535</v>
      </c>
      <c r="V66" s="959">
        <f t="shared" si="16"/>
        <v>11.380118607126564</v>
      </c>
      <c r="W66" s="811">
        <f t="shared" si="17"/>
        <v>5.6724316762251137</v>
      </c>
      <c r="Y66" s="829">
        <v>45566</v>
      </c>
      <c r="Z66" s="959">
        <f t="shared" si="18"/>
        <v>145.6010176280065</v>
      </c>
      <c r="AA66" s="959">
        <f t="shared" si="19"/>
        <v>25.66667038369912</v>
      </c>
      <c r="AB66" s="811">
        <f t="shared" si="20"/>
        <v>5.6727660990448365</v>
      </c>
      <c r="AD66" s="829">
        <v>45566</v>
      </c>
      <c r="AE66" s="959">
        <f t="shared" si="21"/>
        <v>246.69749462127345</v>
      </c>
      <c r="AF66" s="959">
        <f t="shared" si="22"/>
        <v>43.483924425971921</v>
      </c>
      <c r="AG66" s="811">
        <f t="shared" si="23"/>
        <v>5.6733033615964725</v>
      </c>
    </row>
    <row r="67" spans="1:47" ht="20.149999999999999" customHeight="1" x14ac:dyDescent="0.25">
      <c r="A67" s="829">
        <v>45597</v>
      </c>
      <c r="B67" s="830">
        <v>66.709999999999994</v>
      </c>
      <c r="C67" s="821">
        <f t="shared" si="12"/>
        <v>11.83</v>
      </c>
      <c r="D67" s="812">
        <v>5.6378000000000004</v>
      </c>
      <c r="F67" s="829">
        <v>45597</v>
      </c>
      <c r="G67" s="834">
        <v>143.02000000000001</v>
      </c>
      <c r="H67" s="821">
        <f t="shared" si="13"/>
        <v>25.37</v>
      </c>
      <c r="I67" s="812">
        <v>5.6378000000000004</v>
      </c>
      <c r="K67" s="829">
        <v>45597</v>
      </c>
      <c r="L67" s="834">
        <v>230.17</v>
      </c>
      <c r="M67" s="821">
        <f t="shared" si="14"/>
        <v>40.83</v>
      </c>
      <c r="N67" s="812">
        <v>5.6378000000000004</v>
      </c>
      <c r="Q67" s="6">
        <v>1.0379687944420075</v>
      </c>
      <c r="R67" s="6">
        <v>1.023946648578574</v>
      </c>
      <c r="T67" s="829">
        <v>45597</v>
      </c>
      <c r="U67" s="959">
        <f t="shared" si="15"/>
        <v>69.242898277226317</v>
      </c>
      <c r="V67" s="959">
        <f t="shared" si="16"/>
        <v>12.11328885268453</v>
      </c>
      <c r="W67" s="811">
        <f t="shared" si="17"/>
        <v>5.7162756638037902</v>
      </c>
      <c r="Y67" s="829">
        <v>45597</v>
      </c>
      <c r="Z67" s="959">
        <f t="shared" si="18"/>
        <v>148.45029698109593</v>
      </c>
      <c r="AA67" s="959">
        <f t="shared" si="19"/>
        <v>25.977526474438424</v>
      </c>
      <c r="AB67" s="811">
        <f t="shared" si="20"/>
        <v>5.7145662858690285</v>
      </c>
      <c r="AD67" s="829">
        <v>45597</v>
      </c>
      <c r="AE67" s="959">
        <f t="shared" si="21"/>
        <v>238.90927741671686</v>
      </c>
      <c r="AF67" s="959">
        <f t="shared" si="22"/>
        <v>41.807741661463176</v>
      </c>
      <c r="AG67" s="811">
        <f t="shared" si="23"/>
        <v>5.7144745906458407</v>
      </c>
    </row>
    <row r="68" spans="1:47" ht="20.149999999999999" customHeight="1" thickBot="1" x14ac:dyDescent="0.3">
      <c r="A68" s="831">
        <v>45627</v>
      </c>
      <c r="B68" s="832">
        <v>67.55</v>
      </c>
      <c r="C68" s="833">
        <f t="shared" si="12"/>
        <v>11.67</v>
      </c>
      <c r="D68" s="813">
        <v>5.7885</v>
      </c>
      <c r="F68" s="831">
        <v>45627</v>
      </c>
      <c r="G68" s="835">
        <v>144.47</v>
      </c>
      <c r="H68" s="833">
        <f t="shared" si="13"/>
        <v>24.96</v>
      </c>
      <c r="I68" s="813">
        <v>5.7885</v>
      </c>
      <c r="K68" s="831">
        <v>45627</v>
      </c>
      <c r="L68" s="835">
        <v>244.88</v>
      </c>
      <c r="M68" s="833">
        <f t="shared" si="14"/>
        <v>42.3</v>
      </c>
      <c r="N68" s="813">
        <v>5.7885</v>
      </c>
      <c r="Q68" s="6">
        <v>1.0325992781953914</v>
      </c>
      <c r="R68" s="6">
        <v>1.0235832765640593</v>
      </c>
      <c r="T68" s="831">
        <v>45627</v>
      </c>
      <c r="U68" s="959">
        <f t="shared" si="15"/>
        <v>69.752081242098683</v>
      </c>
      <c r="V68" s="959">
        <f t="shared" si="16"/>
        <v>11.945216837502572</v>
      </c>
      <c r="W68" s="811">
        <f t="shared" si="17"/>
        <v>5.8393315241552362</v>
      </c>
      <c r="Y68" s="831">
        <v>45627</v>
      </c>
      <c r="Z68" s="959">
        <f t="shared" si="18"/>
        <v>149.17961772088819</v>
      </c>
      <c r="AA68" s="959">
        <f t="shared" si="19"/>
        <v>25.548638583038922</v>
      </c>
      <c r="AB68" s="811">
        <f t="shared" si="20"/>
        <v>5.8390437218805333</v>
      </c>
      <c r="AD68" s="831">
        <v>45627</v>
      </c>
      <c r="AE68" s="959">
        <f t="shared" si="21"/>
        <v>252.86291124448746</v>
      </c>
      <c r="AF68" s="959">
        <f t="shared" si="22"/>
        <v>43.297572598659706</v>
      </c>
      <c r="AG68" s="811">
        <f t="shared" si="23"/>
        <v>5.8401174954624349</v>
      </c>
    </row>
    <row r="69" spans="1:47" x14ac:dyDescent="0.25">
      <c r="A69" s="814" t="s">
        <v>637</v>
      </c>
      <c r="B69" s="836"/>
      <c r="C69" s="837"/>
      <c r="D69" s="838"/>
      <c r="F69" s="814" t="s">
        <v>637</v>
      </c>
      <c r="G69" s="836"/>
      <c r="H69" s="837"/>
      <c r="I69" s="838"/>
      <c r="K69" s="814" t="s">
        <v>637</v>
      </c>
      <c r="L69" s="836"/>
      <c r="M69" s="837"/>
      <c r="N69" s="838"/>
      <c r="Q69"/>
      <c r="T69" s="814" t="s">
        <v>637</v>
      </c>
      <c r="U69" s="836"/>
      <c r="V69" s="837"/>
      <c r="W69" s="838"/>
      <c r="Y69" s="814" t="s">
        <v>637</v>
      </c>
      <c r="Z69" s="836"/>
      <c r="AA69" s="837"/>
      <c r="AB69" s="838"/>
      <c r="AD69" s="814" t="s">
        <v>637</v>
      </c>
      <c r="AE69" s="836"/>
      <c r="AF69" s="837"/>
      <c r="AG69" s="838"/>
    </row>
    <row r="70" spans="1:47" ht="8.25" customHeight="1" x14ac:dyDescent="0.25">
      <c r="A70" s="839"/>
      <c r="D70" s="77"/>
      <c r="F70" s="839"/>
      <c r="I70" s="77"/>
      <c r="K70" s="839"/>
      <c r="N70" s="77"/>
      <c r="Q70"/>
      <c r="T70" s="839"/>
      <c r="W70" s="77"/>
      <c r="Y70" s="839"/>
      <c r="AB70" s="77"/>
      <c r="AD70" s="839"/>
      <c r="AG70" s="77"/>
    </row>
    <row r="71" spans="1:47" ht="20.149999999999999" customHeight="1" x14ac:dyDescent="0.25">
      <c r="A71" s="840" t="s">
        <v>641</v>
      </c>
      <c r="D71" s="841">
        <f>ROUND(AVERAGE(C9:C68),2)</f>
        <v>14.24</v>
      </c>
      <c r="F71" s="840" t="s">
        <v>641</v>
      </c>
      <c r="G71" s="110"/>
      <c r="H71" s="110"/>
      <c r="I71" s="841">
        <f>ROUND(AVERAGE(H9:H68),2)</f>
        <v>27.66</v>
      </c>
      <c r="K71" s="840" t="s">
        <v>641</v>
      </c>
      <c r="N71" s="841">
        <f>ROUND(AVERAGE(M9:M68),2)</f>
        <v>53.78</v>
      </c>
      <c r="Q71"/>
      <c r="T71" s="839" t="s">
        <v>641</v>
      </c>
      <c r="W71" s="841">
        <f>ROUND(AVERAGE(V9:V68),2)</f>
        <v>16.11</v>
      </c>
      <c r="Y71" s="839" t="s">
        <v>641</v>
      </c>
      <c r="AB71" s="841">
        <f>ROUND(AVERAGE(AA9:AA68),2)</f>
        <v>31.16</v>
      </c>
      <c r="AD71" s="839" t="s">
        <v>641</v>
      </c>
      <c r="AG71" s="841">
        <f>ROUND(AVERAGE(AF9:AF68),2)</f>
        <v>60.46</v>
      </c>
    </row>
    <row r="72" spans="1:47" ht="20.149999999999999" customHeight="1" x14ac:dyDescent="0.25">
      <c r="A72" s="840" t="s">
        <v>642</v>
      </c>
      <c r="D72" s="842">
        <f>D68</f>
        <v>5.7885</v>
      </c>
      <c r="F72" s="840" t="s">
        <v>642</v>
      </c>
      <c r="G72" s="110"/>
      <c r="H72" s="110"/>
      <c r="I72" s="842">
        <f>I68</f>
        <v>5.7885</v>
      </c>
      <c r="K72" s="840" t="s">
        <v>642</v>
      </c>
      <c r="N72" s="842">
        <f>N68</f>
        <v>5.7885</v>
      </c>
      <c r="Q72"/>
      <c r="T72" s="839" t="s">
        <v>642</v>
      </c>
      <c r="W72" s="842">
        <f>W68</f>
        <v>5.8393315241552362</v>
      </c>
      <c r="Y72" s="839" t="s">
        <v>642</v>
      </c>
      <c r="AB72" s="842">
        <f>AB68</f>
        <v>5.8390437218805333</v>
      </c>
      <c r="AD72" s="839" t="s">
        <v>642</v>
      </c>
      <c r="AG72" s="842">
        <f>AG68</f>
        <v>5.8401174954624349</v>
      </c>
    </row>
    <row r="73" spans="1:47" ht="20.149999999999999" customHeight="1" x14ac:dyDescent="0.25">
      <c r="A73" s="840" t="s">
        <v>643</v>
      </c>
      <c r="D73" s="842">
        <f>ROUND(D71*D72,2)</f>
        <v>82.43</v>
      </c>
      <c r="F73" s="840" t="s">
        <v>643</v>
      </c>
      <c r="G73" s="110"/>
      <c r="H73" s="110"/>
      <c r="I73" s="842">
        <f>ROUND(I71*I72,2)</f>
        <v>160.11000000000001</v>
      </c>
      <c r="K73" s="840" t="s">
        <v>643</v>
      </c>
      <c r="N73" s="842">
        <f>ROUND(N71*N72,2)</f>
        <v>311.31</v>
      </c>
      <c r="Q73"/>
      <c r="T73" s="839" t="s">
        <v>643</v>
      </c>
      <c r="W73" s="842">
        <f>ROUND(W71*W72,2)</f>
        <v>94.07</v>
      </c>
      <c r="Y73" s="839" t="s">
        <v>643</v>
      </c>
      <c r="AB73" s="842">
        <f>ROUND(AB71*AB72,2)</f>
        <v>181.94</v>
      </c>
      <c r="AD73" s="839" t="s">
        <v>643</v>
      </c>
      <c r="AG73" s="842">
        <f>ROUND(AG71*AG72,2)</f>
        <v>353.09</v>
      </c>
    </row>
    <row r="74" spans="1:47" ht="20.149999999999999" customHeight="1" x14ac:dyDescent="0.25">
      <c r="A74" s="840" t="s">
        <v>644</v>
      </c>
      <c r="D74" s="842">
        <f>D73/60*1000</f>
        <v>1373.8333333333335</v>
      </c>
      <c r="F74" s="840" t="s">
        <v>644</v>
      </c>
      <c r="G74" s="110"/>
      <c r="H74" s="110"/>
      <c r="I74" s="842">
        <f>I73/60*1000</f>
        <v>2668.5000000000005</v>
      </c>
      <c r="K74" s="840" t="s">
        <v>644</v>
      </c>
      <c r="N74" s="842">
        <f>N73/60*1000</f>
        <v>5188.5</v>
      </c>
      <c r="Q74"/>
      <c r="T74" s="839" t="s">
        <v>644</v>
      </c>
      <c r="W74" s="842">
        <f>W73/60*1000</f>
        <v>1567.8333333333333</v>
      </c>
      <c r="Y74" s="839" t="s">
        <v>644</v>
      </c>
      <c r="AB74" s="842">
        <f>AB73/60*1000</f>
        <v>3032.3333333333335</v>
      </c>
      <c r="AD74" s="839" t="s">
        <v>644</v>
      </c>
      <c r="AG74" s="842">
        <f>AG73/60*1000</f>
        <v>5884.833333333333</v>
      </c>
    </row>
    <row r="75" spans="1:47" ht="20.149999999999999" customHeight="1" thickBot="1" x14ac:dyDescent="0.3">
      <c r="A75" s="843" t="s">
        <v>645</v>
      </c>
      <c r="B75" s="121"/>
      <c r="C75" s="121"/>
      <c r="D75" s="844">
        <v>1380</v>
      </c>
      <c r="F75" s="843" t="s">
        <v>645</v>
      </c>
      <c r="G75" s="553"/>
      <c r="H75" s="553"/>
      <c r="I75" s="844">
        <v>2670</v>
      </c>
      <c r="K75" s="843" t="s">
        <v>645</v>
      </c>
      <c r="L75" s="121"/>
      <c r="M75" s="121"/>
      <c r="N75" s="844">
        <v>5200</v>
      </c>
      <c r="Q75"/>
      <c r="T75" s="960" t="s">
        <v>645</v>
      </c>
      <c r="U75" s="121"/>
      <c r="V75" s="121"/>
      <c r="W75" s="844">
        <v>1500</v>
      </c>
      <c r="Y75" s="960" t="s">
        <v>645</v>
      </c>
      <c r="Z75" s="121"/>
      <c r="AA75" s="121"/>
      <c r="AB75" s="844">
        <v>2900</v>
      </c>
      <c r="AD75" s="960" t="s">
        <v>645</v>
      </c>
      <c r="AE75" s="121"/>
      <c r="AF75" s="121"/>
      <c r="AG75" s="844">
        <v>5800</v>
      </c>
    </row>
    <row r="76" spans="1:47" ht="6.75" customHeight="1" x14ac:dyDescent="0.25"/>
    <row r="77" spans="1:47" ht="20.149999999999999" customHeight="1" x14ac:dyDescent="0.25">
      <c r="A77" s="799" t="s">
        <v>632</v>
      </c>
    </row>
    <row r="78" spans="1:47" ht="20.149999999999999" customHeight="1" thickBot="1" x14ac:dyDescent="0.3">
      <c r="AI78" s="764"/>
    </row>
    <row r="79" spans="1:47" s="902" customFormat="1" ht="13.5" thickBot="1" x14ac:dyDescent="0.3">
      <c r="A79" s="903" t="s">
        <v>723</v>
      </c>
      <c r="B79" s="904"/>
      <c r="C79" s="905"/>
      <c r="D79" s="905"/>
      <c r="E79" s="905"/>
      <c r="F79" s="905"/>
      <c r="G79" s="905"/>
      <c r="H79" s="905"/>
      <c r="I79" s="905"/>
      <c r="J79" s="905"/>
      <c r="K79" s="905"/>
      <c r="L79" s="905"/>
      <c r="M79" s="905"/>
      <c r="N79" s="906"/>
      <c r="S79" s="903" t="s">
        <v>723</v>
      </c>
      <c r="T79" s="904"/>
      <c r="U79" s="955"/>
      <c r="V79" s="955"/>
      <c r="W79" s="955"/>
      <c r="X79" s="955"/>
      <c r="Y79" s="955"/>
      <c r="Z79" s="955"/>
      <c r="AA79" s="955"/>
      <c r="AB79" s="955"/>
      <c r="AC79" s="955"/>
      <c r="AD79" s="955"/>
      <c r="AE79" s="955"/>
      <c r="AF79" s="956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spans="1:47" s="902" customFormat="1" ht="58" x14ac:dyDescent="0.25">
      <c r="A80" s="907" t="s">
        <v>617</v>
      </c>
      <c r="B80" s="908" t="s">
        <v>615</v>
      </c>
      <c r="C80" s="908" t="s">
        <v>614</v>
      </c>
      <c r="D80" s="908" t="s">
        <v>613</v>
      </c>
      <c r="E80" s="908" t="s">
        <v>612</v>
      </c>
      <c r="F80" s="908" t="s">
        <v>611</v>
      </c>
      <c r="G80" s="908" t="s">
        <v>610</v>
      </c>
      <c r="H80" s="908" t="s">
        <v>609</v>
      </c>
      <c r="I80" s="908" t="s">
        <v>608</v>
      </c>
      <c r="J80" s="908" t="s">
        <v>607</v>
      </c>
      <c r="K80" s="908" t="s">
        <v>606</v>
      </c>
      <c r="L80" s="908" t="s">
        <v>605</v>
      </c>
      <c r="M80" s="908" t="s">
        <v>604</v>
      </c>
      <c r="N80" s="909" t="s">
        <v>624</v>
      </c>
      <c r="P80" s="910" t="s">
        <v>625</v>
      </c>
      <c r="S80" s="907" t="s">
        <v>617</v>
      </c>
      <c r="T80" s="908" t="s">
        <v>615</v>
      </c>
      <c r="U80" s="908" t="s">
        <v>614</v>
      </c>
      <c r="V80" s="908" t="s">
        <v>613</v>
      </c>
      <c r="W80" s="908" t="s">
        <v>612</v>
      </c>
      <c r="X80" s="908" t="s">
        <v>611</v>
      </c>
      <c r="Y80" s="908" t="s">
        <v>610</v>
      </c>
      <c r="Z80" s="908" t="s">
        <v>609</v>
      </c>
      <c r="AA80" s="908" t="s">
        <v>608</v>
      </c>
      <c r="AB80" s="908" t="s">
        <v>607</v>
      </c>
      <c r="AC80" s="908" t="s">
        <v>606</v>
      </c>
      <c r="AD80" s="908" t="s">
        <v>605</v>
      </c>
      <c r="AE80" s="908" t="s">
        <v>604</v>
      </c>
      <c r="AF80" s="909" t="s">
        <v>624</v>
      </c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spans="1:47" s="902" customFormat="1" ht="14.5" x14ac:dyDescent="0.25">
      <c r="A81" s="911">
        <v>2020</v>
      </c>
      <c r="B81" s="912">
        <v>12.1</v>
      </c>
      <c r="C81" s="912">
        <v>11.54</v>
      </c>
      <c r="D81" s="912">
        <v>11.85</v>
      </c>
      <c r="E81" s="912">
        <v>11.79</v>
      </c>
      <c r="F81" s="912">
        <v>11.66</v>
      </c>
      <c r="G81" s="912">
        <v>11.78</v>
      </c>
      <c r="H81" s="912">
        <v>15.19</v>
      </c>
      <c r="I81" s="912">
        <v>13.06</v>
      </c>
      <c r="J81" s="912">
        <v>13.13</v>
      </c>
      <c r="K81" s="912">
        <v>14.23</v>
      </c>
      <c r="L81" s="912">
        <v>13.91</v>
      </c>
      <c r="M81" s="912">
        <v>13.74</v>
      </c>
      <c r="N81" s="912">
        <f>AVERAGE(B81:M81)</f>
        <v>12.831666666666669</v>
      </c>
      <c r="P81" s="913"/>
      <c r="R81" s="950"/>
      <c r="S81" s="911">
        <v>2020</v>
      </c>
      <c r="T81" s="953">
        <f>B81*Inflação!D37</f>
        <v>15.152403952382244</v>
      </c>
      <c r="U81" s="953">
        <f>C81*Inflação!E37</f>
        <v>14.411638871492745</v>
      </c>
      <c r="V81" s="953">
        <f>D81*Inflação!F37</f>
        <v>14.831059024078414</v>
      </c>
      <c r="W81" s="953">
        <f>E81*Inflação!G37</f>
        <v>14.855301592502018</v>
      </c>
      <c r="X81" s="953">
        <f>F81*Inflação!H37</f>
        <v>14.691216175105502</v>
      </c>
      <c r="Y81" s="953">
        <f>G81*Inflação!I37</f>
        <v>14.761635860774174</v>
      </c>
      <c r="Z81" s="953">
        <f>H81*Inflação!J37</f>
        <v>18.938943192037083</v>
      </c>
      <c r="AA81" s="953">
        <f>I81*Inflação!K37</f>
        <v>16.232068883263182</v>
      </c>
      <c r="AB81" s="953">
        <f>J81*Inflação!L37</f>
        <v>16.296374058706011</v>
      </c>
      <c r="AC81" s="953">
        <f>K81*Inflação!M37</f>
        <v>17.654319861130315</v>
      </c>
      <c r="AD81" s="953">
        <f>L81*Inflação!N37</f>
        <v>17.267859001110562</v>
      </c>
      <c r="AE81" s="953">
        <f>M81*Inflação!O37</f>
        <v>17.040777659190553</v>
      </c>
      <c r="AF81" s="953">
        <f>AVERAGE(T81:AE81)</f>
        <v>16.011133177647732</v>
      </c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spans="1:47" s="902" customFormat="1" ht="14.5" x14ac:dyDescent="0.25">
      <c r="A82" s="911">
        <v>2021</v>
      </c>
      <c r="B82" s="912">
        <v>15.09</v>
      </c>
      <c r="C82" s="912">
        <v>14.82</v>
      </c>
      <c r="D82" s="912">
        <v>16.739999999999998</v>
      </c>
      <c r="E82" s="912">
        <v>16.75</v>
      </c>
      <c r="F82" s="912">
        <v>16.77</v>
      </c>
      <c r="G82" s="912">
        <v>18.100000000000001</v>
      </c>
      <c r="H82" s="912">
        <v>18.61</v>
      </c>
      <c r="I82" s="912">
        <v>18.82</v>
      </c>
      <c r="J82" s="912">
        <v>18.29</v>
      </c>
      <c r="K82" s="912">
        <v>16.64</v>
      </c>
      <c r="L82" s="912">
        <v>16.09</v>
      </c>
      <c r="M82" s="912">
        <v>17.22</v>
      </c>
      <c r="N82" s="912">
        <f>AVERAGE(B82:M82)</f>
        <v>16.995000000000001</v>
      </c>
      <c r="P82" s="913"/>
      <c r="S82" s="911">
        <v>2021</v>
      </c>
      <c r="T82" s="953">
        <f>B82*Inflação!D38</f>
        <v>18.635817143381427</v>
      </c>
      <c r="U82" s="953">
        <f>C82*Inflação!E38</f>
        <v>18.202724417711604</v>
      </c>
      <c r="V82" s="953">
        <f>D82*Inflação!F38</f>
        <v>20.416357479131822</v>
      </c>
      <c r="W82" s="953">
        <f>E82*Inflação!G38</f>
        <v>20.262021913171122</v>
      </c>
      <c r="X82" s="953">
        <f>F82*Inflação!H38</f>
        <v>20.12487215587214</v>
      </c>
      <c r="Y82" s="953">
        <f>G82*Inflação!I38</f>
        <v>21.520996996643309</v>
      </c>
      <c r="Z82" s="953">
        <f>H82*Inflação!J38</f>
        <v>22.021455002325979</v>
      </c>
      <c r="AA82" s="953">
        <f>I82*Inflação!K38</f>
        <v>22.224037840821445</v>
      </c>
      <c r="AB82" s="953">
        <f>J82*Inflação!L38</f>
        <v>21.539673799715651</v>
      </c>
      <c r="AC82" s="953">
        <f>K82*Inflação!M38</f>
        <v>19.435041596014301</v>
      </c>
      <c r="AD82" s="953">
        <f>L82*Inflação!N38</f>
        <v>18.700772518600605</v>
      </c>
      <c r="AE82" s="953">
        <f>M82*Inflação!O38</f>
        <v>19.952821572298618</v>
      </c>
      <c r="AF82" s="953">
        <f>AVERAGE(T82:AE82)</f>
        <v>20.253049369640667</v>
      </c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spans="1:47" s="902" customFormat="1" ht="14.5" x14ac:dyDescent="0.25">
      <c r="A83" s="911">
        <v>2022</v>
      </c>
      <c r="B83" s="912">
        <v>16.940000000000001</v>
      </c>
      <c r="C83" s="912">
        <v>17.72</v>
      </c>
      <c r="D83" s="912">
        <v>18.350000000000001</v>
      </c>
      <c r="E83" s="912">
        <v>19.2</v>
      </c>
      <c r="F83" s="912">
        <v>18.8</v>
      </c>
      <c r="G83" s="912">
        <v>17.23</v>
      </c>
      <c r="H83" s="912">
        <v>17.27</v>
      </c>
      <c r="I83" s="912">
        <v>15.24</v>
      </c>
      <c r="J83" s="912">
        <v>15.47</v>
      </c>
      <c r="K83" s="912">
        <v>15.36</v>
      </c>
      <c r="L83" s="912">
        <v>14.83</v>
      </c>
      <c r="M83" s="912">
        <v>14.87</v>
      </c>
      <c r="N83" s="912">
        <f>AVERAGE(B83:M83)</f>
        <v>16.773333333333333</v>
      </c>
      <c r="P83" s="913"/>
      <c r="S83" s="911">
        <v>2022</v>
      </c>
      <c r="T83" s="953">
        <f>B83*Inflação!D39</f>
        <v>19.464599143511602</v>
      </c>
      <c r="U83" s="953">
        <f>C83*Inflação!E39</f>
        <v>20.176551763030638</v>
      </c>
      <c r="V83" s="953">
        <f>D83*Inflação!F39</f>
        <v>20.618602871612222</v>
      </c>
      <c r="W83" s="953">
        <f>E83*Inflação!G39</f>
        <v>21.453920839544946</v>
      </c>
      <c r="X83" s="953">
        <f>F83*Inflação!H39</f>
        <v>20.777918274625726</v>
      </c>
      <c r="Y83" s="953">
        <f>G83*Inflação!I39</f>
        <v>18.784712818626378</v>
      </c>
      <c r="Z83" s="953">
        <f>H83*Inflação!J39</f>
        <v>18.830546382427194</v>
      </c>
      <c r="AA83" s="953">
        <f>I83*Inflação!K39</f>
        <v>16.623003332534246</v>
      </c>
      <c r="AB83" s="953">
        <f>J83*Inflação!L39</f>
        <v>16.83766124902294</v>
      </c>
      <c r="AC83" s="953">
        <f>K83*Inflação!M39</f>
        <v>16.650394212313596</v>
      </c>
      <c r="AD83" s="953">
        <f>L83*Inflação!N39</f>
        <v>16.092122360275567</v>
      </c>
      <c r="AE83" s="953">
        <f>M83*Inflação!O39</f>
        <v>16.185216696934265</v>
      </c>
      <c r="AF83" s="953">
        <f>AVERAGE(T83:AE83)</f>
        <v>18.541270828704942</v>
      </c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spans="1:47" s="902" customFormat="1" ht="14.5" x14ac:dyDescent="0.25">
      <c r="A84" s="911">
        <v>2023</v>
      </c>
      <c r="B84" s="912">
        <v>14.95</v>
      </c>
      <c r="C84" s="912">
        <v>15.31</v>
      </c>
      <c r="D84" s="912">
        <v>13.95</v>
      </c>
      <c r="E84" s="912">
        <v>13.04</v>
      </c>
      <c r="F84" s="912">
        <v>12.98</v>
      </c>
      <c r="G84" s="912">
        <v>13.27</v>
      </c>
      <c r="H84" s="912">
        <v>12.9</v>
      </c>
      <c r="I84" s="912">
        <v>12.94</v>
      </c>
      <c r="J84" s="912">
        <v>11.65</v>
      </c>
      <c r="K84" s="912">
        <v>12.02</v>
      </c>
      <c r="L84" s="912">
        <v>11.54</v>
      </c>
      <c r="M84" s="912">
        <v>14.06</v>
      </c>
      <c r="N84" s="912">
        <f>AVERAGE(B84:M84)</f>
        <v>13.217499999999999</v>
      </c>
      <c r="P84" s="913"/>
      <c r="S84" s="911">
        <v>2023</v>
      </c>
      <c r="T84" s="953">
        <f>B84*Inflação!D40</f>
        <v>16.143221579703845</v>
      </c>
      <c r="U84" s="953">
        <f>C84*Inflação!E40</f>
        <v>16.440183752160618</v>
      </c>
      <c r="V84" s="953">
        <f>D84*Inflação!F40</f>
        <v>14.930358207768457</v>
      </c>
      <c r="W84" s="953">
        <f>E84*Inflação!G40</f>
        <v>13.886155925409492</v>
      </c>
      <c r="X84" s="953">
        <f>F84*Inflação!H40</f>
        <v>13.787539547623195</v>
      </c>
      <c r="Y84" s="953">
        <f>G84*Inflação!I40</f>
        <v>14.050214710152765</v>
      </c>
      <c r="Z84" s="953">
        <f>H84*Inflação!J40</f>
        <v>13.63245630391474</v>
      </c>
      <c r="AA84" s="953">
        <f>I84*Inflação!K40</f>
        <v>13.615267501775094</v>
      </c>
      <c r="AB84" s="953">
        <f>J84*Inflação!L40</f>
        <v>12.227562388519409</v>
      </c>
      <c r="AC84" s="953">
        <f>K84*Inflação!M40</f>
        <v>12.620744106529378</v>
      </c>
      <c r="AD84" s="953">
        <f>L84*Inflação!N40</f>
        <v>12.141220578991762</v>
      </c>
      <c r="AE84" s="953">
        <f>M84*Inflação!O40</f>
        <v>14.807217958832391</v>
      </c>
      <c r="AF84" s="953">
        <f>AVERAGE(T84:AE84)</f>
        <v>14.023511880115093</v>
      </c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spans="1:47" s="902" customFormat="1" ht="14.5" x14ac:dyDescent="0.25">
      <c r="A85" s="911">
        <v>2024</v>
      </c>
      <c r="B85" s="912">
        <v>13.72</v>
      </c>
      <c r="C85" s="912">
        <v>12.19</v>
      </c>
      <c r="D85" s="912">
        <v>11.05</v>
      </c>
      <c r="E85" s="912">
        <v>11.09</v>
      </c>
      <c r="F85" s="912">
        <v>10.64</v>
      </c>
      <c r="G85" s="912">
        <v>10.91</v>
      </c>
      <c r="H85" s="912">
        <v>10.56</v>
      </c>
      <c r="I85" s="912">
        <v>10.96</v>
      </c>
      <c r="J85" s="912">
        <v>10.92</v>
      </c>
      <c r="K85" s="912">
        <v>11.12</v>
      </c>
      <c r="L85" s="912">
        <v>11.83</v>
      </c>
      <c r="M85" s="912">
        <v>11.67</v>
      </c>
      <c r="N85" s="912">
        <f>AVERAGE(B85:M85)</f>
        <v>11.388333333333334</v>
      </c>
      <c r="P85" s="913"/>
      <c r="S85" s="911">
        <v>2024</v>
      </c>
      <c r="T85" s="953">
        <f>B85*Inflação!D41</f>
        <v>14.370863344108789</v>
      </c>
      <c r="U85" s="953">
        <f>C85*Inflação!E41</f>
        <v>12.68973634178251</v>
      </c>
      <c r="V85" s="953">
        <f>D85*Inflação!F41</f>
        <v>11.42912157575913</v>
      </c>
      <c r="W85" s="953">
        <f>E85*Inflação!G41</f>
        <v>11.42600915968209</v>
      </c>
      <c r="X85" s="953">
        <f>F85*Inflação!H41</f>
        <v>10.94418971627254</v>
      </c>
      <c r="Y85" s="953">
        <f>G85*Inflação!I41</f>
        <v>11.218122638656798</v>
      </c>
      <c r="Z85" s="953">
        <f>H85*Inflação!J41</f>
        <v>10.845637693139189</v>
      </c>
      <c r="AA85" s="953">
        <f>I85*Inflação!K41</f>
        <v>11.247303269418925</v>
      </c>
      <c r="AB85" s="953">
        <f>J85*Inflação!L41</f>
        <v>11.188306285105343</v>
      </c>
      <c r="AC85" s="953">
        <f>K85*Inflação!M41</f>
        <v>11.380118607126564</v>
      </c>
      <c r="AD85" s="953">
        <f>L85*Inflação!N41</f>
        <v>12.11328885268453</v>
      </c>
      <c r="AE85" s="953">
        <f>M85*Inflação!O41</f>
        <v>11.945216837502572</v>
      </c>
      <c r="AF85" s="953">
        <f>AVERAGE(T85:AE85)</f>
        <v>11.733159526769915</v>
      </c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spans="1:47" s="902" customFormat="1" ht="13" x14ac:dyDescent="0.25">
      <c r="A86" s="914" t="s">
        <v>626</v>
      </c>
      <c r="B86" s="915">
        <f t="shared" ref="B86:N86" si="24">AVERAGE(B81:B85)</f>
        <v>14.559999999999999</v>
      </c>
      <c r="C86" s="915">
        <f t="shared" si="24"/>
        <v>14.315999999999999</v>
      </c>
      <c r="D86" s="915">
        <f t="shared" si="24"/>
        <v>14.388</v>
      </c>
      <c r="E86" s="915">
        <f t="shared" si="24"/>
        <v>14.373999999999999</v>
      </c>
      <c r="F86" s="915">
        <f t="shared" si="24"/>
        <v>14.170000000000002</v>
      </c>
      <c r="G86" s="915">
        <f t="shared" si="24"/>
        <v>14.257999999999999</v>
      </c>
      <c r="H86" s="915">
        <f t="shared" si="24"/>
        <v>14.905999999999997</v>
      </c>
      <c r="I86" s="915">
        <f t="shared" si="24"/>
        <v>14.204000000000002</v>
      </c>
      <c r="J86" s="915">
        <f t="shared" si="24"/>
        <v>13.891999999999999</v>
      </c>
      <c r="K86" s="915">
        <f t="shared" si="24"/>
        <v>13.874000000000001</v>
      </c>
      <c r="L86" s="915">
        <f t="shared" si="24"/>
        <v>13.64</v>
      </c>
      <c r="M86" s="915">
        <f t="shared" si="24"/>
        <v>14.312000000000001</v>
      </c>
      <c r="N86" s="915">
        <f t="shared" si="24"/>
        <v>14.241166666666667</v>
      </c>
      <c r="P86" s="916"/>
      <c r="S86" s="914" t="s">
        <v>626</v>
      </c>
      <c r="T86" s="915">
        <f t="shared" ref="T86:AF86" si="25">AVERAGE(T81:T85)</f>
        <v>16.753381032617582</v>
      </c>
      <c r="U86" s="915">
        <f t="shared" si="25"/>
        <v>16.38416702923562</v>
      </c>
      <c r="V86" s="915">
        <f t="shared" si="25"/>
        <v>16.445099831670007</v>
      </c>
      <c r="W86" s="915">
        <f t="shared" si="25"/>
        <v>16.376681886061938</v>
      </c>
      <c r="X86" s="915">
        <f t="shared" si="25"/>
        <v>16.065147173899824</v>
      </c>
      <c r="Y86" s="915">
        <f t="shared" si="25"/>
        <v>16.067136604970685</v>
      </c>
      <c r="Z86" s="915">
        <f t="shared" si="25"/>
        <v>16.853807714768841</v>
      </c>
      <c r="AA86" s="915">
        <f t="shared" si="25"/>
        <v>15.988336165562577</v>
      </c>
      <c r="AB86" s="915">
        <f t="shared" si="25"/>
        <v>15.61791555621387</v>
      </c>
      <c r="AC86" s="915">
        <f t="shared" si="25"/>
        <v>15.548123676622831</v>
      </c>
      <c r="AD86" s="915">
        <f t="shared" si="25"/>
        <v>15.263052662332607</v>
      </c>
      <c r="AE86" s="915">
        <f t="shared" si="25"/>
        <v>15.986250144951679</v>
      </c>
      <c r="AF86" s="915">
        <f t="shared" si="25"/>
        <v>16.112424956575669</v>
      </c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spans="1:47" s="902" customFormat="1" ht="13" thickBot="1" x14ac:dyDescent="0.3">
      <c r="A87" s="917" t="s">
        <v>724</v>
      </c>
      <c r="B87" s="918"/>
      <c r="C87" s="918"/>
      <c r="D87" s="918"/>
      <c r="E87" s="918"/>
      <c r="F87" s="918"/>
      <c r="G87" s="918"/>
      <c r="H87" s="918"/>
      <c r="I87" s="918"/>
      <c r="J87" s="918"/>
      <c r="K87" s="918"/>
      <c r="L87" s="918"/>
      <c r="M87" s="918"/>
      <c r="N87" s="918"/>
      <c r="S87" s="917" t="s">
        <v>724</v>
      </c>
      <c r="T87" s="954"/>
      <c r="U87" s="954"/>
      <c r="V87" s="954"/>
      <c r="W87" s="954"/>
      <c r="X87" s="954"/>
      <c r="Y87" s="954"/>
      <c r="Z87" s="954"/>
      <c r="AA87" s="954"/>
      <c r="AB87" s="954"/>
      <c r="AC87" s="954"/>
      <c r="AD87" s="954"/>
      <c r="AE87" s="954"/>
      <c r="AF87" s="954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spans="1:47" s="902" customFormat="1" ht="13.5" thickBot="1" x14ac:dyDescent="0.3">
      <c r="A88" s="903" t="s">
        <v>725</v>
      </c>
      <c r="B88" s="904"/>
      <c r="C88" s="905"/>
      <c r="D88" s="905"/>
      <c r="E88" s="905"/>
      <c r="F88" s="905"/>
      <c r="G88" s="905"/>
      <c r="H88" s="905"/>
      <c r="I88" s="905"/>
      <c r="J88" s="905"/>
      <c r="K88" s="905"/>
      <c r="L88" s="905"/>
      <c r="M88" s="905"/>
      <c r="N88" s="906"/>
      <c r="S88" s="903" t="s">
        <v>725</v>
      </c>
      <c r="T88" s="904"/>
      <c r="U88" s="955"/>
      <c r="V88" s="955"/>
      <c r="W88" s="955"/>
      <c r="X88" s="955"/>
      <c r="Y88" s="955"/>
      <c r="Z88" s="955"/>
      <c r="AA88" s="955"/>
      <c r="AB88" s="955"/>
      <c r="AC88" s="955"/>
      <c r="AD88" s="955"/>
      <c r="AE88" s="955"/>
      <c r="AF88" s="956"/>
      <c r="AH88" t="s">
        <v>773</v>
      </c>
      <c r="AI88" s="964">
        <f>W75/W72/1000</f>
        <v>0.25687871870179557</v>
      </c>
      <c r="AJ88">
        <f>AI88*1000</f>
        <v>256.87871870179555</v>
      </c>
      <c r="AK88"/>
      <c r="AL88"/>
      <c r="AM88"/>
      <c r="AN88"/>
      <c r="AO88"/>
      <c r="AP88"/>
      <c r="AQ88"/>
      <c r="AR88"/>
      <c r="AS88"/>
      <c r="AT88"/>
      <c r="AU88"/>
    </row>
    <row r="89" spans="1:47" s="902" customFormat="1" ht="58" x14ac:dyDescent="0.25">
      <c r="A89" s="907" t="s">
        <v>617</v>
      </c>
      <c r="B89" s="908" t="s">
        <v>615</v>
      </c>
      <c r="C89" s="908" t="s">
        <v>614</v>
      </c>
      <c r="D89" s="908" t="s">
        <v>613</v>
      </c>
      <c r="E89" s="908" t="s">
        <v>612</v>
      </c>
      <c r="F89" s="908" t="s">
        <v>611</v>
      </c>
      <c r="G89" s="908" t="s">
        <v>610</v>
      </c>
      <c r="H89" s="908" t="s">
        <v>609</v>
      </c>
      <c r="I89" s="908" t="s">
        <v>608</v>
      </c>
      <c r="J89" s="908" t="s">
        <v>607</v>
      </c>
      <c r="K89" s="908" t="s">
        <v>606</v>
      </c>
      <c r="L89" s="908" t="s">
        <v>605</v>
      </c>
      <c r="M89" s="908" t="s">
        <v>604</v>
      </c>
      <c r="N89" s="909" t="s">
        <v>624</v>
      </c>
      <c r="P89" s="910" t="s">
        <v>625</v>
      </c>
      <c r="S89" s="907" t="s">
        <v>617</v>
      </c>
      <c r="T89" s="908" t="s">
        <v>615</v>
      </c>
      <c r="U89" s="908" t="s">
        <v>614</v>
      </c>
      <c r="V89" s="908" t="s">
        <v>613</v>
      </c>
      <c r="W89" s="908" t="s">
        <v>612</v>
      </c>
      <c r="X89" s="908" t="s">
        <v>611</v>
      </c>
      <c r="Y89" s="908" t="s">
        <v>610</v>
      </c>
      <c r="Z89" s="908" t="s">
        <v>609</v>
      </c>
      <c r="AA89" s="908" t="s">
        <v>608</v>
      </c>
      <c r="AB89" s="908" t="s">
        <v>607</v>
      </c>
      <c r="AC89" s="908" t="s">
        <v>606</v>
      </c>
      <c r="AD89" s="908" t="s">
        <v>605</v>
      </c>
      <c r="AE89" s="908" t="s">
        <v>604</v>
      </c>
      <c r="AF89" s="909" t="s">
        <v>624</v>
      </c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s="902" customFormat="1" ht="14.5" x14ac:dyDescent="0.25">
      <c r="A90" s="911">
        <v>2020</v>
      </c>
      <c r="B90" s="912">
        <f>B81/60</f>
        <v>0.20166666666666666</v>
      </c>
      <c r="C90" s="912">
        <f t="shared" ref="C90:M90" si="26">C81/60</f>
        <v>0.19233333333333333</v>
      </c>
      <c r="D90" s="912">
        <f t="shared" si="26"/>
        <v>0.19749999999999998</v>
      </c>
      <c r="E90" s="912">
        <f t="shared" si="26"/>
        <v>0.19649999999999998</v>
      </c>
      <c r="F90" s="912">
        <f t="shared" si="26"/>
        <v>0.19433333333333333</v>
      </c>
      <c r="G90" s="912">
        <f t="shared" si="26"/>
        <v>0.19633333333333333</v>
      </c>
      <c r="H90" s="912">
        <f t="shared" si="26"/>
        <v>0.25316666666666665</v>
      </c>
      <c r="I90" s="912">
        <f t="shared" si="26"/>
        <v>0.21766666666666667</v>
      </c>
      <c r="J90" s="912">
        <f t="shared" si="26"/>
        <v>0.21883333333333335</v>
      </c>
      <c r="K90" s="912">
        <f t="shared" si="26"/>
        <v>0.23716666666666666</v>
      </c>
      <c r="L90" s="912">
        <f t="shared" si="26"/>
        <v>0.23183333333333334</v>
      </c>
      <c r="M90" s="912">
        <f t="shared" si="26"/>
        <v>0.22900000000000001</v>
      </c>
      <c r="N90" s="912">
        <f>AVERAGE(B90:M90)</f>
        <v>0.21386111111111114</v>
      </c>
      <c r="P90" s="913"/>
      <c r="R90" s="918"/>
      <c r="S90" s="911">
        <v>2020</v>
      </c>
      <c r="T90" s="953">
        <f>B90*Inflação!D37</f>
        <v>0.2525400658730374</v>
      </c>
      <c r="U90" s="953">
        <f>C90*Inflação!E37</f>
        <v>0.24019398119154575</v>
      </c>
      <c r="V90" s="953">
        <f>D90*Inflação!F37</f>
        <v>0.24718431706797356</v>
      </c>
      <c r="W90" s="953">
        <f>E90*Inflação!G37</f>
        <v>0.24758835987503364</v>
      </c>
      <c r="X90" s="953">
        <f>F90*Inflação!H37</f>
        <v>0.24485360291842503</v>
      </c>
      <c r="Y90" s="953">
        <f>G90*Inflação!I37</f>
        <v>0.24602726434623623</v>
      </c>
      <c r="Z90" s="953">
        <f>H90*Inflação!J37</f>
        <v>0.31564905320061803</v>
      </c>
      <c r="AA90" s="953">
        <f>I90*Inflação!K37</f>
        <v>0.27053448138771968</v>
      </c>
      <c r="AB90" s="953">
        <f>J90*Inflação!L37</f>
        <v>0.27160623431176689</v>
      </c>
      <c r="AC90" s="953">
        <f>K90*Inflação!M37</f>
        <v>0.29423866435217189</v>
      </c>
      <c r="AD90" s="953">
        <f>L90*Inflação!N37</f>
        <v>0.28779765001850938</v>
      </c>
      <c r="AE90" s="953">
        <f>M90*Inflação!O37</f>
        <v>0.28401296098650924</v>
      </c>
      <c r="AF90" s="953">
        <f>AVERAGE(T90:AE90)</f>
        <v>0.26685221962746225</v>
      </c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spans="1:47" s="902" customFormat="1" ht="14.5" x14ac:dyDescent="0.25">
      <c r="A91" s="911">
        <v>2021</v>
      </c>
      <c r="B91" s="912">
        <f t="shared" ref="B91:M94" si="27">B82/60</f>
        <v>0.2515</v>
      </c>
      <c r="C91" s="912">
        <f t="shared" si="27"/>
        <v>0.247</v>
      </c>
      <c r="D91" s="912">
        <f t="shared" si="27"/>
        <v>0.27899999999999997</v>
      </c>
      <c r="E91" s="912">
        <f t="shared" si="27"/>
        <v>0.27916666666666667</v>
      </c>
      <c r="F91" s="912">
        <f t="shared" si="27"/>
        <v>0.27949999999999997</v>
      </c>
      <c r="G91" s="912">
        <f t="shared" si="27"/>
        <v>0.30166666666666669</v>
      </c>
      <c r="H91" s="912">
        <f t="shared" si="27"/>
        <v>0.31016666666666665</v>
      </c>
      <c r="I91" s="912">
        <f t="shared" si="27"/>
        <v>0.31366666666666665</v>
      </c>
      <c r="J91" s="912">
        <f t="shared" si="27"/>
        <v>0.30483333333333335</v>
      </c>
      <c r="K91" s="912">
        <f t="shared" si="27"/>
        <v>0.27733333333333332</v>
      </c>
      <c r="L91" s="912">
        <f t="shared" si="27"/>
        <v>0.26816666666666666</v>
      </c>
      <c r="M91" s="912">
        <f t="shared" si="27"/>
        <v>0.28699999999999998</v>
      </c>
      <c r="N91" s="912">
        <f>AVERAGE(B91:M91)</f>
        <v>0.28325</v>
      </c>
      <c r="P91" s="913"/>
      <c r="S91" s="911">
        <v>2021</v>
      </c>
      <c r="T91" s="953">
        <f>B91*Inflação!D38</f>
        <v>0.31059695238969048</v>
      </c>
      <c r="U91" s="953">
        <f>C91*Inflação!E38</f>
        <v>0.30337874029519341</v>
      </c>
      <c r="V91" s="953">
        <f>D91*Inflação!F38</f>
        <v>0.34027262465219699</v>
      </c>
      <c r="W91" s="953">
        <f>E91*Inflação!G38</f>
        <v>0.33770036521951868</v>
      </c>
      <c r="X91" s="953">
        <f>F91*Inflação!H38</f>
        <v>0.3354145359312023</v>
      </c>
      <c r="Y91" s="953">
        <f>G91*Inflação!I38</f>
        <v>0.35868328327738846</v>
      </c>
      <c r="Z91" s="953">
        <f>H91*Inflação!J38</f>
        <v>0.36702425003876632</v>
      </c>
      <c r="AA91" s="953">
        <f>I91*Inflação!K38</f>
        <v>0.37040063068035739</v>
      </c>
      <c r="AB91" s="953">
        <f>J91*Inflação!L38</f>
        <v>0.3589945633285942</v>
      </c>
      <c r="AC91" s="953">
        <f>K91*Inflação!M38</f>
        <v>0.32391735993357168</v>
      </c>
      <c r="AD91" s="953">
        <f>L91*Inflação!N38</f>
        <v>0.31167954197667674</v>
      </c>
      <c r="AE91" s="953">
        <f>M91*Inflação!O38</f>
        <v>0.33254702620497695</v>
      </c>
      <c r="AF91" s="953">
        <f>AVERAGE(T91:AE91)</f>
        <v>0.33755082282734444</v>
      </c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spans="1:47" s="902" customFormat="1" ht="14.5" x14ac:dyDescent="0.25">
      <c r="A92" s="911">
        <v>2022</v>
      </c>
      <c r="B92" s="912">
        <f t="shared" si="27"/>
        <v>0.28233333333333338</v>
      </c>
      <c r="C92" s="912">
        <f t="shared" si="27"/>
        <v>0.29533333333333334</v>
      </c>
      <c r="D92" s="912">
        <f t="shared" si="27"/>
        <v>0.30583333333333335</v>
      </c>
      <c r="E92" s="912">
        <f t="shared" si="27"/>
        <v>0.32</v>
      </c>
      <c r="F92" s="912">
        <f t="shared" si="27"/>
        <v>0.31333333333333335</v>
      </c>
      <c r="G92" s="912">
        <f t="shared" si="27"/>
        <v>0.28716666666666668</v>
      </c>
      <c r="H92" s="912">
        <f t="shared" si="27"/>
        <v>0.28783333333333333</v>
      </c>
      <c r="I92" s="912">
        <f t="shared" si="27"/>
        <v>0.254</v>
      </c>
      <c r="J92" s="912">
        <f t="shared" si="27"/>
        <v>0.25783333333333336</v>
      </c>
      <c r="K92" s="912">
        <f t="shared" si="27"/>
        <v>0.25600000000000001</v>
      </c>
      <c r="L92" s="912">
        <f t="shared" si="27"/>
        <v>0.24716666666666667</v>
      </c>
      <c r="M92" s="912">
        <f t="shared" si="27"/>
        <v>0.24783333333333332</v>
      </c>
      <c r="N92" s="912">
        <f>AVERAGE(B92:M92)</f>
        <v>0.27955555555555561</v>
      </c>
      <c r="P92" s="913"/>
      <c r="S92" s="911">
        <v>2022</v>
      </c>
      <c r="T92" s="953">
        <f>B92*Inflação!D39</f>
        <v>0.32440998572519336</v>
      </c>
      <c r="U92" s="953">
        <f>C92*Inflação!E39</f>
        <v>0.3362758627171773</v>
      </c>
      <c r="V92" s="953">
        <f>D92*Inflação!F39</f>
        <v>0.34364338119353699</v>
      </c>
      <c r="W92" s="953">
        <f>E92*Inflação!G39</f>
        <v>0.35756534732574913</v>
      </c>
      <c r="X92" s="953">
        <f>F92*Inflação!H39</f>
        <v>0.34629863791042875</v>
      </c>
      <c r="Y92" s="953">
        <f>G92*Inflação!I39</f>
        <v>0.3130785469771063</v>
      </c>
      <c r="Z92" s="953">
        <f>H92*Inflação!J39</f>
        <v>0.31384243970711989</v>
      </c>
      <c r="AA92" s="953">
        <f>I92*Inflação!K39</f>
        <v>0.27705005554223744</v>
      </c>
      <c r="AB92" s="953">
        <f>J92*Inflação!L39</f>
        <v>0.28062768748371564</v>
      </c>
      <c r="AC92" s="953">
        <f>K92*Inflação!M39</f>
        <v>0.27750657020522662</v>
      </c>
      <c r="AD92" s="953">
        <f>L92*Inflação!N39</f>
        <v>0.26820203933792613</v>
      </c>
      <c r="AE92" s="953">
        <f>M92*Inflação!O39</f>
        <v>0.2697536116155711</v>
      </c>
      <c r="AF92" s="953">
        <f>AVERAGE(T92:AE92)</f>
        <v>0.30902118047841576</v>
      </c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spans="1:47" s="902" customFormat="1" ht="14.5" x14ac:dyDescent="0.25">
      <c r="A93" s="911">
        <v>2023</v>
      </c>
      <c r="B93" s="912">
        <f t="shared" si="27"/>
        <v>0.24916666666666665</v>
      </c>
      <c r="C93" s="912">
        <f t="shared" si="27"/>
        <v>0.25516666666666665</v>
      </c>
      <c r="D93" s="912">
        <f t="shared" si="27"/>
        <v>0.23249999999999998</v>
      </c>
      <c r="E93" s="912">
        <f t="shared" si="27"/>
        <v>0.21733333333333332</v>
      </c>
      <c r="F93" s="912">
        <f t="shared" si="27"/>
        <v>0.21633333333333335</v>
      </c>
      <c r="G93" s="912">
        <f t="shared" si="27"/>
        <v>0.22116666666666665</v>
      </c>
      <c r="H93" s="912">
        <f t="shared" si="27"/>
        <v>0.215</v>
      </c>
      <c r="I93" s="912">
        <f t="shared" si="27"/>
        <v>0.21566666666666665</v>
      </c>
      <c r="J93" s="912">
        <f t="shared" si="27"/>
        <v>0.19416666666666668</v>
      </c>
      <c r="K93" s="912">
        <f t="shared" si="27"/>
        <v>0.20033333333333334</v>
      </c>
      <c r="L93" s="912">
        <f t="shared" si="27"/>
        <v>0.19233333333333333</v>
      </c>
      <c r="M93" s="912">
        <f t="shared" si="27"/>
        <v>0.23433333333333334</v>
      </c>
      <c r="N93" s="912">
        <f>AVERAGE(B93:M93)</f>
        <v>0.22029166666666669</v>
      </c>
      <c r="P93" s="913"/>
      <c r="S93" s="911">
        <v>2023</v>
      </c>
      <c r="T93" s="953">
        <f>B93*Inflação!D40</f>
        <v>0.2690536929950641</v>
      </c>
      <c r="U93" s="953">
        <f>C93*Inflação!E40</f>
        <v>0.27400306253601026</v>
      </c>
      <c r="V93" s="953">
        <f>D93*Inflação!F40</f>
        <v>0.24883930346280758</v>
      </c>
      <c r="W93" s="953">
        <f>E93*Inflação!G40</f>
        <v>0.2314359320901582</v>
      </c>
      <c r="X93" s="953">
        <f>F93*Inflação!H40</f>
        <v>0.22979232579371994</v>
      </c>
      <c r="Y93" s="953">
        <f>G93*Inflação!I40</f>
        <v>0.23417024516921273</v>
      </c>
      <c r="Z93" s="953">
        <f>H93*Inflação!J40</f>
        <v>0.22720760506524565</v>
      </c>
      <c r="AA93" s="953">
        <f>I93*Inflação!K40</f>
        <v>0.22692112502958489</v>
      </c>
      <c r="AB93" s="953">
        <f>J93*Inflação!L40</f>
        <v>0.20379270647532349</v>
      </c>
      <c r="AC93" s="953">
        <f>K93*Inflação!M40</f>
        <v>0.21034573510882296</v>
      </c>
      <c r="AD93" s="953">
        <f>L93*Inflação!N40</f>
        <v>0.2023536763165294</v>
      </c>
      <c r="AE93" s="953">
        <f>M93*Inflação!O40</f>
        <v>0.24678696598053984</v>
      </c>
      <c r="AF93" s="953">
        <f>AVERAGE(T93:AE93)</f>
        <v>0.23372519800191824</v>
      </c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spans="1:47" s="902" customFormat="1" ht="14.5" x14ac:dyDescent="0.25">
      <c r="A94" s="911">
        <v>2024</v>
      </c>
      <c r="B94" s="912">
        <f t="shared" si="27"/>
        <v>0.22866666666666668</v>
      </c>
      <c r="C94" s="912">
        <f t="shared" si="27"/>
        <v>0.20316666666666666</v>
      </c>
      <c r="D94" s="912">
        <f t="shared" si="27"/>
        <v>0.18416666666666667</v>
      </c>
      <c r="E94" s="912">
        <f t="shared" si="27"/>
        <v>0.18483333333333332</v>
      </c>
      <c r="F94" s="912">
        <f t="shared" si="27"/>
        <v>0.17733333333333334</v>
      </c>
      <c r="G94" s="912">
        <f t="shared" si="27"/>
        <v>0.18183333333333335</v>
      </c>
      <c r="H94" s="912">
        <f t="shared" si="27"/>
        <v>0.17600000000000002</v>
      </c>
      <c r="I94" s="912">
        <f t="shared" si="27"/>
        <v>0.18266666666666667</v>
      </c>
      <c r="J94" s="912">
        <f t="shared" si="27"/>
        <v>0.182</v>
      </c>
      <c r="K94" s="912">
        <f t="shared" si="27"/>
        <v>0.18533333333333332</v>
      </c>
      <c r="L94" s="912">
        <f t="shared" si="27"/>
        <v>0.19716666666666666</v>
      </c>
      <c r="M94" s="912">
        <f t="shared" si="27"/>
        <v>0.19450000000000001</v>
      </c>
      <c r="N94" s="912">
        <f>AVERAGE(B94:M94)</f>
        <v>0.18980555555555556</v>
      </c>
      <c r="P94" s="913"/>
      <c r="S94" s="911">
        <v>2024</v>
      </c>
      <c r="T94" s="953">
        <f>B94*Inflação!D41</f>
        <v>0.23951438906847983</v>
      </c>
      <c r="U94" s="953">
        <f>C94*Inflação!E41</f>
        <v>0.21149560569637518</v>
      </c>
      <c r="V94" s="953">
        <f>D94*Inflação!F41</f>
        <v>0.19048535959598548</v>
      </c>
      <c r="W94" s="953">
        <f>E94*Inflação!G41</f>
        <v>0.1904334859947015</v>
      </c>
      <c r="X94" s="953">
        <f>F94*Inflação!H41</f>
        <v>0.18240316193787565</v>
      </c>
      <c r="Y94" s="953">
        <f>G94*Inflação!I41</f>
        <v>0.18696871064427997</v>
      </c>
      <c r="Z94" s="953">
        <f>H94*Inflação!J41</f>
        <v>0.18076062821898647</v>
      </c>
      <c r="AA94" s="953">
        <f>I94*Inflação!K41</f>
        <v>0.18745505449031541</v>
      </c>
      <c r="AB94" s="953">
        <f>J94*Inflação!L41</f>
        <v>0.18647177141842239</v>
      </c>
      <c r="AC94" s="953">
        <f>K94*Inflação!M41</f>
        <v>0.1896686434521094</v>
      </c>
      <c r="AD94" s="953">
        <f>L94*Inflação!N41</f>
        <v>0.20188814754474216</v>
      </c>
      <c r="AE94" s="953">
        <f>M94*Inflação!O41</f>
        <v>0.19908694729170956</v>
      </c>
      <c r="AF94" s="953">
        <f>AVERAGE(T94:AE94)</f>
        <v>0.19555265877949854</v>
      </c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spans="1:47" s="902" customFormat="1" ht="13" x14ac:dyDescent="0.25">
      <c r="A95" s="914" t="s">
        <v>626</v>
      </c>
      <c r="B95" s="915">
        <f t="shared" ref="B95:N95" si="28">AVERAGE(B90:B94)</f>
        <v>0.24266666666666667</v>
      </c>
      <c r="C95" s="915">
        <f t="shared" si="28"/>
        <v>0.23860000000000001</v>
      </c>
      <c r="D95" s="915">
        <f t="shared" si="28"/>
        <v>0.23979999999999996</v>
      </c>
      <c r="E95" s="915">
        <f t="shared" si="28"/>
        <v>0.23956666666666671</v>
      </c>
      <c r="F95" s="915">
        <f t="shared" si="28"/>
        <v>0.23616666666666669</v>
      </c>
      <c r="G95" s="915">
        <f t="shared" si="28"/>
        <v>0.23763333333333331</v>
      </c>
      <c r="H95" s="915">
        <f t="shared" si="28"/>
        <v>0.24843333333333334</v>
      </c>
      <c r="I95" s="915">
        <f t="shared" si="28"/>
        <v>0.23673333333333332</v>
      </c>
      <c r="J95" s="915">
        <f t="shared" si="28"/>
        <v>0.23153333333333337</v>
      </c>
      <c r="K95" s="915">
        <f t="shared" si="28"/>
        <v>0.23123333333333332</v>
      </c>
      <c r="L95" s="915">
        <f t="shared" si="28"/>
        <v>0.22733333333333333</v>
      </c>
      <c r="M95" s="915">
        <f t="shared" si="28"/>
        <v>0.23853333333333335</v>
      </c>
      <c r="N95" s="915">
        <f t="shared" si="28"/>
        <v>0.23735277777777783</v>
      </c>
      <c r="P95" s="916"/>
      <c r="S95" s="914" t="s">
        <v>626</v>
      </c>
      <c r="T95" s="915">
        <f t="shared" ref="T95:AF95" si="29">AVERAGE(T90:T94)</f>
        <v>0.27922301721029302</v>
      </c>
      <c r="U95" s="915">
        <f t="shared" si="29"/>
        <v>0.27306945048726045</v>
      </c>
      <c r="V95" s="915">
        <f t="shared" si="29"/>
        <v>0.27408499719450014</v>
      </c>
      <c r="W95" s="915">
        <f t="shared" si="29"/>
        <v>0.27294469810103222</v>
      </c>
      <c r="X95" s="915">
        <f t="shared" si="29"/>
        <v>0.26775245289833033</v>
      </c>
      <c r="Y95" s="915">
        <f t="shared" si="29"/>
        <v>0.26778561008284474</v>
      </c>
      <c r="Z95" s="915">
        <f t="shared" si="29"/>
        <v>0.2808967952461473</v>
      </c>
      <c r="AA95" s="915">
        <f t="shared" si="29"/>
        <v>0.26647226942604296</v>
      </c>
      <c r="AB95" s="915">
        <f t="shared" si="29"/>
        <v>0.26029859260356453</v>
      </c>
      <c r="AC95" s="915">
        <f t="shared" si="29"/>
        <v>0.25913539461038049</v>
      </c>
      <c r="AD95" s="915">
        <f t="shared" si="29"/>
        <v>0.25438421103887682</v>
      </c>
      <c r="AE95" s="915">
        <f t="shared" si="29"/>
        <v>0.26643750241586134</v>
      </c>
      <c r="AF95" s="915">
        <f t="shared" si="29"/>
        <v>0.26854041594292782</v>
      </c>
      <c r="AH95"/>
      <c r="AI95"/>
      <c r="AJ95" s="965"/>
      <c r="AK95"/>
      <c r="AL95"/>
      <c r="AM95"/>
      <c r="AN95"/>
      <c r="AO95"/>
      <c r="AP95"/>
      <c r="AQ95"/>
      <c r="AR95"/>
      <c r="AS95"/>
      <c r="AT95"/>
      <c r="AU95"/>
    </row>
    <row r="96" spans="1:47" s="902" customFormat="1" x14ac:dyDescent="0.25">
      <c r="A96" s="917" t="s">
        <v>724</v>
      </c>
      <c r="B96" s="918"/>
      <c r="C96" s="918"/>
      <c r="D96" s="918"/>
      <c r="E96" s="918"/>
      <c r="F96" s="918"/>
      <c r="G96" s="918"/>
      <c r="H96" s="918"/>
      <c r="I96" s="918"/>
      <c r="J96" s="918"/>
      <c r="K96" s="918"/>
      <c r="L96" s="918"/>
      <c r="M96" s="918"/>
      <c r="N96" s="918"/>
      <c r="S96" s="917" t="s">
        <v>724</v>
      </c>
      <c r="T96" s="954"/>
      <c r="U96" s="954"/>
      <c r="V96" s="954"/>
      <c r="W96" s="954"/>
      <c r="X96" s="954"/>
      <c r="Y96" s="954"/>
      <c r="Z96" s="954"/>
      <c r="AA96" s="954"/>
      <c r="AB96" s="954"/>
      <c r="AC96" s="954"/>
      <c r="AD96" s="954"/>
      <c r="AE96" s="954"/>
      <c r="AF96" s="954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spans="1:47" ht="13" thickBot="1" x14ac:dyDescent="0.3"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spans="1:47" s="902" customFormat="1" ht="13.5" thickBot="1" x14ac:dyDescent="0.3">
      <c r="A98" s="903" t="s">
        <v>726</v>
      </c>
      <c r="B98" s="904"/>
      <c r="C98" s="905"/>
      <c r="D98" s="905"/>
      <c r="E98" s="905"/>
      <c r="F98" s="905"/>
      <c r="G98" s="905"/>
      <c r="H98" s="905"/>
      <c r="I98" s="905"/>
      <c r="J98" s="905"/>
      <c r="K98" s="905"/>
      <c r="L98" s="905"/>
      <c r="M98" s="905"/>
      <c r="N98" s="906"/>
      <c r="S98" s="903" t="s">
        <v>726</v>
      </c>
      <c r="T98" s="904"/>
      <c r="U98" s="955"/>
      <c r="V98" s="955"/>
      <c r="W98" s="955"/>
      <c r="X98" s="955"/>
      <c r="Y98" s="955"/>
      <c r="Z98" s="955"/>
      <c r="AA98" s="955"/>
      <c r="AB98" s="955"/>
      <c r="AC98" s="955"/>
      <c r="AD98" s="955"/>
      <c r="AE98" s="955"/>
      <c r="AF98" s="956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spans="1:47" s="902" customFormat="1" ht="58" x14ac:dyDescent="0.25">
      <c r="A99" s="907" t="s">
        <v>617</v>
      </c>
      <c r="B99" s="908" t="s">
        <v>615</v>
      </c>
      <c r="C99" s="908" t="s">
        <v>614</v>
      </c>
      <c r="D99" s="908" t="s">
        <v>613</v>
      </c>
      <c r="E99" s="908" t="s">
        <v>612</v>
      </c>
      <c r="F99" s="908" t="s">
        <v>611</v>
      </c>
      <c r="G99" s="908" t="s">
        <v>610</v>
      </c>
      <c r="H99" s="908" t="s">
        <v>609</v>
      </c>
      <c r="I99" s="908" t="s">
        <v>608</v>
      </c>
      <c r="J99" s="908" t="s">
        <v>607</v>
      </c>
      <c r="K99" s="908" t="s">
        <v>606</v>
      </c>
      <c r="L99" s="908" t="s">
        <v>605</v>
      </c>
      <c r="M99" s="908" t="s">
        <v>604</v>
      </c>
      <c r="N99" s="909" t="s">
        <v>624</v>
      </c>
      <c r="P99" s="910" t="s">
        <v>625</v>
      </c>
      <c r="S99" s="907" t="s">
        <v>617</v>
      </c>
      <c r="T99" s="908" t="s">
        <v>615</v>
      </c>
      <c r="U99" s="908" t="s">
        <v>614</v>
      </c>
      <c r="V99" s="908" t="s">
        <v>613</v>
      </c>
      <c r="W99" s="908" t="s">
        <v>612</v>
      </c>
      <c r="X99" s="908" t="s">
        <v>611</v>
      </c>
      <c r="Y99" s="908" t="s">
        <v>610</v>
      </c>
      <c r="Z99" s="908" t="s">
        <v>609</v>
      </c>
      <c r="AA99" s="908" t="s">
        <v>608</v>
      </c>
      <c r="AB99" s="908" t="s">
        <v>607</v>
      </c>
      <c r="AC99" s="908" t="s">
        <v>606</v>
      </c>
      <c r="AD99" s="908" t="s">
        <v>605</v>
      </c>
      <c r="AE99" s="908" t="s">
        <v>604</v>
      </c>
      <c r="AF99" s="909" t="s">
        <v>624</v>
      </c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spans="1:47" s="902" customFormat="1" ht="14.5" x14ac:dyDescent="0.25">
      <c r="A100" s="911">
        <v>2020</v>
      </c>
      <c r="B100" s="912">
        <v>20.03</v>
      </c>
      <c r="C100" s="912">
        <v>19.53</v>
      </c>
      <c r="D100" s="912">
        <v>19.41</v>
      </c>
      <c r="E100" s="912">
        <v>18.940000000000001</v>
      </c>
      <c r="F100" s="912">
        <v>18.920000000000002</v>
      </c>
      <c r="G100" s="912">
        <v>19.07</v>
      </c>
      <c r="H100" s="912">
        <v>20.69</v>
      </c>
      <c r="I100" s="912">
        <v>22.56</v>
      </c>
      <c r="J100" s="912">
        <v>25.09</v>
      </c>
      <c r="K100" s="912">
        <v>31.04</v>
      </c>
      <c r="L100" s="912">
        <v>31.71</v>
      </c>
      <c r="M100" s="912">
        <v>28.71</v>
      </c>
      <c r="N100" s="912">
        <f>AVERAGE(B100:M100)</f>
        <v>22.974999999999998</v>
      </c>
      <c r="P100" s="913"/>
      <c r="S100" s="911">
        <v>2020</v>
      </c>
      <c r="T100" s="953">
        <f>B100*Inflação!D37</f>
        <v>25.082863732745157</v>
      </c>
      <c r="U100" s="953">
        <f>C100*Inflação!E37</f>
        <v>24.389887968826113</v>
      </c>
      <c r="V100" s="953">
        <f>D100*Inflação!F37</f>
        <v>24.292899211591731</v>
      </c>
      <c r="W100" s="953">
        <f>E100*Inflação!G37</f>
        <v>23.864241913654645</v>
      </c>
      <c r="X100" s="953">
        <f>F100*Inflação!H37</f>
        <v>23.838577189793835</v>
      </c>
      <c r="Y100" s="953">
        <f>G100*Inflação!I37</f>
        <v>23.896807798384</v>
      </c>
      <c r="Z100" s="953">
        <f>H100*Inflação!J37</f>
        <v>25.796361727666049</v>
      </c>
      <c r="AA100" s="953">
        <f>I100*Inflação!K37</f>
        <v>28.039469678898726</v>
      </c>
      <c r="AB100" s="953">
        <f>J100*Inflação!L37</f>
        <v>31.140595973566931</v>
      </c>
      <c r="AC100" s="953">
        <f>K100*Inflação!M37</f>
        <v>38.509493217813421</v>
      </c>
      <c r="AD100" s="953">
        <f>L100*Inflação!N37</f>
        <v>39.364759807707827</v>
      </c>
      <c r="AE100" s="953">
        <f>M100*Inflação!O37</f>
        <v>35.607039781321745</v>
      </c>
      <c r="AF100" s="953">
        <f>AVERAGE(T100:AE100)</f>
        <v>28.65191650016418</v>
      </c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1:47" s="902" customFormat="1" ht="14.5" x14ac:dyDescent="0.25">
      <c r="A101" s="911">
        <v>2021</v>
      </c>
      <c r="B101" s="912">
        <v>32.71</v>
      </c>
      <c r="C101" s="912">
        <v>30.7</v>
      </c>
      <c r="D101" s="912">
        <v>30.18</v>
      </c>
      <c r="E101" s="912">
        <v>29.08</v>
      </c>
      <c r="F101" s="912">
        <v>30.64</v>
      </c>
      <c r="G101" s="912">
        <v>30.21</v>
      </c>
      <c r="H101" s="912">
        <v>30.57</v>
      </c>
      <c r="I101" s="912">
        <v>32.96</v>
      </c>
      <c r="J101" s="912">
        <v>32.619999999999997</v>
      </c>
      <c r="K101" s="912">
        <v>33.54</v>
      </c>
      <c r="L101" s="912">
        <v>30.18</v>
      </c>
      <c r="M101" s="912">
        <v>28.51</v>
      </c>
      <c r="N101" s="912">
        <f>AVERAGE(B101:M101)</f>
        <v>30.991666666666671</v>
      </c>
      <c r="P101" s="913"/>
      <c r="S101" s="911">
        <v>2021</v>
      </c>
      <c r="T101" s="953">
        <f>B101*Inflação!D38</f>
        <v>40.396128479788366</v>
      </c>
      <c r="U101" s="953">
        <f>C101*Inflação!E38</f>
        <v>37.70739808527302</v>
      </c>
      <c r="V101" s="953">
        <f>D101*Inflação!F38</f>
        <v>36.807984989259161</v>
      </c>
      <c r="W101" s="953">
        <f>E101*Inflação!G38</f>
        <v>35.177289387165146</v>
      </c>
      <c r="X101" s="953">
        <f>F101*Inflação!H38</f>
        <v>36.769593491706758</v>
      </c>
      <c r="Y101" s="953">
        <f>G101*Inflação!I38</f>
        <v>35.919851893292503</v>
      </c>
      <c r="Z101" s="953">
        <f>H101*Inflação!J38</f>
        <v>36.173878528807379</v>
      </c>
      <c r="AA101" s="953">
        <f>I101*Inflação!K38</f>
        <v>38.921588057039045</v>
      </c>
      <c r="AB101" s="953">
        <f>J101*Inflação!L38</f>
        <v>38.415755021690785</v>
      </c>
      <c r="AC101" s="953">
        <f>K101*Inflação!M38</f>
        <v>39.173755716966326</v>
      </c>
      <c r="AD101" s="953">
        <f>L101*Inflação!N38</f>
        <v>35.077023903751787</v>
      </c>
      <c r="AE101" s="953">
        <f>M101*Inflação!O38</f>
        <v>33.034549536947367</v>
      </c>
      <c r="AF101" s="953">
        <f>AVERAGE(T101:AE101)</f>
        <v>36.964566424307314</v>
      </c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1:47" s="902" customFormat="1" ht="14.5" x14ac:dyDescent="0.25">
      <c r="A102" s="911">
        <v>2022</v>
      </c>
      <c r="B102" s="912">
        <v>29.21</v>
      </c>
      <c r="C102" s="912">
        <v>33.049999999999997</v>
      </c>
      <c r="D102" s="912">
        <v>35.81</v>
      </c>
      <c r="E102" s="912">
        <v>34.71</v>
      </c>
      <c r="F102" s="912">
        <v>37.44</v>
      </c>
      <c r="G102" s="912">
        <v>34.78</v>
      </c>
      <c r="H102" s="912">
        <v>34.46</v>
      </c>
      <c r="I102" s="912">
        <v>32.1</v>
      </c>
      <c r="J102" s="912">
        <v>34.29</v>
      </c>
      <c r="K102" s="912">
        <v>32.15</v>
      </c>
      <c r="L102" s="912">
        <v>32.17</v>
      </c>
      <c r="M102" s="912">
        <v>31.62</v>
      </c>
      <c r="N102" s="912">
        <f>AVERAGE(B102:M102)</f>
        <v>33.482500000000002</v>
      </c>
      <c r="P102" s="913"/>
      <c r="S102" s="911">
        <v>2022</v>
      </c>
      <c r="T102" s="953">
        <f>B102*Inflação!D39</f>
        <v>33.563219656550991</v>
      </c>
      <c r="U102" s="953">
        <f>C102*Inflação!E39</f>
        <v>37.631774027548673</v>
      </c>
      <c r="V102" s="953">
        <f>D102*Inflação!F39</f>
        <v>40.237175413211645</v>
      </c>
      <c r="W102" s="953">
        <f>E102*Inflação!G39</f>
        <v>38.784666267739851</v>
      </c>
      <c r="X102" s="953">
        <f>F102*Inflação!H39</f>
        <v>41.379003202233356</v>
      </c>
      <c r="Y102" s="953">
        <f>G102*Inflação!I39</f>
        <v>37.918300164354349</v>
      </c>
      <c r="Z102" s="953">
        <f>H102*Inflação!J39</f>
        <v>37.573863829672327</v>
      </c>
      <c r="AA102" s="953">
        <f>I102*Inflação!K39</f>
        <v>35.013018830337877</v>
      </c>
      <c r="AB102" s="953">
        <f>J102*Inflação!L39</f>
        <v>37.321487021913157</v>
      </c>
      <c r="AC102" s="953">
        <f>K102*Inflação!M39</f>
        <v>34.850922781632953</v>
      </c>
      <c r="AD102" s="953">
        <f>L102*Inflação!N39</f>
        <v>34.907860844913358</v>
      </c>
      <c r="AE102" s="953">
        <f>M102*Inflação!O39</f>
        <v>34.416714993749935</v>
      </c>
      <c r="AF102" s="953">
        <f>AVERAGE(T102:AE102)</f>
        <v>36.966500586154872</v>
      </c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1:47" s="902" customFormat="1" ht="14.5" x14ac:dyDescent="0.25">
      <c r="A103" s="911">
        <v>2023</v>
      </c>
      <c r="B103" s="912">
        <v>31.41</v>
      </c>
      <c r="C103" s="912">
        <v>30.99</v>
      </c>
      <c r="D103" s="912">
        <v>28.37</v>
      </c>
      <c r="E103" s="912">
        <v>24.36</v>
      </c>
      <c r="F103" s="912">
        <v>23.23</v>
      </c>
      <c r="G103" s="912">
        <v>23.54</v>
      </c>
      <c r="H103" s="912">
        <v>25.91</v>
      </c>
      <c r="I103" s="912">
        <v>26.36</v>
      </c>
      <c r="J103" s="912">
        <v>26.22</v>
      </c>
      <c r="K103" s="912">
        <v>26.38</v>
      </c>
      <c r="L103" s="912">
        <v>25.93</v>
      </c>
      <c r="M103" s="912">
        <v>28.05</v>
      </c>
      <c r="N103" s="912">
        <f>AVERAGE(B103:M103)</f>
        <v>26.729166666666668</v>
      </c>
      <c r="P103" s="913"/>
      <c r="S103" s="911">
        <v>2023</v>
      </c>
      <c r="T103" s="953">
        <f>B103*Inflação!D40</f>
        <v>33.916962529665405</v>
      </c>
      <c r="U103" s="953">
        <f>C103*Inflação!E40</f>
        <v>33.277680893498207</v>
      </c>
      <c r="V103" s="953">
        <f>D103*Inflação!F40</f>
        <v>30.363746405332698</v>
      </c>
      <c r="W103" s="953">
        <f>E103*Inflação!G40</f>
        <v>25.940702326915279</v>
      </c>
      <c r="X103" s="953">
        <f>F103*Inflação!H40</f>
        <v>24.675234490854148</v>
      </c>
      <c r="Y103" s="953">
        <f>G103*Inflação!I40</f>
        <v>24.924043276337308</v>
      </c>
      <c r="Z103" s="953">
        <f>H103*Inflação!J40</f>
        <v>27.381158359258212</v>
      </c>
      <c r="AA103" s="953">
        <f>I103*Inflação!K40</f>
        <v>27.735583566212636</v>
      </c>
      <c r="AB103" s="953">
        <f>J103*Inflação!L40</f>
        <v>27.519887195448831</v>
      </c>
      <c r="AC103" s="953">
        <f>K103*Inflação!M40</f>
        <v>27.698438396858982</v>
      </c>
      <c r="AD103" s="953">
        <f>L103*Inflação!N40</f>
        <v>27.280922843436432</v>
      </c>
      <c r="AE103" s="953">
        <f>M103*Inflação!O40</f>
        <v>29.540715771354805</v>
      </c>
      <c r="AF103" s="953">
        <f>AVERAGE(T103:AE103)</f>
        <v>28.35458967126441</v>
      </c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1:47" s="902" customFormat="1" ht="14.5" x14ac:dyDescent="0.25">
      <c r="A104" s="911">
        <v>2024</v>
      </c>
      <c r="B104" s="912">
        <v>25.83</v>
      </c>
      <c r="C104" s="912">
        <v>20.89</v>
      </c>
      <c r="D104" s="912">
        <v>21.76</v>
      </c>
      <c r="E104" s="912">
        <v>25.45</v>
      </c>
      <c r="F104" s="912">
        <v>23.57</v>
      </c>
      <c r="G104" s="912">
        <v>24.77</v>
      </c>
      <c r="H104" s="912">
        <v>22.89</v>
      </c>
      <c r="I104" s="912">
        <v>24.76</v>
      </c>
      <c r="J104" s="912">
        <v>24.14</v>
      </c>
      <c r="K104" s="912">
        <v>25.08</v>
      </c>
      <c r="L104" s="912">
        <v>25.37</v>
      </c>
      <c r="M104" s="912">
        <v>24.96</v>
      </c>
      <c r="N104" s="912">
        <f>AVERAGE(B104:M104)</f>
        <v>24.122499999999999</v>
      </c>
      <c r="P104" s="913"/>
      <c r="S104" s="911">
        <v>2024</v>
      </c>
      <c r="T104" s="953">
        <f>B104*Inflação!D41</f>
        <v>27.055349867225218</v>
      </c>
      <c r="U104" s="953">
        <f>C104*Inflação!E41</f>
        <v>21.746398045925893</v>
      </c>
      <c r="V104" s="953">
        <f>D104*Inflação!F41</f>
        <v>22.506577872264131</v>
      </c>
      <c r="W104" s="953">
        <f>E104*Inflação!G41</f>
        <v>26.22109405896386</v>
      </c>
      <c r="X104" s="953">
        <f>F104*Inflação!H41</f>
        <v>24.243848835765387</v>
      </c>
      <c r="Y104" s="953">
        <f>G104*Inflação!I41</f>
        <v>25.469559831304206</v>
      </c>
      <c r="Z104" s="953">
        <f>H104*Inflação!J41</f>
        <v>23.509152158707955</v>
      </c>
      <c r="AA104" s="953">
        <f>I104*Inflação!K41</f>
        <v>25.40905373638801</v>
      </c>
      <c r="AB104" s="953">
        <f>J104*Inflação!L41</f>
        <v>24.733123967256684</v>
      </c>
      <c r="AC104" s="953">
        <f>K104*Inflação!M41</f>
        <v>25.66667038369912</v>
      </c>
      <c r="AD104" s="953">
        <f>L104*Inflação!N41</f>
        <v>25.977526474438424</v>
      </c>
      <c r="AE104" s="953">
        <f>M104*Inflação!O41</f>
        <v>25.548638583038922</v>
      </c>
      <c r="AF104" s="953">
        <f>AVERAGE(T104:AE104)</f>
        <v>24.840582817914822</v>
      </c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1:47" s="902" customFormat="1" ht="13" x14ac:dyDescent="0.25">
      <c r="A105" s="914" t="s">
        <v>626</v>
      </c>
      <c r="B105" s="915">
        <f t="shared" ref="B105:N105" si="30">AVERAGE(B100:B104)</f>
        <v>27.838000000000001</v>
      </c>
      <c r="C105" s="915">
        <f t="shared" si="30"/>
        <v>27.032</v>
      </c>
      <c r="D105" s="915">
        <f t="shared" si="30"/>
        <v>27.106000000000002</v>
      </c>
      <c r="E105" s="915">
        <f t="shared" si="30"/>
        <v>26.507999999999999</v>
      </c>
      <c r="F105" s="915">
        <f t="shared" si="30"/>
        <v>26.76</v>
      </c>
      <c r="G105" s="915">
        <f t="shared" si="30"/>
        <v>26.474</v>
      </c>
      <c r="H105" s="915">
        <f t="shared" si="30"/>
        <v>26.903999999999996</v>
      </c>
      <c r="I105" s="915">
        <f t="shared" si="30"/>
        <v>27.748000000000001</v>
      </c>
      <c r="J105" s="915">
        <f t="shared" si="30"/>
        <v>28.472000000000001</v>
      </c>
      <c r="K105" s="915">
        <f t="shared" si="30"/>
        <v>29.637999999999998</v>
      </c>
      <c r="L105" s="915">
        <f t="shared" si="30"/>
        <v>29.072000000000003</v>
      </c>
      <c r="M105" s="915">
        <f t="shared" si="30"/>
        <v>28.369999999999997</v>
      </c>
      <c r="N105" s="915">
        <f t="shared" si="30"/>
        <v>27.660166666666669</v>
      </c>
      <c r="P105" s="916"/>
      <c r="S105" s="914" t="s">
        <v>626</v>
      </c>
      <c r="T105" s="915">
        <f t="shared" ref="T105:AF105" si="31">AVERAGE(T100:T104)</f>
        <v>32.002904853195027</v>
      </c>
      <c r="U105" s="915">
        <f t="shared" si="31"/>
        <v>30.950627804214385</v>
      </c>
      <c r="V105" s="915">
        <f t="shared" si="31"/>
        <v>30.841676778331873</v>
      </c>
      <c r="W105" s="915">
        <f t="shared" si="31"/>
        <v>29.997598790887757</v>
      </c>
      <c r="X105" s="915">
        <f t="shared" si="31"/>
        <v>30.181251442070696</v>
      </c>
      <c r="Y105" s="915">
        <f t="shared" si="31"/>
        <v>29.62571259273447</v>
      </c>
      <c r="Z105" s="915">
        <f t="shared" si="31"/>
        <v>30.086882920822383</v>
      </c>
      <c r="AA105" s="915">
        <f t="shared" si="31"/>
        <v>31.023742773775258</v>
      </c>
      <c r="AB105" s="915">
        <f t="shared" si="31"/>
        <v>31.826169835975282</v>
      </c>
      <c r="AC105" s="915">
        <f t="shared" si="31"/>
        <v>33.179856099394165</v>
      </c>
      <c r="AD105" s="915">
        <f t="shared" si="31"/>
        <v>32.521618774849564</v>
      </c>
      <c r="AE105" s="915">
        <f t="shared" si="31"/>
        <v>31.629531733282555</v>
      </c>
      <c r="AF105" s="915">
        <f t="shared" si="31"/>
        <v>31.155631199961125</v>
      </c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1:47" s="902" customFormat="1" ht="13" thickBot="1" x14ac:dyDescent="0.3">
      <c r="A106" s="917" t="s">
        <v>724</v>
      </c>
      <c r="B106" s="918"/>
      <c r="C106" s="918"/>
      <c r="D106" s="918"/>
      <c r="E106" s="918"/>
      <c r="F106" s="918"/>
      <c r="G106" s="918"/>
      <c r="H106" s="918"/>
      <c r="I106" s="918"/>
      <c r="J106" s="918"/>
      <c r="K106" s="918"/>
      <c r="L106" s="918"/>
      <c r="M106" s="918"/>
      <c r="N106" s="918"/>
      <c r="S106" s="917" t="s">
        <v>724</v>
      </c>
      <c r="T106" s="954"/>
      <c r="U106" s="954"/>
      <c r="V106" s="954"/>
      <c r="W106" s="954"/>
      <c r="X106" s="954"/>
      <c r="Y106" s="954"/>
      <c r="Z106" s="954"/>
      <c r="AA106" s="954"/>
      <c r="AB106" s="954"/>
      <c r="AC106" s="954"/>
      <c r="AD106" s="954"/>
      <c r="AE106" s="954"/>
      <c r="AF106" s="954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1:47" s="902" customFormat="1" ht="13.5" thickBot="1" x14ac:dyDescent="0.3">
      <c r="A107" s="903" t="s">
        <v>727</v>
      </c>
      <c r="B107" s="904"/>
      <c r="C107" s="905"/>
      <c r="D107" s="905"/>
      <c r="E107" s="905"/>
      <c r="F107" s="905"/>
      <c r="G107" s="905"/>
      <c r="H107" s="905"/>
      <c r="I107" s="905"/>
      <c r="J107" s="905"/>
      <c r="K107" s="905"/>
      <c r="L107" s="905"/>
      <c r="M107" s="905"/>
      <c r="N107" s="906"/>
      <c r="S107" s="903" t="s">
        <v>727</v>
      </c>
      <c r="T107" s="904"/>
      <c r="U107" s="955"/>
      <c r="V107" s="955"/>
      <c r="W107" s="955"/>
      <c r="X107" s="955"/>
      <c r="Y107" s="955"/>
      <c r="Z107" s="955"/>
      <c r="AA107" s="955"/>
      <c r="AB107" s="955"/>
      <c r="AC107" s="955"/>
      <c r="AD107" s="955"/>
      <c r="AE107" s="955"/>
      <c r="AF107" s="956"/>
      <c r="AH107" t="s">
        <v>773</v>
      </c>
      <c r="AI107" s="964">
        <f>AB75/AB72/1000</f>
        <v>0.49665666813435344</v>
      </c>
      <c r="AJ107">
        <f>AI107*1000</f>
        <v>496.65666813435342</v>
      </c>
      <c r="AK107"/>
      <c r="AL107"/>
      <c r="AM107"/>
      <c r="AN107"/>
      <c r="AO107"/>
      <c r="AP107"/>
      <c r="AQ107"/>
      <c r="AR107"/>
      <c r="AS107"/>
      <c r="AT107"/>
      <c r="AU107"/>
    </row>
    <row r="108" spans="1:47" s="902" customFormat="1" ht="58" x14ac:dyDescent="0.25">
      <c r="A108" s="907" t="s">
        <v>617</v>
      </c>
      <c r="B108" s="908" t="s">
        <v>615</v>
      </c>
      <c r="C108" s="908" t="s">
        <v>614</v>
      </c>
      <c r="D108" s="908" t="s">
        <v>613</v>
      </c>
      <c r="E108" s="908" t="s">
        <v>612</v>
      </c>
      <c r="F108" s="908" t="s">
        <v>611</v>
      </c>
      <c r="G108" s="908" t="s">
        <v>610</v>
      </c>
      <c r="H108" s="908" t="s">
        <v>609</v>
      </c>
      <c r="I108" s="908" t="s">
        <v>608</v>
      </c>
      <c r="J108" s="908" t="s">
        <v>607</v>
      </c>
      <c r="K108" s="908" t="s">
        <v>606</v>
      </c>
      <c r="L108" s="908" t="s">
        <v>605</v>
      </c>
      <c r="M108" s="908" t="s">
        <v>604</v>
      </c>
      <c r="N108" s="909" t="s">
        <v>624</v>
      </c>
      <c r="P108" s="910" t="s">
        <v>625</v>
      </c>
      <c r="S108" s="907" t="s">
        <v>617</v>
      </c>
      <c r="T108" s="908" t="s">
        <v>615</v>
      </c>
      <c r="U108" s="908" t="s">
        <v>614</v>
      </c>
      <c r="V108" s="908" t="s">
        <v>613</v>
      </c>
      <c r="W108" s="908" t="s">
        <v>612</v>
      </c>
      <c r="X108" s="908" t="s">
        <v>611</v>
      </c>
      <c r="Y108" s="908" t="s">
        <v>610</v>
      </c>
      <c r="Z108" s="908" t="s">
        <v>609</v>
      </c>
      <c r="AA108" s="908" t="s">
        <v>608</v>
      </c>
      <c r="AB108" s="908" t="s">
        <v>607</v>
      </c>
      <c r="AC108" s="908" t="s">
        <v>606</v>
      </c>
      <c r="AD108" s="908" t="s">
        <v>605</v>
      </c>
      <c r="AE108" s="908" t="s">
        <v>604</v>
      </c>
      <c r="AF108" s="909" t="s">
        <v>624</v>
      </c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1:47" s="902" customFormat="1" ht="14.5" x14ac:dyDescent="0.25">
      <c r="A109" s="911">
        <v>2020</v>
      </c>
      <c r="B109" s="912">
        <f>B100/60</f>
        <v>0.33383333333333337</v>
      </c>
      <c r="C109" s="912">
        <f t="shared" ref="C109:M109" si="32">C100/60</f>
        <v>0.32550000000000001</v>
      </c>
      <c r="D109" s="912">
        <f t="shared" si="32"/>
        <v>0.32350000000000001</v>
      </c>
      <c r="E109" s="912">
        <f t="shared" si="32"/>
        <v>0.31566666666666671</v>
      </c>
      <c r="F109" s="912">
        <f t="shared" si="32"/>
        <v>0.31533333333333335</v>
      </c>
      <c r="G109" s="912">
        <f t="shared" si="32"/>
        <v>0.31783333333333336</v>
      </c>
      <c r="H109" s="912">
        <f t="shared" si="32"/>
        <v>0.34483333333333338</v>
      </c>
      <c r="I109" s="912">
        <f t="shared" si="32"/>
        <v>0.376</v>
      </c>
      <c r="J109" s="912">
        <f t="shared" si="32"/>
        <v>0.41816666666666669</v>
      </c>
      <c r="K109" s="912">
        <f t="shared" si="32"/>
        <v>0.51733333333333331</v>
      </c>
      <c r="L109" s="912">
        <f t="shared" si="32"/>
        <v>0.52849999999999997</v>
      </c>
      <c r="M109" s="912">
        <f t="shared" si="32"/>
        <v>0.47850000000000004</v>
      </c>
      <c r="N109" s="912">
        <f>AVERAGE(B109:M109)</f>
        <v>0.38291666666666674</v>
      </c>
      <c r="P109" s="913"/>
      <c r="S109" s="911">
        <v>2020</v>
      </c>
      <c r="T109" s="953">
        <f t="shared" ref="T109:AE109" si="33">T100/60</f>
        <v>0.41804772887908592</v>
      </c>
      <c r="U109" s="953">
        <f t="shared" si="33"/>
        <v>0.40649813281376856</v>
      </c>
      <c r="V109" s="953">
        <f t="shared" si="33"/>
        <v>0.40488165352652883</v>
      </c>
      <c r="W109" s="953">
        <f t="shared" si="33"/>
        <v>0.39773736522757741</v>
      </c>
      <c r="X109" s="953">
        <f t="shared" si="33"/>
        <v>0.39730961982989726</v>
      </c>
      <c r="Y109" s="953">
        <f t="shared" si="33"/>
        <v>0.39828012997306667</v>
      </c>
      <c r="Z109" s="953">
        <f t="shared" si="33"/>
        <v>0.42993936212776751</v>
      </c>
      <c r="AA109" s="953">
        <f t="shared" si="33"/>
        <v>0.46732449464831211</v>
      </c>
      <c r="AB109" s="953">
        <f t="shared" si="33"/>
        <v>0.51900993289278219</v>
      </c>
      <c r="AC109" s="953">
        <f t="shared" si="33"/>
        <v>0.641824886963557</v>
      </c>
      <c r="AD109" s="953">
        <f t="shared" si="33"/>
        <v>0.65607933012846376</v>
      </c>
      <c r="AE109" s="953">
        <f t="shared" si="33"/>
        <v>0.59345066302202909</v>
      </c>
      <c r="AF109" s="953">
        <f>AVERAGE(T109:AE109)</f>
        <v>0.47753194166940299</v>
      </c>
      <c r="AG109" s="918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1:47" s="902" customFormat="1" ht="14.5" x14ac:dyDescent="0.25">
      <c r="A110" s="911">
        <v>2021</v>
      </c>
      <c r="B110" s="912">
        <f t="shared" ref="B110:M113" si="34">B101/60</f>
        <v>0.54516666666666669</v>
      </c>
      <c r="C110" s="912">
        <f t="shared" si="34"/>
        <v>0.5116666666666666</v>
      </c>
      <c r="D110" s="912">
        <f t="shared" si="34"/>
        <v>0.503</v>
      </c>
      <c r="E110" s="912">
        <f t="shared" si="34"/>
        <v>0.48466666666666663</v>
      </c>
      <c r="F110" s="912">
        <f t="shared" si="34"/>
        <v>0.51066666666666671</v>
      </c>
      <c r="G110" s="912">
        <f t="shared" si="34"/>
        <v>0.50350000000000006</v>
      </c>
      <c r="H110" s="912">
        <f t="shared" si="34"/>
        <v>0.50949999999999995</v>
      </c>
      <c r="I110" s="912">
        <f t="shared" si="34"/>
        <v>0.54933333333333334</v>
      </c>
      <c r="J110" s="912">
        <f t="shared" si="34"/>
        <v>0.54366666666666663</v>
      </c>
      <c r="K110" s="912">
        <f t="shared" si="34"/>
        <v>0.55899999999999994</v>
      </c>
      <c r="L110" s="912">
        <f t="shared" si="34"/>
        <v>0.503</v>
      </c>
      <c r="M110" s="912">
        <f t="shared" si="34"/>
        <v>0.47516666666666668</v>
      </c>
      <c r="N110" s="912">
        <f>AVERAGE(B110:M110)</f>
        <v>0.51652777777777781</v>
      </c>
      <c r="P110" s="913"/>
      <c r="S110" s="911">
        <v>2021</v>
      </c>
      <c r="T110" s="953">
        <f t="shared" ref="T110:AE110" si="35">T101/60</f>
        <v>0.67326880799647282</v>
      </c>
      <c r="U110" s="953">
        <f t="shared" si="35"/>
        <v>0.62845663475455038</v>
      </c>
      <c r="V110" s="953">
        <f t="shared" si="35"/>
        <v>0.61346641648765265</v>
      </c>
      <c r="W110" s="953">
        <f t="shared" si="35"/>
        <v>0.58628815645275245</v>
      </c>
      <c r="X110" s="953">
        <f t="shared" si="35"/>
        <v>0.61282655819511267</v>
      </c>
      <c r="Y110" s="953">
        <f t="shared" si="35"/>
        <v>0.59866419822154171</v>
      </c>
      <c r="Z110" s="953">
        <f t="shared" si="35"/>
        <v>0.60289797548012303</v>
      </c>
      <c r="AA110" s="953">
        <f t="shared" si="35"/>
        <v>0.64869313428398412</v>
      </c>
      <c r="AB110" s="953">
        <f t="shared" si="35"/>
        <v>0.64026258369484645</v>
      </c>
      <c r="AC110" s="953">
        <f t="shared" si="35"/>
        <v>0.65289592861610546</v>
      </c>
      <c r="AD110" s="953">
        <f t="shared" si="35"/>
        <v>0.58461706506252975</v>
      </c>
      <c r="AE110" s="953">
        <f t="shared" si="35"/>
        <v>0.55057582561578944</v>
      </c>
      <c r="AF110" s="953">
        <f>AVERAGE(T110:AE110)</f>
        <v>0.61607610707178839</v>
      </c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1:47" s="902" customFormat="1" ht="14.5" x14ac:dyDescent="0.25">
      <c r="A111" s="911">
        <v>2022</v>
      </c>
      <c r="B111" s="912">
        <f t="shared" si="34"/>
        <v>0.48683333333333334</v>
      </c>
      <c r="C111" s="912">
        <f t="shared" si="34"/>
        <v>0.55083333333333329</v>
      </c>
      <c r="D111" s="912">
        <f t="shared" si="34"/>
        <v>0.59683333333333333</v>
      </c>
      <c r="E111" s="912">
        <f t="shared" si="34"/>
        <v>0.57850000000000001</v>
      </c>
      <c r="F111" s="912">
        <f t="shared" si="34"/>
        <v>0.624</v>
      </c>
      <c r="G111" s="912">
        <f t="shared" si="34"/>
        <v>0.57966666666666666</v>
      </c>
      <c r="H111" s="912">
        <f t="shared" si="34"/>
        <v>0.57433333333333336</v>
      </c>
      <c r="I111" s="912">
        <f t="shared" si="34"/>
        <v>0.53500000000000003</v>
      </c>
      <c r="J111" s="912">
        <f t="shared" si="34"/>
        <v>0.57150000000000001</v>
      </c>
      <c r="K111" s="912">
        <f t="shared" si="34"/>
        <v>0.53583333333333327</v>
      </c>
      <c r="L111" s="912">
        <f t="shared" si="34"/>
        <v>0.53616666666666668</v>
      </c>
      <c r="M111" s="912">
        <f t="shared" si="34"/>
        <v>0.52700000000000002</v>
      </c>
      <c r="N111" s="912">
        <f>AVERAGE(B111:M111)</f>
        <v>0.55804166666666677</v>
      </c>
      <c r="P111" s="913"/>
      <c r="S111" s="911">
        <v>2022</v>
      </c>
      <c r="T111" s="953">
        <f t="shared" ref="T111:AE111" si="36">T102/60</f>
        <v>0.55938699427584981</v>
      </c>
      <c r="U111" s="953">
        <f t="shared" si="36"/>
        <v>0.62719623379247791</v>
      </c>
      <c r="V111" s="953">
        <f t="shared" si="36"/>
        <v>0.67061959022019413</v>
      </c>
      <c r="W111" s="953">
        <f t="shared" si="36"/>
        <v>0.64641110446233085</v>
      </c>
      <c r="X111" s="953">
        <f t="shared" si="36"/>
        <v>0.68965005337055596</v>
      </c>
      <c r="Y111" s="953">
        <f t="shared" si="36"/>
        <v>0.63197166940590577</v>
      </c>
      <c r="Z111" s="953">
        <f t="shared" si="36"/>
        <v>0.62623106382787208</v>
      </c>
      <c r="AA111" s="953">
        <f t="shared" si="36"/>
        <v>0.58355031383896461</v>
      </c>
      <c r="AB111" s="953">
        <f t="shared" si="36"/>
        <v>0.62202478369855263</v>
      </c>
      <c r="AC111" s="953">
        <f t="shared" si="36"/>
        <v>0.58084871302721586</v>
      </c>
      <c r="AD111" s="953">
        <f t="shared" si="36"/>
        <v>0.58179768074855598</v>
      </c>
      <c r="AE111" s="953">
        <f t="shared" si="36"/>
        <v>0.57361191656249888</v>
      </c>
      <c r="AF111" s="953">
        <f>AVERAGE(T111:AE111)</f>
        <v>0.61610834310258111</v>
      </c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1:47" s="902" customFormat="1" ht="14.5" x14ac:dyDescent="0.25">
      <c r="A112" s="911">
        <v>2023</v>
      </c>
      <c r="B112" s="912">
        <f t="shared" si="34"/>
        <v>0.52349999999999997</v>
      </c>
      <c r="C112" s="912">
        <f t="shared" si="34"/>
        <v>0.51649999999999996</v>
      </c>
      <c r="D112" s="912">
        <f t="shared" si="34"/>
        <v>0.47283333333333333</v>
      </c>
      <c r="E112" s="912">
        <f t="shared" si="34"/>
        <v>0.40599999999999997</v>
      </c>
      <c r="F112" s="912">
        <f t="shared" si="34"/>
        <v>0.38716666666666666</v>
      </c>
      <c r="G112" s="912">
        <f t="shared" si="34"/>
        <v>0.39233333333333331</v>
      </c>
      <c r="H112" s="912">
        <f t="shared" si="34"/>
        <v>0.43183333333333335</v>
      </c>
      <c r="I112" s="912">
        <f t="shared" si="34"/>
        <v>0.4393333333333333</v>
      </c>
      <c r="J112" s="912">
        <f t="shared" si="34"/>
        <v>0.437</v>
      </c>
      <c r="K112" s="912">
        <f t="shared" si="34"/>
        <v>0.43966666666666665</v>
      </c>
      <c r="L112" s="912">
        <f t="shared" si="34"/>
        <v>0.43216666666666664</v>
      </c>
      <c r="M112" s="912">
        <f t="shared" si="34"/>
        <v>0.46750000000000003</v>
      </c>
      <c r="N112" s="912">
        <f>AVERAGE(B112:M112)</f>
        <v>0.44548611111111108</v>
      </c>
      <c r="P112" s="913"/>
      <c r="S112" s="911">
        <v>2023</v>
      </c>
      <c r="T112" s="953">
        <f t="shared" ref="T112:AE112" si="37">T103/60</f>
        <v>0.56528270882775677</v>
      </c>
      <c r="U112" s="953">
        <f t="shared" si="37"/>
        <v>0.55462801489163682</v>
      </c>
      <c r="V112" s="953">
        <f t="shared" si="37"/>
        <v>0.50606244008887835</v>
      </c>
      <c r="W112" s="953">
        <f t="shared" si="37"/>
        <v>0.43234503878192132</v>
      </c>
      <c r="X112" s="953">
        <f t="shared" si="37"/>
        <v>0.41125390818090246</v>
      </c>
      <c r="Y112" s="953">
        <f t="shared" si="37"/>
        <v>0.41540072127228844</v>
      </c>
      <c r="Z112" s="953">
        <f t="shared" si="37"/>
        <v>0.4563526393209702</v>
      </c>
      <c r="AA112" s="953">
        <f t="shared" si="37"/>
        <v>0.46225972610354393</v>
      </c>
      <c r="AB112" s="953">
        <f t="shared" si="37"/>
        <v>0.45866478659081383</v>
      </c>
      <c r="AC112" s="953">
        <f t="shared" si="37"/>
        <v>0.4616406399476497</v>
      </c>
      <c r="AD112" s="953">
        <f t="shared" si="37"/>
        <v>0.45468204739060719</v>
      </c>
      <c r="AE112" s="953">
        <f t="shared" si="37"/>
        <v>0.4923452628559134</v>
      </c>
      <c r="AF112" s="953">
        <f>AVERAGE(T112:AE112)</f>
        <v>0.47257649452107353</v>
      </c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1:47" s="902" customFormat="1" ht="14.5" x14ac:dyDescent="0.25">
      <c r="A113" s="911">
        <v>2024</v>
      </c>
      <c r="B113" s="912">
        <f t="shared" si="34"/>
        <v>0.43049999999999999</v>
      </c>
      <c r="C113" s="912">
        <f t="shared" si="34"/>
        <v>0.34816666666666668</v>
      </c>
      <c r="D113" s="912">
        <f t="shared" si="34"/>
        <v>0.36266666666666669</v>
      </c>
      <c r="E113" s="912">
        <f t="shared" si="34"/>
        <v>0.42416666666666664</v>
      </c>
      <c r="F113" s="912">
        <f t="shared" si="34"/>
        <v>0.39283333333333331</v>
      </c>
      <c r="G113" s="912">
        <f t="shared" si="34"/>
        <v>0.41283333333333333</v>
      </c>
      <c r="H113" s="912">
        <f t="shared" si="34"/>
        <v>0.38150000000000001</v>
      </c>
      <c r="I113" s="912">
        <f t="shared" si="34"/>
        <v>0.41266666666666668</v>
      </c>
      <c r="J113" s="912">
        <f t="shared" si="34"/>
        <v>0.40233333333333332</v>
      </c>
      <c r="K113" s="912">
        <f t="shared" si="34"/>
        <v>0.41799999999999998</v>
      </c>
      <c r="L113" s="912">
        <f t="shared" si="34"/>
        <v>0.42283333333333334</v>
      </c>
      <c r="M113" s="912">
        <f t="shared" si="34"/>
        <v>0.41600000000000004</v>
      </c>
      <c r="N113" s="912">
        <f>AVERAGE(B113:M113)</f>
        <v>0.40204166666666669</v>
      </c>
      <c r="P113" s="913"/>
      <c r="S113" s="911">
        <v>2024</v>
      </c>
      <c r="T113" s="953">
        <f t="shared" ref="T113:AE113" si="38">T104/60</f>
        <v>0.45092249778708698</v>
      </c>
      <c r="U113" s="953">
        <f t="shared" si="38"/>
        <v>0.36243996743209822</v>
      </c>
      <c r="V113" s="953">
        <f t="shared" si="38"/>
        <v>0.37510963120440216</v>
      </c>
      <c r="W113" s="953">
        <f t="shared" si="38"/>
        <v>0.43701823431606435</v>
      </c>
      <c r="X113" s="953">
        <f t="shared" si="38"/>
        <v>0.40406414726275647</v>
      </c>
      <c r="Y113" s="953">
        <f t="shared" si="38"/>
        <v>0.42449266385507012</v>
      </c>
      <c r="Z113" s="953">
        <f t="shared" si="38"/>
        <v>0.39181920264513259</v>
      </c>
      <c r="AA113" s="953">
        <f t="shared" si="38"/>
        <v>0.42348422893980014</v>
      </c>
      <c r="AB113" s="953">
        <f t="shared" si="38"/>
        <v>0.4122187327876114</v>
      </c>
      <c r="AC113" s="953">
        <f t="shared" si="38"/>
        <v>0.42777783972831868</v>
      </c>
      <c r="AD113" s="953">
        <f t="shared" si="38"/>
        <v>0.43295877457397375</v>
      </c>
      <c r="AE113" s="953">
        <f t="shared" si="38"/>
        <v>0.4258106430506487</v>
      </c>
      <c r="AF113" s="953">
        <f>AVERAGE(T113:AE113)</f>
        <v>0.41400971363191363</v>
      </c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1:47" s="902" customFormat="1" ht="13" x14ac:dyDescent="0.25">
      <c r="A114" s="914" t="s">
        <v>626</v>
      </c>
      <c r="B114" s="915">
        <f t="shared" ref="B114:N114" si="39">AVERAGE(B109:B113)</f>
        <v>0.46396666666666658</v>
      </c>
      <c r="C114" s="915">
        <f t="shared" si="39"/>
        <v>0.45053333333333329</v>
      </c>
      <c r="D114" s="915">
        <f t="shared" si="39"/>
        <v>0.45176666666666671</v>
      </c>
      <c r="E114" s="915">
        <f t="shared" si="39"/>
        <v>0.44180000000000003</v>
      </c>
      <c r="F114" s="915">
        <f t="shared" si="39"/>
        <v>0.44600000000000001</v>
      </c>
      <c r="G114" s="915">
        <f t="shared" si="39"/>
        <v>0.44123333333333337</v>
      </c>
      <c r="H114" s="915">
        <f t="shared" si="39"/>
        <v>0.44840000000000002</v>
      </c>
      <c r="I114" s="915">
        <f t="shared" si="39"/>
        <v>0.46246666666666664</v>
      </c>
      <c r="J114" s="915">
        <f t="shared" si="39"/>
        <v>0.47453333333333331</v>
      </c>
      <c r="K114" s="915">
        <f t="shared" si="39"/>
        <v>0.49396666666666667</v>
      </c>
      <c r="L114" s="915">
        <f t="shared" si="39"/>
        <v>0.48453333333333326</v>
      </c>
      <c r="M114" s="915">
        <f t="shared" si="39"/>
        <v>0.47283333333333333</v>
      </c>
      <c r="N114" s="915">
        <f t="shared" si="39"/>
        <v>0.46100277777777776</v>
      </c>
      <c r="P114" s="916"/>
      <c r="S114" s="914" t="s">
        <v>626</v>
      </c>
      <c r="T114" s="915">
        <f t="shared" ref="T114:AF114" si="40">AVERAGE(T109:T113)</f>
        <v>0.53338174755325052</v>
      </c>
      <c r="U114" s="915">
        <f t="shared" si="40"/>
        <v>0.51584379673690639</v>
      </c>
      <c r="V114" s="915">
        <f t="shared" si="40"/>
        <v>0.51402794630553128</v>
      </c>
      <c r="W114" s="915">
        <f t="shared" si="40"/>
        <v>0.49995997984812934</v>
      </c>
      <c r="X114" s="915">
        <f t="shared" si="40"/>
        <v>0.50302085736784496</v>
      </c>
      <c r="Y114" s="915">
        <f t="shared" si="40"/>
        <v>0.49376187654557457</v>
      </c>
      <c r="Z114" s="915">
        <f t="shared" si="40"/>
        <v>0.50144804868037307</v>
      </c>
      <c r="AA114" s="915">
        <f t="shared" si="40"/>
        <v>0.517062379562921</v>
      </c>
      <c r="AB114" s="915">
        <f t="shared" si="40"/>
        <v>0.53043616393292126</v>
      </c>
      <c r="AC114" s="915">
        <f t="shared" si="40"/>
        <v>0.5529976016565693</v>
      </c>
      <c r="AD114" s="915">
        <f t="shared" si="40"/>
        <v>0.54202697958082602</v>
      </c>
      <c r="AE114" s="915">
        <f t="shared" si="40"/>
        <v>0.52715886222137587</v>
      </c>
      <c r="AF114" s="915">
        <f t="shared" si="40"/>
        <v>0.51926051999935185</v>
      </c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1:47" s="902" customFormat="1" x14ac:dyDescent="0.25">
      <c r="A115" s="917" t="s">
        <v>724</v>
      </c>
      <c r="B115" s="918"/>
      <c r="C115" s="918"/>
      <c r="D115" s="918"/>
      <c r="E115" s="918"/>
      <c r="F115" s="918"/>
      <c r="G115" s="918"/>
      <c r="H115" s="918"/>
      <c r="I115" s="918"/>
      <c r="J115" s="918"/>
      <c r="K115" s="918"/>
      <c r="L115" s="918"/>
      <c r="M115" s="918"/>
      <c r="N115" s="918"/>
      <c r="S115" s="917" t="s">
        <v>724</v>
      </c>
      <c r="T115" s="954"/>
      <c r="U115" s="954"/>
      <c r="V115" s="954"/>
      <c r="W115" s="954"/>
      <c r="X115" s="954"/>
      <c r="Y115" s="954"/>
      <c r="Z115" s="954"/>
      <c r="AA115" s="954"/>
      <c r="AB115" s="954"/>
      <c r="AC115" s="954"/>
      <c r="AD115" s="954"/>
      <c r="AE115" s="954"/>
      <c r="AF115" s="954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1:47" s="902" customFormat="1" ht="13" thickBot="1" x14ac:dyDescent="0.3"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1:47" s="902" customFormat="1" ht="13.5" thickBot="1" x14ac:dyDescent="0.3">
      <c r="A117" s="903" t="s">
        <v>728</v>
      </c>
      <c r="B117" s="904"/>
      <c r="C117" s="905"/>
      <c r="D117" s="905"/>
      <c r="E117" s="905"/>
      <c r="F117" s="905"/>
      <c r="G117" s="905"/>
      <c r="H117" s="905"/>
      <c r="I117" s="905"/>
      <c r="J117" s="905"/>
      <c r="K117" s="905"/>
      <c r="L117" s="905"/>
      <c r="M117" s="905"/>
      <c r="N117" s="906"/>
      <c r="S117" s="903" t="s">
        <v>728</v>
      </c>
      <c r="T117" s="904"/>
      <c r="U117" s="955"/>
      <c r="V117" s="955"/>
      <c r="W117" s="955"/>
      <c r="X117" s="955"/>
      <c r="Y117" s="955"/>
      <c r="Z117" s="955"/>
      <c r="AA117" s="955"/>
      <c r="AB117" s="955"/>
      <c r="AC117" s="955"/>
      <c r="AD117" s="955"/>
      <c r="AE117" s="955"/>
      <c r="AF117" s="956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1:47" s="902" customFormat="1" ht="58" x14ac:dyDescent="0.25">
      <c r="A118" s="907" t="s">
        <v>617</v>
      </c>
      <c r="B118" s="908" t="s">
        <v>615</v>
      </c>
      <c r="C118" s="908" t="s">
        <v>614</v>
      </c>
      <c r="D118" s="908" t="s">
        <v>613</v>
      </c>
      <c r="E118" s="908" t="s">
        <v>612</v>
      </c>
      <c r="F118" s="908" t="s">
        <v>611</v>
      </c>
      <c r="G118" s="908" t="s">
        <v>610</v>
      </c>
      <c r="H118" s="908" t="s">
        <v>609</v>
      </c>
      <c r="I118" s="908" t="s">
        <v>608</v>
      </c>
      <c r="J118" s="908" t="s">
        <v>607</v>
      </c>
      <c r="K118" s="908" t="s">
        <v>606</v>
      </c>
      <c r="L118" s="908" t="s">
        <v>605</v>
      </c>
      <c r="M118" s="908" t="s">
        <v>604</v>
      </c>
      <c r="N118" s="909" t="s">
        <v>624</v>
      </c>
      <c r="P118" s="910" t="s">
        <v>625</v>
      </c>
      <c r="S118" s="907" t="s">
        <v>617</v>
      </c>
      <c r="T118" s="908" t="s">
        <v>615</v>
      </c>
      <c r="U118" s="908" t="s">
        <v>614</v>
      </c>
      <c r="V118" s="908" t="s">
        <v>613</v>
      </c>
      <c r="W118" s="908" t="s">
        <v>612</v>
      </c>
      <c r="X118" s="908" t="s">
        <v>611</v>
      </c>
      <c r="Y118" s="908" t="s">
        <v>610</v>
      </c>
      <c r="Z118" s="908" t="s">
        <v>609</v>
      </c>
      <c r="AA118" s="908" t="s">
        <v>608</v>
      </c>
      <c r="AB118" s="908" t="s">
        <v>607</v>
      </c>
      <c r="AC118" s="908" t="s">
        <v>606</v>
      </c>
      <c r="AD118" s="908" t="s">
        <v>605</v>
      </c>
      <c r="AE118" s="908" t="s">
        <v>604</v>
      </c>
      <c r="AF118" s="909" t="s">
        <v>624</v>
      </c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1:47" s="902" customFormat="1" ht="14.5" x14ac:dyDescent="0.25">
      <c r="A119" s="911">
        <v>2020</v>
      </c>
      <c r="B119" s="912">
        <v>46.98</v>
      </c>
      <c r="C119" s="912">
        <v>47.13</v>
      </c>
      <c r="D119" s="912">
        <v>54.14</v>
      </c>
      <c r="E119" s="912">
        <v>63.01</v>
      </c>
      <c r="F119" s="912">
        <v>56.18</v>
      </c>
      <c r="G119" s="912">
        <v>43.69</v>
      </c>
      <c r="H119" s="912">
        <v>40.51</v>
      </c>
      <c r="I119" s="912">
        <v>39.979999999999997</v>
      </c>
      <c r="J119" s="912">
        <v>49.68</v>
      </c>
      <c r="K119" s="912">
        <v>48.24</v>
      </c>
      <c r="L119" s="912">
        <v>45.91</v>
      </c>
      <c r="M119" s="912">
        <v>50.63</v>
      </c>
      <c r="N119" s="912">
        <f>AVERAGE(B119:M119)</f>
        <v>48.84</v>
      </c>
      <c r="P119" s="913"/>
      <c r="S119" s="911">
        <v>2020</v>
      </c>
      <c r="T119" s="953">
        <f>B119*Inflação!D37</f>
        <v>58.831399808505601</v>
      </c>
      <c r="U119" s="953">
        <f>C119*Inflação!E37</f>
        <v>58.857932410177916</v>
      </c>
      <c r="V119" s="953">
        <f>D119*Inflação!F37</f>
        <v>67.759792030683997</v>
      </c>
      <c r="W119" s="953">
        <f>E119*Inflação!G37</f>
        <v>79.392074074940808</v>
      </c>
      <c r="X119" s="953">
        <f>F119*Inflação!H37</f>
        <v>70.78495066187196</v>
      </c>
      <c r="Y119" s="953">
        <f>G119*Inflação!I37</f>
        <v>54.748376125400988</v>
      </c>
      <c r="Z119" s="953">
        <f>H119*Inflação!J37</f>
        <v>50.508004523332602</v>
      </c>
      <c r="AA119" s="953">
        <f>I119*Inflação!K37</f>
        <v>49.690514085211483</v>
      </c>
      <c r="AB119" s="953">
        <f>J119*Inflação!L37</f>
        <v>61.660614107883823</v>
      </c>
      <c r="AC119" s="953">
        <f>K119*Inflação!M37</f>
        <v>59.848516521498695</v>
      </c>
      <c r="AD119" s="953">
        <f>L119*Inflação!N37</f>
        <v>56.992624496116882</v>
      </c>
      <c r="AE119" s="953">
        <f>M119*Inflação!O37</f>
        <v>62.792909234702897</v>
      </c>
      <c r="AF119" s="953">
        <f>AVERAGE(T119:AE119)</f>
        <v>60.988975673360635</v>
      </c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1:47" s="902" customFormat="1" ht="14.5" x14ac:dyDescent="0.25">
      <c r="A120" s="911">
        <v>2021</v>
      </c>
      <c r="B120" s="912">
        <v>54.75</v>
      </c>
      <c r="C120" s="912">
        <v>53.78</v>
      </c>
      <c r="D120" s="912">
        <v>52.31</v>
      </c>
      <c r="E120" s="912">
        <v>51.18</v>
      </c>
      <c r="F120" s="912">
        <v>50.4</v>
      </c>
      <c r="G120" s="912">
        <v>52.23</v>
      </c>
      <c r="H120" s="912">
        <v>54.41</v>
      </c>
      <c r="I120" s="912">
        <v>54.77</v>
      </c>
      <c r="J120" s="912">
        <v>51.41</v>
      </c>
      <c r="K120" s="912">
        <v>48.65</v>
      </c>
      <c r="L120" s="912">
        <v>46.19</v>
      </c>
      <c r="M120" s="912">
        <v>45.6</v>
      </c>
      <c r="N120" s="912">
        <f>AVERAGE(B120:M120)</f>
        <v>51.306666666666665</v>
      </c>
      <c r="P120" s="913"/>
      <c r="S120" s="911">
        <v>2021</v>
      </c>
      <c r="T120" s="953">
        <f>B120*Inflação!D38</f>
        <v>67.615042319425655</v>
      </c>
      <c r="U120" s="953">
        <f>C120*Inflação!E38</f>
        <v>66.055500619738865</v>
      </c>
      <c r="V120" s="953">
        <f>D120*Inflação!F38</f>
        <v>63.798068084431641</v>
      </c>
      <c r="W120" s="953">
        <f>E120*Inflação!G38</f>
        <v>61.911061583050625</v>
      </c>
      <c r="X120" s="953">
        <f>F120*Inflação!H38</f>
        <v>60.482621148238273</v>
      </c>
      <c r="Y120" s="953">
        <f>G120*Inflação!I38</f>
        <v>62.10174989694363</v>
      </c>
      <c r="Z120" s="953">
        <f>H120*Inflação!J38</f>
        <v>64.384060541459249</v>
      </c>
      <c r="AA120" s="953">
        <f>I120*Inflação!K38</f>
        <v>64.676437435801844</v>
      </c>
      <c r="AB120" s="953">
        <f>J120*Inflação!L38</f>
        <v>60.544266268090844</v>
      </c>
      <c r="AC120" s="953">
        <f>K120*Inflação!M38</f>
        <v>56.821801300847099</v>
      </c>
      <c r="AD120" s="953">
        <f>L120*Inflação!N38</f>
        <v>53.684815577014412</v>
      </c>
      <c r="AE120" s="953">
        <f>M120*Inflação!O38</f>
        <v>52.836740052079968</v>
      </c>
      <c r="AF120" s="953">
        <f>AVERAGE(T120:AE120)</f>
        <v>61.242680402260184</v>
      </c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1:47" s="902" customFormat="1" ht="14.5" x14ac:dyDescent="0.25">
      <c r="A121" s="911">
        <v>2022</v>
      </c>
      <c r="B121" s="912">
        <v>49.46</v>
      </c>
      <c r="C121" s="912">
        <v>53.98</v>
      </c>
      <c r="D121" s="912">
        <v>59.84</v>
      </c>
      <c r="E121" s="912">
        <v>60.7</v>
      </c>
      <c r="F121" s="912">
        <v>64.930000000000007</v>
      </c>
      <c r="G121" s="912">
        <v>60.98</v>
      </c>
      <c r="H121" s="912">
        <v>62.37</v>
      </c>
      <c r="I121" s="912">
        <v>56.75</v>
      </c>
      <c r="J121" s="912">
        <v>56.92</v>
      </c>
      <c r="K121" s="912">
        <v>55.89</v>
      </c>
      <c r="L121" s="912">
        <v>59.96</v>
      </c>
      <c r="M121" s="912">
        <v>69.87</v>
      </c>
      <c r="N121" s="912">
        <f>AVERAGE(B121:M121)</f>
        <v>59.304166666666674</v>
      </c>
      <c r="P121" s="913"/>
      <c r="S121" s="911">
        <v>2022</v>
      </c>
      <c r="T121" s="953">
        <f>B121*Inflação!D39</f>
        <v>56.831114146285934</v>
      </c>
      <c r="U121" s="953">
        <f>C121*Inflação!E39</f>
        <v>61.463333192347278</v>
      </c>
      <c r="V121" s="953">
        <f>D121*Inflação!F39</f>
        <v>67.237994323557231</v>
      </c>
      <c r="W121" s="953">
        <f>E121*Inflação!G39</f>
        <v>67.825676820853047</v>
      </c>
      <c r="X121" s="953">
        <f>F121*Inflação!H39</f>
        <v>71.761182636779168</v>
      </c>
      <c r="Y121" s="953">
        <f>G121*Inflação!I39</f>
        <v>66.482402070797235</v>
      </c>
      <c r="Z121" s="953">
        <f>H121*Inflação!J39</f>
        <v>68.005858591313498</v>
      </c>
      <c r="AA121" s="953">
        <f>I121*Inflação!K39</f>
        <v>61.899963196936902</v>
      </c>
      <c r="AB121" s="953">
        <f>J121*Inflação!L39</f>
        <v>61.952144686127063</v>
      </c>
      <c r="AC121" s="953">
        <f>K121*Inflação!M39</f>
        <v>60.585321128008268</v>
      </c>
      <c r="AD121" s="953">
        <f>L121*Inflação!N39</f>
        <v>65.062957297513364</v>
      </c>
      <c r="AE121" s="953">
        <f>M121*Inflação!O39</f>
        <v>76.049837970060338</v>
      </c>
      <c r="AF121" s="953">
        <f>AVERAGE(T121:AE121)</f>
        <v>65.429815505048268</v>
      </c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1:47" s="902" customFormat="1" ht="14.5" x14ac:dyDescent="0.25">
      <c r="A122" s="911">
        <v>2023</v>
      </c>
      <c r="B122" s="912">
        <v>73.16</v>
      </c>
      <c r="C122" s="912">
        <v>69.81</v>
      </c>
      <c r="D122" s="912">
        <v>74.069999999999993</v>
      </c>
      <c r="E122" s="912">
        <v>74.900000000000006</v>
      </c>
      <c r="F122" s="912">
        <v>71.55</v>
      </c>
      <c r="G122" s="912">
        <v>55</v>
      </c>
      <c r="H122" s="912">
        <v>42.39</v>
      </c>
      <c r="I122" s="912">
        <v>40.96</v>
      </c>
      <c r="J122" s="912">
        <v>39.53</v>
      </c>
      <c r="K122" s="912">
        <v>44.76</v>
      </c>
      <c r="L122" s="912">
        <v>45.68</v>
      </c>
      <c r="M122" s="912">
        <v>70.2</v>
      </c>
      <c r="N122" s="912">
        <f>AVERAGE(B122:M122)</f>
        <v>58.500833333333333</v>
      </c>
      <c r="P122" s="913"/>
      <c r="S122" s="911">
        <v>2023</v>
      </c>
      <c r="T122" s="953">
        <f>B122*Inflação!D40</f>
        <v>78.999203396062427</v>
      </c>
      <c r="U122" s="953">
        <f>C122*Inflação!E40</f>
        <v>74.963372157957721</v>
      </c>
      <c r="V122" s="953">
        <f>D122*Inflação!F40</f>
        <v>79.275385838667347</v>
      </c>
      <c r="W122" s="953">
        <f>E122*Inflação!G40</f>
        <v>79.760205430457901</v>
      </c>
      <c r="X122" s="953">
        <f>F122*Inflação!H40</f>
        <v>76.001421774456048</v>
      </c>
      <c r="Y122" s="953">
        <f>G122*Inflação!I40</f>
        <v>58.233745972750725</v>
      </c>
      <c r="Z122" s="953">
        <f>H122*Inflação!J40</f>
        <v>44.796885482398899</v>
      </c>
      <c r="AA122" s="953">
        <f>I122*Inflação!K40</f>
        <v>43.097477347195358</v>
      </c>
      <c r="AB122" s="953">
        <f>J122*Inflação!L40</f>
        <v>41.489746027310922</v>
      </c>
      <c r="AC122" s="953">
        <f>K122*Inflação!M40</f>
        <v>46.99704710551206</v>
      </c>
      <c r="AD122" s="953">
        <f>L122*Inflação!N40</f>
        <v>48.059874874206564</v>
      </c>
      <c r="AE122" s="953">
        <f>M122*Inflação!O40</f>
        <v>73.930775299433407</v>
      </c>
      <c r="AF122" s="953">
        <f>AVERAGE(T122:AE122)</f>
        <v>62.133761725534121</v>
      </c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1:47" s="902" customFormat="1" ht="14.5" x14ac:dyDescent="0.25">
      <c r="A123" s="911">
        <v>2024</v>
      </c>
      <c r="B123" s="912">
        <v>61.46</v>
      </c>
      <c r="C123" s="912">
        <v>63.09</v>
      </c>
      <c r="D123" s="912">
        <v>56.81</v>
      </c>
      <c r="E123" s="912">
        <v>56.8</v>
      </c>
      <c r="F123" s="912">
        <v>55</v>
      </c>
      <c r="G123" s="912">
        <v>53.72</v>
      </c>
      <c r="H123" s="912">
        <v>51.36</v>
      </c>
      <c r="I123" s="912">
        <v>41.38</v>
      </c>
      <c r="J123" s="912">
        <v>45.86</v>
      </c>
      <c r="K123" s="912">
        <v>42.49</v>
      </c>
      <c r="L123" s="912">
        <v>40.83</v>
      </c>
      <c r="M123" s="912">
        <v>42.3</v>
      </c>
      <c r="N123" s="912">
        <f>AVERAGE(B123:M123)</f>
        <v>50.925000000000004</v>
      </c>
      <c r="P123" s="913"/>
      <c r="S123" s="911">
        <v>2024</v>
      </c>
      <c r="T123" s="953">
        <f>B123*Inflação!D41</f>
        <v>64.375602123099569</v>
      </c>
      <c r="U123" s="953">
        <f>C123*Inflação!E41</f>
        <v>65.676412289012191</v>
      </c>
      <c r="V123" s="953">
        <f>D123*Inflação!F41</f>
        <v>58.759130924785168</v>
      </c>
      <c r="W123" s="953">
        <f>E123*Inflação!G41</f>
        <v>58.520948626685545</v>
      </c>
      <c r="X123" s="953">
        <f>F123*Inflação!H41</f>
        <v>56.572409247649396</v>
      </c>
      <c r="Y123" s="953">
        <f>G123*Inflação!I41</f>
        <v>55.23717214927985</v>
      </c>
      <c r="Z123" s="953">
        <f>H123*Inflação!J41</f>
        <v>52.749237871176959</v>
      </c>
      <c r="AA123" s="953">
        <f>I123*Inflação!K41</f>
        <v>42.464727124868169</v>
      </c>
      <c r="AB123" s="953">
        <f>J123*Inflação!L41</f>
        <v>46.986788116751924</v>
      </c>
      <c r="AC123" s="953">
        <f>K123*Inflação!M41</f>
        <v>43.483924425971921</v>
      </c>
      <c r="AD123" s="953">
        <f>L123*Inflação!N41</f>
        <v>41.807741661463176</v>
      </c>
      <c r="AE123" s="953">
        <f>M123*Inflação!O41</f>
        <v>43.297572598659706</v>
      </c>
      <c r="AF123" s="953">
        <f>AVERAGE(T123:AE123)</f>
        <v>52.494305596616961</v>
      </c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1:47" s="902" customFormat="1" ht="13" x14ac:dyDescent="0.25">
      <c r="A124" s="914" t="s">
        <v>626</v>
      </c>
      <c r="B124" s="915">
        <f t="shared" ref="B124:N124" si="41">AVERAGE(B119:B123)</f>
        <v>57.161999999999999</v>
      </c>
      <c r="C124" s="915">
        <f t="shared" si="41"/>
        <v>57.557999999999993</v>
      </c>
      <c r="D124" s="915">
        <f t="shared" si="41"/>
        <v>59.434000000000005</v>
      </c>
      <c r="E124" s="915">
        <f t="shared" si="41"/>
        <v>61.317999999999998</v>
      </c>
      <c r="F124" s="915">
        <f t="shared" si="41"/>
        <v>59.612000000000002</v>
      </c>
      <c r="G124" s="915">
        <f t="shared" si="41"/>
        <v>53.124000000000002</v>
      </c>
      <c r="H124" s="915">
        <f t="shared" si="41"/>
        <v>50.208000000000006</v>
      </c>
      <c r="I124" s="915">
        <f t="shared" si="41"/>
        <v>46.768000000000001</v>
      </c>
      <c r="J124" s="915">
        <f t="shared" si="41"/>
        <v>48.679999999999993</v>
      </c>
      <c r="K124" s="915">
        <f t="shared" si="41"/>
        <v>48.006</v>
      </c>
      <c r="L124" s="915">
        <f t="shared" si="41"/>
        <v>47.713999999999999</v>
      </c>
      <c r="M124" s="915">
        <f t="shared" si="41"/>
        <v>55.720000000000006</v>
      </c>
      <c r="N124" s="915">
        <f t="shared" si="41"/>
        <v>53.775333333333336</v>
      </c>
      <c r="P124" s="916"/>
      <c r="S124" s="914" t="s">
        <v>626</v>
      </c>
      <c r="T124" s="915">
        <f t="shared" ref="T124:AF124" si="42">AVERAGE(T119:T123)</f>
        <v>65.330472358675834</v>
      </c>
      <c r="U124" s="915">
        <f t="shared" si="42"/>
        <v>65.403310133846801</v>
      </c>
      <c r="V124" s="915">
        <f t="shared" si="42"/>
        <v>67.366074240425064</v>
      </c>
      <c r="W124" s="915">
        <f t="shared" si="42"/>
        <v>69.481993307197598</v>
      </c>
      <c r="X124" s="915">
        <f t="shared" si="42"/>
        <v>67.120517093798966</v>
      </c>
      <c r="Y124" s="915">
        <f t="shared" si="42"/>
        <v>59.360689243034486</v>
      </c>
      <c r="Z124" s="915">
        <f t="shared" si="42"/>
        <v>56.088809401936238</v>
      </c>
      <c r="AA124" s="915">
        <f t="shared" si="42"/>
        <v>52.365823838002754</v>
      </c>
      <c r="AB124" s="915">
        <f t="shared" si="42"/>
        <v>54.526711841232917</v>
      </c>
      <c r="AC124" s="915">
        <f t="shared" si="42"/>
        <v>53.547322096367608</v>
      </c>
      <c r="AD124" s="915">
        <f t="shared" si="42"/>
        <v>53.121602781262879</v>
      </c>
      <c r="AE124" s="915">
        <f t="shared" si="42"/>
        <v>61.781567030987262</v>
      </c>
      <c r="AF124" s="915">
        <f t="shared" si="42"/>
        <v>60.457907780564042</v>
      </c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1:47" s="902" customFormat="1" ht="13" thickBot="1" x14ac:dyDescent="0.3">
      <c r="A125" s="917" t="s">
        <v>724</v>
      </c>
      <c r="B125" s="918"/>
      <c r="C125" s="918"/>
      <c r="D125" s="918"/>
      <c r="E125" s="918"/>
      <c r="F125" s="918"/>
      <c r="G125" s="918"/>
      <c r="H125" s="918"/>
      <c r="I125" s="918"/>
      <c r="J125" s="918"/>
      <c r="K125" s="918"/>
      <c r="L125" s="918"/>
      <c r="M125" s="918"/>
      <c r="N125" s="918"/>
      <c r="S125" s="917" t="s">
        <v>724</v>
      </c>
      <c r="T125" s="954"/>
      <c r="U125" s="954"/>
      <c r="V125" s="954"/>
      <c r="W125" s="954"/>
      <c r="X125" s="954"/>
      <c r="Y125" s="954"/>
      <c r="Z125" s="954"/>
      <c r="AA125" s="954"/>
      <c r="AB125" s="954"/>
      <c r="AC125" s="954"/>
      <c r="AD125" s="954"/>
      <c r="AE125" s="954"/>
      <c r="AF125" s="954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1:47" s="902" customFormat="1" ht="13.5" thickBot="1" x14ac:dyDescent="0.3">
      <c r="A126" s="903" t="s">
        <v>729</v>
      </c>
      <c r="B126" s="904"/>
      <c r="C126" s="905"/>
      <c r="D126" s="905"/>
      <c r="E126" s="905"/>
      <c r="F126" s="905"/>
      <c r="G126" s="905"/>
      <c r="H126" s="905"/>
      <c r="I126" s="905"/>
      <c r="J126" s="905"/>
      <c r="K126" s="905"/>
      <c r="L126" s="905"/>
      <c r="M126" s="905"/>
      <c r="N126" s="906"/>
      <c r="S126" s="903" t="s">
        <v>729</v>
      </c>
      <c r="T126" s="904"/>
      <c r="U126" s="955"/>
      <c r="V126" s="955"/>
      <c r="W126" s="955"/>
      <c r="X126" s="955"/>
      <c r="Y126" s="955"/>
      <c r="Z126" s="955"/>
      <c r="AA126" s="955"/>
      <c r="AB126" s="955"/>
      <c r="AC126" s="955"/>
      <c r="AD126" s="955"/>
      <c r="AE126" s="955"/>
      <c r="AF126" s="956"/>
      <c r="AH126" t="s">
        <v>773</v>
      </c>
      <c r="AI126" s="964">
        <f>AG75/AG72/1000</f>
        <v>0.99313070404942971</v>
      </c>
      <c r="AJ126">
        <f>AI126*1000</f>
        <v>993.13070404942971</v>
      </c>
      <c r="AK126"/>
      <c r="AL126"/>
      <c r="AM126"/>
      <c r="AN126"/>
      <c r="AO126"/>
      <c r="AP126"/>
      <c r="AQ126"/>
      <c r="AR126"/>
      <c r="AS126"/>
      <c r="AT126"/>
      <c r="AU126"/>
    </row>
    <row r="127" spans="1:47" s="902" customFormat="1" ht="58" x14ac:dyDescent="0.25">
      <c r="A127" s="907" t="s">
        <v>617</v>
      </c>
      <c r="B127" s="908" t="s">
        <v>615</v>
      </c>
      <c r="C127" s="908" t="s">
        <v>614</v>
      </c>
      <c r="D127" s="908" t="s">
        <v>613</v>
      </c>
      <c r="E127" s="908" t="s">
        <v>612</v>
      </c>
      <c r="F127" s="908" t="s">
        <v>611</v>
      </c>
      <c r="G127" s="908" t="s">
        <v>610</v>
      </c>
      <c r="H127" s="908" t="s">
        <v>609</v>
      </c>
      <c r="I127" s="908" t="s">
        <v>608</v>
      </c>
      <c r="J127" s="908" t="s">
        <v>607</v>
      </c>
      <c r="K127" s="908" t="s">
        <v>606</v>
      </c>
      <c r="L127" s="908" t="s">
        <v>605</v>
      </c>
      <c r="M127" s="908" t="s">
        <v>604</v>
      </c>
      <c r="N127" s="909" t="s">
        <v>624</v>
      </c>
      <c r="P127" s="910" t="s">
        <v>625</v>
      </c>
      <c r="S127" s="907" t="s">
        <v>617</v>
      </c>
      <c r="T127" s="908" t="s">
        <v>615</v>
      </c>
      <c r="U127" s="908" t="s">
        <v>614</v>
      </c>
      <c r="V127" s="908" t="s">
        <v>613</v>
      </c>
      <c r="W127" s="908" t="s">
        <v>612</v>
      </c>
      <c r="X127" s="908" t="s">
        <v>611</v>
      </c>
      <c r="Y127" s="908" t="s">
        <v>610</v>
      </c>
      <c r="Z127" s="908" t="s">
        <v>609</v>
      </c>
      <c r="AA127" s="908" t="s">
        <v>608</v>
      </c>
      <c r="AB127" s="908" t="s">
        <v>607</v>
      </c>
      <c r="AC127" s="908" t="s">
        <v>606</v>
      </c>
      <c r="AD127" s="908" t="s">
        <v>605</v>
      </c>
      <c r="AE127" s="908" t="s">
        <v>604</v>
      </c>
      <c r="AF127" s="909" t="s">
        <v>624</v>
      </c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1:47" s="902" customFormat="1" ht="14.5" x14ac:dyDescent="0.25">
      <c r="A128" s="911">
        <v>2020</v>
      </c>
      <c r="B128" s="912">
        <f>B119/60</f>
        <v>0.78299999999999992</v>
      </c>
      <c r="C128" s="912">
        <f t="shared" ref="C128:M128" si="43">C119/60</f>
        <v>0.78550000000000009</v>
      </c>
      <c r="D128" s="912">
        <f t="shared" si="43"/>
        <v>0.90233333333333332</v>
      </c>
      <c r="E128" s="912">
        <f t="shared" si="43"/>
        <v>1.0501666666666667</v>
      </c>
      <c r="F128" s="912">
        <f t="shared" si="43"/>
        <v>0.93633333333333335</v>
      </c>
      <c r="G128" s="912">
        <f t="shared" si="43"/>
        <v>0.72816666666666663</v>
      </c>
      <c r="H128" s="912">
        <f t="shared" si="43"/>
        <v>0.67516666666666658</v>
      </c>
      <c r="I128" s="912">
        <f t="shared" si="43"/>
        <v>0.66633333333333333</v>
      </c>
      <c r="J128" s="912">
        <f t="shared" si="43"/>
        <v>0.82799999999999996</v>
      </c>
      <c r="K128" s="912">
        <f t="shared" si="43"/>
        <v>0.80400000000000005</v>
      </c>
      <c r="L128" s="912">
        <f t="shared" si="43"/>
        <v>0.76516666666666666</v>
      </c>
      <c r="M128" s="912">
        <f t="shared" si="43"/>
        <v>0.84383333333333332</v>
      </c>
      <c r="N128" s="912">
        <f>AVERAGE(B128:M128)</f>
        <v>0.81400000000000006</v>
      </c>
      <c r="P128" s="913"/>
      <c r="S128" s="911">
        <v>2020</v>
      </c>
      <c r="T128" s="953">
        <f t="shared" ref="T128:AE128" si="44">T119/60</f>
        <v>0.98052333014176007</v>
      </c>
      <c r="U128" s="953">
        <f t="shared" si="44"/>
        <v>0.98096554016963189</v>
      </c>
      <c r="V128" s="953">
        <f t="shared" si="44"/>
        <v>1.1293298671780667</v>
      </c>
      <c r="W128" s="953">
        <f t="shared" si="44"/>
        <v>1.3232012345823467</v>
      </c>
      <c r="X128" s="953">
        <f t="shared" si="44"/>
        <v>1.1797491776978659</v>
      </c>
      <c r="Y128" s="953">
        <f t="shared" si="44"/>
        <v>0.91247293542334984</v>
      </c>
      <c r="Z128" s="953">
        <f t="shared" si="44"/>
        <v>0.84180007538887669</v>
      </c>
      <c r="AA128" s="953">
        <f t="shared" si="44"/>
        <v>0.82817523475352472</v>
      </c>
      <c r="AB128" s="953">
        <f t="shared" si="44"/>
        <v>1.0276769017980638</v>
      </c>
      <c r="AC128" s="953">
        <f t="shared" si="44"/>
        <v>0.9974752753583116</v>
      </c>
      <c r="AD128" s="953">
        <f t="shared" si="44"/>
        <v>0.9498770749352814</v>
      </c>
      <c r="AE128" s="953">
        <f t="shared" si="44"/>
        <v>1.0465484872450483</v>
      </c>
      <c r="AF128" s="953">
        <f>AVERAGE(T128:AE128)</f>
        <v>1.0164829278893439</v>
      </c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1:47" s="902" customFormat="1" ht="14.5" x14ac:dyDescent="0.25">
      <c r="A129" s="911">
        <v>2021</v>
      </c>
      <c r="B129" s="912">
        <f t="shared" ref="B129:M132" si="45">B120/60</f>
        <v>0.91249999999999998</v>
      </c>
      <c r="C129" s="912">
        <f t="shared" si="45"/>
        <v>0.89633333333333332</v>
      </c>
      <c r="D129" s="912">
        <f t="shared" si="45"/>
        <v>0.87183333333333335</v>
      </c>
      <c r="E129" s="912">
        <f t="shared" si="45"/>
        <v>0.85299999999999998</v>
      </c>
      <c r="F129" s="912">
        <f t="shared" si="45"/>
        <v>0.84</v>
      </c>
      <c r="G129" s="912">
        <f t="shared" si="45"/>
        <v>0.87049999999999994</v>
      </c>
      <c r="H129" s="912">
        <f t="shared" si="45"/>
        <v>0.90683333333333327</v>
      </c>
      <c r="I129" s="912">
        <f t="shared" si="45"/>
        <v>0.91283333333333339</v>
      </c>
      <c r="J129" s="912">
        <f t="shared" si="45"/>
        <v>0.85683333333333322</v>
      </c>
      <c r="K129" s="912">
        <f t="shared" si="45"/>
        <v>0.81083333333333329</v>
      </c>
      <c r="L129" s="912">
        <f t="shared" si="45"/>
        <v>0.76983333333333326</v>
      </c>
      <c r="M129" s="912">
        <f t="shared" si="45"/>
        <v>0.76</v>
      </c>
      <c r="N129" s="912">
        <f>AVERAGE(B129:M129)</f>
        <v>0.85511111111111104</v>
      </c>
      <c r="S129" s="911">
        <v>2021</v>
      </c>
      <c r="T129" s="953">
        <f t="shared" ref="T129:AE129" si="46">T120/60</f>
        <v>1.1269173719904275</v>
      </c>
      <c r="U129" s="953">
        <f t="shared" si="46"/>
        <v>1.1009250103289812</v>
      </c>
      <c r="V129" s="953">
        <f t="shared" si="46"/>
        <v>1.0633011347405275</v>
      </c>
      <c r="W129" s="953">
        <f t="shared" si="46"/>
        <v>1.0318510263841771</v>
      </c>
      <c r="X129" s="953">
        <f t="shared" si="46"/>
        <v>1.0080436858039712</v>
      </c>
      <c r="Y129" s="953">
        <f t="shared" si="46"/>
        <v>1.0350291649490606</v>
      </c>
      <c r="Z129" s="953">
        <f t="shared" si="46"/>
        <v>1.0730676756909874</v>
      </c>
      <c r="AA129" s="953">
        <f t="shared" si="46"/>
        <v>1.0779406239300307</v>
      </c>
      <c r="AB129" s="953">
        <f t="shared" si="46"/>
        <v>1.0090711044681808</v>
      </c>
      <c r="AC129" s="953">
        <f t="shared" si="46"/>
        <v>0.94703002168078498</v>
      </c>
      <c r="AD129" s="953">
        <f t="shared" si="46"/>
        <v>0.89474692628357355</v>
      </c>
      <c r="AE129" s="953">
        <f t="shared" si="46"/>
        <v>0.88061233420133278</v>
      </c>
      <c r="AF129" s="953">
        <f>AVERAGE(T129:AE129)</f>
        <v>1.0207113400376697</v>
      </c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1:47" s="902" customFormat="1" ht="14.5" x14ac:dyDescent="0.25">
      <c r="A130" s="911">
        <v>2022</v>
      </c>
      <c r="B130" s="912">
        <f t="shared" si="45"/>
        <v>0.82433333333333336</v>
      </c>
      <c r="C130" s="912">
        <f t="shared" si="45"/>
        <v>0.89966666666666661</v>
      </c>
      <c r="D130" s="912">
        <f t="shared" si="45"/>
        <v>0.9973333333333334</v>
      </c>
      <c r="E130" s="912">
        <f t="shared" si="45"/>
        <v>1.0116666666666667</v>
      </c>
      <c r="F130" s="912">
        <f t="shared" si="45"/>
        <v>1.0821666666666667</v>
      </c>
      <c r="G130" s="912">
        <f t="shared" si="45"/>
        <v>1.0163333333333333</v>
      </c>
      <c r="H130" s="912">
        <f t="shared" si="45"/>
        <v>1.0394999999999999</v>
      </c>
      <c r="I130" s="912">
        <f t="shared" si="45"/>
        <v>0.9458333333333333</v>
      </c>
      <c r="J130" s="912">
        <f t="shared" si="45"/>
        <v>0.94866666666666666</v>
      </c>
      <c r="K130" s="912">
        <f t="shared" si="45"/>
        <v>0.93149999999999999</v>
      </c>
      <c r="L130" s="912">
        <f t="shared" si="45"/>
        <v>0.9993333333333333</v>
      </c>
      <c r="M130" s="912">
        <f t="shared" si="45"/>
        <v>1.1645000000000001</v>
      </c>
      <c r="N130" s="912">
        <f>AVERAGE(B130:M130)</f>
        <v>0.98840277777777763</v>
      </c>
      <c r="S130" s="911">
        <v>2022</v>
      </c>
      <c r="T130" s="953">
        <f t="shared" ref="T130:AE130" si="47">T121/60</f>
        <v>0.94718523577143221</v>
      </c>
      <c r="U130" s="953">
        <f t="shared" si="47"/>
        <v>1.0243888865391213</v>
      </c>
      <c r="V130" s="953">
        <f t="shared" si="47"/>
        <v>1.1206332387259539</v>
      </c>
      <c r="W130" s="953">
        <f t="shared" si="47"/>
        <v>1.1304279470142176</v>
      </c>
      <c r="X130" s="953">
        <f t="shared" si="47"/>
        <v>1.1960197106129862</v>
      </c>
      <c r="Y130" s="953">
        <f t="shared" si="47"/>
        <v>1.1080400345132873</v>
      </c>
      <c r="Z130" s="953">
        <f t="shared" si="47"/>
        <v>1.1334309765218917</v>
      </c>
      <c r="AA130" s="953">
        <f t="shared" si="47"/>
        <v>1.0316660532822817</v>
      </c>
      <c r="AB130" s="953">
        <f t="shared" si="47"/>
        <v>1.0325357447687844</v>
      </c>
      <c r="AC130" s="953">
        <f t="shared" si="47"/>
        <v>1.0097553521334712</v>
      </c>
      <c r="AD130" s="953">
        <f t="shared" si="47"/>
        <v>1.0843826216252228</v>
      </c>
      <c r="AE130" s="953">
        <f t="shared" si="47"/>
        <v>1.2674972995010056</v>
      </c>
      <c r="AF130" s="953">
        <f>AVERAGE(T130:AE130)</f>
        <v>1.0904969250841379</v>
      </c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1:47" s="902" customFormat="1" ht="14.5" x14ac:dyDescent="0.25">
      <c r="A131" s="911">
        <v>2023</v>
      </c>
      <c r="B131" s="912">
        <f t="shared" si="45"/>
        <v>1.2193333333333334</v>
      </c>
      <c r="C131" s="912">
        <f t="shared" si="45"/>
        <v>1.1635</v>
      </c>
      <c r="D131" s="912">
        <f t="shared" si="45"/>
        <v>1.2344999999999999</v>
      </c>
      <c r="E131" s="912">
        <f t="shared" si="45"/>
        <v>1.2483333333333335</v>
      </c>
      <c r="F131" s="912">
        <f t="shared" si="45"/>
        <v>1.1924999999999999</v>
      </c>
      <c r="G131" s="912">
        <f t="shared" si="45"/>
        <v>0.91666666666666663</v>
      </c>
      <c r="H131" s="912">
        <f t="shared" si="45"/>
        <v>0.70650000000000002</v>
      </c>
      <c r="I131" s="912">
        <f t="shared" si="45"/>
        <v>0.68266666666666664</v>
      </c>
      <c r="J131" s="912">
        <f t="shared" si="45"/>
        <v>0.65883333333333338</v>
      </c>
      <c r="K131" s="912">
        <f t="shared" si="45"/>
        <v>0.746</v>
      </c>
      <c r="L131" s="912">
        <f t="shared" si="45"/>
        <v>0.76133333333333331</v>
      </c>
      <c r="M131" s="912">
        <f t="shared" si="45"/>
        <v>1.1700000000000002</v>
      </c>
      <c r="N131" s="912">
        <f>AVERAGE(B131:M131)</f>
        <v>0.97501388888888885</v>
      </c>
      <c r="S131" s="911">
        <v>2023</v>
      </c>
      <c r="T131" s="953">
        <f t="shared" ref="T131:AE131" si="48">T122/60</f>
        <v>1.3166533899343738</v>
      </c>
      <c r="U131" s="953">
        <f t="shared" si="48"/>
        <v>1.2493895359659619</v>
      </c>
      <c r="V131" s="953">
        <f t="shared" si="48"/>
        <v>1.3212564306444559</v>
      </c>
      <c r="W131" s="953">
        <f t="shared" si="48"/>
        <v>1.3293367571742984</v>
      </c>
      <c r="X131" s="953">
        <f t="shared" si="48"/>
        <v>1.2666903629076007</v>
      </c>
      <c r="Y131" s="953">
        <f t="shared" si="48"/>
        <v>0.97056243287917876</v>
      </c>
      <c r="Z131" s="953">
        <f t="shared" si="48"/>
        <v>0.74661475803998167</v>
      </c>
      <c r="AA131" s="953">
        <f t="shared" si="48"/>
        <v>0.71829128911992268</v>
      </c>
      <c r="AB131" s="953">
        <f t="shared" si="48"/>
        <v>0.69149576712184868</v>
      </c>
      <c r="AC131" s="953">
        <f t="shared" si="48"/>
        <v>0.78328411842520096</v>
      </c>
      <c r="AD131" s="953">
        <f t="shared" si="48"/>
        <v>0.80099791457010938</v>
      </c>
      <c r="AE131" s="953">
        <f t="shared" si="48"/>
        <v>1.2321795883238902</v>
      </c>
      <c r="AF131" s="953">
        <f>AVERAGE(T131:AE131)</f>
        <v>1.0355626954255686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1:47" s="902" customFormat="1" ht="14.5" x14ac:dyDescent="0.25">
      <c r="A132" s="911">
        <v>2024</v>
      </c>
      <c r="B132" s="912">
        <f t="shared" si="45"/>
        <v>1.0243333333333333</v>
      </c>
      <c r="C132" s="912">
        <f t="shared" si="45"/>
        <v>1.0515000000000001</v>
      </c>
      <c r="D132" s="912">
        <f t="shared" si="45"/>
        <v>0.94683333333333342</v>
      </c>
      <c r="E132" s="912">
        <f t="shared" si="45"/>
        <v>0.94666666666666666</v>
      </c>
      <c r="F132" s="912">
        <f t="shared" si="45"/>
        <v>0.91666666666666663</v>
      </c>
      <c r="G132" s="912">
        <f t="shared" si="45"/>
        <v>0.89533333333333331</v>
      </c>
      <c r="H132" s="912">
        <f t="shared" si="45"/>
        <v>0.85599999999999998</v>
      </c>
      <c r="I132" s="912">
        <f t="shared" si="45"/>
        <v>0.68966666666666676</v>
      </c>
      <c r="J132" s="912">
        <f t="shared" si="45"/>
        <v>0.76433333333333331</v>
      </c>
      <c r="K132" s="912">
        <f t="shared" si="45"/>
        <v>0.70816666666666672</v>
      </c>
      <c r="L132" s="912">
        <f t="shared" si="45"/>
        <v>0.68049999999999999</v>
      </c>
      <c r="M132" s="912">
        <f t="shared" si="45"/>
        <v>0.70499999999999996</v>
      </c>
      <c r="N132" s="912">
        <f>AVERAGE(B132:M132)</f>
        <v>0.84875</v>
      </c>
      <c r="S132" s="911">
        <v>2024</v>
      </c>
      <c r="T132" s="953">
        <f t="shared" ref="T132:AE132" si="49">T123/60</f>
        <v>1.0729267020516595</v>
      </c>
      <c r="U132" s="953">
        <f t="shared" si="49"/>
        <v>1.0946068714835364</v>
      </c>
      <c r="V132" s="953">
        <f t="shared" si="49"/>
        <v>0.9793188487464195</v>
      </c>
      <c r="W132" s="953">
        <f t="shared" si="49"/>
        <v>0.97534914377809245</v>
      </c>
      <c r="X132" s="953">
        <f t="shared" si="49"/>
        <v>0.94287348746082322</v>
      </c>
      <c r="Y132" s="953">
        <f t="shared" si="49"/>
        <v>0.92061953582133083</v>
      </c>
      <c r="Z132" s="953">
        <f t="shared" si="49"/>
        <v>0.87915396451961603</v>
      </c>
      <c r="AA132" s="953">
        <f t="shared" si="49"/>
        <v>0.70774545208113615</v>
      </c>
      <c r="AB132" s="953">
        <f t="shared" si="49"/>
        <v>0.78311313527919879</v>
      </c>
      <c r="AC132" s="953">
        <f t="shared" si="49"/>
        <v>0.72473207376619864</v>
      </c>
      <c r="AD132" s="953">
        <f t="shared" si="49"/>
        <v>0.6967956943577196</v>
      </c>
      <c r="AE132" s="953">
        <f t="shared" si="49"/>
        <v>0.7216262099776618</v>
      </c>
      <c r="AF132" s="953">
        <f>AVERAGE(T132:AE132)</f>
        <v>0.87490509327694943</v>
      </c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1:47" s="902" customFormat="1" ht="13" x14ac:dyDescent="0.25">
      <c r="A133" s="914" t="s">
        <v>626</v>
      </c>
      <c r="B133" s="915">
        <f t="shared" ref="B133:N133" si="50">AVERAGE(B128:B132)</f>
        <v>0.9527000000000001</v>
      </c>
      <c r="C133" s="915">
        <f t="shared" si="50"/>
        <v>0.95930000000000004</v>
      </c>
      <c r="D133" s="915">
        <f t="shared" si="50"/>
        <v>0.99056666666666671</v>
      </c>
      <c r="E133" s="915">
        <f t="shared" si="50"/>
        <v>1.0219666666666667</v>
      </c>
      <c r="F133" s="915">
        <f t="shared" si="50"/>
        <v>0.99353333333333338</v>
      </c>
      <c r="G133" s="915">
        <f t="shared" si="50"/>
        <v>0.88539999999999996</v>
      </c>
      <c r="H133" s="915">
        <f t="shared" si="50"/>
        <v>0.83679999999999999</v>
      </c>
      <c r="I133" s="915">
        <f t="shared" si="50"/>
        <v>0.77946666666666664</v>
      </c>
      <c r="J133" s="915">
        <f t="shared" si="50"/>
        <v>0.81133333333333335</v>
      </c>
      <c r="K133" s="915">
        <f t="shared" si="50"/>
        <v>0.80009999999999992</v>
      </c>
      <c r="L133" s="915">
        <f t="shared" si="50"/>
        <v>0.79523333333333324</v>
      </c>
      <c r="M133" s="915">
        <f t="shared" si="50"/>
        <v>0.92866666666666675</v>
      </c>
      <c r="N133" s="915">
        <f t="shared" si="50"/>
        <v>0.89625555555555558</v>
      </c>
      <c r="S133" s="914" t="s">
        <v>626</v>
      </c>
      <c r="T133" s="915">
        <f t="shared" ref="T133:AF133" si="51">AVERAGE(T128:T132)</f>
        <v>1.0888412059779307</v>
      </c>
      <c r="U133" s="915">
        <f t="shared" si="51"/>
        <v>1.0900551688974465</v>
      </c>
      <c r="V133" s="915">
        <f t="shared" si="51"/>
        <v>1.1227679040070846</v>
      </c>
      <c r="W133" s="915">
        <f t="shared" si="51"/>
        <v>1.1580332217866263</v>
      </c>
      <c r="X133" s="915">
        <f t="shared" si="51"/>
        <v>1.1186752848966495</v>
      </c>
      <c r="Y133" s="915">
        <f t="shared" si="51"/>
        <v>0.98934482071724139</v>
      </c>
      <c r="Z133" s="915">
        <f t="shared" si="51"/>
        <v>0.93481349003227066</v>
      </c>
      <c r="AA133" s="915">
        <f t="shared" si="51"/>
        <v>0.8727637306333792</v>
      </c>
      <c r="AB133" s="915">
        <f t="shared" si="51"/>
        <v>0.90877853068721526</v>
      </c>
      <c r="AC133" s="915">
        <f t="shared" si="51"/>
        <v>0.89245536827279337</v>
      </c>
      <c r="AD133" s="915">
        <f t="shared" si="51"/>
        <v>0.88536004635438137</v>
      </c>
      <c r="AE133" s="915">
        <f t="shared" si="51"/>
        <v>1.0296927838497878</v>
      </c>
      <c r="AF133" s="915">
        <f t="shared" si="51"/>
        <v>1.0076317963427339</v>
      </c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1:47" s="902" customFormat="1" x14ac:dyDescent="0.25">
      <c r="A134" s="917" t="s">
        <v>724</v>
      </c>
      <c r="B134" s="918"/>
      <c r="C134" s="918"/>
      <c r="D134" s="918"/>
      <c r="E134" s="918"/>
      <c r="F134" s="918"/>
      <c r="G134" s="918"/>
      <c r="H134" s="918"/>
      <c r="I134" s="918"/>
      <c r="J134" s="918"/>
      <c r="K134" s="918"/>
      <c r="L134" s="918"/>
      <c r="M134" s="918"/>
      <c r="N134" s="918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1:47" ht="13" thickBot="1" x14ac:dyDescent="0.3"/>
    <row r="136" spans="1:47" s="902" customFormat="1" ht="30" customHeight="1" thickBot="1" x14ac:dyDescent="0.3">
      <c r="A136" s="899" t="s">
        <v>722</v>
      </c>
      <c r="B136" s="900"/>
      <c r="C136" s="901"/>
      <c r="D136" s="901"/>
      <c r="E136" s="901"/>
      <c r="F136" s="901"/>
      <c r="G136" s="901"/>
      <c r="H136" s="901"/>
      <c r="I136" s="901"/>
      <c r="J136" s="901"/>
      <c r="K136" s="901"/>
      <c r="L136" s="901"/>
      <c r="M136" s="901"/>
      <c r="N136" s="901"/>
    </row>
  </sheetData>
  <mergeCells count="1">
    <mergeCell ref="A5:H5"/>
  </mergeCells>
  <pageMargins left="0.511811024" right="0.511811024" top="0.78740157499999996" bottom="0.78740157499999996" header="0.31496062000000002" footer="0.31496062000000002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1735-4C6C-4EBA-978F-BDB25C807BD0}">
  <dimension ref="A1:H38"/>
  <sheetViews>
    <sheetView showGridLines="0" zoomScaleNormal="100" workbookViewId="0">
      <selection activeCell="E26" sqref="E26:E28"/>
    </sheetView>
  </sheetViews>
  <sheetFormatPr defaultRowHeight="12.5" x14ac:dyDescent="0.25"/>
  <cols>
    <col min="1" max="1" width="37.26953125" customWidth="1"/>
    <col min="2" max="4" width="13.81640625" customWidth="1"/>
    <col min="5" max="5" width="13.81640625" style="1075" customWidth="1"/>
    <col min="7" max="7" width="44.7265625" customWidth="1"/>
    <col min="8" max="8" width="9.453125" bestFit="1" customWidth="1"/>
  </cols>
  <sheetData>
    <row r="1" spans="1:8" x14ac:dyDescent="0.25">
      <c r="G1" s="988"/>
      <c r="H1" s="989"/>
    </row>
    <row r="2" spans="1:8" ht="15.5" x14ac:dyDescent="0.25">
      <c r="A2" s="969" t="s">
        <v>758</v>
      </c>
      <c r="B2" s="969"/>
      <c r="C2" s="969"/>
      <c r="D2" s="969"/>
      <c r="E2" s="1076"/>
    </row>
    <row r="3" spans="1:8" ht="13" thickBot="1" x14ac:dyDescent="0.3"/>
    <row r="4" spans="1:8" ht="14.5" thickBot="1" x14ac:dyDescent="0.3">
      <c r="A4" s="774"/>
      <c r="B4" s="774" t="s">
        <v>752</v>
      </c>
      <c r="C4" s="774" t="s">
        <v>753</v>
      </c>
      <c r="D4" s="774" t="s">
        <v>754</v>
      </c>
      <c r="E4" s="774" t="s">
        <v>755</v>
      </c>
    </row>
    <row r="5" spans="1:8" ht="13.5" thickBot="1" x14ac:dyDescent="0.3">
      <c r="A5" s="885" t="s">
        <v>760</v>
      </c>
      <c r="B5" s="885"/>
      <c r="C5" s="885"/>
      <c r="D5" s="885"/>
      <c r="E5" s="1077"/>
    </row>
    <row r="6" spans="1:8" x14ac:dyDescent="0.25">
      <c r="A6" s="78" t="s">
        <v>756</v>
      </c>
      <c r="B6" s="1014">
        <v>19.55</v>
      </c>
      <c r="C6" s="1014"/>
      <c r="D6" s="1014"/>
      <c r="E6" s="1081" cm="1">
        <f t="array" ref="E6">AVERAGE(('Planejamento Global'!AB285:AK285+'Planejamento Global'!AB316:AK316)/AVERAGE('Área Plant-Colh e Produção'!G29:G38+'Área Plant-Colh e Produção'!H29:H38))/1000</f>
        <v>15.24164383561644</v>
      </c>
    </row>
    <row r="7" spans="1:8" x14ac:dyDescent="0.25">
      <c r="A7" s="78" t="s">
        <v>260</v>
      </c>
      <c r="B7" s="1014">
        <v>14.03</v>
      </c>
      <c r="C7" s="1014"/>
      <c r="D7" s="1014"/>
      <c r="E7" s="1081" cm="1">
        <f t="array" ref="E7">AVERAGE(('Planejamento Global'!AB223:AK223)/'Área Plant-Colh e Produção'!F126)/1000</f>
        <v>14.442000000000004</v>
      </c>
    </row>
    <row r="8" spans="1:8" x14ac:dyDescent="0.25">
      <c r="A8" s="78" t="s">
        <v>248</v>
      </c>
      <c r="B8" s="1014"/>
      <c r="C8" s="1014">
        <v>14.7</v>
      </c>
      <c r="D8" s="1014">
        <v>14.7</v>
      </c>
      <c r="E8" s="1081" cm="1">
        <f t="array" ref="E8">AVERAGE(('Planejamento Global'!AB254:AK254)/'Área Plant-Colh e Produção'!I126)/1000</f>
        <v>16.355999999999998</v>
      </c>
    </row>
    <row r="9" spans="1:8" x14ac:dyDescent="0.25">
      <c r="A9" s="962" t="s">
        <v>757</v>
      </c>
      <c r="B9" s="1014"/>
      <c r="C9" s="1014">
        <v>54.08</v>
      </c>
      <c r="D9" s="1014">
        <v>54.08</v>
      </c>
      <c r="E9" s="1081"/>
    </row>
    <row r="10" spans="1:8" x14ac:dyDescent="0.25">
      <c r="A10" s="78" t="s">
        <v>619</v>
      </c>
      <c r="B10" s="1014"/>
      <c r="C10" s="1014"/>
      <c r="D10" s="1014"/>
      <c r="E10" s="1081" cm="1">
        <f t="array" ref="E10">AVERAGE(('Planejamento Global'!AB99:AK99)/'Área Plant-Colh e Produção'!C126)/1000</f>
        <v>57.349144270851554</v>
      </c>
    </row>
    <row r="11" spans="1:8" x14ac:dyDescent="0.25">
      <c r="A11" s="78" t="s">
        <v>620</v>
      </c>
      <c r="B11" s="1014"/>
      <c r="C11" s="1014"/>
      <c r="D11" s="1014"/>
      <c r="E11" s="1081" cm="1">
        <f t="array" ref="E11">AVERAGE(('Planejamento Global'!AB68:AK68)/'Área Plant-Colh e Produção'!B126)/1000</f>
        <v>66.305318610999123</v>
      </c>
    </row>
    <row r="12" spans="1:8" ht="13" thickBot="1" x14ac:dyDescent="0.3">
      <c r="A12" s="78" t="s">
        <v>163</v>
      </c>
      <c r="B12" s="1014"/>
      <c r="C12" s="1014"/>
      <c r="D12" s="1014"/>
      <c r="E12" s="1081" cm="1">
        <f t="array" ref="E12">AVERAGE(('Planejamento Global'!AB130:AK130)/'Área Plant-Colh e Produção'!D126)/1000</f>
        <v>78.568343053612423</v>
      </c>
    </row>
    <row r="13" spans="1:8" ht="13.5" thickBot="1" x14ac:dyDescent="0.3">
      <c r="A13" s="885" t="s">
        <v>759</v>
      </c>
      <c r="B13" s="1015"/>
      <c r="C13" s="1015"/>
      <c r="D13" s="1015"/>
      <c r="E13" s="1082"/>
    </row>
    <row r="14" spans="1:8" x14ac:dyDescent="0.25">
      <c r="A14" s="78" t="s">
        <v>756</v>
      </c>
      <c r="B14" s="1014">
        <v>5.91</v>
      </c>
      <c r="C14" s="1014"/>
      <c r="D14" s="1014"/>
      <c r="E14" s="1083" cm="1">
        <f t="array" ref="E14">AVERAGE(('Planejamento Global'!AB281:AK281+'Planejamento Global'!AB312:AK312)/AVERAGE('Área Plant-Colh e Produção'!G29:G38+'Área Plant-Colh e Produção'!H29:H38))/1000</f>
        <v>8.1451856337167499</v>
      </c>
      <c r="G14" s="963"/>
    </row>
    <row r="15" spans="1:8" x14ac:dyDescent="0.25">
      <c r="A15" s="78" t="s">
        <v>260</v>
      </c>
      <c r="B15" s="1014">
        <v>4.95</v>
      </c>
      <c r="C15" s="1014"/>
      <c r="D15" s="1014"/>
      <c r="E15" s="1081">
        <f>(AVERAGE('Planejamento Global'!AB219:AK219)/'Área Plant-Colh e Produção'!F126)/1000</f>
        <v>7.2373979890160456</v>
      </c>
    </row>
    <row r="16" spans="1:8" x14ac:dyDescent="0.25">
      <c r="A16" s="78" t="s">
        <v>248</v>
      </c>
      <c r="B16" s="1014"/>
      <c r="C16" s="1014">
        <v>7.34</v>
      </c>
      <c r="D16" s="1014">
        <v>7.2132686858249997</v>
      </c>
      <c r="E16" s="1081">
        <f>(AVERAGE('Planejamento Global'!AB250:AK250)/'Área Plant-Colh e Produção'!I126)/1000</f>
        <v>7.0208989449822248</v>
      </c>
    </row>
    <row r="17" spans="1:5" x14ac:dyDescent="0.25">
      <c r="A17" s="78" t="s">
        <v>757</v>
      </c>
      <c r="B17" s="1014"/>
      <c r="C17" s="1014">
        <v>24.84</v>
      </c>
      <c r="D17" s="1014">
        <v>24.410897266749814</v>
      </c>
      <c r="E17" s="1081"/>
    </row>
    <row r="18" spans="1:5" x14ac:dyDescent="0.25">
      <c r="A18" s="78" t="s">
        <v>619</v>
      </c>
      <c r="B18" s="1014"/>
      <c r="C18" s="1014"/>
      <c r="D18" s="1014"/>
      <c r="E18" s="1081">
        <f>(AVERAGE('Planejamento Global'!AB95:AK95)/'Área Plant-Colh e Produção'!C126)/1000</f>
        <v>27.88378446469186</v>
      </c>
    </row>
    <row r="19" spans="1:5" x14ac:dyDescent="0.25">
      <c r="A19" s="78" t="s">
        <v>620</v>
      </c>
      <c r="B19" s="1014"/>
      <c r="C19" s="1014"/>
      <c r="D19" s="1014"/>
      <c r="E19" s="1081">
        <f>(AVERAGE('Planejamento Global'!AB64:AK64)/'Área Plant-Colh e Produção'!B126)/1000</f>
        <v>39.838709871992293</v>
      </c>
    </row>
    <row r="20" spans="1:5" ht="13" thickBot="1" x14ac:dyDescent="0.3">
      <c r="A20" s="78" t="s">
        <v>163</v>
      </c>
      <c r="B20" s="1014"/>
      <c r="C20" s="1014"/>
      <c r="D20" s="1014"/>
      <c r="E20" s="1081">
        <f>(AVERAGE('Planejamento Global'!AB126:AK126)/'Área Plant-Colh e Produção'!D126)/1000</f>
        <v>53.450119192543369</v>
      </c>
    </row>
    <row r="21" spans="1:5" ht="13.5" thickBot="1" x14ac:dyDescent="0.3">
      <c r="A21" s="885" t="s">
        <v>767</v>
      </c>
      <c r="B21" s="1015"/>
      <c r="C21" s="1015"/>
      <c r="D21" s="1015"/>
      <c r="E21" s="1082"/>
    </row>
    <row r="22" spans="1:5" x14ac:dyDescent="0.25">
      <c r="A22" s="78" t="s">
        <v>756</v>
      </c>
      <c r="B22" s="1014">
        <v>10.8</v>
      </c>
      <c r="C22" s="1014"/>
      <c r="D22" s="1014"/>
      <c r="E22" s="1081">
        <f>AVERAGE('Rentabilidade-Cult.Temp.'!I62,'Rentabilidade-Cult.Temp.'!K62)</f>
        <v>10.295</v>
      </c>
    </row>
    <row r="23" spans="1:5" x14ac:dyDescent="0.25">
      <c r="A23" s="78" t="s">
        <v>260</v>
      </c>
      <c r="B23" s="1014">
        <v>4.5</v>
      </c>
      <c r="C23" s="1014"/>
      <c r="D23" s="1014"/>
      <c r="E23" s="1081">
        <f>'Rentabilidade-Cult.Temp.'!E62</f>
        <v>4.9800000000000004</v>
      </c>
    </row>
    <row r="24" spans="1:5" x14ac:dyDescent="0.25">
      <c r="A24" s="78" t="s">
        <v>248</v>
      </c>
      <c r="B24" s="1014"/>
      <c r="C24" s="1014">
        <v>3.0000000000000004</v>
      </c>
      <c r="D24" s="1014">
        <v>3.0000000000000004</v>
      </c>
      <c r="E24" s="1081">
        <f>'Rentabilidade-Cult.Temp.'!G62</f>
        <v>2.82</v>
      </c>
    </row>
    <row r="25" spans="1:5" x14ac:dyDescent="0.25">
      <c r="A25" s="78" t="s">
        <v>757</v>
      </c>
      <c r="B25" s="1014"/>
      <c r="C25" s="1014">
        <v>23</v>
      </c>
      <c r="D25" s="1014">
        <v>23</v>
      </c>
      <c r="E25" s="1081"/>
    </row>
    <row r="26" spans="1:5" x14ac:dyDescent="0.25">
      <c r="A26" s="78" t="s">
        <v>619</v>
      </c>
      <c r="B26" s="1014"/>
      <c r="C26" s="1014"/>
      <c r="D26" s="1014"/>
      <c r="E26" s="1081">
        <f>'Área Plant-Colh e Produção'!C127</f>
        <v>24.934410552544151</v>
      </c>
    </row>
    <row r="27" spans="1:5" x14ac:dyDescent="0.25">
      <c r="A27" s="78" t="s">
        <v>620</v>
      </c>
      <c r="B27" s="1014"/>
      <c r="C27" s="1014"/>
      <c r="D27" s="1014"/>
      <c r="E27" s="1081">
        <f>'Área Plant-Colh e Produção'!B127</f>
        <v>51.004091239230107</v>
      </c>
    </row>
    <row r="28" spans="1:5" x14ac:dyDescent="0.25">
      <c r="A28" s="78" t="s">
        <v>163</v>
      </c>
      <c r="B28" s="1014"/>
      <c r="C28" s="1014"/>
      <c r="D28" s="1014"/>
      <c r="E28" s="1081">
        <f>'Área Plant-Colh e Produção'!D127</f>
        <v>17.080074576872267</v>
      </c>
    </row>
    <row r="29" spans="1:5" ht="14.5" x14ac:dyDescent="0.35">
      <c r="A29" s="967"/>
      <c r="B29" s="968"/>
      <c r="C29" s="968"/>
      <c r="D29" s="968"/>
      <c r="E29" s="1078"/>
    </row>
    <row r="30" spans="1:5" x14ac:dyDescent="0.25">
      <c r="B30" s="970"/>
      <c r="C30" s="970"/>
      <c r="D30" s="970"/>
      <c r="E30" s="1079"/>
    </row>
    <row r="31" spans="1:5" ht="13" x14ac:dyDescent="0.3">
      <c r="A31" s="966"/>
      <c r="B31" s="968"/>
      <c r="C31" s="968"/>
      <c r="D31" s="968"/>
      <c r="E31" s="1078"/>
    </row>
    <row r="32" spans="1:5" ht="13" x14ac:dyDescent="0.3">
      <c r="A32" s="966"/>
      <c r="B32" s="968"/>
      <c r="C32" s="968"/>
      <c r="D32" s="968"/>
      <c r="E32" s="1080"/>
    </row>
    <row r="35" spans="1:1" x14ac:dyDescent="0.25">
      <c r="A35" s="990"/>
    </row>
    <row r="36" spans="1:1" x14ac:dyDescent="0.25">
      <c r="A36" s="990"/>
    </row>
    <row r="37" spans="1:1" x14ac:dyDescent="0.25">
      <c r="A37" s="985"/>
    </row>
    <row r="38" spans="1:1" x14ac:dyDescent="0.25">
      <c r="A38" s="985"/>
    </row>
  </sheetData>
  <hyperlinks>
    <hyperlink ref="A35" location="_ftnref1" display="_ftnref1" xr:uid="{36B5BC07-623A-4AF0-8D90-15935BE79DF3}"/>
  </hyperlink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50B1-2C7D-4DF7-AED3-3940F7AB6BED}">
  <sheetPr>
    <tabColor theme="6" tint="0.79998168889431442"/>
  </sheetPr>
  <dimension ref="A1:EL69"/>
  <sheetViews>
    <sheetView showGridLines="0" zoomScale="85" zoomScaleNormal="85" workbookViewId="0">
      <selection activeCell="H22" sqref="H22"/>
    </sheetView>
  </sheetViews>
  <sheetFormatPr defaultRowHeight="12.5" x14ac:dyDescent="0.25"/>
  <cols>
    <col min="1" max="1" width="25.81640625" bestFit="1" customWidth="1"/>
    <col min="3" max="3" width="10.7265625" bestFit="1" customWidth="1"/>
    <col min="4" max="11" width="10.81640625" bestFit="1" customWidth="1"/>
    <col min="12" max="12" width="14" bestFit="1" customWidth="1"/>
    <col min="13" max="119" width="10.81640625" bestFit="1" customWidth="1"/>
  </cols>
  <sheetData>
    <row r="1" spans="1:142" ht="13" x14ac:dyDescent="0.3">
      <c r="A1" s="991" t="s">
        <v>740</v>
      </c>
      <c r="B1" s="991"/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  <c r="O1" s="991"/>
      <c r="P1" s="991"/>
      <c r="Q1" s="991"/>
      <c r="R1" s="991"/>
      <c r="S1" s="991"/>
      <c r="T1" s="991"/>
      <c r="U1" s="991"/>
      <c r="V1" s="991"/>
      <c r="W1" s="991"/>
      <c r="X1" s="991"/>
      <c r="Y1" s="991"/>
      <c r="Z1" s="991"/>
      <c r="AA1" s="991"/>
      <c r="AB1" s="991"/>
      <c r="AC1" s="991"/>
      <c r="AD1" s="991"/>
      <c r="AE1" s="991"/>
      <c r="AF1" s="991"/>
      <c r="AG1" s="991"/>
      <c r="AH1" s="991"/>
      <c r="AI1" s="991"/>
      <c r="AJ1" s="991"/>
      <c r="AK1" s="991"/>
      <c r="AL1" s="991"/>
      <c r="AM1" s="991"/>
      <c r="AN1" s="991"/>
      <c r="AO1" s="991"/>
      <c r="AP1" s="991"/>
      <c r="AQ1" s="991"/>
      <c r="AR1" s="991"/>
      <c r="AS1" s="991"/>
      <c r="AT1" s="991"/>
      <c r="AU1" s="991"/>
      <c r="AV1" s="991"/>
      <c r="AW1" s="991"/>
      <c r="AX1" s="991"/>
      <c r="AY1" s="991"/>
      <c r="AZ1" s="991"/>
      <c r="BA1" s="991"/>
      <c r="BB1" s="991"/>
      <c r="BC1" s="991"/>
      <c r="BD1" s="991"/>
      <c r="BE1" s="991"/>
      <c r="BF1" s="991"/>
      <c r="BG1" s="991"/>
      <c r="BH1" s="991"/>
      <c r="BI1" s="991"/>
      <c r="BJ1" s="991"/>
      <c r="BK1" s="991"/>
      <c r="BL1" s="991"/>
      <c r="BM1" s="991"/>
      <c r="BN1" s="991"/>
      <c r="BO1" s="991"/>
      <c r="BP1" s="991"/>
      <c r="BQ1" s="991"/>
      <c r="BR1" s="991"/>
      <c r="BS1" s="991"/>
      <c r="BT1" s="991"/>
      <c r="BU1" s="991"/>
      <c r="BV1" s="991"/>
      <c r="BW1" s="991"/>
      <c r="BX1" s="991"/>
      <c r="BY1" s="991"/>
      <c r="BZ1" s="991"/>
      <c r="CA1" s="991"/>
      <c r="CB1" s="991"/>
      <c r="CC1" s="991"/>
      <c r="CD1" s="991"/>
      <c r="CE1" s="991"/>
      <c r="CF1" s="991"/>
      <c r="CG1" s="991"/>
      <c r="CH1" s="991"/>
      <c r="CI1" s="991"/>
      <c r="CJ1" s="935"/>
      <c r="CK1" s="935"/>
      <c r="CL1" s="935"/>
      <c r="CM1" s="935"/>
      <c r="CN1" s="935"/>
      <c r="CO1" s="935"/>
      <c r="CP1" s="935"/>
      <c r="CQ1" s="935"/>
      <c r="CR1" s="935"/>
      <c r="CS1" s="935"/>
      <c r="CT1" s="935"/>
      <c r="CU1" s="935"/>
      <c r="CV1" s="935"/>
      <c r="CW1" s="935"/>
      <c r="CX1" s="935"/>
      <c r="CY1" s="935"/>
      <c r="CZ1" s="935"/>
      <c r="DA1" s="935"/>
      <c r="DB1" s="935"/>
      <c r="DC1" s="935"/>
      <c r="DD1" s="935"/>
      <c r="DE1" s="935"/>
      <c r="DF1" s="935"/>
      <c r="DG1" s="935"/>
      <c r="DH1" s="935"/>
      <c r="DI1" s="935"/>
      <c r="DJ1" s="935"/>
      <c r="DK1" s="935"/>
      <c r="DL1" s="935"/>
      <c r="DM1" s="935"/>
      <c r="DN1" s="935"/>
      <c r="DO1" s="935"/>
      <c r="DP1" s="935"/>
      <c r="DQ1" s="935"/>
      <c r="DR1" s="935"/>
      <c r="DS1" s="935"/>
      <c r="DT1" s="935"/>
      <c r="DU1" s="935"/>
      <c r="DV1" s="935"/>
      <c r="DW1" s="935"/>
      <c r="DX1" s="935"/>
      <c r="DY1" s="935"/>
      <c r="DZ1" s="935"/>
      <c r="EA1" s="935"/>
      <c r="EB1" s="935"/>
      <c r="EC1" s="935"/>
      <c r="ED1" s="935"/>
      <c r="EE1" s="935"/>
      <c r="EF1" s="935"/>
      <c r="EG1" s="935"/>
      <c r="EH1" s="935"/>
      <c r="EI1" s="935"/>
      <c r="EJ1" s="935"/>
      <c r="EK1" s="935"/>
      <c r="EL1" s="935"/>
    </row>
    <row r="2" spans="1:142" ht="13" x14ac:dyDescent="0.3">
      <c r="A2" s="992" t="s">
        <v>741</v>
      </c>
      <c r="B2" s="993"/>
      <c r="C2" s="994">
        <f t="shared" ref="C2:AH2" si="0">EOMONTH(EDATE(C3,0),0)</f>
        <v>43861</v>
      </c>
      <c r="D2" s="994">
        <f t="shared" si="0"/>
        <v>43890</v>
      </c>
      <c r="E2" s="994">
        <f t="shared" si="0"/>
        <v>43921</v>
      </c>
      <c r="F2" s="994">
        <f t="shared" si="0"/>
        <v>43951</v>
      </c>
      <c r="G2" s="994">
        <f t="shared" si="0"/>
        <v>43982</v>
      </c>
      <c r="H2" s="994">
        <f t="shared" si="0"/>
        <v>44012</v>
      </c>
      <c r="I2" s="994">
        <f t="shared" si="0"/>
        <v>44043</v>
      </c>
      <c r="J2" s="994">
        <f t="shared" si="0"/>
        <v>44074</v>
      </c>
      <c r="K2" s="994">
        <f t="shared" si="0"/>
        <v>44104</v>
      </c>
      <c r="L2" s="994">
        <f t="shared" si="0"/>
        <v>44135</v>
      </c>
      <c r="M2" s="994">
        <f t="shared" si="0"/>
        <v>44165</v>
      </c>
      <c r="N2" s="994">
        <f t="shared" si="0"/>
        <v>44196</v>
      </c>
      <c r="O2" s="994">
        <f t="shared" si="0"/>
        <v>44227</v>
      </c>
      <c r="P2" s="994">
        <f t="shared" si="0"/>
        <v>44255</v>
      </c>
      <c r="Q2" s="994">
        <f t="shared" si="0"/>
        <v>44286</v>
      </c>
      <c r="R2" s="994">
        <f t="shared" si="0"/>
        <v>44316</v>
      </c>
      <c r="S2" s="994">
        <f t="shared" si="0"/>
        <v>44347</v>
      </c>
      <c r="T2" s="994">
        <f t="shared" si="0"/>
        <v>44377</v>
      </c>
      <c r="U2" s="994">
        <f t="shared" si="0"/>
        <v>44408</v>
      </c>
      <c r="V2" s="994">
        <f t="shared" si="0"/>
        <v>44439</v>
      </c>
      <c r="W2" s="994">
        <f t="shared" si="0"/>
        <v>44469</v>
      </c>
      <c r="X2" s="994">
        <f t="shared" si="0"/>
        <v>44500</v>
      </c>
      <c r="Y2" s="994">
        <f t="shared" si="0"/>
        <v>44530</v>
      </c>
      <c r="Z2" s="994">
        <f t="shared" si="0"/>
        <v>44561</v>
      </c>
      <c r="AA2" s="994">
        <f t="shared" si="0"/>
        <v>44592</v>
      </c>
      <c r="AB2" s="994">
        <f t="shared" si="0"/>
        <v>44620</v>
      </c>
      <c r="AC2" s="994">
        <f t="shared" si="0"/>
        <v>44651</v>
      </c>
      <c r="AD2" s="994">
        <f t="shared" si="0"/>
        <v>44681</v>
      </c>
      <c r="AE2" s="994">
        <f t="shared" si="0"/>
        <v>44712</v>
      </c>
      <c r="AF2" s="994">
        <f t="shared" si="0"/>
        <v>44742</v>
      </c>
      <c r="AG2" s="994">
        <f t="shared" si="0"/>
        <v>44773</v>
      </c>
      <c r="AH2" s="994">
        <f t="shared" si="0"/>
        <v>44804</v>
      </c>
      <c r="AI2" s="994">
        <f t="shared" ref="AI2:BN2" si="1">EOMONTH(EDATE(AI3,0),0)</f>
        <v>44834</v>
      </c>
      <c r="AJ2" s="994">
        <f t="shared" si="1"/>
        <v>44865</v>
      </c>
      <c r="AK2" s="994">
        <f t="shared" si="1"/>
        <v>44895</v>
      </c>
      <c r="AL2" s="994">
        <f t="shared" si="1"/>
        <v>44926</v>
      </c>
      <c r="AM2" s="994">
        <f t="shared" si="1"/>
        <v>44957</v>
      </c>
      <c r="AN2" s="994">
        <f t="shared" si="1"/>
        <v>44985</v>
      </c>
      <c r="AO2" s="994">
        <f t="shared" si="1"/>
        <v>45016</v>
      </c>
      <c r="AP2" s="994">
        <f t="shared" si="1"/>
        <v>45046</v>
      </c>
      <c r="AQ2" s="994">
        <f t="shared" si="1"/>
        <v>45077</v>
      </c>
      <c r="AR2" s="994">
        <f t="shared" si="1"/>
        <v>45107</v>
      </c>
      <c r="AS2" s="994">
        <f t="shared" si="1"/>
        <v>45138</v>
      </c>
      <c r="AT2" s="994">
        <f t="shared" si="1"/>
        <v>45169</v>
      </c>
      <c r="AU2" s="994">
        <f t="shared" si="1"/>
        <v>45199</v>
      </c>
      <c r="AV2" s="994">
        <f t="shared" si="1"/>
        <v>45230</v>
      </c>
      <c r="AW2" s="994">
        <f t="shared" si="1"/>
        <v>45260</v>
      </c>
      <c r="AX2" s="994">
        <f t="shared" si="1"/>
        <v>45291</v>
      </c>
      <c r="AY2" s="994">
        <f t="shared" si="1"/>
        <v>45322</v>
      </c>
      <c r="AZ2" s="994">
        <f t="shared" si="1"/>
        <v>45351</v>
      </c>
      <c r="BA2" s="994">
        <f t="shared" si="1"/>
        <v>45382</v>
      </c>
      <c r="BB2" s="994">
        <f t="shared" si="1"/>
        <v>45412</v>
      </c>
      <c r="BC2" s="994">
        <f t="shared" si="1"/>
        <v>45443</v>
      </c>
      <c r="BD2" s="994">
        <f t="shared" si="1"/>
        <v>45473</v>
      </c>
      <c r="BE2" s="994">
        <f t="shared" si="1"/>
        <v>45504</v>
      </c>
      <c r="BF2" s="994">
        <f t="shared" si="1"/>
        <v>45535</v>
      </c>
      <c r="BG2" s="994">
        <f t="shared" si="1"/>
        <v>45565</v>
      </c>
      <c r="BH2" s="994">
        <f t="shared" si="1"/>
        <v>45596</v>
      </c>
      <c r="BI2" s="994">
        <f t="shared" si="1"/>
        <v>45626</v>
      </c>
      <c r="BJ2" s="994">
        <f t="shared" si="1"/>
        <v>45657</v>
      </c>
      <c r="BK2" s="994">
        <f t="shared" si="1"/>
        <v>45688</v>
      </c>
      <c r="BL2" s="994">
        <f t="shared" si="1"/>
        <v>45716</v>
      </c>
      <c r="BM2" s="994">
        <f t="shared" si="1"/>
        <v>45747</v>
      </c>
      <c r="BN2" s="994">
        <f t="shared" si="1"/>
        <v>45777</v>
      </c>
      <c r="BO2" s="994">
        <f t="shared" ref="BO2:CT2" si="2">EOMONTH(EDATE(BO3,0),0)</f>
        <v>45808</v>
      </c>
      <c r="BP2" s="994">
        <f t="shared" si="2"/>
        <v>45838</v>
      </c>
      <c r="BQ2" s="994">
        <f t="shared" si="2"/>
        <v>45869</v>
      </c>
      <c r="BR2" s="994">
        <f t="shared" si="2"/>
        <v>45900</v>
      </c>
      <c r="BS2" s="994">
        <f t="shared" si="2"/>
        <v>45930</v>
      </c>
      <c r="BT2" s="994">
        <f t="shared" si="2"/>
        <v>45961</v>
      </c>
      <c r="BU2" s="994">
        <f t="shared" si="2"/>
        <v>46022</v>
      </c>
      <c r="BV2" s="994">
        <f t="shared" si="2"/>
        <v>46387</v>
      </c>
      <c r="BW2" s="994">
        <f t="shared" si="2"/>
        <v>46752</v>
      </c>
      <c r="BX2" s="994">
        <f t="shared" si="2"/>
        <v>47118</v>
      </c>
      <c r="BY2" s="994">
        <f t="shared" si="2"/>
        <v>47483</v>
      </c>
      <c r="BZ2" s="994">
        <f t="shared" si="2"/>
        <v>47848</v>
      </c>
      <c r="CA2" s="994">
        <f t="shared" si="2"/>
        <v>48213</v>
      </c>
      <c r="CB2" s="994">
        <f t="shared" si="2"/>
        <v>48579</v>
      </c>
      <c r="CC2" s="994">
        <f t="shared" si="2"/>
        <v>48944</v>
      </c>
      <c r="CD2" s="994">
        <f t="shared" si="2"/>
        <v>49309</v>
      </c>
      <c r="CE2" s="994">
        <f t="shared" si="2"/>
        <v>49674</v>
      </c>
      <c r="CF2" s="994">
        <f t="shared" si="2"/>
        <v>50040</v>
      </c>
      <c r="CG2" s="994">
        <f t="shared" si="2"/>
        <v>50405</v>
      </c>
      <c r="CH2" s="994">
        <f t="shared" si="2"/>
        <v>50770</v>
      </c>
      <c r="CI2" s="994">
        <f t="shared" si="2"/>
        <v>51135</v>
      </c>
      <c r="CJ2" s="937">
        <f t="shared" si="2"/>
        <v>51501</v>
      </c>
      <c r="CK2" s="937">
        <f t="shared" si="2"/>
        <v>51866</v>
      </c>
      <c r="CL2" s="937">
        <f t="shared" si="2"/>
        <v>52231</v>
      </c>
      <c r="CM2" s="937">
        <f t="shared" si="2"/>
        <v>52596</v>
      </c>
      <c r="CN2" s="937">
        <f t="shared" si="2"/>
        <v>52962</v>
      </c>
      <c r="CO2" s="937">
        <f t="shared" si="2"/>
        <v>53327</v>
      </c>
      <c r="CP2" s="937">
        <f t="shared" si="2"/>
        <v>53692</v>
      </c>
      <c r="CQ2" s="937">
        <f t="shared" si="2"/>
        <v>54057</v>
      </c>
      <c r="CR2" s="937">
        <f t="shared" si="2"/>
        <v>54423</v>
      </c>
      <c r="CS2" s="937">
        <f t="shared" si="2"/>
        <v>54788</v>
      </c>
      <c r="CT2" s="937">
        <f t="shared" si="2"/>
        <v>55153</v>
      </c>
      <c r="CU2" s="937">
        <f t="shared" ref="CU2:DN2" si="3">EOMONTH(EDATE(CU3,0),0)</f>
        <v>55518</v>
      </c>
      <c r="CV2" s="937">
        <f t="shared" si="3"/>
        <v>55884</v>
      </c>
      <c r="CW2" s="937">
        <f t="shared" si="3"/>
        <v>56249</v>
      </c>
      <c r="CX2" s="937">
        <f t="shared" si="3"/>
        <v>56614</v>
      </c>
      <c r="CY2" s="937">
        <f t="shared" si="3"/>
        <v>56979</v>
      </c>
      <c r="CZ2" s="937">
        <f t="shared" si="3"/>
        <v>57345</v>
      </c>
      <c r="DA2" s="937">
        <f t="shared" si="3"/>
        <v>57710</v>
      </c>
      <c r="DB2" s="937">
        <f t="shared" si="3"/>
        <v>58075</v>
      </c>
      <c r="DC2" s="937">
        <f t="shared" si="3"/>
        <v>58440</v>
      </c>
      <c r="DD2" s="937">
        <f t="shared" si="3"/>
        <v>58806</v>
      </c>
      <c r="DE2" s="937">
        <f t="shared" si="3"/>
        <v>59171</v>
      </c>
      <c r="DF2" s="937">
        <f t="shared" si="3"/>
        <v>59536</v>
      </c>
      <c r="DG2" s="937">
        <f t="shared" si="3"/>
        <v>59901</v>
      </c>
      <c r="DH2" s="937">
        <f t="shared" si="3"/>
        <v>60267</v>
      </c>
      <c r="DI2" s="937">
        <f t="shared" si="3"/>
        <v>60632</v>
      </c>
      <c r="DJ2" s="937">
        <f t="shared" si="3"/>
        <v>60997</v>
      </c>
      <c r="DK2" s="937">
        <f t="shared" si="3"/>
        <v>61362</v>
      </c>
      <c r="DL2" s="937">
        <f t="shared" si="3"/>
        <v>61728</v>
      </c>
      <c r="DM2" s="937">
        <f t="shared" si="3"/>
        <v>62093</v>
      </c>
      <c r="DN2" s="937">
        <f t="shared" si="3"/>
        <v>62458</v>
      </c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</row>
    <row r="3" spans="1:142" ht="13" x14ac:dyDescent="0.25">
      <c r="A3" s="995" t="s">
        <v>742</v>
      </c>
      <c r="B3" s="996"/>
      <c r="C3" s="997">
        <v>43831</v>
      </c>
      <c r="D3" s="997">
        <v>43862</v>
      </c>
      <c r="E3" s="997">
        <v>43891</v>
      </c>
      <c r="F3" s="997">
        <v>43922</v>
      </c>
      <c r="G3" s="997">
        <v>43952</v>
      </c>
      <c r="H3" s="997">
        <v>43983</v>
      </c>
      <c r="I3" s="997">
        <v>44013</v>
      </c>
      <c r="J3" s="997">
        <v>44044</v>
      </c>
      <c r="K3" s="997">
        <v>44075</v>
      </c>
      <c r="L3" s="997">
        <v>44105</v>
      </c>
      <c r="M3" s="997">
        <v>44136</v>
      </c>
      <c r="N3" s="997">
        <v>44166</v>
      </c>
      <c r="O3" s="997">
        <v>44197</v>
      </c>
      <c r="P3" s="997">
        <v>44228</v>
      </c>
      <c r="Q3" s="997">
        <v>44256</v>
      </c>
      <c r="R3" s="997">
        <v>44287</v>
      </c>
      <c r="S3" s="997">
        <v>44317</v>
      </c>
      <c r="T3" s="997">
        <v>44348</v>
      </c>
      <c r="U3" s="997">
        <v>44378</v>
      </c>
      <c r="V3" s="997">
        <v>44409</v>
      </c>
      <c r="W3" s="997">
        <v>44440</v>
      </c>
      <c r="X3" s="997">
        <v>44470</v>
      </c>
      <c r="Y3" s="997">
        <v>44501</v>
      </c>
      <c r="Z3" s="997">
        <v>44531</v>
      </c>
      <c r="AA3" s="997">
        <v>44562</v>
      </c>
      <c r="AB3" s="997">
        <v>44593</v>
      </c>
      <c r="AC3" s="997">
        <v>44621</v>
      </c>
      <c r="AD3" s="997">
        <v>44652</v>
      </c>
      <c r="AE3" s="997">
        <v>44682</v>
      </c>
      <c r="AF3" s="997">
        <v>44713</v>
      </c>
      <c r="AG3" s="997">
        <v>44743</v>
      </c>
      <c r="AH3" s="997">
        <v>44774</v>
      </c>
      <c r="AI3" s="997">
        <v>44805</v>
      </c>
      <c r="AJ3" s="997">
        <v>44835</v>
      </c>
      <c r="AK3" s="997">
        <v>44866</v>
      </c>
      <c r="AL3" s="997">
        <v>44896</v>
      </c>
      <c r="AM3" s="997">
        <v>44927</v>
      </c>
      <c r="AN3" s="997">
        <v>44958</v>
      </c>
      <c r="AO3" s="997">
        <v>44986</v>
      </c>
      <c r="AP3" s="997">
        <v>45017</v>
      </c>
      <c r="AQ3" s="997">
        <v>45047</v>
      </c>
      <c r="AR3" s="997">
        <v>45078</v>
      </c>
      <c r="AS3" s="997">
        <v>45108</v>
      </c>
      <c r="AT3" s="997">
        <v>45139</v>
      </c>
      <c r="AU3" s="997">
        <v>45170</v>
      </c>
      <c r="AV3" s="997">
        <v>45200</v>
      </c>
      <c r="AW3" s="997">
        <v>45231</v>
      </c>
      <c r="AX3" s="997">
        <v>45291</v>
      </c>
      <c r="AY3" s="997">
        <v>45322</v>
      </c>
      <c r="AZ3" s="997">
        <v>45351</v>
      </c>
      <c r="BA3" s="997">
        <v>45382</v>
      </c>
      <c r="BB3" s="997">
        <v>45412</v>
      </c>
      <c r="BC3" s="997">
        <v>45443</v>
      </c>
      <c r="BD3" s="997">
        <v>45473</v>
      </c>
      <c r="BE3" s="997">
        <v>45504</v>
      </c>
      <c r="BF3" s="997">
        <v>45535</v>
      </c>
      <c r="BG3" s="997">
        <v>45565</v>
      </c>
      <c r="BH3" s="997">
        <v>45596</v>
      </c>
      <c r="BI3" s="997">
        <v>45626</v>
      </c>
      <c r="BJ3" s="997">
        <v>45657</v>
      </c>
      <c r="BK3" s="997">
        <v>45688</v>
      </c>
      <c r="BL3" s="997">
        <v>45716</v>
      </c>
      <c r="BM3" s="997">
        <v>45747</v>
      </c>
      <c r="BN3" s="997">
        <v>45777</v>
      </c>
      <c r="BO3" s="997">
        <v>45808</v>
      </c>
      <c r="BP3" s="997">
        <v>45838</v>
      </c>
      <c r="BQ3" s="997">
        <v>45869</v>
      </c>
      <c r="BR3" s="997">
        <v>45900</v>
      </c>
      <c r="BS3" s="997">
        <v>45930</v>
      </c>
      <c r="BT3" s="997">
        <v>45961</v>
      </c>
      <c r="BU3" s="997">
        <v>46022</v>
      </c>
      <c r="BV3" s="997">
        <v>46387</v>
      </c>
      <c r="BW3" s="997">
        <v>46752</v>
      </c>
      <c r="BX3" s="997">
        <v>47118</v>
      </c>
      <c r="BY3" s="997">
        <v>47483</v>
      </c>
      <c r="BZ3" s="997">
        <v>47848</v>
      </c>
      <c r="CA3" s="997">
        <v>48213</v>
      </c>
      <c r="CB3" s="997">
        <v>48579</v>
      </c>
      <c r="CC3" s="997">
        <v>48944</v>
      </c>
      <c r="CD3" s="997">
        <v>49309</v>
      </c>
      <c r="CE3" s="997">
        <v>49674</v>
      </c>
      <c r="CF3" s="997">
        <v>50040</v>
      </c>
      <c r="CG3" s="997">
        <v>50405</v>
      </c>
      <c r="CH3" s="997">
        <v>50770</v>
      </c>
      <c r="CI3" s="997">
        <v>51135</v>
      </c>
      <c r="CJ3" s="938">
        <v>51501</v>
      </c>
      <c r="CK3" s="938">
        <v>51866</v>
      </c>
      <c r="CL3" s="938">
        <v>52231</v>
      </c>
      <c r="CM3" s="938">
        <v>52596</v>
      </c>
      <c r="CN3" s="938">
        <v>52962</v>
      </c>
      <c r="CO3" s="938">
        <v>53327</v>
      </c>
      <c r="CP3" s="938">
        <v>53692</v>
      </c>
      <c r="CQ3" s="938">
        <v>54057</v>
      </c>
      <c r="CR3" s="938">
        <v>54423</v>
      </c>
      <c r="CS3" s="938">
        <v>54788</v>
      </c>
      <c r="CT3" s="938">
        <v>55153</v>
      </c>
      <c r="CU3" s="938">
        <v>55518</v>
      </c>
      <c r="CV3" s="938">
        <v>55884</v>
      </c>
      <c r="CW3" s="938">
        <v>56249</v>
      </c>
      <c r="CX3" s="938">
        <v>56614</v>
      </c>
      <c r="CY3" s="938">
        <v>56979</v>
      </c>
      <c r="CZ3" s="938">
        <v>57345</v>
      </c>
      <c r="DA3" s="938">
        <v>57710</v>
      </c>
      <c r="DB3" s="938">
        <v>58075</v>
      </c>
      <c r="DC3" s="938">
        <v>58440</v>
      </c>
      <c r="DD3" s="938">
        <v>58806</v>
      </c>
      <c r="DE3" s="938">
        <v>59171</v>
      </c>
      <c r="DF3" s="938">
        <v>59536</v>
      </c>
      <c r="DG3" s="938">
        <v>59901</v>
      </c>
      <c r="DH3" s="938">
        <v>60267</v>
      </c>
      <c r="DI3" s="938">
        <v>60632</v>
      </c>
      <c r="DJ3" s="938">
        <v>60997</v>
      </c>
      <c r="DK3" s="938">
        <v>61362</v>
      </c>
      <c r="DL3" s="938">
        <v>61728</v>
      </c>
      <c r="DM3" s="938">
        <v>62093</v>
      </c>
      <c r="DN3" s="938">
        <v>62458</v>
      </c>
    </row>
    <row r="4" spans="1:142" ht="13" x14ac:dyDescent="0.3">
      <c r="A4" s="995" t="s">
        <v>740</v>
      </c>
      <c r="B4" s="996"/>
      <c r="C4" s="998">
        <v>0.21</v>
      </c>
      <c r="D4" s="998">
        <v>0.25</v>
      </c>
      <c r="E4" s="998">
        <v>7.0000000000000007E-2</v>
      </c>
      <c r="F4" s="998">
        <v>-0.31</v>
      </c>
      <c r="G4" s="998">
        <v>-0.38</v>
      </c>
      <c r="H4" s="998">
        <v>0.26</v>
      </c>
      <c r="I4" s="998">
        <v>0.36</v>
      </c>
      <c r="J4" s="998">
        <v>0.24</v>
      </c>
      <c r="K4" s="998">
        <v>0.64</v>
      </c>
      <c r="L4" s="998">
        <v>0.86</v>
      </c>
      <c r="M4" s="998">
        <v>0.89</v>
      </c>
      <c r="N4" s="998">
        <v>1.35</v>
      </c>
      <c r="O4" s="998">
        <v>0.25</v>
      </c>
      <c r="P4" s="998">
        <v>0.86</v>
      </c>
      <c r="Q4" s="998">
        <v>0.93</v>
      </c>
      <c r="R4" s="998">
        <v>0.31</v>
      </c>
      <c r="S4" s="999">
        <v>0.83</v>
      </c>
      <c r="T4" s="999">
        <v>0.53</v>
      </c>
      <c r="U4" s="999">
        <v>0.96</v>
      </c>
      <c r="V4" s="999">
        <v>0.87</v>
      </c>
      <c r="W4" s="999">
        <v>1.1599999999999999</v>
      </c>
      <c r="X4" s="998">
        <v>1.25</v>
      </c>
      <c r="Y4" s="998">
        <v>0.95</v>
      </c>
      <c r="Z4" s="998">
        <v>0.73</v>
      </c>
      <c r="AA4" s="998">
        <v>0.54</v>
      </c>
      <c r="AB4" s="998">
        <v>1.01</v>
      </c>
      <c r="AC4" s="998">
        <v>1.62</v>
      </c>
      <c r="AD4" s="998">
        <v>1.06</v>
      </c>
      <c r="AE4" s="998">
        <v>0.47</v>
      </c>
      <c r="AF4" s="998">
        <v>0.67</v>
      </c>
      <c r="AG4" s="998">
        <v>-0.68</v>
      </c>
      <c r="AH4" s="998">
        <v>-0.36</v>
      </c>
      <c r="AI4" s="998">
        <v>-0.28999999999999998</v>
      </c>
      <c r="AJ4" s="998">
        <v>0.59</v>
      </c>
      <c r="AK4" s="998">
        <v>0.41</v>
      </c>
      <c r="AL4" s="998">
        <v>0.62</v>
      </c>
      <c r="AM4" s="998">
        <v>0.53</v>
      </c>
      <c r="AN4" s="998">
        <v>0.84</v>
      </c>
      <c r="AO4" s="998">
        <v>0.71</v>
      </c>
      <c r="AP4" s="998">
        <v>0.61</v>
      </c>
      <c r="AQ4" s="998">
        <v>0.23</v>
      </c>
      <c r="AR4" s="998">
        <v>-0.08</v>
      </c>
      <c r="AS4" s="998">
        <v>0.12</v>
      </c>
      <c r="AT4" s="998">
        <v>0.23</v>
      </c>
      <c r="AU4" s="998">
        <v>0.26</v>
      </c>
      <c r="AV4" s="998">
        <v>0.24</v>
      </c>
      <c r="AW4" s="998">
        <v>0.28000000000000003</v>
      </c>
      <c r="AX4" s="998">
        <v>0.56000000000000005</v>
      </c>
      <c r="AY4" s="998">
        <v>0.42</v>
      </c>
      <c r="AZ4" s="998">
        <v>0.83</v>
      </c>
      <c r="BA4" s="998">
        <v>0.16</v>
      </c>
      <c r="BB4" s="998">
        <v>0.38</v>
      </c>
      <c r="BC4" s="998">
        <v>0.46</v>
      </c>
      <c r="BD4" s="998">
        <v>0.21</v>
      </c>
      <c r="BE4" s="998">
        <v>0.38</v>
      </c>
      <c r="BF4" s="998">
        <v>-0.02</v>
      </c>
      <c r="BG4" s="998">
        <v>0.44</v>
      </c>
      <c r="BH4" s="998">
        <v>0.56000000000000005</v>
      </c>
      <c r="BI4" s="998">
        <v>0.39</v>
      </c>
      <c r="BJ4" s="998">
        <v>0.52</v>
      </c>
      <c r="BK4" s="998">
        <v>0.16</v>
      </c>
      <c r="BL4" s="998">
        <v>1.31</v>
      </c>
      <c r="BM4" s="998">
        <v>0.56000000000000005</v>
      </c>
      <c r="BN4" s="998">
        <v>0.43</v>
      </c>
      <c r="BO4" s="998">
        <v>0.26</v>
      </c>
      <c r="BP4" s="998">
        <v>0.24</v>
      </c>
      <c r="BQ4" s="998">
        <v>0.26</v>
      </c>
      <c r="BR4" s="998">
        <v>-0.11</v>
      </c>
      <c r="BS4" s="998">
        <v>0.48</v>
      </c>
      <c r="BT4" s="998">
        <v>0.09</v>
      </c>
      <c r="BU4" s="998">
        <v>4.83</v>
      </c>
      <c r="BV4" s="998">
        <v>4.3</v>
      </c>
      <c r="BW4" s="998">
        <v>3.9</v>
      </c>
      <c r="BX4" s="998">
        <v>3.6999999999999997</v>
      </c>
      <c r="BY4" s="998">
        <v>3.6999999999999997</v>
      </c>
      <c r="BZ4" s="998">
        <v>3.6999999999999997</v>
      </c>
      <c r="CA4" s="998">
        <v>3.6999999999999997</v>
      </c>
      <c r="CB4" s="998">
        <v>3.6999999999999997</v>
      </c>
      <c r="CC4" s="998">
        <v>3.6999999999999997</v>
      </c>
      <c r="CD4" s="998">
        <v>3.6999999999999997</v>
      </c>
      <c r="CE4" s="998">
        <v>3.6999999999999997</v>
      </c>
      <c r="CF4" s="998">
        <v>3.6999999999999997</v>
      </c>
      <c r="CG4" s="998">
        <v>3.6999999999999997</v>
      </c>
      <c r="CH4" s="998">
        <v>3.6999999999999997</v>
      </c>
      <c r="CI4" s="998">
        <v>3.6999999999999997</v>
      </c>
      <c r="CJ4" s="939">
        <v>3.6999999999999997</v>
      </c>
      <c r="CK4" s="939">
        <v>3.6999999999999997</v>
      </c>
      <c r="CL4" s="939">
        <v>3.6999999999999997</v>
      </c>
      <c r="CM4" s="939">
        <v>3.6999999999999997</v>
      </c>
      <c r="CN4" s="939">
        <v>3.6999999999999997</v>
      </c>
      <c r="CO4" s="939">
        <v>3.6999999999999997</v>
      </c>
      <c r="CP4" s="939">
        <v>3.6999999999999997</v>
      </c>
      <c r="CQ4" s="939">
        <v>3.6999999999999997</v>
      </c>
      <c r="CR4" s="939">
        <v>3.6999999999999997</v>
      </c>
      <c r="CS4" s="939">
        <v>3.6999999999999997</v>
      </c>
      <c r="CT4" s="939">
        <v>3.6999999999999997</v>
      </c>
      <c r="CU4" s="939">
        <v>3.6999999999999997</v>
      </c>
      <c r="CV4" s="939">
        <v>3.6999999999999997</v>
      </c>
      <c r="CW4" s="939">
        <v>3.6999999999999997</v>
      </c>
      <c r="CX4" s="939">
        <v>3.6999999999999997</v>
      </c>
      <c r="CY4" s="939">
        <v>3.6999999999999997</v>
      </c>
      <c r="CZ4" s="939">
        <v>3.6999999999999997</v>
      </c>
      <c r="DA4" s="939">
        <v>3.6999999999999997</v>
      </c>
      <c r="DB4" s="939">
        <v>3.6999999999999997</v>
      </c>
      <c r="DC4" s="939">
        <v>3.6999999999999997</v>
      </c>
      <c r="DD4" s="939">
        <v>3.6999999999999997</v>
      </c>
      <c r="DE4" s="939">
        <v>3.6999999999999997</v>
      </c>
      <c r="DF4" s="939">
        <v>3.6999999999999997</v>
      </c>
      <c r="DG4" s="939">
        <v>3.6999999999999997</v>
      </c>
      <c r="DH4" s="939">
        <v>3.6999999999999997</v>
      </c>
      <c r="DI4" s="939">
        <v>3.6999999999999997</v>
      </c>
      <c r="DJ4" s="939">
        <v>3.6999999999999997</v>
      </c>
      <c r="DK4" s="939">
        <v>3.6999999999999997</v>
      </c>
      <c r="DL4" s="939">
        <v>3.6999999999999997</v>
      </c>
      <c r="DM4" s="939">
        <v>3.6999999999999997</v>
      </c>
      <c r="DN4" s="939">
        <v>3.6999999999999997</v>
      </c>
    </row>
    <row r="5" spans="1:142" x14ac:dyDescent="0.25">
      <c r="A5" s="995" t="s">
        <v>740</v>
      </c>
      <c r="B5" s="996"/>
      <c r="C5" s="1000">
        <f t="shared" ref="C5:AH5" si="4">C4/100</f>
        <v>2.0999999999999999E-3</v>
      </c>
      <c r="D5" s="1000">
        <f t="shared" si="4"/>
        <v>2.5000000000000001E-3</v>
      </c>
      <c r="E5" s="1000">
        <f t="shared" si="4"/>
        <v>7.000000000000001E-4</v>
      </c>
      <c r="F5" s="1000">
        <f t="shared" si="4"/>
        <v>-3.0999999999999999E-3</v>
      </c>
      <c r="G5" s="1000">
        <f t="shared" si="4"/>
        <v>-3.8E-3</v>
      </c>
      <c r="H5" s="1000">
        <f t="shared" si="4"/>
        <v>2.5999999999999999E-3</v>
      </c>
      <c r="I5" s="1000">
        <f t="shared" si="4"/>
        <v>3.5999999999999999E-3</v>
      </c>
      <c r="J5" s="1000">
        <f t="shared" si="4"/>
        <v>2.3999999999999998E-3</v>
      </c>
      <c r="K5" s="1000">
        <f t="shared" si="4"/>
        <v>6.4000000000000003E-3</v>
      </c>
      <c r="L5" s="1000">
        <f t="shared" si="4"/>
        <v>8.6E-3</v>
      </c>
      <c r="M5" s="1000">
        <f t="shared" si="4"/>
        <v>8.8999999999999999E-3</v>
      </c>
      <c r="N5" s="1000">
        <f t="shared" si="4"/>
        <v>1.3500000000000002E-2</v>
      </c>
      <c r="O5" s="1000">
        <f t="shared" si="4"/>
        <v>2.5000000000000001E-3</v>
      </c>
      <c r="P5" s="1000">
        <f t="shared" si="4"/>
        <v>8.6E-3</v>
      </c>
      <c r="Q5" s="1000">
        <f t="shared" si="4"/>
        <v>9.300000000000001E-3</v>
      </c>
      <c r="R5" s="1000">
        <f t="shared" si="4"/>
        <v>3.0999999999999999E-3</v>
      </c>
      <c r="S5" s="1000">
        <f t="shared" si="4"/>
        <v>8.3000000000000001E-3</v>
      </c>
      <c r="T5" s="1000">
        <f t="shared" si="4"/>
        <v>5.3E-3</v>
      </c>
      <c r="U5" s="1000">
        <f t="shared" si="4"/>
        <v>9.5999999999999992E-3</v>
      </c>
      <c r="V5" s="1000">
        <f t="shared" si="4"/>
        <v>8.6999999999999994E-3</v>
      </c>
      <c r="W5" s="1000">
        <f t="shared" si="4"/>
        <v>1.1599999999999999E-2</v>
      </c>
      <c r="X5" s="1000">
        <f t="shared" si="4"/>
        <v>1.2500000000000001E-2</v>
      </c>
      <c r="Y5" s="1000">
        <f t="shared" si="4"/>
        <v>9.4999999999999998E-3</v>
      </c>
      <c r="Z5" s="1000">
        <f t="shared" si="4"/>
        <v>7.3000000000000001E-3</v>
      </c>
      <c r="AA5" s="1000">
        <f t="shared" si="4"/>
        <v>5.4000000000000003E-3</v>
      </c>
      <c r="AB5" s="1000">
        <f t="shared" si="4"/>
        <v>1.01E-2</v>
      </c>
      <c r="AC5" s="1000">
        <f t="shared" si="4"/>
        <v>1.6200000000000003E-2</v>
      </c>
      <c r="AD5" s="1000">
        <f t="shared" si="4"/>
        <v>1.06E-2</v>
      </c>
      <c r="AE5" s="1000">
        <f t="shared" si="4"/>
        <v>4.6999999999999993E-3</v>
      </c>
      <c r="AF5" s="1000">
        <f t="shared" si="4"/>
        <v>6.7000000000000002E-3</v>
      </c>
      <c r="AG5" s="1000">
        <f t="shared" si="4"/>
        <v>-6.8000000000000005E-3</v>
      </c>
      <c r="AH5" s="1000">
        <f t="shared" si="4"/>
        <v>-3.5999999999999999E-3</v>
      </c>
      <c r="AI5" s="1000">
        <f t="shared" ref="AI5:BN5" si="5">AI4/100</f>
        <v>-2.8999999999999998E-3</v>
      </c>
      <c r="AJ5" s="1000">
        <f t="shared" si="5"/>
        <v>5.8999999999999999E-3</v>
      </c>
      <c r="AK5" s="1000">
        <f t="shared" si="5"/>
        <v>4.0999999999999995E-3</v>
      </c>
      <c r="AL5" s="1000">
        <f t="shared" si="5"/>
        <v>6.1999999999999998E-3</v>
      </c>
      <c r="AM5" s="1000">
        <f t="shared" si="5"/>
        <v>5.3E-3</v>
      </c>
      <c r="AN5" s="1000">
        <f t="shared" si="5"/>
        <v>8.3999999999999995E-3</v>
      </c>
      <c r="AO5" s="1000">
        <f t="shared" si="5"/>
        <v>7.0999999999999995E-3</v>
      </c>
      <c r="AP5" s="1000">
        <f t="shared" si="5"/>
        <v>6.0999999999999995E-3</v>
      </c>
      <c r="AQ5" s="1000">
        <f t="shared" si="5"/>
        <v>2.3E-3</v>
      </c>
      <c r="AR5" s="1000">
        <f t="shared" si="5"/>
        <v>-8.0000000000000004E-4</v>
      </c>
      <c r="AS5" s="1000">
        <f t="shared" si="5"/>
        <v>1.1999999999999999E-3</v>
      </c>
      <c r="AT5" s="1000">
        <f t="shared" si="5"/>
        <v>2.3E-3</v>
      </c>
      <c r="AU5" s="1000">
        <f t="shared" si="5"/>
        <v>2.5999999999999999E-3</v>
      </c>
      <c r="AV5" s="1000">
        <f t="shared" si="5"/>
        <v>2.3999999999999998E-3</v>
      </c>
      <c r="AW5" s="1000">
        <f t="shared" si="5"/>
        <v>2.8000000000000004E-3</v>
      </c>
      <c r="AX5" s="1000">
        <f t="shared" si="5"/>
        <v>5.6000000000000008E-3</v>
      </c>
      <c r="AY5" s="1000">
        <f t="shared" si="5"/>
        <v>4.1999999999999997E-3</v>
      </c>
      <c r="AZ5" s="1000">
        <f t="shared" si="5"/>
        <v>8.3000000000000001E-3</v>
      </c>
      <c r="BA5" s="1000">
        <f t="shared" si="5"/>
        <v>1.6000000000000001E-3</v>
      </c>
      <c r="BB5" s="1000">
        <f t="shared" si="5"/>
        <v>3.8E-3</v>
      </c>
      <c r="BC5" s="1000">
        <f t="shared" si="5"/>
        <v>4.5999999999999999E-3</v>
      </c>
      <c r="BD5" s="1000">
        <f t="shared" si="5"/>
        <v>2.0999999999999999E-3</v>
      </c>
      <c r="BE5" s="1000">
        <f t="shared" si="5"/>
        <v>3.8E-3</v>
      </c>
      <c r="BF5" s="1000">
        <f t="shared" si="5"/>
        <v>-2.0000000000000001E-4</v>
      </c>
      <c r="BG5" s="1000">
        <f t="shared" si="5"/>
        <v>4.4000000000000003E-3</v>
      </c>
      <c r="BH5" s="1000">
        <f t="shared" si="5"/>
        <v>5.6000000000000008E-3</v>
      </c>
      <c r="BI5" s="1000">
        <f t="shared" si="5"/>
        <v>3.9000000000000003E-3</v>
      </c>
      <c r="BJ5" s="1000">
        <f t="shared" si="5"/>
        <v>5.1999999999999998E-3</v>
      </c>
      <c r="BK5" s="1000">
        <f t="shared" si="5"/>
        <v>1.6000000000000001E-3</v>
      </c>
      <c r="BL5" s="1000">
        <f t="shared" si="5"/>
        <v>1.3100000000000001E-2</v>
      </c>
      <c r="BM5" s="1000">
        <f t="shared" si="5"/>
        <v>5.6000000000000008E-3</v>
      </c>
      <c r="BN5" s="1000">
        <f t="shared" si="5"/>
        <v>4.3E-3</v>
      </c>
      <c r="BO5" s="1000">
        <f t="shared" ref="BO5:CT5" si="6">BO4/100</f>
        <v>2.5999999999999999E-3</v>
      </c>
      <c r="BP5" s="1000">
        <f t="shared" si="6"/>
        <v>2.3999999999999998E-3</v>
      </c>
      <c r="BQ5" s="1000">
        <f t="shared" si="6"/>
        <v>2.5999999999999999E-3</v>
      </c>
      <c r="BR5" s="1000">
        <f t="shared" si="6"/>
        <v>-1.1000000000000001E-3</v>
      </c>
      <c r="BS5" s="1000">
        <f t="shared" si="6"/>
        <v>4.7999999999999996E-3</v>
      </c>
      <c r="BT5" s="1000">
        <f t="shared" si="6"/>
        <v>8.9999999999999998E-4</v>
      </c>
      <c r="BU5" s="1000">
        <f t="shared" si="6"/>
        <v>4.8300000000000003E-2</v>
      </c>
      <c r="BV5" s="1000">
        <f t="shared" si="6"/>
        <v>4.2999999999999997E-2</v>
      </c>
      <c r="BW5" s="1000">
        <f t="shared" si="6"/>
        <v>3.9E-2</v>
      </c>
      <c r="BX5" s="1000">
        <f t="shared" si="6"/>
        <v>3.6999999999999998E-2</v>
      </c>
      <c r="BY5" s="1000">
        <f t="shared" si="6"/>
        <v>3.6999999999999998E-2</v>
      </c>
      <c r="BZ5" s="1000">
        <f t="shared" si="6"/>
        <v>3.6999999999999998E-2</v>
      </c>
      <c r="CA5" s="1000">
        <f t="shared" si="6"/>
        <v>3.6999999999999998E-2</v>
      </c>
      <c r="CB5" s="1000">
        <f t="shared" si="6"/>
        <v>3.6999999999999998E-2</v>
      </c>
      <c r="CC5" s="1000">
        <f t="shared" si="6"/>
        <v>3.6999999999999998E-2</v>
      </c>
      <c r="CD5" s="1000">
        <f t="shared" si="6"/>
        <v>3.6999999999999998E-2</v>
      </c>
      <c r="CE5" s="1000">
        <f t="shared" si="6"/>
        <v>3.6999999999999998E-2</v>
      </c>
      <c r="CF5" s="1000">
        <f t="shared" si="6"/>
        <v>3.6999999999999998E-2</v>
      </c>
      <c r="CG5" s="1000">
        <f t="shared" si="6"/>
        <v>3.6999999999999998E-2</v>
      </c>
      <c r="CH5" s="1000">
        <f t="shared" si="6"/>
        <v>3.6999999999999998E-2</v>
      </c>
      <c r="CI5" s="1000">
        <f t="shared" si="6"/>
        <v>3.6999999999999998E-2</v>
      </c>
      <c r="CJ5" s="940">
        <f t="shared" si="6"/>
        <v>3.6999999999999998E-2</v>
      </c>
      <c r="CK5" s="940">
        <f t="shared" si="6"/>
        <v>3.6999999999999998E-2</v>
      </c>
      <c r="CL5" s="940">
        <f t="shared" si="6"/>
        <v>3.6999999999999998E-2</v>
      </c>
      <c r="CM5" s="940">
        <f t="shared" si="6"/>
        <v>3.6999999999999998E-2</v>
      </c>
      <c r="CN5" s="940">
        <f t="shared" si="6"/>
        <v>3.6999999999999998E-2</v>
      </c>
      <c r="CO5" s="940">
        <f t="shared" si="6"/>
        <v>3.6999999999999998E-2</v>
      </c>
      <c r="CP5" s="940">
        <f t="shared" si="6"/>
        <v>3.6999999999999998E-2</v>
      </c>
      <c r="CQ5" s="940">
        <f t="shared" si="6"/>
        <v>3.6999999999999998E-2</v>
      </c>
      <c r="CR5" s="940">
        <f t="shared" si="6"/>
        <v>3.6999999999999998E-2</v>
      </c>
      <c r="CS5" s="940">
        <f t="shared" si="6"/>
        <v>3.6999999999999998E-2</v>
      </c>
      <c r="CT5" s="940">
        <f t="shared" si="6"/>
        <v>3.6999999999999998E-2</v>
      </c>
      <c r="CU5" s="940">
        <f t="shared" ref="CU5:DN5" si="7">CU4/100</f>
        <v>3.6999999999999998E-2</v>
      </c>
      <c r="CV5" s="940">
        <f t="shared" si="7"/>
        <v>3.6999999999999998E-2</v>
      </c>
      <c r="CW5" s="940">
        <f t="shared" si="7"/>
        <v>3.6999999999999998E-2</v>
      </c>
      <c r="CX5" s="940">
        <f t="shared" si="7"/>
        <v>3.6999999999999998E-2</v>
      </c>
      <c r="CY5" s="940">
        <f t="shared" si="7"/>
        <v>3.6999999999999998E-2</v>
      </c>
      <c r="CZ5" s="940">
        <f t="shared" si="7"/>
        <v>3.6999999999999998E-2</v>
      </c>
      <c r="DA5" s="940">
        <f t="shared" si="7"/>
        <v>3.6999999999999998E-2</v>
      </c>
      <c r="DB5" s="940">
        <f t="shared" si="7"/>
        <v>3.6999999999999998E-2</v>
      </c>
      <c r="DC5" s="940">
        <f t="shared" si="7"/>
        <v>3.6999999999999998E-2</v>
      </c>
      <c r="DD5" s="940">
        <f t="shared" si="7"/>
        <v>3.6999999999999998E-2</v>
      </c>
      <c r="DE5" s="940">
        <f t="shared" si="7"/>
        <v>3.6999999999999998E-2</v>
      </c>
      <c r="DF5" s="940">
        <f t="shared" si="7"/>
        <v>3.6999999999999998E-2</v>
      </c>
      <c r="DG5" s="940">
        <f t="shared" si="7"/>
        <v>3.6999999999999998E-2</v>
      </c>
      <c r="DH5" s="940">
        <f t="shared" si="7"/>
        <v>3.6999999999999998E-2</v>
      </c>
      <c r="DI5" s="940">
        <f t="shared" si="7"/>
        <v>3.6999999999999998E-2</v>
      </c>
      <c r="DJ5" s="940">
        <f t="shared" si="7"/>
        <v>3.6999999999999998E-2</v>
      </c>
      <c r="DK5" s="940">
        <f t="shared" si="7"/>
        <v>3.6999999999999998E-2</v>
      </c>
      <c r="DL5" s="940">
        <f t="shared" si="7"/>
        <v>3.6999999999999998E-2</v>
      </c>
      <c r="DM5" s="940">
        <f t="shared" si="7"/>
        <v>3.6999999999999998E-2</v>
      </c>
      <c r="DN5" s="940">
        <f t="shared" si="7"/>
        <v>3.6999999999999998E-2</v>
      </c>
    </row>
    <row r="6" spans="1:142" x14ac:dyDescent="0.25">
      <c r="A6" s="995" t="s">
        <v>743</v>
      </c>
      <c r="B6" s="996"/>
      <c r="C6" s="1001">
        <v>1</v>
      </c>
      <c r="D6" s="1001">
        <f t="shared" ref="D6:AI6" si="8">C6*(1+D5)</f>
        <v>1.0024999999999999</v>
      </c>
      <c r="E6" s="1001">
        <f t="shared" si="8"/>
        <v>1.0032017499999999</v>
      </c>
      <c r="F6" s="1001">
        <f t="shared" si="8"/>
        <v>1.0000918245749999</v>
      </c>
      <c r="G6" s="1001">
        <f t="shared" si="8"/>
        <v>0.99629147564161491</v>
      </c>
      <c r="H6" s="1001">
        <f t="shared" si="8"/>
        <v>0.99888183347828308</v>
      </c>
      <c r="I6" s="1001">
        <f t="shared" si="8"/>
        <v>1.002477808078805</v>
      </c>
      <c r="J6" s="1001">
        <f t="shared" si="8"/>
        <v>1.0048837548181941</v>
      </c>
      <c r="K6" s="1001">
        <f t="shared" si="8"/>
        <v>1.0113150108490305</v>
      </c>
      <c r="L6" s="1001">
        <f t="shared" si="8"/>
        <v>1.0200123199423321</v>
      </c>
      <c r="M6" s="1001">
        <f t="shared" si="8"/>
        <v>1.0290904295898187</v>
      </c>
      <c r="N6" s="1001">
        <f t="shared" si="8"/>
        <v>1.0429831503892812</v>
      </c>
      <c r="O6" s="1001">
        <f t="shared" si="8"/>
        <v>1.0455906082652544</v>
      </c>
      <c r="P6" s="1001">
        <f t="shared" si="8"/>
        <v>1.0545826874963355</v>
      </c>
      <c r="Q6" s="1001">
        <f t="shared" si="8"/>
        <v>1.0643903064900515</v>
      </c>
      <c r="R6" s="1001">
        <f t="shared" si="8"/>
        <v>1.0676899164401707</v>
      </c>
      <c r="S6" s="1001">
        <f t="shared" si="8"/>
        <v>1.0765517427466242</v>
      </c>
      <c r="T6" s="1001">
        <f t="shared" si="8"/>
        <v>1.0822574669831815</v>
      </c>
      <c r="U6" s="1001">
        <f t="shared" si="8"/>
        <v>1.09264713866622</v>
      </c>
      <c r="V6" s="1001">
        <f t="shared" si="8"/>
        <v>1.102153168772616</v>
      </c>
      <c r="W6" s="1001">
        <f t="shared" si="8"/>
        <v>1.1149381455303784</v>
      </c>
      <c r="X6" s="1001">
        <f t="shared" si="8"/>
        <v>1.1288748723495081</v>
      </c>
      <c r="Y6" s="1001">
        <f t="shared" si="8"/>
        <v>1.1395991836368284</v>
      </c>
      <c r="Z6" s="1001">
        <f t="shared" si="8"/>
        <v>1.1479182576773774</v>
      </c>
      <c r="AA6" s="1001">
        <f t="shared" si="8"/>
        <v>1.1541170162688354</v>
      </c>
      <c r="AB6" s="1001">
        <f t="shared" si="8"/>
        <v>1.1657735981331507</v>
      </c>
      <c r="AC6" s="1001">
        <f t="shared" si="8"/>
        <v>1.1846591304229077</v>
      </c>
      <c r="AD6" s="1001">
        <f t="shared" si="8"/>
        <v>1.1972165172053906</v>
      </c>
      <c r="AE6" s="1001">
        <f t="shared" si="8"/>
        <v>1.2028434348362558</v>
      </c>
      <c r="AF6" s="1001">
        <f t="shared" si="8"/>
        <v>1.2109024858496586</v>
      </c>
      <c r="AG6" s="1001">
        <f t="shared" si="8"/>
        <v>1.2026683489458809</v>
      </c>
      <c r="AH6" s="1001">
        <f t="shared" si="8"/>
        <v>1.1983387428896757</v>
      </c>
      <c r="AI6" s="1001">
        <f t="shared" si="8"/>
        <v>1.1948635605352955</v>
      </c>
      <c r="AJ6" s="1001">
        <f t="shared" ref="AJ6:BO6" si="9">AI6*(1+AJ5)</f>
        <v>1.2019132555424539</v>
      </c>
      <c r="AK6" s="1001">
        <f t="shared" si="9"/>
        <v>1.206841099890178</v>
      </c>
      <c r="AL6" s="1001">
        <f t="shared" si="9"/>
        <v>1.2143235147094971</v>
      </c>
      <c r="AM6" s="1001">
        <f t="shared" si="9"/>
        <v>1.2207594293374575</v>
      </c>
      <c r="AN6" s="1001">
        <f t="shared" si="9"/>
        <v>1.2310138085438922</v>
      </c>
      <c r="AO6" s="1001">
        <f t="shared" si="9"/>
        <v>1.239754006584554</v>
      </c>
      <c r="AP6" s="1001">
        <f t="shared" si="9"/>
        <v>1.2473165060247198</v>
      </c>
      <c r="AQ6" s="1001">
        <f t="shared" si="9"/>
        <v>1.2501853339885767</v>
      </c>
      <c r="AR6" s="1001">
        <f t="shared" si="9"/>
        <v>1.2491851857213858</v>
      </c>
      <c r="AS6" s="1001">
        <f t="shared" si="9"/>
        <v>1.2506842079442515</v>
      </c>
      <c r="AT6" s="1001">
        <f t="shared" si="9"/>
        <v>1.2535607816225232</v>
      </c>
      <c r="AU6" s="1001">
        <f t="shared" si="9"/>
        <v>1.2568200396547415</v>
      </c>
      <c r="AV6" s="1001">
        <f t="shared" si="9"/>
        <v>1.2598364077499129</v>
      </c>
      <c r="AW6" s="1001">
        <f t="shared" si="9"/>
        <v>1.2633639496916125</v>
      </c>
      <c r="AX6" s="1001">
        <f t="shared" si="9"/>
        <v>1.2704387878098855</v>
      </c>
      <c r="AY6" s="1001">
        <f t="shared" si="9"/>
        <v>1.275774630718687</v>
      </c>
      <c r="AZ6" s="1001">
        <f t="shared" si="9"/>
        <v>1.2863635601536521</v>
      </c>
      <c r="BA6" s="1001">
        <f t="shared" si="9"/>
        <v>1.288421741849898</v>
      </c>
      <c r="BB6" s="1001">
        <f t="shared" si="9"/>
        <v>1.2933177444689277</v>
      </c>
      <c r="BC6" s="1001">
        <f t="shared" si="9"/>
        <v>1.2992670060934846</v>
      </c>
      <c r="BD6" s="1001">
        <f t="shared" si="9"/>
        <v>1.3019954668062808</v>
      </c>
      <c r="BE6" s="1001">
        <f t="shared" si="9"/>
        <v>1.3069430495801446</v>
      </c>
      <c r="BF6" s="1001">
        <f t="shared" si="9"/>
        <v>1.3066816609702285</v>
      </c>
      <c r="BG6" s="1001">
        <f t="shared" si="9"/>
        <v>1.3124310602784974</v>
      </c>
      <c r="BH6" s="1001">
        <f t="shared" si="9"/>
        <v>1.3197806742160572</v>
      </c>
      <c r="BI6" s="1001">
        <f t="shared" si="9"/>
        <v>1.3249278188454998</v>
      </c>
      <c r="BJ6" s="1001">
        <f t="shared" si="9"/>
        <v>1.3318174435034966</v>
      </c>
      <c r="BK6" s="1001">
        <f t="shared" si="9"/>
        <v>1.3339483514131023</v>
      </c>
      <c r="BL6" s="1001">
        <f t="shared" si="9"/>
        <v>1.3514230748166141</v>
      </c>
      <c r="BM6" s="1001">
        <f t="shared" si="9"/>
        <v>1.3589910440355872</v>
      </c>
      <c r="BN6" s="1001">
        <f t="shared" si="9"/>
        <v>1.3648347055249401</v>
      </c>
      <c r="BO6" s="1001">
        <f t="shared" si="9"/>
        <v>1.3683832757593049</v>
      </c>
      <c r="BP6" s="1001">
        <f t="shared" ref="BP6:BT6" si="10">BO6*(1+BP5)</f>
        <v>1.3716673956211272</v>
      </c>
      <c r="BQ6" s="1001">
        <f t="shared" si="10"/>
        <v>1.375233730849742</v>
      </c>
      <c r="BR6" s="1001">
        <f t="shared" si="10"/>
        <v>1.3737209737458074</v>
      </c>
      <c r="BS6" s="1001">
        <f t="shared" si="10"/>
        <v>1.3803148344197871</v>
      </c>
      <c r="BT6" s="1001">
        <f t="shared" si="10"/>
        <v>1.3815571177707648</v>
      </c>
      <c r="BU6" s="1001">
        <f t="shared" ref="BU6:DN6" si="11">BJ6*(1+BU5)</f>
        <v>1.3961442260247154</v>
      </c>
      <c r="BV6" s="1001">
        <f t="shared" si="11"/>
        <v>1.3913081305238657</v>
      </c>
      <c r="BW6" s="1001">
        <f t="shared" si="11"/>
        <v>1.4041285747344618</v>
      </c>
      <c r="BX6" s="1001">
        <f t="shared" si="11"/>
        <v>1.4092737126649038</v>
      </c>
      <c r="BY6" s="1001">
        <f t="shared" si="11"/>
        <v>1.4153335896293628</v>
      </c>
      <c r="BZ6" s="1001">
        <f t="shared" si="11"/>
        <v>1.4190134569623991</v>
      </c>
      <c r="CA6" s="1001">
        <f t="shared" si="11"/>
        <v>1.4224190892591086</v>
      </c>
      <c r="CB6" s="1001">
        <f t="shared" si="11"/>
        <v>1.4261173788911823</v>
      </c>
      <c r="CC6" s="1001">
        <f t="shared" si="11"/>
        <v>1.4245486497744022</v>
      </c>
      <c r="CD6" s="1001">
        <f t="shared" si="11"/>
        <v>1.4313864832933192</v>
      </c>
      <c r="CE6" s="1001">
        <f t="shared" si="11"/>
        <v>1.432674731128283</v>
      </c>
      <c r="CF6" s="1001">
        <f t="shared" si="11"/>
        <v>1.4478015623876297</v>
      </c>
      <c r="CG6" s="1001">
        <f t="shared" si="11"/>
        <v>1.4427865313532486</v>
      </c>
      <c r="CH6" s="1001">
        <f t="shared" si="11"/>
        <v>1.4560813319996369</v>
      </c>
      <c r="CI6" s="1001">
        <f t="shared" si="11"/>
        <v>1.461416840033505</v>
      </c>
      <c r="CJ6" s="941">
        <f t="shared" si="11"/>
        <v>1.4677009324456491</v>
      </c>
      <c r="CK6" s="941">
        <f t="shared" si="11"/>
        <v>1.4715169548700078</v>
      </c>
      <c r="CL6" s="941">
        <f t="shared" si="11"/>
        <v>1.4750485955616957</v>
      </c>
      <c r="CM6" s="941">
        <f t="shared" si="11"/>
        <v>1.4788837219101558</v>
      </c>
      <c r="CN6" s="941">
        <f t="shared" si="11"/>
        <v>1.477256949816055</v>
      </c>
      <c r="CO6" s="941">
        <f t="shared" si="11"/>
        <v>1.4843477831751719</v>
      </c>
      <c r="CP6" s="941">
        <f t="shared" si="11"/>
        <v>1.4856836961800295</v>
      </c>
      <c r="CQ6" s="941">
        <f t="shared" si="11"/>
        <v>1.5013702201959718</v>
      </c>
      <c r="CR6" s="941">
        <f t="shared" si="11"/>
        <v>1.4961696330133187</v>
      </c>
      <c r="CS6" s="941">
        <f t="shared" si="11"/>
        <v>1.5099563412836232</v>
      </c>
      <c r="CT6" s="941">
        <f t="shared" si="11"/>
        <v>1.5154892631147445</v>
      </c>
      <c r="CU6" s="941">
        <f t="shared" si="11"/>
        <v>1.522005866946138</v>
      </c>
      <c r="CV6" s="941">
        <f t="shared" si="11"/>
        <v>1.5259630822001979</v>
      </c>
      <c r="CW6" s="941">
        <f t="shared" si="11"/>
        <v>1.5296253935974782</v>
      </c>
      <c r="CX6" s="941">
        <f t="shared" si="11"/>
        <v>1.5336024196208315</v>
      </c>
      <c r="CY6" s="941">
        <f t="shared" si="11"/>
        <v>1.531915456959249</v>
      </c>
      <c r="CZ6" s="941">
        <f t="shared" si="11"/>
        <v>1.5392686511526532</v>
      </c>
      <c r="DA6" s="941">
        <f t="shared" si="11"/>
        <v>1.5406539929386904</v>
      </c>
      <c r="DB6" s="941">
        <f t="shared" si="11"/>
        <v>1.5569209183432227</v>
      </c>
      <c r="DC6" s="941">
        <f t="shared" si="11"/>
        <v>1.5515279094348113</v>
      </c>
      <c r="DD6" s="941">
        <f t="shared" si="11"/>
        <v>1.5658247259111171</v>
      </c>
      <c r="DE6" s="941">
        <f t="shared" si="11"/>
        <v>1.57156236584999</v>
      </c>
      <c r="DF6" s="941">
        <f t="shared" si="11"/>
        <v>1.5783200840231451</v>
      </c>
      <c r="DG6" s="941">
        <f t="shared" si="11"/>
        <v>1.582423716241605</v>
      </c>
      <c r="DH6" s="941">
        <f t="shared" si="11"/>
        <v>1.5862215331605847</v>
      </c>
      <c r="DI6" s="941">
        <f t="shared" si="11"/>
        <v>1.5903457091468023</v>
      </c>
      <c r="DJ6" s="941">
        <f t="shared" si="11"/>
        <v>1.5885963288667411</v>
      </c>
      <c r="DK6" s="941">
        <f t="shared" si="11"/>
        <v>1.5962215912453013</v>
      </c>
      <c r="DL6" s="941">
        <f t="shared" si="11"/>
        <v>1.5976581906774219</v>
      </c>
      <c r="DM6" s="941">
        <f t="shared" si="11"/>
        <v>1.6145269923219219</v>
      </c>
      <c r="DN6" s="941">
        <f t="shared" si="11"/>
        <v>1.6089344420838991</v>
      </c>
    </row>
    <row r="7" spans="1:142" x14ac:dyDescent="0.25">
      <c r="A7" s="995"/>
      <c r="B7" s="996"/>
      <c r="C7" s="1002"/>
      <c r="D7" s="1002"/>
      <c r="E7" s="1002"/>
      <c r="F7" s="1002"/>
      <c r="G7" s="1002"/>
      <c r="H7" s="1002"/>
      <c r="I7" s="1002"/>
      <c r="J7" s="1002"/>
      <c r="K7" s="1002"/>
      <c r="L7" s="1002"/>
      <c r="M7" s="1002"/>
      <c r="N7" s="1002"/>
      <c r="O7" s="1002"/>
      <c r="P7" s="1002"/>
      <c r="Q7" s="1002"/>
      <c r="R7" s="1002"/>
      <c r="S7" s="1002"/>
      <c r="T7" s="1002"/>
      <c r="U7" s="1002"/>
      <c r="V7" s="1002"/>
      <c r="W7" s="1002"/>
      <c r="X7" s="1002"/>
      <c r="Y7" s="1002"/>
      <c r="Z7" s="1002"/>
      <c r="AA7" s="1002"/>
      <c r="AB7" s="1002"/>
      <c r="AC7" s="1002"/>
      <c r="AD7" s="1002"/>
      <c r="AE7" s="1002"/>
      <c r="AF7" s="1002"/>
      <c r="AG7" s="1002"/>
      <c r="AH7" s="1002"/>
      <c r="AI7" s="1002"/>
      <c r="AJ7" s="1002"/>
      <c r="AK7" s="1002"/>
      <c r="AL7" s="1002"/>
      <c r="AM7" s="1002"/>
      <c r="AN7" s="1002"/>
      <c r="AO7" s="1002"/>
      <c r="AP7" s="1002"/>
      <c r="AQ7" s="1002"/>
      <c r="AR7" s="1002"/>
      <c r="AS7" s="1002"/>
      <c r="AT7" s="1002"/>
      <c r="AU7" s="1002"/>
      <c r="AV7" s="1002"/>
      <c r="AW7" s="1002"/>
      <c r="AX7" s="1002"/>
      <c r="AY7" s="1002"/>
      <c r="AZ7" s="1002"/>
      <c r="BA7" s="1002"/>
      <c r="BB7" s="1002"/>
      <c r="BC7" s="1002"/>
      <c r="BD7" s="1002"/>
      <c r="BE7" s="1002"/>
      <c r="BF7" s="1002"/>
      <c r="BG7" s="1002"/>
      <c r="BH7" s="1002"/>
      <c r="BI7" s="1002"/>
      <c r="BJ7" s="1002"/>
      <c r="BK7" s="1002"/>
      <c r="BL7" s="1002"/>
      <c r="BM7" s="1002"/>
      <c r="BN7" s="1002"/>
      <c r="BO7" s="1002"/>
      <c r="BP7" s="1002"/>
      <c r="BQ7" s="1002"/>
      <c r="BR7" s="1002"/>
      <c r="BS7" s="1002"/>
      <c r="BT7" s="1002"/>
      <c r="BU7" s="1003"/>
      <c r="BV7" s="1002"/>
      <c r="BW7" s="1002"/>
      <c r="BX7" s="1002"/>
      <c r="BY7" s="1002"/>
      <c r="BZ7" s="1002"/>
      <c r="CA7" s="1002"/>
      <c r="CB7" s="1002"/>
      <c r="CC7" s="1002"/>
      <c r="CD7" s="1002"/>
      <c r="CE7" s="1002"/>
      <c r="CF7" s="1002"/>
      <c r="CG7" s="1002"/>
      <c r="CH7" s="1002"/>
      <c r="CI7" s="1002"/>
      <c r="CJ7" s="942"/>
      <c r="CK7" s="942"/>
      <c r="CL7" s="942"/>
      <c r="CM7" s="942"/>
      <c r="CN7" s="942"/>
      <c r="CO7" s="942"/>
      <c r="CP7" s="942"/>
      <c r="CQ7" s="942"/>
      <c r="CR7" s="942"/>
      <c r="CS7" s="942"/>
      <c r="CT7" s="942"/>
      <c r="CU7" s="942"/>
      <c r="CV7" s="942"/>
      <c r="CW7" s="942"/>
      <c r="CX7" s="942"/>
      <c r="CY7" s="942"/>
      <c r="CZ7" s="942"/>
      <c r="DA7" s="942"/>
      <c r="DB7" s="942"/>
      <c r="DC7" s="942"/>
      <c r="DD7" s="942"/>
      <c r="DE7" s="942"/>
      <c r="DF7" s="942"/>
      <c r="DG7" s="942"/>
      <c r="DH7" s="942"/>
      <c r="DI7" s="942"/>
      <c r="DJ7" s="942"/>
      <c r="DK7" s="942"/>
      <c r="DL7" s="942"/>
      <c r="DM7" s="942"/>
      <c r="DN7" s="942"/>
    </row>
    <row r="8" spans="1:142" x14ac:dyDescent="0.25">
      <c r="A8" t="s">
        <v>777</v>
      </c>
      <c r="C8" s="997">
        <v>45869</v>
      </c>
      <c r="Q8" s="996"/>
      <c r="R8" s="996"/>
      <c r="S8" s="996"/>
      <c r="T8" s="996"/>
      <c r="U8" s="996"/>
      <c r="V8" s="996"/>
      <c r="W8" s="996"/>
      <c r="X8" s="996"/>
      <c r="Y8" s="996"/>
      <c r="Z8" s="996"/>
      <c r="AA8" s="996"/>
      <c r="AB8" s="996"/>
      <c r="AC8" s="996"/>
      <c r="AD8" s="996"/>
      <c r="AE8" s="996"/>
      <c r="AF8" s="996"/>
      <c r="AG8" s="996"/>
      <c r="AH8" s="996"/>
      <c r="AI8" s="996"/>
      <c r="AJ8" s="996"/>
      <c r="AK8" s="996"/>
      <c r="AL8" s="996"/>
      <c r="AM8" s="996"/>
      <c r="AN8" s="996"/>
      <c r="AO8" s="996"/>
      <c r="AP8" s="996"/>
      <c r="AQ8" s="996"/>
      <c r="AR8" s="996"/>
      <c r="AS8" s="996"/>
      <c r="AT8" s="996"/>
      <c r="AU8" s="996"/>
      <c r="AV8" s="996"/>
      <c r="AW8" s="996"/>
      <c r="AX8" s="996"/>
      <c r="AY8" s="996"/>
      <c r="AZ8" s="996"/>
      <c r="BA8" s="996"/>
      <c r="BB8" s="996"/>
      <c r="BC8" s="996"/>
      <c r="BD8" s="996"/>
      <c r="BE8" s="996"/>
      <c r="BF8" s="996"/>
      <c r="BG8" s="996"/>
      <c r="BH8" s="996"/>
      <c r="BI8" s="996"/>
      <c r="BJ8" s="996"/>
      <c r="BK8" s="996"/>
      <c r="BL8" s="996"/>
      <c r="BM8" s="996"/>
      <c r="BN8" s="996"/>
      <c r="BO8" s="996"/>
      <c r="BP8" s="996"/>
      <c r="BQ8" s="996"/>
      <c r="BR8" s="996"/>
      <c r="BS8" s="996"/>
      <c r="BT8" s="996"/>
      <c r="BU8" s="996"/>
      <c r="BV8" s="996"/>
      <c r="BW8" s="996"/>
      <c r="BX8" s="996"/>
      <c r="BY8" s="996"/>
      <c r="BZ8" s="996"/>
      <c r="CA8" s="996"/>
      <c r="CB8" s="996"/>
      <c r="CC8" s="996"/>
      <c r="CD8" s="996"/>
      <c r="CE8" s="996"/>
      <c r="CF8" s="996"/>
      <c r="CG8" s="996"/>
      <c r="CH8" s="996"/>
      <c r="CI8" s="996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</row>
    <row r="9" spans="1:142" x14ac:dyDescent="0.25">
      <c r="A9" t="s">
        <v>776</v>
      </c>
      <c r="C9" s="1001">
        <f>HLOOKUP($C$8,$C$2:$DN$6,5,FALSE)</f>
        <v>1.375233730849742</v>
      </c>
      <c r="Q9" s="996"/>
      <c r="R9" s="996"/>
      <c r="S9" s="996"/>
      <c r="T9" s="996"/>
      <c r="U9" s="996"/>
      <c r="V9" s="996"/>
      <c r="W9" s="996"/>
      <c r="X9" s="996"/>
      <c r="Y9" s="996"/>
      <c r="Z9" s="996"/>
      <c r="AA9" s="996"/>
      <c r="AB9" s="996"/>
      <c r="AC9" s="996"/>
      <c r="AD9" s="996"/>
      <c r="AE9" s="996"/>
      <c r="AF9" s="996"/>
      <c r="AG9" s="996"/>
      <c r="AH9" s="996"/>
      <c r="AI9" s="996"/>
      <c r="AJ9" s="996"/>
      <c r="AK9" s="996"/>
      <c r="AL9" s="996"/>
      <c r="AM9" s="996"/>
      <c r="AN9" s="996"/>
      <c r="AO9" s="996"/>
      <c r="AP9" s="996"/>
      <c r="AQ9" s="996"/>
      <c r="AR9" s="996"/>
      <c r="AS9" s="996"/>
      <c r="AT9" s="996"/>
      <c r="AU9" s="996"/>
      <c r="AV9" s="996"/>
      <c r="AW9" s="996"/>
      <c r="AX9" s="996"/>
      <c r="AY9" s="996"/>
      <c r="AZ9" s="996"/>
      <c r="BA9" s="996"/>
      <c r="BB9" s="996"/>
      <c r="BC9" s="996"/>
      <c r="BD9" s="996"/>
      <c r="BE9" s="996"/>
      <c r="BF9" s="996"/>
      <c r="BG9" s="996"/>
      <c r="BH9" s="996"/>
      <c r="BI9" s="996"/>
      <c r="BJ9" s="996"/>
      <c r="BK9" s="996"/>
      <c r="BL9" s="996"/>
      <c r="BM9" s="996"/>
      <c r="BN9" s="996"/>
      <c r="BO9" s="996"/>
      <c r="BP9" s="996"/>
      <c r="BQ9" s="996"/>
      <c r="BR9" s="996"/>
      <c r="BS9" s="996"/>
      <c r="BT9" s="996"/>
      <c r="BU9" s="996"/>
      <c r="BV9" s="996"/>
      <c r="BW9" s="996"/>
      <c r="BX9" s="996"/>
      <c r="BY9" s="996"/>
      <c r="BZ9" s="996"/>
      <c r="CA9" s="996"/>
      <c r="CB9" s="996"/>
      <c r="CC9" s="996"/>
      <c r="CD9" s="996"/>
      <c r="CE9" s="996"/>
      <c r="CF9" s="996"/>
      <c r="CG9" s="996"/>
      <c r="CH9" s="996"/>
      <c r="CI9" s="996"/>
    </row>
    <row r="10" spans="1:142" x14ac:dyDescent="0.25">
      <c r="Q10" s="996"/>
      <c r="R10" s="996"/>
      <c r="S10" s="996"/>
      <c r="T10" s="996"/>
      <c r="U10" s="996"/>
      <c r="V10" s="996"/>
      <c r="W10" s="996"/>
      <c r="X10" s="996"/>
      <c r="Y10" s="996"/>
      <c r="Z10" s="996"/>
      <c r="AA10" s="996"/>
      <c r="AB10" s="996"/>
      <c r="AC10" s="996"/>
      <c r="AD10" s="996"/>
      <c r="AE10" s="996"/>
      <c r="AF10" s="996"/>
      <c r="AG10" s="996"/>
      <c r="AH10" s="996"/>
      <c r="AI10" s="996"/>
      <c r="AJ10" s="996"/>
      <c r="AK10" s="996"/>
      <c r="AL10" s="996"/>
      <c r="AM10" s="996"/>
      <c r="AN10" s="996"/>
      <c r="AO10" s="996"/>
      <c r="AP10" s="996"/>
      <c r="AQ10" s="996"/>
      <c r="AR10" s="996"/>
      <c r="AS10" s="996"/>
      <c r="AT10" s="996"/>
      <c r="AU10" s="996"/>
      <c r="AV10" s="996"/>
      <c r="AW10" s="996"/>
      <c r="AX10" s="996"/>
      <c r="AY10" s="996"/>
      <c r="AZ10" s="996"/>
      <c r="BA10" s="996"/>
      <c r="BB10" s="996"/>
      <c r="BC10" s="996"/>
      <c r="BD10" s="996"/>
      <c r="BE10" s="996"/>
      <c r="BF10" s="996"/>
      <c r="BG10" s="996"/>
      <c r="BH10" s="996"/>
      <c r="BI10" s="996"/>
      <c r="BJ10" s="996"/>
      <c r="BK10" s="996"/>
      <c r="BL10" s="996"/>
      <c r="BM10" s="996"/>
      <c r="BN10" s="996"/>
      <c r="BO10" s="996"/>
      <c r="BP10" s="996"/>
      <c r="BQ10" s="996"/>
      <c r="BR10" s="996"/>
      <c r="BS10" s="996"/>
      <c r="BT10" s="996"/>
      <c r="BU10" s="996"/>
      <c r="BV10" s="996"/>
      <c r="BW10" s="996"/>
      <c r="BX10" s="996"/>
      <c r="BY10" s="996"/>
      <c r="BZ10" s="996"/>
      <c r="CA10" s="996"/>
      <c r="CB10" s="996"/>
      <c r="CC10" s="996"/>
      <c r="CD10" s="996"/>
      <c r="CE10" s="996"/>
      <c r="CF10" s="996"/>
      <c r="CG10" s="996"/>
      <c r="CH10" s="996"/>
      <c r="CI10" s="996"/>
    </row>
    <row r="11" spans="1:142" ht="13" x14ac:dyDescent="0.25">
      <c r="A11" s="996"/>
      <c r="B11" s="996"/>
      <c r="C11" s="943"/>
      <c r="D11" s="944"/>
      <c r="E11" s="944"/>
      <c r="F11" s="944"/>
      <c r="G11" s="944"/>
      <c r="H11" s="944"/>
      <c r="I11" s="944"/>
      <c r="J11" s="944"/>
      <c r="K11" s="944"/>
      <c r="L11" s="944"/>
      <c r="M11" s="944"/>
      <c r="N11" s="944"/>
      <c r="O11" s="944"/>
      <c r="P11" s="944"/>
      <c r="Q11" s="996"/>
      <c r="R11" s="996"/>
      <c r="S11" s="996"/>
      <c r="T11" s="996"/>
      <c r="U11" s="996"/>
      <c r="V11" s="996"/>
      <c r="W11" s="996"/>
      <c r="X11" s="996"/>
      <c r="Y11" s="996"/>
      <c r="Z11" s="996"/>
      <c r="AA11" s="996"/>
      <c r="AB11" s="996"/>
      <c r="AC11" s="996"/>
      <c r="AD11" s="996"/>
      <c r="AE11" s="996"/>
      <c r="AF11" s="996"/>
      <c r="AG11" s="996"/>
      <c r="AH11" s="996"/>
      <c r="AI11" s="996"/>
      <c r="AJ11" s="996"/>
      <c r="AK11" s="996"/>
      <c r="AL11" s="996"/>
      <c r="AM11" s="996"/>
      <c r="AN11" s="996"/>
      <c r="AO11" s="996"/>
      <c r="AP11" s="996"/>
      <c r="AQ11" s="996"/>
      <c r="AR11" s="996"/>
      <c r="AS11" s="996"/>
      <c r="AT11" s="996"/>
      <c r="AU11" s="996"/>
      <c r="AV11" s="996"/>
      <c r="AW11" s="996"/>
      <c r="AX11" s="996"/>
      <c r="AY11" s="996"/>
      <c r="AZ11" s="996"/>
      <c r="BA11" s="996"/>
      <c r="BB11" s="996"/>
      <c r="BC11" s="996"/>
      <c r="BD11" s="996"/>
      <c r="BE11" s="996"/>
      <c r="BF11" s="996"/>
      <c r="BG11" s="996"/>
      <c r="BH11" s="996"/>
      <c r="BI11" s="996"/>
      <c r="BJ11" s="996"/>
      <c r="BK11" s="996"/>
      <c r="BL11" s="996"/>
      <c r="BM11" s="996"/>
      <c r="BN11" s="996"/>
      <c r="BO11" s="996"/>
      <c r="BP11" s="996"/>
      <c r="BQ11" s="996"/>
      <c r="BR11" s="996"/>
      <c r="BS11" s="996"/>
      <c r="BT11" s="996"/>
      <c r="BU11" s="996"/>
      <c r="BV11" s="996"/>
      <c r="BW11" s="996"/>
      <c r="BX11" s="996"/>
      <c r="BY11" s="996"/>
      <c r="BZ11" s="996"/>
      <c r="CA11" s="996"/>
      <c r="CB11" s="996"/>
      <c r="CC11" s="996"/>
      <c r="CD11" s="996"/>
      <c r="CE11" s="996"/>
      <c r="CF11" s="996"/>
      <c r="CG11" s="996"/>
      <c r="CH11" s="996"/>
      <c r="CI11" s="996"/>
    </row>
    <row r="12" spans="1:142" ht="13" x14ac:dyDescent="0.3">
      <c r="A12" s="991" t="s">
        <v>751</v>
      </c>
      <c r="B12" s="991"/>
      <c r="C12" s="991"/>
      <c r="D12" s="991"/>
      <c r="E12" s="991"/>
      <c r="F12" s="991"/>
      <c r="G12" s="991"/>
      <c r="H12" s="991"/>
      <c r="I12" s="991"/>
      <c r="J12" s="991"/>
      <c r="K12" s="991"/>
      <c r="L12" s="991"/>
      <c r="M12" s="991"/>
      <c r="N12" s="991"/>
      <c r="O12" s="991"/>
      <c r="P12" s="991"/>
      <c r="Q12" s="991"/>
      <c r="R12" s="991"/>
      <c r="S12" s="991"/>
      <c r="T12" s="991"/>
      <c r="U12" s="991"/>
      <c r="V12" s="991"/>
      <c r="W12" s="991"/>
      <c r="X12" s="991"/>
      <c r="Y12" s="991"/>
      <c r="Z12" s="991"/>
      <c r="AA12" s="991"/>
      <c r="AB12" s="991"/>
      <c r="AC12" s="991"/>
      <c r="AD12" s="991"/>
      <c r="AE12" s="991"/>
      <c r="AF12" s="991"/>
      <c r="AG12" s="991"/>
      <c r="AH12" s="991"/>
      <c r="AI12" s="991"/>
      <c r="AJ12" s="991"/>
      <c r="AK12" s="991"/>
      <c r="AL12" s="991"/>
      <c r="AM12" s="991"/>
      <c r="AN12" s="991"/>
      <c r="AO12" s="991"/>
      <c r="AP12" s="991"/>
      <c r="AQ12" s="991"/>
      <c r="AR12" s="991"/>
      <c r="AS12" s="991"/>
      <c r="AT12" s="991"/>
      <c r="AU12" s="991"/>
      <c r="AV12" s="991"/>
      <c r="AW12" s="991"/>
      <c r="AX12" s="991"/>
      <c r="AY12" s="991"/>
      <c r="AZ12" s="991"/>
      <c r="BA12" s="991"/>
      <c r="BB12" s="991"/>
      <c r="BC12" s="991"/>
      <c r="BD12" s="991"/>
      <c r="BE12" s="991"/>
      <c r="BF12" s="991"/>
      <c r="BG12" s="991"/>
      <c r="BH12" s="991"/>
      <c r="BI12" s="991"/>
      <c r="BJ12" s="991"/>
      <c r="BK12" s="991"/>
      <c r="BL12" s="991"/>
      <c r="BM12" s="991"/>
      <c r="BN12" s="991"/>
      <c r="BO12" s="991"/>
      <c r="BP12" s="991"/>
      <c r="BQ12" s="991"/>
      <c r="BR12" s="991"/>
      <c r="BS12" s="991"/>
      <c r="BT12" s="991"/>
      <c r="BU12" s="991"/>
      <c r="BV12" s="991"/>
      <c r="BW12" s="991"/>
      <c r="BX12" s="991"/>
      <c r="BY12" s="991"/>
      <c r="BZ12" s="991"/>
      <c r="CA12" s="991"/>
      <c r="CB12" s="991"/>
      <c r="CC12" s="991"/>
      <c r="CD12" s="991"/>
      <c r="CE12" s="991"/>
      <c r="CF12" s="991"/>
      <c r="CG12" s="991"/>
      <c r="CH12" s="991"/>
      <c r="CI12" s="991"/>
      <c r="CJ12" s="935"/>
      <c r="CK12" s="935"/>
      <c r="CL12" s="935"/>
      <c r="CM12" s="935"/>
      <c r="CN12" s="935"/>
      <c r="CO12" s="935"/>
      <c r="CP12" s="935"/>
      <c r="CQ12" s="935"/>
      <c r="CR12" s="935"/>
      <c r="CS12" s="935"/>
      <c r="CT12" s="935"/>
      <c r="CU12" s="935"/>
      <c r="CV12" s="935"/>
      <c r="CW12" s="935"/>
      <c r="CX12" s="935"/>
      <c r="CY12" s="935"/>
      <c r="CZ12" s="935"/>
      <c r="DA12" s="935"/>
      <c r="DB12" s="935"/>
      <c r="DC12" s="935"/>
      <c r="DD12" s="935"/>
      <c r="DE12" s="935"/>
      <c r="DF12" s="935"/>
      <c r="DG12" s="935"/>
      <c r="DH12" s="935"/>
      <c r="DI12" s="935"/>
      <c r="DJ12" s="935"/>
      <c r="DK12" s="935"/>
      <c r="DL12" s="935"/>
      <c r="DM12" s="935"/>
      <c r="DN12" s="935"/>
      <c r="DO12" s="935"/>
      <c r="DP12" s="935"/>
      <c r="DQ12" s="935"/>
      <c r="DR12" s="935"/>
      <c r="DS12" s="935"/>
      <c r="DT12" s="935"/>
      <c r="DU12" s="935"/>
      <c r="DV12" s="935"/>
    </row>
    <row r="13" spans="1:142" ht="13" x14ac:dyDescent="0.3">
      <c r="A13" s="992" t="s">
        <v>744</v>
      </c>
      <c r="B13" s="993"/>
      <c r="C13" s="994">
        <v>43831</v>
      </c>
      <c r="D13" s="994">
        <v>43862</v>
      </c>
      <c r="E13" s="994">
        <v>43891</v>
      </c>
      <c r="F13" s="994">
        <v>43922</v>
      </c>
      <c r="G13" s="994">
        <v>43952</v>
      </c>
      <c r="H13" s="994">
        <v>43983</v>
      </c>
      <c r="I13" s="994">
        <v>44013</v>
      </c>
      <c r="J13" s="994">
        <v>44044</v>
      </c>
      <c r="K13" s="994">
        <v>44075</v>
      </c>
      <c r="L13" s="994">
        <v>44105</v>
      </c>
      <c r="M13" s="994">
        <v>44136</v>
      </c>
      <c r="N13" s="994">
        <v>44166</v>
      </c>
      <c r="O13" s="994">
        <v>44197</v>
      </c>
      <c r="P13" s="994">
        <v>44228</v>
      </c>
      <c r="Q13" s="994">
        <v>44256</v>
      </c>
      <c r="R13" s="994">
        <v>44287</v>
      </c>
      <c r="S13" s="994">
        <v>44317</v>
      </c>
      <c r="T13" s="994">
        <v>44348</v>
      </c>
      <c r="U13" s="994">
        <v>44378</v>
      </c>
      <c r="V13" s="994">
        <v>44409</v>
      </c>
      <c r="W13" s="994">
        <v>44440</v>
      </c>
      <c r="X13" s="994">
        <v>44470</v>
      </c>
      <c r="Y13" s="994">
        <v>44501</v>
      </c>
      <c r="Z13" s="994">
        <v>44531</v>
      </c>
      <c r="AA13" s="994">
        <v>44562</v>
      </c>
      <c r="AB13" s="994">
        <v>44593</v>
      </c>
      <c r="AC13" s="994">
        <v>44621</v>
      </c>
      <c r="AD13" s="994">
        <v>44652</v>
      </c>
      <c r="AE13" s="994">
        <v>44682</v>
      </c>
      <c r="AF13" s="994">
        <v>44713</v>
      </c>
      <c r="AG13" s="994">
        <v>44743</v>
      </c>
      <c r="AH13" s="994">
        <v>44774</v>
      </c>
      <c r="AI13" s="994">
        <v>44805</v>
      </c>
      <c r="AJ13" s="994">
        <v>44835</v>
      </c>
      <c r="AK13" s="994">
        <v>44866</v>
      </c>
      <c r="AL13" s="994">
        <v>44896</v>
      </c>
      <c r="AM13" s="994">
        <v>44927</v>
      </c>
      <c r="AN13" s="994">
        <v>44958</v>
      </c>
      <c r="AO13" s="994">
        <v>44986</v>
      </c>
      <c r="AP13" s="994">
        <v>45017</v>
      </c>
      <c r="AQ13" s="994">
        <v>45047</v>
      </c>
      <c r="AR13" s="994">
        <v>45078</v>
      </c>
      <c r="AS13" s="994">
        <v>45108</v>
      </c>
      <c r="AT13" s="994">
        <v>45139</v>
      </c>
      <c r="AU13" s="994">
        <v>45170</v>
      </c>
      <c r="AV13" s="994">
        <v>45200</v>
      </c>
      <c r="AW13" s="994">
        <v>45231</v>
      </c>
      <c r="AX13" s="994">
        <v>45261</v>
      </c>
      <c r="AY13" s="994">
        <v>45292</v>
      </c>
      <c r="AZ13" s="994">
        <v>45323</v>
      </c>
      <c r="BA13" s="994">
        <v>45352</v>
      </c>
      <c r="BB13" s="994">
        <v>45383</v>
      </c>
      <c r="BC13" s="994">
        <v>45413</v>
      </c>
      <c r="BD13" s="994">
        <v>45444</v>
      </c>
      <c r="BE13" s="994">
        <v>45474</v>
      </c>
      <c r="BF13" s="994">
        <v>45505</v>
      </c>
      <c r="BG13" s="994">
        <v>45536</v>
      </c>
      <c r="BH13" s="994">
        <v>45566</v>
      </c>
      <c r="BI13" s="994">
        <v>45597</v>
      </c>
      <c r="BJ13" s="994">
        <v>45627</v>
      </c>
      <c r="BK13" s="994">
        <v>45658</v>
      </c>
      <c r="BL13" s="994">
        <v>45689</v>
      </c>
      <c r="BM13" s="994">
        <v>45717</v>
      </c>
      <c r="BN13" s="994">
        <v>45748</v>
      </c>
      <c r="BO13" s="994">
        <v>45778</v>
      </c>
      <c r="BP13" s="994">
        <v>45809</v>
      </c>
      <c r="BQ13" s="994">
        <v>45839</v>
      </c>
      <c r="BR13" s="994">
        <v>45870</v>
      </c>
      <c r="BS13" s="994">
        <v>45901</v>
      </c>
      <c r="BT13" s="994"/>
      <c r="BU13" s="994"/>
      <c r="BV13" s="994"/>
      <c r="BW13" s="994"/>
      <c r="BX13" s="994"/>
      <c r="BY13" s="994"/>
      <c r="BZ13" s="994"/>
      <c r="CA13" s="994"/>
      <c r="CB13" s="994"/>
      <c r="CC13" s="994"/>
      <c r="CD13" s="994"/>
      <c r="CE13" s="994"/>
      <c r="CF13" s="994"/>
      <c r="CG13" s="994"/>
      <c r="CH13" s="994"/>
      <c r="CI13" s="994"/>
      <c r="CJ13" s="937"/>
      <c r="CK13" s="937"/>
      <c r="CL13" s="937"/>
      <c r="CM13" s="937"/>
      <c r="CN13" s="937"/>
      <c r="CO13" s="937"/>
      <c r="CP13" s="937"/>
      <c r="CQ13" s="937"/>
      <c r="CR13" s="937"/>
      <c r="CS13" s="937"/>
      <c r="CT13" s="937"/>
      <c r="CU13" s="937"/>
      <c r="CV13" s="937"/>
      <c r="CW13" s="937"/>
      <c r="CX13" s="937"/>
      <c r="CY13" s="937"/>
      <c r="CZ13" s="937"/>
      <c r="DA13" s="937"/>
      <c r="DB13" s="937"/>
      <c r="DC13" s="937"/>
      <c r="DD13" s="937"/>
      <c r="DE13" s="937"/>
      <c r="DF13" s="937"/>
      <c r="DG13" s="937"/>
      <c r="DH13" s="937"/>
      <c r="DI13" s="937"/>
      <c r="DJ13" s="937"/>
      <c r="DK13" s="937"/>
      <c r="DL13" s="937"/>
      <c r="DM13" s="937"/>
      <c r="DN13" s="937"/>
      <c r="DO13" s="75"/>
      <c r="DP13" s="75"/>
      <c r="DQ13" s="75"/>
      <c r="DR13" s="75"/>
      <c r="DS13" s="75"/>
      <c r="DT13" s="75"/>
      <c r="DU13" s="75"/>
      <c r="DV13" s="75"/>
    </row>
    <row r="14" spans="1:142" ht="13" x14ac:dyDescent="0.3">
      <c r="A14" s="996" t="s">
        <v>745</v>
      </c>
      <c r="B14" s="996"/>
      <c r="C14" s="998">
        <v>257.971</v>
      </c>
      <c r="D14" s="998">
        <v>258.678</v>
      </c>
      <c r="E14" s="998">
        <v>258.11500000000001</v>
      </c>
      <c r="F14" s="998">
        <v>256.38900000000001</v>
      </c>
      <c r="G14" s="998">
        <v>256.39400000000001</v>
      </c>
      <c r="H14" s="998">
        <v>257.79700000000003</v>
      </c>
      <c r="I14" s="998">
        <v>259.101</v>
      </c>
      <c r="J14" s="998">
        <v>259.91800000000001</v>
      </c>
      <c r="K14" s="998">
        <v>260.27999999999997</v>
      </c>
      <c r="L14" s="998">
        <v>260.38799999999998</v>
      </c>
      <c r="M14" s="998">
        <v>260.22899999999998</v>
      </c>
      <c r="N14" s="998">
        <v>260.47399999999999</v>
      </c>
      <c r="O14" s="998">
        <v>261.58199999999999</v>
      </c>
      <c r="P14" s="998">
        <v>263.01400000000001</v>
      </c>
      <c r="Q14" s="998">
        <v>264.87700000000001</v>
      </c>
      <c r="R14" s="998">
        <v>267.05399999999997</v>
      </c>
      <c r="S14" s="999">
        <v>269.19499999999999</v>
      </c>
      <c r="T14" s="999">
        <v>271.69600000000003</v>
      </c>
      <c r="U14" s="999">
        <v>273.00299999999999</v>
      </c>
      <c r="V14" s="999">
        <v>273.56700000000001</v>
      </c>
      <c r="W14" s="999">
        <v>274.31</v>
      </c>
      <c r="X14" s="998">
        <v>276.589</v>
      </c>
      <c r="Y14" s="998">
        <v>277.94799999999998</v>
      </c>
      <c r="Z14" s="998">
        <v>278.80200000000002</v>
      </c>
      <c r="AA14" s="998">
        <v>281.14800000000002</v>
      </c>
      <c r="AB14" s="998">
        <v>283.71600000000001</v>
      </c>
      <c r="AC14" s="998">
        <v>287.50400000000002</v>
      </c>
      <c r="AD14" s="998">
        <v>289.10899999999998</v>
      </c>
      <c r="AE14" s="998">
        <v>292.29599999999999</v>
      </c>
      <c r="AF14" s="998">
        <v>296.31099999999998</v>
      </c>
      <c r="AG14" s="998">
        <v>296.27600000000001</v>
      </c>
      <c r="AH14" s="998">
        <v>296.17099999999999</v>
      </c>
      <c r="AI14" s="998">
        <v>296.80799999999999</v>
      </c>
      <c r="AJ14" s="998">
        <v>298.012</v>
      </c>
      <c r="AK14" s="998">
        <v>297.71100000000001</v>
      </c>
      <c r="AL14" s="998">
        <v>296.79700000000003</v>
      </c>
      <c r="AM14" s="998">
        <v>299.17</v>
      </c>
      <c r="AN14" s="998">
        <v>300.83999999999997</v>
      </c>
      <c r="AO14" s="998">
        <v>301.83600000000001</v>
      </c>
      <c r="AP14" s="998">
        <v>303.363</v>
      </c>
      <c r="AQ14" s="998">
        <v>304.12700000000001</v>
      </c>
      <c r="AR14" s="998">
        <v>305.10899999999998</v>
      </c>
      <c r="AS14" s="998">
        <v>305.69099999999997</v>
      </c>
      <c r="AT14" s="998">
        <v>307.02600000000001</v>
      </c>
      <c r="AU14" s="998">
        <v>307.78899999999999</v>
      </c>
      <c r="AV14" s="998">
        <v>307.67099999999999</v>
      </c>
      <c r="AW14" s="998">
        <v>307.05099999999999</v>
      </c>
      <c r="AX14" s="998">
        <v>306.74599999999998</v>
      </c>
      <c r="AY14" s="998">
        <v>308.41699999999997</v>
      </c>
      <c r="AZ14" s="998">
        <v>310.32600000000002</v>
      </c>
      <c r="BA14" s="998">
        <v>312.33199999999999</v>
      </c>
      <c r="BB14" s="998">
        <v>313.548</v>
      </c>
      <c r="BC14" s="998">
        <v>314.06900000000002</v>
      </c>
      <c r="BD14" s="998">
        <v>314.17500000000001</v>
      </c>
      <c r="BE14" s="998">
        <v>314.54000000000002</v>
      </c>
      <c r="BF14" s="998">
        <v>314.79599999999999</v>
      </c>
      <c r="BG14" s="998">
        <v>315.30099999999999</v>
      </c>
      <c r="BH14" s="998">
        <v>315.66399999999999</v>
      </c>
      <c r="BI14" s="998">
        <v>315.49299999999999</v>
      </c>
      <c r="BJ14" s="998">
        <v>315.60500000000002</v>
      </c>
      <c r="BK14" s="998">
        <v>317.67099999999999</v>
      </c>
      <c r="BL14" s="998">
        <v>319.08199999999999</v>
      </c>
      <c r="BM14" s="998">
        <v>319.79899999999998</v>
      </c>
      <c r="BN14" s="998">
        <v>320.79500000000002</v>
      </c>
      <c r="BO14" s="998">
        <v>321.46499999999997</v>
      </c>
      <c r="BP14" s="998">
        <v>322.56099999999998</v>
      </c>
      <c r="BQ14" s="998">
        <v>323.048</v>
      </c>
      <c r="BR14" s="998">
        <v>323.976</v>
      </c>
      <c r="BS14" s="998">
        <v>324.8</v>
      </c>
      <c r="BT14" s="998"/>
      <c r="BU14" s="998"/>
      <c r="BV14" s="998"/>
      <c r="BW14" s="998"/>
      <c r="BX14" s="998"/>
      <c r="BY14" s="998"/>
      <c r="BZ14" s="998"/>
      <c r="CA14" s="998"/>
      <c r="CB14" s="998"/>
      <c r="CC14" s="998"/>
      <c r="CD14" s="998"/>
      <c r="CE14" s="998"/>
      <c r="CF14" s="998"/>
      <c r="CG14" s="998"/>
      <c r="CH14" s="998"/>
      <c r="CI14" s="998"/>
      <c r="CJ14" s="939"/>
      <c r="CK14" s="939"/>
      <c r="CL14" s="939"/>
      <c r="CM14" s="939"/>
      <c r="CN14" s="939"/>
      <c r="CO14" s="939"/>
      <c r="CP14" s="939"/>
      <c r="CQ14" s="939"/>
      <c r="CR14" s="939"/>
      <c r="CS14" s="939"/>
      <c r="CT14" s="939"/>
      <c r="CU14" s="939"/>
      <c r="CV14" s="939"/>
      <c r="CW14" s="939"/>
      <c r="CX14" s="939"/>
      <c r="CY14" s="939"/>
      <c r="CZ14" s="939"/>
      <c r="DA14" s="939"/>
      <c r="DB14" s="939"/>
      <c r="DC14" s="939"/>
      <c r="DD14" s="939"/>
      <c r="DE14" s="939"/>
      <c r="DF14" s="939"/>
      <c r="DG14" s="939"/>
      <c r="DH14" s="939"/>
      <c r="DI14" s="939"/>
      <c r="DJ14" s="939"/>
      <c r="DK14" s="939"/>
      <c r="DL14" s="939"/>
      <c r="DM14" s="939"/>
      <c r="DN14" s="939"/>
    </row>
    <row r="15" spans="1:142" ht="14" x14ac:dyDescent="0.3">
      <c r="A15" s="996"/>
      <c r="B15" s="996"/>
      <c r="C15" s="1007"/>
      <c r="D15" s="1008"/>
      <c r="E15" s="996"/>
      <c r="F15" s="996"/>
      <c r="G15" s="996"/>
      <c r="H15" s="996"/>
      <c r="I15" s="996"/>
      <c r="J15" s="996"/>
      <c r="K15" s="996"/>
      <c r="L15" s="996"/>
      <c r="M15" s="996"/>
      <c r="N15" s="996"/>
      <c r="O15" s="996"/>
      <c r="P15" s="996"/>
      <c r="Q15" s="996"/>
      <c r="R15" s="996"/>
      <c r="S15" s="996"/>
      <c r="T15" s="996"/>
      <c r="U15" s="996"/>
      <c r="V15" s="996"/>
      <c r="W15" s="996"/>
      <c r="X15" s="996"/>
      <c r="Y15" s="996"/>
      <c r="Z15" s="996"/>
      <c r="AA15" s="996"/>
      <c r="AB15" s="996"/>
      <c r="AC15" s="996"/>
      <c r="AD15" s="996"/>
      <c r="AE15" s="996"/>
      <c r="AF15" s="996"/>
      <c r="AG15" s="996"/>
      <c r="AH15" s="996"/>
      <c r="AI15" s="996"/>
      <c r="AJ15" s="996"/>
      <c r="AK15" s="996"/>
      <c r="AL15" s="996"/>
      <c r="AM15" s="996"/>
      <c r="AN15" s="996"/>
      <c r="AO15" s="996"/>
      <c r="AP15" s="996"/>
      <c r="AQ15" s="996"/>
      <c r="AR15" s="996"/>
      <c r="AS15" s="996"/>
      <c r="AT15" s="996"/>
      <c r="AU15" s="996"/>
      <c r="AV15" s="996"/>
      <c r="AW15" s="996"/>
      <c r="AX15" s="996"/>
      <c r="AY15" s="996"/>
      <c r="AZ15" s="996"/>
      <c r="BA15" s="996"/>
      <c r="BB15" s="996"/>
      <c r="BC15" s="996"/>
      <c r="BD15" s="996"/>
      <c r="BE15" s="996"/>
      <c r="BF15" s="996"/>
      <c r="BG15" s="996"/>
      <c r="BH15" s="996"/>
      <c r="BI15" s="996"/>
      <c r="BJ15" s="996"/>
      <c r="BK15" s="996"/>
      <c r="BL15" s="996"/>
      <c r="BM15" s="996"/>
      <c r="BN15" s="996"/>
      <c r="BO15" s="996"/>
      <c r="BP15" s="996"/>
      <c r="BQ15" s="996"/>
      <c r="BR15" s="996"/>
      <c r="BS15" s="996"/>
      <c r="BT15" s="996"/>
      <c r="BU15" s="996"/>
      <c r="BV15" s="996"/>
      <c r="BW15" s="996"/>
      <c r="BX15" s="996"/>
      <c r="BY15" s="996"/>
      <c r="BZ15" s="996"/>
      <c r="CA15" s="996"/>
      <c r="CB15" s="996"/>
      <c r="CC15" s="996"/>
      <c r="CD15" s="996"/>
      <c r="CE15" s="996"/>
      <c r="CF15" s="996"/>
      <c r="CG15" s="996"/>
      <c r="CH15" s="996"/>
      <c r="CI15" s="996"/>
    </row>
    <row r="16" spans="1:142" s="936" customFormat="1" ht="14" x14ac:dyDescent="0.3">
      <c r="A16" s="996" t="s">
        <v>777</v>
      </c>
      <c r="B16"/>
      <c r="C16" s="997">
        <v>45839</v>
      </c>
      <c r="D16"/>
      <c r="E16"/>
      <c r="F16" s="996"/>
      <c r="G16" s="996"/>
      <c r="H16" s="996"/>
      <c r="I16" s="996"/>
      <c r="J16" s="996"/>
      <c r="K16" s="996"/>
      <c r="L16" s="996"/>
      <c r="M16" s="996"/>
      <c r="N16" s="996"/>
      <c r="O16" s="996"/>
      <c r="P16" s="996"/>
      <c r="Q16" s="996"/>
      <c r="R16" s="996"/>
      <c r="S16" s="996"/>
      <c r="T16" s="996"/>
      <c r="U16" s="996"/>
      <c r="V16" s="996"/>
      <c r="W16" s="996"/>
      <c r="X16" s="996"/>
      <c r="Y16" s="996"/>
      <c r="Z16" s="996"/>
      <c r="AA16" s="996"/>
      <c r="AB16" s="996"/>
      <c r="AC16" s="996"/>
      <c r="AD16" s="996"/>
      <c r="AE16" s="996"/>
      <c r="AF16" s="996"/>
      <c r="AG16" s="996"/>
      <c r="AH16" s="996"/>
      <c r="AI16" s="996"/>
      <c r="AJ16" s="996"/>
      <c r="AK16" s="996"/>
      <c r="AL16" s="996"/>
      <c r="AM16" s="996"/>
      <c r="AN16" s="996"/>
      <c r="AO16" s="996"/>
      <c r="AP16" s="996"/>
      <c r="AQ16" s="996"/>
      <c r="AR16" s="996"/>
      <c r="AS16" s="996"/>
      <c r="AT16" s="996"/>
      <c r="AU16" s="996"/>
      <c r="AV16" s="996"/>
      <c r="AW16" s="996"/>
      <c r="AX16" s="996"/>
      <c r="AY16" s="996"/>
      <c r="AZ16" s="996"/>
      <c r="BA16" s="996"/>
      <c r="BB16" s="996"/>
      <c r="BC16" s="996"/>
      <c r="BD16" s="996"/>
      <c r="BE16" s="996"/>
      <c r="BF16" s="996"/>
      <c r="BG16" s="996"/>
      <c r="BH16" s="996"/>
      <c r="BI16" s="996"/>
      <c r="BJ16" s="996"/>
      <c r="BK16" s="1007"/>
      <c r="BL16" s="1008"/>
      <c r="BM16" s="996"/>
      <c r="BN16" s="996"/>
      <c r="BO16" s="996"/>
      <c r="BP16" s="996"/>
      <c r="BQ16" s="996"/>
      <c r="BR16" s="996"/>
      <c r="BS16" s="996"/>
      <c r="BT16" s="996"/>
      <c r="BU16" s="996"/>
      <c r="BV16" s="996"/>
      <c r="BW16" s="996"/>
      <c r="BX16" s="996"/>
      <c r="BY16" s="996"/>
      <c r="BZ16" s="996"/>
      <c r="CA16" s="996"/>
      <c r="CB16" s="996"/>
      <c r="CC16" s="996"/>
      <c r="CD16" s="996"/>
      <c r="CE16" s="996"/>
      <c r="CF16" s="996"/>
      <c r="CG16" s="996"/>
      <c r="CH16" s="996"/>
      <c r="CI16" s="99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</row>
    <row r="17" spans="1:126" s="936" customFormat="1" ht="14" x14ac:dyDescent="0.3">
      <c r="A17" s="996" t="s">
        <v>776</v>
      </c>
      <c r="B17" s="996"/>
      <c r="C17" s="1008">
        <f>HLOOKUP(C16,$C$13:$BS$14,2,FALSE)</f>
        <v>323.048</v>
      </c>
      <c r="D17" s="1008"/>
      <c r="E17" s="996"/>
      <c r="F17" s="996"/>
      <c r="G17" s="996"/>
      <c r="H17" s="996"/>
      <c r="I17" s="996"/>
      <c r="J17" s="996"/>
      <c r="K17" s="996"/>
      <c r="L17" s="1061"/>
      <c r="M17" s="996"/>
      <c r="N17" s="996"/>
      <c r="O17" s="996"/>
      <c r="P17" s="996"/>
      <c r="Q17" s="996"/>
      <c r="R17" s="996"/>
      <c r="S17" s="996"/>
      <c r="T17" s="996"/>
      <c r="U17" s="996"/>
      <c r="V17" s="996"/>
      <c r="W17" s="996"/>
      <c r="X17" s="996"/>
      <c r="Y17" s="996"/>
      <c r="Z17" s="996"/>
      <c r="AA17" s="996"/>
      <c r="AB17" s="996"/>
      <c r="AC17" s="996"/>
      <c r="AD17" s="996"/>
      <c r="AE17" s="996"/>
      <c r="AF17" s="996"/>
      <c r="AG17" s="996"/>
      <c r="AH17" s="996"/>
      <c r="AI17" s="996"/>
      <c r="AJ17" s="996"/>
      <c r="AK17" s="996"/>
      <c r="AL17" s="996"/>
      <c r="AM17" s="996"/>
      <c r="AN17" s="996"/>
      <c r="AO17" s="996"/>
      <c r="AP17" s="996"/>
      <c r="AQ17" s="996"/>
      <c r="AR17" s="996"/>
      <c r="AS17" s="996"/>
      <c r="AT17" s="996"/>
      <c r="AU17" s="996"/>
      <c r="AV17" s="996"/>
      <c r="AW17" s="996"/>
      <c r="AX17" s="996"/>
      <c r="AY17" s="996"/>
      <c r="AZ17" s="996"/>
      <c r="BA17" s="996"/>
      <c r="BB17" s="996"/>
      <c r="BC17" s="996"/>
      <c r="BD17" s="996"/>
      <c r="BE17" s="996"/>
      <c r="BF17" s="996"/>
      <c r="BG17" s="996"/>
      <c r="BH17" s="996"/>
      <c r="BI17" s="996"/>
      <c r="BJ17" s="996"/>
      <c r="BK17" s="1007"/>
      <c r="BL17" s="1008"/>
      <c r="BM17" s="996"/>
      <c r="BN17" s="996"/>
      <c r="BO17" s="996"/>
      <c r="BP17" s="996"/>
      <c r="BQ17" s="996"/>
      <c r="BR17" s="996"/>
      <c r="BS17" s="996"/>
      <c r="BT17" s="996"/>
      <c r="BU17" s="996"/>
      <c r="BV17" s="996"/>
      <c r="BW17" s="996"/>
      <c r="BX17" s="996"/>
      <c r="BY17" s="996"/>
      <c r="BZ17" s="996"/>
      <c r="CA17" s="996"/>
      <c r="CB17" s="996"/>
      <c r="CC17" s="996"/>
      <c r="CD17" s="996"/>
      <c r="CE17" s="996"/>
      <c r="CF17" s="996"/>
      <c r="CG17" s="996"/>
      <c r="CH17" s="996"/>
      <c r="CI17" s="996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</row>
    <row r="18" spans="1:126" s="936" customFormat="1" ht="14" x14ac:dyDescent="0.3">
      <c r="A18" s="996"/>
      <c r="B18" s="996"/>
      <c r="C18" s="1008"/>
      <c r="D18" s="1008"/>
      <c r="E18" s="996"/>
      <c r="F18" s="996"/>
      <c r="G18" s="996"/>
      <c r="H18" s="996"/>
      <c r="I18" s="996"/>
      <c r="J18" s="996"/>
      <c r="K18" s="996"/>
      <c r="L18" s="996"/>
      <c r="M18" s="996"/>
      <c r="N18" s="996"/>
      <c r="O18" s="996"/>
      <c r="P18" s="996"/>
      <c r="Q18" s="996"/>
      <c r="R18" s="996"/>
      <c r="S18" s="996"/>
      <c r="T18" s="996"/>
      <c r="U18" s="996"/>
      <c r="V18" s="996"/>
      <c r="W18" s="996"/>
      <c r="X18" s="996"/>
      <c r="Y18" s="996"/>
      <c r="Z18" s="996"/>
      <c r="AA18" s="996"/>
      <c r="AB18" s="996"/>
      <c r="AC18" s="996"/>
      <c r="AD18" s="996"/>
      <c r="AE18" s="996"/>
      <c r="AF18" s="996"/>
      <c r="AG18" s="996"/>
      <c r="AH18" s="996"/>
      <c r="AI18" s="996"/>
      <c r="AJ18" s="996"/>
      <c r="AK18" s="996"/>
      <c r="AL18" s="996"/>
      <c r="AM18" s="996"/>
      <c r="AN18" s="996"/>
      <c r="AO18" s="996"/>
      <c r="AP18" s="996"/>
      <c r="AQ18" s="996"/>
      <c r="AR18" s="996"/>
      <c r="AS18" s="996"/>
      <c r="AT18" s="996"/>
      <c r="AU18" s="996"/>
      <c r="AV18" s="996"/>
      <c r="AW18" s="996"/>
      <c r="AX18" s="996"/>
      <c r="AY18" s="996"/>
      <c r="AZ18" s="996"/>
      <c r="BA18" s="996"/>
      <c r="BB18" s="996"/>
      <c r="BC18" s="996"/>
      <c r="BD18" s="996"/>
      <c r="BE18" s="996"/>
      <c r="BF18" s="996"/>
      <c r="BG18" s="996"/>
      <c r="BH18" s="996"/>
      <c r="BI18" s="996"/>
      <c r="BJ18" s="996"/>
      <c r="BK18" s="1007"/>
      <c r="BL18" s="1008"/>
      <c r="BM18" s="996"/>
      <c r="BN18" s="996"/>
      <c r="BO18" s="996"/>
      <c r="BP18" s="996"/>
      <c r="BQ18" s="996"/>
      <c r="BR18" s="996"/>
      <c r="BS18" s="996"/>
      <c r="BT18" s="996"/>
      <c r="BU18" s="996"/>
      <c r="BV18" s="996"/>
      <c r="BW18" s="996"/>
      <c r="BX18" s="996"/>
      <c r="BY18" s="996"/>
      <c r="BZ18" s="996"/>
      <c r="CA18" s="996"/>
      <c r="CB18" s="996"/>
      <c r="CC18" s="996"/>
      <c r="CD18" s="996"/>
      <c r="CE18" s="996"/>
      <c r="CF18" s="996"/>
      <c r="CG18" s="996"/>
      <c r="CH18" s="996"/>
      <c r="CI18" s="996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</row>
    <row r="19" spans="1:126" ht="13" x14ac:dyDescent="0.3">
      <c r="A19" s="991" t="s">
        <v>778</v>
      </c>
      <c r="B19" s="991"/>
      <c r="C19" s="991"/>
      <c r="D19" s="991"/>
      <c r="E19" s="991"/>
      <c r="F19" s="991"/>
      <c r="G19" s="991"/>
      <c r="H19" s="991"/>
      <c r="I19" s="991"/>
      <c r="J19" s="991"/>
      <c r="K19" s="991"/>
      <c r="L19" s="991"/>
      <c r="M19" s="991"/>
      <c r="N19" s="991"/>
      <c r="O19" s="991"/>
      <c r="P19" s="991"/>
      <c r="Q19" s="991"/>
      <c r="R19" s="991"/>
      <c r="S19" s="991"/>
      <c r="T19" s="991"/>
      <c r="U19" s="991"/>
      <c r="V19" s="991"/>
      <c r="W19" s="991"/>
      <c r="X19" s="991"/>
      <c r="Y19" s="991"/>
      <c r="Z19" s="991"/>
      <c r="AA19" s="991"/>
      <c r="AB19" s="991"/>
      <c r="AC19" s="991"/>
      <c r="AD19" s="991"/>
      <c r="AE19" s="991"/>
      <c r="AF19" s="991"/>
      <c r="AG19" s="991"/>
      <c r="AH19" s="991"/>
      <c r="AI19" s="991"/>
      <c r="AJ19" s="991"/>
      <c r="AK19" s="991"/>
      <c r="AL19" s="991"/>
      <c r="AM19" s="991"/>
      <c r="AN19" s="991"/>
      <c r="AO19" s="991"/>
      <c r="AP19" s="991"/>
      <c r="AQ19" s="991"/>
      <c r="AR19" s="991"/>
      <c r="AS19" s="991"/>
      <c r="AT19" s="991"/>
      <c r="AU19" s="991"/>
      <c r="AV19" s="991"/>
      <c r="AW19" s="991"/>
      <c r="AX19" s="991"/>
      <c r="AY19" s="991"/>
      <c r="AZ19" s="991"/>
      <c r="BA19" s="991"/>
      <c r="BB19" s="991"/>
      <c r="BC19" s="991"/>
      <c r="BD19" s="991"/>
      <c r="BE19" s="991"/>
      <c r="BF19" s="991"/>
      <c r="BG19" s="991"/>
      <c r="BH19" s="991"/>
      <c r="BI19" s="991"/>
      <c r="BJ19" s="991"/>
      <c r="BK19" s="991"/>
      <c r="BL19" s="991"/>
      <c r="BM19" s="991"/>
      <c r="BN19" s="991"/>
      <c r="BO19" s="991"/>
      <c r="BP19" s="991"/>
      <c r="BQ19" s="991"/>
      <c r="BR19" s="991"/>
      <c r="BS19" s="991"/>
      <c r="BT19" s="991"/>
      <c r="BU19" s="991"/>
      <c r="BV19" s="991"/>
      <c r="BW19" s="991"/>
      <c r="BX19" s="991"/>
      <c r="BY19" s="991"/>
      <c r="BZ19" s="991"/>
      <c r="CA19" s="991"/>
      <c r="CB19" s="991"/>
      <c r="CC19" s="991"/>
      <c r="CD19" s="991"/>
      <c r="CE19" s="991"/>
      <c r="CF19" s="991"/>
      <c r="CG19" s="991"/>
      <c r="CH19" s="991"/>
      <c r="CI19" s="991"/>
      <c r="CJ19" s="935"/>
      <c r="CK19" s="935"/>
      <c r="CL19" s="935"/>
      <c r="CM19" s="935"/>
      <c r="CN19" s="935"/>
      <c r="CO19" s="935"/>
      <c r="CP19" s="935"/>
      <c r="CQ19" s="935"/>
      <c r="CR19" s="935"/>
      <c r="CS19" s="935"/>
      <c r="CT19" s="935"/>
      <c r="CU19" s="935"/>
      <c r="CV19" s="935"/>
      <c r="CW19" s="935"/>
      <c r="CX19" s="935"/>
      <c r="CY19" s="935"/>
      <c r="CZ19" s="935"/>
      <c r="DA19" s="935"/>
      <c r="DB19" s="935"/>
      <c r="DC19" s="935"/>
      <c r="DD19" s="935"/>
      <c r="DE19" s="935"/>
      <c r="DF19" s="935"/>
      <c r="DG19" s="935"/>
      <c r="DH19" s="935"/>
      <c r="DI19" s="935"/>
      <c r="DJ19" s="935"/>
      <c r="DK19" s="935"/>
      <c r="DL19" s="935"/>
      <c r="DM19" s="935"/>
      <c r="DN19" s="935"/>
      <c r="DO19" s="935"/>
      <c r="DP19" s="935"/>
      <c r="DQ19" s="935"/>
      <c r="DR19" s="935"/>
      <c r="DS19" s="935"/>
      <c r="DT19" s="935"/>
      <c r="DU19" s="935"/>
      <c r="DV19" s="935"/>
    </row>
    <row r="20" spans="1:126" ht="14" x14ac:dyDescent="0.3">
      <c r="A20" s="996"/>
      <c r="B20" s="996"/>
      <c r="C20" s="1007"/>
      <c r="D20" s="1008"/>
      <c r="E20" s="996"/>
      <c r="F20" s="996"/>
      <c r="G20" s="996"/>
      <c r="H20" s="996"/>
      <c r="I20" s="996"/>
      <c r="J20" s="996"/>
      <c r="K20" s="996"/>
      <c r="L20" s="996"/>
      <c r="M20" s="996"/>
      <c r="N20" s="996"/>
      <c r="O20" s="996"/>
      <c r="P20" s="996"/>
      <c r="Q20" s="996"/>
      <c r="R20" s="996"/>
      <c r="S20" s="996"/>
      <c r="T20" s="996"/>
      <c r="U20" s="996"/>
      <c r="V20" s="996"/>
      <c r="W20" s="996"/>
      <c r="X20" s="996"/>
      <c r="Y20" s="996"/>
      <c r="Z20" s="996"/>
      <c r="AA20" s="996"/>
      <c r="AB20" s="996"/>
      <c r="AC20" s="996"/>
      <c r="AD20" s="996"/>
      <c r="AE20" s="996"/>
      <c r="AF20" s="996"/>
      <c r="AG20" s="996"/>
      <c r="AH20" s="996"/>
      <c r="AI20" s="996"/>
      <c r="AJ20" s="996"/>
      <c r="AK20" s="996"/>
      <c r="AL20" s="996"/>
      <c r="AM20" s="996"/>
      <c r="AN20" s="996"/>
      <c r="AO20" s="996"/>
      <c r="AP20" s="996"/>
      <c r="AQ20" s="996"/>
      <c r="AR20" s="996"/>
      <c r="AS20" s="996"/>
      <c r="AT20" s="996"/>
      <c r="AU20" s="996"/>
      <c r="AV20" s="996"/>
      <c r="AW20" s="996"/>
      <c r="AX20" s="996"/>
      <c r="AY20" s="996"/>
      <c r="AZ20" s="996"/>
      <c r="BA20" s="996"/>
      <c r="BB20" s="996"/>
      <c r="BC20" s="996"/>
      <c r="BD20" s="996"/>
      <c r="BE20" s="996"/>
      <c r="BF20" s="996"/>
      <c r="BG20" s="996"/>
      <c r="BH20" s="996"/>
      <c r="BI20" s="996"/>
      <c r="BJ20" s="996"/>
      <c r="BK20" s="1007"/>
      <c r="BL20" s="1008"/>
      <c r="BM20" s="996"/>
      <c r="BN20" s="996"/>
      <c r="BO20" s="996"/>
      <c r="BP20" s="996"/>
      <c r="BQ20" s="996"/>
      <c r="BR20" s="996"/>
      <c r="BS20" s="996"/>
      <c r="BT20" s="996"/>
      <c r="BU20" s="996"/>
      <c r="BV20" s="996"/>
      <c r="BW20" s="996"/>
      <c r="BX20" s="996"/>
      <c r="BY20" s="996"/>
      <c r="BZ20" s="996"/>
      <c r="CA20" s="996"/>
      <c r="CB20" s="996"/>
      <c r="CC20" s="996"/>
      <c r="CD20" s="996"/>
      <c r="CE20" s="996"/>
      <c r="CF20" s="996"/>
      <c r="CG20" s="996"/>
      <c r="CH20" s="996"/>
      <c r="CI20" s="996"/>
    </row>
    <row r="21" spans="1:126" ht="14" x14ac:dyDescent="0.3">
      <c r="A21" s="2" t="s">
        <v>775</v>
      </c>
      <c r="B21" s="996"/>
      <c r="C21" s="947">
        <v>43831</v>
      </c>
      <c r="D21" s="947">
        <v>43862</v>
      </c>
      <c r="E21" s="947">
        <v>43891</v>
      </c>
      <c r="F21" s="947">
        <v>43922</v>
      </c>
      <c r="G21" s="947">
        <v>43952</v>
      </c>
      <c r="H21" s="947">
        <v>43983</v>
      </c>
      <c r="I21" s="947">
        <v>44013</v>
      </c>
      <c r="J21" s="947">
        <v>44044</v>
      </c>
      <c r="K21" s="947">
        <v>44075</v>
      </c>
      <c r="L21" s="947">
        <v>44105</v>
      </c>
      <c r="M21" s="947">
        <v>44136</v>
      </c>
      <c r="N21" s="947">
        <v>44166</v>
      </c>
      <c r="O21" s="947">
        <v>44197</v>
      </c>
      <c r="P21" s="947">
        <v>44228</v>
      </c>
      <c r="Q21" s="947">
        <v>44256</v>
      </c>
      <c r="R21" s="947">
        <v>44287</v>
      </c>
      <c r="S21" s="947">
        <v>44317</v>
      </c>
      <c r="T21" s="947">
        <v>44348</v>
      </c>
      <c r="U21" s="947">
        <v>44378</v>
      </c>
      <c r="V21" s="947">
        <v>44409</v>
      </c>
      <c r="W21" s="947">
        <v>44440</v>
      </c>
      <c r="X21" s="947">
        <v>44470</v>
      </c>
      <c r="Y21" s="947">
        <v>44501</v>
      </c>
      <c r="Z21" s="947">
        <v>44531</v>
      </c>
      <c r="AA21" s="947">
        <v>44562</v>
      </c>
      <c r="AB21" s="947">
        <v>44593</v>
      </c>
      <c r="AC21" s="947">
        <v>44621</v>
      </c>
      <c r="AD21" s="947">
        <v>44652</v>
      </c>
      <c r="AE21" s="947">
        <v>44682</v>
      </c>
      <c r="AF21" s="947">
        <v>44713</v>
      </c>
      <c r="AG21" s="947">
        <v>44743</v>
      </c>
      <c r="AH21" s="947">
        <v>44774</v>
      </c>
      <c r="AI21" s="947">
        <v>44805</v>
      </c>
      <c r="AJ21" s="947">
        <v>44835</v>
      </c>
      <c r="AK21" s="947">
        <v>44866</v>
      </c>
      <c r="AL21" s="947">
        <v>44896</v>
      </c>
      <c r="AM21" s="947">
        <v>44927</v>
      </c>
      <c r="AN21" s="947">
        <v>44958</v>
      </c>
      <c r="AO21" s="947">
        <v>44986</v>
      </c>
      <c r="AP21" s="947">
        <v>45017</v>
      </c>
      <c r="AQ21" s="947">
        <v>45047</v>
      </c>
      <c r="AR21" s="947">
        <v>45078</v>
      </c>
      <c r="AS21" s="947">
        <v>45108</v>
      </c>
      <c r="AT21" s="947">
        <v>45139</v>
      </c>
      <c r="AU21" s="947">
        <v>45170</v>
      </c>
      <c r="AV21" s="947">
        <v>45200</v>
      </c>
      <c r="AW21" s="948">
        <v>45231</v>
      </c>
      <c r="AX21" s="948">
        <v>45261</v>
      </c>
      <c r="AY21" s="948">
        <v>45292</v>
      </c>
      <c r="AZ21" s="948">
        <v>45323</v>
      </c>
      <c r="BA21" s="948">
        <v>45352</v>
      </c>
      <c r="BB21" s="948">
        <v>45383</v>
      </c>
      <c r="BC21" s="948">
        <v>45413</v>
      </c>
      <c r="BD21" s="948">
        <v>45444</v>
      </c>
      <c r="BE21" s="948">
        <v>45474</v>
      </c>
      <c r="BF21" s="948">
        <v>45505</v>
      </c>
      <c r="BG21" s="948">
        <v>45536</v>
      </c>
      <c r="BH21" s="948">
        <v>45566</v>
      </c>
      <c r="BI21" s="948">
        <v>45597</v>
      </c>
      <c r="BJ21" s="948">
        <v>45627</v>
      </c>
      <c r="BK21" s="1009"/>
      <c r="BL21" s="1009"/>
      <c r="BM21" s="1009"/>
      <c r="BN21" s="1009"/>
      <c r="BO21" s="1009"/>
      <c r="BP21" s="1009"/>
      <c r="BQ21" s="1009"/>
      <c r="BR21" s="1009"/>
      <c r="BS21" s="1009"/>
      <c r="BT21" s="996"/>
      <c r="BU21" s="996"/>
      <c r="BV21" s="996"/>
      <c r="BW21" s="996"/>
      <c r="BX21" s="996"/>
      <c r="BY21" s="996"/>
      <c r="BZ21" s="996"/>
      <c r="CA21" s="996"/>
      <c r="CB21" s="996"/>
      <c r="CC21" s="996"/>
      <c r="CD21" s="996"/>
      <c r="CE21" s="996"/>
      <c r="CF21" s="996"/>
      <c r="CG21" s="996"/>
      <c r="CH21" s="996"/>
      <c r="CI21" s="996"/>
    </row>
    <row r="22" spans="1:126" ht="14" x14ac:dyDescent="0.3">
      <c r="A22" s="996" t="s">
        <v>746</v>
      </c>
      <c r="B22" s="996"/>
      <c r="C22" s="1008">
        <f t="shared" ref="C22:AH22" si="12">$C$17/HLOOKUP(C21,$C$13:$BS$14,2,FALSE)</f>
        <v>1.2522647894530781</v>
      </c>
      <c r="D22" s="1008">
        <f t="shared" si="12"/>
        <v>1.2488421899040507</v>
      </c>
      <c r="E22" s="1008">
        <f t="shared" si="12"/>
        <v>1.2515661623694865</v>
      </c>
      <c r="F22" s="1008">
        <f t="shared" si="12"/>
        <v>1.2599916533080593</v>
      </c>
      <c r="G22" s="1008">
        <f t="shared" si="12"/>
        <v>1.2599670819129933</v>
      </c>
      <c r="H22" s="1008">
        <f t="shared" si="12"/>
        <v>1.253110005159098</v>
      </c>
      <c r="I22" s="1008">
        <f t="shared" si="12"/>
        <v>1.246803370114357</v>
      </c>
      <c r="J22" s="1008">
        <f t="shared" si="12"/>
        <v>1.2428842942774259</v>
      </c>
      <c r="K22" s="1008">
        <f t="shared" si="12"/>
        <v>1.241155678500077</v>
      </c>
      <c r="L22" s="1008">
        <f t="shared" si="12"/>
        <v>1.2406408897491437</v>
      </c>
      <c r="M22" s="1008">
        <f t="shared" si="12"/>
        <v>1.2413989217189476</v>
      </c>
      <c r="N22" s="1008">
        <f t="shared" si="12"/>
        <v>1.2402312706834464</v>
      </c>
      <c r="O22" s="1008">
        <f t="shared" si="12"/>
        <v>1.2349779419073179</v>
      </c>
      <c r="P22" s="1008">
        <f t="shared" si="12"/>
        <v>1.2282540092922809</v>
      </c>
      <c r="Q22" s="1008">
        <f t="shared" si="12"/>
        <v>1.2196151421225701</v>
      </c>
      <c r="R22" s="1008">
        <f t="shared" si="12"/>
        <v>1.2096729500400669</v>
      </c>
      <c r="S22" s="1008">
        <f t="shared" si="12"/>
        <v>1.2000520069094895</v>
      </c>
      <c r="T22" s="1008">
        <f t="shared" si="12"/>
        <v>1.1890053589305694</v>
      </c>
      <c r="U22" s="1008">
        <f t="shared" si="12"/>
        <v>1.1833130038864041</v>
      </c>
      <c r="V22" s="1008">
        <f t="shared" si="12"/>
        <v>1.1808734240606507</v>
      </c>
      <c r="W22" s="1008">
        <f t="shared" si="12"/>
        <v>1.1776748933688164</v>
      </c>
      <c r="X22" s="1008">
        <f t="shared" si="12"/>
        <v>1.1679712497604748</v>
      </c>
      <c r="Y22" s="1008">
        <f t="shared" si="12"/>
        <v>1.1622605667247112</v>
      </c>
      <c r="Z22" s="1008">
        <f t="shared" si="12"/>
        <v>1.1587004397385958</v>
      </c>
      <c r="AA22" s="1008">
        <f t="shared" si="12"/>
        <v>1.1490318266535773</v>
      </c>
      <c r="AB22" s="1008">
        <f t="shared" si="12"/>
        <v>1.1386315893358148</v>
      </c>
      <c r="AC22" s="1008">
        <f t="shared" si="12"/>
        <v>1.1236295842840447</v>
      </c>
      <c r="AD22" s="1008">
        <f t="shared" si="12"/>
        <v>1.117391710392966</v>
      </c>
      <c r="AE22" s="1008">
        <f t="shared" si="12"/>
        <v>1.1052084188630704</v>
      </c>
      <c r="AF22" s="1008">
        <f t="shared" si="12"/>
        <v>1.0902328971924768</v>
      </c>
      <c r="AG22" s="1008">
        <f t="shared" si="12"/>
        <v>1.0903616897757495</v>
      </c>
      <c r="AH22" s="1008">
        <f t="shared" si="12"/>
        <v>1.0907482501662891</v>
      </c>
      <c r="AI22" s="1008">
        <f t="shared" ref="AI22:BJ22" si="13">$C$17/HLOOKUP(AI21,$C$13:$BS$14,2,FALSE)</f>
        <v>1.0884073205573974</v>
      </c>
      <c r="AJ22" s="1008">
        <f t="shared" si="13"/>
        <v>1.0840100398641666</v>
      </c>
      <c r="AK22" s="1008">
        <f t="shared" si="13"/>
        <v>1.0851060256423175</v>
      </c>
      <c r="AL22" s="1008">
        <f t="shared" si="13"/>
        <v>1.088447659511383</v>
      </c>
      <c r="AM22" s="1008">
        <f t="shared" si="13"/>
        <v>1.0798141524885516</v>
      </c>
      <c r="AN22" s="1008">
        <f t="shared" si="13"/>
        <v>1.0738199707485707</v>
      </c>
      <c r="AO22" s="1008">
        <f t="shared" si="13"/>
        <v>1.0702765740335811</v>
      </c>
      <c r="AP22" s="1008">
        <f t="shared" si="13"/>
        <v>1.0648892580835501</v>
      </c>
      <c r="AQ22" s="1008">
        <f t="shared" si="13"/>
        <v>1.0622141408030197</v>
      </c>
      <c r="AR22" s="1008">
        <f t="shared" si="13"/>
        <v>1.0587953813227404</v>
      </c>
      <c r="AS22" s="1008">
        <f t="shared" si="13"/>
        <v>1.0567795584430031</v>
      </c>
      <c r="AT22" s="1008">
        <f t="shared" si="13"/>
        <v>1.0521845055467616</v>
      </c>
      <c r="AU22" s="1008">
        <f t="shared" si="13"/>
        <v>1.0495761706883613</v>
      </c>
      <c r="AV22" s="1008">
        <f t="shared" si="13"/>
        <v>1.0499787110257386</v>
      </c>
      <c r="AW22" s="1008">
        <f t="shared" si="13"/>
        <v>1.0520988370010194</v>
      </c>
      <c r="AX22" s="1008">
        <f t="shared" si="13"/>
        <v>1.0531449472853762</v>
      </c>
      <c r="AY22" s="1008">
        <f t="shared" si="13"/>
        <v>1.0474390192499117</v>
      </c>
      <c r="AZ22" s="1008">
        <f t="shared" si="13"/>
        <v>1.0409955981774004</v>
      </c>
      <c r="BA22" s="1008">
        <f t="shared" si="13"/>
        <v>1.0343096448650795</v>
      </c>
      <c r="BB22" s="1008">
        <f t="shared" si="13"/>
        <v>1.0302983913148864</v>
      </c>
      <c r="BC22" s="1008">
        <f t="shared" si="13"/>
        <v>1.0285892590481709</v>
      </c>
      <c r="BD22" s="1008">
        <f t="shared" si="13"/>
        <v>1.0282422216917322</v>
      </c>
      <c r="BE22" s="1008">
        <f t="shared" si="13"/>
        <v>1.027049023971514</v>
      </c>
      <c r="BF22" s="1008">
        <f t="shared" si="13"/>
        <v>1.0262138019542815</v>
      </c>
      <c r="BG22" s="1008">
        <f t="shared" si="13"/>
        <v>1.0245701726286944</v>
      </c>
      <c r="BH22" s="1008">
        <f t="shared" si="13"/>
        <v>1.0233919610725328</v>
      </c>
      <c r="BI22" s="1008">
        <f t="shared" si="13"/>
        <v>1.023946648578574</v>
      </c>
      <c r="BJ22" s="1008">
        <f t="shared" si="13"/>
        <v>1.0235832765640593</v>
      </c>
      <c r="BK22" s="1008"/>
      <c r="BL22" s="1008"/>
      <c r="BM22" s="1008"/>
      <c r="BN22" s="1008"/>
      <c r="BO22" s="1008"/>
      <c r="BP22" s="1008"/>
      <c r="BQ22" s="1008"/>
      <c r="BR22" s="1008"/>
      <c r="BS22" s="1008"/>
      <c r="BT22" s="996"/>
      <c r="BU22" s="996"/>
      <c r="BV22" s="996"/>
      <c r="BW22" s="996"/>
      <c r="BX22" s="996"/>
      <c r="BY22" s="996"/>
      <c r="BZ22" s="996"/>
      <c r="CA22" s="996"/>
      <c r="CB22" s="996"/>
      <c r="CC22" s="996"/>
      <c r="CD22" s="996"/>
      <c r="CE22" s="996"/>
      <c r="CF22" s="996"/>
      <c r="CG22" s="996"/>
      <c r="CH22" s="996"/>
      <c r="CI22" s="996"/>
    </row>
    <row r="23" spans="1:126" ht="14" x14ac:dyDescent="0.3">
      <c r="A23" s="996" t="s">
        <v>747</v>
      </c>
      <c r="B23" s="996"/>
      <c r="C23" s="1008">
        <f t="shared" ref="C23:AH23" si="14">$C$9/HLOOKUP(EOMONTH(C21,0),$C$2:$DN$6,5,FALSE)</f>
        <v>1.375233730849742</v>
      </c>
      <c r="D23" s="1008">
        <f t="shared" si="14"/>
        <v>1.3718042202989946</v>
      </c>
      <c r="E23" s="1008">
        <f t="shared" si="14"/>
        <v>1.3708446290586536</v>
      </c>
      <c r="F23" s="1008">
        <f t="shared" si="14"/>
        <v>1.375107462191447</v>
      </c>
      <c r="G23" s="1008">
        <f t="shared" si="14"/>
        <v>1.3803528028422476</v>
      </c>
      <c r="H23" s="1008">
        <f t="shared" si="14"/>
        <v>1.3767731925416393</v>
      </c>
      <c r="I23" s="1008">
        <f t="shared" si="14"/>
        <v>1.37183458802475</v>
      </c>
      <c r="J23" s="1008">
        <f t="shared" si="14"/>
        <v>1.3685500678618816</v>
      </c>
      <c r="K23" s="1008">
        <f t="shared" si="14"/>
        <v>1.3598470467626009</v>
      </c>
      <c r="L23" s="1008">
        <f t="shared" si="14"/>
        <v>1.348252078884197</v>
      </c>
      <c r="M23" s="1008">
        <f t="shared" si="14"/>
        <v>1.3363584883379891</v>
      </c>
      <c r="N23" s="1008">
        <f t="shared" si="14"/>
        <v>1.318557955932895</v>
      </c>
      <c r="O23" s="1008">
        <f t="shared" si="14"/>
        <v>1.3152697814791972</v>
      </c>
      <c r="P23" s="1008">
        <f t="shared" si="14"/>
        <v>1.304054909259565</v>
      </c>
      <c r="Q23" s="1008">
        <f t="shared" si="14"/>
        <v>1.2920389470519815</v>
      </c>
      <c r="R23" s="1008">
        <f t="shared" si="14"/>
        <v>1.2880460044382229</v>
      </c>
      <c r="S23" s="1008">
        <f t="shared" si="14"/>
        <v>1.2774432256652015</v>
      </c>
      <c r="T23" s="1008">
        <f t="shared" si="14"/>
        <v>1.2707084707701197</v>
      </c>
      <c r="U23" s="1008">
        <f t="shared" si="14"/>
        <v>1.2586256643919571</v>
      </c>
      <c r="V23" s="1008">
        <f t="shared" si="14"/>
        <v>1.2477700648279539</v>
      </c>
      <c r="W23" s="1008">
        <f t="shared" si="14"/>
        <v>1.2334619067101167</v>
      </c>
      <c r="X23" s="1008">
        <f t="shared" si="14"/>
        <v>1.2182339819359176</v>
      </c>
      <c r="Y23" s="1008">
        <f t="shared" si="14"/>
        <v>1.2067696700702502</v>
      </c>
      <c r="Z23" s="1008">
        <f t="shared" si="14"/>
        <v>1.1980240941827163</v>
      </c>
      <c r="AA23" s="1008">
        <f t="shared" si="14"/>
        <v>1.1915895108242651</v>
      </c>
      <c r="AB23" s="1008">
        <f t="shared" si="14"/>
        <v>1.1796747953908178</v>
      </c>
      <c r="AC23" s="1008">
        <f t="shared" si="14"/>
        <v>1.1608687220929126</v>
      </c>
      <c r="AD23" s="1008">
        <f t="shared" si="14"/>
        <v>1.1486925807370993</v>
      </c>
      <c r="AE23" s="1008">
        <f t="shared" si="14"/>
        <v>1.1433189815239369</v>
      </c>
      <c r="AF23" s="1008">
        <f t="shared" si="14"/>
        <v>1.1357097263573428</v>
      </c>
      <c r="AG23" s="1008">
        <f t="shared" si="14"/>
        <v>1.1434854272627295</v>
      </c>
      <c r="AH23" s="1008">
        <f t="shared" si="14"/>
        <v>1.1476168479152242</v>
      </c>
      <c r="AI23" s="1008">
        <f t="shared" ref="AI23:BJ23" si="15">$C$9/HLOOKUP(EOMONTH(AI21,0),$C$2:$DN$6,5,FALSE)</f>
        <v>1.1509546163025017</v>
      </c>
      <c r="AJ23" s="1008">
        <f t="shared" si="15"/>
        <v>1.1442038138010753</v>
      </c>
      <c r="AK23" s="1008">
        <f t="shared" si="15"/>
        <v>1.139531733692934</v>
      </c>
      <c r="AL23" s="1008">
        <f t="shared" si="15"/>
        <v>1.1325101706349971</v>
      </c>
      <c r="AM23" s="1008">
        <f t="shared" si="15"/>
        <v>1.1265395112255019</v>
      </c>
      <c r="AN23" s="1008">
        <f t="shared" si="15"/>
        <v>1.117155405816642</v>
      </c>
      <c r="AO23" s="1008">
        <f t="shared" si="15"/>
        <v>1.1092795212160083</v>
      </c>
      <c r="AP23" s="1008">
        <f t="shared" si="15"/>
        <v>1.1025539421687787</v>
      </c>
      <c r="AQ23" s="1008">
        <f t="shared" si="15"/>
        <v>1.1000238872281538</v>
      </c>
      <c r="AR23" s="1008">
        <f t="shared" si="15"/>
        <v>1.1009046109168874</v>
      </c>
      <c r="AS23" s="1008">
        <f t="shared" si="15"/>
        <v>1.0995851087863437</v>
      </c>
      <c r="AT23" s="1008">
        <f t="shared" si="15"/>
        <v>1.0970618664934091</v>
      </c>
      <c r="AU23" s="1008">
        <f t="shared" si="15"/>
        <v>1.0942169025467876</v>
      </c>
      <c r="AV23" s="1008">
        <f t="shared" si="15"/>
        <v>1.0915970695797961</v>
      </c>
      <c r="AW23" s="1008">
        <f t="shared" si="15"/>
        <v>1.0885491320101677</v>
      </c>
      <c r="AX23" s="1008">
        <f t="shared" si="15"/>
        <v>1.0824872036696178</v>
      </c>
      <c r="AY23" s="1008">
        <f t="shared" si="15"/>
        <v>1.0779597726245946</v>
      </c>
      <c r="AZ23" s="1008">
        <f t="shared" si="15"/>
        <v>1.0690863558708665</v>
      </c>
      <c r="BA23" s="1008">
        <f t="shared" si="15"/>
        <v>1.0673785501905615</v>
      </c>
      <c r="BB23" s="1008">
        <f t="shared" si="15"/>
        <v>1.0633378662986266</v>
      </c>
      <c r="BC23" s="1008">
        <f t="shared" si="15"/>
        <v>1.0584689093157742</v>
      </c>
      <c r="BD23" s="1008">
        <f t="shared" si="15"/>
        <v>1.0562507826721628</v>
      </c>
      <c r="BE23" s="1008">
        <f t="shared" si="15"/>
        <v>1.0522522242201262</v>
      </c>
      <c r="BF23" s="1008">
        <f t="shared" si="15"/>
        <v>1.052462716763479</v>
      </c>
      <c r="BG23" s="1008">
        <f t="shared" si="15"/>
        <v>1.0478521672276773</v>
      </c>
      <c r="BH23" s="1008">
        <f t="shared" si="15"/>
        <v>1.0420168727403314</v>
      </c>
      <c r="BI23" s="1008">
        <f t="shared" si="15"/>
        <v>1.0379687944420075</v>
      </c>
      <c r="BJ23" s="1008">
        <f t="shared" si="15"/>
        <v>1.0325992781953914</v>
      </c>
      <c r="BK23" s="1008"/>
      <c r="BL23" s="1008"/>
      <c r="BM23" s="1008"/>
      <c r="BN23" s="1008"/>
      <c r="BO23" s="1008"/>
      <c r="BP23" s="1008"/>
      <c r="BQ23" s="1008"/>
      <c r="BR23" s="1008"/>
      <c r="BS23" s="1008"/>
      <c r="BT23" s="996"/>
      <c r="BU23" s="996"/>
      <c r="BV23" s="996"/>
      <c r="BW23" s="996"/>
      <c r="BX23" s="996"/>
      <c r="BY23" s="996"/>
      <c r="BZ23" s="996"/>
      <c r="CA23" s="996"/>
      <c r="CB23" s="996"/>
      <c r="CC23" s="996"/>
      <c r="CD23" s="996"/>
      <c r="CE23" s="996"/>
      <c r="CF23" s="996"/>
      <c r="CG23" s="996"/>
      <c r="CH23" s="996"/>
      <c r="CI23" s="996"/>
    </row>
    <row r="24" spans="1:126" ht="14" x14ac:dyDescent="0.3">
      <c r="A24" s="996"/>
      <c r="B24" s="996"/>
      <c r="C24" s="1010">
        <f t="shared" ref="C24:AH24" si="16">C23/C22</f>
        <v>1.098197236265319</v>
      </c>
      <c r="D24" s="1010">
        <f t="shared" si="16"/>
        <v>1.0984608234643252</v>
      </c>
      <c r="E24" s="1010">
        <f t="shared" si="16"/>
        <v>1.0953033649162798</v>
      </c>
      <c r="F24" s="1010">
        <f t="shared" si="16"/>
        <v>1.0913623582990852</v>
      </c>
      <c r="G24" s="1010">
        <f t="shared" si="16"/>
        <v>1.0955467191622767</v>
      </c>
      <c r="H24" s="1010">
        <f t="shared" si="16"/>
        <v>1.0986850211660713</v>
      </c>
      <c r="I24" s="1010">
        <f t="shared" si="16"/>
        <v>1.1002814244069015</v>
      </c>
      <c r="J24" s="1010">
        <f t="shared" si="16"/>
        <v>1.101108183732834</v>
      </c>
      <c r="K24" s="1010">
        <f t="shared" si="16"/>
        <v>1.0956297185909516</v>
      </c>
      <c r="L24" s="1010">
        <f t="shared" si="16"/>
        <v>1.0867383866066289</v>
      </c>
      <c r="M24" s="1010">
        <f t="shared" si="16"/>
        <v>1.0764939979870067</v>
      </c>
      <c r="N24" s="1010">
        <f t="shared" si="16"/>
        <v>1.0631549027193015</v>
      </c>
      <c r="O24" s="1010">
        <f t="shared" si="16"/>
        <v>1.0650147964973977</v>
      </c>
      <c r="P24" s="1010">
        <f t="shared" si="16"/>
        <v>1.0617143517495706</v>
      </c>
      <c r="Q24" s="1010">
        <f t="shared" si="16"/>
        <v>1.059382507176295</v>
      </c>
      <c r="R24" s="1010">
        <f t="shared" si="16"/>
        <v>1.0647886310060584</v>
      </c>
      <c r="S24" s="1010">
        <f t="shared" si="16"/>
        <v>1.064489887363314</v>
      </c>
      <c r="T24" s="1010">
        <f t="shared" si="16"/>
        <v>1.0687155118569329</v>
      </c>
      <c r="U24" s="1010">
        <f t="shared" si="16"/>
        <v>1.0636455952551864</v>
      </c>
      <c r="V24" s="1010">
        <f t="shared" si="16"/>
        <v>1.0566501365889553</v>
      </c>
      <c r="W24" s="1010">
        <f t="shared" si="16"/>
        <v>1.0473704701148192</v>
      </c>
      <c r="X24" s="1010">
        <f t="shared" si="16"/>
        <v>1.0430342203934819</v>
      </c>
      <c r="Y24" s="1010">
        <f t="shared" si="16"/>
        <v>1.0382952881822078</v>
      </c>
      <c r="Z24" s="1010">
        <f t="shared" si="16"/>
        <v>1.0339377228966893</v>
      </c>
      <c r="AA24" s="1010">
        <f t="shared" si="16"/>
        <v>1.03703786368967</v>
      </c>
      <c r="AB24" s="1010">
        <f t="shared" si="16"/>
        <v>1.0360460806106251</v>
      </c>
      <c r="AC24" s="1010">
        <f t="shared" si="16"/>
        <v>1.0331418274578414</v>
      </c>
      <c r="AD24" s="1010">
        <f t="shared" si="16"/>
        <v>1.0280124418796031</v>
      </c>
      <c r="AE24" s="1010">
        <f t="shared" si="16"/>
        <v>1.0344826930472271</v>
      </c>
      <c r="AF24" s="1010">
        <f t="shared" si="16"/>
        <v>1.0417129489322658</v>
      </c>
      <c r="AG24" s="1010">
        <f t="shared" si="16"/>
        <v>1.0487212069032852</v>
      </c>
      <c r="AH24" s="1010">
        <f t="shared" si="16"/>
        <v>1.0521372349121489</v>
      </c>
      <c r="AI24" s="1010">
        <f t="shared" ref="AI24:BJ24" si="17">AI23/AI22</f>
        <v>1.057466809129024</v>
      </c>
      <c r="AJ24" s="1010">
        <f t="shared" si="17"/>
        <v>1.0555287974495617</v>
      </c>
      <c r="AK24" s="1010">
        <f t="shared" si="17"/>
        <v>1.0501570415834709</v>
      </c>
      <c r="AL24" s="1010">
        <f t="shared" si="17"/>
        <v>1.0404819751676386</v>
      </c>
      <c r="AM24" s="1010">
        <f t="shared" si="17"/>
        <v>1.04327166728577</v>
      </c>
      <c r="AN24" s="1010">
        <f t="shared" si="17"/>
        <v>1.0403563318326643</v>
      </c>
      <c r="AO24" s="1010">
        <f t="shared" si="17"/>
        <v>1.0364419329813375</v>
      </c>
      <c r="AP24" s="1010">
        <f t="shared" si="17"/>
        <v>1.035369578385092</v>
      </c>
      <c r="AQ24" s="1010">
        <f t="shared" si="17"/>
        <v>1.0355952203729377</v>
      </c>
      <c r="AR24" s="1010">
        <f t="shared" si="17"/>
        <v>1.0397708852314225</v>
      </c>
      <c r="AS24" s="1010">
        <f t="shared" si="17"/>
        <v>1.0405056570231239</v>
      </c>
      <c r="AT24" s="1010">
        <f t="shared" si="17"/>
        <v>1.042651607878722</v>
      </c>
      <c r="AU24" s="1010">
        <f t="shared" si="17"/>
        <v>1.0425321506957888</v>
      </c>
      <c r="AV24" s="1010">
        <f t="shared" si="17"/>
        <v>1.0396373356116906</v>
      </c>
      <c r="AW24" s="1010">
        <f t="shared" si="17"/>
        <v>1.0346453144203152</v>
      </c>
      <c r="AX24" s="1010">
        <f t="shared" si="17"/>
        <v>1.0278615554866168</v>
      </c>
      <c r="AY24" s="1010">
        <f t="shared" si="17"/>
        <v>1.0291384537083021</v>
      </c>
      <c r="AZ24" s="1010">
        <f t="shared" si="17"/>
        <v>1.0269845115028806</v>
      </c>
      <c r="BA24" s="1010">
        <f t="shared" si="17"/>
        <v>1.031971958774295</v>
      </c>
      <c r="BB24" s="1010">
        <f t="shared" si="17"/>
        <v>1.032067870106615</v>
      </c>
      <c r="BC24" s="1010">
        <f t="shared" si="17"/>
        <v>1.0290491564098707</v>
      </c>
      <c r="BD24" s="1010">
        <f t="shared" si="17"/>
        <v>1.0272392636574961</v>
      </c>
      <c r="BE24" s="1010">
        <f t="shared" si="17"/>
        <v>1.0245394325493378</v>
      </c>
      <c r="BF24" s="1010">
        <f t="shared" si="17"/>
        <v>1.0255784075006691</v>
      </c>
      <c r="BG24" s="1010">
        <f t="shared" si="17"/>
        <v>1.0227236701018236</v>
      </c>
      <c r="BH24" s="1010">
        <f t="shared" si="17"/>
        <v>1.0181991967655084</v>
      </c>
      <c r="BI24" s="1010">
        <f t="shared" si="17"/>
        <v>1.0136942153020363</v>
      </c>
      <c r="BJ24" s="1010">
        <f t="shared" si="17"/>
        <v>1.008808273677152</v>
      </c>
      <c r="BK24" s="1007"/>
      <c r="BL24" s="1008"/>
      <c r="BM24" s="996"/>
      <c r="BN24" s="996"/>
      <c r="BO24" s="996"/>
      <c r="BP24" s="996"/>
      <c r="BQ24" s="996"/>
      <c r="BR24" s="996"/>
      <c r="BS24" s="996"/>
      <c r="BT24" s="996"/>
      <c r="BU24" s="996"/>
      <c r="BV24" s="996"/>
      <c r="BW24" s="996"/>
      <c r="BX24" s="996"/>
      <c r="BY24" s="996"/>
      <c r="BZ24" s="996"/>
      <c r="CA24" s="996"/>
      <c r="CB24" s="996"/>
      <c r="CC24" s="996"/>
      <c r="CD24" s="996"/>
      <c r="CE24" s="996"/>
      <c r="CF24" s="996"/>
      <c r="CG24" s="996"/>
      <c r="CH24" s="996"/>
      <c r="CI24" s="996"/>
    </row>
    <row r="25" spans="1:126" ht="14" x14ac:dyDescent="0.3">
      <c r="A25" s="996"/>
      <c r="B25" s="996"/>
      <c r="C25" s="1010"/>
      <c r="D25" s="1010"/>
      <c r="E25" s="1010"/>
      <c r="F25" s="1010"/>
      <c r="G25" s="1010"/>
      <c r="H25" s="1010"/>
      <c r="I25" s="1010"/>
      <c r="J25" s="1010"/>
      <c r="K25" s="1010"/>
      <c r="L25" s="1010"/>
      <c r="M25" s="1010"/>
      <c r="N25" s="1010"/>
      <c r="O25" s="1010"/>
      <c r="P25" s="1010"/>
      <c r="Q25" s="1010"/>
      <c r="R25" s="1010"/>
      <c r="S25" s="1010"/>
      <c r="T25" s="1010"/>
      <c r="U25" s="1010"/>
      <c r="V25" s="1010"/>
      <c r="W25" s="1010"/>
      <c r="X25" s="1010"/>
      <c r="Y25" s="1010"/>
      <c r="Z25" s="1010"/>
      <c r="AA25" s="1010"/>
      <c r="AB25" s="1010"/>
      <c r="AC25" s="1010"/>
      <c r="AD25" s="1010"/>
      <c r="AE25" s="1010"/>
      <c r="AF25" s="1010"/>
      <c r="AG25" s="1010"/>
      <c r="AH25" s="1010"/>
      <c r="AI25" s="1010"/>
      <c r="AJ25" s="1010"/>
      <c r="AK25" s="1010"/>
      <c r="AL25" s="1010"/>
      <c r="AM25" s="1010"/>
      <c r="AN25" s="1010"/>
      <c r="AO25" s="1010"/>
      <c r="AP25" s="1010"/>
      <c r="AQ25" s="1010"/>
      <c r="AR25" s="1010"/>
      <c r="AS25" s="1010"/>
      <c r="AT25" s="1010"/>
      <c r="AU25" s="1010"/>
      <c r="AV25" s="1010"/>
      <c r="AW25" s="1010"/>
      <c r="AX25" s="1010"/>
      <c r="AY25" s="1010"/>
      <c r="AZ25" s="1010"/>
      <c r="BA25" s="1010"/>
      <c r="BB25" s="1010"/>
      <c r="BC25" s="1010"/>
      <c r="BD25" s="1010"/>
      <c r="BE25" s="1010"/>
      <c r="BF25" s="1010"/>
      <c r="BG25" s="1010"/>
      <c r="BH25" s="1010"/>
      <c r="BI25" s="1010"/>
      <c r="BJ25" s="1010"/>
      <c r="BK25" s="1007"/>
      <c r="BL25" s="1008"/>
      <c r="BM25" s="996"/>
      <c r="BN25" s="996"/>
      <c r="BO25" s="996"/>
      <c r="BP25" s="996"/>
      <c r="BQ25" s="996"/>
      <c r="BR25" s="996"/>
      <c r="BS25" s="996"/>
      <c r="BT25" s="996"/>
      <c r="BU25" s="996"/>
      <c r="BV25" s="996"/>
      <c r="BW25" s="996"/>
      <c r="BX25" s="996"/>
      <c r="BY25" s="996"/>
      <c r="BZ25" s="996"/>
      <c r="CA25" s="996"/>
      <c r="CB25" s="996"/>
      <c r="CC25" s="996"/>
      <c r="CD25" s="996"/>
      <c r="CE25" s="996"/>
      <c r="CF25" s="996"/>
      <c r="CG25" s="996"/>
      <c r="CH25" s="996"/>
      <c r="CI25" s="996"/>
    </row>
    <row r="26" spans="1:126" ht="14" x14ac:dyDescent="0.3">
      <c r="A26" s="996"/>
      <c r="B26" s="996"/>
      <c r="C26" s="1010"/>
      <c r="D26" s="1010"/>
      <c r="E26" s="1010"/>
      <c r="F26" s="1010"/>
      <c r="G26" s="1010"/>
      <c r="H26" s="1010"/>
      <c r="I26" s="1010"/>
      <c r="J26" s="1010"/>
      <c r="K26" s="1010"/>
      <c r="L26" s="1010"/>
      <c r="M26" s="1010"/>
      <c r="N26" s="1010"/>
      <c r="O26" s="1010"/>
      <c r="P26" s="1010"/>
      <c r="Q26" s="1010"/>
      <c r="R26" s="1010"/>
      <c r="S26" s="1010"/>
      <c r="T26" s="1010"/>
      <c r="U26" s="1010"/>
      <c r="V26" s="1010"/>
      <c r="W26" s="1010"/>
      <c r="X26" s="1010"/>
      <c r="Y26" s="1010"/>
      <c r="Z26" s="1010"/>
      <c r="AA26" s="1010"/>
      <c r="AB26" s="1010"/>
      <c r="AC26" s="1010"/>
      <c r="AD26" s="1010"/>
      <c r="AE26" s="1010"/>
      <c r="AF26" s="1010"/>
      <c r="AG26" s="1010"/>
      <c r="AH26" s="1010"/>
      <c r="AI26" s="1010"/>
      <c r="AJ26" s="1010"/>
      <c r="AK26" s="1010"/>
      <c r="AL26" s="1010"/>
      <c r="AM26" s="1010"/>
      <c r="AN26" s="1010"/>
      <c r="AO26" s="1010"/>
      <c r="AP26" s="1010"/>
      <c r="AQ26" s="1010"/>
      <c r="AR26" s="1010"/>
      <c r="AS26" s="1010"/>
      <c r="AT26" s="1010"/>
      <c r="AU26" s="1010"/>
      <c r="AV26" s="1010"/>
      <c r="AW26" s="1010"/>
      <c r="AX26" s="1010"/>
      <c r="AY26" s="1010"/>
      <c r="AZ26" s="1010"/>
      <c r="BA26" s="1010"/>
      <c r="BB26" s="1010"/>
      <c r="BC26" s="1010"/>
      <c r="BD26" s="1010"/>
      <c r="BE26" s="1010"/>
      <c r="BF26" s="1010"/>
      <c r="BG26" s="1010"/>
      <c r="BH26" s="1010"/>
      <c r="BI26" s="1010"/>
      <c r="BJ26" s="1010"/>
      <c r="BK26" s="1007"/>
      <c r="BL26" s="1008"/>
      <c r="BM26" s="996"/>
      <c r="BN26" s="996"/>
      <c r="BO26" s="996"/>
      <c r="BP26" s="996"/>
      <c r="BQ26" s="996"/>
      <c r="BR26" s="996"/>
      <c r="BS26" s="996"/>
      <c r="BT26" s="996"/>
      <c r="BU26" s="996"/>
      <c r="BV26" s="996"/>
      <c r="BW26" s="996"/>
      <c r="BX26" s="996"/>
      <c r="BY26" s="996"/>
      <c r="BZ26" s="996"/>
      <c r="CA26" s="996"/>
      <c r="CB26" s="996"/>
      <c r="CC26" s="996"/>
      <c r="CD26" s="996"/>
      <c r="CE26" s="996"/>
      <c r="CF26" s="996"/>
      <c r="CG26" s="996"/>
      <c r="CH26" s="996"/>
      <c r="CI26" s="996"/>
    </row>
    <row r="27" spans="1:126" ht="39" x14ac:dyDescent="0.3">
      <c r="A27" s="1011" t="s">
        <v>774</v>
      </c>
      <c r="B27" s="996"/>
      <c r="C27" s="793" t="s">
        <v>617</v>
      </c>
      <c r="D27" s="1004">
        <v>1</v>
      </c>
      <c r="E27" s="1004">
        <v>2</v>
      </c>
      <c r="F27" s="1004">
        <v>3</v>
      </c>
      <c r="G27" s="1004">
        <v>4</v>
      </c>
      <c r="H27" s="1004">
        <v>5</v>
      </c>
      <c r="I27" s="1004">
        <v>6</v>
      </c>
      <c r="J27" s="1004">
        <v>7</v>
      </c>
      <c r="K27" s="1004">
        <v>8</v>
      </c>
      <c r="L27" s="1004">
        <v>9</v>
      </c>
      <c r="M27" s="1004">
        <v>10</v>
      </c>
      <c r="N27" s="1004">
        <v>11</v>
      </c>
      <c r="O27" s="1004">
        <v>12</v>
      </c>
      <c r="P27" s="794" t="s">
        <v>624</v>
      </c>
      <c r="Q27" s="996"/>
      <c r="R27" s="996"/>
      <c r="S27" s="996"/>
      <c r="T27" s="996"/>
      <c r="U27" s="996"/>
      <c r="V27" s="996"/>
      <c r="W27" s="996"/>
      <c r="X27" s="996"/>
      <c r="Y27" s="996"/>
      <c r="Z27" s="996"/>
      <c r="AA27" s="996"/>
      <c r="AB27" s="996"/>
      <c r="AC27" s="996"/>
      <c r="AD27" s="996"/>
      <c r="AE27" s="996"/>
      <c r="AF27" s="996"/>
      <c r="AG27" s="996"/>
      <c r="AH27" s="996"/>
      <c r="AI27" s="996"/>
      <c r="AJ27" s="996"/>
      <c r="AK27" s="996"/>
      <c r="AL27" s="996"/>
      <c r="AM27" s="996"/>
      <c r="AN27" s="996"/>
      <c r="AO27" s="996"/>
      <c r="AP27" s="996"/>
      <c r="AQ27" s="996"/>
      <c r="AR27" s="996"/>
      <c r="AS27" s="996"/>
      <c r="AT27" s="996"/>
      <c r="AU27" s="996"/>
      <c r="AV27" s="996"/>
      <c r="AW27" s="996"/>
      <c r="AX27" s="996"/>
      <c r="AY27" s="996"/>
      <c r="AZ27" s="996"/>
      <c r="BA27" s="996"/>
      <c r="BB27" s="996"/>
      <c r="BC27" s="996"/>
      <c r="BD27" s="996"/>
      <c r="BE27" s="996"/>
      <c r="BF27" s="996"/>
      <c r="BG27" s="996"/>
      <c r="BH27" s="996"/>
      <c r="BI27" s="996"/>
      <c r="BJ27" s="996"/>
      <c r="BK27" s="1007"/>
      <c r="BL27" s="1008"/>
      <c r="BM27" s="996"/>
      <c r="BN27" s="996"/>
      <c r="BO27" s="996"/>
      <c r="BP27" s="996"/>
      <c r="BQ27" s="996"/>
      <c r="BR27" s="996"/>
      <c r="BS27" s="996"/>
      <c r="BT27" s="996"/>
      <c r="BU27" s="996"/>
      <c r="BV27" s="996"/>
      <c r="BW27" s="996"/>
      <c r="BX27" s="996"/>
      <c r="BY27" s="996"/>
      <c r="BZ27" s="996"/>
      <c r="CA27" s="996"/>
      <c r="CB27" s="996"/>
      <c r="CC27" s="996"/>
      <c r="CD27" s="996"/>
      <c r="CE27" s="996"/>
      <c r="CF27" s="996"/>
      <c r="CG27" s="996"/>
      <c r="CH27" s="996"/>
      <c r="CI27" s="996"/>
    </row>
    <row r="28" spans="1:126" ht="14" x14ac:dyDescent="0.3">
      <c r="A28" s="996"/>
      <c r="B28" s="996"/>
      <c r="C28" s="1005">
        <v>2020</v>
      </c>
      <c r="D28" s="1001">
        <f t="shared" ref="D28:O32" si="18">$C$9/HLOOKUP(EOMONTH(DATE($C28,D$27,1),0),$C$2:$DN$6,5,FALSE)</f>
        <v>1.375233730849742</v>
      </c>
      <c r="E28" s="1001">
        <f t="shared" si="18"/>
        <v>1.3718042202989946</v>
      </c>
      <c r="F28" s="1001">
        <f t="shared" si="18"/>
        <v>1.3708446290586536</v>
      </c>
      <c r="G28" s="1001">
        <f t="shared" si="18"/>
        <v>1.375107462191447</v>
      </c>
      <c r="H28" s="1001">
        <f t="shared" si="18"/>
        <v>1.3803528028422476</v>
      </c>
      <c r="I28" s="1001">
        <f t="shared" si="18"/>
        <v>1.3767731925416393</v>
      </c>
      <c r="J28" s="1001">
        <f t="shared" si="18"/>
        <v>1.37183458802475</v>
      </c>
      <c r="K28" s="1001">
        <f t="shared" si="18"/>
        <v>1.3685500678618816</v>
      </c>
      <c r="L28" s="1001">
        <f t="shared" si="18"/>
        <v>1.3598470467626009</v>
      </c>
      <c r="M28" s="1001">
        <f t="shared" si="18"/>
        <v>1.348252078884197</v>
      </c>
      <c r="N28" s="1001">
        <f t="shared" si="18"/>
        <v>1.3363584883379891</v>
      </c>
      <c r="O28" s="1001">
        <f t="shared" si="18"/>
        <v>1.318557955932895</v>
      </c>
      <c r="P28" s="1006">
        <f>AVERAGE(D28:O28)</f>
        <v>1.3627930219655866</v>
      </c>
      <c r="Q28" s="996"/>
      <c r="R28" s="996"/>
      <c r="S28" s="996"/>
      <c r="T28" s="996"/>
      <c r="U28" s="996"/>
      <c r="V28" s="996"/>
      <c r="W28" s="996"/>
      <c r="X28" s="996"/>
      <c r="Y28" s="996"/>
      <c r="Z28" s="996"/>
      <c r="AA28" s="996"/>
      <c r="AB28" s="996"/>
      <c r="AC28" s="996"/>
      <c r="AD28" s="996"/>
      <c r="AE28" s="996"/>
      <c r="AF28" s="996"/>
      <c r="AG28" s="996"/>
      <c r="AH28" s="996"/>
      <c r="AI28" s="996"/>
      <c r="AJ28" s="996"/>
      <c r="AK28" s="996"/>
      <c r="AL28" s="996"/>
      <c r="AM28" s="996"/>
      <c r="AN28" s="996"/>
      <c r="AO28" s="996"/>
      <c r="AP28" s="996"/>
      <c r="AQ28" s="996"/>
      <c r="AR28" s="996"/>
      <c r="AS28" s="996"/>
      <c r="AT28" s="996"/>
      <c r="AU28" s="996"/>
      <c r="AV28" s="996"/>
      <c r="AW28" s="996"/>
      <c r="AX28" s="996"/>
      <c r="AY28" s="996"/>
      <c r="AZ28" s="996"/>
      <c r="BA28" s="996"/>
      <c r="BB28" s="996"/>
      <c r="BC28" s="996"/>
      <c r="BD28" s="996"/>
      <c r="BE28" s="996"/>
      <c r="BF28" s="996"/>
      <c r="BG28" s="996"/>
      <c r="BH28" s="996"/>
      <c r="BI28" s="996"/>
      <c r="BJ28" s="996"/>
      <c r="BK28" s="1007"/>
      <c r="BL28" s="1008"/>
      <c r="BM28" s="996"/>
      <c r="BN28" s="996"/>
      <c r="BO28" s="996"/>
      <c r="BP28" s="996"/>
      <c r="BQ28" s="996"/>
      <c r="BR28" s="996"/>
      <c r="BS28" s="996"/>
      <c r="BT28" s="996"/>
      <c r="BU28" s="996"/>
      <c r="BV28" s="996"/>
      <c r="BW28" s="996"/>
      <c r="BX28" s="996"/>
      <c r="BY28" s="996"/>
      <c r="BZ28" s="996"/>
      <c r="CA28" s="996"/>
      <c r="CB28" s="996"/>
      <c r="CC28" s="996"/>
      <c r="CD28" s="996"/>
      <c r="CE28" s="996"/>
      <c r="CF28" s="996"/>
      <c r="CG28" s="996"/>
      <c r="CH28" s="996"/>
      <c r="CI28" s="996"/>
    </row>
    <row r="29" spans="1:126" ht="14" x14ac:dyDescent="0.3">
      <c r="A29" s="996"/>
      <c r="B29" s="996"/>
      <c r="C29" s="1005">
        <v>2021</v>
      </c>
      <c r="D29" s="1001">
        <f t="shared" si="18"/>
        <v>1.3152697814791972</v>
      </c>
      <c r="E29" s="1001">
        <f t="shared" si="18"/>
        <v>1.304054909259565</v>
      </c>
      <c r="F29" s="1001">
        <f t="shared" si="18"/>
        <v>1.2920389470519815</v>
      </c>
      <c r="G29" s="1001">
        <f t="shared" si="18"/>
        <v>1.2880460044382229</v>
      </c>
      <c r="H29" s="1001">
        <f t="shared" si="18"/>
        <v>1.2774432256652015</v>
      </c>
      <c r="I29" s="1001">
        <f t="shared" si="18"/>
        <v>1.2707084707701197</v>
      </c>
      <c r="J29" s="1001">
        <f t="shared" si="18"/>
        <v>1.2586256643919571</v>
      </c>
      <c r="K29" s="1001">
        <f t="shared" si="18"/>
        <v>1.2477700648279539</v>
      </c>
      <c r="L29" s="1001">
        <f t="shared" si="18"/>
        <v>1.2334619067101167</v>
      </c>
      <c r="M29" s="1001">
        <f t="shared" si="18"/>
        <v>1.2182339819359176</v>
      </c>
      <c r="N29" s="1001">
        <f t="shared" si="18"/>
        <v>1.2067696700702502</v>
      </c>
      <c r="O29" s="1001">
        <f t="shared" si="18"/>
        <v>1.1980240941827163</v>
      </c>
      <c r="P29" s="1006">
        <f>AVERAGE(D29:O29)</f>
        <v>1.2592038933986001</v>
      </c>
      <c r="Q29" s="996"/>
      <c r="R29" s="996"/>
      <c r="S29" s="996"/>
      <c r="T29" s="996"/>
      <c r="U29" s="996"/>
      <c r="V29" s="996"/>
      <c r="W29" s="996"/>
      <c r="X29" s="996"/>
      <c r="Y29" s="996"/>
      <c r="Z29" s="996"/>
      <c r="AA29" s="996"/>
      <c r="AB29" s="996"/>
      <c r="AC29" s="996"/>
      <c r="AD29" s="996"/>
      <c r="AE29" s="996"/>
      <c r="AF29" s="996"/>
      <c r="AG29" s="996"/>
      <c r="AH29" s="996"/>
      <c r="AI29" s="996"/>
      <c r="AJ29" s="996"/>
      <c r="AK29" s="996"/>
      <c r="AL29" s="996"/>
      <c r="AM29" s="996"/>
      <c r="AN29" s="996"/>
      <c r="AO29" s="996"/>
      <c r="AP29" s="996"/>
      <c r="AQ29" s="996"/>
      <c r="AR29" s="996"/>
      <c r="AS29" s="996"/>
      <c r="AT29" s="996"/>
      <c r="AU29" s="996"/>
      <c r="AV29" s="996"/>
      <c r="AW29" s="996"/>
      <c r="AX29" s="996"/>
      <c r="AY29" s="996"/>
      <c r="AZ29" s="996"/>
      <c r="BA29" s="996"/>
      <c r="BB29" s="996"/>
      <c r="BC29" s="996"/>
      <c r="BD29" s="996"/>
      <c r="BE29" s="996"/>
      <c r="BF29" s="996"/>
      <c r="BG29" s="996"/>
      <c r="BH29" s="996"/>
      <c r="BI29" s="996"/>
      <c r="BJ29" s="996"/>
      <c r="BK29" s="1007"/>
      <c r="BL29" s="1008"/>
      <c r="BM29" s="996"/>
      <c r="BN29" s="996"/>
      <c r="BO29" s="996"/>
      <c r="BP29" s="996"/>
      <c r="BQ29" s="996"/>
      <c r="BR29" s="996"/>
      <c r="BS29" s="996"/>
      <c r="BT29" s="996"/>
      <c r="BU29" s="996"/>
      <c r="BV29" s="996"/>
      <c r="BW29" s="996"/>
      <c r="BX29" s="996"/>
      <c r="BY29" s="996"/>
      <c r="BZ29" s="996"/>
      <c r="CA29" s="996"/>
      <c r="CB29" s="996"/>
      <c r="CC29" s="996"/>
      <c r="CD29" s="996"/>
      <c r="CE29" s="996"/>
      <c r="CF29" s="996"/>
      <c r="CG29" s="996"/>
      <c r="CH29" s="996"/>
      <c r="CI29" s="996"/>
    </row>
    <row r="30" spans="1:126" ht="14" x14ac:dyDescent="0.3">
      <c r="A30" s="996"/>
      <c r="B30" s="996"/>
      <c r="C30" s="1005">
        <v>2022</v>
      </c>
      <c r="D30" s="1001">
        <f t="shared" si="18"/>
        <v>1.1915895108242651</v>
      </c>
      <c r="E30" s="1001">
        <f t="shared" si="18"/>
        <v>1.1796747953908178</v>
      </c>
      <c r="F30" s="1001">
        <f t="shared" si="18"/>
        <v>1.1608687220929126</v>
      </c>
      <c r="G30" s="1001">
        <f t="shared" si="18"/>
        <v>1.1486925807370993</v>
      </c>
      <c r="H30" s="1001">
        <f t="shared" si="18"/>
        <v>1.1433189815239369</v>
      </c>
      <c r="I30" s="1001">
        <f t="shared" si="18"/>
        <v>1.1357097263573428</v>
      </c>
      <c r="J30" s="1001">
        <f t="shared" si="18"/>
        <v>1.1434854272627295</v>
      </c>
      <c r="K30" s="1001">
        <f t="shared" si="18"/>
        <v>1.1476168479152242</v>
      </c>
      <c r="L30" s="1001">
        <f t="shared" si="18"/>
        <v>1.1509546163025017</v>
      </c>
      <c r="M30" s="1001">
        <f t="shared" si="18"/>
        <v>1.1442038138010753</v>
      </c>
      <c r="N30" s="1001">
        <f t="shared" si="18"/>
        <v>1.139531733692934</v>
      </c>
      <c r="O30" s="1001">
        <f t="shared" si="18"/>
        <v>1.1325101706349971</v>
      </c>
      <c r="P30" s="1006">
        <f>AVERAGE(D30:O30)</f>
        <v>1.1515130772113196</v>
      </c>
      <c r="Q30" s="996"/>
      <c r="R30" s="996"/>
      <c r="S30" s="996"/>
      <c r="T30" s="996"/>
      <c r="U30" s="996"/>
      <c r="V30" s="996"/>
      <c r="W30" s="996"/>
      <c r="X30" s="996"/>
      <c r="Y30" s="996"/>
      <c r="Z30" s="996"/>
      <c r="AA30" s="996"/>
      <c r="AB30" s="996"/>
      <c r="AC30" s="996"/>
      <c r="AD30" s="996"/>
      <c r="AE30" s="996"/>
      <c r="AF30" s="996"/>
      <c r="AG30" s="996"/>
      <c r="AH30" s="996"/>
      <c r="AI30" s="996"/>
      <c r="AJ30" s="996"/>
      <c r="AK30" s="996"/>
      <c r="AL30" s="996"/>
      <c r="AM30" s="996"/>
      <c r="AN30" s="996"/>
      <c r="AO30" s="996"/>
      <c r="AP30" s="996"/>
      <c r="AQ30" s="996"/>
      <c r="AR30" s="996"/>
      <c r="AS30" s="996"/>
      <c r="AT30" s="996"/>
      <c r="AU30" s="996"/>
      <c r="AV30" s="996"/>
      <c r="AW30" s="996"/>
      <c r="AX30" s="996"/>
      <c r="AY30" s="996"/>
      <c r="AZ30" s="996"/>
      <c r="BA30" s="996"/>
      <c r="BB30" s="996"/>
      <c r="BC30" s="996"/>
      <c r="BD30" s="996"/>
      <c r="BE30" s="996"/>
      <c r="BF30" s="996"/>
      <c r="BG30" s="996"/>
      <c r="BH30" s="996"/>
      <c r="BI30" s="996"/>
      <c r="BJ30" s="996"/>
      <c r="BK30" s="1007"/>
      <c r="BL30" s="1008"/>
      <c r="BM30" s="996"/>
      <c r="BN30" s="996"/>
      <c r="BO30" s="996"/>
      <c r="BP30" s="996"/>
      <c r="BQ30" s="996"/>
      <c r="BR30" s="996"/>
      <c r="BS30" s="996"/>
      <c r="BT30" s="996"/>
      <c r="BU30" s="996"/>
      <c r="BV30" s="996"/>
      <c r="BW30" s="996"/>
      <c r="BX30" s="996"/>
      <c r="BY30" s="996"/>
      <c r="BZ30" s="996"/>
      <c r="CA30" s="996"/>
      <c r="CB30" s="996"/>
      <c r="CC30" s="996"/>
      <c r="CD30" s="996"/>
      <c r="CE30" s="996"/>
      <c r="CF30" s="996"/>
      <c r="CG30" s="996"/>
      <c r="CH30" s="996"/>
      <c r="CI30" s="996"/>
    </row>
    <row r="31" spans="1:126" ht="14" x14ac:dyDescent="0.3">
      <c r="A31" s="996"/>
      <c r="B31" s="996"/>
      <c r="C31" s="1005">
        <v>2023</v>
      </c>
      <c r="D31" s="1001">
        <f t="shared" si="18"/>
        <v>1.1265395112255019</v>
      </c>
      <c r="E31" s="1001">
        <f t="shared" si="18"/>
        <v>1.117155405816642</v>
      </c>
      <c r="F31" s="1001">
        <f t="shared" si="18"/>
        <v>1.1092795212160083</v>
      </c>
      <c r="G31" s="1001">
        <f t="shared" si="18"/>
        <v>1.1025539421687787</v>
      </c>
      <c r="H31" s="1001">
        <f t="shared" si="18"/>
        <v>1.1000238872281538</v>
      </c>
      <c r="I31" s="1001">
        <f t="shared" si="18"/>
        <v>1.1009046109168874</v>
      </c>
      <c r="J31" s="1001">
        <f t="shared" si="18"/>
        <v>1.0995851087863437</v>
      </c>
      <c r="K31" s="1001">
        <f t="shared" si="18"/>
        <v>1.0970618664934091</v>
      </c>
      <c r="L31" s="1001">
        <f t="shared" si="18"/>
        <v>1.0942169025467876</v>
      </c>
      <c r="M31" s="1001">
        <f t="shared" si="18"/>
        <v>1.0915970695797961</v>
      </c>
      <c r="N31" s="1001">
        <f t="shared" si="18"/>
        <v>1.0885491320101677</v>
      </c>
      <c r="O31" s="1001">
        <f t="shared" si="18"/>
        <v>1.0824872036696178</v>
      </c>
      <c r="P31" s="1006">
        <f>AVERAGE(D31:O31)</f>
        <v>1.1008295134715078</v>
      </c>
      <c r="Q31" s="996"/>
      <c r="R31" s="996"/>
      <c r="S31" s="996"/>
      <c r="T31" s="996"/>
      <c r="U31" s="996"/>
      <c r="V31" s="996"/>
      <c r="W31" s="996"/>
      <c r="X31" s="996"/>
      <c r="Y31" s="996"/>
      <c r="Z31" s="996"/>
      <c r="AA31" s="996"/>
      <c r="AB31" s="996"/>
      <c r="AC31" s="996"/>
      <c r="AD31" s="996"/>
      <c r="AE31" s="996"/>
      <c r="AF31" s="996"/>
      <c r="AG31" s="996"/>
      <c r="AH31" s="996"/>
      <c r="AI31" s="996"/>
      <c r="AJ31" s="996"/>
      <c r="AK31" s="996"/>
      <c r="AL31" s="996"/>
      <c r="AM31" s="996"/>
      <c r="AN31" s="996"/>
      <c r="AO31" s="996"/>
      <c r="AP31" s="996"/>
      <c r="AQ31" s="996"/>
      <c r="AR31" s="996"/>
      <c r="AS31" s="996"/>
      <c r="AT31" s="996"/>
      <c r="AU31" s="996"/>
      <c r="AV31" s="996"/>
      <c r="AW31" s="996"/>
      <c r="AX31" s="996"/>
      <c r="AY31" s="996"/>
      <c r="AZ31" s="996"/>
      <c r="BA31" s="996"/>
      <c r="BB31" s="996"/>
      <c r="BC31" s="996"/>
      <c r="BD31" s="996"/>
      <c r="BE31" s="996"/>
      <c r="BF31" s="996"/>
      <c r="BG31" s="996"/>
      <c r="BH31" s="996"/>
      <c r="BI31" s="996"/>
      <c r="BJ31" s="996"/>
      <c r="BK31" s="1007"/>
      <c r="BL31" s="1008"/>
      <c r="BM31" s="996"/>
      <c r="BN31" s="996"/>
      <c r="BO31" s="996"/>
      <c r="BP31" s="996"/>
      <c r="BQ31" s="996"/>
      <c r="BR31" s="996"/>
      <c r="BS31" s="996"/>
      <c r="BT31" s="996"/>
      <c r="BU31" s="996"/>
      <c r="BV31" s="996"/>
      <c r="BW31" s="996"/>
      <c r="BX31" s="996"/>
      <c r="BY31" s="996"/>
      <c r="BZ31" s="996"/>
      <c r="CA31" s="996"/>
      <c r="CB31" s="996"/>
      <c r="CC31" s="996"/>
      <c r="CD31" s="996"/>
      <c r="CE31" s="996"/>
      <c r="CF31" s="996"/>
      <c r="CG31" s="996"/>
      <c r="CH31" s="996"/>
      <c r="CI31" s="996"/>
    </row>
    <row r="32" spans="1:126" ht="14" x14ac:dyDescent="0.3">
      <c r="A32" s="996"/>
      <c r="B32" s="996"/>
      <c r="C32" s="1005">
        <v>2024</v>
      </c>
      <c r="D32" s="1001">
        <f t="shared" si="18"/>
        <v>1.0779597726245946</v>
      </c>
      <c r="E32" s="1001">
        <f t="shared" si="18"/>
        <v>1.0690863558708665</v>
      </c>
      <c r="F32" s="1001">
        <f t="shared" si="18"/>
        <v>1.0673785501905615</v>
      </c>
      <c r="G32" s="1001">
        <f t="shared" si="18"/>
        <v>1.0633378662986266</v>
      </c>
      <c r="H32" s="1001">
        <f t="shared" si="18"/>
        <v>1.0584689093157742</v>
      </c>
      <c r="I32" s="1001">
        <f t="shared" si="18"/>
        <v>1.0562507826721628</v>
      </c>
      <c r="J32" s="1001">
        <f t="shared" si="18"/>
        <v>1.0522522242201262</v>
      </c>
      <c r="K32" s="1001">
        <f t="shared" si="18"/>
        <v>1.052462716763479</v>
      </c>
      <c r="L32" s="1001">
        <f t="shared" si="18"/>
        <v>1.0478521672276773</v>
      </c>
      <c r="M32" s="1001">
        <f t="shared" si="18"/>
        <v>1.0420168727403314</v>
      </c>
      <c r="N32" s="1001">
        <f t="shared" si="18"/>
        <v>1.0379687944420075</v>
      </c>
      <c r="O32" s="1001">
        <f t="shared" si="18"/>
        <v>1.0325992781953914</v>
      </c>
      <c r="P32" s="1006">
        <f>AVERAGE(D32:O32)</f>
        <v>1.0548028575468</v>
      </c>
      <c r="Q32" s="996"/>
      <c r="R32" s="996"/>
      <c r="S32" s="996"/>
      <c r="T32" s="996"/>
      <c r="U32" s="996"/>
      <c r="V32" s="996"/>
      <c r="W32" s="996"/>
      <c r="X32" s="996"/>
      <c r="Y32" s="996"/>
      <c r="Z32" s="996"/>
      <c r="AA32" s="996"/>
      <c r="AB32" s="996"/>
      <c r="AC32" s="996"/>
      <c r="AD32" s="996"/>
      <c r="AE32" s="996"/>
      <c r="AF32" s="996"/>
      <c r="AG32" s="996"/>
      <c r="AH32" s="996"/>
      <c r="AI32" s="996"/>
      <c r="AJ32" s="996"/>
      <c r="AK32" s="996"/>
      <c r="AL32" s="996"/>
      <c r="AM32" s="996"/>
      <c r="AN32" s="996"/>
      <c r="AO32" s="996"/>
      <c r="AP32" s="996"/>
      <c r="AQ32" s="996"/>
      <c r="AR32" s="996"/>
      <c r="AS32" s="996"/>
      <c r="AT32" s="996"/>
      <c r="AU32" s="996"/>
      <c r="AV32" s="996"/>
      <c r="AW32" s="996"/>
      <c r="AX32" s="996"/>
      <c r="AY32" s="996"/>
      <c r="AZ32" s="996"/>
      <c r="BA32" s="996"/>
      <c r="BB32" s="996"/>
      <c r="BC32" s="996"/>
      <c r="BD32" s="996"/>
      <c r="BE32" s="996"/>
      <c r="BF32" s="996"/>
      <c r="BG32" s="996"/>
      <c r="BH32" s="996"/>
      <c r="BI32" s="996"/>
      <c r="BJ32" s="996"/>
      <c r="BK32" s="1007"/>
      <c r="BL32" s="1008"/>
      <c r="BM32" s="996"/>
      <c r="BN32" s="996"/>
      <c r="BO32" s="996"/>
      <c r="BP32" s="996"/>
      <c r="BQ32" s="996"/>
      <c r="BR32" s="996"/>
      <c r="BS32" s="996"/>
      <c r="BT32" s="996"/>
      <c r="BU32" s="996"/>
      <c r="BV32" s="996"/>
      <c r="BW32" s="996"/>
      <c r="BX32" s="996"/>
      <c r="BY32" s="996"/>
      <c r="BZ32" s="996"/>
      <c r="CA32" s="996"/>
      <c r="CB32" s="996"/>
      <c r="CC32" s="996"/>
      <c r="CD32" s="996"/>
      <c r="CE32" s="996"/>
      <c r="CF32" s="996"/>
      <c r="CG32" s="996"/>
      <c r="CH32" s="996"/>
      <c r="CI32" s="996"/>
    </row>
    <row r="33" spans="1:87" ht="14" x14ac:dyDescent="0.3">
      <c r="A33" s="996"/>
      <c r="B33" s="996"/>
      <c r="C33" s="718" t="s">
        <v>626</v>
      </c>
      <c r="D33" s="797">
        <f t="shared" ref="D33:P33" si="19">AVERAGE(D28:D32)</f>
        <v>1.21731846140066</v>
      </c>
      <c r="E33" s="797">
        <f t="shared" si="19"/>
        <v>1.2083551373273771</v>
      </c>
      <c r="F33" s="797">
        <f t="shared" si="19"/>
        <v>1.2000820739220235</v>
      </c>
      <c r="G33" s="797">
        <f t="shared" si="19"/>
        <v>1.1955475711668349</v>
      </c>
      <c r="H33" s="797">
        <f t="shared" si="19"/>
        <v>1.1919215613150627</v>
      </c>
      <c r="I33" s="797">
        <f t="shared" si="19"/>
        <v>1.1880693566516305</v>
      </c>
      <c r="J33" s="797">
        <f t="shared" si="19"/>
        <v>1.1851566025371814</v>
      </c>
      <c r="K33" s="797">
        <f t="shared" si="19"/>
        <v>1.1826923127723894</v>
      </c>
      <c r="L33" s="797">
        <f t="shared" si="19"/>
        <v>1.1772665279099368</v>
      </c>
      <c r="M33" s="797">
        <f t="shared" si="19"/>
        <v>1.1688607633882637</v>
      </c>
      <c r="N33" s="797">
        <f t="shared" si="19"/>
        <v>1.1618355637106696</v>
      </c>
      <c r="O33" s="797">
        <f t="shared" si="19"/>
        <v>1.1528357405231235</v>
      </c>
      <c r="P33" s="797">
        <f t="shared" si="19"/>
        <v>1.1858284727187629</v>
      </c>
      <c r="Q33" s="996"/>
      <c r="R33" s="996"/>
      <c r="S33" s="996"/>
      <c r="T33" s="996"/>
      <c r="U33" s="996"/>
      <c r="V33" s="996"/>
      <c r="W33" s="996"/>
      <c r="X33" s="996"/>
      <c r="Y33" s="996"/>
      <c r="Z33" s="996"/>
      <c r="AA33" s="996"/>
      <c r="AB33" s="996"/>
      <c r="AC33" s="996"/>
      <c r="AD33" s="996"/>
      <c r="AE33" s="996"/>
      <c r="AF33" s="996"/>
      <c r="AG33" s="996"/>
      <c r="AH33" s="996"/>
      <c r="AI33" s="996"/>
      <c r="AJ33" s="996"/>
      <c r="AK33" s="996"/>
      <c r="AL33" s="996"/>
      <c r="AM33" s="996"/>
      <c r="AN33" s="996"/>
      <c r="AO33" s="996"/>
      <c r="AP33" s="996"/>
      <c r="AQ33" s="996"/>
      <c r="AR33" s="996"/>
      <c r="AS33" s="996"/>
      <c r="AT33" s="996"/>
      <c r="AU33" s="996"/>
      <c r="AV33" s="996"/>
      <c r="AW33" s="996"/>
      <c r="AX33" s="996"/>
      <c r="AY33" s="996"/>
      <c r="AZ33" s="996"/>
      <c r="BA33" s="996"/>
      <c r="BB33" s="996"/>
      <c r="BC33" s="996"/>
      <c r="BD33" s="996"/>
      <c r="BE33" s="996"/>
      <c r="BF33" s="996"/>
      <c r="BG33" s="996"/>
      <c r="BH33" s="996"/>
      <c r="BI33" s="996"/>
      <c r="BJ33" s="996"/>
      <c r="BK33" s="1007"/>
      <c r="BL33" s="1008"/>
      <c r="BM33" s="996"/>
      <c r="BN33" s="996"/>
      <c r="BO33" s="996"/>
      <c r="BP33" s="996"/>
      <c r="BQ33" s="996"/>
      <c r="BR33" s="996"/>
      <c r="BS33" s="996"/>
      <c r="BT33" s="996"/>
      <c r="BU33" s="996"/>
      <c r="BV33" s="996"/>
      <c r="BW33" s="996"/>
      <c r="BX33" s="996"/>
      <c r="BY33" s="996"/>
      <c r="BZ33" s="996"/>
      <c r="CA33" s="996"/>
      <c r="CB33" s="996"/>
      <c r="CC33" s="996"/>
      <c r="CD33" s="996"/>
      <c r="CE33" s="996"/>
      <c r="CF33" s="996"/>
      <c r="CG33" s="996"/>
      <c r="CH33" s="996"/>
      <c r="CI33" s="996"/>
    </row>
    <row r="34" spans="1:87" ht="14" x14ac:dyDescent="0.3">
      <c r="A34" s="996"/>
      <c r="B34" s="996"/>
      <c r="C34" s="1007"/>
      <c r="D34" s="1008"/>
      <c r="E34" s="996"/>
      <c r="F34" s="996"/>
      <c r="G34" s="996"/>
      <c r="H34" s="996"/>
      <c r="I34" s="996"/>
      <c r="J34" s="996"/>
      <c r="K34" s="996"/>
      <c r="L34" s="996"/>
      <c r="M34" s="996"/>
      <c r="N34" s="996"/>
      <c r="O34" s="996"/>
      <c r="P34" s="996"/>
      <c r="Q34" s="996"/>
      <c r="R34" s="996"/>
      <c r="S34" s="996"/>
      <c r="T34" s="996"/>
      <c r="U34" s="996"/>
      <c r="V34" s="996"/>
      <c r="W34" s="996"/>
      <c r="X34" s="996"/>
      <c r="Y34" s="996"/>
      <c r="Z34" s="996"/>
      <c r="AA34" s="996"/>
      <c r="AB34" s="996"/>
      <c r="AC34" s="996"/>
      <c r="AD34" s="996"/>
      <c r="AE34" s="996"/>
      <c r="AF34" s="996"/>
      <c r="AG34" s="996"/>
      <c r="AH34" s="996"/>
      <c r="AI34" s="996"/>
      <c r="AJ34" s="996"/>
      <c r="AK34" s="996"/>
      <c r="AL34" s="996"/>
      <c r="AM34" s="996"/>
      <c r="AN34" s="996"/>
      <c r="AO34" s="996"/>
      <c r="AP34" s="996"/>
      <c r="AQ34" s="996"/>
      <c r="AR34" s="996"/>
      <c r="AS34" s="996"/>
      <c r="AT34" s="996"/>
      <c r="AU34" s="996"/>
      <c r="AV34" s="996"/>
      <c r="AW34" s="996"/>
      <c r="AX34" s="996"/>
      <c r="AY34" s="996"/>
      <c r="AZ34" s="996"/>
      <c r="BA34" s="996"/>
      <c r="BB34" s="996"/>
      <c r="BC34" s="996"/>
      <c r="BD34" s="996"/>
      <c r="BE34" s="996"/>
      <c r="BF34" s="996"/>
      <c r="BG34" s="996"/>
      <c r="BH34" s="996"/>
      <c r="BI34" s="996"/>
      <c r="BJ34" s="996"/>
      <c r="BK34" s="1007"/>
      <c r="BL34" s="1008"/>
      <c r="BM34" s="996"/>
      <c r="BN34" s="996"/>
      <c r="BO34" s="996"/>
      <c r="BP34" s="996"/>
      <c r="BQ34" s="996"/>
      <c r="BR34" s="996"/>
      <c r="BS34" s="996"/>
      <c r="BT34" s="996"/>
      <c r="BU34" s="996"/>
      <c r="BV34" s="996"/>
      <c r="BW34" s="996"/>
      <c r="BX34" s="996"/>
      <c r="BY34" s="996"/>
      <c r="BZ34" s="996"/>
      <c r="CA34" s="996"/>
      <c r="CB34" s="996"/>
      <c r="CC34" s="996"/>
      <c r="CD34" s="996"/>
      <c r="CE34" s="996"/>
      <c r="CF34" s="996"/>
      <c r="CG34" s="996"/>
      <c r="CH34" s="996"/>
      <c r="CI34" s="996"/>
    </row>
    <row r="35" spans="1:87" ht="14" x14ac:dyDescent="0.3">
      <c r="A35" s="996"/>
      <c r="B35" s="996"/>
      <c r="C35" s="1007"/>
      <c r="D35" s="1008"/>
      <c r="E35" s="996"/>
      <c r="F35" s="996"/>
      <c r="G35" s="996"/>
      <c r="H35" s="996"/>
      <c r="I35" s="996"/>
      <c r="J35" s="996"/>
      <c r="K35" s="996"/>
      <c r="L35" s="996"/>
      <c r="M35" s="996"/>
      <c r="N35" s="996"/>
      <c r="O35" s="996"/>
      <c r="P35" s="996"/>
      <c r="Q35" s="996"/>
      <c r="R35" s="996"/>
      <c r="S35" s="996"/>
      <c r="T35" s="996"/>
      <c r="U35" s="996"/>
      <c r="V35" s="996"/>
      <c r="W35" s="996"/>
      <c r="X35" s="996"/>
      <c r="Y35" s="996"/>
      <c r="Z35" s="996"/>
      <c r="AA35" s="996"/>
      <c r="AB35" s="996"/>
      <c r="AC35" s="996"/>
      <c r="AD35" s="996"/>
      <c r="AE35" s="996"/>
      <c r="AF35" s="996"/>
      <c r="AG35" s="996"/>
      <c r="AH35" s="996"/>
      <c r="AI35" s="996"/>
      <c r="AJ35" s="996"/>
      <c r="AK35" s="996"/>
      <c r="AL35" s="996"/>
      <c r="AM35" s="996"/>
      <c r="AN35" s="996"/>
      <c r="AO35" s="996"/>
      <c r="AP35" s="996"/>
      <c r="AQ35" s="996"/>
      <c r="AR35" s="996"/>
      <c r="AS35" s="996"/>
      <c r="AT35" s="996"/>
      <c r="AU35" s="996"/>
      <c r="AV35" s="996"/>
      <c r="AW35" s="996"/>
      <c r="AX35" s="996"/>
      <c r="AY35" s="996"/>
      <c r="AZ35" s="996"/>
      <c r="BA35" s="996"/>
      <c r="BB35" s="996"/>
      <c r="BC35" s="996"/>
      <c r="BD35" s="996"/>
      <c r="BE35" s="996"/>
      <c r="BF35" s="996"/>
      <c r="BG35" s="996"/>
      <c r="BH35" s="996"/>
      <c r="BI35" s="996"/>
      <c r="BJ35" s="996"/>
      <c r="BK35" s="1007"/>
      <c r="BL35" s="1008"/>
      <c r="BM35" s="996"/>
      <c r="BN35" s="996"/>
      <c r="BO35" s="996"/>
      <c r="BP35" s="996"/>
      <c r="BQ35" s="996"/>
      <c r="BR35" s="996"/>
      <c r="BS35" s="996"/>
      <c r="BT35" s="996"/>
      <c r="BU35" s="996"/>
      <c r="BV35" s="996"/>
      <c r="BW35" s="996"/>
      <c r="BX35" s="996"/>
      <c r="BY35" s="996"/>
      <c r="BZ35" s="996"/>
      <c r="CA35" s="996"/>
      <c r="CB35" s="996"/>
      <c r="CC35" s="996"/>
      <c r="CD35" s="996"/>
      <c r="CE35" s="996"/>
      <c r="CF35" s="996"/>
      <c r="CG35" s="996"/>
      <c r="CH35" s="996"/>
      <c r="CI35" s="996"/>
    </row>
    <row r="36" spans="1:87" ht="39" x14ac:dyDescent="0.25">
      <c r="A36" s="1011" t="s">
        <v>772</v>
      </c>
      <c r="B36" s="996"/>
      <c r="C36" s="793" t="s">
        <v>617</v>
      </c>
      <c r="D36" s="1004">
        <v>1</v>
      </c>
      <c r="E36" s="1004">
        <v>2</v>
      </c>
      <c r="F36" s="1004">
        <v>3</v>
      </c>
      <c r="G36" s="1004">
        <v>4</v>
      </c>
      <c r="H36" s="1004">
        <v>5</v>
      </c>
      <c r="I36" s="1004">
        <v>6</v>
      </c>
      <c r="J36" s="1004">
        <v>7</v>
      </c>
      <c r="K36" s="1004">
        <v>8</v>
      </c>
      <c r="L36" s="1004">
        <v>9</v>
      </c>
      <c r="M36" s="1004">
        <v>10</v>
      </c>
      <c r="N36" s="1004">
        <v>11</v>
      </c>
      <c r="O36" s="1004">
        <v>12</v>
      </c>
      <c r="P36" s="794" t="s">
        <v>624</v>
      </c>
      <c r="Q36" s="996"/>
      <c r="R36" s="996"/>
      <c r="S36" s="996"/>
      <c r="T36" s="996"/>
      <c r="U36" s="996"/>
      <c r="V36" s="996"/>
      <c r="W36" s="996"/>
      <c r="X36" s="996"/>
      <c r="Y36" s="996"/>
      <c r="Z36" s="996"/>
      <c r="AA36" s="996"/>
      <c r="AB36" s="996"/>
      <c r="AC36" s="996"/>
      <c r="AD36" s="996"/>
      <c r="AE36" s="996"/>
      <c r="AF36" s="996"/>
      <c r="AG36" s="996"/>
      <c r="AH36" s="996"/>
      <c r="AI36" s="996"/>
      <c r="AJ36" s="996"/>
      <c r="AK36" s="996"/>
      <c r="AL36" s="996"/>
      <c r="AM36" s="996"/>
      <c r="AN36" s="996"/>
      <c r="AO36" s="996"/>
      <c r="AP36" s="996"/>
      <c r="AQ36" s="996"/>
      <c r="AR36" s="996"/>
      <c r="AS36" s="996"/>
      <c r="AT36" s="996"/>
      <c r="AU36" s="996"/>
      <c r="AV36" s="996"/>
      <c r="AW36" s="996"/>
      <c r="AX36" s="996"/>
      <c r="AY36" s="996"/>
      <c r="AZ36" s="996"/>
      <c r="BA36" s="996"/>
      <c r="BB36" s="996"/>
      <c r="BC36" s="996"/>
      <c r="BD36" s="996"/>
      <c r="BE36" s="996"/>
      <c r="BF36" s="996"/>
      <c r="BG36" s="996"/>
      <c r="BH36" s="996"/>
      <c r="BI36" s="996"/>
      <c r="BJ36" s="996"/>
      <c r="BK36" s="996"/>
      <c r="BL36" s="996"/>
      <c r="BM36" s="996"/>
      <c r="BN36" s="996"/>
      <c r="BO36" s="996"/>
      <c r="BP36" s="996"/>
      <c r="BQ36" s="996"/>
      <c r="BR36" s="996"/>
      <c r="BS36" s="996"/>
      <c r="BT36" s="996"/>
      <c r="BU36" s="996"/>
      <c r="BV36" s="996"/>
      <c r="BW36" s="996"/>
      <c r="BX36" s="996"/>
      <c r="BY36" s="996"/>
      <c r="BZ36" s="996"/>
      <c r="CA36" s="996"/>
      <c r="CB36" s="996"/>
      <c r="CC36" s="996"/>
      <c r="CD36" s="996"/>
      <c r="CE36" s="996"/>
      <c r="CF36" s="996"/>
      <c r="CG36" s="996"/>
      <c r="CH36" s="996"/>
      <c r="CI36" s="996"/>
    </row>
    <row r="37" spans="1:87" ht="14" x14ac:dyDescent="0.25">
      <c r="A37" s="996"/>
      <c r="B37" s="996"/>
      <c r="C37" s="1005">
        <v>2020</v>
      </c>
      <c r="D37" s="1001">
        <f t="shared" ref="D37:O41" si="20">_xlfn.XLOOKUP(DATE($C37,D$36,1),$C$21:$BJ$21,$C$22:$BJ$22,,0)</f>
        <v>1.2522647894530781</v>
      </c>
      <c r="E37" s="1001">
        <f t="shared" si="20"/>
        <v>1.2488421899040507</v>
      </c>
      <c r="F37" s="1001">
        <f t="shared" si="20"/>
        <v>1.2515661623694865</v>
      </c>
      <c r="G37" s="1001">
        <f t="shared" si="20"/>
        <v>1.2599916533080593</v>
      </c>
      <c r="H37" s="1001">
        <f t="shared" si="20"/>
        <v>1.2599670819129933</v>
      </c>
      <c r="I37" s="1001">
        <f t="shared" si="20"/>
        <v>1.253110005159098</v>
      </c>
      <c r="J37" s="1001">
        <f t="shared" si="20"/>
        <v>1.246803370114357</v>
      </c>
      <c r="K37" s="1001">
        <f t="shared" si="20"/>
        <v>1.2428842942774259</v>
      </c>
      <c r="L37" s="1001">
        <f t="shared" si="20"/>
        <v>1.241155678500077</v>
      </c>
      <c r="M37" s="1001">
        <f t="shared" si="20"/>
        <v>1.2406408897491437</v>
      </c>
      <c r="N37" s="1001">
        <f t="shared" si="20"/>
        <v>1.2413989217189476</v>
      </c>
      <c r="O37" s="1001">
        <f t="shared" si="20"/>
        <v>1.2402312706834464</v>
      </c>
      <c r="P37" s="1006">
        <f>AVERAGE(D37:O37)</f>
        <v>1.2482380255958467</v>
      </c>
      <c r="Q37" s="996"/>
      <c r="R37" s="996"/>
      <c r="S37" s="996"/>
      <c r="T37" s="996"/>
      <c r="U37" s="996"/>
      <c r="V37" s="996"/>
      <c r="W37" s="996"/>
      <c r="X37" s="996"/>
      <c r="Y37" s="996"/>
      <c r="Z37" s="996"/>
      <c r="AA37" s="996"/>
      <c r="AB37" s="996"/>
      <c r="AC37" s="996"/>
      <c r="AD37" s="996"/>
      <c r="AE37" s="996"/>
      <c r="AF37" s="996"/>
      <c r="AG37" s="996"/>
      <c r="AH37" s="996"/>
      <c r="AI37" s="996"/>
      <c r="AJ37" s="996"/>
      <c r="AK37" s="996"/>
      <c r="AL37" s="996"/>
      <c r="AM37" s="996"/>
      <c r="AN37" s="996"/>
      <c r="AO37" s="996"/>
      <c r="AP37" s="996"/>
      <c r="AQ37" s="996"/>
      <c r="AR37" s="996"/>
      <c r="AS37" s="996"/>
      <c r="AT37" s="996"/>
      <c r="AU37" s="996"/>
      <c r="AV37" s="996"/>
      <c r="AW37" s="996"/>
      <c r="AX37" s="996"/>
      <c r="AY37" s="996"/>
      <c r="AZ37" s="996"/>
      <c r="BA37" s="996"/>
      <c r="BB37" s="996"/>
      <c r="BC37" s="996"/>
      <c r="BD37" s="996"/>
      <c r="BE37" s="996"/>
      <c r="BF37" s="996"/>
      <c r="BG37" s="996"/>
      <c r="BH37" s="996"/>
      <c r="BI37" s="996"/>
      <c r="BJ37" s="996"/>
      <c r="BK37" s="996"/>
      <c r="BL37" s="996"/>
      <c r="BM37" s="996"/>
      <c r="BN37" s="996"/>
      <c r="BO37" s="996"/>
      <c r="BP37" s="996"/>
      <c r="BQ37" s="996"/>
      <c r="BR37" s="996"/>
      <c r="BS37" s="996"/>
      <c r="BT37" s="996"/>
      <c r="BU37" s="996"/>
      <c r="BV37" s="996"/>
      <c r="BW37" s="996"/>
      <c r="BX37" s="996"/>
      <c r="BY37" s="996"/>
      <c r="BZ37" s="996"/>
      <c r="CA37" s="996"/>
      <c r="CB37" s="996"/>
      <c r="CC37" s="996"/>
      <c r="CD37" s="996"/>
      <c r="CE37" s="996"/>
      <c r="CF37" s="996"/>
      <c r="CG37" s="996"/>
      <c r="CH37" s="996"/>
      <c r="CI37" s="996"/>
    </row>
    <row r="38" spans="1:87" ht="14" x14ac:dyDescent="0.25">
      <c r="A38" s="996"/>
      <c r="B38" s="996"/>
      <c r="C38" s="1005">
        <v>2021</v>
      </c>
      <c r="D38" s="1001">
        <f t="shared" si="20"/>
        <v>1.2349779419073179</v>
      </c>
      <c r="E38" s="1001">
        <f t="shared" si="20"/>
        <v>1.2282540092922809</v>
      </c>
      <c r="F38" s="1001">
        <f t="shared" si="20"/>
        <v>1.2196151421225701</v>
      </c>
      <c r="G38" s="1001">
        <f t="shared" si="20"/>
        <v>1.2096729500400669</v>
      </c>
      <c r="H38" s="1001">
        <f t="shared" si="20"/>
        <v>1.2000520069094895</v>
      </c>
      <c r="I38" s="1001">
        <f t="shared" si="20"/>
        <v>1.1890053589305694</v>
      </c>
      <c r="J38" s="1001">
        <f t="shared" si="20"/>
        <v>1.1833130038864041</v>
      </c>
      <c r="K38" s="1001">
        <f t="shared" si="20"/>
        <v>1.1808734240606507</v>
      </c>
      <c r="L38" s="1001">
        <f t="shared" si="20"/>
        <v>1.1776748933688164</v>
      </c>
      <c r="M38" s="1001">
        <f t="shared" si="20"/>
        <v>1.1679712497604748</v>
      </c>
      <c r="N38" s="1001">
        <f t="shared" si="20"/>
        <v>1.1622605667247112</v>
      </c>
      <c r="O38" s="1001">
        <f t="shared" si="20"/>
        <v>1.1587004397385958</v>
      </c>
      <c r="P38" s="1006">
        <f>AVERAGE(D38:O38)</f>
        <v>1.1926975822284958</v>
      </c>
      <c r="Q38" s="996"/>
      <c r="R38" s="996"/>
      <c r="S38" s="996"/>
      <c r="T38" s="996"/>
      <c r="U38" s="996"/>
      <c r="V38" s="996"/>
      <c r="W38" s="996"/>
      <c r="X38" s="996"/>
      <c r="Y38" s="996"/>
      <c r="Z38" s="996"/>
      <c r="AA38" s="996"/>
      <c r="AB38" s="996"/>
      <c r="AC38" s="996"/>
      <c r="AD38" s="996"/>
      <c r="AE38" s="996"/>
      <c r="AF38" s="996"/>
      <c r="AG38" s="996"/>
      <c r="AH38" s="996"/>
      <c r="AI38" s="996"/>
      <c r="AJ38" s="996"/>
      <c r="AK38" s="996"/>
      <c r="AL38" s="996"/>
      <c r="AM38" s="996"/>
      <c r="AN38" s="996"/>
      <c r="AO38" s="996"/>
      <c r="AP38" s="996"/>
      <c r="AQ38" s="996"/>
      <c r="AR38" s="996"/>
      <c r="AS38" s="996"/>
      <c r="AT38" s="996"/>
      <c r="AU38" s="996"/>
      <c r="AV38" s="996"/>
      <c r="AW38" s="996"/>
      <c r="AX38" s="996"/>
      <c r="AY38" s="996"/>
      <c r="AZ38" s="996"/>
      <c r="BA38" s="996"/>
      <c r="BB38" s="996"/>
      <c r="BC38" s="996"/>
      <c r="BD38" s="996"/>
      <c r="BE38" s="996"/>
      <c r="BF38" s="996"/>
      <c r="BG38" s="996"/>
      <c r="BH38" s="996"/>
      <c r="BI38" s="996"/>
      <c r="BJ38" s="996"/>
      <c r="BK38" s="996"/>
      <c r="BL38" s="996"/>
      <c r="BM38" s="996"/>
      <c r="BN38" s="996"/>
      <c r="BO38" s="996"/>
      <c r="BP38" s="996"/>
      <c r="BQ38" s="996"/>
      <c r="BR38" s="996"/>
      <c r="BS38" s="996"/>
      <c r="BT38" s="996"/>
      <c r="BU38" s="996"/>
      <c r="BV38" s="996"/>
      <c r="BW38" s="996"/>
      <c r="BX38" s="996"/>
      <c r="BY38" s="996"/>
      <c r="BZ38" s="996"/>
      <c r="CA38" s="996"/>
      <c r="CB38" s="996"/>
      <c r="CC38" s="996"/>
      <c r="CD38" s="996"/>
      <c r="CE38" s="996"/>
      <c r="CF38" s="996"/>
      <c r="CG38" s="996"/>
      <c r="CH38" s="996"/>
      <c r="CI38" s="996"/>
    </row>
    <row r="39" spans="1:87" ht="14" x14ac:dyDescent="0.25">
      <c r="A39" s="996"/>
      <c r="B39" s="996"/>
      <c r="C39" s="1005">
        <v>2022</v>
      </c>
      <c r="D39" s="1001">
        <f t="shared" si="20"/>
        <v>1.1490318266535773</v>
      </c>
      <c r="E39" s="1001">
        <f t="shared" si="20"/>
        <v>1.1386315893358148</v>
      </c>
      <c r="F39" s="1001">
        <f t="shared" si="20"/>
        <v>1.1236295842840447</v>
      </c>
      <c r="G39" s="1001">
        <f t="shared" si="20"/>
        <v>1.117391710392966</v>
      </c>
      <c r="H39" s="1001">
        <f t="shared" si="20"/>
        <v>1.1052084188630704</v>
      </c>
      <c r="I39" s="1001">
        <f t="shared" si="20"/>
        <v>1.0902328971924768</v>
      </c>
      <c r="J39" s="1001">
        <f t="shared" si="20"/>
        <v>1.0903616897757495</v>
      </c>
      <c r="K39" s="1001">
        <f t="shared" si="20"/>
        <v>1.0907482501662891</v>
      </c>
      <c r="L39" s="1001">
        <f t="shared" si="20"/>
        <v>1.0884073205573974</v>
      </c>
      <c r="M39" s="1001">
        <f t="shared" si="20"/>
        <v>1.0840100398641666</v>
      </c>
      <c r="N39" s="1001">
        <f t="shared" si="20"/>
        <v>1.0851060256423175</v>
      </c>
      <c r="O39" s="1001">
        <f t="shared" si="20"/>
        <v>1.088447659511383</v>
      </c>
      <c r="P39" s="1006">
        <f>AVERAGE(D39:O39)</f>
        <v>1.1042672510199378</v>
      </c>
      <c r="Q39" s="996"/>
      <c r="R39" s="996"/>
      <c r="S39" s="996"/>
      <c r="T39" s="996"/>
      <c r="U39" s="996"/>
      <c r="V39" s="996"/>
      <c r="W39" s="996"/>
      <c r="X39" s="996"/>
      <c r="Y39" s="996"/>
      <c r="Z39" s="996"/>
      <c r="AA39" s="996"/>
      <c r="AB39" s="996"/>
      <c r="AC39" s="996"/>
      <c r="AD39" s="996"/>
      <c r="AE39" s="996"/>
      <c r="AF39" s="996"/>
      <c r="AG39" s="996"/>
      <c r="AH39" s="996"/>
      <c r="AI39" s="996"/>
      <c r="AJ39" s="996"/>
      <c r="AK39" s="996"/>
      <c r="AL39" s="996"/>
      <c r="AM39" s="996"/>
      <c r="AN39" s="996"/>
      <c r="AO39" s="996"/>
      <c r="AP39" s="996"/>
      <c r="AQ39" s="996"/>
      <c r="AR39" s="996"/>
      <c r="AS39" s="996"/>
      <c r="AT39" s="996"/>
      <c r="AU39" s="996"/>
      <c r="AV39" s="996"/>
      <c r="AW39" s="996"/>
      <c r="AX39" s="996"/>
      <c r="AY39" s="996"/>
      <c r="AZ39" s="996"/>
      <c r="BA39" s="996"/>
      <c r="BB39" s="996"/>
      <c r="BC39" s="996"/>
      <c r="BD39" s="996"/>
      <c r="BE39" s="996"/>
      <c r="BF39" s="996"/>
      <c r="BG39" s="996"/>
      <c r="BH39" s="996"/>
      <c r="BI39" s="996"/>
      <c r="BJ39" s="996"/>
      <c r="BK39" s="996"/>
      <c r="BL39" s="996"/>
      <c r="BM39" s="996"/>
      <c r="BN39" s="996"/>
      <c r="BO39" s="996"/>
      <c r="BP39" s="996"/>
      <c r="BQ39" s="996"/>
      <c r="BR39" s="996"/>
      <c r="BS39" s="996"/>
      <c r="BT39" s="996"/>
      <c r="BU39" s="996"/>
      <c r="BV39" s="996"/>
      <c r="BW39" s="996"/>
      <c r="BX39" s="996"/>
      <c r="BY39" s="996"/>
      <c r="BZ39" s="996"/>
      <c r="CA39" s="996"/>
      <c r="CB39" s="996"/>
      <c r="CC39" s="996"/>
      <c r="CD39" s="996"/>
      <c r="CE39" s="996"/>
      <c r="CF39" s="996"/>
      <c r="CG39" s="996"/>
      <c r="CH39" s="996"/>
      <c r="CI39" s="996"/>
    </row>
    <row r="40" spans="1:87" ht="14" x14ac:dyDescent="0.25">
      <c r="A40" s="996"/>
      <c r="B40" s="996"/>
      <c r="C40" s="1005">
        <v>2023</v>
      </c>
      <c r="D40" s="1001">
        <f t="shared" si="20"/>
        <v>1.0798141524885516</v>
      </c>
      <c r="E40" s="1001">
        <f t="shared" si="20"/>
        <v>1.0738199707485707</v>
      </c>
      <c r="F40" s="1001">
        <f t="shared" si="20"/>
        <v>1.0702765740335811</v>
      </c>
      <c r="G40" s="1001">
        <f t="shared" si="20"/>
        <v>1.0648892580835501</v>
      </c>
      <c r="H40" s="1001">
        <f t="shared" si="20"/>
        <v>1.0622141408030197</v>
      </c>
      <c r="I40" s="1001">
        <f t="shared" si="20"/>
        <v>1.0587953813227404</v>
      </c>
      <c r="J40" s="1001">
        <f t="shared" si="20"/>
        <v>1.0567795584430031</v>
      </c>
      <c r="K40" s="1001">
        <f t="shared" si="20"/>
        <v>1.0521845055467616</v>
      </c>
      <c r="L40" s="1001">
        <f t="shared" si="20"/>
        <v>1.0495761706883613</v>
      </c>
      <c r="M40" s="1001">
        <f t="shared" si="20"/>
        <v>1.0499787110257386</v>
      </c>
      <c r="N40" s="1001">
        <f t="shared" si="20"/>
        <v>1.0520988370010194</v>
      </c>
      <c r="O40" s="1001">
        <f t="shared" si="20"/>
        <v>1.0531449472853762</v>
      </c>
      <c r="P40" s="1006">
        <f>AVERAGE(D40:O40)</f>
        <v>1.0602976839558562</v>
      </c>
      <c r="Q40" s="996"/>
      <c r="R40" s="996"/>
      <c r="S40" s="996"/>
      <c r="T40" s="996"/>
      <c r="U40" s="996"/>
      <c r="V40" s="996"/>
      <c r="W40" s="996"/>
      <c r="X40" s="996"/>
      <c r="Y40" s="996"/>
      <c r="Z40" s="996"/>
      <c r="AA40" s="996"/>
      <c r="AB40" s="996"/>
      <c r="AC40" s="996"/>
      <c r="AD40" s="996"/>
      <c r="AE40" s="996"/>
      <c r="AF40" s="996"/>
      <c r="AG40" s="996"/>
      <c r="AH40" s="996"/>
      <c r="AI40" s="996"/>
      <c r="AJ40" s="996"/>
      <c r="AK40" s="996"/>
      <c r="AL40" s="996"/>
      <c r="AM40" s="996"/>
      <c r="AN40" s="996"/>
      <c r="AO40" s="996"/>
      <c r="AP40" s="996"/>
      <c r="AQ40" s="996"/>
      <c r="AR40" s="996"/>
      <c r="AS40" s="996"/>
      <c r="AT40" s="996"/>
      <c r="AU40" s="996"/>
      <c r="AV40" s="996"/>
      <c r="AW40" s="996"/>
      <c r="AX40" s="996"/>
      <c r="AY40" s="996"/>
      <c r="AZ40" s="996"/>
      <c r="BA40" s="996"/>
      <c r="BB40" s="996"/>
      <c r="BC40" s="996"/>
      <c r="BD40" s="996"/>
      <c r="BE40" s="996"/>
      <c r="BF40" s="996"/>
      <c r="BG40" s="996"/>
      <c r="BH40" s="996"/>
      <c r="BI40" s="996"/>
      <c r="BJ40" s="996"/>
      <c r="BK40" s="996"/>
      <c r="BL40" s="996"/>
      <c r="BM40" s="996"/>
      <c r="BN40" s="996"/>
      <c r="BO40" s="996"/>
      <c r="BP40" s="996"/>
      <c r="BQ40" s="996"/>
      <c r="BR40" s="996"/>
      <c r="BS40" s="996"/>
      <c r="BT40" s="996"/>
      <c r="BU40" s="996"/>
      <c r="BV40" s="996"/>
      <c r="BW40" s="996"/>
      <c r="BX40" s="996"/>
      <c r="BY40" s="996"/>
      <c r="BZ40" s="996"/>
      <c r="CA40" s="996"/>
      <c r="CB40" s="996"/>
      <c r="CC40" s="996"/>
      <c r="CD40" s="996"/>
      <c r="CE40" s="996"/>
      <c r="CF40" s="996"/>
      <c r="CG40" s="996"/>
      <c r="CH40" s="996"/>
      <c r="CI40" s="996"/>
    </row>
    <row r="41" spans="1:87" ht="14" x14ac:dyDescent="0.25">
      <c r="A41" s="996"/>
      <c r="B41" s="996"/>
      <c r="C41" s="1005">
        <v>2024</v>
      </c>
      <c r="D41" s="1001">
        <f t="shared" si="20"/>
        <v>1.0474390192499117</v>
      </c>
      <c r="E41" s="1001">
        <f t="shared" si="20"/>
        <v>1.0409955981774004</v>
      </c>
      <c r="F41" s="1001">
        <f t="shared" si="20"/>
        <v>1.0343096448650795</v>
      </c>
      <c r="G41" s="1001">
        <f t="shared" si="20"/>
        <v>1.0302983913148864</v>
      </c>
      <c r="H41" s="1001">
        <f t="shared" si="20"/>
        <v>1.0285892590481709</v>
      </c>
      <c r="I41" s="1001">
        <f t="shared" si="20"/>
        <v>1.0282422216917322</v>
      </c>
      <c r="J41" s="1001">
        <f t="shared" si="20"/>
        <v>1.027049023971514</v>
      </c>
      <c r="K41" s="1001">
        <f t="shared" si="20"/>
        <v>1.0262138019542815</v>
      </c>
      <c r="L41" s="1001">
        <f t="shared" si="20"/>
        <v>1.0245701726286944</v>
      </c>
      <c r="M41" s="1001">
        <f t="shared" si="20"/>
        <v>1.0233919610725328</v>
      </c>
      <c r="N41" s="1001">
        <f t="shared" si="20"/>
        <v>1.023946648578574</v>
      </c>
      <c r="O41" s="1001">
        <f t="shared" si="20"/>
        <v>1.0235832765640593</v>
      </c>
      <c r="P41" s="1006">
        <f>AVERAGE(D41:O41)</f>
        <v>1.0298857515930697</v>
      </c>
      <c r="Q41" s="996"/>
      <c r="R41" s="996"/>
      <c r="S41" s="996"/>
      <c r="T41" s="996"/>
      <c r="U41" s="996"/>
      <c r="V41" s="996"/>
      <c r="W41" s="996"/>
      <c r="X41" s="996"/>
      <c r="Y41" s="996"/>
      <c r="Z41" s="996"/>
      <c r="AA41" s="996"/>
      <c r="AB41" s="996"/>
      <c r="AC41" s="996"/>
      <c r="AD41" s="996"/>
      <c r="AE41" s="996"/>
      <c r="AF41" s="996"/>
      <c r="AG41" s="996"/>
      <c r="AH41" s="996"/>
      <c r="AI41" s="996"/>
      <c r="AJ41" s="996"/>
      <c r="AK41" s="996"/>
      <c r="AL41" s="996"/>
      <c r="AM41" s="996"/>
      <c r="AN41" s="996"/>
      <c r="AO41" s="996"/>
      <c r="AP41" s="996"/>
      <c r="AQ41" s="996"/>
      <c r="AR41" s="996"/>
      <c r="AS41" s="996"/>
      <c r="AT41" s="996"/>
      <c r="AU41" s="996"/>
      <c r="AV41" s="996"/>
      <c r="AW41" s="996"/>
      <c r="AX41" s="996"/>
      <c r="AY41" s="996"/>
      <c r="AZ41" s="996"/>
      <c r="BA41" s="996"/>
      <c r="BB41" s="996"/>
      <c r="BC41" s="996"/>
      <c r="BD41" s="996"/>
      <c r="BE41" s="996"/>
      <c r="BF41" s="996"/>
      <c r="BG41" s="996"/>
      <c r="BH41" s="996"/>
      <c r="BI41" s="996"/>
      <c r="BJ41" s="996"/>
      <c r="BK41" s="996"/>
      <c r="BL41" s="996"/>
      <c r="BM41" s="996"/>
      <c r="BN41" s="996"/>
      <c r="BO41" s="996"/>
      <c r="BP41" s="996"/>
      <c r="BQ41" s="996"/>
      <c r="BR41" s="996"/>
      <c r="BS41" s="996"/>
      <c r="BT41" s="996"/>
      <c r="BU41" s="996"/>
      <c r="BV41" s="996"/>
      <c r="BW41" s="996"/>
      <c r="BX41" s="996"/>
      <c r="BY41" s="996"/>
      <c r="BZ41" s="996"/>
      <c r="CA41" s="996"/>
      <c r="CB41" s="996"/>
      <c r="CC41" s="996"/>
      <c r="CD41" s="996"/>
      <c r="CE41" s="996"/>
      <c r="CF41" s="996"/>
      <c r="CG41" s="996"/>
      <c r="CH41" s="996"/>
      <c r="CI41" s="996"/>
    </row>
    <row r="42" spans="1:87" ht="13" x14ac:dyDescent="0.25">
      <c r="A42" s="996"/>
      <c r="B42" s="996"/>
      <c r="C42" s="718" t="s">
        <v>626</v>
      </c>
      <c r="D42" s="797">
        <f t="shared" ref="D42:P42" si="21">AVERAGE(D37:D41)</f>
        <v>1.1527055459504871</v>
      </c>
      <c r="E42" s="797">
        <f t="shared" si="21"/>
        <v>1.1461086714916235</v>
      </c>
      <c r="F42" s="797">
        <f t="shared" si="21"/>
        <v>1.1398794215349526</v>
      </c>
      <c r="G42" s="797">
        <f t="shared" si="21"/>
        <v>1.1364487926279057</v>
      </c>
      <c r="H42" s="797">
        <f t="shared" si="21"/>
        <v>1.1312061815073489</v>
      </c>
      <c r="I42" s="797">
        <f t="shared" si="21"/>
        <v>1.1238771728593233</v>
      </c>
      <c r="J42" s="797">
        <f t="shared" si="21"/>
        <v>1.1208613292382055</v>
      </c>
      <c r="K42" s="797">
        <f t="shared" si="21"/>
        <v>1.1185808552010816</v>
      </c>
      <c r="L42" s="797">
        <f t="shared" si="21"/>
        <v>1.1162768471486693</v>
      </c>
      <c r="M42" s="797">
        <f t="shared" si="21"/>
        <v>1.1131985702944112</v>
      </c>
      <c r="N42" s="797">
        <f t="shared" si="21"/>
        <v>1.1129621999331138</v>
      </c>
      <c r="O42" s="797">
        <f t="shared" si="21"/>
        <v>1.112821518756572</v>
      </c>
      <c r="P42" s="797">
        <f t="shared" si="21"/>
        <v>1.1270772588786413</v>
      </c>
      <c r="Q42" s="996"/>
      <c r="R42" s="996"/>
      <c r="S42" s="996"/>
      <c r="T42" s="996"/>
      <c r="U42" s="996"/>
      <c r="V42" s="996"/>
      <c r="W42" s="996"/>
      <c r="X42" s="996"/>
      <c r="Y42" s="996"/>
      <c r="Z42" s="996"/>
      <c r="AA42" s="996"/>
      <c r="AB42" s="996"/>
      <c r="AC42" s="996"/>
      <c r="AD42" s="996"/>
      <c r="AE42" s="996"/>
      <c r="AF42" s="996"/>
      <c r="AG42" s="996"/>
      <c r="AH42" s="996"/>
      <c r="AI42" s="996"/>
      <c r="AJ42" s="996"/>
      <c r="AK42" s="996"/>
      <c r="AL42" s="996"/>
      <c r="AM42" s="996"/>
      <c r="AN42" s="996"/>
      <c r="AO42" s="996"/>
      <c r="AP42" s="996"/>
      <c r="AQ42" s="996"/>
      <c r="AR42" s="996"/>
      <c r="AS42" s="996"/>
      <c r="AT42" s="996"/>
      <c r="AU42" s="996"/>
      <c r="AV42" s="996"/>
      <c r="AW42" s="996"/>
      <c r="AX42" s="996"/>
      <c r="AY42" s="996"/>
      <c r="AZ42" s="996"/>
      <c r="BA42" s="996"/>
      <c r="BB42" s="996"/>
      <c r="BC42" s="996"/>
      <c r="BD42" s="996"/>
      <c r="BE42" s="996"/>
      <c r="BF42" s="996"/>
      <c r="BG42" s="996"/>
      <c r="BH42" s="996"/>
      <c r="BI42" s="996"/>
      <c r="BJ42" s="996"/>
      <c r="BK42" s="996"/>
      <c r="BL42" s="996"/>
      <c r="BM42" s="996"/>
      <c r="BN42" s="996"/>
      <c r="BO42" s="996"/>
      <c r="BP42" s="996"/>
      <c r="BQ42" s="996"/>
      <c r="BR42" s="996"/>
      <c r="BS42" s="996"/>
      <c r="BT42" s="996"/>
      <c r="BU42" s="996"/>
      <c r="BV42" s="996"/>
      <c r="BW42" s="996"/>
      <c r="BX42" s="996"/>
      <c r="BY42" s="996"/>
      <c r="BZ42" s="996"/>
      <c r="CA42" s="996"/>
      <c r="CB42" s="996"/>
      <c r="CC42" s="996"/>
      <c r="CD42" s="996"/>
      <c r="CE42" s="996"/>
      <c r="CF42" s="996"/>
      <c r="CG42" s="996"/>
      <c r="CH42" s="996"/>
      <c r="CI42" s="996"/>
    </row>
    <row r="43" spans="1:87" ht="14" x14ac:dyDescent="0.3">
      <c r="A43" s="996"/>
      <c r="B43" s="996"/>
      <c r="C43" s="1007"/>
      <c r="D43" s="1008"/>
      <c r="E43" s="996"/>
      <c r="F43" s="996"/>
      <c r="G43" s="996"/>
      <c r="H43" s="996"/>
      <c r="I43" s="996"/>
      <c r="J43" s="996"/>
      <c r="K43" s="996"/>
      <c r="L43" s="996"/>
      <c r="M43" s="996"/>
      <c r="N43" s="996"/>
      <c r="O43" s="996"/>
      <c r="P43" s="996"/>
      <c r="Q43" s="996"/>
      <c r="R43" s="996"/>
      <c r="S43" s="996"/>
      <c r="T43" s="996"/>
      <c r="U43" s="996"/>
      <c r="V43" s="996"/>
      <c r="W43" s="996"/>
      <c r="X43" s="996"/>
      <c r="Y43" s="996"/>
      <c r="Z43" s="996"/>
      <c r="AA43" s="996"/>
      <c r="AB43" s="996"/>
      <c r="AC43" s="996"/>
      <c r="AD43" s="996"/>
      <c r="AE43" s="996"/>
      <c r="AF43" s="996"/>
      <c r="AG43" s="996"/>
      <c r="AH43" s="996"/>
      <c r="AI43" s="996"/>
      <c r="AJ43" s="996"/>
      <c r="AK43" s="996"/>
      <c r="AL43" s="996"/>
      <c r="AM43" s="996"/>
      <c r="AN43" s="996"/>
      <c r="AO43" s="996"/>
      <c r="AP43" s="996"/>
      <c r="AQ43" s="996"/>
      <c r="AR43" s="996"/>
      <c r="AS43" s="996"/>
      <c r="AT43" s="996"/>
      <c r="AU43" s="996"/>
      <c r="AV43" s="996"/>
      <c r="AW43" s="996"/>
      <c r="AX43" s="996"/>
      <c r="AY43" s="996"/>
      <c r="AZ43" s="996"/>
      <c r="BA43" s="996"/>
      <c r="BB43" s="996"/>
      <c r="BC43" s="996"/>
      <c r="BD43" s="996"/>
      <c r="BE43" s="996"/>
      <c r="BF43" s="996"/>
      <c r="BG43" s="996"/>
      <c r="BH43" s="996"/>
      <c r="BI43" s="996"/>
      <c r="BJ43" s="996"/>
      <c r="BK43" s="996"/>
      <c r="BL43" s="996"/>
      <c r="BM43" s="996"/>
      <c r="BN43" s="996"/>
      <c r="BO43" s="996"/>
      <c r="BP43" s="996"/>
      <c r="BQ43" s="996"/>
      <c r="BR43" s="996"/>
      <c r="BS43" s="996"/>
      <c r="BT43" s="996"/>
      <c r="BU43" s="996"/>
      <c r="BV43" s="996"/>
      <c r="BW43" s="996"/>
      <c r="BX43" s="996"/>
      <c r="BY43" s="996"/>
      <c r="BZ43" s="996"/>
      <c r="CA43" s="996"/>
      <c r="CB43" s="996"/>
      <c r="CC43" s="996"/>
      <c r="CD43" s="996"/>
      <c r="CE43" s="996"/>
      <c r="CF43" s="996"/>
      <c r="CG43" s="996"/>
      <c r="CH43" s="996"/>
      <c r="CI43" s="996"/>
    </row>
    <row r="44" spans="1:87" ht="14" x14ac:dyDescent="0.3">
      <c r="A44" s="996"/>
      <c r="B44" s="996"/>
      <c r="C44" s="1007"/>
      <c r="D44" s="1008"/>
      <c r="E44" s="996"/>
      <c r="F44" s="996"/>
      <c r="G44" s="996"/>
      <c r="H44" s="996"/>
      <c r="I44" s="996"/>
      <c r="J44" s="996"/>
      <c r="K44" s="996"/>
      <c r="L44" s="996"/>
      <c r="M44" s="996"/>
      <c r="N44" s="996"/>
      <c r="O44" s="996"/>
      <c r="P44" s="996"/>
      <c r="Q44" s="996"/>
      <c r="R44" s="996"/>
      <c r="S44" s="996"/>
      <c r="T44" s="996"/>
      <c r="U44" s="996"/>
      <c r="V44" s="996"/>
      <c r="W44" s="996"/>
      <c r="X44" s="996"/>
      <c r="Y44" s="996"/>
      <c r="Z44" s="996"/>
      <c r="AA44" s="996"/>
      <c r="AB44" s="996"/>
      <c r="AC44" s="996"/>
      <c r="AD44" s="996"/>
      <c r="AE44" s="996"/>
      <c r="AF44" s="996"/>
      <c r="AG44" s="996"/>
      <c r="AH44" s="996"/>
      <c r="AI44" s="996"/>
      <c r="AJ44" s="996"/>
      <c r="AK44" s="996"/>
      <c r="AL44" s="996"/>
      <c r="AM44" s="996"/>
      <c r="AN44" s="996"/>
      <c r="AO44" s="996"/>
      <c r="AP44" s="996"/>
      <c r="AQ44" s="996"/>
      <c r="AR44" s="996"/>
      <c r="AS44" s="996"/>
      <c r="AT44" s="996"/>
      <c r="AU44" s="996"/>
      <c r="AV44" s="996"/>
      <c r="AW44" s="996"/>
      <c r="AX44" s="996"/>
      <c r="AY44" s="996"/>
      <c r="AZ44" s="996"/>
      <c r="BA44" s="996"/>
      <c r="BB44" s="996"/>
      <c r="BC44" s="996"/>
      <c r="BD44" s="996"/>
      <c r="BE44" s="996"/>
      <c r="BF44" s="996"/>
      <c r="BG44" s="996"/>
      <c r="BH44" s="996"/>
      <c r="BI44" s="996"/>
      <c r="BJ44" s="996"/>
      <c r="BK44" s="996"/>
      <c r="BL44" s="996"/>
      <c r="BM44" s="996"/>
      <c r="BN44" s="996"/>
      <c r="BO44" s="996"/>
      <c r="BP44" s="996"/>
      <c r="BQ44" s="996"/>
      <c r="BR44" s="996"/>
      <c r="BS44" s="996"/>
      <c r="BT44" s="996"/>
      <c r="BU44" s="996"/>
      <c r="BV44" s="996"/>
      <c r="BW44" s="996"/>
      <c r="BX44" s="996"/>
      <c r="BY44" s="996"/>
      <c r="BZ44" s="996"/>
      <c r="CA44" s="996"/>
      <c r="CB44" s="996"/>
      <c r="CC44" s="996"/>
      <c r="CD44" s="996"/>
      <c r="CE44" s="996"/>
      <c r="CF44" s="996"/>
      <c r="CG44" s="996"/>
      <c r="CH44" s="996"/>
      <c r="CI44" s="996"/>
    </row>
    <row r="45" spans="1:87" ht="14" x14ac:dyDescent="0.3">
      <c r="A45" s="996"/>
      <c r="B45" s="996"/>
      <c r="C45" s="1007"/>
      <c r="D45" s="1008"/>
      <c r="E45" s="996"/>
      <c r="F45" s="996"/>
      <c r="G45" s="996"/>
      <c r="H45" s="996"/>
      <c r="I45" s="996"/>
      <c r="J45" s="996"/>
      <c r="K45" s="996"/>
      <c r="L45" s="996"/>
      <c r="M45" s="996"/>
      <c r="N45" s="996"/>
      <c r="O45" s="996"/>
      <c r="P45" s="996"/>
      <c r="Q45" s="996"/>
      <c r="R45" s="996"/>
      <c r="S45" s="996"/>
      <c r="T45" s="996"/>
      <c r="U45" s="996"/>
      <c r="V45" s="996"/>
      <c r="W45" s="996"/>
      <c r="X45" s="996"/>
      <c r="Y45" s="996"/>
      <c r="Z45" s="996"/>
      <c r="AA45" s="996"/>
      <c r="AB45" s="996"/>
      <c r="AC45" s="996"/>
      <c r="AD45" s="996"/>
      <c r="AE45" s="996"/>
      <c r="AF45" s="996"/>
      <c r="AG45" s="996"/>
      <c r="AH45" s="996"/>
      <c r="AI45" s="996"/>
      <c r="AJ45" s="996"/>
      <c r="AK45" s="996"/>
      <c r="AL45" s="996"/>
      <c r="AM45" s="996"/>
      <c r="AN45" s="996"/>
      <c r="AO45" s="996"/>
      <c r="AP45" s="996"/>
      <c r="AQ45" s="996"/>
      <c r="AR45" s="996"/>
      <c r="AS45" s="996"/>
      <c r="AT45" s="996"/>
      <c r="AU45" s="996"/>
      <c r="AV45" s="996"/>
      <c r="AW45" s="996"/>
      <c r="AX45" s="996"/>
      <c r="AY45" s="996"/>
      <c r="AZ45" s="996"/>
      <c r="BA45" s="996"/>
      <c r="BB45" s="996"/>
      <c r="BC45" s="996"/>
      <c r="BD45" s="996"/>
      <c r="BE45" s="996"/>
      <c r="BF45" s="996"/>
      <c r="BG45" s="996"/>
      <c r="BH45" s="996"/>
      <c r="BI45" s="996"/>
      <c r="BJ45" s="996"/>
      <c r="BK45" s="996"/>
      <c r="BL45" s="996"/>
      <c r="BM45" s="996"/>
      <c r="BN45" s="996"/>
      <c r="BO45" s="996"/>
      <c r="BP45" s="996"/>
      <c r="BQ45" s="996"/>
      <c r="BR45" s="996"/>
      <c r="BS45" s="996"/>
      <c r="BT45" s="996"/>
      <c r="BU45" s="996"/>
      <c r="BV45" s="996"/>
      <c r="BW45" s="996"/>
      <c r="BX45" s="996"/>
      <c r="BY45" s="996"/>
      <c r="BZ45" s="996"/>
      <c r="CA45" s="996"/>
      <c r="CB45" s="996"/>
      <c r="CC45" s="996"/>
      <c r="CD45" s="996"/>
      <c r="CE45" s="996"/>
      <c r="CF45" s="996"/>
      <c r="CG45" s="996"/>
      <c r="CH45" s="996"/>
      <c r="CI45" s="996"/>
    </row>
    <row r="46" spans="1:87" ht="14" x14ac:dyDescent="0.3">
      <c r="A46" s="996"/>
      <c r="B46" s="996"/>
      <c r="C46" s="1007"/>
      <c r="D46" s="1008"/>
      <c r="E46" s="996"/>
      <c r="F46" s="996"/>
      <c r="G46" s="996"/>
      <c r="H46" s="996"/>
      <c r="I46" s="996"/>
      <c r="J46" s="996"/>
      <c r="K46" s="996"/>
      <c r="L46" s="996"/>
      <c r="M46" s="996"/>
      <c r="N46" s="996"/>
      <c r="O46" s="996"/>
      <c r="P46" s="996"/>
      <c r="Q46" s="996"/>
      <c r="R46" s="996"/>
      <c r="S46" s="996"/>
      <c r="T46" s="996"/>
      <c r="U46" s="996"/>
      <c r="V46" s="996"/>
      <c r="W46" s="996"/>
      <c r="X46" s="996"/>
      <c r="Y46" s="996"/>
      <c r="Z46" s="996"/>
      <c r="AA46" s="996"/>
      <c r="AB46" s="996"/>
      <c r="AC46" s="996"/>
      <c r="AD46" s="996"/>
      <c r="AE46" s="996"/>
      <c r="AF46" s="996"/>
      <c r="AG46" s="996"/>
      <c r="AH46" s="996"/>
      <c r="AI46" s="996"/>
      <c r="AJ46" s="996"/>
      <c r="AK46" s="996"/>
      <c r="AL46" s="996"/>
      <c r="AM46" s="996"/>
      <c r="AN46" s="996"/>
      <c r="AO46" s="996"/>
      <c r="AP46" s="996"/>
      <c r="AQ46" s="996"/>
      <c r="AR46" s="996"/>
      <c r="AS46" s="996"/>
      <c r="AT46" s="996"/>
      <c r="AU46" s="996"/>
      <c r="AV46" s="996"/>
      <c r="AW46" s="996"/>
      <c r="AX46" s="996"/>
      <c r="AY46" s="996"/>
      <c r="AZ46" s="996"/>
      <c r="BA46" s="996"/>
      <c r="BB46" s="996"/>
      <c r="BC46" s="996"/>
      <c r="BD46" s="996"/>
      <c r="BE46" s="996"/>
      <c r="BF46" s="996"/>
      <c r="BG46" s="996"/>
      <c r="BH46" s="996"/>
      <c r="BI46" s="996"/>
      <c r="BJ46" s="996"/>
      <c r="BK46" s="996"/>
      <c r="BL46" s="996"/>
      <c r="BM46" s="996"/>
      <c r="BN46" s="996"/>
      <c r="BO46" s="996"/>
      <c r="BP46" s="996"/>
      <c r="BQ46" s="996"/>
      <c r="BR46" s="996"/>
      <c r="BS46" s="996"/>
      <c r="BT46" s="996"/>
      <c r="BU46" s="996"/>
      <c r="BV46" s="996"/>
      <c r="BW46" s="996"/>
      <c r="BX46" s="996"/>
      <c r="BY46" s="996"/>
      <c r="BZ46" s="996"/>
      <c r="CA46" s="996"/>
      <c r="CB46" s="996"/>
      <c r="CC46" s="996"/>
      <c r="CD46" s="996"/>
      <c r="CE46" s="996"/>
      <c r="CF46" s="996"/>
      <c r="CG46" s="996"/>
      <c r="CH46" s="996"/>
      <c r="CI46" s="996"/>
    </row>
    <row r="47" spans="1:87" ht="14" x14ac:dyDescent="0.3">
      <c r="A47" s="996"/>
      <c r="B47" s="996"/>
      <c r="C47" s="1007"/>
      <c r="D47" s="1008"/>
      <c r="E47" s="996"/>
      <c r="F47" s="996"/>
      <c r="G47" s="996"/>
      <c r="H47" s="996"/>
      <c r="I47" s="996"/>
      <c r="J47" s="996"/>
      <c r="K47" s="996"/>
      <c r="L47" s="996"/>
      <c r="M47" s="996"/>
      <c r="N47" s="996"/>
      <c r="O47" s="996"/>
      <c r="P47" s="996"/>
      <c r="Q47" s="996"/>
      <c r="R47" s="996"/>
      <c r="S47" s="996"/>
      <c r="T47" s="996"/>
      <c r="U47" s="996"/>
      <c r="V47" s="996"/>
      <c r="W47" s="996"/>
      <c r="X47" s="996"/>
      <c r="Y47" s="996"/>
      <c r="Z47" s="996"/>
      <c r="AA47" s="996"/>
      <c r="AB47" s="996"/>
      <c r="AC47" s="996"/>
      <c r="AD47" s="996"/>
      <c r="AE47" s="996"/>
      <c r="AF47" s="996"/>
      <c r="AG47" s="996"/>
      <c r="AH47" s="996"/>
      <c r="AI47" s="996"/>
      <c r="AJ47" s="996"/>
      <c r="AK47" s="996"/>
      <c r="AL47" s="996"/>
      <c r="AM47" s="996"/>
      <c r="AN47" s="996"/>
      <c r="AO47" s="996"/>
      <c r="AP47" s="996"/>
      <c r="AQ47" s="996"/>
      <c r="AR47" s="996"/>
      <c r="AS47" s="996"/>
      <c r="AT47" s="996"/>
      <c r="AU47" s="996"/>
      <c r="AV47" s="996"/>
      <c r="AW47" s="996"/>
      <c r="AX47" s="996"/>
      <c r="AY47" s="996"/>
      <c r="AZ47" s="996"/>
      <c r="BA47" s="996"/>
      <c r="BB47" s="996"/>
      <c r="BC47" s="996"/>
      <c r="BD47" s="996"/>
      <c r="BE47" s="996"/>
      <c r="BF47" s="996"/>
      <c r="BG47" s="996"/>
      <c r="BH47" s="996"/>
      <c r="BI47" s="996"/>
      <c r="BJ47" s="996"/>
      <c r="BK47" s="996"/>
      <c r="BL47" s="996"/>
      <c r="BM47" s="996"/>
      <c r="BN47" s="996"/>
      <c r="BO47" s="996"/>
      <c r="BP47" s="996"/>
      <c r="BQ47" s="996"/>
      <c r="BR47" s="996"/>
      <c r="BS47" s="996"/>
      <c r="BT47" s="996"/>
      <c r="BU47" s="996"/>
      <c r="BV47" s="996"/>
      <c r="BW47" s="996"/>
      <c r="BX47" s="996"/>
      <c r="BY47" s="996"/>
      <c r="BZ47" s="996"/>
      <c r="CA47" s="996"/>
      <c r="CB47" s="996"/>
      <c r="CC47" s="996"/>
      <c r="CD47" s="996"/>
      <c r="CE47" s="996"/>
      <c r="CF47" s="996"/>
      <c r="CG47" s="996"/>
      <c r="CH47" s="996"/>
      <c r="CI47" s="996"/>
    </row>
    <row r="48" spans="1:87" ht="14.5" x14ac:dyDescent="0.35">
      <c r="C48" s="946"/>
      <c r="D48" s="945"/>
      <c r="F48" s="947"/>
    </row>
    <row r="49" spans="3:7" ht="14.5" x14ac:dyDescent="0.35">
      <c r="C49" s="946"/>
      <c r="D49" s="945"/>
    </row>
    <row r="50" spans="3:7" ht="14.5" x14ac:dyDescent="0.35">
      <c r="C50" s="946"/>
      <c r="D50" s="945"/>
      <c r="G50" s="947"/>
    </row>
    <row r="51" spans="3:7" ht="14.5" x14ac:dyDescent="0.35">
      <c r="C51" s="946"/>
      <c r="D51" s="945"/>
    </row>
    <row r="52" spans="3:7" ht="14.5" x14ac:dyDescent="0.35">
      <c r="C52" s="946"/>
      <c r="D52" s="945"/>
    </row>
    <row r="53" spans="3:7" ht="14.5" x14ac:dyDescent="0.35">
      <c r="C53" s="946"/>
      <c r="D53" s="945"/>
    </row>
    <row r="54" spans="3:7" ht="14.5" x14ac:dyDescent="0.35">
      <c r="C54" s="946"/>
      <c r="D54" s="945"/>
    </row>
    <row r="55" spans="3:7" ht="14.5" x14ac:dyDescent="0.35">
      <c r="C55" s="946"/>
      <c r="D55" s="945"/>
    </row>
    <row r="56" spans="3:7" ht="14.5" x14ac:dyDescent="0.35">
      <c r="C56" s="946"/>
      <c r="D56" s="945"/>
    </row>
    <row r="57" spans="3:7" ht="14.5" x14ac:dyDescent="0.35">
      <c r="C57" s="946"/>
      <c r="D57" s="945"/>
    </row>
    <row r="58" spans="3:7" ht="14.5" x14ac:dyDescent="0.35">
      <c r="C58" s="946"/>
      <c r="D58" s="945"/>
    </row>
    <row r="59" spans="3:7" ht="14.5" x14ac:dyDescent="0.35">
      <c r="C59" s="946"/>
      <c r="D59" s="945"/>
    </row>
    <row r="60" spans="3:7" ht="14.5" x14ac:dyDescent="0.35">
      <c r="C60" s="946"/>
      <c r="D60" s="945"/>
    </row>
    <row r="61" spans="3:7" ht="14.5" x14ac:dyDescent="0.35">
      <c r="C61" s="946"/>
      <c r="D61" s="945"/>
    </row>
    <row r="62" spans="3:7" ht="14.5" x14ac:dyDescent="0.35">
      <c r="C62" s="946"/>
      <c r="D62" s="945"/>
    </row>
    <row r="63" spans="3:7" ht="14.5" x14ac:dyDescent="0.35">
      <c r="C63" s="946"/>
      <c r="D63" s="945"/>
    </row>
    <row r="64" spans="3:7" ht="14.5" x14ac:dyDescent="0.35">
      <c r="C64" s="946"/>
      <c r="D64" s="945"/>
    </row>
    <row r="65" spans="3:4" ht="14.5" x14ac:dyDescent="0.35">
      <c r="C65" s="946"/>
      <c r="D65" s="945"/>
    </row>
    <row r="66" spans="3:4" ht="14.5" x14ac:dyDescent="0.35">
      <c r="C66" s="946"/>
      <c r="D66" s="945"/>
    </row>
    <row r="67" spans="3:4" ht="14.5" x14ac:dyDescent="0.35">
      <c r="C67" s="946"/>
      <c r="D67" s="945"/>
    </row>
    <row r="68" spans="3:4" ht="14.5" x14ac:dyDescent="0.35">
      <c r="C68" s="946"/>
      <c r="D68" s="945"/>
    </row>
    <row r="69" spans="3:4" ht="14.5" x14ac:dyDescent="0.35">
      <c r="C69" s="946"/>
      <c r="D69" s="945"/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E3B1-26EC-449C-820E-398CCB3A331D}">
  <sheetPr>
    <tabColor rgb="FF0070C0"/>
  </sheetPr>
  <dimension ref="A1:Y1"/>
  <sheetViews>
    <sheetView showZeros="0" workbookViewId="0">
      <pane xSplit="4" ySplit="6" topLeftCell="E7" activePane="bottomRight" state="frozen"/>
      <selection activeCell="F110" sqref="F110"/>
      <selection pane="topRight" activeCell="F110" sqref="F110"/>
      <selection pane="bottomLeft" activeCell="F110" sqref="F110"/>
      <selection pane="bottomRight" activeCell="A2" sqref="A2:IV23"/>
    </sheetView>
  </sheetViews>
  <sheetFormatPr defaultRowHeight="12.5" x14ac:dyDescent="0.25"/>
  <cols>
    <col min="1" max="1" width="39.26953125" customWidth="1"/>
    <col min="2" max="2" width="10.1796875" customWidth="1"/>
    <col min="13" max="13" width="10.54296875" bestFit="1" customWidth="1"/>
    <col min="15" max="15" width="6.1796875" customWidth="1"/>
  </cols>
  <sheetData>
    <row r="1" spans="1:25" ht="15.5" x14ac:dyDescent="0.35">
      <c r="A1" s="1122"/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</row>
  </sheetData>
  <mergeCells count="1">
    <mergeCell ref="A1:Y1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C06F-6EDF-48B6-A393-E0DFAB2A63C8}">
  <sheetPr>
    <tabColor rgb="FF0070C0"/>
  </sheetPr>
  <dimension ref="E1:AV1"/>
  <sheetViews>
    <sheetView showZeros="0" zoomScale="60" zoomScaleNormal="60" workbookViewId="0">
      <pane xSplit="4" ySplit="5" topLeftCell="AO6" activePane="bottomRight" state="frozen"/>
      <selection activeCell="F110" sqref="F110"/>
      <selection pane="topRight" activeCell="F110" sqref="F110"/>
      <selection pane="bottomLeft" activeCell="F110" sqref="F110"/>
      <selection pane="bottomRight" activeCell="AP16" sqref="AP16"/>
    </sheetView>
  </sheetViews>
  <sheetFormatPr defaultColWidth="9.1796875" defaultRowHeight="12.5" x14ac:dyDescent="0.25"/>
  <cols>
    <col min="1" max="1" width="2.7265625" style="6" customWidth="1"/>
    <col min="2" max="2" width="34.54296875" style="6" bestFit="1" customWidth="1"/>
    <col min="3" max="3" width="11.26953125" style="6" customWidth="1"/>
    <col min="4" max="4" width="11" style="6" bestFit="1" customWidth="1"/>
    <col min="5" max="39" width="10.7265625" style="14" customWidth="1"/>
    <col min="40" max="40" width="5.7265625" style="14" customWidth="1"/>
    <col min="41" max="41" width="13.54296875" style="14" customWidth="1"/>
    <col min="42" max="48" width="10.7265625" style="14" customWidth="1"/>
    <col min="49" max="75" width="10.7265625" style="6" customWidth="1"/>
    <col min="76" max="16384" width="9.1796875" style="6"/>
  </cols>
  <sheetData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DBCF-8B03-4C2D-B182-D5001112DE15}">
  <sheetPr>
    <tabColor rgb="FF0070C0"/>
  </sheetPr>
  <dimension ref="A1"/>
  <sheetViews>
    <sheetView workbookViewId="0">
      <selection activeCell="A2" sqref="A2:IV28"/>
    </sheetView>
  </sheetViews>
  <sheetFormatPr defaultRowHeight="12.5" x14ac:dyDescent="0.25"/>
  <cols>
    <col min="2" max="2" width="58.453125" customWidth="1"/>
    <col min="3" max="37" width="10.7265625" customWidth="1"/>
  </cols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953d52-380c-40a2-8363-431c2cfb0bc0" xsi:nil="true"/>
    <lcf76f155ced4ddcb4097134ff3c332f xmlns="dbba7408-ec95-4851-bc50-df263b655ec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E9BD78952D949AD3876755849F106" ma:contentTypeVersion="11" ma:contentTypeDescription="Create a new document." ma:contentTypeScope="" ma:versionID="f314fc22e1611be171e6cb11d1846713">
  <xsd:schema xmlns:xsd="http://www.w3.org/2001/XMLSchema" xmlns:xs="http://www.w3.org/2001/XMLSchema" xmlns:p="http://schemas.microsoft.com/office/2006/metadata/properties" xmlns:ns2="dbba7408-ec95-4851-bc50-df263b655ec0" xmlns:ns3="e6953d52-380c-40a2-8363-431c2cfb0bc0" targetNamespace="http://schemas.microsoft.com/office/2006/metadata/properties" ma:root="true" ma:fieldsID="e0138b0d46b73447691eff89a3aa222a" ns2:_="" ns3:_="">
    <xsd:import namespace="dbba7408-ec95-4851-bc50-df263b655ec0"/>
    <xsd:import namespace="e6953d52-380c-40a2-8363-431c2cfb0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ba7408-ec95-4851-bc50-df263b655e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53d52-380c-40a2-8363-431c2cfb0bc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f8338e0-4cae-409d-830d-be339e60ae95}" ma:internalName="TaxCatchAll" ma:showField="CatchAllData" ma:web="e6953d52-380c-40a2-8363-431c2cfb0b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02D93D-950A-4770-B96B-194067592C00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e6953d52-380c-40a2-8363-431c2cfb0bc0"/>
    <ds:schemaRef ds:uri="dbba7408-ec95-4851-bc50-df263b655ec0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20A1A06-A6CC-40AF-A053-A44C43B3F8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ba7408-ec95-4851-bc50-df263b655ec0"/>
    <ds:schemaRef ds:uri="e6953d52-380c-40a2-8363-431c2cfb0b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F24354-C48B-4211-B6F1-39855A2B45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41</vt:i4>
      </vt:variant>
      <vt:variant>
        <vt:lpstr>Intervalos Nomeados</vt:lpstr>
      </vt:variant>
      <vt:variant>
        <vt:i4>3</vt:i4>
      </vt:variant>
    </vt:vector>
  </HeadingPairs>
  <TitlesOfParts>
    <vt:vector size="44" baseType="lpstr">
      <vt:lpstr>CAPA</vt:lpstr>
      <vt:lpstr>Lista de Abas</vt:lpstr>
      <vt:lpstr>Premissas</vt:lpstr>
      <vt:lpstr>Planejamento Global</vt:lpstr>
      <vt:lpstr>Balanço custo - receita-modelos</vt:lpstr>
      <vt:lpstr>Área Plant-Colh e Produção</vt:lpstr>
      <vt:lpstr>Resumos -&gt;</vt:lpstr>
      <vt:lpstr>Resumo-Cult.Perma.</vt:lpstr>
      <vt:lpstr>Resumo-Cult.Temp.</vt:lpstr>
      <vt:lpstr>Custo diversos Manga.Limão</vt:lpstr>
      <vt:lpstr>Custo diversos - Cult.anuais</vt:lpstr>
      <vt:lpstr>Custo diversos - Cana</vt:lpstr>
      <vt:lpstr>Custo sup vegetal-Alimentação</vt:lpstr>
      <vt:lpstr>Rentabilidade -&gt;</vt:lpstr>
      <vt:lpstr>Rentabilidade-Cult.Perma.</vt:lpstr>
      <vt:lpstr>Quant. Insumos B Prata</vt:lpstr>
      <vt:lpstr>Rentab. B Prata</vt:lpstr>
      <vt:lpstr>Resumo B Prata</vt:lpstr>
      <vt:lpstr>Quant Insumos - Manga</vt:lpstr>
      <vt:lpstr>Rentab. Manga</vt:lpstr>
      <vt:lpstr>Resumo Manga</vt:lpstr>
      <vt:lpstr>Quant Insumos - Limão</vt:lpstr>
      <vt:lpstr>Rentab. Limão</vt:lpstr>
      <vt:lpstr>Resumo Limão</vt:lpstr>
      <vt:lpstr>Rentabilidade-Cult.Temp.</vt:lpstr>
      <vt:lpstr>Quantidade -&gt;</vt:lpstr>
      <vt:lpstr>Quantidade-Cult.Perma.</vt:lpstr>
      <vt:lpstr>Quantidade-Cult.Temp.</vt:lpstr>
      <vt:lpstr>Apoio -&gt;</vt:lpstr>
      <vt:lpstr>Cálculo de Área Irrigável</vt:lpstr>
      <vt:lpstr>Critérios de Implantação</vt:lpstr>
      <vt:lpstr>Custos Diversos</vt:lpstr>
      <vt:lpstr>Demanda de água e energia</vt:lpstr>
      <vt:lpstr>Custos Insumos</vt:lpstr>
      <vt:lpstr>Preço de venda - Cult Perm.</vt:lpstr>
      <vt:lpstr>Preço de venda - Cult. Temp.</vt:lpstr>
      <vt:lpstr>Benchmarking</vt:lpstr>
      <vt:lpstr>Inflação</vt:lpstr>
      <vt:lpstr>Quant. insumos - Cana</vt:lpstr>
      <vt:lpstr>Rentab. Cana</vt:lpstr>
      <vt:lpstr>Resumo Cana</vt:lpstr>
      <vt:lpstr>Benchmarking!_ftn1</vt:lpstr>
      <vt:lpstr>Benchmarking!_ftn2</vt:lpstr>
      <vt:lpstr>CAPA!Area_de_impressao</vt:lpstr>
    </vt:vector>
  </TitlesOfParts>
  <Company>PLENA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Devloo, Natalie</cp:lastModifiedBy>
  <cp:lastPrinted>2025-07-29T17:15:11Z</cp:lastPrinted>
  <dcterms:created xsi:type="dcterms:W3CDTF">2003-01-02T17:02:22Z</dcterms:created>
  <dcterms:modified xsi:type="dcterms:W3CDTF">2026-08-17T20:12:04Z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0x010100B85E9BD78952D949AD3876755849F106</vt:lpwstr>
  </property>
  <property fmtid="{D5CDD505-2E9C-101B-9397-08002B2CF9AE}" pid="4" name="MSIP_Label_31f81cae-2cc7-434f-b11d-39789e497bf2_Enabled">
    <vt:lpwstr>true</vt:lpwstr>
  </property>
  <property fmtid="{D5CDD505-2E9C-101B-9397-08002B2CF9AE}" pid="5" name="MSIP_Label_31f81cae-2cc7-434f-b11d-39789e497bf2_SetDate">
    <vt:lpwstr>2025-12-04T12:27:33Z</vt:lpwstr>
  </property>
  <property fmtid="{D5CDD505-2E9C-101B-9397-08002B2CF9AE}" pid="6" name="MSIP_Label_31f81cae-2cc7-434f-b11d-39789e497bf2_Method">
    <vt:lpwstr>Standard</vt:lpwstr>
  </property>
  <property fmtid="{D5CDD505-2E9C-101B-9397-08002B2CF9AE}" pid="7" name="MSIP_Label_31f81cae-2cc7-434f-b11d-39789e497bf2_Name">
    <vt:lpwstr>Confidential</vt:lpwstr>
  </property>
  <property fmtid="{D5CDD505-2E9C-101B-9397-08002B2CF9AE}" pid="8" name="MSIP_Label_31f81cae-2cc7-434f-b11d-39789e497bf2_SiteId">
    <vt:lpwstr>dd5e230f-c165-49c4-957f-e203458fffab</vt:lpwstr>
  </property>
  <property fmtid="{D5CDD505-2E9C-101B-9397-08002B2CF9AE}" pid="9" name="MSIP_Label_31f81cae-2cc7-434f-b11d-39789e497bf2_ActionId">
    <vt:lpwstr>14fd1d87-ad40-44d1-8ff4-a97f55c73c93</vt:lpwstr>
  </property>
  <property fmtid="{D5CDD505-2E9C-101B-9397-08002B2CF9AE}" pid="10" name="MSIP_Label_31f81cae-2cc7-434f-b11d-39789e497bf2_ContentBits">
    <vt:lpwstr>0</vt:lpwstr>
  </property>
  <property fmtid="{D5CDD505-2E9C-101B-9397-08002B2CF9AE}" pid="11" name="MSIP_Label_31f81cae-2cc7-434f-b11d-39789e497bf2_Tag">
    <vt:lpwstr>10, 3, 0, 1</vt:lpwstr>
  </property>
</Properties>
</file>