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549-FDS-PPP\04-ProdEmElaboracao\MeioAmbiente\"/>
    </mc:Choice>
  </mc:AlternateContent>
  <xr:revisionPtr revIDLastSave="0" documentId="13_ncr:1_{4F245B07-9D8F-40C9-B922-1251E8C3FA3B}" xr6:coauthVersionLast="47" xr6:coauthVersionMax="47" xr10:uidLastSave="{00000000-0000-0000-0000-000000000000}"/>
  <bookViews>
    <workbookView xWindow="-108" yWindow="-108" windowWidth="23256" windowHeight="12456" tabRatio="710" firstSheet="1" activeTab="7" xr2:uid="{0C512EEB-A041-460A-8E1D-B408FC6A8EC5}"/>
  </bookViews>
  <sheets>
    <sheet name="CustosUnit" sheetId="1" r:id="rId1"/>
    <sheet name="CustosReflorest." sheetId="4" r:id="rId2"/>
    <sheet name="CustosEstudos" sheetId="10" r:id="rId3"/>
    <sheet name="CustosFEAM" sheetId="7" r:id="rId4"/>
    <sheet name="CustosIntervAmb" sheetId="8" r:id="rId5"/>
    <sheet name="CalcTaxas" sheetId="9" r:id="rId6"/>
    <sheet name="CalcProgramas" sheetId="2" r:id="rId7"/>
    <sheet name="CronogramaFin" sheetId="5" r:id="rId8"/>
  </sheets>
  <definedNames>
    <definedName name="_xlnm._FilterDatabase" localSheetId="5" hidden="1">CalcTaxas!$A$2:$F$2</definedName>
    <definedName name="_xlnm._FilterDatabase" localSheetId="4" hidden="1">CustosIntervAmb!$A$3:$D$18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0" i="2" l="1"/>
  <c r="F74" i="2"/>
  <c r="C17" i="8"/>
  <c r="C7" i="8"/>
  <c r="C4" i="8"/>
  <c r="H74" i="2"/>
  <c r="D12" i="8"/>
  <c r="D19" i="8"/>
  <c r="D7" i="8"/>
  <c r="D15" i="8"/>
  <c r="D4" i="8"/>
  <c r="K7" i="4"/>
  <c r="H73" i="2"/>
  <c r="I74" i="2" l="1"/>
  <c r="H70" i="2"/>
  <c r="I73" i="2"/>
  <c r="H6" i="10" l="1"/>
  <c r="O5" i="4"/>
  <c r="I68" i="2" l="1"/>
  <c r="A98" i="2" l="1"/>
  <c r="I110" i="2"/>
  <c r="I107" i="2"/>
  <c r="I93" i="2"/>
  <c r="I92" i="2"/>
  <c r="I89" i="2"/>
  <c r="I87" i="2"/>
  <c r="I80" i="2"/>
  <c r="I79" i="2"/>
  <c r="I67" i="2" l="1"/>
  <c r="I45" i="2"/>
  <c r="I44" i="2"/>
  <c r="I43" i="2"/>
  <c r="I42" i="2"/>
  <c r="E15" i="1"/>
  <c r="A42" i="2"/>
  <c r="A116" i="2" s="1"/>
  <c r="A125" i="2"/>
  <c r="A20" i="5" s="1"/>
  <c r="E31" i="2"/>
  <c r="F98" i="2" s="1"/>
  <c r="E28" i="2"/>
  <c r="I108" i="2"/>
  <c r="E6" i="2"/>
  <c r="F50" i="2" s="1"/>
  <c r="F51" i="2" s="1"/>
  <c r="I50" i="2" l="1"/>
  <c r="F46" i="2"/>
  <c r="I46" i="2" s="1"/>
  <c r="F100" i="2"/>
  <c r="F101" i="2"/>
  <c r="I101" i="2" s="1"/>
  <c r="F99" i="2"/>
  <c r="F84" i="2"/>
  <c r="F85" i="2" s="1"/>
  <c r="E7" i="2"/>
  <c r="C6" i="9"/>
  <c r="F6" i="9" s="1"/>
  <c r="C4" i="9"/>
  <c r="F4" i="9" s="1"/>
  <c r="C3" i="9"/>
  <c r="F3" i="9" s="1"/>
  <c r="F7" i="10"/>
  <c r="H7" i="10" s="1"/>
  <c r="B6" i="5" s="1"/>
  <c r="F6" i="10"/>
  <c r="F5" i="10" s="1"/>
  <c r="B7" i="5" l="1"/>
  <c r="F86" i="2"/>
  <c r="F88" i="2"/>
  <c r="I88" i="2" s="1"/>
  <c r="C5" i="9"/>
  <c r="F5" i="9" s="1"/>
  <c r="F7" i="9" s="1"/>
  <c r="B4" i="5"/>
  <c r="B3" i="5" l="1"/>
  <c r="C3" i="5" s="1"/>
  <c r="C9" i="5"/>
  <c r="C7" i="5"/>
  <c r="C6" i="5"/>
  <c r="C4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G61" i="2"/>
  <c r="G59" i="2"/>
  <c r="G57" i="2"/>
  <c r="C8" i="5"/>
  <c r="A128" i="2"/>
  <c r="C2" i="5" l="1"/>
  <c r="C5" i="5"/>
  <c r="B2" i="5"/>
  <c r="B5" i="5"/>
  <c r="A127" i="2"/>
  <c r="A22" i="5" s="1"/>
  <c r="A23" i="5"/>
  <c r="A119" i="2"/>
  <c r="A14" i="5" s="1"/>
  <c r="H59" i="2"/>
  <c r="I59" i="2" s="1"/>
  <c r="A122" i="2"/>
  <c r="A17" i="5" s="1"/>
  <c r="E37" i="2"/>
  <c r="A117" i="2"/>
  <c r="A12" i="5" s="1"/>
  <c r="E9" i="2"/>
  <c r="I60" i="2" l="1"/>
  <c r="B119" i="2" s="1"/>
  <c r="D119" i="2" s="1"/>
  <c r="B14" i="5" s="1"/>
  <c r="J14" i="5"/>
  <c r="R14" i="5"/>
  <c r="Z14" i="5"/>
  <c r="AH14" i="5"/>
  <c r="C14" i="5"/>
  <c r="K14" i="5"/>
  <c r="S14" i="5"/>
  <c r="AA14" i="5"/>
  <c r="AI14" i="5"/>
  <c r="AC14" i="5"/>
  <c r="N14" i="5"/>
  <c r="V14" i="5"/>
  <c r="AD14" i="5"/>
  <c r="G14" i="5"/>
  <c r="P14" i="5"/>
  <c r="L14" i="5"/>
  <c r="T14" i="5"/>
  <c r="AB14" i="5"/>
  <c r="AJ14" i="5"/>
  <c r="M14" i="5"/>
  <c r="U14" i="5"/>
  <c r="AK14" i="5"/>
  <c r="O14" i="5"/>
  <c r="W14" i="5"/>
  <c r="AE14" i="5"/>
  <c r="E14" i="5"/>
  <c r="H14" i="5"/>
  <c r="AF14" i="5"/>
  <c r="F14" i="5"/>
  <c r="I14" i="5"/>
  <c r="Q14" i="5"/>
  <c r="Y14" i="5"/>
  <c r="AG14" i="5"/>
  <c r="D14" i="5"/>
  <c r="X14" i="5"/>
  <c r="H61" i="2"/>
  <c r="I61" i="2" s="1"/>
  <c r="A120" i="2"/>
  <c r="A15" i="5" s="1"/>
  <c r="F63" i="2"/>
  <c r="K15" i="5" l="1"/>
  <c r="S15" i="5"/>
  <c r="AA15" i="5"/>
  <c r="AI15" i="5"/>
  <c r="D15" i="5"/>
  <c r="L15" i="5"/>
  <c r="T15" i="5"/>
  <c r="AB15" i="5"/>
  <c r="AJ15" i="5"/>
  <c r="N15" i="5"/>
  <c r="V15" i="5"/>
  <c r="G15" i="5"/>
  <c r="O15" i="5"/>
  <c r="W15" i="5"/>
  <c r="AE15" i="5"/>
  <c r="C15" i="5"/>
  <c r="H15" i="5"/>
  <c r="X15" i="5"/>
  <c r="I15" i="5"/>
  <c r="Q15" i="5"/>
  <c r="Y15" i="5"/>
  <c r="AG15" i="5"/>
  <c r="E15" i="5"/>
  <c r="M15" i="5"/>
  <c r="U15" i="5"/>
  <c r="AC15" i="5"/>
  <c r="AK15" i="5"/>
  <c r="F15" i="5"/>
  <c r="AD15" i="5"/>
  <c r="P15" i="5"/>
  <c r="AF15" i="5"/>
  <c r="J15" i="5"/>
  <c r="R15" i="5"/>
  <c r="Z15" i="5"/>
  <c r="AH15" i="5"/>
  <c r="I62" i="2" l="1"/>
  <c r="B120" i="2" s="1"/>
  <c r="D120" i="2" s="1"/>
  <c r="B15" i="5" s="1"/>
  <c r="K23" i="4"/>
  <c r="E24" i="4" l="1"/>
  <c r="Q11" i="4"/>
  <c r="Q10" i="4"/>
  <c r="Q9" i="4"/>
  <c r="Q8" i="4"/>
  <c r="O7" i="4"/>
  <c r="Q7" i="4" s="1"/>
  <c r="Q6" i="4"/>
  <c r="Q5" i="4"/>
  <c r="E13" i="4"/>
  <c r="E12" i="4"/>
  <c r="C11" i="4"/>
  <c r="E11" i="4" s="1"/>
  <c r="C10" i="4"/>
  <c r="E10" i="4" s="1"/>
  <c r="C9" i="4"/>
  <c r="E9" i="4" s="1"/>
  <c r="C8" i="4"/>
  <c r="E8" i="4" s="1"/>
  <c r="C7" i="4"/>
  <c r="E7" i="4" s="1"/>
  <c r="E6" i="4"/>
  <c r="K5" i="4"/>
  <c r="A123" i="2"/>
  <c r="A18" i="5" s="1"/>
  <c r="I52" i="2"/>
  <c r="E23" i="4" l="1"/>
  <c r="Q12" i="4"/>
  <c r="Q16" i="4" s="1"/>
  <c r="E14" i="4"/>
  <c r="H71" i="2" l="1"/>
  <c r="I71" i="2" s="1"/>
  <c r="E21" i="4"/>
  <c r="E20" i="4"/>
  <c r="E17" i="4"/>
  <c r="E18" i="4"/>
  <c r="E22" i="4"/>
  <c r="E19" i="4"/>
  <c r="E16" i="4"/>
  <c r="E34" i="2"/>
  <c r="E33" i="2"/>
  <c r="E15" i="2"/>
  <c r="E14" i="2"/>
  <c r="E13" i="2"/>
  <c r="E12" i="2"/>
  <c r="E11" i="2"/>
  <c r="A126" i="2"/>
  <c r="A21" i="5" s="1"/>
  <c r="A124" i="2"/>
  <c r="A19" i="5" s="1"/>
  <c r="A121" i="2"/>
  <c r="A16" i="5" s="1"/>
  <c r="A118" i="2"/>
  <c r="A13" i="5" s="1"/>
  <c r="A11" i="5"/>
  <c r="G90" i="2"/>
  <c r="I72" i="2"/>
  <c r="F65" i="2"/>
  <c r="F66" i="2"/>
  <c r="F64" i="2"/>
  <c r="G49" i="2"/>
  <c r="B7" i="1"/>
  <c r="B8" i="1"/>
  <c r="D8" i="1" s="1"/>
  <c r="B9" i="1"/>
  <c r="B10" i="1"/>
  <c r="H57" i="2"/>
  <c r="I57" i="2" s="1"/>
  <c r="E25" i="2"/>
  <c r="E18" i="2"/>
  <c r="E19" i="2"/>
  <c r="E20" i="2"/>
  <c r="E21" i="2"/>
  <c r="E22" i="2"/>
  <c r="E23" i="2"/>
  <c r="E24" i="2"/>
  <c r="E17" i="2"/>
  <c r="F76" i="2" s="1"/>
  <c r="F77" i="2" s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D11" i="1"/>
  <c r="C11" i="1"/>
  <c r="D10" i="1"/>
  <c r="C10" i="1"/>
  <c r="D9" i="1"/>
  <c r="C9" i="1"/>
  <c r="D5" i="1"/>
  <c r="C5" i="1"/>
  <c r="D7" i="1" l="1"/>
  <c r="B6" i="1"/>
  <c r="N13" i="5"/>
  <c r="V13" i="5"/>
  <c r="AD13" i="5"/>
  <c r="G13" i="5"/>
  <c r="U13" i="5"/>
  <c r="AC13" i="5"/>
  <c r="AK13" i="5"/>
  <c r="O13" i="5"/>
  <c r="W13" i="5"/>
  <c r="AE13" i="5"/>
  <c r="E13" i="5"/>
  <c r="Y13" i="5"/>
  <c r="J13" i="5"/>
  <c r="R13" i="5"/>
  <c r="Z13" i="5"/>
  <c r="AH13" i="5"/>
  <c r="C13" i="5"/>
  <c r="K13" i="5"/>
  <c r="AA13" i="5"/>
  <c r="H13" i="5"/>
  <c r="P13" i="5"/>
  <c r="X13" i="5"/>
  <c r="AF13" i="5"/>
  <c r="F13" i="5"/>
  <c r="I13" i="5"/>
  <c r="Q13" i="5"/>
  <c r="AG13" i="5"/>
  <c r="D13" i="5"/>
  <c r="S13" i="5"/>
  <c r="AI13" i="5"/>
  <c r="L13" i="5"/>
  <c r="T13" i="5"/>
  <c r="AB13" i="5"/>
  <c r="AJ13" i="5"/>
  <c r="M13" i="5"/>
  <c r="I111" i="2"/>
  <c r="B126" i="2" s="1"/>
  <c r="C8" i="1"/>
  <c r="E8" i="1" s="1"/>
  <c r="G95" i="1"/>
  <c r="H90" i="2" s="1"/>
  <c r="I90" i="2" s="1"/>
  <c r="E25" i="4"/>
  <c r="E26" i="4" s="1"/>
  <c r="D6" i="1"/>
  <c r="C7" i="1"/>
  <c r="G43" i="1"/>
  <c r="G21" i="1"/>
  <c r="G29" i="1"/>
  <c r="G33" i="1"/>
  <c r="G61" i="1"/>
  <c r="G65" i="1"/>
  <c r="G73" i="1"/>
  <c r="G58" i="1"/>
  <c r="G90" i="1"/>
  <c r="G16" i="1"/>
  <c r="G40" i="1"/>
  <c r="G48" i="1"/>
  <c r="G92" i="1"/>
  <c r="G96" i="1"/>
  <c r="G63" i="1"/>
  <c r="G85" i="1"/>
  <c r="G34" i="1"/>
  <c r="G38" i="1"/>
  <c r="G42" i="1"/>
  <c r="G46" i="1"/>
  <c r="G54" i="1"/>
  <c r="I82" i="2" s="1"/>
  <c r="G18" i="1"/>
  <c r="G26" i="1"/>
  <c r="G70" i="1"/>
  <c r="G74" i="1"/>
  <c r="G78" i="1"/>
  <c r="G86" i="1"/>
  <c r="G31" i="1"/>
  <c r="G75" i="1"/>
  <c r="E10" i="1"/>
  <c r="F10" i="1" s="1"/>
  <c r="G10" i="1" s="1"/>
  <c r="G60" i="1"/>
  <c r="G68" i="1"/>
  <c r="G28" i="1"/>
  <c r="G36" i="1"/>
  <c r="G39" i="1"/>
  <c r="G67" i="1"/>
  <c r="G82" i="1"/>
  <c r="G94" i="1"/>
  <c r="H49" i="2" s="1"/>
  <c r="I49" i="2" s="1"/>
  <c r="G71" i="1"/>
  <c r="G22" i="1"/>
  <c r="H100" i="2" s="1"/>
  <c r="I100" i="2" s="1"/>
  <c r="G41" i="1"/>
  <c r="G53" i="1"/>
  <c r="G72" i="1"/>
  <c r="G80" i="1"/>
  <c r="E9" i="1"/>
  <c r="F9" i="1" s="1"/>
  <c r="G30" i="1"/>
  <c r="G35" i="1"/>
  <c r="G50" i="1"/>
  <c r="G62" i="1"/>
  <c r="G66" i="1"/>
  <c r="G93" i="1"/>
  <c r="G25" i="1"/>
  <c r="G32" i="1"/>
  <c r="G57" i="1"/>
  <c r="G64" i="1"/>
  <c r="G89" i="1"/>
  <c r="G15" i="1"/>
  <c r="H98" i="2" s="1"/>
  <c r="I98" i="2" s="1"/>
  <c r="G19" i="1"/>
  <c r="G37" i="1"/>
  <c r="G44" i="1"/>
  <c r="G47" i="1"/>
  <c r="G51" i="1"/>
  <c r="G69" i="1"/>
  <c r="G76" i="1"/>
  <c r="G79" i="1"/>
  <c r="G83" i="1"/>
  <c r="H78" i="2" s="1"/>
  <c r="I78" i="2" s="1"/>
  <c r="G20" i="1"/>
  <c r="G23" i="1"/>
  <c r="G27" i="1"/>
  <c r="G45" i="1"/>
  <c r="G52" i="1"/>
  <c r="G55" i="1"/>
  <c r="G59" i="1"/>
  <c r="G77" i="1"/>
  <c r="G84" i="1"/>
  <c r="G87" i="1"/>
  <c r="G91" i="1"/>
  <c r="G17" i="1"/>
  <c r="G24" i="1"/>
  <c r="G49" i="1"/>
  <c r="G56" i="1"/>
  <c r="G81" i="1"/>
  <c r="G88" i="1"/>
  <c r="E5" i="1"/>
  <c r="F5" i="1" s="1"/>
  <c r="G5" i="1" s="1"/>
  <c r="E11" i="1"/>
  <c r="F11" i="1" s="1"/>
  <c r="H103" i="2" l="1"/>
  <c r="I103" i="2" s="1"/>
  <c r="H99" i="2"/>
  <c r="I99" i="2" s="1"/>
  <c r="I102" i="2" s="1"/>
  <c r="B125" i="2" s="1"/>
  <c r="H48" i="2"/>
  <c r="I48" i="2" s="1"/>
  <c r="E7" i="1"/>
  <c r="F7" i="1" s="1"/>
  <c r="F15" i="2"/>
  <c r="G15" i="2" s="1"/>
  <c r="F26" i="2"/>
  <c r="G26" i="2" s="1"/>
  <c r="I58" i="2"/>
  <c r="B118" i="2" s="1"/>
  <c r="D118" i="2" s="1"/>
  <c r="B13" i="5" s="1"/>
  <c r="J6" i="4"/>
  <c r="H104" i="2"/>
  <c r="I104" i="2" s="1"/>
  <c r="H53" i="2"/>
  <c r="I53" i="2" s="1"/>
  <c r="H94" i="2"/>
  <c r="I94" i="2" s="1"/>
  <c r="H55" i="2"/>
  <c r="I55" i="2" s="1"/>
  <c r="H106" i="2"/>
  <c r="I106" i="2" s="1"/>
  <c r="H96" i="2"/>
  <c r="I96" i="2" s="1"/>
  <c r="H77" i="2"/>
  <c r="I77" i="2" s="1"/>
  <c r="H84" i="2"/>
  <c r="I84" i="2" s="1"/>
  <c r="H54" i="2"/>
  <c r="I54" i="2" s="1"/>
  <c r="H105" i="2"/>
  <c r="I105" i="2" s="1"/>
  <c r="H95" i="2"/>
  <c r="I95" i="2" s="1"/>
  <c r="H91" i="2"/>
  <c r="I91" i="2" s="1"/>
  <c r="H64" i="2"/>
  <c r="I64" i="2" s="1"/>
  <c r="H51" i="2"/>
  <c r="I51" i="2" s="1"/>
  <c r="H81" i="2"/>
  <c r="I81" i="2" s="1"/>
  <c r="C6" i="1"/>
  <c r="E6" i="1" s="1"/>
  <c r="H76" i="2"/>
  <c r="I76" i="2" s="1"/>
  <c r="H86" i="2"/>
  <c r="I86" i="2" s="1"/>
  <c r="H65" i="2"/>
  <c r="I65" i="2" s="1"/>
  <c r="H63" i="2"/>
  <c r="I63" i="2" s="1"/>
  <c r="H85" i="2"/>
  <c r="I85" i="2" s="1"/>
  <c r="H47" i="2"/>
  <c r="I47" i="2" s="1"/>
  <c r="H66" i="2"/>
  <c r="I66" i="2" s="1"/>
  <c r="G9" i="1"/>
  <c r="F8" i="1"/>
  <c r="G8" i="1" s="1"/>
  <c r="F29" i="2" s="1"/>
  <c r="G29" i="2" s="1"/>
  <c r="G11" i="1"/>
  <c r="F6" i="1"/>
  <c r="G6" i="1" s="1"/>
  <c r="I69" i="2" l="1"/>
  <c r="B121" i="2" s="1"/>
  <c r="G7" i="1"/>
  <c r="F21" i="2" s="1"/>
  <c r="G21" i="2" s="1"/>
  <c r="I97" i="2"/>
  <c r="B124" i="2" s="1"/>
  <c r="I56" i="2"/>
  <c r="B116" i="2" s="1"/>
  <c r="I83" i="2"/>
  <c r="B123" i="2" s="1"/>
  <c r="I109" i="2"/>
  <c r="B127" i="2" s="1"/>
  <c r="J24" i="4"/>
  <c r="K24" i="4" s="1"/>
  <c r="K6" i="4"/>
  <c r="F37" i="2"/>
  <c r="G37" i="2" s="1"/>
  <c r="F34" i="2"/>
  <c r="G34" i="2" s="1"/>
  <c r="F33" i="2"/>
  <c r="G33" i="2" s="1"/>
  <c r="F14" i="2"/>
  <c r="G14" i="2" s="1"/>
  <c r="F36" i="2"/>
  <c r="G36" i="2" s="1"/>
  <c r="F24" i="2"/>
  <c r="G24" i="2" s="1"/>
  <c r="F18" i="2"/>
  <c r="G18" i="2" s="1"/>
  <c r="F20" i="2"/>
  <c r="G20" i="2" s="1"/>
  <c r="F22" i="2"/>
  <c r="G22" i="2" s="1"/>
  <c r="F7" i="2"/>
  <c r="G7" i="2" s="1"/>
  <c r="F25" i="2"/>
  <c r="G25" i="2" s="1"/>
  <c r="F13" i="2"/>
  <c r="G13" i="2" s="1"/>
  <c r="F5" i="2"/>
  <c r="G5" i="2" s="1"/>
  <c r="F19" i="2"/>
  <c r="G19" i="2" s="1"/>
  <c r="F28" i="2"/>
  <c r="G28" i="2" s="1"/>
  <c r="D19" i="5" s="1"/>
  <c r="F12" i="2"/>
  <c r="G12" i="2" s="1"/>
  <c r="F23" i="2"/>
  <c r="G23" i="2" s="1"/>
  <c r="F6" i="2"/>
  <c r="G6" i="2" s="1"/>
  <c r="F11" i="2"/>
  <c r="G11" i="2" s="1"/>
  <c r="F17" i="2"/>
  <c r="G17" i="2" s="1"/>
  <c r="F4" i="2"/>
  <c r="G4" i="2" s="1"/>
  <c r="K25" i="4" l="1"/>
  <c r="I70" i="2" s="1"/>
  <c r="I75" i="2" s="1"/>
  <c r="F31" i="2"/>
  <c r="G31" i="2" s="1"/>
  <c r="F9" i="2"/>
  <c r="G9" i="2" s="1"/>
  <c r="G10" i="2" s="1"/>
  <c r="C117" i="2" s="1"/>
  <c r="D117" i="2" s="1"/>
  <c r="B12" i="5" s="1"/>
  <c r="C11" i="5"/>
  <c r="F11" i="5"/>
  <c r="C19" i="5"/>
  <c r="D11" i="5"/>
  <c r="E11" i="5"/>
  <c r="G30" i="2"/>
  <c r="C124" i="2" s="1"/>
  <c r="D124" i="2" s="1"/>
  <c r="B19" i="5" s="1"/>
  <c r="H19" i="5"/>
  <c r="I19" i="5"/>
  <c r="J19" i="5"/>
  <c r="G19" i="5"/>
  <c r="E19" i="5"/>
  <c r="G11" i="5"/>
  <c r="J11" i="5"/>
  <c r="I11" i="5"/>
  <c r="H11" i="5"/>
  <c r="F19" i="5"/>
  <c r="AI11" i="5"/>
  <c r="AA11" i="5"/>
  <c r="Q11" i="5"/>
  <c r="AG11" i="5"/>
  <c r="AJ11" i="5"/>
  <c r="AH11" i="5"/>
  <c r="Z11" i="5"/>
  <c r="Y11" i="5"/>
  <c r="AB11" i="5"/>
  <c r="T11" i="5"/>
  <c r="K11" i="5"/>
  <c r="X11" i="5"/>
  <c r="W11" i="5"/>
  <c r="V11" i="5"/>
  <c r="L11" i="5"/>
  <c r="AF11" i="5"/>
  <c r="AE11" i="5"/>
  <c r="AD11" i="5"/>
  <c r="S11" i="5"/>
  <c r="R11" i="5"/>
  <c r="P11" i="5"/>
  <c r="O11" i="5"/>
  <c r="AC11" i="5"/>
  <c r="U11" i="5"/>
  <c r="AK11" i="5"/>
  <c r="AK10" i="5" s="1"/>
  <c r="M11" i="5"/>
  <c r="N11" i="5"/>
  <c r="C22" i="5"/>
  <c r="F22" i="5"/>
  <c r="G8" i="2"/>
  <c r="C116" i="2" s="1"/>
  <c r="I22" i="5"/>
  <c r="Q22" i="5"/>
  <c r="J22" i="5"/>
  <c r="R22" i="5"/>
  <c r="L22" i="5"/>
  <c r="U22" i="5"/>
  <c r="N22" i="5"/>
  <c r="V22" i="5"/>
  <c r="O22" i="5"/>
  <c r="G22" i="5"/>
  <c r="K22" i="5"/>
  <c r="S22" i="5"/>
  <c r="T22" i="5"/>
  <c r="M22" i="5"/>
  <c r="H22" i="5"/>
  <c r="P22" i="5"/>
  <c r="D22" i="5"/>
  <c r="E22" i="5"/>
  <c r="G16" i="2"/>
  <c r="C121" i="2" s="1"/>
  <c r="G27" i="2"/>
  <c r="C123" i="2" s="1"/>
  <c r="D123" i="2" s="1"/>
  <c r="B18" i="5" s="1"/>
  <c r="G38" i="2"/>
  <c r="C127" i="2" s="1"/>
  <c r="D127" i="2" s="1"/>
  <c r="B22" i="5" s="1"/>
  <c r="G35" i="2"/>
  <c r="C128" i="2" s="1"/>
  <c r="D128" i="2" s="1"/>
  <c r="B23" i="5" s="1"/>
  <c r="D126" i="2"/>
  <c r="B21" i="5" s="1"/>
  <c r="F17" i="5" l="1"/>
  <c r="D17" i="5"/>
  <c r="E17" i="5"/>
  <c r="B122" i="2"/>
  <c r="D122" i="2" s="1"/>
  <c r="B17" i="5" s="1"/>
  <c r="C17" i="5"/>
  <c r="L17" i="5"/>
  <c r="L10" i="5" s="1"/>
  <c r="J17" i="5"/>
  <c r="J10" i="5" s="1"/>
  <c r="K17" i="5"/>
  <c r="K10" i="5" s="1"/>
  <c r="O17" i="5"/>
  <c r="O10" i="5" s="1"/>
  <c r="P17" i="5"/>
  <c r="P10" i="5" s="1"/>
  <c r="N17" i="5"/>
  <c r="N10" i="5" s="1"/>
  <c r="U17" i="5"/>
  <c r="U10" i="5" s="1"/>
  <c r="H17" i="5"/>
  <c r="H10" i="5" s="1"/>
  <c r="S17" i="5"/>
  <c r="S10" i="5" s="1"/>
  <c r="T17" i="5"/>
  <c r="T10" i="5" s="1"/>
  <c r="M17" i="5"/>
  <c r="M10" i="5" s="1"/>
  <c r="Q17" i="5"/>
  <c r="Q10" i="5" s="1"/>
  <c r="G17" i="5"/>
  <c r="G10" i="5" s="1"/>
  <c r="I17" i="5"/>
  <c r="I10" i="5" s="1"/>
  <c r="V17" i="5"/>
  <c r="V10" i="5" s="1"/>
  <c r="R17" i="5"/>
  <c r="R10" i="5" s="1"/>
  <c r="C12" i="5"/>
  <c r="D12" i="5"/>
  <c r="E12" i="5"/>
  <c r="F12" i="5"/>
  <c r="G32" i="2"/>
  <c r="C125" i="2" s="1"/>
  <c r="D125" i="2" s="1"/>
  <c r="B20" i="5" s="1"/>
  <c r="D20" i="5"/>
  <c r="F20" i="5"/>
  <c r="C20" i="5"/>
  <c r="E20" i="5"/>
  <c r="Z10" i="5"/>
  <c r="AH10" i="5"/>
  <c r="AB10" i="5"/>
  <c r="AJ10" i="5"/>
  <c r="AC10" i="5"/>
  <c r="AA10" i="5"/>
  <c r="AI10" i="5"/>
  <c r="Y10" i="5"/>
  <c r="AD10" i="5"/>
  <c r="W10" i="5"/>
  <c r="AE10" i="5"/>
  <c r="X10" i="5"/>
  <c r="AF10" i="5"/>
  <c r="AG10" i="5"/>
  <c r="D116" i="2"/>
  <c r="B11" i="5" s="1"/>
  <c r="E21" i="5"/>
  <c r="F21" i="5"/>
  <c r="C21" i="5"/>
  <c r="D21" i="5"/>
  <c r="D23" i="5"/>
  <c r="F23" i="5"/>
  <c r="C23" i="5"/>
  <c r="E23" i="5"/>
  <c r="E18" i="5"/>
  <c r="F18" i="5"/>
  <c r="D18" i="5"/>
  <c r="C18" i="5"/>
  <c r="D121" i="2"/>
  <c r="C129" i="2"/>
  <c r="B129" i="2" l="1"/>
  <c r="D129" i="2"/>
  <c r="B16" i="5"/>
  <c r="B10" i="5" s="1"/>
  <c r="B24" i="5" s="1"/>
  <c r="D16" i="5" l="1"/>
  <c r="D10" i="5" s="1"/>
  <c r="F16" i="5"/>
  <c r="F10" i="5" s="1"/>
  <c r="E16" i="5"/>
  <c r="E10" i="5" s="1"/>
  <c r="C16" i="5"/>
  <c r="C10" i="5" s="1"/>
  <c r="C24" i="5" s="1"/>
  <c r="D24" i="5" l="1"/>
  <c r="E24" i="5" s="1"/>
  <c r="F24" i="5" s="1"/>
  <c r="G24" i="5" s="1"/>
  <c r="H24" i="5" s="1"/>
  <c r="I24" i="5" l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AI24" i="5" s="1"/>
  <c r="AJ24" i="5" s="1"/>
  <c r="AK24" i="5" s="1"/>
</calcChain>
</file>

<file path=xl/sharedStrings.xml><?xml version="1.0" encoding="utf-8"?>
<sst xmlns="http://schemas.openxmlformats.org/spreadsheetml/2006/main" count="688" uniqueCount="354">
  <si>
    <t>Mão de Obra</t>
  </si>
  <si>
    <t>Veículos</t>
  </si>
  <si>
    <t>Item</t>
  </si>
  <si>
    <t>Código</t>
  </si>
  <si>
    <t>Salário</t>
  </si>
  <si>
    <t>Encargos Sociais</t>
  </si>
  <si>
    <t>Custo Administrativo</t>
  </si>
  <si>
    <t>Remuneração da empresa</t>
  </si>
  <si>
    <t>Despesas fiscais</t>
  </si>
  <si>
    <t>Custo com encargos</t>
  </si>
  <si>
    <t>P0</t>
  </si>
  <si>
    <t>P1</t>
  </si>
  <si>
    <t>P2</t>
  </si>
  <si>
    <t>P3</t>
  </si>
  <si>
    <t>T1</t>
  </si>
  <si>
    <t>T2</t>
  </si>
  <si>
    <t>T3</t>
  </si>
  <si>
    <t>Descrição</t>
  </si>
  <si>
    <t>Unidade</t>
  </si>
  <si>
    <t>Custo</t>
  </si>
  <si>
    <t>Remuneração da Empresa</t>
  </si>
  <si>
    <t>Despesas Fiscais</t>
  </si>
  <si>
    <t>Custo com Encargos</t>
  </si>
  <si>
    <t>Veículos (aluguel e combustível)</t>
  </si>
  <si>
    <t>Sedan - 71 a 115cv</t>
  </si>
  <si>
    <t>mês</t>
  </si>
  <si>
    <t>Caminhonete - 140 a 165cv</t>
  </si>
  <si>
    <t>Van - 120 a 140 cv</t>
  </si>
  <si>
    <t>Equipamentos e laboratório
GERAL</t>
  </si>
  <si>
    <t>GPS</t>
  </si>
  <si>
    <t>Análise de parâmetros de qualidade da Água e Limnologia</t>
  </si>
  <si>
    <t>unidade</t>
  </si>
  <si>
    <t>Computador portátil</t>
  </si>
  <si>
    <t>Impressora</t>
  </si>
  <si>
    <t xml:space="preserve">Câmera fotográfica </t>
  </si>
  <si>
    <t>Data show</t>
  </si>
  <si>
    <t xml:space="preserve">TV </t>
  </si>
  <si>
    <t>Aquisição de equipamentos e materiais especializados - Meio Biótico</t>
  </si>
  <si>
    <t>verba</t>
  </si>
  <si>
    <t>Equipamentos e laboratório
HERPETOFAUNA</t>
  </si>
  <si>
    <t>Balde plástico 20L</t>
  </si>
  <si>
    <t>Lona plástica 50cm de altura</t>
  </si>
  <si>
    <t>Pote plástico 500ml</t>
  </si>
  <si>
    <t>Algodão para limpeza</t>
  </si>
  <si>
    <t>Saco de contenção</t>
  </si>
  <si>
    <t>Dardos anestésicos</t>
  </si>
  <si>
    <t>Medicamento anestésico Cetamina</t>
  </si>
  <si>
    <t>Lanterna tática</t>
  </si>
  <si>
    <t>Caixa plástica de utensílios</t>
  </si>
  <si>
    <t>Caixa térmica 32litros</t>
  </si>
  <si>
    <t xml:space="preserve">Laço cambão </t>
  </si>
  <si>
    <t>Par de luvas de raspa</t>
  </si>
  <si>
    <t>par</t>
  </si>
  <si>
    <t>Equipamentos e laboratório
AVIFAUNA</t>
  </si>
  <si>
    <t>Redes de neblina</t>
  </si>
  <si>
    <t>Gravador de áudio ambiente</t>
  </si>
  <si>
    <t>Equipamentos e laboratório
MASTOFAUNA</t>
  </si>
  <si>
    <t>Régua metálica graduada</t>
  </si>
  <si>
    <t>Paquímetro digital</t>
  </si>
  <si>
    <t>Fita métrica flexível</t>
  </si>
  <si>
    <t>Balança digital</t>
  </si>
  <si>
    <t>Álcool absoluto</t>
  </si>
  <si>
    <t>Armadilha fotográfica (camtrap) tipo Bushnell</t>
  </si>
  <si>
    <t>Armadilha tipo Sherman</t>
  </si>
  <si>
    <t>Armadilha tipo Tomahawk</t>
  </si>
  <si>
    <t>Caixa de areia 50x50cm</t>
  </si>
  <si>
    <t>Equipamentos e laboratório
ENTOMOFAUNA TERRESTRE</t>
  </si>
  <si>
    <t>Pinças entomológicas</t>
  </si>
  <si>
    <t>Rede entomológica (puçá)</t>
  </si>
  <si>
    <t>Alfinete entomológico</t>
  </si>
  <si>
    <t>Caixa entomológica</t>
  </si>
  <si>
    <t>Bloco entomológico para alfinetação</t>
  </si>
  <si>
    <t>Esticador Fixo de insetos</t>
  </si>
  <si>
    <t>Equipamentos e laboratório
ENTOMOFAUNA AQUÁTICA</t>
  </si>
  <si>
    <t>Peneira coadora grossa</t>
  </si>
  <si>
    <t>Peneira para Bentos, malha de 500 micra</t>
  </si>
  <si>
    <t>Draga de Van-Veen</t>
  </si>
  <si>
    <t>Amostrador Surber</t>
  </si>
  <si>
    <t>Peneira granulométrica abertura 0,25mm</t>
  </si>
  <si>
    <t>Peneira granulométrica abertura 0,5mm</t>
  </si>
  <si>
    <t>Peneira granulométrica abertura 1mm</t>
  </si>
  <si>
    <t>Bandejas plásticas</t>
  </si>
  <si>
    <t>Coletor universal</t>
  </si>
  <si>
    <t>microscópio estereoscópico</t>
  </si>
  <si>
    <t>Sonda multiparâmetro</t>
  </si>
  <si>
    <t>Equipamentos e laboratório
ICTIOFAUNA</t>
  </si>
  <si>
    <t>Puça para peixes</t>
  </si>
  <si>
    <t>Armadilha tipo Covo</t>
  </si>
  <si>
    <t>Rede de ictioplâncton 300micrômetros</t>
  </si>
  <si>
    <t>Solução formol</t>
  </si>
  <si>
    <t>Carbonato de cálcio</t>
  </si>
  <si>
    <t>Barco com motor de popa</t>
  </si>
  <si>
    <t>Rede de arrasto 20x1,5m, malha 5mm</t>
  </si>
  <si>
    <t>Tarrafa malha 12mm</t>
  </si>
  <si>
    <t>Tarrafa malha 30mm</t>
  </si>
  <si>
    <t>Tarrafa malha 70mm</t>
  </si>
  <si>
    <t>Peneira granulométrica abertura 5mm</t>
  </si>
  <si>
    <t xml:space="preserve">Medicamento anestésico para peixes </t>
  </si>
  <si>
    <t>Tubos criogênicos plásticos</t>
  </si>
  <si>
    <t>IMÓVEIS</t>
  </si>
  <si>
    <t>Escritório</t>
  </si>
  <si>
    <t>Casa para engenheiro</t>
  </si>
  <si>
    <t>Alojamento para pessoal</t>
  </si>
  <si>
    <t>Despesas de manutenção</t>
  </si>
  <si>
    <t>Conteiner equipado para Centro de Triagem Móvel, c/ Ar Condicionado</t>
  </si>
  <si>
    <t>MOBILIÁRIO</t>
  </si>
  <si>
    <t>Mobiliário de escritório</t>
  </si>
  <si>
    <t>Mobiliário de alojamento para pessoal</t>
  </si>
  <si>
    <t>Armário para CTM</t>
  </si>
  <si>
    <t>Bancada aço inox</t>
  </si>
  <si>
    <t>Estante em aço inox</t>
  </si>
  <si>
    <t>Mesa escritório</t>
  </si>
  <si>
    <t>Cadeira escritório</t>
  </si>
  <si>
    <t>Diárias</t>
  </si>
  <si>
    <t>Diárias deslocamentos para Brasília</t>
  </si>
  <si>
    <t>dia</t>
  </si>
  <si>
    <t>Diárias deslocamentos para Fortaleza e Recife</t>
  </si>
  <si>
    <t>Diárias demais deslocamentos</t>
  </si>
  <si>
    <t>Serviços gráficos</t>
  </si>
  <si>
    <t>Impressões diversas (relatórios, etc.)</t>
  </si>
  <si>
    <t>páginas</t>
  </si>
  <si>
    <t xml:space="preserve">Impressão de material informativo </t>
  </si>
  <si>
    <t>Gastos com eventos</t>
  </si>
  <si>
    <t>Programa</t>
  </si>
  <si>
    <t>Categoria Profissional</t>
  </si>
  <si>
    <t>Qnt.</t>
  </si>
  <si>
    <t>Mês</t>
  </si>
  <si>
    <t>Valores Unitários</t>
  </si>
  <si>
    <t xml:space="preserve">Custo  Final </t>
  </si>
  <si>
    <t>Subtotal:</t>
  </si>
  <si>
    <t>Técnico Ambiental</t>
  </si>
  <si>
    <t>Biólogo (Herpetofauna)</t>
  </si>
  <si>
    <t>Auxiliar de campo (Herpetofauna)</t>
  </si>
  <si>
    <t>Biólogo (Avifauna)</t>
  </si>
  <si>
    <t xml:space="preserve">Auxiliar de campo (Avifauna) </t>
  </si>
  <si>
    <t>Biólogo (Mastofauna)</t>
  </si>
  <si>
    <t>Auxiliar de campo (Mastofauna)</t>
  </si>
  <si>
    <t>Categoria</t>
  </si>
  <si>
    <t>Discriminação</t>
  </si>
  <si>
    <t>Qtde</t>
  </si>
  <si>
    <t>Ocorrências</t>
  </si>
  <si>
    <t>Valor Unitário</t>
  </si>
  <si>
    <t xml:space="preserve">Preço Final </t>
  </si>
  <si>
    <t>Consultoria</t>
  </si>
  <si>
    <t>Equipamentos</t>
  </si>
  <si>
    <t>Equipe</t>
  </si>
  <si>
    <t>Materiais e Serviços</t>
  </si>
  <si>
    <t>Total por Programa</t>
  </si>
  <si>
    <t>TOTAL :</t>
  </si>
  <si>
    <t>Programa de Monitoramento e Controle de Processos Erosivos</t>
  </si>
  <si>
    <t>Viveiro de mudas</t>
  </si>
  <si>
    <t>Programa de Educação Ambiental</t>
  </si>
  <si>
    <t>Sociólogo</t>
  </si>
  <si>
    <t>Eng. Ambiental</t>
  </si>
  <si>
    <t>Biólogo Generalista</t>
  </si>
  <si>
    <t xml:space="preserve">Biólogo especialista em flora (coleta de germoplasma) </t>
  </si>
  <si>
    <t xml:space="preserve">Biólogo especialista em fauna (resgate e afugentamento da fauna) </t>
  </si>
  <si>
    <t>Eng. Florestal</t>
  </si>
  <si>
    <t xml:space="preserve">Técnico de nível médio </t>
  </si>
  <si>
    <t>Comunicador Local (Campo)</t>
  </si>
  <si>
    <t>Auxiliar de campo (Quirópteros)</t>
  </si>
  <si>
    <t>Biólogo (Quirópteros)</t>
  </si>
  <si>
    <t>Médico veterinário</t>
  </si>
  <si>
    <t>Auxiliar de campo</t>
  </si>
  <si>
    <t>Programa de Monitoramento da Fauna</t>
  </si>
  <si>
    <t>Programa de Gestão Ambiental do Empreendimento</t>
  </si>
  <si>
    <t>Resumo quantitativo de mão de obra para os programas</t>
  </si>
  <si>
    <t>Resumo quantitativo de materiais e serviços para os programas</t>
  </si>
  <si>
    <t>Aluguel</t>
  </si>
  <si>
    <t>Aquisição</t>
  </si>
  <si>
    <t>global</t>
  </si>
  <si>
    <t>Coleta e análises laboratoriais</t>
  </si>
  <si>
    <t>POA 2025 DIJ</t>
  </si>
  <si>
    <t>VANT</t>
  </si>
  <si>
    <t>Celular</t>
  </si>
  <si>
    <t>Reflorestamento</t>
  </si>
  <si>
    <t>ha</t>
  </si>
  <si>
    <t>0,5% total do CAPEX</t>
  </si>
  <si>
    <t>Peças gráficas</t>
  </si>
  <si>
    <t>cotação internet</t>
  </si>
  <si>
    <t>Diagramação</t>
  </si>
  <si>
    <t>CRAS</t>
  </si>
  <si>
    <t>estimado</t>
  </si>
  <si>
    <t>Reforma</t>
  </si>
  <si>
    <t>Despesas de comunicação</t>
  </si>
  <si>
    <t>Materiais diversos</t>
  </si>
  <si>
    <t>Geólogo</t>
  </si>
  <si>
    <t>Programa de Comabte a Incêndios</t>
  </si>
  <si>
    <t>Especialista em prevenção de incêndios</t>
  </si>
  <si>
    <t>Engenheiro de Segurança do Trabalho</t>
  </si>
  <si>
    <t>Cozinheira e faxineira</t>
  </si>
  <si>
    <t>Mobiliário escritório</t>
  </si>
  <si>
    <t>Equipamentos (Sociólogo)</t>
  </si>
  <si>
    <t>Equipamentos (Eng. Segurança)</t>
  </si>
  <si>
    <t>Equipamentos (Supervisor)</t>
  </si>
  <si>
    <t>Especificação</t>
  </si>
  <si>
    <t>quantidade</t>
  </si>
  <si>
    <t>preço unitario</t>
  </si>
  <si>
    <t>Total</t>
  </si>
  <si>
    <t>1-projeto de jardinagem</t>
  </si>
  <si>
    <t>vb</t>
  </si>
  <si>
    <t>1-insumos</t>
  </si>
  <si>
    <t xml:space="preserve">2-revegetaçao </t>
  </si>
  <si>
    <t>mudas</t>
  </si>
  <si>
    <t>n.o</t>
  </si>
  <si>
    <t>cloreto de potassio</t>
  </si>
  <si>
    <t>kg</t>
  </si>
  <si>
    <t>calcario</t>
  </si>
  <si>
    <t>esterco bovino curtido</t>
  </si>
  <si>
    <t>m3</t>
  </si>
  <si>
    <t>super simples</t>
  </si>
  <si>
    <t>formicida granulado</t>
  </si>
  <si>
    <t>agua</t>
  </si>
  <si>
    <t>tranporte pessoal/insumos</t>
  </si>
  <si>
    <t>esticador</t>
  </si>
  <si>
    <t>estacas/poste</t>
  </si>
  <si>
    <t>sub-total insumos</t>
  </si>
  <si>
    <t>balancins</t>
  </si>
  <si>
    <t>2-mao de obra</t>
  </si>
  <si>
    <t>locaçao</t>
  </si>
  <si>
    <t>dh</t>
  </si>
  <si>
    <t>marcaçao de covas</t>
  </si>
  <si>
    <t>perfuraçao</t>
  </si>
  <si>
    <t>abertura de covas</t>
  </si>
  <si>
    <t>cercante</t>
  </si>
  <si>
    <t>adubaçao de covas</t>
  </si>
  <si>
    <t>ajudante</t>
  </si>
  <si>
    <t>plantio</t>
  </si>
  <si>
    <t>coroamento</t>
  </si>
  <si>
    <t>combate a formigas</t>
  </si>
  <si>
    <t>irrigaçao</t>
  </si>
  <si>
    <t>supervisao tecnica</t>
  </si>
  <si>
    <t>hh</t>
  </si>
  <si>
    <t>sub-total mao de obra</t>
  </si>
  <si>
    <t>TOTAL GERAL</t>
  </si>
  <si>
    <t>1- preço de mudas de tamanho entre 60 e 80 cm,colocadas no local.</t>
  </si>
  <si>
    <t>2-custo da agua levado em pipa e aplicada manualmente  a base de 15 litros por cova ano</t>
  </si>
  <si>
    <t>3-custo instalaçao de cerca inclui locação,perfuraçao,cercante e ajudante</t>
  </si>
  <si>
    <t>4- custo mao de obra inclui salario minimo,encargos sociais e trabalhista de 72%</t>
  </si>
  <si>
    <t>5- supervisao tecnica inclui custo de profissional nivel superior de R$3200,00,</t>
  </si>
  <si>
    <t xml:space="preserve">     encargos sociais e trabalhista de 72% e jornada de 160 horas mensais  e veiculo para deslocamento.</t>
  </si>
  <si>
    <t>Cercamento da RL</t>
  </si>
  <si>
    <t>km</t>
  </si>
  <si>
    <t>Licenças / Autorizações</t>
  </si>
  <si>
    <t>Taxas para obtenção de Licenças Ambientais</t>
  </si>
  <si>
    <t>Estudos e Ações</t>
  </si>
  <si>
    <t>EIA/RIMA</t>
  </si>
  <si>
    <t>Elaboração do PCA</t>
  </si>
  <si>
    <t>Programas Ambientais</t>
  </si>
  <si>
    <t>Ajudante de serviços gerais (CRAS)</t>
  </si>
  <si>
    <t>Supervisor de Focos de Incêndio</t>
  </si>
  <si>
    <t>Programa de Monitoramento da Qualidade das Águas Superficiais</t>
  </si>
  <si>
    <t>Programa de Monitoramento dos Solos</t>
  </si>
  <si>
    <t>Programa de Supressão de Vegetação e Manejo da Flora</t>
  </si>
  <si>
    <t>Programa de Monitoramento da Qualidade das Águas Subterrâneas</t>
  </si>
  <si>
    <t>Admitido mesmo das águas superficiais</t>
  </si>
  <si>
    <t>Programa de Afugentamento, Monitoramento e Conservação da Fauna</t>
  </si>
  <si>
    <t>Programa de Apoio às Prefeituras da AII</t>
  </si>
  <si>
    <t>Programa de Combate a Incêndios Florestais nas Áreas de Reserva Legal</t>
  </si>
  <si>
    <t>Total Acumulado</t>
  </si>
  <si>
    <t>Arrendamento incluindo cuidados (rega etc)</t>
  </si>
  <si>
    <t>Programa de Recuperação de Áreas Degradadas</t>
  </si>
  <si>
    <r>
      <rPr>
        <b/>
        <u/>
        <sz val="7.5"/>
        <rFont val="Arial"/>
        <family val="2"/>
      </rPr>
      <t>ATIVIDADES AGROSSILVIPASTORIS (Listagem G)</t>
    </r>
  </si>
  <si>
    <t>-</t>
  </si>
  <si>
    <t>CUSTOS TABELADOS PARA PROCESSOS DE AUTORIZAÇÃO DE INTERVENÇÃO AMBIENTAL</t>
  </si>
  <si>
    <t>Custo (Ufemgs)</t>
  </si>
  <si>
    <t>Area (ha)</t>
  </si>
  <si>
    <t>Custo (R$)</t>
  </si>
  <si>
    <t>Supressão de cobertura vegetal nativa, com ou sem destoca, para uso alternativo do solo.</t>
  </si>
  <si>
    <t>124 Ufemg + 1 Ufemg por hectare</t>
  </si>
  <si>
    <t>Intervenção   com   supressão   de   cobertura   vegetal   nativa   em   áreas   de preservação permanente - APP.</t>
  </si>
  <si>
    <t>Destoca em área remanescente de supressão de vegetação nativa.</t>
  </si>
  <si>
    <t>Corte ou aproveitamento de árvores isoladas nativas vivas.</t>
  </si>
  <si>
    <t>Análise e vistoria de Plano de Manejo sustentável da vegetação nativa.</t>
  </si>
  <si>
    <t>124 Ufemg + 1 Ufemg por hectare ou fração</t>
  </si>
  <si>
    <t>Intervenção  em  Área  de  Preservação  Permanente  -  APP  sem  supressão  de cobertura vegetal nativa.</t>
  </si>
  <si>
    <t>124 Ufemg + 30 Ufemg por hectare ou fração</t>
  </si>
  <si>
    <t>Supressão de maciço florestal de origem plantada com presença de sub-bosque nativo com rendimento lenhoso.</t>
  </si>
  <si>
    <t>Supressão de maciço florestal de origem plantada localizado em APP.</t>
  </si>
  <si>
    <t>Aproveitamento de material lenhoso.</t>
  </si>
  <si>
    <t>124 Ufemg + 1 Ufemg por metro cúbico</t>
  </si>
  <si>
    <t>Análise de Cadastro Ambiental Rural com vistoria e, imóveis com área acima de 4 módulos fiscais.</t>
  </si>
  <si>
    <t>Análise de processo de regularização de reserva legal através da compensação em unidades de conservação estaduais de domínio público.</t>
  </si>
  <si>
    <t>Análise de processo de reserva legal para fins de averbação opcional ou alteração de localização.</t>
  </si>
  <si>
    <t>Prorrogação de prazo de validade do DAIA.</t>
  </si>
  <si>
    <t>Análise de projetos técnicos de reconstituição da flora para imóveis com área acima de 4 módulos fiscais.</t>
  </si>
  <si>
    <t>Análise de projetos de recuperação de área alterada ou degradada para imóveis com área acima de 4 módulos fiscais.</t>
  </si>
  <si>
    <t>Licenciamento</t>
  </si>
  <si>
    <t>Taxas ao órgão Estadual</t>
  </si>
  <si>
    <t>Custo unitário (R$)</t>
  </si>
  <si>
    <t>Quant.</t>
  </si>
  <si>
    <t>Custo Total (R$)</t>
  </si>
  <si>
    <t>un.</t>
  </si>
  <si>
    <t>LAC 2, Classe 4 (I)</t>
  </si>
  <si>
    <t>LP+LI</t>
  </si>
  <si>
    <t>LO</t>
  </si>
  <si>
    <t>Análise EIA/RIMA</t>
  </si>
  <si>
    <t>Classe 4</t>
  </si>
  <si>
    <t>BARRAGEM II - CANAIS - PERÌMETRO</t>
  </si>
  <si>
    <t>2.1</t>
  </si>
  <si>
    <t>ETAPA LI + LP (obtenção) e LO (obtenção)</t>
  </si>
  <si>
    <t>2.1.1</t>
  </si>
  <si>
    <t>ESTUDOS AMBIENTAIS</t>
  </si>
  <si>
    <t>2.1.1.1</t>
  </si>
  <si>
    <t>Elaboração de Relatório /Estudo Diagnóstico, Prognóstico e Impactos</t>
  </si>
  <si>
    <t>gl</t>
  </si>
  <si>
    <t>Edital de Concorrência Pública 006/2012 - Ruralminas e Ajustes anuais da Coluna 39 - FGV</t>
  </si>
  <si>
    <t>2.1.1.1.1</t>
  </si>
  <si>
    <t xml:space="preserve">Inventário Florestal - Projeto de Intervenção Ambiental </t>
  </si>
  <si>
    <t>Programa de Desapropriação e Reassentamento da População</t>
  </si>
  <si>
    <t>Celular (Sociólogo)</t>
  </si>
  <si>
    <t>Celular (Eng. Segurança)</t>
  </si>
  <si>
    <t>Supressão</t>
  </si>
  <si>
    <t>Na área da infra comum</t>
  </si>
  <si>
    <t>Ref.: Concessão administrativa para apoio à prestação dos serviços públicos de adução de água bruta do Projeto de Integração do Rio São Francisco com Bacias Hidrográficas do Nordeste Setentrional (PISF). 2025. Disponível em: &lt;https://www.gov.br/mdr/consulta-publica-do-contrato-de-concessao-do-pisf.&gt;</t>
  </si>
  <si>
    <t>Custos referentes a serviços e recursos materiais (Data base: Out/2024)</t>
  </si>
  <si>
    <t>Custo de mão de obra (Data base: Out/25)</t>
  </si>
  <si>
    <t>JAÍBA</t>
  </si>
  <si>
    <t>Estimativa de custo de revegetaçao area descoberta-investimento (R$/ha)</t>
  </si>
  <si>
    <t>Observações</t>
  </si>
  <si>
    <t>TOTAL</t>
  </si>
  <si>
    <t>Estimativa de custo de const. de cerca (R$/km)</t>
  </si>
  <si>
    <t>Ref.: Concessão do Projeto Hidroagrícola Jequitaí. 2022. Disponível em: &lt;https://www.gov.br/mdr/pt-br/noticias/consulta-publica-sobre-concessao-do-projeto-hidroagricola-jequitai-esta-aberta-ate-15-de-junho&gt;.</t>
  </si>
  <si>
    <t>CUSTOS TABELADOS PARA OS PROCESSOS DE REGULARIZAÇÃO AMBIENTAL (R$)</t>
  </si>
  <si>
    <t>VALOR DA UFEMG =</t>
  </si>
  <si>
    <t>ANO</t>
  </si>
  <si>
    <t>3 - LICENCIAMENTO AMBIENTAL CONCOMITANTE - LAC (R$)</t>
  </si>
  <si>
    <t>MODALIDADE</t>
  </si>
  <si>
    <t>FASE</t>
  </si>
  <si>
    <t>CLASSE</t>
  </si>
  <si>
    <t>LAC 2</t>
  </si>
  <si>
    <t>LP</t>
  </si>
  <si>
    <t>LI+LO</t>
  </si>
  <si>
    <t>ANÁLISE EIA/RIMA (R$)</t>
  </si>
  <si>
    <t>SISEMA</t>
  </si>
  <si>
    <t>cotação</t>
  </si>
  <si>
    <t xml:space="preserve">cotação </t>
  </si>
  <si>
    <t xml:space="preserve">estimado </t>
  </si>
  <si>
    <t>Produto 2</t>
  </si>
  <si>
    <t>Programa de Compensação Ambiental</t>
  </si>
  <si>
    <t>Aquisição de terras</t>
  </si>
  <si>
    <t>Reserva Legal proposta</t>
  </si>
  <si>
    <t>Ref.: CODEVASF. Programa de Revitalização da Bacia Hidrográfica do Rio São Francisco. Plano Quinquenal de Conformidade Ambiental - Perímetro Irrigado Jaíba (2005/2009). Outubro/2005.</t>
  </si>
  <si>
    <t>Programa de Supressão Vegetal</t>
  </si>
  <si>
    <t>R$ 578,99 – por árvore a ser suprimida</t>
  </si>
  <si>
    <t>Estudos de Critério Locacional (Estudos Espeleológicos)</t>
  </si>
  <si>
    <t>Processo de Autorização de Intervenção Ambiental</t>
  </si>
  <si>
    <t>Corte de ipê</t>
  </si>
  <si>
    <t>UFEMG 2026</t>
  </si>
  <si>
    <t>Ref.: https://feam.br/documents/d/feam/site-custos_tabelados_de_ra_g_2026-pdf</t>
  </si>
  <si>
    <t>Ref.:https://feam.br/documents/d/feam/site-custos_de_analise_dos_processos_de_ia-2026-pdf</t>
  </si>
  <si>
    <t>OBS</t>
  </si>
  <si>
    <t>Compensação ambiental do SNUC (Lei 9.985/2000)</t>
  </si>
  <si>
    <t>Áreas de RL fora do perímetro + Compensação ambiental por supreesão de vegetação (Lei 11.428/2006 e Decreto Estadual 47.749/2019)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</si>
</sst>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"/>
    <numFmt numFmtId="165" formatCode="&quot;R$&quot;\ #,##0.00"/>
    <numFmt numFmtId="166" formatCode="0.0000"/>
  </numFmts>
  <fonts count="3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Futura Lt BT"/>
      <family val="2"/>
    </font>
    <font>
      <b/>
      <sz val="9"/>
      <color theme="1"/>
      <name val="Futura Lt BT"/>
      <family val="2"/>
    </font>
    <font>
      <sz val="9"/>
      <color theme="1"/>
      <name val="Futura Lt BT"/>
      <family val="2"/>
    </font>
    <font>
      <sz val="9"/>
      <name val="Futura Lt BT"/>
      <family val="2"/>
    </font>
    <font>
      <b/>
      <sz val="9"/>
      <name val="Futura Lt BT"/>
      <family val="2"/>
    </font>
    <font>
      <b/>
      <i/>
      <sz val="9"/>
      <name val="Futura Lt BT"/>
      <family val="2"/>
    </font>
    <font>
      <b/>
      <i/>
      <sz val="9"/>
      <color theme="1"/>
      <name val="Futura Lt BT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9"/>
      <name val="Futura Lt BT"/>
    </font>
    <font>
      <b/>
      <sz val="10"/>
      <name val="Arial"/>
      <family val="2"/>
    </font>
    <font>
      <sz val="10"/>
      <color theme="1" tint="0.24994659260841701"/>
      <name val="Calibri"/>
      <family val="2"/>
    </font>
    <font>
      <b/>
      <sz val="10"/>
      <color theme="1" tint="0.24994659260841701"/>
      <name val="Calibri"/>
      <family val="2"/>
    </font>
    <font>
      <b/>
      <sz val="10"/>
      <color theme="0"/>
      <name val="Calibri"/>
      <family val="2"/>
    </font>
    <font>
      <b/>
      <sz val="10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Times New Roman"/>
      <family val="1"/>
    </font>
    <font>
      <b/>
      <sz val="9.5"/>
      <name val="Arial"/>
      <family val="2"/>
    </font>
    <font>
      <b/>
      <sz val="7.5"/>
      <name val="Arial"/>
      <family val="2"/>
    </font>
    <font>
      <b/>
      <u/>
      <sz val="7.5"/>
      <name val="Arial"/>
      <family val="2"/>
    </font>
    <font>
      <sz val="7.5"/>
      <name val="Arial MT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10"/>
      <name val="Times New Roman"/>
      <family val="1"/>
    </font>
    <font>
      <b/>
      <sz val="11"/>
      <color theme="1"/>
      <name val="Futura Lt BT"/>
    </font>
    <font>
      <b/>
      <sz val="12"/>
      <name val="Calibri"/>
      <family val="2"/>
    </font>
    <font>
      <sz val="10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4" fillId="3" borderId="0" applyNumberFormat="0" applyBorder="0" applyAlignment="0">
      <alignment vertical="center"/>
    </xf>
    <xf numFmtId="0" fontId="16" fillId="4" borderId="0" applyNumberFormat="0" applyBorder="0" applyAlignment="0" applyProtection="0"/>
    <xf numFmtId="0" fontId="17" fillId="5" borderId="0" applyNumberFormat="0" applyAlignment="0" applyProtection="0"/>
    <xf numFmtId="0" fontId="21" fillId="0" borderId="0"/>
    <xf numFmtId="9" fontId="1" fillId="0" borderId="0" applyFont="0" applyFill="0" applyBorder="0" applyAlignment="0" applyProtection="0"/>
  </cellStyleXfs>
  <cellXfs count="330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right" vertical="center"/>
    </xf>
    <xf numFmtId="164" fontId="5" fillId="0" borderId="9" xfId="1" applyNumberFormat="1" applyFont="1" applyBorder="1" applyAlignment="1">
      <alignment horizontal="right" vertical="center"/>
    </xf>
    <xf numFmtId="164" fontId="0" fillId="0" borderId="0" xfId="0" applyNumberFormat="1"/>
    <xf numFmtId="164" fontId="5" fillId="0" borderId="0" xfId="1" applyNumberFormat="1" applyFont="1" applyFill="1" applyBorder="1" applyAlignment="1">
      <alignment horizontal="right" vertical="center"/>
    </xf>
    <xf numFmtId="0" fontId="5" fillId="0" borderId="6" xfId="0" applyFont="1" applyBorder="1"/>
    <xf numFmtId="0" fontId="5" fillId="0" borderId="6" xfId="0" applyFont="1" applyBorder="1" applyAlignment="1">
      <alignment horizontal="center"/>
    </xf>
    <xf numFmtId="164" fontId="5" fillId="0" borderId="6" xfId="1" applyNumberFormat="1" applyFont="1" applyBorder="1"/>
    <xf numFmtId="164" fontId="5" fillId="0" borderId="7" xfId="1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5" fillId="0" borderId="1" xfId="1" applyNumberFormat="1" applyFont="1" applyBorder="1"/>
    <xf numFmtId="164" fontId="5" fillId="0" borderId="9" xfId="1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4" fontId="6" fillId="0" borderId="1" xfId="1" applyNumberFormat="1" applyFont="1" applyBorder="1"/>
    <xf numFmtId="164" fontId="6" fillId="0" borderId="9" xfId="1" applyNumberFormat="1" applyFont="1" applyBorder="1"/>
    <xf numFmtId="0" fontId="5" fillId="0" borderId="11" xfId="0" applyFont="1" applyBorder="1"/>
    <xf numFmtId="0" fontId="5" fillId="0" borderId="11" xfId="0" applyFont="1" applyBorder="1" applyAlignment="1">
      <alignment horizontal="center"/>
    </xf>
    <xf numFmtId="164" fontId="5" fillId="0" borderId="11" xfId="1" applyNumberFormat="1" applyFont="1" applyBorder="1"/>
    <xf numFmtId="164" fontId="5" fillId="0" borderId="12" xfId="1" applyNumberFormat="1" applyFont="1" applyBorder="1"/>
    <xf numFmtId="164" fontId="6" fillId="0" borderId="25" xfId="1" applyNumberFormat="1" applyFont="1" applyFill="1" applyBorder="1" applyAlignment="1">
      <alignment horizontal="right" vertical="center"/>
    </xf>
    <xf numFmtId="164" fontId="6" fillId="0" borderId="26" xfId="1" applyNumberFormat="1" applyFont="1" applyFill="1" applyBorder="1" applyAlignment="1">
      <alignment horizontal="right" vertical="center"/>
    </xf>
    <xf numFmtId="164" fontId="8" fillId="0" borderId="31" xfId="1" applyNumberFormat="1" applyFont="1" applyFill="1" applyBorder="1" applyAlignment="1">
      <alignment horizontal="right" vertical="center"/>
    </xf>
    <xf numFmtId="164" fontId="6" fillId="0" borderId="33" xfId="1" applyNumberFormat="1" applyFont="1" applyFill="1" applyBorder="1" applyAlignment="1">
      <alignment horizontal="right" vertical="center"/>
    </xf>
    <xf numFmtId="164" fontId="6" fillId="0" borderId="34" xfId="1" applyNumberFormat="1" applyFont="1" applyFill="1" applyBorder="1" applyAlignment="1">
      <alignment horizontal="right" vertical="center"/>
    </xf>
    <xf numFmtId="164" fontId="8" fillId="0" borderId="39" xfId="1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right" vertical="center" wrapText="1"/>
    </xf>
    <xf numFmtId="164" fontId="7" fillId="0" borderId="0" xfId="1" applyNumberFormat="1" applyFont="1" applyBorder="1" applyAlignment="1">
      <alignment horizontal="right"/>
    </xf>
    <xf numFmtId="0" fontId="5" fillId="0" borderId="0" xfId="0" applyFont="1"/>
    <xf numFmtId="0" fontId="0" fillId="0" borderId="0" xfId="0" applyAlignment="1">
      <alignment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64" fontId="6" fillId="0" borderId="6" xfId="1" applyNumberFormat="1" applyFont="1" applyFill="1" applyBorder="1" applyAlignment="1">
      <alignment horizontal="right" vertical="center"/>
    </xf>
    <xf numFmtId="164" fontId="6" fillId="0" borderId="7" xfId="1" applyNumberFormat="1" applyFont="1" applyFill="1" applyBorder="1" applyAlignment="1">
      <alignment horizontal="right" vertical="center"/>
    </xf>
    <xf numFmtId="164" fontId="6" fillId="0" borderId="1" xfId="1" applyNumberFormat="1" applyFont="1" applyFill="1" applyBorder="1" applyAlignment="1">
      <alignment horizontal="right" vertical="center"/>
    </xf>
    <xf numFmtId="164" fontId="6" fillId="0" borderId="9" xfId="1" applyNumberFormat="1" applyFont="1" applyFill="1" applyBorder="1" applyAlignment="1">
      <alignment horizontal="right" vertical="center"/>
    </xf>
    <xf numFmtId="164" fontId="7" fillId="0" borderId="11" xfId="1" applyNumberFormat="1" applyFont="1" applyFill="1" applyBorder="1" applyAlignment="1">
      <alignment horizontal="right"/>
    </xf>
    <xf numFmtId="164" fontId="7" fillId="0" borderId="12" xfId="1" applyNumberFormat="1" applyFont="1" applyFill="1" applyBorder="1" applyAlignment="1">
      <alignment horizontal="right"/>
    </xf>
    <xf numFmtId="164" fontId="6" fillId="0" borderId="25" xfId="1" applyNumberFormat="1" applyFont="1" applyFill="1" applyBorder="1" applyAlignment="1">
      <alignment horizontal="right"/>
    </xf>
    <xf numFmtId="164" fontId="6" fillId="0" borderId="26" xfId="1" applyNumberFormat="1" applyFont="1" applyFill="1" applyBorder="1" applyAlignment="1">
      <alignment horizontal="right"/>
    </xf>
    <xf numFmtId="43" fontId="8" fillId="0" borderId="0" xfId="1" applyFont="1" applyFill="1" applyBorder="1" applyAlignment="1">
      <alignment horizontal="left" vertical="center"/>
    </xf>
    <xf numFmtId="164" fontId="8" fillId="0" borderId="0" xfId="1" applyNumberFormat="1" applyFont="1" applyFill="1" applyBorder="1" applyAlignment="1">
      <alignment horizontal="right" vertical="center"/>
    </xf>
    <xf numFmtId="0" fontId="13" fillId="0" borderId="2" xfId="0" applyFont="1" applyBorder="1"/>
    <xf numFmtId="0" fontId="13" fillId="0" borderId="3" xfId="0" applyFont="1" applyBorder="1"/>
    <xf numFmtId="0" fontId="13" fillId="0" borderId="4" xfId="0" applyFont="1" applyBorder="1"/>
    <xf numFmtId="2" fontId="0" fillId="0" borderId="0" xfId="0" applyNumberFormat="1"/>
    <xf numFmtId="0" fontId="13" fillId="0" borderId="53" xfId="0" applyFont="1" applyBorder="1"/>
    <xf numFmtId="0" fontId="13" fillId="0" borderId="54" xfId="0" applyFont="1" applyBorder="1"/>
    <xf numFmtId="0" fontId="13" fillId="0" borderId="55" xfId="0" applyFont="1" applyBorder="1"/>
    <xf numFmtId="0" fontId="0" fillId="0" borderId="1" xfId="0" applyBorder="1"/>
    <xf numFmtId="0" fontId="0" fillId="0" borderId="56" xfId="0" applyBorder="1"/>
    <xf numFmtId="2" fontId="13" fillId="0" borderId="4" xfId="0" applyNumberFormat="1" applyFont="1" applyBorder="1"/>
    <xf numFmtId="49" fontId="13" fillId="0" borderId="2" xfId="0" applyNumberFormat="1" applyFont="1" applyBorder="1"/>
    <xf numFmtId="1" fontId="13" fillId="0" borderId="3" xfId="0" applyNumberFormat="1" applyFont="1" applyBorder="1"/>
    <xf numFmtId="49" fontId="13" fillId="0" borderId="53" xfId="0" applyNumberFormat="1" applyFont="1" applyBorder="1"/>
    <xf numFmtId="1" fontId="13" fillId="0" borderId="54" xfId="0" applyNumberFormat="1" applyFont="1" applyBorder="1"/>
    <xf numFmtId="2" fontId="13" fillId="0" borderId="57" xfId="0" applyNumberFormat="1" applyFont="1" applyBorder="1"/>
    <xf numFmtId="49" fontId="13" fillId="0" borderId="0" xfId="0" applyNumberFormat="1" applyFont="1"/>
    <xf numFmtId="0" fontId="13" fillId="0" borderId="0" xfId="0" applyFont="1"/>
    <xf numFmtId="1" fontId="13" fillId="0" borderId="0" xfId="0" applyNumberFormat="1" applyFont="1"/>
    <xf numFmtId="49" fontId="0" fillId="0" borderId="0" xfId="0" applyNumberFormat="1"/>
    <xf numFmtId="1" fontId="0" fillId="0" borderId="0" xfId="0" applyNumberFormat="1"/>
    <xf numFmtId="1" fontId="15" fillId="3" borderId="0" xfId="2" applyNumberFormat="1" applyFont="1" applyAlignment="1">
      <alignment horizontal="right" vertical="center"/>
    </xf>
    <xf numFmtId="0" fontId="18" fillId="0" borderId="0" xfId="0" applyFont="1"/>
    <xf numFmtId="164" fontId="6" fillId="0" borderId="52" xfId="1" applyNumberFormat="1" applyFont="1" applyFill="1" applyBorder="1" applyAlignment="1">
      <alignment horizontal="right" vertical="center"/>
    </xf>
    <xf numFmtId="164" fontId="6" fillId="0" borderId="58" xfId="1" applyNumberFormat="1" applyFont="1" applyFill="1" applyBorder="1" applyAlignment="1">
      <alignment horizontal="right" vertical="center"/>
    </xf>
    <xf numFmtId="165" fontId="16" fillId="4" borderId="0" xfId="3" applyNumberFormat="1" applyAlignment="1">
      <alignment vertical="center"/>
    </xf>
    <xf numFmtId="1" fontId="16" fillId="4" borderId="0" xfId="3" applyNumberFormat="1" applyAlignment="1">
      <alignment horizontal="right" vertical="center"/>
    </xf>
    <xf numFmtId="0" fontId="16" fillId="5" borderId="0" xfId="4" applyFont="1" applyAlignment="1">
      <alignment vertical="center"/>
    </xf>
    <xf numFmtId="0" fontId="19" fillId="0" borderId="0" xfId="0" applyFont="1"/>
    <xf numFmtId="165" fontId="20" fillId="6" borderId="0" xfId="0" applyNumberFormat="1" applyFont="1" applyFill="1"/>
    <xf numFmtId="0" fontId="19" fillId="6" borderId="0" xfId="0" applyFont="1" applyFill="1"/>
    <xf numFmtId="165" fontId="19" fillId="0" borderId="0" xfId="0" applyNumberFormat="1" applyFont="1"/>
    <xf numFmtId="165" fontId="19" fillId="6" borderId="0" xfId="0" applyNumberFormat="1" applyFont="1" applyFill="1"/>
    <xf numFmtId="0" fontId="16" fillId="4" borderId="0" xfId="0" applyFont="1" applyFill="1"/>
    <xf numFmtId="165" fontId="16" fillId="4" borderId="0" xfId="0" applyNumberFormat="1" applyFont="1" applyFill="1"/>
    <xf numFmtId="0" fontId="26" fillId="0" borderId="0" xfId="5" applyFont="1" applyAlignment="1">
      <alignment horizontal="left" vertical="center"/>
    </xf>
    <xf numFmtId="0" fontId="26" fillId="0" borderId="0" xfId="5" applyFont="1" applyAlignment="1">
      <alignment horizontal="left" vertical="center" wrapText="1"/>
    </xf>
    <xf numFmtId="3" fontId="26" fillId="0" borderId="0" xfId="5" applyNumberFormat="1" applyFont="1" applyAlignment="1">
      <alignment horizontal="center" vertical="center"/>
    </xf>
    <xf numFmtId="3" fontId="26" fillId="0" borderId="0" xfId="5" applyNumberFormat="1" applyFont="1" applyAlignment="1">
      <alignment horizontal="right" vertical="center"/>
    </xf>
    <xf numFmtId="0" fontId="28" fillId="0" borderId="61" xfId="5" applyFont="1" applyBorder="1" applyAlignment="1">
      <alignment horizontal="left" vertical="center" wrapText="1"/>
    </xf>
    <xf numFmtId="3" fontId="28" fillId="0" borderId="65" xfId="5" applyNumberFormat="1" applyFont="1" applyBorder="1" applyAlignment="1">
      <alignment horizontal="center" vertical="center" wrapText="1"/>
    </xf>
    <xf numFmtId="0" fontId="30" fillId="0" borderId="0" xfId="0" applyFont="1"/>
    <xf numFmtId="0" fontId="30" fillId="0" borderId="0" xfId="0" applyFont="1" applyAlignment="1">
      <alignment wrapText="1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31" fillId="7" borderId="69" xfId="0" applyFont="1" applyFill="1" applyBorder="1" applyAlignment="1" applyProtection="1">
      <alignment horizontal="left" vertical="center" indent="1"/>
      <protection locked="0"/>
    </xf>
    <xf numFmtId="0" fontId="31" fillId="7" borderId="70" xfId="0" applyFont="1" applyFill="1" applyBorder="1" applyAlignment="1" applyProtection="1">
      <alignment horizontal="left" vertical="center" indent="1"/>
      <protection locked="0"/>
    </xf>
    <xf numFmtId="0" fontId="18" fillId="7" borderId="70" xfId="0" applyFont="1" applyFill="1" applyBorder="1" applyAlignment="1" applyProtection="1">
      <alignment horizontal="center" vertical="center"/>
      <protection locked="0"/>
    </xf>
    <xf numFmtId="38" fontId="18" fillId="7" borderId="70" xfId="1" applyNumberFormat="1" applyFont="1" applyFill="1" applyBorder="1" applyAlignment="1" applyProtection="1">
      <alignment horizontal="center" vertical="center"/>
      <protection locked="0"/>
    </xf>
    <xf numFmtId="165" fontId="32" fillId="7" borderId="71" xfId="0" applyNumberFormat="1" applyFont="1" applyFill="1" applyBorder="1"/>
    <xf numFmtId="0" fontId="18" fillId="2" borderId="0" xfId="0" applyFont="1" applyFill="1"/>
    <xf numFmtId="0" fontId="18" fillId="0" borderId="69" xfId="0" applyFont="1" applyBorder="1" applyAlignment="1" applyProtection="1">
      <alignment horizontal="left" vertical="center" indent="1"/>
      <protection locked="0"/>
    </xf>
    <xf numFmtId="0" fontId="18" fillId="0" borderId="70" xfId="0" applyFont="1" applyBorder="1" applyAlignment="1" applyProtection="1">
      <alignment horizontal="left" vertical="center" indent="1"/>
      <protection locked="0"/>
    </xf>
    <xf numFmtId="0" fontId="18" fillId="0" borderId="70" xfId="0" applyFont="1" applyBorder="1" applyAlignment="1" applyProtection="1">
      <alignment horizontal="center" vertical="center"/>
      <protection locked="0"/>
    </xf>
    <xf numFmtId="37" fontId="18" fillId="0" borderId="70" xfId="0" applyNumberFormat="1" applyFont="1" applyBorder="1" applyAlignment="1">
      <alignment horizontal="center" vertical="center"/>
    </xf>
    <xf numFmtId="39" fontId="18" fillId="0" borderId="71" xfId="0" applyNumberFormat="1" applyFont="1" applyBorder="1" applyAlignment="1">
      <alignment vertical="center"/>
    </xf>
    <xf numFmtId="39" fontId="18" fillId="0" borderId="72" xfId="0" applyNumberFormat="1" applyFont="1" applyBorder="1" applyAlignment="1">
      <alignment vertical="center"/>
    </xf>
    <xf numFmtId="39" fontId="33" fillId="2" borderId="72" xfId="0" applyNumberFormat="1" applyFont="1" applyFill="1" applyBorder="1"/>
    <xf numFmtId="0" fontId="31" fillId="8" borderId="69" xfId="0" applyFont="1" applyFill="1" applyBorder="1" applyAlignment="1" applyProtection="1">
      <alignment horizontal="left" vertical="center" indent="1"/>
      <protection locked="0"/>
    </xf>
    <xf numFmtId="0" fontId="31" fillId="8" borderId="70" xfId="0" applyFont="1" applyFill="1" applyBorder="1" applyAlignment="1" applyProtection="1">
      <alignment horizontal="left" vertical="center"/>
      <protection locked="0"/>
    </xf>
    <xf numFmtId="0" fontId="31" fillId="8" borderId="70" xfId="0" applyFont="1" applyFill="1" applyBorder="1" applyAlignment="1" applyProtection="1">
      <alignment horizontal="center" vertical="center"/>
      <protection locked="0"/>
    </xf>
    <xf numFmtId="38" fontId="31" fillId="8" borderId="70" xfId="1" applyNumberFormat="1" applyFont="1" applyFill="1" applyBorder="1" applyAlignment="1" applyProtection="1">
      <alignment horizontal="center" vertical="center"/>
      <protection locked="0"/>
    </xf>
    <xf numFmtId="43" fontId="31" fillId="8" borderId="71" xfId="1" applyFont="1" applyFill="1" applyBorder="1" applyAlignment="1" applyProtection="1">
      <alignment vertical="center"/>
      <protection locked="0"/>
    </xf>
    <xf numFmtId="165" fontId="31" fillId="8" borderId="72" xfId="0" applyNumberFormat="1" applyFont="1" applyFill="1" applyBorder="1" applyAlignment="1">
      <alignment vertical="center"/>
    </xf>
    <xf numFmtId="165" fontId="32" fillId="8" borderId="72" xfId="0" applyNumberFormat="1" applyFont="1" applyFill="1" applyBorder="1"/>
    <xf numFmtId="0" fontId="18" fillId="2" borderId="69" xfId="0" applyFont="1" applyFill="1" applyBorder="1" applyAlignment="1" applyProtection="1">
      <alignment horizontal="left" vertical="center" indent="1"/>
      <protection locked="0"/>
    </xf>
    <xf numFmtId="0" fontId="18" fillId="2" borderId="71" xfId="0" applyFont="1" applyFill="1" applyBorder="1" applyAlignment="1" applyProtection="1">
      <alignment horizontal="left" vertical="center" indent="1"/>
      <protection locked="0"/>
    </xf>
    <xf numFmtId="0" fontId="18" fillId="2" borderId="72" xfId="0" applyFont="1" applyFill="1" applyBorder="1" applyAlignment="1" applyProtection="1">
      <alignment horizontal="center" vertical="center"/>
      <protection locked="0"/>
    </xf>
    <xf numFmtId="38" fontId="18" fillId="2" borderId="72" xfId="1" applyNumberFormat="1" applyFont="1" applyFill="1" applyBorder="1" applyAlignment="1" applyProtection="1">
      <alignment horizontal="center" vertical="center"/>
      <protection locked="0"/>
    </xf>
    <xf numFmtId="165" fontId="18" fillId="2" borderId="72" xfId="1" applyNumberFormat="1" applyFont="1" applyFill="1" applyBorder="1" applyAlignment="1" applyProtection="1">
      <alignment vertical="center"/>
      <protection locked="0"/>
    </xf>
    <xf numFmtId="165" fontId="18" fillId="2" borderId="72" xfId="0" applyNumberFormat="1" applyFont="1" applyFill="1" applyBorder="1" applyAlignment="1">
      <alignment vertical="center"/>
    </xf>
    <xf numFmtId="165" fontId="33" fillId="0" borderId="72" xfId="0" applyNumberFormat="1" applyFont="1" applyBorder="1" applyAlignment="1">
      <alignment wrapText="1"/>
    </xf>
    <xf numFmtId="165" fontId="18" fillId="2" borderId="0" xfId="0" applyNumberFormat="1" applyFont="1" applyFill="1"/>
    <xf numFmtId="164" fontId="8" fillId="0" borderId="73" xfId="1" applyNumberFormat="1" applyFont="1" applyFill="1" applyBorder="1" applyAlignment="1">
      <alignment horizontal="right" vertical="center"/>
    </xf>
    <xf numFmtId="164" fontId="6" fillId="0" borderId="74" xfId="1" applyNumberFormat="1" applyFont="1" applyFill="1" applyBorder="1" applyAlignment="1">
      <alignment horizontal="right" vertical="center"/>
    </xf>
    <xf numFmtId="164" fontId="6" fillId="0" borderId="75" xfId="1" applyNumberFormat="1" applyFont="1" applyFill="1" applyBorder="1" applyAlignment="1">
      <alignment horizontal="right" vertical="center"/>
    </xf>
    <xf numFmtId="164" fontId="6" fillId="0" borderId="78" xfId="1" applyNumberFormat="1" applyFont="1" applyFill="1" applyBorder="1" applyAlignment="1">
      <alignment horizontal="right" vertical="center"/>
    </xf>
    <xf numFmtId="0" fontId="5" fillId="0" borderId="10" xfId="0" applyFont="1" applyBorder="1" applyAlignment="1">
      <alignment horizontal="center" vertical="center"/>
    </xf>
    <xf numFmtId="0" fontId="31" fillId="0" borderId="0" xfId="0" applyFont="1"/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6" fillId="0" borderId="25" xfId="0" applyFont="1" applyBorder="1"/>
    <xf numFmtId="0" fontId="6" fillId="0" borderId="25" xfId="0" applyFont="1" applyBorder="1" applyAlignment="1">
      <alignment horizontal="center" vertical="center"/>
    </xf>
    <xf numFmtId="164" fontId="11" fillId="0" borderId="0" xfId="0" applyNumberFormat="1" applyFont="1"/>
    <xf numFmtId="0" fontId="6" fillId="0" borderId="37" xfId="0" applyFont="1" applyBorder="1"/>
    <xf numFmtId="0" fontId="6" fillId="0" borderId="38" xfId="0" applyFont="1" applyBorder="1" applyAlignment="1">
      <alignment horizontal="center" vertical="center"/>
    </xf>
    <xf numFmtId="0" fontId="6" fillId="0" borderId="33" xfId="0" applyFont="1" applyBorder="1"/>
    <xf numFmtId="0" fontId="6" fillId="0" borderId="33" xfId="0" applyFont="1" applyBorder="1" applyAlignment="1">
      <alignment horizontal="center" vertical="center"/>
    </xf>
    <xf numFmtId="0" fontId="6" fillId="0" borderId="25" xfId="0" applyFont="1" applyBorder="1" applyAlignment="1">
      <alignment wrapText="1"/>
    </xf>
    <xf numFmtId="0" fontId="6" fillId="0" borderId="75" xfId="0" applyFont="1" applyBorder="1"/>
    <xf numFmtId="0" fontId="6" fillId="0" borderId="76" xfId="0" applyFont="1" applyBorder="1"/>
    <xf numFmtId="0" fontId="6" fillId="0" borderId="77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/>
    </xf>
    <xf numFmtId="0" fontId="6" fillId="0" borderId="42" xfId="0" applyFont="1" applyBorder="1"/>
    <xf numFmtId="0" fontId="6" fillId="0" borderId="42" xfId="0" applyFont="1" applyBorder="1" applyAlignment="1">
      <alignment horizontal="center" vertical="center"/>
    </xf>
    <xf numFmtId="0" fontId="6" fillId="0" borderId="77" xfId="0" applyFont="1" applyBorder="1"/>
    <xf numFmtId="0" fontId="6" fillId="0" borderId="47" xfId="0" applyFont="1" applyBorder="1"/>
    <xf numFmtId="0" fontId="6" fillId="0" borderId="48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5" fillId="0" borderId="25" xfId="0" applyFont="1" applyBorder="1" applyAlignment="1">
      <alignment horizontal="left" vertical="center"/>
    </xf>
    <xf numFmtId="0" fontId="5" fillId="0" borderId="25" xfId="0" applyFont="1" applyBorder="1"/>
    <xf numFmtId="0" fontId="6" fillId="0" borderId="25" xfId="0" applyFont="1" applyBorder="1" applyAlignment="1">
      <alignment horizontal="center"/>
    </xf>
    <xf numFmtId="0" fontId="11" fillId="0" borderId="0" xfId="0" applyFont="1"/>
    <xf numFmtId="0" fontId="5" fillId="0" borderId="49" xfId="0" applyFont="1" applyBorder="1" applyAlignment="1">
      <alignment horizontal="left" vertical="center"/>
    </xf>
    <xf numFmtId="0" fontId="5" fillId="0" borderId="38" xfId="0" applyFont="1" applyBorder="1"/>
    <xf numFmtId="0" fontId="5" fillId="0" borderId="46" xfId="0" applyFont="1" applyBorder="1"/>
    <xf numFmtId="0" fontId="5" fillId="0" borderId="42" xfId="0" applyFont="1" applyBorder="1"/>
    <xf numFmtId="0" fontId="6" fillId="0" borderId="42" xfId="0" applyFont="1" applyBorder="1" applyAlignment="1">
      <alignment horizontal="center"/>
    </xf>
    <xf numFmtId="164" fontId="7" fillId="0" borderId="31" xfId="1" applyNumberFormat="1" applyFont="1" applyFill="1" applyBorder="1" applyAlignment="1">
      <alignment horizontal="right"/>
    </xf>
    <xf numFmtId="0" fontId="5" fillId="0" borderId="35" xfId="0" applyFont="1" applyBorder="1"/>
    <xf numFmtId="0" fontId="6" fillId="0" borderId="35" xfId="0" applyFont="1" applyBorder="1" applyAlignment="1">
      <alignment horizontal="center"/>
    </xf>
    <xf numFmtId="164" fontId="6" fillId="0" borderId="34" xfId="1" applyNumberFormat="1" applyFont="1" applyFill="1" applyBorder="1" applyAlignment="1">
      <alignment horizontal="right"/>
    </xf>
    <xf numFmtId="0" fontId="6" fillId="0" borderId="25" xfId="0" applyFont="1" applyBorder="1" applyAlignment="1">
      <alignment horizontal="left" vertical="center"/>
    </xf>
    <xf numFmtId="0" fontId="6" fillId="0" borderId="42" xfId="0" applyFont="1" applyBorder="1" applyAlignment="1">
      <alignment horizontal="left"/>
    </xf>
    <xf numFmtId="0" fontId="5" fillId="0" borderId="42" xfId="0" applyFont="1" applyBorder="1" applyAlignment="1">
      <alignment horizontal="left"/>
    </xf>
    <xf numFmtId="0" fontId="5" fillId="0" borderId="37" xfId="0" applyFont="1" applyBorder="1" applyAlignment="1">
      <alignment horizontal="left" vertical="center" wrapText="1"/>
    </xf>
    <xf numFmtId="3" fontId="0" fillId="0" borderId="0" xfId="0" applyNumberFormat="1"/>
    <xf numFmtId="0" fontId="6" fillId="0" borderId="50" xfId="0" applyFont="1" applyBorder="1" applyAlignment="1">
      <alignment horizontal="left" vertical="center"/>
    </xf>
    <xf numFmtId="0" fontId="5" fillId="0" borderId="37" xfId="0" applyFont="1" applyBorder="1"/>
    <xf numFmtId="0" fontId="5" fillId="0" borderId="15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64" fontId="7" fillId="0" borderId="0" xfId="1" applyNumberFormat="1" applyFont="1" applyFill="1" applyBorder="1" applyAlignment="1">
      <alignment horizontal="right"/>
    </xf>
    <xf numFmtId="4" fontId="4" fillId="0" borderId="2" xfId="0" applyNumberFormat="1" applyFont="1" applyBorder="1" applyAlignment="1">
      <alignment horizontal="center" vertical="center" wrapText="1"/>
    </xf>
    <xf numFmtId="4" fontId="4" fillId="0" borderId="3" xfId="0" applyNumberFormat="1" applyFont="1" applyBorder="1" applyAlignment="1">
      <alignment horizontal="center" vertical="center" wrapText="1"/>
    </xf>
    <xf numFmtId="4" fontId="4" fillId="0" borderId="4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right" vertical="center" wrapText="1"/>
    </xf>
    <xf numFmtId="164" fontId="5" fillId="0" borderId="1" xfId="1" applyNumberFormat="1" applyFont="1" applyFill="1" applyBorder="1" applyAlignment="1">
      <alignment horizontal="right" vertical="center"/>
    </xf>
    <xf numFmtId="0" fontId="13" fillId="0" borderId="52" xfId="0" applyFont="1" applyBorder="1"/>
    <xf numFmtId="0" fontId="0" fillId="0" borderId="52" xfId="0" applyBorder="1"/>
    <xf numFmtId="2" fontId="0" fillId="0" borderId="52" xfId="0" applyNumberFormat="1" applyBorder="1"/>
    <xf numFmtId="2" fontId="0" fillId="0" borderId="1" xfId="0" applyNumberFormat="1" applyBorder="1"/>
    <xf numFmtId="2" fontId="0" fillId="0" borderId="56" xfId="0" applyNumberFormat="1" applyBorder="1"/>
    <xf numFmtId="2" fontId="13" fillId="0" borderId="3" xfId="0" applyNumberFormat="1" applyFont="1" applyBorder="1"/>
    <xf numFmtId="49" fontId="13" fillId="0" borderId="5" xfId="0" applyNumberFormat="1" applyFont="1" applyBorder="1"/>
    <xf numFmtId="0" fontId="0" fillId="0" borderId="6" xfId="0" applyBorder="1"/>
    <xf numFmtId="2" fontId="0" fillId="0" borderId="6" xfId="0" applyNumberFormat="1" applyBorder="1"/>
    <xf numFmtId="2" fontId="0" fillId="0" borderId="7" xfId="0" applyNumberFormat="1" applyBorder="1"/>
    <xf numFmtId="49" fontId="0" fillId="0" borderId="8" xfId="0" applyNumberFormat="1" applyBorder="1"/>
    <xf numFmtId="2" fontId="0" fillId="0" borderId="9" xfId="0" applyNumberFormat="1" applyBorder="1"/>
    <xf numFmtId="49" fontId="0" fillId="0" borderId="13" xfId="0" applyNumberFormat="1" applyBorder="1"/>
    <xf numFmtId="2" fontId="0" fillId="0" borderId="84" xfId="0" applyNumberFormat="1" applyBorder="1"/>
    <xf numFmtId="4" fontId="13" fillId="0" borderId="4" xfId="0" applyNumberFormat="1" applyFont="1" applyBorder="1"/>
    <xf numFmtId="0" fontId="0" fillId="0" borderId="8" xfId="0" applyBorder="1"/>
    <xf numFmtId="4" fontId="0" fillId="0" borderId="9" xfId="0" applyNumberFormat="1" applyBorder="1"/>
    <xf numFmtId="0" fontId="0" fillId="0" borderId="13" xfId="0" applyBorder="1"/>
    <xf numFmtId="4" fontId="0" fillId="0" borderId="84" xfId="0" applyNumberFormat="1" applyBorder="1"/>
    <xf numFmtId="0" fontId="2" fillId="0" borderId="0" xfId="0" applyFont="1"/>
    <xf numFmtId="4" fontId="13" fillId="0" borderId="55" xfId="0" applyNumberFormat="1" applyFont="1" applyBorder="1"/>
    <xf numFmtId="0" fontId="31" fillId="2" borderId="0" xfId="0" applyFont="1" applyFill="1"/>
    <xf numFmtId="0" fontId="28" fillId="0" borderId="62" xfId="5" applyFont="1" applyBorder="1" applyAlignment="1">
      <alignment horizontal="left" vertical="center" wrapText="1"/>
    </xf>
    <xf numFmtId="0" fontId="28" fillId="0" borderId="68" xfId="0" applyFont="1" applyBorder="1" applyAlignment="1">
      <alignment horizontal="center" vertical="center" wrapText="1"/>
    </xf>
    <xf numFmtId="0" fontId="34" fillId="0" borderId="0" xfId="5" applyFont="1" applyAlignment="1">
      <alignment horizontal="left" vertical="top"/>
    </xf>
    <xf numFmtId="0" fontId="34" fillId="0" borderId="0" xfId="5" applyFont="1" applyAlignment="1">
      <alignment horizontal="center" vertical="center"/>
    </xf>
    <xf numFmtId="0" fontId="34" fillId="0" borderId="0" xfId="5" applyFont="1" applyAlignment="1">
      <alignment horizontal="left" vertical="center"/>
    </xf>
    <xf numFmtId="0" fontId="28" fillId="0" borderId="67" xfId="0" applyFont="1" applyBorder="1" applyAlignment="1">
      <alignment horizontal="left" vertical="center" wrapText="1"/>
    </xf>
    <xf numFmtId="0" fontId="28" fillId="0" borderId="49" xfId="0" applyFont="1" applyBorder="1" applyAlignment="1">
      <alignment horizontal="center" vertical="center" wrapText="1"/>
    </xf>
    <xf numFmtId="3" fontId="28" fillId="0" borderId="50" xfId="0" applyNumberFormat="1" applyFont="1" applyBorder="1" applyAlignment="1">
      <alignment horizontal="center" vertical="center" wrapText="1"/>
    </xf>
    <xf numFmtId="0" fontId="35" fillId="0" borderId="0" xfId="0" applyFont="1" applyAlignment="1">
      <alignment horizontal="left" vertical="center"/>
    </xf>
    <xf numFmtId="164" fontId="5" fillId="0" borderId="1" xfId="1" applyNumberFormat="1" applyFont="1" applyFill="1" applyBorder="1"/>
    <xf numFmtId="164" fontId="6" fillId="0" borderId="1" xfId="1" applyNumberFormat="1" applyFont="1" applyFill="1" applyBorder="1"/>
    <xf numFmtId="164" fontId="5" fillId="0" borderId="11" xfId="1" applyNumberFormat="1" applyFont="1" applyFill="1" applyBorder="1" applyAlignment="1">
      <alignment horizontal="right" vertical="center"/>
    </xf>
    <xf numFmtId="164" fontId="5" fillId="0" borderId="11" xfId="1" applyNumberFormat="1" applyFont="1" applyBorder="1" applyAlignment="1">
      <alignment horizontal="right" vertical="center"/>
    </xf>
    <xf numFmtId="164" fontId="5" fillId="0" borderId="12" xfId="1" applyNumberFormat="1" applyFont="1" applyBorder="1" applyAlignment="1">
      <alignment horizontal="right" vertical="center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0" fillId="0" borderId="1" xfId="0" applyFont="1" applyBorder="1" applyAlignment="1">
      <alignment horizontal="center" vertical="center"/>
    </xf>
    <xf numFmtId="4" fontId="29" fillId="0" borderId="1" xfId="0" applyNumberFormat="1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center" vertical="center"/>
    </xf>
    <xf numFmtId="8" fontId="30" fillId="0" borderId="1" xfId="0" applyNumberFormat="1" applyFont="1" applyBorder="1" applyAlignment="1">
      <alignment horizontal="center" vertical="center"/>
    </xf>
    <xf numFmtId="4" fontId="30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vertical="center" wrapText="1"/>
    </xf>
    <xf numFmtId="0" fontId="36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vertical="center"/>
    </xf>
    <xf numFmtId="4" fontId="36" fillId="0" borderId="1" xfId="0" applyNumberFormat="1" applyFont="1" applyBorder="1" applyAlignment="1">
      <alignment horizontal="center" vertical="center"/>
    </xf>
    <xf numFmtId="0" fontId="28" fillId="0" borderId="0" xfId="0" applyFont="1"/>
    <xf numFmtId="0" fontId="33" fillId="0" borderId="0" xfId="0" applyFont="1"/>
    <xf numFmtId="164" fontId="33" fillId="0" borderId="0" xfId="0" applyNumberFormat="1" applyFont="1"/>
    <xf numFmtId="165" fontId="37" fillId="0" borderId="0" xfId="0" applyNumberFormat="1" applyFont="1"/>
    <xf numFmtId="9" fontId="19" fillId="0" borderId="0" xfId="6" applyFont="1"/>
    <xf numFmtId="166" fontId="23" fillId="0" borderId="62" xfId="5" applyNumberFormat="1" applyFont="1" applyBorder="1" applyAlignment="1">
      <alignment horizontal="center" vertical="center" shrinkToFit="1"/>
    </xf>
    <xf numFmtId="0" fontId="23" fillId="0" borderId="62" xfId="5" applyFont="1" applyBorder="1" applyAlignment="1">
      <alignment horizontal="center" vertical="center" wrapText="1"/>
    </xf>
    <xf numFmtId="1" fontId="23" fillId="0" borderId="62" xfId="5" applyNumberFormat="1" applyFont="1" applyBorder="1" applyAlignment="1">
      <alignment horizontal="center" vertical="center" shrinkToFit="1"/>
    </xf>
    <xf numFmtId="0" fontId="34" fillId="0" borderId="62" xfId="5" applyFont="1" applyBorder="1" applyAlignment="1">
      <alignment horizontal="center" vertical="center" wrapText="1"/>
    </xf>
    <xf numFmtId="1" fontId="23" fillId="0" borderId="62" xfId="5" applyNumberFormat="1" applyFont="1" applyBorder="1" applyAlignment="1">
      <alignment horizontal="center" vertical="top" shrinkToFit="1"/>
    </xf>
    <xf numFmtId="0" fontId="23" fillId="0" borderId="62" xfId="5" applyFont="1" applyBorder="1" applyAlignment="1">
      <alignment horizontal="center" vertical="top" wrapText="1"/>
    </xf>
    <xf numFmtId="44" fontId="25" fillId="0" borderId="62" xfId="5" applyNumberFormat="1" applyFont="1" applyBorder="1" applyAlignment="1">
      <alignment horizontal="center" vertical="center" wrapText="1"/>
    </xf>
    <xf numFmtId="8" fontId="25" fillId="0" borderId="62" xfId="5" applyNumberFormat="1" applyFont="1" applyBorder="1" applyAlignment="1">
      <alignment horizontal="center" vertical="center" wrapText="1"/>
    </xf>
    <xf numFmtId="0" fontId="27" fillId="0" borderId="61" xfId="5" applyFont="1" applyBorder="1" applyAlignment="1">
      <alignment horizontal="center" vertical="center" wrapText="1"/>
    </xf>
    <xf numFmtId="0" fontId="27" fillId="0" borderId="62" xfId="5" applyFont="1" applyBorder="1" applyAlignment="1">
      <alignment horizontal="center" vertical="center" wrapText="1"/>
    </xf>
    <xf numFmtId="3" fontId="27" fillId="0" borderId="66" xfId="5" applyNumberFormat="1" applyFont="1" applyBorder="1" applyAlignment="1">
      <alignment horizontal="center" vertical="center" wrapText="1"/>
    </xf>
    <xf numFmtId="3" fontId="27" fillId="0" borderId="65" xfId="5" applyNumberFormat="1" applyFont="1" applyBorder="1" applyAlignment="1">
      <alignment horizontal="center" vertical="center" wrapText="1"/>
    </xf>
    <xf numFmtId="0" fontId="26" fillId="0" borderId="0" xfId="5" applyFont="1" applyAlignment="1">
      <alignment horizontal="center" vertical="center"/>
    </xf>
    <xf numFmtId="0" fontId="18" fillId="0" borderId="71" xfId="0" applyFont="1" applyBorder="1" applyAlignment="1" applyProtection="1">
      <alignment horizontal="left" vertical="center" indent="1"/>
      <protection locked="0"/>
    </xf>
    <xf numFmtId="3" fontId="28" fillId="0" borderId="1" xfId="5" applyNumberFormat="1" applyFont="1" applyBorder="1" applyAlignment="1">
      <alignment horizontal="center" vertical="center" wrapText="1"/>
    </xf>
    <xf numFmtId="0" fontId="6" fillId="0" borderId="35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3" fillId="0" borderId="59" xfId="5" applyFont="1" applyBorder="1" applyAlignment="1">
      <alignment horizontal="center" vertical="top" wrapText="1"/>
    </xf>
    <xf numFmtId="0" fontId="23" fillId="0" borderId="60" xfId="5" applyFont="1" applyBorder="1" applyAlignment="1">
      <alignment horizontal="center" vertical="top" wrapText="1"/>
    </xf>
    <xf numFmtId="0" fontId="23" fillId="0" borderId="61" xfId="5" applyFont="1" applyBorder="1" applyAlignment="1">
      <alignment horizontal="center" vertical="top" wrapText="1"/>
    </xf>
    <xf numFmtId="0" fontId="23" fillId="0" borderId="59" xfId="5" applyFont="1" applyBorder="1" applyAlignment="1">
      <alignment horizontal="center" vertical="center" wrapText="1"/>
    </xf>
    <xf numFmtId="0" fontId="23" fillId="0" borderId="60" xfId="5" applyFont="1" applyBorder="1" applyAlignment="1">
      <alignment horizontal="center" vertical="center" wrapText="1"/>
    </xf>
    <xf numFmtId="0" fontId="23" fillId="0" borderId="61" xfId="5" applyFont="1" applyBorder="1" applyAlignment="1">
      <alignment horizontal="center" vertical="center" wrapText="1"/>
    </xf>
    <xf numFmtId="0" fontId="22" fillId="0" borderId="59" xfId="5" applyFont="1" applyBorder="1" applyAlignment="1">
      <alignment horizontal="center" vertical="top" wrapText="1"/>
    </xf>
    <xf numFmtId="0" fontId="22" fillId="0" borderId="60" xfId="5" applyFont="1" applyBorder="1" applyAlignment="1">
      <alignment horizontal="center" vertical="top" wrapText="1"/>
    </xf>
    <xf numFmtId="0" fontId="22" fillId="0" borderId="61" xfId="5" applyFont="1" applyBorder="1" applyAlignment="1">
      <alignment horizontal="center" vertical="top" wrapText="1"/>
    </xf>
    <xf numFmtId="0" fontId="23" fillId="0" borderId="63" xfId="5" applyFont="1" applyBorder="1" applyAlignment="1">
      <alignment horizontal="left" vertical="top" wrapText="1" indent="3"/>
    </xf>
    <xf numFmtId="0" fontId="23" fillId="0" borderId="64" xfId="5" applyFont="1" applyBorder="1" applyAlignment="1">
      <alignment horizontal="left" vertical="top" wrapText="1" indent="3"/>
    </xf>
    <xf numFmtId="0" fontId="23" fillId="0" borderId="63" xfId="5" applyFont="1" applyBorder="1" applyAlignment="1">
      <alignment horizontal="center" vertical="top" wrapText="1"/>
    </xf>
    <xf numFmtId="0" fontId="23" fillId="0" borderId="64" xfId="5" applyFont="1" applyBorder="1" applyAlignment="1">
      <alignment horizontal="center" vertical="top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/>
    </xf>
    <xf numFmtId="0" fontId="5" fillId="0" borderId="25" xfId="0" applyFont="1" applyBorder="1" applyAlignment="1">
      <alignment horizontal="left"/>
    </xf>
    <xf numFmtId="0" fontId="5" fillId="0" borderId="14" xfId="0" applyFont="1" applyBorder="1" applyAlignment="1">
      <alignment horizontal="left" vertical="center"/>
    </xf>
    <xf numFmtId="43" fontId="8" fillId="0" borderId="28" xfId="1" applyFont="1" applyFill="1" applyBorder="1" applyAlignment="1">
      <alignment horizontal="left" vertical="center"/>
    </xf>
    <xf numFmtId="43" fontId="8" fillId="0" borderId="29" xfId="1" applyFont="1" applyFill="1" applyBorder="1" applyAlignment="1">
      <alignment horizontal="left" vertical="center"/>
    </xf>
    <xf numFmtId="43" fontId="8" fillId="0" borderId="30" xfId="1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/>
    </xf>
    <xf numFmtId="0" fontId="5" fillId="0" borderId="49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43" fontId="8" fillId="0" borderId="45" xfId="1" applyFont="1" applyFill="1" applyBorder="1" applyAlignment="1">
      <alignment horizontal="left" vertical="center"/>
    </xf>
    <xf numFmtId="43" fontId="8" fillId="0" borderId="42" xfId="1" applyFont="1" applyFill="1" applyBorder="1" applyAlignment="1">
      <alignment horizontal="left" vertical="center"/>
    </xf>
    <xf numFmtId="43" fontId="8" fillId="0" borderId="46" xfId="1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43" fontId="8" fillId="0" borderId="79" xfId="1" applyFont="1" applyFill="1" applyBorder="1" applyAlignment="1">
      <alignment horizontal="left" vertical="center"/>
    </xf>
    <xf numFmtId="43" fontId="8" fillId="0" borderId="80" xfId="1" applyFont="1" applyFill="1" applyBorder="1" applyAlignment="1">
      <alignment horizontal="left" vertical="center"/>
    </xf>
    <xf numFmtId="43" fontId="8" fillId="0" borderId="81" xfId="1" applyFont="1" applyFill="1" applyBorder="1" applyAlignment="1">
      <alignment horizontal="left" vertical="center"/>
    </xf>
    <xf numFmtId="0" fontId="6" fillId="0" borderId="82" xfId="0" applyFont="1" applyBorder="1" applyAlignment="1">
      <alignment horizontal="left" vertical="center" wrapText="1"/>
    </xf>
    <xf numFmtId="0" fontId="6" fillId="0" borderId="83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/>
    </xf>
    <xf numFmtId="0" fontId="5" fillId="0" borderId="38" xfId="0" applyFont="1" applyBorder="1" applyAlignment="1">
      <alignment horizontal="left"/>
    </xf>
    <xf numFmtId="0" fontId="5" fillId="0" borderId="45" xfId="0" applyFont="1" applyBorder="1" applyAlignment="1">
      <alignment horizontal="left" vertical="center"/>
    </xf>
    <xf numFmtId="0" fontId="5" fillId="0" borderId="46" xfId="0" applyFont="1" applyBorder="1" applyAlignment="1">
      <alignment horizontal="left" vertical="center"/>
    </xf>
    <xf numFmtId="0" fontId="5" fillId="0" borderId="50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5" fillId="0" borderId="47" xfId="0" applyFont="1" applyBorder="1" applyAlignment="1">
      <alignment horizontal="left" vertical="center"/>
    </xf>
    <xf numFmtId="0" fontId="5" fillId="0" borderId="48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65" fontId="19" fillId="0" borderId="0" xfId="0" applyNumberFormat="1" applyFont="1" applyFill="1"/>
  </cellXfs>
  <cellStyles count="7">
    <cellStyle name="Heading 1" xfId="4" xr:uid="{4443AE43-9A54-4C72-83CB-9DCC97394B3C}"/>
    <cellStyle name="Normal" xfId="0" builtinId="0"/>
    <cellStyle name="Normal 2" xfId="5" xr:uid="{0227AF66-5FBD-4593-B3C4-10CEDC68C287}"/>
    <cellStyle name="Porcentagem" xfId="6" builtinId="5"/>
    <cellStyle name="Title" xfId="3" xr:uid="{50C3D3E0-E364-4E7D-A296-DA79D5CB43F7}"/>
    <cellStyle name="Transferido" xfId="2" xr:uid="{85B6B1CD-D04A-4AE7-A32A-38070DE751A2}"/>
    <cellStyle name="Vírgula" xfId="1" builtinId="3"/>
  </cellStyles>
  <dxfs count="12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rgb="FF000000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62553</xdr:colOff>
      <xdr:row>7</xdr:row>
      <xdr:rowOff>137160</xdr:rowOff>
    </xdr:from>
    <xdr:to>
      <xdr:col>9</xdr:col>
      <xdr:colOff>64076</xdr:colOff>
      <xdr:row>19</xdr:row>
      <xdr:rowOff>25886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38D8601-0CEB-B404-B895-5A67C8310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53" y="1264920"/>
          <a:ext cx="2799968" cy="2133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38100</xdr:rowOff>
    </xdr:from>
    <xdr:to>
      <xdr:col>1</xdr:col>
      <xdr:colOff>2103926</xdr:colOff>
      <xdr:row>18</xdr:row>
      <xdr:rowOff>72871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266DA1-36B1-A272-1828-C1A5C54FB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9740"/>
          <a:ext cx="2713526" cy="204645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E9B64A-952C-40D0-AAC6-F56D3B11D1D4}" name="Tabela2" displayName="Tabela2" ref="A3:D19" totalsRowCount="1" headerRowDxfId="11" totalsRowDxfId="9" tableBorderDxfId="10">
  <autoFilter ref="A3:D18" xr:uid="{497740AE-9B92-4EAB-8A64-0A4EDBA80A86}"/>
  <tableColumns count="4">
    <tableColumn id="1" xr3:uid="{EF9B9376-5E74-4CFE-957D-C4D01EF95824}" name="CUSTOS TABELADOS PARA PROCESSOS DE AUTORIZAÇÃO DE INTERVENÇÃO AMBIENTAL" totalsRowLabel="Total" dataDxfId="8" totalsRowDxfId="7" dataCellStyle="Normal 2"/>
    <tableColumn id="3" xr3:uid="{C3DFD5A4-776A-43A5-A1BD-31FBDD87A76A}" name="Custo (Ufemgs)" totalsRowLabel="-" dataDxfId="6" totalsRowDxfId="5" dataCellStyle="Normal 2"/>
    <tableColumn id="5" xr3:uid="{1523F0AC-7A5D-468D-AD78-A68AB499E543}" name="Area (ha)" totalsRowLabel="-" dataDxfId="4" totalsRowDxfId="3" dataCellStyle="Normal 2"/>
    <tableColumn id="6" xr3:uid="{E4CEA827-03C6-459D-94E1-84A5DA5FA631}" name="Custo (R$)" totalsRowFunction="sum" dataDxfId="2" totalsRowDxfId="1" dataCellStyle="Normal 2">
      <calculatedColumnFormula>124*$C$1+$C$1*Tabela2[[#This Row],[Area (ha)]]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7A646-74D6-4F8C-8F3A-3E159CFBF316}">
  <dimension ref="A1:H372"/>
  <sheetViews>
    <sheetView zoomScale="85" zoomScaleNormal="85" workbookViewId="0">
      <selection activeCell="A18" sqref="A18:A25"/>
    </sheetView>
  </sheetViews>
  <sheetFormatPr defaultRowHeight="14.4"/>
  <cols>
    <col min="1" max="1" width="50.6640625" customWidth="1"/>
    <col min="2" max="2" width="56.109375" bestFit="1" customWidth="1"/>
    <col min="3" max="9" width="21.44140625" customWidth="1"/>
    <col min="11" max="12" width="20" bestFit="1" customWidth="1"/>
  </cols>
  <sheetData>
    <row r="1" spans="1:8">
      <c r="A1" s="125" t="s">
        <v>314</v>
      </c>
    </row>
    <row r="2" spans="1:8">
      <c r="A2" s="125"/>
    </row>
    <row r="3" spans="1:8" ht="15" thickBot="1">
      <c r="A3" s="1" t="s">
        <v>316</v>
      </c>
    </row>
    <row r="4" spans="1:8" ht="24.6" thickBot="1">
      <c r="A4" s="2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4" t="s">
        <v>9</v>
      </c>
    </row>
    <row r="5" spans="1:8">
      <c r="A5" s="5" t="s">
        <v>10</v>
      </c>
      <c r="B5" s="177">
        <v>19016.060099999999</v>
      </c>
      <c r="C5" s="6">
        <f t="shared" ref="C5:C11" si="0">B5*0.2</f>
        <v>3803.2120199999999</v>
      </c>
      <c r="D5" s="6">
        <f t="shared" ref="D5:D11" si="1">B5*0.3</f>
        <v>5704.8180299999995</v>
      </c>
      <c r="E5" s="6">
        <f t="shared" ref="E5:E11" si="2">SUM(B5:D5)*0.12</f>
        <v>3422.8908179999994</v>
      </c>
      <c r="F5" s="6">
        <f t="shared" ref="F5:F11" si="3">SUM(B5:E5)*0.1662</f>
        <v>5309.5882368815992</v>
      </c>
      <c r="G5" s="7">
        <f t="shared" ref="G5:G11" si="4">SUM(B5:F5)</f>
        <v>37256.569204881598</v>
      </c>
    </row>
    <row r="6" spans="1:8">
      <c r="A6" s="5" t="s">
        <v>11</v>
      </c>
      <c r="B6" s="177">
        <f>B7*1.2</f>
        <v>16636.2</v>
      </c>
      <c r="C6" s="6">
        <f t="shared" si="0"/>
        <v>3327.2400000000002</v>
      </c>
      <c r="D6" s="6">
        <f t="shared" si="1"/>
        <v>4990.8599999999997</v>
      </c>
      <c r="E6" s="6">
        <f t="shared" si="2"/>
        <v>2994.5160000000001</v>
      </c>
      <c r="F6" s="6">
        <f t="shared" si="3"/>
        <v>4645.0932192</v>
      </c>
      <c r="G6" s="7">
        <f t="shared" si="4"/>
        <v>32593.909219200003</v>
      </c>
    </row>
    <row r="7" spans="1:8">
      <c r="A7" s="5" t="s">
        <v>12</v>
      </c>
      <c r="B7" s="177">
        <f>B11*8.5</f>
        <v>13863.5</v>
      </c>
      <c r="C7" s="6">
        <f t="shared" si="0"/>
        <v>2772.7000000000003</v>
      </c>
      <c r="D7" s="6">
        <f t="shared" si="1"/>
        <v>4159.05</v>
      </c>
      <c r="E7" s="6">
        <f t="shared" si="2"/>
        <v>2495.4299999999998</v>
      </c>
      <c r="F7" s="6">
        <f t="shared" si="3"/>
        <v>3870.9110159999996</v>
      </c>
      <c r="G7" s="7">
        <f t="shared" si="4"/>
        <v>27161.591015999998</v>
      </c>
    </row>
    <row r="8" spans="1:8">
      <c r="A8" s="5" t="s">
        <v>13</v>
      </c>
      <c r="B8" s="177">
        <f>6*B11</f>
        <v>9786</v>
      </c>
      <c r="C8" s="6">
        <f t="shared" si="0"/>
        <v>1957.2</v>
      </c>
      <c r="D8" s="6">
        <f t="shared" si="1"/>
        <v>2935.7999999999997</v>
      </c>
      <c r="E8" s="6">
        <f t="shared" si="2"/>
        <v>1761.48</v>
      </c>
      <c r="F8" s="6">
        <f t="shared" si="3"/>
        <v>2732.4077759999996</v>
      </c>
      <c r="G8" s="7">
        <f t="shared" si="4"/>
        <v>19172.887776</v>
      </c>
    </row>
    <row r="9" spans="1:8">
      <c r="A9" s="5" t="s">
        <v>14</v>
      </c>
      <c r="B9" s="177">
        <f>B11*1.2</f>
        <v>1957.1999999999998</v>
      </c>
      <c r="C9" s="6">
        <f t="shared" si="0"/>
        <v>391.44</v>
      </c>
      <c r="D9" s="6">
        <f t="shared" si="1"/>
        <v>587.16</v>
      </c>
      <c r="E9" s="6">
        <f t="shared" si="2"/>
        <v>352.29599999999994</v>
      </c>
      <c r="F9" s="6">
        <f t="shared" si="3"/>
        <v>546.48155519999989</v>
      </c>
      <c r="G9" s="7">
        <f t="shared" si="4"/>
        <v>3834.5775551999996</v>
      </c>
    </row>
    <row r="10" spans="1:8">
      <c r="A10" s="5" t="s">
        <v>15</v>
      </c>
      <c r="B10" s="177">
        <f>B11*1.1</f>
        <v>1794.1000000000001</v>
      </c>
      <c r="C10" s="6">
        <f t="shared" si="0"/>
        <v>358.82000000000005</v>
      </c>
      <c r="D10" s="6">
        <f t="shared" si="1"/>
        <v>538.23</v>
      </c>
      <c r="E10" s="6">
        <f t="shared" si="2"/>
        <v>322.93799999999999</v>
      </c>
      <c r="F10" s="6">
        <f t="shared" si="3"/>
        <v>500.9414256</v>
      </c>
      <c r="G10" s="7">
        <f t="shared" si="4"/>
        <v>3515.0294256000002</v>
      </c>
    </row>
    <row r="11" spans="1:8" ht="15" thickBot="1">
      <c r="A11" s="124" t="s">
        <v>16</v>
      </c>
      <c r="B11" s="211">
        <v>1631</v>
      </c>
      <c r="C11" s="212">
        <f t="shared" si="0"/>
        <v>326.20000000000005</v>
      </c>
      <c r="D11" s="212">
        <f t="shared" si="1"/>
        <v>489.29999999999995</v>
      </c>
      <c r="E11" s="212">
        <f t="shared" si="2"/>
        <v>293.58</v>
      </c>
      <c r="F11" s="212">
        <f t="shared" si="3"/>
        <v>455.40129599999995</v>
      </c>
      <c r="G11" s="213">
        <f t="shared" si="4"/>
        <v>3195.4812959999999</v>
      </c>
    </row>
    <row r="12" spans="1:8">
      <c r="C12" s="8"/>
      <c r="D12" s="8"/>
      <c r="E12" s="8"/>
      <c r="F12" s="8"/>
      <c r="G12" s="8"/>
    </row>
    <row r="13" spans="1:8" ht="15" thickBot="1">
      <c r="A13" s="1" t="s">
        <v>315</v>
      </c>
      <c r="C13" s="9"/>
      <c r="D13" s="9"/>
      <c r="E13" s="9"/>
      <c r="F13" s="9"/>
      <c r="G13" s="9"/>
    </row>
    <row r="14" spans="1:8" ht="24.6" thickBot="1">
      <c r="A14" s="2" t="s">
        <v>2</v>
      </c>
      <c r="B14" s="3" t="s">
        <v>17</v>
      </c>
      <c r="C14" s="3" t="s">
        <v>18</v>
      </c>
      <c r="D14" s="3" t="s">
        <v>19</v>
      </c>
      <c r="E14" s="3" t="s">
        <v>20</v>
      </c>
      <c r="F14" s="3" t="s">
        <v>21</v>
      </c>
      <c r="G14" s="4" t="s">
        <v>22</v>
      </c>
    </row>
    <row r="15" spans="1:8">
      <c r="A15" s="253" t="s">
        <v>23</v>
      </c>
      <c r="B15" s="10" t="s">
        <v>24</v>
      </c>
      <c r="C15" s="11" t="s">
        <v>25</v>
      </c>
      <c r="D15" s="12">
        <v>3080.7286142497815</v>
      </c>
      <c r="E15" s="12">
        <f>D15*0.12</f>
        <v>369.68743370997379</v>
      </c>
      <c r="F15" s="12">
        <f t="shared" ref="F15:F46" si="5">D15*0.1662</f>
        <v>512.01709568831359</v>
      </c>
      <c r="G15" s="13">
        <f t="shared" ref="G15:G46" si="6">SUM(D15:F15)</f>
        <v>3962.4331436480688</v>
      </c>
      <c r="H15" s="8"/>
    </row>
    <row r="16" spans="1:8">
      <c r="A16" s="247"/>
      <c r="B16" s="14" t="s">
        <v>26</v>
      </c>
      <c r="C16" s="15" t="s">
        <v>25</v>
      </c>
      <c r="D16" s="16">
        <v>3731.3157813665575</v>
      </c>
      <c r="E16" s="16">
        <f t="shared" ref="E16:E46" si="7">D16*0.12</f>
        <v>447.75789376398689</v>
      </c>
      <c r="F16" s="16">
        <f t="shared" si="5"/>
        <v>620.14468286312183</v>
      </c>
      <c r="G16" s="17">
        <f t="shared" si="6"/>
        <v>4799.2183579936664</v>
      </c>
      <c r="H16" s="8"/>
    </row>
    <row r="17" spans="1:8">
      <c r="A17" s="247"/>
      <c r="B17" s="14" t="s">
        <v>27</v>
      </c>
      <c r="C17" s="15" t="s">
        <v>25</v>
      </c>
      <c r="D17" s="16">
        <v>8598.9246879260081</v>
      </c>
      <c r="E17" s="16">
        <f t="shared" si="7"/>
        <v>1031.870962551121</v>
      </c>
      <c r="F17" s="16">
        <f t="shared" si="5"/>
        <v>1429.1412831333025</v>
      </c>
      <c r="G17" s="17">
        <f t="shared" si="6"/>
        <v>11059.93693361043</v>
      </c>
      <c r="H17" s="8"/>
    </row>
    <row r="18" spans="1:8" ht="14.4" customHeight="1">
      <c r="A18" s="249" t="s">
        <v>28</v>
      </c>
      <c r="B18" s="14" t="s">
        <v>29</v>
      </c>
      <c r="C18" s="15" t="s">
        <v>25</v>
      </c>
      <c r="D18" s="16">
        <v>18.932110005041562</v>
      </c>
      <c r="E18" s="16">
        <f t="shared" si="7"/>
        <v>2.2718532006049874</v>
      </c>
      <c r="F18" s="16">
        <f t="shared" si="5"/>
        <v>3.1465166828379072</v>
      </c>
      <c r="G18" s="17">
        <f t="shared" si="6"/>
        <v>24.350479888484458</v>
      </c>
      <c r="H18" s="8"/>
    </row>
    <row r="19" spans="1:8">
      <c r="A19" s="247"/>
      <c r="B19" s="14" t="s">
        <v>30</v>
      </c>
      <c r="C19" s="15" t="s">
        <v>31</v>
      </c>
      <c r="D19" s="16">
        <v>1504.9997826883807</v>
      </c>
      <c r="E19" s="16">
        <f t="shared" si="7"/>
        <v>180.59997392260567</v>
      </c>
      <c r="F19" s="16">
        <f t="shared" si="5"/>
        <v>250.13096388280886</v>
      </c>
      <c r="G19" s="17">
        <f t="shared" si="6"/>
        <v>1935.7307204937952</v>
      </c>
      <c r="H19" s="8"/>
    </row>
    <row r="20" spans="1:8">
      <c r="A20" s="247"/>
      <c r="B20" s="14" t="s">
        <v>32</v>
      </c>
      <c r="C20" s="15" t="s">
        <v>25</v>
      </c>
      <c r="D20" s="16">
        <v>76.12240462087118</v>
      </c>
      <c r="E20" s="16">
        <f t="shared" si="7"/>
        <v>9.1346885545045406</v>
      </c>
      <c r="F20" s="16">
        <f t="shared" si="5"/>
        <v>12.65154364798879</v>
      </c>
      <c r="G20" s="17">
        <f t="shared" si="6"/>
        <v>97.908636823364503</v>
      </c>
      <c r="H20" s="8"/>
    </row>
    <row r="21" spans="1:8">
      <c r="A21" s="247"/>
      <c r="B21" s="14" t="s">
        <v>33</v>
      </c>
      <c r="C21" s="15" t="s">
        <v>25</v>
      </c>
      <c r="D21" s="16">
        <v>863.03672149686497</v>
      </c>
      <c r="E21" s="16">
        <f t="shared" si="7"/>
        <v>103.56440657962379</v>
      </c>
      <c r="F21" s="16">
        <f t="shared" si="5"/>
        <v>143.43670311277896</v>
      </c>
      <c r="G21" s="17">
        <f t="shared" si="6"/>
        <v>1110.0378311892678</v>
      </c>
      <c r="H21" s="8"/>
    </row>
    <row r="22" spans="1:8">
      <c r="A22" s="247"/>
      <c r="B22" s="14" t="s">
        <v>34</v>
      </c>
      <c r="C22" s="15" t="s">
        <v>25</v>
      </c>
      <c r="D22" s="16">
        <v>10.728246207709947</v>
      </c>
      <c r="E22" s="16">
        <f t="shared" si="7"/>
        <v>1.2873895449251938</v>
      </c>
      <c r="F22" s="16">
        <f t="shared" si="5"/>
        <v>1.783034519721393</v>
      </c>
      <c r="G22" s="17">
        <f t="shared" si="6"/>
        <v>13.798670272356535</v>
      </c>
      <c r="H22" s="8"/>
    </row>
    <row r="23" spans="1:8">
      <c r="A23" s="247"/>
      <c r="B23" s="14" t="s">
        <v>35</v>
      </c>
      <c r="C23" s="15" t="s">
        <v>25</v>
      </c>
      <c r="D23" s="16">
        <v>87.469937989547105</v>
      </c>
      <c r="E23" s="16">
        <f t="shared" si="7"/>
        <v>10.496392558745653</v>
      </c>
      <c r="F23" s="16">
        <f t="shared" si="5"/>
        <v>14.537503693862728</v>
      </c>
      <c r="G23" s="17">
        <f t="shared" si="6"/>
        <v>112.50383424215549</v>
      </c>
      <c r="H23" s="8"/>
    </row>
    <row r="24" spans="1:8">
      <c r="A24" s="247"/>
      <c r="B24" s="14" t="s">
        <v>36</v>
      </c>
      <c r="C24" s="15" t="s">
        <v>25</v>
      </c>
      <c r="D24" s="16">
        <v>97.188819988385703</v>
      </c>
      <c r="E24" s="16">
        <f t="shared" si="7"/>
        <v>11.662658398606284</v>
      </c>
      <c r="F24" s="16">
        <f t="shared" si="5"/>
        <v>16.152781882069704</v>
      </c>
      <c r="G24" s="17">
        <f t="shared" si="6"/>
        <v>125.00426026906169</v>
      </c>
      <c r="H24" s="8"/>
    </row>
    <row r="25" spans="1:8">
      <c r="A25" s="247"/>
      <c r="B25" s="14" t="s">
        <v>37</v>
      </c>
      <c r="C25" s="15" t="s">
        <v>38</v>
      </c>
      <c r="D25" s="16">
        <v>5598.0760313310147</v>
      </c>
      <c r="E25" s="16">
        <f t="shared" si="7"/>
        <v>671.76912375972177</v>
      </c>
      <c r="F25" s="16">
        <f t="shared" si="5"/>
        <v>930.40023640721461</v>
      </c>
      <c r="G25" s="17">
        <f t="shared" si="6"/>
        <v>7200.2453914979515</v>
      </c>
      <c r="H25" s="8"/>
    </row>
    <row r="26" spans="1:8" ht="14.4" customHeight="1">
      <c r="A26" s="249" t="s">
        <v>39</v>
      </c>
      <c r="B26" s="14" t="s">
        <v>40</v>
      </c>
      <c r="C26" s="15" t="s">
        <v>31</v>
      </c>
      <c r="D26" s="16">
        <v>27.850428255871805</v>
      </c>
      <c r="E26" s="16">
        <f t="shared" si="7"/>
        <v>3.3420513907046163</v>
      </c>
      <c r="F26" s="16">
        <f t="shared" si="5"/>
        <v>4.6287411761258932</v>
      </c>
      <c r="G26" s="17">
        <f t="shared" si="6"/>
        <v>35.821220822702315</v>
      </c>
      <c r="H26" s="8"/>
    </row>
    <row r="27" spans="1:8">
      <c r="A27" s="247"/>
      <c r="B27" s="14" t="s">
        <v>41</v>
      </c>
      <c r="C27" s="15" t="s">
        <v>31</v>
      </c>
      <c r="D27" s="16">
        <v>293.75903974409505</v>
      </c>
      <c r="E27" s="16">
        <f t="shared" si="7"/>
        <v>35.251084769291403</v>
      </c>
      <c r="F27" s="16">
        <f t="shared" si="5"/>
        <v>48.822752405468592</v>
      </c>
      <c r="G27" s="17">
        <f t="shared" si="6"/>
        <v>377.83287691885505</v>
      </c>
      <c r="H27" s="8"/>
    </row>
    <row r="28" spans="1:8">
      <c r="A28" s="247"/>
      <c r="B28" s="14" t="s">
        <v>42</v>
      </c>
      <c r="C28" s="15" t="s">
        <v>31</v>
      </c>
      <c r="D28" s="16">
        <v>6.1578836344641177</v>
      </c>
      <c r="E28" s="16">
        <f t="shared" si="7"/>
        <v>0.7389460361356941</v>
      </c>
      <c r="F28" s="16">
        <f t="shared" si="5"/>
        <v>1.0234402600479362</v>
      </c>
      <c r="G28" s="17">
        <f t="shared" si="6"/>
        <v>7.9202699306477475</v>
      </c>
      <c r="H28" s="8"/>
    </row>
    <row r="29" spans="1:8">
      <c r="A29" s="247"/>
      <c r="B29" s="14" t="s">
        <v>43</v>
      </c>
      <c r="C29" s="15" t="s">
        <v>31</v>
      </c>
      <c r="D29" s="16">
        <v>39.186532219317101</v>
      </c>
      <c r="E29" s="16">
        <f t="shared" si="7"/>
        <v>4.7023838663180522</v>
      </c>
      <c r="F29" s="16">
        <f t="shared" si="5"/>
        <v>6.5128016548505014</v>
      </c>
      <c r="G29" s="17">
        <f t="shared" si="6"/>
        <v>50.401717740485651</v>
      </c>
      <c r="H29" s="8"/>
    </row>
    <row r="30" spans="1:8">
      <c r="A30" s="247"/>
      <c r="B30" s="14" t="s">
        <v>44</v>
      </c>
      <c r="C30" s="15" t="s">
        <v>31</v>
      </c>
      <c r="D30" s="16">
        <v>15.079817309397923</v>
      </c>
      <c r="E30" s="16">
        <f t="shared" si="7"/>
        <v>1.8095780771277505</v>
      </c>
      <c r="F30" s="16">
        <f t="shared" si="5"/>
        <v>2.5062656368219347</v>
      </c>
      <c r="G30" s="17">
        <f t="shared" si="6"/>
        <v>19.395661023347607</v>
      </c>
      <c r="H30" s="8"/>
    </row>
    <row r="31" spans="1:8">
      <c r="A31" s="247"/>
      <c r="B31" s="14" t="s">
        <v>45</v>
      </c>
      <c r="C31" s="15" t="s">
        <v>31</v>
      </c>
      <c r="D31" s="16">
        <v>856.16096010485069</v>
      </c>
      <c r="E31" s="16">
        <f t="shared" si="7"/>
        <v>102.73931521258208</v>
      </c>
      <c r="F31" s="16">
        <f t="shared" si="5"/>
        <v>142.29395156942618</v>
      </c>
      <c r="G31" s="17">
        <f t="shared" si="6"/>
        <v>1101.1942268868588</v>
      </c>
      <c r="H31" s="8"/>
    </row>
    <row r="32" spans="1:8">
      <c r="A32" s="247"/>
      <c r="B32" s="14" t="s">
        <v>46</v>
      </c>
      <c r="C32" s="15" t="s">
        <v>31</v>
      </c>
      <c r="D32" s="16">
        <v>65.581460707042851</v>
      </c>
      <c r="E32" s="16">
        <f t="shared" si="7"/>
        <v>7.8697752848451419</v>
      </c>
      <c r="F32" s="16">
        <f t="shared" si="5"/>
        <v>10.899638769510521</v>
      </c>
      <c r="G32" s="17">
        <f t="shared" si="6"/>
        <v>84.350874761398515</v>
      </c>
      <c r="H32" s="8"/>
    </row>
    <row r="33" spans="1:8">
      <c r="A33" s="247"/>
      <c r="B33" s="14" t="s">
        <v>47</v>
      </c>
      <c r="C33" s="15" t="s">
        <v>31</v>
      </c>
      <c r="D33" s="16">
        <v>160.87470995037509</v>
      </c>
      <c r="E33" s="16">
        <f t="shared" si="7"/>
        <v>19.30496519404501</v>
      </c>
      <c r="F33" s="16">
        <f t="shared" si="5"/>
        <v>26.73737679375234</v>
      </c>
      <c r="G33" s="17">
        <f t="shared" si="6"/>
        <v>206.91705193817245</v>
      </c>
      <c r="H33" s="8"/>
    </row>
    <row r="34" spans="1:8">
      <c r="A34" s="247"/>
      <c r="B34" s="14" t="s">
        <v>48</v>
      </c>
      <c r="C34" s="15" t="s">
        <v>31</v>
      </c>
      <c r="D34" s="16">
        <v>62.208619898165921</v>
      </c>
      <c r="E34" s="16">
        <f t="shared" si="7"/>
        <v>7.4650343877799106</v>
      </c>
      <c r="F34" s="16">
        <f t="shared" si="5"/>
        <v>10.339072627075176</v>
      </c>
      <c r="G34" s="17">
        <f t="shared" si="6"/>
        <v>80.012726913020998</v>
      </c>
      <c r="H34" s="8"/>
    </row>
    <row r="35" spans="1:8">
      <c r="A35" s="247"/>
      <c r="B35" s="14" t="s">
        <v>49</v>
      </c>
      <c r="C35" s="15" t="s">
        <v>31</v>
      </c>
      <c r="D35" s="16">
        <v>81.87186195821613</v>
      </c>
      <c r="E35" s="16">
        <f t="shared" si="7"/>
        <v>9.824623434985936</v>
      </c>
      <c r="F35" s="16">
        <f t="shared" si="5"/>
        <v>13.607103457455519</v>
      </c>
      <c r="G35" s="17">
        <f t="shared" si="6"/>
        <v>105.30358885065759</v>
      </c>
      <c r="H35" s="8"/>
    </row>
    <row r="36" spans="1:8">
      <c r="A36" s="247"/>
      <c r="B36" s="14" t="s">
        <v>50</v>
      </c>
      <c r="C36" s="15" t="s">
        <v>31</v>
      </c>
      <c r="D36" s="16">
        <v>54.581241305477398</v>
      </c>
      <c r="E36" s="16">
        <f t="shared" si="7"/>
        <v>6.5497489566572877</v>
      </c>
      <c r="F36" s="16">
        <f t="shared" si="5"/>
        <v>9.0714023049703432</v>
      </c>
      <c r="G36" s="17">
        <f t="shared" si="6"/>
        <v>70.202392567105036</v>
      </c>
      <c r="H36" s="8"/>
    </row>
    <row r="37" spans="1:8">
      <c r="A37" s="247"/>
      <c r="B37" s="14" t="s">
        <v>51</v>
      </c>
      <c r="C37" s="15" t="s">
        <v>52</v>
      </c>
      <c r="D37" s="16">
        <v>13.98119488824921</v>
      </c>
      <c r="E37" s="16">
        <f t="shared" si="7"/>
        <v>1.6777433865899052</v>
      </c>
      <c r="F37" s="16">
        <f t="shared" si="5"/>
        <v>2.3236745904270184</v>
      </c>
      <c r="G37" s="17">
        <f t="shared" si="6"/>
        <v>17.982612865266134</v>
      </c>
      <c r="H37" s="8"/>
    </row>
    <row r="38" spans="1:8" ht="14.4" customHeight="1">
      <c r="A38" s="249" t="s">
        <v>53</v>
      </c>
      <c r="B38" s="14" t="s">
        <v>54</v>
      </c>
      <c r="C38" s="15" t="s">
        <v>31</v>
      </c>
      <c r="D38" s="16">
        <v>179.27838490337578</v>
      </c>
      <c r="E38" s="16">
        <f t="shared" si="7"/>
        <v>21.513406188405092</v>
      </c>
      <c r="F38" s="16">
        <f t="shared" si="5"/>
        <v>29.796067570941052</v>
      </c>
      <c r="G38" s="17">
        <f t="shared" si="6"/>
        <v>230.58785866272194</v>
      </c>
      <c r="H38" s="8"/>
    </row>
    <row r="39" spans="1:8">
      <c r="A39" s="247"/>
      <c r="B39" s="14" t="s">
        <v>55</v>
      </c>
      <c r="C39" s="15" t="s">
        <v>25</v>
      </c>
      <c r="D39" s="16">
        <v>9.0735482341156892</v>
      </c>
      <c r="E39" s="16">
        <f t="shared" si="7"/>
        <v>1.0888257880938828</v>
      </c>
      <c r="F39" s="16">
        <f t="shared" si="5"/>
        <v>1.5080237165100274</v>
      </c>
      <c r="G39" s="17">
        <f t="shared" si="6"/>
        <v>11.670397738719601</v>
      </c>
      <c r="H39" s="8"/>
    </row>
    <row r="40" spans="1:8" ht="14.4" customHeight="1">
      <c r="A40" s="249" t="s">
        <v>56</v>
      </c>
      <c r="B40" s="14" t="s">
        <v>57</v>
      </c>
      <c r="C40" s="15" t="s">
        <v>31</v>
      </c>
      <c r="D40" s="16">
        <v>5.4581241305477395</v>
      </c>
      <c r="E40" s="16">
        <f t="shared" si="7"/>
        <v>0.65497489566572875</v>
      </c>
      <c r="F40" s="16">
        <f t="shared" si="5"/>
        <v>0.90714023049703418</v>
      </c>
      <c r="G40" s="17">
        <f t="shared" si="6"/>
        <v>7.0202392567105019</v>
      </c>
      <c r="H40" s="8"/>
    </row>
    <row r="41" spans="1:8">
      <c r="A41" s="247"/>
      <c r="B41" s="14" t="s">
        <v>58</v>
      </c>
      <c r="C41" s="15" t="s">
        <v>31</v>
      </c>
      <c r="D41" s="16">
        <v>108.46272310703844</v>
      </c>
      <c r="E41" s="16">
        <f t="shared" si="7"/>
        <v>13.015526772844613</v>
      </c>
      <c r="F41" s="16">
        <f t="shared" si="5"/>
        <v>18.026504580389787</v>
      </c>
      <c r="G41" s="17">
        <f t="shared" si="6"/>
        <v>139.50475446027284</v>
      </c>
      <c r="H41" s="8"/>
    </row>
    <row r="42" spans="1:8">
      <c r="A42" s="247"/>
      <c r="B42" s="14" t="s">
        <v>59</v>
      </c>
      <c r="C42" s="15" t="s">
        <v>31</v>
      </c>
      <c r="D42" s="16">
        <v>1.7493987597909426</v>
      </c>
      <c r="E42" s="16">
        <f t="shared" si="7"/>
        <v>0.20992785117491311</v>
      </c>
      <c r="F42" s="16">
        <f t="shared" si="5"/>
        <v>0.29075007387725466</v>
      </c>
      <c r="G42" s="17">
        <f t="shared" si="6"/>
        <v>2.2500766848431106</v>
      </c>
      <c r="H42" s="8"/>
    </row>
    <row r="43" spans="1:8">
      <c r="A43" s="247"/>
      <c r="B43" s="14" t="s">
        <v>60</v>
      </c>
      <c r="C43" s="15" t="s">
        <v>31</v>
      </c>
      <c r="D43" s="16">
        <v>71.935277002603542</v>
      </c>
      <c r="E43" s="16">
        <f t="shared" si="7"/>
        <v>8.6322332403124253</v>
      </c>
      <c r="F43" s="16">
        <f t="shared" si="5"/>
        <v>11.955643037832708</v>
      </c>
      <c r="G43" s="17">
        <f t="shared" si="6"/>
        <v>92.523153280748687</v>
      </c>
      <c r="H43" s="8"/>
    </row>
    <row r="44" spans="1:8">
      <c r="A44" s="247"/>
      <c r="B44" s="14" t="s">
        <v>61</v>
      </c>
      <c r="C44" s="15" t="s">
        <v>31</v>
      </c>
      <c r="D44" s="16">
        <v>15.814564788510124</v>
      </c>
      <c r="E44" s="16">
        <f t="shared" si="7"/>
        <v>1.8977477746212148</v>
      </c>
      <c r="F44" s="16">
        <f t="shared" si="5"/>
        <v>2.6283806678503825</v>
      </c>
      <c r="G44" s="17">
        <f t="shared" si="6"/>
        <v>20.340693230981721</v>
      </c>
      <c r="H44" s="8"/>
    </row>
    <row r="45" spans="1:8">
      <c r="A45" s="247"/>
      <c r="B45" s="14" t="s">
        <v>62</v>
      </c>
      <c r="C45" s="15" t="s">
        <v>31</v>
      </c>
      <c r="D45" s="16">
        <v>229.09426398718264</v>
      </c>
      <c r="E45" s="16">
        <f t="shared" si="7"/>
        <v>27.491311678461916</v>
      </c>
      <c r="F45" s="16">
        <f t="shared" si="5"/>
        <v>38.075466674669755</v>
      </c>
      <c r="G45" s="17">
        <f t="shared" si="6"/>
        <v>294.66104234031434</v>
      </c>
      <c r="H45" s="8"/>
    </row>
    <row r="46" spans="1:8">
      <c r="A46" s="247"/>
      <c r="B46" s="14" t="s">
        <v>63</v>
      </c>
      <c r="C46" s="15" t="s">
        <v>31</v>
      </c>
      <c r="D46" s="16">
        <v>31.174285899474594</v>
      </c>
      <c r="E46" s="16">
        <f t="shared" si="7"/>
        <v>3.7409143079369511</v>
      </c>
      <c r="F46" s="16">
        <f t="shared" si="5"/>
        <v>5.1811663164926767</v>
      </c>
      <c r="G46" s="17">
        <f t="shared" si="6"/>
        <v>40.096366523904223</v>
      </c>
      <c r="H46" s="8"/>
    </row>
    <row r="47" spans="1:8">
      <c r="A47" s="247"/>
      <c r="B47" s="14" t="s">
        <v>64</v>
      </c>
      <c r="C47" s="15" t="s">
        <v>31</v>
      </c>
      <c r="D47" s="16">
        <v>19.593266109658551</v>
      </c>
      <c r="E47" s="16">
        <f t="shared" ref="E47:E78" si="8">D47*0.12</f>
        <v>2.3511919331590261</v>
      </c>
      <c r="F47" s="16">
        <f t="shared" ref="F47:F78" si="9">D47*0.1662</f>
        <v>3.2564008274252507</v>
      </c>
      <c r="G47" s="17">
        <f t="shared" ref="G47:G78" si="10">SUM(D47:F47)</f>
        <v>25.200858870242826</v>
      </c>
      <c r="H47" s="8"/>
    </row>
    <row r="48" spans="1:8">
      <c r="A48" s="247"/>
      <c r="B48" s="14" t="s">
        <v>65</v>
      </c>
      <c r="C48" s="15" t="s">
        <v>31</v>
      </c>
      <c r="D48" s="16">
        <v>27.706977557568951</v>
      </c>
      <c r="E48" s="16">
        <f t="shared" si="8"/>
        <v>3.3248373069082739</v>
      </c>
      <c r="F48" s="16">
        <f t="shared" si="9"/>
        <v>4.604899670067959</v>
      </c>
      <c r="G48" s="17">
        <f t="shared" si="10"/>
        <v>35.636714534545185</v>
      </c>
      <c r="H48" s="8"/>
    </row>
    <row r="49" spans="1:8" ht="14.4" customHeight="1">
      <c r="A49" s="249" t="s">
        <v>66</v>
      </c>
      <c r="B49" s="14" t="s">
        <v>67</v>
      </c>
      <c r="C49" s="15" t="s">
        <v>31</v>
      </c>
      <c r="D49" s="16">
        <v>12.452220372191931</v>
      </c>
      <c r="E49" s="16">
        <f t="shared" si="8"/>
        <v>1.4942664446630316</v>
      </c>
      <c r="F49" s="16">
        <f t="shared" si="9"/>
        <v>2.069559025858299</v>
      </c>
      <c r="G49" s="17">
        <f t="shared" si="10"/>
        <v>16.016045842713261</v>
      </c>
      <c r="H49" s="8"/>
    </row>
    <row r="50" spans="1:8">
      <c r="A50" s="247"/>
      <c r="B50" s="14" t="s">
        <v>68</v>
      </c>
      <c r="C50" s="15" t="s">
        <v>31</v>
      </c>
      <c r="D50" s="16">
        <v>374.23138269447838</v>
      </c>
      <c r="E50" s="16">
        <f t="shared" si="8"/>
        <v>44.907765923337408</v>
      </c>
      <c r="F50" s="16">
        <f t="shared" si="9"/>
        <v>62.197255803822301</v>
      </c>
      <c r="G50" s="17">
        <f t="shared" si="10"/>
        <v>481.33640442163812</v>
      </c>
      <c r="H50" s="8"/>
    </row>
    <row r="51" spans="1:8">
      <c r="A51" s="247"/>
      <c r="B51" s="14" t="s">
        <v>69</v>
      </c>
      <c r="C51" s="15" t="s">
        <v>31</v>
      </c>
      <c r="D51" s="16">
        <v>92.36825451696177</v>
      </c>
      <c r="E51" s="16">
        <f t="shared" si="8"/>
        <v>11.084190542035412</v>
      </c>
      <c r="F51" s="16">
        <f t="shared" si="9"/>
        <v>15.351603900719045</v>
      </c>
      <c r="G51" s="17">
        <f t="shared" si="10"/>
        <v>118.80404895971623</v>
      </c>
      <c r="H51" s="8"/>
    </row>
    <row r="52" spans="1:8">
      <c r="A52" s="247"/>
      <c r="B52" s="14" t="s">
        <v>70</v>
      </c>
      <c r="C52" s="15" t="s">
        <v>31</v>
      </c>
      <c r="D52" s="16">
        <v>118.95911566578411</v>
      </c>
      <c r="E52" s="16">
        <f t="shared" si="8"/>
        <v>14.275093879894094</v>
      </c>
      <c r="F52" s="16">
        <f t="shared" si="9"/>
        <v>19.771005023653316</v>
      </c>
      <c r="G52" s="17">
        <f t="shared" si="10"/>
        <v>153.00521456933151</v>
      </c>
      <c r="H52" s="8"/>
    </row>
    <row r="53" spans="1:8">
      <c r="A53" s="247"/>
      <c r="B53" s="14" t="s">
        <v>71</v>
      </c>
      <c r="C53" s="15" t="s">
        <v>31</v>
      </c>
      <c r="D53" s="16">
        <v>16.794228093993048</v>
      </c>
      <c r="E53" s="16">
        <f t="shared" si="8"/>
        <v>2.0153073712791656</v>
      </c>
      <c r="F53" s="16">
        <f t="shared" si="9"/>
        <v>2.7912007092216444</v>
      </c>
      <c r="G53" s="17">
        <f t="shared" si="10"/>
        <v>21.600736174493857</v>
      </c>
      <c r="H53" s="8"/>
    </row>
    <row r="54" spans="1:8">
      <c r="A54" s="247"/>
      <c r="B54" s="14" t="s">
        <v>72</v>
      </c>
      <c r="C54" s="15" t="s">
        <v>31</v>
      </c>
      <c r="D54" s="16">
        <v>118.95911566578411</v>
      </c>
      <c r="E54" s="16">
        <f t="shared" si="8"/>
        <v>14.275093879894094</v>
      </c>
      <c r="F54" s="16">
        <f t="shared" si="9"/>
        <v>19.771005023653316</v>
      </c>
      <c r="G54" s="17">
        <f t="shared" si="10"/>
        <v>153.00521456933151</v>
      </c>
      <c r="H54" s="8"/>
    </row>
    <row r="55" spans="1:8" ht="14.4" customHeight="1">
      <c r="A55" s="249" t="s">
        <v>73</v>
      </c>
      <c r="B55" s="14" t="s">
        <v>74</v>
      </c>
      <c r="C55" s="15" t="s">
        <v>31</v>
      </c>
      <c r="D55" s="16">
        <v>82.571621462132498</v>
      </c>
      <c r="E55" s="16">
        <f t="shared" si="8"/>
        <v>9.9085945754558988</v>
      </c>
      <c r="F55" s="16">
        <f t="shared" si="9"/>
        <v>13.72340348700642</v>
      </c>
      <c r="G55" s="17">
        <f t="shared" si="10"/>
        <v>106.20361952459481</v>
      </c>
      <c r="H55" s="8"/>
    </row>
    <row r="56" spans="1:8">
      <c r="A56" s="247"/>
      <c r="B56" s="14" t="s">
        <v>75</v>
      </c>
      <c r="C56" s="15" t="s">
        <v>31</v>
      </c>
      <c r="D56" s="16">
        <v>654.2751361618125</v>
      </c>
      <c r="E56" s="16">
        <f t="shared" si="8"/>
        <v>78.51301633941749</v>
      </c>
      <c r="F56" s="16">
        <f t="shared" si="9"/>
        <v>108.74052763009323</v>
      </c>
      <c r="G56" s="17">
        <f t="shared" si="10"/>
        <v>841.5286801313232</v>
      </c>
      <c r="H56" s="8"/>
    </row>
    <row r="57" spans="1:8">
      <c r="A57" s="247"/>
      <c r="B57" s="14" t="s">
        <v>76</v>
      </c>
      <c r="C57" s="15" t="s">
        <v>31</v>
      </c>
      <c r="D57" s="16">
        <v>1749.3987597909424</v>
      </c>
      <c r="E57" s="16">
        <f t="shared" si="8"/>
        <v>209.92785117491309</v>
      </c>
      <c r="F57" s="16">
        <f t="shared" si="9"/>
        <v>290.75007387725464</v>
      </c>
      <c r="G57" s="17">
        <f t="shared" si="10"/>
        <v>2250.0766848431103</v>
      </c>
      <c r="H57" s="8"/>
    </row>
    <row r="58" spans="1:8">
      <c r="A58" s="247"/>
      <c r="B58" s="14" t="s">
        <v>77</v>
      </c>
      <c r="C58" s="15" t="s">
        <v>31</v>
      </c>
      <c r="D58" s="16">
        <v>475.83646266313644</v>
      </c>
      <c r="E58" s="16">
        <f t="shared" si="8"/>
        <v>57.100375519576374</v>
      </c>
      <c r="F58" s="16">
        <f t="shared" si="9"/>
        <v>79.084020094613265</v>
      </c>
      <c r="G58" s="17">
        <f t="shared" si="10"/>
        <v>612.02085827732606</v>
      </c>
      <c r="H58" s="8"/>
    </row>
    <row r="59" spans="1:8">
      <c r="A59" s="247"/>
      <c r="B59" s="14" t="s">
        <v>78</v>
      </c>
      <c r="C59" s="15" t="s">
        <v>31</v>
      </c>
      <c r="D59" s="16">
        <v>146.94249822740005</v>
      </c>
      <c r="E59" s="16">
        <f t="shared" si="8"/>
        <v>17.633099787288007</v>
      </c>
      <c r="F59" s="16">
        <f t="shared" si="9"/>
        <v>24.421843205393888</v>
      </c>
      <c r="G59" s="17">
        <f t="shared" si="10"/>
        <v>188.99744122008195</v>
      </c>
      <c r="H59" s="8"/>
    </row>
    <row r="60" spans="1:8">
      <c r="A60" s="247"/>
      <c r="B60" s="14" t="s">
        <v>79</v>
      </c>
      <c r="C60" s="15" t="s">
        <v>31</v>
      </c>
      <c r="D60" s="16">
        <v>74.286468935762585</v>
      </c>
      <c r="E60" s="16">
        <f t="shared" si="8"/>
        <v>8.9143762722915092</v>
      </c>
      <c r="F60" s="16">
        <f t="shared" si="9"/>
        <v>12.346411137123741</v>
      </c>
      <c r="G60" s="17">
        <f t="shared" si="10"/>
        <v>95.547256345177829</v>
      </c>
      <c r="H60" s="8"/>
    </row>
    <row r="61" spans="1:8">
      <c r="A61" s="247"/>
      <c r="B61" s="14" t="s">
        <v>80</v>
      </c>
      <c r="C61" s="15" t="s">
        <v>31</v>
      </c>
      <c r="D61" s="16">
        <v>74.286468935762585</v>
      </c>
      <c r="E61" s="16">
        <f t="shared" si="8"/>
        <v>8.9143762722915092</v>
      </c>
      <c r="F61" s="16">
        <f t="shared" si="9"/>
        <v>12.346411137123741</v>
      </c>
      <c r="G61" s="17">
        <f t="shared" si="10"/>
        <v>95.547256345177829</v>
      </c>
      <c r="H61" s="8"/>
    </row>
    <row r="62" spans="1:8">
      <c r="A62" s="247"/>
      <c r="B62" s="14" t="s">
        <v>81</v>
      </c>
      <c r="C62" s="15" t="s">
        <v>31</v>
      </c>
      <c r="D62" s="16">
        <v>20.600919795298143</v>
      </c>
      <c r="E62" s="16">
        <f t="shared" si="8"/>
        <v>2.4721103754357769</v>
      </c>
      <c r="F62" s="16">
        <f t="shared" si="9"/>
        <v>3.4238728699785512</v>
      </c>
      <c r="G62" s="17">
        <f t="shared" si="10"/>
        <v>26.496903040712471</v>
      </c>
      <c r="H62" s="8"/>
    </row>
    <row r="63" spans="1:8">
      <c r="A63" s="247"/>
      <c r="B63" s="14" t="s">
        <v>82</v>
      </c>
      <c r="C63" s="15" t="s">
        <v>31</v>
      </c>
      <c r="D63" s="16">
        <v>1.7913843300259249</v>
      </c>
      <c r="E63" s="16">
        <f t="shared" si="8"/>
        <v>0.21496611960311099</v>
      </c>
      <c r="F63" s="16">
        <f t="shared" si="9"/>
        <v>0.29772807565030868</v>
      </c>
      <c r="G63" s="17">
        <f t="shared" si="10"/>
        <v>2.304078525279345</v>
      </c>
      <c r="H63" s="8"/>
    </row>
    <row r="64" spans="1:8">
      <c r="A64" s="247"/>
      <c r="B64" s="14" t="s">
        <v>83</v>
      </c>
      <c r="C64" s="15" t="s">
        <v>31</v>
      </c>
      <c r="D64" s="16">
        <v>171.30112655872912</v>
      </c>
      <c r="E64" s="16">
        <f t="shared" si="8"/>
        <v>20.556135187047495</v>
      </c>
      <c r="F64" s="16">
        <f t="shared" si="9"/>
        <v>28.470247234060778</v>
      </c>
      <c r="G64" s="17">
        <f t="shared" si="10"/>
        <v>220.32750897983738</v>
      </c>
      <c r="H64" s="8"/>
    </row>
    <row r="65" spans="1:8">
      <c r="A65" s="247"/>
      <c r="B65" s="14" t="s">
        <v>84</v>
      </c>
      <c r="C65" s="15" t="s">
        <v>31</v>
      </c>
      <c r="D65" s="16">
        <v>214.12640819841138</v>
      </c>
      <c r="E65" s="16">
        <f t="shared" si="8"/>
        <v>25.695168983809364</v>
      </c>
      <c r="F65" s="16">
        <f t="shared" si="9"/>
        <v>35.587809042575969</v>
      </c>
      <c r="G65" s="17">
        <f t="shared" si="10"/>
        <v>275.40938622479672</v>
      </c>
      <c r="H65" s="8"/>
    </row>
    <row r="66" spans="1:8" ht="14.4" customHeight="1">
      <c r="A66" s="249" t="s">
        <v>85</v>
      </c>
      <c r="B66" s="14" t="s">
        <v>86</v>
      </c>
      <c r="C66" s="15" t="s">
        <v>31</v>
      </c>
      <c r="D66" s="16">
        <v>129.08463568745407</v>
      </c>
      <c r="E66" s="16">
        <f t="shared" si="8"/>
        <v>15.490156282494487</v>
      </c>
      <c r="F66" s="16">
        <f t="shared" si="9"/>
        <v>21.453866451254864</v>
      </c>
      <c r="G66" s="17">
        <f t="shared" si="10"/>
        <v>166.02865842120343</v>
      </c>
      <c r="H66" s="8"/>
    </row>
    <row r="67" spans="1:8">
      <c r="A67" s="247"/>
      <c r="B67" s="14" t="s">
        <v>87</v>
      </c>
      <c r="C67" s="15" t="s">
        <v>31</v>
      </c>
      <c r="D67" s="16">
        <v>47.555655886156977</v>
      </c>
      <c r="E67" s="16">
        <f t="shared" si="8"/>
        <v>5.7066787063388373</v>
      </c>
      <c r="F67" s="16">
        <f t="shared" si="9"/>
        <v>7.9037500082792889</v>
      </c>
      <c r="G67" s="17">
        <f t="shared" si="10"/>
        <v>61.1660846007751</v>
      </c>
      <c r="H67" s="8"/>
    </row>
    <row r="68" spans="1:8">
      <c r="A68" s="247"/>
      <c r="B68" s="14" t="s">
        <v>88</v>
      </c>
      <c r="C68" s="15" t="s">
        <v>31</v>
      </c>
      <c r="D68" s="16">
        <v>386.6171259137983</v>
      </c>
      <c r="E68" s="16">
        <f t="shared" si="8"/>
        <v>46.394055109655795</v>
      </c>
      <c r="F68" s="16">
        <f t="shared" si="9"/>
        <v>64.255766326873271</v>
      </c>
      <c r="G68" s="17">
        <f t="shared" si="10"/>
        <v>497.26694735032743</v>
      </c>
      <c r="H68" s="8"/>
    </row>
    <row r="69" spans="1:8">
      <c r="A69" s="247"/>
      <c r="B69" s="14" t="s">
        <v>89</v>
      </c>
      <c r="C69" s="15" t="s">
        <v>31</v>
      </c>
      <c r="D69" s="16">
        <v>16.08047339999834</v>
      </c>
      <c r="E69" s="16">
        <f t="shared" si="8"/>
        <v>1.9296568079998007</v>
      </c>
      <c r="F69" s="16">
        <f t="shared" si="9"/>
        <v>2.672574679079724</v>
      </c>
      <c r="G69" s="17">
        <f t="shared" si="10"/>
        <v>20.682704887077865</v>
      </c>
      <c r="H69" s="8"/>
    </row>
    <row r="70" spans="1:8">
      <c r="A70" s="247"/>
      <c r="B70" s="14" t="s">
        <v>90</v>
      </c>
      <c r="C70" s="15" t="s">
        <v>31</v>
      </c>
      <c r="D70" s="16">
        <v>18.375684572844065</v>
      </c>
      <c r="E70" s="16">
        <f t="shared" si="8"/>
        <v>2.2050821487412877</v>
      </c>
      <c r="F70" s="16">
        <f t="shared" si="9"/>
        <v>3.0540387760066836</v>
      </c>
      <c r="G70" s="17">
        <f t="shared" si="10"/>
        <v>23.634805497592037</v>
      </c>
      <c r="H70" s="8"/>
    </row>
    <row r="71" spans="1:8">
      <c r="A71" s="247"/>
      <c r="B71" s="14" t="s">
        <v>91</v>
      </c>
      <c r="C71" s="15" t="s">
        <v>31</v>
      </c>
      <c r="D71" s="16">
        <v>1746.5997217752767</v>
      </c>
      <c r="E71" s="16">
        <f t="shared" si="8"/>
        <v>209.59196661303321</v>
      </c>
      <c r="F71" s="16">
        <f t="shared" si="9"/>
        <v>290.28487375905098</v>
      </c>
      <c r="G71" s="17">
        <f t="shared" si="10"/>
        <v>2246.4765621473612</v>
      </c>
      <c r="H71" s="8"/>
    </row>
    <row r="72" spans="1:8">
      <c r="A72" s="247"/>
      <c r="B72" s="14" t="s">
        <v>92</v>
      </c>
      <c r="C72" s="15" t="s">
        <v>31</v>
      </c>
      <c r="D72" s="16">
        <v>244.91582637073196</v>
      </c>
      <c r="E72" s="16">
        <f t="shared" si="8"/>
        <v>29.389899164487833</v>
      </c>
      <c r="F72" s="16">
        <f t="shared" si="9"/>
        <v>40.705010342815648</v>
      </c>
      <c r="G72" s="17">
        <f t="shared" si="10"/>
        <v>315.0107358780354</v>
      </c>
      <c r="H72" s="8"/>
    </row>
    <row r="73" spans="1:8">
      <c r="A73" s="247"/>
      <c r="B73" s="14" t="s">
        <v>93</v>
      </c>
      <c r="C73" s="15" t="s">
        <v>31</v>
      </c>
      <c r="D73" s="16">
        <v>178.43867349867617</v>
      </c>
      <c r="E73" s="16">
        <f t="shared" si="8"/>
        <v>21.41264081984114</v>
      </c>
      <c r="F73" s="16">
        <f t="shared" si="9"/>
        <v>29.656507535479978</v>
      </c>
      <c r="G73" s="17">
        <f t="shared" si="10"/>
        <v>229.50782185399729</v>
      </c>
      <c r="H73" s="8"/>
    </row>
    <row r="74" spans="1:8">
      <c r="A74" s="247"/>
      <c r="B74" s="14" t="s">
        <v>94</v>
      </c>
      <c r="C74" s="15" t="s">
        <v>31</v>
      </c>
      <c r="D74" s="16">
        <v>156.7461288772684</v>
      </c>
      <c r="E74" s="16">
        <f t="shared" si="8"/>
        <v>18.809535465272209</v>
      </c>
      <c r="F74" s="16">
        <f t="shared" si="9"/>
        <v>26.051206619402006</v>
      </c>
      <c r="G74" s="17">
        <f t="shared" si="10"/>
        <v>201.6068709619426</v>
      </c>
      <c r="H74" s="8"/>
    </row>
    <row r="75" spans="1:8">
      <c r="A75" s="247"/>
      <c r="B75" s="14" t="s">
        <v>95</v>
      </c>
      <c r="C75" s="15" t="s">
        <v>31</v>
      </c>
      <c r="D75" s="16">
        <v>101.46512806787466</v>
      </c>
      <c r="E75" s="16">
        <f t="shared" si="8"/>
        <v>12.175815368144958</v>
      </c>
      <c r="F75" s="16">
        <f t="shared" si="9"/>
        <v>16.863504284880769</v>
      </c>
      <c r="G75" s="17">
        <f t="shared" si="10"/>
        <v>130.50444772090037</v>
      </c>
      <c r="H75" s="8"/>
    </row>
    <row r="76" spans="1:8">
      <c r="A76" s="247"/>
      <c r="B76" s="14" t="s">
        <v>96</v>
      </c>
      <c r="C76" s="15" t="s">
        <v>31</v>
      </c>
      <c r="D76" s="16">
        <v>11.336103963445311</v>
      </c>
      <c r="E76" s="16">
        <f t="shared" si="8"/>
        <v>1.3603324756134372</v>
      </c>
      <c r="F76" s="16">
        <f t="shared" si="9"/>
        <v>1.8840604787246105</v>
      </c>
      <c r="G76" s="17">
        <f t="shared" si="10"/>
        <v>14.580496917783357</v>
      </c>
      <c r="H76" s="8"/>
    </row>
    <row r="77" spans="1:8">
      <c r="A77" s="247"/>
      <c r="B77" s="14" t="s">
        <v>97</v>
      </c>
      <c r="C77" s="15" t="s">
        <v>31</v>
      </c>
      <c r="D77" s="16">
        <v>82.571621462132498</v>
      </c>
      <c r="E77" s="16">
        <f t="shared" si="8"/>
        <v>9.9085945754558988</v>
      </c>
      <c r="F77" s="16">
        <f t="shared" si="9"/>
        <v>13.72340348700642</v>
      </c>
      <c r="G77" s="17">
        <f t="shared" si="10"/>
        <v>106.20361952459481</v>
      </c>
      <c r="H77" s="8"/>
    </row>
    <row r="78" spans="1:8">
      <c r="A78" s="247"/>
      <c r="B78" s="14" t="s">
        <v>98</v>
      </c>
      <c r="C78" s="15" t="s">
        <v>31</v>
      </c>
      <c r="D78" s="16">
        <v>39.343978107698298</v>
      </c>
      <c r="E78" s="16">
        <f t="shared" si="8"/>
        <v>4.7212773729237956</v>
      </c>
      <c r="F78" s="16">
        <f t="shared" si="9"/>
        <v>6.5389691614994563</v>
      </c>
      <c r="G78" s="17">
        <f t="shared" si="10"/>
        <v>50.604224642121551</v>
      </c>
      <c r="H78" s="8"/>
    </row>
    <row r="79" spans="1:8">
      <c r="A79" s="247" t="s">
        <v>99</v>
      </c>
      <c r="B79" s="14" t="s">
        <v>100</v>
      </c>
      <c r="C79" s="15" t="s">
        <v>25</v>
      </c>
      <c r="D79" s="16">
        <v>2461.8658962984409</v>
      </c>
      <c r="E79" s="16">
        <f t="shared" ref="E79:E96" si="11">D79*0.12</f>
        <v>295.42390755581289</v>
      </c>
      <c r="F79" s="16">
        <f t="shared" ref="F79:F96" si="12">D79*0.1662</f>
        <v>409.16211196480083</v>
      </c>
      <c r="G79" s="17">
        <f t="shared" ref="G79:G96" si="13">SUM(D79:F79)</f>
        <v>3166.4519158190546</v>
      </c>
      <c r="H79" s="8"/>
    </row>
    <row r="80" spans="1:8">
      <c r="A80" s="247"/>
      <c r="B80" s="14" t="s">
        <v>101</v>
      </c>
      <c r="C80" s="15" t="s">
        <v>25</v>
      </c>
      <c r="D80" s="16">
        <v>2823.5995742529735</v>
      </c>
      <c r="E80" s="16">
        <f t="shared" si="11"/>
        <v>338.8319489103568</v>
      </c>
      <c r="F80" s="16">
        <f t="shared" si="12"/>
        <v>469.28224924084418</v>
      </c>
      <c r="G80" s="17">
        <f t="shared" si="13"/>
        <v>3631.7137724041745</v>
      </c>
      <c r="H80" s="8"/>
    </row>
    <row r="81" spans="1:8">
      <c r="A81" s="247"/>
      <c r="B81" s="14" t="s">
        <v>102</v>
      </c>
      <c r="C81" s="15" t="s">
        <v>25</v>
      </c>
      <c r="D81" s="16">
        <v>2470.6408804775515</v>
      </c>
      <c r="E81" s="16">
        <f t="shared" si="11"/>
        <v>296.47690565730619</v>
      </c>
      <c r="F81" s="16">
        <f t="shared" si="12"/>
        <v>410.62051433536902</v>
      </c>
      <c r="G81" s="17">
        <f t="shared" si="13"/>
        <v>3177.7383004702269</v>
      </c>
      <c r="H81" s="8"/>
    </row>
    <row r="82" spans="1:8">
      <c r="A82" s="247"/>
      <c r="B82" s="14" t="s">
        <v>103</v>
      </c>
      <c r="C82" s="15" t="s">
        <v>25</v>
      </c>
      <c r="D82" s="16">
        <v>1469.4949582243919</v>
      </c>
      <c r="E82" s="16">
        <f t="shared" si="11"/>
        <v>176.33939498692703</v>
      </c>
      <c r="F82" s="16">
        <f t="shared" si="12"/>
        <v>244.2300620568939</v>
      </c>
      <c r="G82" s="17">
        <f t="shared" si="13"/>
        <v>1890.064415268213</v>
      </c>
      <c r="H82" s="8"/>
    </row>
    <row r="83" spans="1:8">
      <c r="A83" s="247"/>
      <c r="B83" s="14" t="s">
        <v>104</v>
      </c>
      <c r="C83" s="15" t="s">
        <v>25</v>
      </c>
      <c r="D83" s="16">
        <v>604.92809594562959</v>
      </c>
      <c r="E83" s="16">
        <f t="shared" si="11"/>
        <v>72.591371513475551</v>
      </c>
      <c r="F83" s="16">
        <f t="shared" si="12"/>
        <v>100.53904954616362</v>
      </c>
      <c r="G83" s="17">
        <f t="shared" si="13"/>
        <v>778.05851700526875</v>
      </c>
      <c r="H83" s="8"/>
    </row>
    <row r="84" spans="1:8">
      <c r="A84" s="247" t="s">
        <v>105</v>
      </c>
      <c r="B84" s="14" t="s">
        <v>106</v>
      </c>
      <c r="C84" s="15" t="s">
        <v>25</v>
      </c>
      <c r="D84" s="16">
        <v>1058.8061053758702</v>
      </c>
      <c r="E84" s="16">
        <f t="shared" si="11"/>
        <v>127.05673264510442</v>
      </c>
      <c r="F84" s="16">
        <f t="shared" si="12"/>
        <v>175.97357471346962</v>
      </c>
      <c r="G84" s="17">
        <f t="shared" si="13"/>
        <v>1361.8364127344441</v>
      </c>
      <c r="H84" s="8"/>
    </row>
    <row r="85" spans="1:8">
      <c r="A85" s="247"/>
      <c r="B85" s="14" t="s">
        <v>107</v>
      </c>
      <c r="C85" s="15" t="s">
        <v>25</v>
      </c>
      <c r="D85" s="16">
        <v>882.35474886831651</v>
      </c>
      <c r="E85" s="16">
        <f t="shared" si="11"/>
        <v>105.88256986419798</v>
      </c>
      <c r="F85" s="16">
        <f t="shared" si="12"/>
        <v>146.6473592619142</v>
      </c>
      <c r="G85" s="17">
        <f t="shared" si="13"/>
        <v>1134.8846779944288</v>
      </c>
      <c r="H85" s="8"/>
    </row>
    <row r="86" spans="1:8">
      <c r="A86" s="247"/>
      <c r="B86" s="14" t="s">
        <v>108</v>
      </c>
      <c r="C86" s="15" t="s">
        <v>31</v>
      </c>
      <c r="D86" s="16">
        <v>1567.1114090207263</v>
      </c>
      <c r="E86" s="16">
        <f t="shared" si="11"/>
        <v>188.05336908248717</v>
      </c>
      <c r="F86" s="16">
        <f t="shared" si="12"/>
        <v>260.45391617924469</v>
      </c>
      <c r="G86" s="17">
        <f t="shared" si="13"/>
        <v>2015.6186942824581</v>
      </c>
      <c r="H86" s="8"/>
    </row>
    <row r="87" spans="1:8">
      <c r="A87" s="247"/>
      <c r="B87" s="14" t="s">
        <v>109</v>
      </c>
      <c r="C87" s="15" t="s">
        <v>31</v>
      </c>
      <c r="D87" s="209">
        <v>234.06955406002808</v>
      </c>
      <c r="E87" s="16">
        <f t="shared" si="11"/>
        <v>28.088346487203371</v>
      </c>
      <c r="F87" s="16">
        <f t="shared" si="12"/>
        <v>38.902359884776665</v>
      </c>
      <c r="G87" s="17">
        <f t="shared" si="13"/>
        <v>301.06026043200814</v>
      </c>
      <c r="H87" s="8"/>
    </row>
    <row r="88" spans="1:8">
      <c r="A88" s="247"/>
      <c r="B88" s="14" t="s">
        <v>110</v>
      </c>
      <c r="C88" s="15" t="s">
        <v>31</v>
      </c>
      <c r="D88" s="209">
        <v>765.18701753255846</v>
      </c>
      <c r="E88" s="16">
        <f t="shared" si="11"/>
        <v>91.822442103907008</v>
      </c>
      <c r="F88" s="16">
        <f t="shared" si="12"/>
        <v>127.1740823139112</v>
      </c>
      <c r="G88" s="17">
        <f t="shared" si="13"/>
        <v>984.18354195037659</v>
      </c>
      <c r="H88" s="8"/>
    </row>
    <row r="89" spans="1:8">
      <c r="A89" s="247"/>
      <c r="B89" s="18" t="s">
        <v>111</v>
      </c>
      <c r="C89" s="19" t="s">
        <v>31</v>
      </c>
      <c r="D89" s="210">
        <v>500</v>
      </c>
      <c r="E89" s="20">
        <f t="shared" si="11"/>
        <v>60</v>
      </c>
      <c r="F89" s="20">
        <f t="shared" si="12"/>
        <v>83.1</v>
      </c>
      <c r="G89" s="21">
        <f t="shared" si="13"/>
        <v>643.1</v>
      </c>
      <c r="H89" s="8"/>
    </row>
    <row r="90" spans="1:8">
      <c r="A90" s="247"/>
      <c r="B90" s="18" t="s">
        <v>112</v>
      </c>
      <c r="C90" s="19" t="s">
        <v>31</v>
      </c>
      <c r="D90" s="210">
        <v>200</v>
      </c>
      <c r="E90" s="20">
        <f t="shared" si="11"/>
        <v>24</v>
      </c>
      <c r="F90" s="20">
        <f t="shared" si="12"/>
        <v>33.239999999999995</v>
      </c>
      <c r="G90" s="21">
        <f t="shared" si="13"/>
        <v>257.24</v>
      </c>
      <c r="H90" s="8"/>
    </row>
    <row r="91" spans="1:8">
      <c r="A91" s="250" t="s">
        <v>113</v>
      </c>
      <c r="B91" s="18" t="s">
        <v>114</v>
      </c>
      <c r="C91" s="19" t="s">
        <v>115</v>
      </c>
      <c r="D91" s="20">
        <v>313.77216155610341</v>
      </c>
      <c r="E91" s="20">
        <f t="shared" si="11"/>
        <v>37.65265938673241</v>
      </c>
      <c r="F91" s="20">
        <f t="shared" si="12"/>
        <v>52.148933250624381</v>
      </c>
      <c r="G91" s="21">
        <f t="shared" si="13"/>
        <v>403.57375419346022</v>
      </c>
      <c r="H91" s="8"/>
    </row>
    <row r="92" spans="1:8">
      <c r="A92" s="251"/>
      <c r="B92" s="18" t="s">
        <v>116</v>
      </c>
      <c r="C92" s="19" t="s">
        <v>115</v>
      </c>
      <c r="D92" s="20">
        <v>297.257837263677</v>
      </c>
      <c r="E92" s="20">
        <f t="shared" si="11"/>
        <v>35.670940471641238</v>
      </c>
      <c r="F92" s="20">
        <f t="shared" si="12"/>
        <v>49.404252553223117</v>
      </c>
      <c r="G92" s="21">
        <f t="shared" si="13"/>
        <v>382.33303028854135</v>
      </c>
      <c r="H92" s="8"/>
    </row>
    <row r="93" spans="1:8">
      <c r="A93" s="252"/>
      <c r="B93" s="18" t="s">
        <v>117</v>
      </c>
      <c r="C93" s="19" t="s">
        <v>115</v>
      </c>
      <c r="D93" s="20">
        <v>247.71</v>
      </c>
      <c r="E93" s="20">
        <f t="shared" si="11"/>
        <v>29.725200000000001</v>
      </c>
      <c r="F93" s="20">
        <f t="shared" si="12"/>
        <v>41.169401999999998</v>
      </c>
      <c r="G93" s="21">
        <f t="shared" si="13"/>
        <v>318.604602</v>
      </c>
      <c r="H93" s="8"/>
    </row>
    <row r="94" spans="1:8">
      <c r="A94" s="247" t="s">
        <v>118</v>
      </c>
      <c r="B94" s="14" t="s">
        <v>119</v>
      </c>
      <c r="C94" s="15" t="s">
        <v>120</v>
      </c>
      <c r="D94" s="16">
        <v>1.5534660986943571</v>
      </c>
      <c r="E94" s="16">
        <f t="shared" si="11"/>
        <v>0.18641593184332286</v>
      </c>
      <c r="F94" s="16">
        <f t="shared" si="12"/>
        <v>0.25818606560300211</v>
      </c>
      <c r="G94" s="17">
        <f t="shared" si="13"/>
        <v>1.9980680961406823</v>
      </c>
      <c r="H94" s="8"/>
    </row>
    <row r="95" spans="1:8">
      <c r="A95" s="247"/>
      <c r="B95" s="14" t="s">
        <v>121</v>
      </c>
      <c r="C95" s="15" t="s">
        <v>120</v>
      </c>
      <c r="D95" s="16">
        <v>1.9873169911225108</v>
      </c>
      <c r="E95" s="16">
        <f t="shared" si="11"/>
        <v>0.23847803893470129</v>
      </c>
      <c r="F95" s="16">
        <f t="shared" si="12"/>
        <v>0.33029208392456127</v>
      </c>
      <c r="G95" s="17">
        <f>SUM(D95:F95)</f>
        <v>2.5560871139817731</v>
      </c>
      <c r="H95" s="8"/>
    </row>
    <row r="96" spans="1:8" ht="14.4" customHeight="1" thickBot="1">
      <c r="A96" s="248"/>
      <c r="B96" s="22" t="s">
        <v>122</v>
      </c>
      <c r="C96" s="23" t="s">
        <v>38</v>
      </c>
      <c r="D96" s="24">
        <v>1399.5190078327537</v>
      </c>
      <c r="E96" s="24">
        <f t="shared" si="11"/>
        <v>167.94228093993044</v>
      </c>
      <c r="F96" s="24">
        <f t="shared" si="12"/>
        <v>232.60005910180365</v>
      </c>
      <c r="G96" s="25">
        <f t="shared" si="13"/>
        <v>1800.0613478744879</v>
      </c>
      <c r="H96" s="8"/>
    </row>
    <row r="347" spans="1:7">
      <c r="A347" s="32"/>
      <c r="B347" s="33"/>
      <c r="C347" s="33"/>
      <c r="D347" s="33"/>
    </row>
    <row r="348" spans="1:7">
      <c r="A348" s="32"/>
      <c r="B348" s="33"/>
      <c r="C348" s="33"/>
      <c r="D348" s="33"/>
    </row>
    <row r="351" spans="1:7">
      <c r="G351" s="34"/>
    </row>
    <row r="352" spans="1:7" s="35" customFormat="1" ht="30.75" customHeight="1">
      <c r="G352" s="36"/>
    </row>
    <row r="353" spans="1:7" s="35" customFormat="1">
      <c r="D353" s="37"/>
      <c r="E353" s="37"/>
      <c r="F353" s="37"/>
      <c r="G353" s="37"/>
    </row>
    <row r="354" spans="1:7" s="35" customFormat="1">
      <c r="D354" s="37"/>
      <c r="E354" s="37"/>
      <c r="F354" s="37"/>
      <c r="G354" s="37"/>
    </row>
    <row r="355" spans="1:7" s="35" customFormat="1">
      <c r="D355" s="37"/>
      <c r="E355" s="37"/>
      <c r="F355" s="37"/>
      <c r="G355" s="37"/>
    </row>
    <row r="356" spans="1:7" s="35" customFormat="1">
      <c r="D356" s="37"/>
      <c r="E356" s="37"/>
      <c r="F356" s="37"/>
      <c r="G356" s="37"/>
    </row>
    <row r="357" spans="1:7" s="35" customFormat="1">
      <c r="D357" s="37"/>
      <c r="E357" s="37"/>
      <c r="F357" s="37"/>
      <c r="G357" s="37"/>
    </row>
    <row r="358" spans="1:7" s="35" customFormat="1">
      <c r="D358" s="37"/>
      <c r="E358" s="37"/>
      <c r="F358" s="37"/>
      <c r="G358" s="37"/>
    </row>
    <row r="359" spans="1:7">
      <c r="A359" s="37"/>
      <c r="B359" s="34"/>
      <c r="C359" s="34"/>
      <c r="D359" s="34"/>
      <c r="E359" s="34"/>
      <c r="F359" s="34"/>
      <c r="G359" s="34"/>
    </row>
    <row r="360" spans="1:7">
      <c r="A360" s="37"/>
      <c r="B360" s="34"/>
      <c r="C360" s="34"/>
      <c r="D360" s="34"/>
      <c r="E360" s="34"/>
      <c r="F360" s="34"/>
      <c r="G360" s="34"/>
    </row>
    <row r="361" spans="1:7">
      <c r="A361" s="37"/>
      <c r="B361" s="34"/>
      <c r="C361" s="34"/>
      <c r="D361" s="34"/>
      <c r="E361" s="34"/>
      <c r="F361" s="34"/>
      <c r="G361" s="34"/>
    </row>
    <row r="362" spans="1:7">
      <c r="A362" s="37"/>
      <c r="B362" s="34"/>
      <c r="C362" s="34"/>
      <c r="D362" s="34"/>
      <c r="E362" s="34"/>
      <c r="F362" s="34"/>
      <c r="G362" s="34"/>
    </row>
    <row r="363" spans="1:7">
      <c r="A363" s="37"/>
      <c r="B363" s="34"/>
      <c r="C363" s="34"/>
      <c r="D363" s="34"/>
      <c r="E363" s="34"/>
      <c r="F363" s="34"/>
      <c r="G363" s="34"/>
    </row>
    <row r="364" spans="1:7">
      <c r="A364" s="37"/>
      <c r="B364" s="34"/>
      <c r="C364" s="34"/>
      <c r="D364" s="34"/>
      <c r="E364" s="34"/>
      <c r="F364" s="34"/>
      <c r="G364" s="34"/>
    </row>
    <row r="365" spans="1:7">
      <c r="A365" s="37"/>
      <c r="B365" s="34"/>
      <c r="C365" s="34"/>
      <c r="D365" s="34"/>
      <c r="E365" s="34"/>
      <c r="F365" s="34"/>
      <c r="G365" s="34"/>
    </row>
    <row r="366" spans="1:7">
      <c r="A366" s="37"/>
      <c r="B366" s="34"/>
      <c r="C366" s="34"/>
      <c r="D366" s="34"/>
      <c r="E366" s="34"/>
      <c r="F366" s="34"/>
      <c r="G366" s="34"/>
    </row>
    <row r="367" spans="1:7">
      <c r="A367" s="37"/>
      <c r="B367" s="34"/>
      <c r="C367" s="34"/>
      <c r="D367" s="34"/>
      <c r="E367" s="34"/>
      <c r="F367" s="34"/>
      <c r="G367" s="34"/>
    </row>
    <row r="368" spans="1:7">
      <c r="A368" s="37"/>
      <c r="B368" s="34"/>
      <c r="C368" s="34"/>
      <c r="D368" s="34"/>
      <c r="E368" s="34"/>
      <c r="F368" s="34"/>
      <c r="G368" s="34"/>
    </row>
    <row r="369" spans="1:7">
      <c r="A369" s="37"/>
      <c r="B369" s="34"/>
      <c r="C369" s="34"/>
      <c r="D369" s="34"/>
      <c r="E369" s="34"/>
      <c r="F369" s="34"/>
      <c r="G369" s="34"/>
    </row>
    <row r="370" spans="1:7">
      <c r="A370" s="37"/>
      <c r="B370" s="34"/>
      <c r="C370" s="34"/>
      <c r="D370" s="34"/>
      <c r="E370" s="34"/>
      <c r="F370" s="34"/>
      <c r="G370" s="34"/>
    </row>
    <row r="371" spans="1:7">
      <c r="A371" s="37"/>
      <c r="B371" s="34"/>
      <c r="C371" s="34"/>
      <c r="D371" s="34"/>
      <c r="E371" s="34"/>
      <c r="F371" s="34"/>
      <c r="G371" s="34"/>
    </row>
    <row r="372" spans="1:7">
      <c r="A372" s="37"/>
      <c r="B372" s="34"/>
      <c r="C372" s="34"/>
      <c r="D372" s="34"/>
      <c r="E372" s="34"/>
      <c r="F372" s="34"/>
      <c r="G372" s="34"/>
    </row>
  </sheetData>
  <mergeCells count="12">
    <mergeCell ref="A49:A54"/>
    <mergeCell ref="A15:A17"/>
    <mergeCell ref="A18:A25"/>
    <mergeCell ref="A26:A37"/>
    <mergeCell ref="A38:A39"/>
    <mergeCell ref="A40:A48"/>
    <mergeCell ref="A94:A96"/>
    <mergeCell ref="A55:A65"/>
    <mergeCell ref="A66:A78"/>
    <mergeCell ref="A79:A83"/>
    <mergeCell ref="A84:A90"/>
    <mergeCell ref="A91:A9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24A4-777E-43C4-B381-4E43EB391E88}">
  <dimension ref="A1:U39"/>
  <sheetViews>
    <sheetView zoomScale="85" zoomScaleNormal="85" workbookViewId="0">
      <selection activeCell="A3" sqref="A3"/>
    </sheetView>
  </sheetViews>
  <sheetFormatPr defaultRowHeight="14.4"/>
  <cols>
    <col min="1" max="1" width="36.6640625" customWidth="1"/>
    <col min="3" max="3" width="11.33203125" bestFit="1" customWidth="1"/>
    <col min="4" max="4" width="13.88671875" bestFit="1" customWidth="1"/>
    <col min="7" max="7" width="20.5546875" bestFit="1" customWidth="1"/>
    <col min="9" max="9" width="11.33203125" bestFit="1" customWidth="1"/>
    <col min="10" max="10" width="13.88671875" bestFit="1" customWidth="1"/>
    <col min="11" max="11" width="9.109375" bestFit="1" customWidth="1"/>
    <col min="13" max="13" width="17.33203125" customWidth="1"/>
    <col min="15" max="15" width="10.6640625" bestFit="1" customWidth="1"/>
    <col min="16" max="16" width="13.33203125" bestFit="1" customWidth="1"/>
    <col min="17" max="17" width="9.109375" bestFit="1" customWidth="1"/>
    <col min="20" max="20" width="16.109375" bestFit="1" customWidth="1"/>
    <col min="254" max="254" width="20.5546875" bestFit="1" customWidth="1"/>
    <col min="256" max="256" width="11.33203125" bestFit="1" customWidth="1"/>
    <col min="257" max="257" width="13.88671875" bestFit="1" customWidth="1"/>
    <col min="261" max="261" width="36.6640625" customWidth="1"/>
    <col min="263" max="263" width="11.33203125" bestFit="1" customWidth="1"/>
    <col min="264" max="264" width="13.88671875" bestFit="1" customWidth="1"/>
    <col min="269" max="269" width="17.33203125" customWidth="1"/>
    <col min="271" max="271" width="9.88671875" bestFit="1" customWidth="1"/>
    <col min="510" max="510" width="20.5546875" bestFit="1" customWidth="1"/>
    <col min="512" max="512" width="11.33203125" bestFit="1" customWidth="1"/>
    <col min="513" max="513" width="13.88671875" bestFit="1" customWidth="1"/>
    <col min="517" max="517" width="36.6640625" customWidth="1"/>
    <col min="519" max="519" width="11.33203125" bestFit="1" customWidth="1"/>
    <col min="520" max="520" width="13.88671875" bestFit="1" customWidth="1"/>
    <col min="525" max="525" width="17.33203125" customWidth="1"/>
    <col min="527" max="527" width="9.88671875" bestFit="1" customWidth="1"/>
    <col min="766" max="766" width="20.5546875" bestFit="1" customWidth="1"/>
    <col min="768" max="768" width="11.33203125" bestFit="1" customWidth="1"/>
    <col min="769" max="769" width="13.88671875" bestFit="1" customWidth="1"/>
    <col min="773" max="773" width="36.6640625" customWidth="1"/>
    <col min="775" max="775" width="11.33203125" bestFit="1" customWidth="1"/>
    <col min="776" max="776" width="13.88671875" bestFit="1" customWidth="1"/>
    <col min="781" max="781" width="17.33203125" customWidth="1"/>
    <col min="783" max="783" width="9.88671875" bestFit="1" customWidth="1"/>
    <col min="1022" max="1022" width="20.5546875" bestFit="1" customWidth="1"/>
    <col min="1024" max="1024" width="11.33203125" bestFit="1" customWidth="1"/>
    <col min="1025" max="1025" width="13.88671875" bestFit="1" customWidth="1"/>
    <col min="1029" max="1029" width="36.6640625" customWidth="1"/>
    <col min="1031" max="1031" width="11.33203125" bestFit="1" customWidth="1"/>
    <col min="1032" max="1032" width="13.88671875" bestFit="1" customWidth="1"/>
    <col min="1037" max="1037" width="17.33203125" customWidth="1"/>
    <col min="1039" max="1039" width="9.88671875" bestFit="1" customWidth="1"/>
    <col min="1278" max="1278" width="20.5546875" bestFit="1" customWidth="1"/>
    <col min="1280" max="1280" width="11.33203125" bestFit="1" customWidth="1"/>
    <col min="1281" max="1281" width="13.88671875" bestFit="1" customWidth="1"/>
    <col min="1285" max="1285" width="36.6640625" customWidth="1"/>
    <col min="1287" max="1287" width="11.33203125" bestFit="1" customWidth="1"/>
    <col min="1288" max="1288" width="13.88671875" bestFit="1" customWidth="1"/>
    <col min="1293" max="1293" width="17.33203125" customWidth="1"/>
    <col min="1295" max="1295" width="9.88671875" bestFit="1" customWidth="1"/>
    <col min="1534" max="1534" width="20.5546875" bestFit="1" customWidth="1"/>
    <col min="1536" max="1536" width="11.33203125" bestFit="1" customWidth="1"/>
    <col min="1537" max="1537" width="13.88671875" bestFit="1" customWidth="1"/>
    <col min="1541" max="1541" width="36.6640625" customWidth="1"/>
    <col min="1543" max="1543" width="11.33203125" bestFit="1" customWidth="1"/>
    <col min="1544" max="1544" width="13.88671875" bestFit="1" customWidth="1"/>
    <col min="1549" max="1549" width="17.33203125" customWidth="1"/>
    <col min="1551" max="1551" width="9.88671875" bestFit="1" customWidth="1"/>
    <col min="1790" max="1790" width="20.5546875" bestFit="1" customWidth="1"/>
    <col min="1792" max="1792" width="11.33203125" bestFit="1" customWidth="1"/>
    <col min="1793" max="1793" width="13.88671875" bestFit="1" customWidth="1"/>
    <col min="1797" max="1797" width="36.6640625" customWidth="1"/>
    <col min="1799" max="1799" width="11.33203125" bestFit="1" customWidth="1"/>
    <col min="1800" max="1800" width="13.88671875" bestFit="1" customWidth="1"/>
    <col min="1805" max="1805" width="17.33203125" customWidth="1"/>
    <col min="1807" max="1807" width="9.88671875" bestFit="1" customWidth="1"/>
    <col min="2046" max="2046" width="20.5546875" bestFit="1" customWidth="1"/>
    <col min="2048" max="2048" width="11.33203125" bestFit="1" customWidth="1"/>
    <col min="2049" max="2049" width="13.88671875" bestFit="1" customWidth="1"/>
    <col min="2053" max="2053" width="36.6640625" customWidth="1"/>
    <col min="2055" max="2055" width="11.33203125" bestFit="1" customWidth="1"/>
    <col min="2056" max="2056" width="13.88671875" bestFit="1" customWidth="1"/>
    <col min="2061" max="2061" width="17.33203125" customWidth="1"/>
    <col min="2063" max="2063" width="9.88671875" bestFit="1" customWidth="1"/>
    <col min="2302" max="2302" width="20.5546875" bestFit="1" customWidth="1"/>
    <col min="2304" max="2304" width="11.33203125" bestFit="1" customWidth="1"/>
    <col min="2305" max="2305" width="13.88671875" bestFit="1" customWidth="1"/>
    <col min="2309" max="2309" width="36.6640625" customWidth="1"/>
    <col min="2311" max="2311" width="11.33203125" bestFit="1" customWidth="1"/>
    <col min="2312" max="2312" width="13.88671875" bestFit="1" customWidth="1"/>
    <col min="2317" max="2317" width="17.33203125" customWidth="1"/>
    <col min="2319" max="2319" width="9.88671875" bestFit="1" customWidth="1"/>
    <col min="2558" max="2558" width="20.5546875" bestFit="1" customWidth="1"/>
    <col min="2560" max="2560" width="11.33203125" bestFit="1" customWidth="1"/>
    <col min="2561" max="2561" width="13.88671875" bestFit="1" customWidth="1"/>
    <col min="2565" max="2565" width="36.6640625" customWidth="1"/>
    <col min="2567" max="2567" width="11.33203125" bestFit="1" customWidth="1"/>
    <col min="2568" max="2568" width="13.88671875" bestFit="1" customWidth="1"/>
    <col min="2573" max="2573" width="17.33203125" customWidth="1"/>
    <col min="2575" max="2575" width="9.88671875" bestFit="1" customWidth="1"/>
    <col min="2814" max="2814" width="20.5546875" bestFit="1" customWidth="1"/>
    <col min="2816" max="2816" width="11.33203125" bestFit="1" customWidth="1"/>
    <col min="2817" max="2817" width="13.88671875" bestFit="1" customWidth="1"/>
    <col min="2821" max="2821" width="36.6640625" customWidth="1"/>
    <col min="2823" max="2823" width="11.33203125" bestFit="1" customWidth="1"/>
    <col min="2824" max="2824" width="13.88671875" bestFit="1" customWidth="1"/>
    <col min="2829" max="2829" width="17.33203125" customWidth="1"/>
    <col min="2831" max="2831" width="9.88671875" bestFit="1" customWidth="1"/>
    <col min="3070" max="3070" width="20.5546875" bestFit="1" customWidth="1"/>
    <col min="3072" max="3072" width="11.33203125" bestFit="1" customWidth="1"/>
    <col min="3073" max="3073" width="13.88671875" bestFit="1" customWidth="1"/>
    <col min="3077" max="3077" width="36.6640625" customWidth="1"/>
    <col min="3079" max="3079" width="11.33203125" bestFit="1" customWidth="1"/>
    <col min="3080" max="3080" width="13.88671875" bestFit="1" customWidth="1"/>
    <col min="3085" max="3085" width="17.33203125" customWidth="1"/>
    <col min="3087" max="3087" width="9.88671875" bestFit="1" customWidth="1"/>
    <col min="3326" max="3326" width="20.5546875" bestFit="1" customWidth="1"/>
    <col min="3328" max="3328" width="11.33203125" bestFit="1" customWidth="1"/>
    <col min="3329" max="3329" width="13.88671875" bestFit="1" customWidth="1"/>
    <col min="3333" max="3333" width="36.6640625" customWidth="1"/>
    <col min="3335" max="3335" width="11.33203125" bestFit="1" customWidth="1"/>
    <col min="3336" max="3336" width="13.88671875" bestFit="1" customWidth="1"/>
    <col min="3341" max="3341" width="17.33203125" customWidth="1"/>
    <col min="3343" max="3343" width="9.88671875" bestFit="1" customWidth="1"/>
    <col min="3582" max="3582" width="20.5546875" bestFit="1" customWidth="1"/>
    <col min="3584" max="3584" width="11.33203125" bestFit="1" customWidth="1"/>
    <col min="3585" max="3585" width="13.88671875" bestFit="1" customWidth="1"/>
    <col min="3589" max="3589" width="36.6640625" customWidth="1"/>
    <col min="3591" max="3591" width="11.33203125" bestFit="1" customWidth="1"/>
    <col min="3592" max="3592" width="13.88671875" bestFit="1" customWidth="1"/>
    <col min="3597" max="3597" width="17.33203125" customWidth="1"/>
    <col min="3599" max="3599" width="9.88671875" bestFit="1" customWidth="1"/>
    <col min="3838" max="3838" width="20.5546875" bestFit="1" customWidth="1"/>
    <col min="3840" max="3840" width="11.33203125" bestFit="1" customWidth="1"/>
    <col min="3841" max="3841" width="13.88671875" bestFit="1" customWidth="1"/>
    <col min="3845" max="3845" width="36.6640625" customWidth="1"/>
    <col min="3847" max="3847" width="11.33203125" bestFit="1" customWidth="1"/>
    <col min="3848" max="3848" width="13.88671875" bestFit="1" customWidth="1"/>
    <col min="3853" max="3853" width="17.33203125" customWidth="1"/>
    <col min="3855" max="3855" width="9.88671875" bestFit="1" customWidth="1"/>
    <col min="4094" max="4094" width="20.5546875" bestFit="1" customWidth="1"/>
    <col min="4096" max="4096" width="11.33203125" bestFit="1" customWidth="1"/>
    <col min="4097" max="4097" width="13.88671875" bestFit="1" customWidth="1"/>
    <col min="4101" max="4101" width="36.6640625" customWidth="1"/>
    <col min="4103" max="4103" width="11.33203125" bestFit="1" customWidth="1"/>
    <col min="4104" max="4104" width="13.88671875" bestFit="1" customWidth="1"/>
    <col min="4109" max="4109" width="17.33203125" customWidth="1"/>
    <col min="4111" max="4111" width="9.88671875" bestFit="1" customWidth="1"/>
    <col min="4350" max="4350" width="20.5546875" bestFit="1" customWidth="1"/>
    <col min="4352" max="4352" width="11.33203125" bestFit="1" customWidth="1"/>
    <col min="4353" max="4353" width="13.88671875" bestFit="1" customWidth="1"/>
    <col min="4357" max="4357" width="36.6640625" customWidth="1"/>
    <col min="4359" max="4359" width="11.33203125" bestFit="1" customWidth="1"/>
    <col min="4360" max="4360" width="13.88671875" bestFit="1" customWidth="1"/>
    <col min="4365" max="4365" width="17.33203125" customWidth="1"/>
    <col min="4367" max="4367" width="9.88671875" bestFit="1" customWidth="1"/>
    <col min="4606" max="4606" width="20.5546875" bestFit="1" customWidth="1"/>
    <col min="4608" max="4608" width="11.33203125" bestFit="1" customWidth="1"/>
    <col min="4609" max="4609" width="13.88671875" bestFit="1" customWidth="1"/>
    <col min="4613" max="4613" width="36.6640625" customWidth="1"/>
    <col min="4615" max="4615" width="11.33203125" bestFit="1" customWidth="1"/>
    <col min="4616" max="4616" width="13.88671875" bestFit="1" customWidth="1"/>
    <col min="4621" max="4621" width="17.33203125" customWidth="1"/>
    <col min="4623" max="4623" width="9.88671875" bestFit="1" customWidth="1"/>
    <col min="4862" max="4862" width="20.5546875" bestFit="1" customWidth="1"/>
    <col min="4864" max="4864" width="11.33203125" bestFit="1" customWidth="1"/>
    <col min="4865" max="4865" width="13.88671875" bestFit="1" customWidth="1"/>
    <col min="4869" max="4869" width="36.6640625" customWidth="1"/>
    <col min="4871" max="4871" width="11.33203125" bestFit="1" customWidth="1"/>
    <col min="4872" max="4872" width="13.88671875" bestFit="1" customWidth="1"/>
    <col min="4877" max="4877" width="17.33203125" customWidth="1"/>
    <col min="4879" max="4879" width="9.88671875" bestFit="1" customWidth="1"/>
    <col min="5118" max="5118" width="20.5546875" bestFit="1" customWidth="1"/>
    <col min="5120" max="5120" width="11.33203125" bestFit="1" customWidth="1"/>
    <col min="5121" max="5121" width="13.88671875" bestFit="1" customWidth="1"/>
    <col min="5125" max="5125" width="36.6640625" customWidth="1"/>
    <col min="5127" max="5127" width="11.33203125" bestFit="1" customWidth="1"/>
    <col min="5128" max="5128" width="13.88671875" bestFit="1" customWidth="1"/>
    <col min="5133" max="5133" width="17.33203125" customWidth="1"/>
    <col min="5135" max="5135" width="9.88671875" bestFit="1" customWidth="1"/>
    <col min="5374" max="5374" width="20.5546875" bestFit="1" customWidth="1"/>
    <col min="5376" max="5376" width="11.33203125" bestFit="1" customWidth="1"/>
    <col min="5377" max="5377" width="13.88671875" bestFit="1" customWidth="1"/>
    <col min="5381" max="5381" width="36.6640625" customWidth="1"/>
    <col min="5383" max="5383" width="11.33203125" bestFit="1" customWidth="1"/>
    <col min="5384" max="5384" width="13.88671875" bestFit="1" customWidth="1"/>
    <col min="5389" max="5389" width="17.33203125" customWidth="1"/>
    <col min="5391" max="5391" width="9.88671875" bestFit="1" customWidth="1"/>
    <col min="5630" max="5630" width="20.5546875" bestFit="1" customWidth="1"/>
    <col min="5632" max="5632" width="11.33203125" bestFit="1" customWidth="1"/>
    <col min="5633" max="5633" width="13.88671875" bestFit="1" customWidth="1"/>
    <col min="5637" max="5637" width="36.6640625" customWidth="1"/>
    <col min="5639" max="5639" width="11.33203125" bestFit="1" customWidth="1"/>
    <col min="5640" max="5640" width="13.88671875" bestFit="1" customWidth="1"/>
    <col min="5645" max="5645" width="17.33203125" customWidth="1"/>
    <col min="5647" max="5647" width="9.88671875" bestFit="1" customWidth="1"/>
    <col min="5886" max="5886" width="20.5546875" bestFit="1" customWidth="1"/>
    <col min="5888" max="5888" width="11.33203125" bestFit="1" customWidth="1"/>
    <col min="5889" max="5889" width="13.88671875" bestFit="1" customWidth="1"/>
    <col min="5893" max="5893" width="36.6640625" customWidth="1"/>
    <col min="5895" max="5895" width="11.33203125" bestFit="1" customWidth="1"/>
    <col min="5896" max="5896" width="13.88671875" bestFit="1" customWidth="1"/>
    <col min="5901" max="5901" width="17.33203125" customWidth="1"/>
    <col min="5903" max="5903" width="9.88671875" bestFit="1" customWidth="1"/>
    <col min="6142" max="6142" width="20.5546875" bestFit="1" customWidth="1"/>
    <col min="6144" max="6144" width="11.33203125" bestFit="1" customWidth="1"/>
    <col min="6145" max="6145" width="13.88671875" bestFit="1" customWidth="1"/>
    <col min="6149" max="6149" width="36.6640625" customWidth="1"/>
    <col min="6151" max="6151" width="11.33203125" bestFit="1" customWidth="1"/>
    <col min="6152" max="6152" width="13.88671875" bestFit="1" customWidth="1"/>
    <col min="6157" max="6157" width="17.33203125" customWidth="1"/>
    <col min="6159" max="6159" width="9.88671875" bestFit="1" customWidth="1"/>
    <col min="6398" max="6398" width="20.5546875" bestFit="1" customWidth="1"/>
    <col min="6400" max="6400" width="11.33203125" bestFit="1" customWidth="1"/>
    <col min="6401" max="6401" width="13.88671875" bestFit="1" customWidth="1"/>
    <col min="6405" max="6405" width="36.6640625" customWidth="1"/>
    <col min="6407" max="6407" width="11.33203125" bestFit="1" customWidth="1"/>
    <col min="6408" max="6408" width="13.88671875" bestFit="1" customWidth="1"/>
    <col min="6413" max="6413" width="17.33203125" customWidth="1"/>
    <col min="6415" max="6415" width="9.88671875" bestFit="1" customWidth="1"/>
    <col min="6654" max="6654" width="20.5546875" bestFit="1" customWidth="1"/>
    <col min="6656" max="6656" width="11.33203125" bestFit="1" customWidth="1"/>
    <col min="6657" max="6657" width="13.88671875" bestFit="1" customWidth="1"/>
    <col min="6661" max="6661" width="36.6640625" customWidth="1"/>
    <col min="6663" max="6663" width="11.33203125" bestFit="1" customWidth="1"/>
    <col min="6664" max="6664" width="13.88671875" bestFit="1" customWidth="1"/>
    <col min="6669" max="6669" width="17.33203125" customWidth="1"/>
    <col min="6671" max="6671" width="9.88671875" bestFit="1" customWidth="1"/>
    <col min="6910" max="6910" width="20.5546875" bestFit="1" customWidth="1"/>
    <col min="6912" max="6912" width="11.33203125" bestFit="1" customWidth="1"/>
    <col min="6913" max="6913" width="13.88671875" bestFit="1" customWidth="1"/>
    <col min="6917" max="6917" width="36.6640625" customWidth="1"/>
    <col min="6919" max="6919" width="11.33203125" bestFit="1" customWidth="1"/>
    <col min="6920" max="6920" width="13.88671875" bestFit="1" customWidth="1"/>
    <col min="6925" max="6925" width="17.33203125" customWidth="1"/>
    <col min="6927" max="6927" width="9.88671875" bestFit="1" customWidth="1"/>
    <col min="7166" max="7166" width="20.5546875" bestFit="1" customWidth="1"/>
    <col min="7168" max="7168" width="11.33203125" bestFit="1" customWidth="1"/>
    <col min="7169" max="7169" width="13.88671875" bestFit="1" customWidth="1"/>
    <col min="7173" max="7173" width="36.6640625" customWidth="1"/>
    <col min="7175" max="7175" width="11.33203125" bestFit="1" customWidth="1"/>
    <col min="7176" max="7176" width="13.88671875" bestFit="1" customWidth="1"/>
    <col min="7181" max="7181" width="17.33203125" customWidth="1"/>
    <col min="7183" max="7183" width="9.88671875" bestFit="1" customWidth="1"/>
    <col min="7422" max="7422" width="20.5546875" bestFit="1" customWidth="1"/>
    <col min="7424" max="7424" width="11.33203125" bestFit="1" customWidth="1"/>
    <col min="7425" max="7425" width="13.88671875" bestFit="1" customWidth="1"/>
    <col min="7429" max="7429" width="36.6640625" customWidth="1"/>
    <col min="7431" max="7431" width="11.33203125" bestFit="1" customWidth="1"/>
    <col min="7432" max="7432" width="13.88671875" bestFit="1" customWidth="1"/>
    <col min="7437" max="7437" width="17.33203125" customWidth="1"/>
    <col min="7439" max="7439" width="9.88671875" bestFit="1" customWidth="1"/>
    <col min="7678" max="7678" width="20.5546875" bestFit="1" customWidth="1"/>
    <col min="7680" max="7680" width="11.33203125" bestFit="1" customWidth="1"/>
    <col min="7681" max="7681" width="13.88671875" bestFit="1" customWidth="1"/>
    <col min="7685" max="7685" width="36.6640625" customWidth="1"/>
    <col min="7687" max="7687" width="11.33203125" bestFit="1" customWidth="1"/>
    <col min="7688" max="7688" width="13.88671875" bestFit="1" customWidth="1"/>
    <col min="7693" max="7693" width="17.33203125" customWidth="1"/>
    <col min="7695" max="7695" width="9.88671875" bestFit="1" customWidth="1"/>
    <col min="7934" max="7934" width="20.5546875" bestFit="1" customWidth="1"/>
    <col min="7936" max="7936" width="11.33203125" bestFit="1" customWidth="1"/>
    <col min="7937" max="7937" width="13.88671875" bestFit="1" customWidth="1"/>
    <col min="7941" max="7941" width="36.6640625" customWidth="1"/>
    <col min="7943" max="7943" width="11.33203125" bestFit="1" customWidth="1"/>
    <col min="7944" max="7944" width="13.88671875" bestFit="1" customWidth="1"/>
    <col min="7949" max="7949" width="17.33203125" customWidth="1"/>
    <col min="7951" max="7951" width="9.88671875" bestFit="1" customWidth="1"/>
    <col min="8190" max="8190" width="20.5546875" bestFit="1" customWidth="1"/>
    <col min="8192" max="8192" width="11.33203125" bestFit="1" customWidth="1"/>
    <col min="8193" max="8193" width="13.88671875" bestFit="1" customWidth="1"/>
    <col min="8197" max="8197" width="36.6640625" customWidth="1"/>
    <col min="8199" max="8199" width="11.33203125" bestFit="1" customWidth="1"/>
    <col min="8200" max="8200" width="13.88671875" bestFit="1" customWidth="1"/>
    <col min="8205" max="8205" width="17.33203125" customWidth="1"/>
    <col min="8207" max="8207" width="9.88671875" bestFit="1" customWidth="1"/>
    <col min="8446" max="8446" width="20.5546875" bestFit="1" customWidth="1"/>
    <col min="8448" max="8448" width="11.33203125" bestFit="1" customWidth="1"/>
    <col min="8449" max="8449" width="13.88671875" bestFit="1" customWidth="1"/>
    <col min="8453" max="8453" width="36.6640625" customWidth="1"/>
    <col min="8455" max="8455" width="11.33203125" bestFit="1" customWidth="1"/>
    <col min="8456" max="8456" width="13.88671875" bestFit="1" customWidth="1"/>
    <col min="8461" max="8461" width="17.33203125" customWidth="1"/>
    <col min="8463" max="8463" width="9.88671875" bestFit="1" customWidth="1"/>
    <col min="8702" max="8702" width="20.5546875" bestFit="1" customWidth="1"/>
    <col min="8704" max="8704" width="11.33203125" bestFit="1" customWidth="1"/>
    <col min="8705" max="8705" width="13.88671875" bestFit="1" customWidth="1"/>
    <col min="8709" max="8709" width="36.6640625" customWidth="1"/>
    <col min="8711" max="8711" width="11.33203125" bestFit="1" customWidth="1"/>
    <col min="8712" max="8712" width="13.88671875" bestFit="1" customWidth="1"/>
    <col min="8717" max="8717" width="17.33203125" customWidth="1"/>
    <col min="8719" max="8719" width="9.88671875" bestFit="1" customWidth="1"/>
    <col min="8958" max="8958" width="20.5546875" bestFit="1" customWidth="1"/>
    <col min="8960" max="8960" width="11.33203125" bestFit="1" customWidth="1"/>
    <col min="8961" max="8961" width="13.88671875" bestFit="1" customWidth="1"/>
    <col min="8965" max="8965" width="36.6640625" customWidth="1"/>
    <col min="8967" max="8967" width="11.33203125" bestFit="1" customWidth="1"/>
    <col min="8968" max="8968" width="13.88671875" bestFit="1" customWidth="1"/>
    <col min="8973" max="8973" width="17.33203125" customWidth="1"/>
    <col min="8975" max="8975" width="9.88671875" bestFit="1" customWidth="1"/>
    <col min="9214" max="9214" width="20.5546875" bestFit="1" customWidth="1"/>
    <col min="9216" max="9216" width="11.33203125" bestFit="1" customWidth="1"/>
    <col min="9217" max="9217" width="13.88671875" bestFit="1" customWidth="1"/>
    <col min="9221" max="9221" width="36.6640625" customWidth="1"/>
    <col min="9223" max="9223" width="11.33203125" bestFit="1" customWidth="1"/>
    <col min="9224" max="9224" width="13.88671875" bestFit="1" customWidth="1"/>
    <col min="9229" max="9229" width="17.33203125" customWidth="1"/>
    <col min="9231" max="9231" width="9.88671875" bestFit="1" customWidth="1"/>
    <col min="9470" max="9470" width="20.5546875" bestFit="1" customWidth="1"/>
    <col min="9472" max="9472" width="11.33203125" bestFit="1" customWidth="1"/>
    <col min="9473" max="9473" width="13.88671875" bestFit="1" customWidth="1"/>
    <col min="9477" max="9477" width="36.6640625" customWidth="1"/>
    <col min="9479" max="9479" width="11.33203125" bestFit="1" customWidth="1"/>
    <col min="9480" max="9480" width="13.88671875" bestFit="1" customWidth="1"/>
    <col min="9485" max="9485" width="17.33203125" customWidth="1"/>
    <col min="9487" max="9487" width="9.88671875" bestFit="1" customWidth="1"/>
    <col min="9726" max="9726" width="20.5546875" bestFit="1" customWidth="1"/>
    <col min="9728" max="9728" width="11.33203125" bestFit="1" customWidth="1"/>
    <col min="9729" max="9729" width="13.88671875" bestFit="1" customWidth="1"/>
    <col min="9733" max="9733" width="36.6640625" customWidth="1"/>
    <col min="9735" max="9735" width="11.33203125" bestFit="1" customWidth="1"/>
    <col min="9736" max="9736" width="13.88671875" bestFit="1" customWidth="1"/>
    <col min="9741" max="9741" width="17.33203125" customWidth="1"/>
    <col min="9743" max="9743" width="9.88671875" bestFit="1" customWidth="1"/>
    <col min="9982" max="9982" width="20.5546875" bestFit="1" customWidth="1"/>
    <col min="9984" max="9984" width="11.33203125" bestFit="1" customWidth="1"/>
    <col min="9985" max="9985" width="13.88671875" bestFit="1" customWidth="1"/>
    <col min="9989" max="9989" width="36.6640625" customWidth="1"/>
    <col min="9991" max="9991" width="11.33203125" bestFit="1" customWidth="1"/>
    <col min="9992" max="9992" width="13.88671875" bestFit="1" customWidth="1"/>
    <col min="9997" max="9997" width="17.33203125" customWidth="1"/>
    <col min="9999" max="9999" width="9.88671875" bestFit="1" customWidth="1"/>
    <col min="10238" max="10238" width="20.5546875" bestFit="1" customWidth="1"/>
    <col min="10240" max="10240" width="11.33203125" bestFit="1" customWidth="1"/>
    <col min="10241" max="10241" width="13.88671875" bestFit="1" customWidth="1"/>
    <col min="10245" max="10245" width="36.6640625" customWidth="1"/>
    <col min="10247" max="10247" width="11.33203125" bestFit="1" customWidth="1"/>
    <col min="10248" max="10248" width="13.88671875" bestFit="1" customWidth="1"/>
    <col min="10253" max="10253" width="17.33203125" customWidth="1"/>
    <col min="10255" max="10255" width="9.88671875" bestFit="1" customWidth="1"/>
    <col min="10494" max="10494" width="20.5546875" bestFit="1" customWidth="1"/>
    <col min="10496" max="10496" width="11.33203125" bestFit="1" customWidth="1"/>
    <col min="10497" max="10497" width="13.88671875" bestFit="1" customWidth="1"/>
    <col min="10501" max="10501" width="36.6640625" customWidth="1"/>
    <col min="10503" max="10503" width="11.33203125" bestFit="1" customWidth="1"/>
    <col min="10504" max="10504" width="13.88671875" bestFit="1" customWidth="1"/>
    <col min="10509" max="10509" width="17.33203125" customWidth="1"/>
    <col min="10511" max="10511" width="9.88671875" bestFit="1" customWidth="1"/>
    <col min="10750" max="10750" width="20.5546875" bestFit="1" customWidth="1"/>
    <col min="10752" max="10752" width="11.33203125" bestFit="1" customWidth="1"/>
    <col min="10753" max="10753" width="13.88671875" bestFit="1" customWidth="1"/>
    <col min="10757" max="10757" width="36.6640625" customWidth="1"/>
    <col min="10759" max="10759" width="11.33203125" bestFit="1" customWidth="1"/>
    <col min="10760" max="10760" width="13.88671875" bestFit="1" customWidth="1"/>
    <col min="10765" max="10765" width="17.33203125" customWidth="1"/>
    <col min="10767" max="10767" width="9.88671875" bestFit="1" customWidth="1"/>
    <col min="11006" max="11006" width="20.5546875" bestFit="1" customWidth="1"/>
    <col min="11008" max="11008" width="11.33203125" bestFit="1" customWidth="1"/>
    <col min="11009" max="11009" width="13.88671875" bestFit="1" customWidth="1"/>
    <col min="11013" max="11013" width="36.6640625" customWidth="1"/>
    <col min="11015" max="11015" width="11.33203125" bestFit="1" customWidth="1"/>
    <col min="11016" max="11016" width="13.88671875" bestFit="1" customWidth="1"/>
    <col min="11021" max="11021" width="17.33203125" customWidth="1"/>
    <col min="11023" max="11023" width="9.88671875" bestFit="1" customWidth="1"/>
    <col min="11262" max="11262" width="20.5546875" bestFit="1" customWidth="1"/>
    <col min="11264" max="11264" width="11.33203125" bestFit="1" customWidth="1"/>
    <col min="11265" max="11265" width="13.88671875" bestFit="1" customWidth="1"/>
    <col min="11269" max="11269" width="36.6640625" customWidth="1"/>
    <col min="11271" max="11271" width="11.33203125" bestFit="1" customWidth="1"/>
    <col min="11272" max="11272" width="13.88671875" bestFit="1" customWidth="1"/>
    <col min="11277" max="11277" width="17.33203125" customWidth="1"/>
    <col min="11279" max="11279" width="9.88671875" bestFit="1" customWidth="1"/>
    <col min="11518" max="11518" width="20.5546875" bestFit="1" customWidth="1"/>
    <col min="11520" max="11520" width="11.33203125" bestFit="1" customWidth="1"/>
    <col min="11521" max="11521" width="13.88671875" bestFit="1" customWidth="1"/>
    <col min="11525" max="11525" width="36.6640625" customWidth="1"/>
    <col min="11527" max="11527" width="11.33203125" bestFit="1" customWidth="1"/>
    <col min="11528" max="11528" width="13.88671875" bestFit="1" customWidth="1"/>
    <col min="11533" max="11533" width="17.33203125" customWidth="1"/>
    <col min="11535" max="11535" width="9.88671875" bestFit="1" customWidth="1"/>
    <col min="11774" max="11774" width="20.5546875" bestFit="1" customWidth="1"/>
    <col min="11776" max="11776" width="11.33203125" bestFit="1" customWidth="1"/>
    <col min="11777" max="11777" width="13.88671875" bestFit="1" customWidth="1"/>
    <col min="11781" max="11781" width="36.6640625" customWidth="1"/>
    <col min="11783" max="11783" width="11.33203125" bestFit="1" customWidth="1"/>
    <col min="11784" max="11784" width="13.88671875" bestFit="1" customWidth="1"/>
    <col min="11789" max="11789" width="17.33203125" customWidth="1"/>
    <col min="11791" max="11791" width="9.88671875" bestFit="1" customWidth="1"/>
    <col min="12030" max="12030" width="20.5546875" bestFit="1" customWidth="1"/>
    <col min="12032" max="12032" width="11.33203125" bestFit="1" customWidth="1"/>
    <col min="12033" max="12033" width="13.88671875" bestFit="1" customWidth="1"/>
    <col min="12037" max="12037" width="36.6640625" customWidth="1"/>
    <col min="12039" max="12039" width="11.33203125" bestFit="1" customWidth="1"/>
    <col min="12040" max="12040" width="13.88671875" bestFit="1" customWidth="1"/>
    <col min="12045" max="12045" width="17.33203125" customWidth="1"/>
    <col min="12047" max="12047" width="9.88671875" bestFit="1" customWidth="1"/>
    <col min="12286" max="12286" width="20.5546875" bestFit="1" customWidth="1"/>
    <col min="12288" max="12288" width="11.33203125" bestFit="1" customWidth="1"/>
    <col min="12289" max="12289" width="13.88671875" bestFit="1" customWidth="1"/>
    <col min="12293" max="12293" width="36.6640625" customWidth="1"/>
    <col min="12295" max="12295" width="11.33203125" bestFit="1" customWidth="1"/>
    <col min="12296" max="12296" width="13.88671875" bestFit="1" customWidth="1"/>
    <col min="12301" max="12301" width="17.33203125" customWidth="1"/>
    <col min="12303" max="12303" width="9.88671875" bestFit="1" customWidth="1"/>
    <col min="12542" max="12542" width="20.5546875" bestFit="1" customWidth="1"/>
    <col min="12544" max="12544" width="11.33203125" bestFit="1" customWidth="1"/>
    <col min="12545" max="12545" width="13.88671875" bestFit="1" customWidth="1"/>
    <col min="12549" max="12549" width="36.6640625" customWidth="1"/>
    <col min="12551" max="12551" width="11.33203125" bestFit="1" customWidth="1"/>
    <col min="12552" max="12552" width="13.88671875" bestFit="1" customWidth="1"/>
    <col min="12557" max="12557" width="17.33203125" customWidth="1"/>
    <col min="12559" max="12559" width="9.88671875" bestFit="1" customWidth="1"/>
    <col min="12798" max="12798" width="20.5546875" bestFit="1" customWidth="1"/>
    <col min="12800" max="12800" width="11.33203125" bestFit="1" customWidth="1"/>
    <col min="12801" max="12801" width="13.88671875" bestFit="1" customWidth="1"/>
    <col min="12805" max="12805" width="36.6640625" customWidth="1"/>
    <col min="12807" max="12807" width="11.33203125" bestFit="1" customWidth="1"/>
    <col min="12808" max="12808" width="13.88671875" bestFit="1" customWidth="1"/>
    <col min="12813" max="12813" width="17.33203125" customWidth="1"/>
    <col min="12815" max="12815" width="9.88671875" bestFit="1" customWidth="1"/>
    <col min="13054" max="13054" width="20.5546875" bestFit="1" customWidth="1"/>
    <col min="13056" max="13056" width="11.33203125" bestFit="1" customWidth="1"/>
    <col min="13057" max="13057" width="13.88671875" bestFit="1" customWidth="1"/>
    <col min="13061" max="13061" width="36.6640625" customWidth="1"/>
    <col min="13063" max="13063" width="11.33203125" bestFit="1" customWidth="1"/>
    <col min="13064" max="13064" width="13.88671875" bestFit="1" customWidth="1"/>
    <col min="13069" max="13069" width="17.33203125" customWidth="1"/>
    <col min="13071" max="13071" width="9.88671875" bestFit="1" customWidth="1"/>
    <col min="13310" max="13310" width="20.5546875" bestFit="1" customWidth="1"/>
    <col min="13312" max="13312" width="11.33203125" bestFit="1" customWidth="1"/>
    <col min="13313" max="13313" width="13.88671875" bestFit="1" customWidth="1"/>
    <col min="13317" max="13317" width="36.6640625" customWidth="1"/>
    <col min="13319" max="13319" width="11.33203125" bestFit="1" customWidth="1"/>
    <col min="13320" max="13320" width="13.88671875" bestFit="1" customWidth="1"/>
    <col min="13325" max="13325" width="17.33203125" customWidth="1"/>
    <col min="13327" max="13327" width="9.88671875" bestFit="1" customWidth="1"/>
    <col min="13566" max="13566" width="20.5546875" bestFit="1" customWidth="1"/>
    <col min="13568" max="13568" width="11.33203125" bestFit="1" customWidth="1"/>
    <col min="13569" max="13569" width="13.88671875" bestFit="1" customWidth="1"/>
    <col min="13573" max="13573" width="36.6640625" customWidth="1"/>
    <col min="13575" max="13575" width="11.33203125" bestFit="1" customWidth="1"/>
    <col min="13576" max="13576" width="13.88671875" bestFit="1" customWidth="1"/>
    <col min="13581" max="13581" width="17.33203125" customWidth="1"/>
    <col min="13583" max="13583" width="9.88671875" bestFit="1" customWidth="1"/>
    <col min="13822" max="13822" width="20.5546875" bestFit="1" customWidth="1"/>
    <col min="13824" max="13824" width="11.33203125" bestFit="1" customWidth="1"/>
    <col min="13825" max="13825" width="13.88671875" bestFit="1" customWidth="1"/>
    <col min="13829" max="13829" width="36.6640625" customWidth="1"/>
    <col min="13831" max="13831" width="11.33203125" bestFit="1" customWidth="1"/>
    <col min="13832" max="13832" width="13.88671875" bestFit="1" customWidth="1"/>
    <col min="13837" max="13837" width="17.33203125" customWidth="1"/>
    <col min="13839" max="13839" width="9.88671875" bestFit="1" customWidth="1"/>
    <col min="14078" max="14078" width="20.5546875" bestFit="1" customWidth="1"/>
    <col min="14080" max="14080" width="11.33203125" bestFit="1" customWidth="1"/>
    <col min="14081" max="14081" width="13.88671875" bestFit="1" customWidth="1"/>
    <col min="14085" max="14085" width="36.6640625" customWidth="1"/>
    <col min="14087" max="14087" width="11.33203125" bestFit="1" customWidth="1"/>
    <col min="14088" max="14088" width="13.88671875" bestFit="1" customWidth="1"/>
    <col min="14093" max="14093" width="17.33203125" customWidth="1"/>
    <col min="14095" max="14095" width="9.88671875" bestFit="1" customWidth="1"/>
    <col min="14334" max="14334" width="20.5546875" bestFit="1" customWidth="1"/>
    <col min="14336" max="14336" width="11.33203125" bestFit="1" customWidth="1"/>
    <col min="14337" max="14337" width="13.88671875" bestFit="1" customWidth="1"/>
    <col min="14341" max="14341" width="36.6640625" customWidth="1"/>
    <col min="14343" max="14343" width="11.33203125" bestFit="1" customWidth="1"/>
    <col min="14344" max="14344" width="13.88671875" bestFit="1" customWidth="1"/>
    <col min="14349" max="14349" width="17.33203125" customWidth="1"/>
    <col min="14351" max="14351" width="9.88671875" bestFit="1" customWidth="1"/>
    <col min="14590" max="14590" width="20.5546875" bestFit="1" customWidth="1"/>
    <col min="14592" max="14592" width="11.33203125" bestFit="1" customWidth="1"/>
    <col min="14593" max="14593" width="13.88671875" bestFit="1" customWidth="1"/>
    <col min="14597" max="14597" width="36.6640625" customWidth="1"/>
    <col min="14599" max="14599" width="11.33203125" bestFit="1" customWidth="1"/>
    <col min="14600" max="14600" width="13.88671875" bestFit="1" customWidth="1"/>
    <col min="14605" max="14605" width="17.33203125" customWidth="1"/>
    <col min="14607" max="14607" width="9.88671875" bestFit="1" customWidth="1"/>
    <col min="14846" max="14846" width="20.5546875" bestFit="1" customWidth="1"/>
    <col min="14848" max="14848" width="11.33203125" bestFit="1" customWidth="1"/>
    <col min="14849" max="14849" width="13.88671875" bestFit="1" customWidth="1"/>
    <col min="14853" max="14853" width="36.6640625" customWidth="1"/>
    <col min="14855" max="14855" width="11.33203125" bestFit="1" customWidth="1"/>
    <col min="14856" max="14856" width="13.88671875" bestFit="1" customWidth="1"/>
    <col min="14861" max="14861" width="17.33203125" customWidth="1"/>
    <col min="14863" max="14863" width="9.88671875" bestFit="1" customWidth="1"/>
    <col min="15102" max="15102" width="20.5546875" bestFit="1" customWidth="1"/>
    <col min="15104" max="15104" width="11.33203125" bestFit="1" customWidth="1"/>
    <col min="15105" max="15105" width="13.88671875" bestFit="1" customWidth="1"/>
    <col min="15109" max="15109" width="36.6640625" customWidth="1"/>
    <col min="15111" max="15111" width="11.33203125" bestFit="1" customWidth="1"/>
    <col min="15112" max="15112" width="13.88671875" bestFit="1" customWidth="1"/>
    <col min="15117" max="15117" width="17.33203125" customWidth="1"/>
    <col min="15119" max="15119" width="9.88671875" bestFit="1" customWidth="1"/>
    <col min="15358" max="15358" width="20.5546875" bestFit="1" customWidth="1"/>
    <col min="15360" max="15360" width="11.33203125" bestFit="1" customWidth="1"/>
    <col min="15361" max="15361" width="13.88671875" bestFit="1" customWidth="1"/>
    <col min="15365" max="15365" width="36.6640625" customWidth="1"/>
    <col min="15367" max="15367" width="11.33203125" bestFit="1" customWidth="1"/>
    <col min="15368" max="15368" width="13.88671875" bestFit="1" customWidth="1"/>
    <col min="15373" max="15373" width="17.33203125" customWidth="1"/>
    <col min="15375" max="15375" width="9.88671875" bestFit="1" customWidth="1"/>
    <col min="15614" max="15614" width="20.5546875" bestFit="1" customWidth="1"/>
    <col min="15616" max="15616" width="11.33203125" bestFit="1" customWidth="1"/>
    <col min="15617" max="15617" width="13.88671875" bestFit="1" customWidth="1"/>
    <col min="15621" max="15621" width="36.6640625" customWidth="1"/>
    <col min="15623" max="15623" width="11.33203125" bestFit="1" customWidth="1"/>
    <col min="15624" max="15624" width="13.88671875" bestFit="1" customWidth="1"/>
    <col min="15629" max="15629" width="17.33203125" customWidth="1"/>
    <col min="15631" max="15631" width="9.88671875" bestFit="1" customWidth="1"/>
    <col min="15870" max="15870" width="20.5546875" bestFit="1" customWidth="1"/>
    <col min="15872" max="15872" width="11.33203125" bestFit="1" customWidth="1"/>
    <col min="15873" max="15873" width="13.88671875" bestFit="1" customWidth="1"/>
    <col min="15877" max="15877" width="36.6640625" customWidth="1"/>
    <col min="15879" max="15879" width="11.33203125" bestFit="1" customWidth="1"/>
    <col min="15880" max="15880" width="13.88671875" bestFit="1" customWidth="1"/>
    <col min="15885" max="15885" width="17.33203125" customWidth="1"/>
    <col min="15887" max="15887" width="9.88671875" bestFit="1" customWidth="1"/>
    <col min="16126" max="16126" width="20.5546875" bestFit="1" customWidth="1"/>
    <col min="16128" max="16128" width="11.33203125" bestFit="1" customWidth="1"/>
    <col min="16129" max="16129" width="13.88671875" bestFit="1" customWidth="1"/>
    <col min="16133" max="16133" width="36.6640625" customWidth="1"/>
    <col min="16135" max="16135" width="11.33203125" bestFit="1" customWidth="1"/>
    <col min="16136" max="16136" width="13.88671875" bestFit="1" customWidth="1"/>
    <col min="16141" max="16141" width="17.33203125" customWidth="1"/>
    <col min="16143" max="16143" width="9.88671875" bestFit="1" customWidth="1"/>
  </cols>
  <sheetData>
    <row r="1" spans="1:17">
      <c r="A1" s="125" t="s">
        <v>342</v>
      </c>
    </row>
    <row r="2" spans="1:17">
      <c r="A2" s="125"/>
    </row>
    <row r="3" spans="1:17" ht="15" thickBot="1">
      <c r="A3" t="s">
        <v>318</v>
      </c>
      <c r="M3" t="s">
        <v>321</v>
      </c>
    </row>
    <row r="4" spans="1:17" ht="15" thickBot="1">
      <c r="A4" s="48" t="s">
        <v>195</v>
      </c>
      <c r="B4" s="49" t="s">
        <v>31</v>
      </c>
      <c r="C4" s="49" t="s">
        <v>196</v>
      </c>
      <c r="D4" s="49" t="s">
        <v>197</v>
      </c>
      <c r="E4" s="50" t="s">
        <v>198</v>
      </c>
      <c r="G4" s="48" t="s">
        <v>195</v>
      </c>
      <c r="H4" s="49" t="s">
        <v>31</v>
      </c>
      <c r="I4" s="49" t="s">
        <v>196</v>
      </c>
      <c r="J4" s="49" t="s">
        <v>197</v>
      </c>
      <c r="K4" s="50" t="s">
        <v>198</v>
      </c>
      <c r="M4" s="48" t="s">
        <v>195</v>
      </c>
      <c r="N4" s="49" t="s">
        <v>31</v>
      </c>
      <c r="O4" s="49" t="s">
        <v>196</v>
      </c>
      <c r="P4" s="49" t="s">
        <v>197</v>
      </c>
      <c r="Q4" s="50" t="s">
        <v>198</v>
      </c>
    </row>
    <row r="5" spans="1:17">
      <c r="A5" s="178" t="s">
        <v>201</v>
      </c>
      <c r="B5" s="178"/>
      <c r="C5" s="178"/>
      <c r="D5" s="178"/>
      <c r="E5" s="178"/>
      <c r="G5" t="s">
        <v>199</v>
      </c>
      <c r="H5" t="s">
        <v>200</v>
      </c>
      <c r="I5">
        <v>1</v>
      </c>
      <c r="J5">
        <v>1500</v>
      </c>
      <c r="K5">
        <f>I5*J5</f>
        <v>1500</v>
      </c>
      <c r="M5" s="193" t="s">
        <v>214</v>
      </c>
      <c r="N5" s="55" t="s">
        <v>204</v>
      </c>
      <c r="O5" s="55">
        <f>O6/20</f>
        <v>10</v>
      </c>
      <c r="P5" s="55">
        <v>13</v>
      </c>
      <c r="Q5" s="194">
        <f t="shared" ref="Q5:Q11" si="0">O5*P5</f>
        <v>130</v>
      </c>
    </row>
    <row r="6" spans="1:17" ht="15" thickBot="1">
      <c r="A6" s="179" t="s">
        <v>203</v>
      </c>
      <c r="B6" s="179" t="s">
        <v>204</v>
      </c>
      <c r="C6" s="180">
        <v>1120</v>
      </c>
      <c r="D6" s="180">
        <v>7</v>
      </c>
      <c r="E6" s="180">
        <f>C6*D6</f>
        <v>7840</v>
      </c>
      <c r="G6" t="s">
        <v>202</v>
      </c>
      <c r="H6" t="s">
        <v>200</v>
      </c>
      <c r="I6">
        <v>1</v>
      </c>
      <c r="J6" s="51">
        <f>E26</f>
        <v>11647.75</v>
      </c>
      <c r="K6">
        <f>I6*J6</f>
        <v>11647.75</v>
      </c>
      <c r="M6" s="193" t="s">
        <v>215</v>
      </c>
      <c r="N6" s="55" t="s">
        <v>204</v>
      </c>
      <c r="O6" s="55">
        <v>200</v>
      </c>
      <c r="P6" s="55">
        <v>10</v>
      </c>
      <c r="Q6" s="194">
        <f t="shared" si="0"/>
        <v>2000</v>
      </c>
    </row>
    <row r="7" spans="1:17" ht="15" thickBot="1">
      <c r="A7" s="55" t="s">
        <v>205</v>
      </c>
      <c r="B7" s="55" t="s">
        <v>206</v>
      </c>
      <c r="C7" s="181">
        <f>0.3*C6</f>
        <v>336</v>
      </c>
      <c r="D7" s="181">
        <v>0.8</v>
      </c>
      <c r="E7" s="181">
        <f t="shared" ref="E7:E13" si="1">C7*D7</f>
        <v>268.8</v>
      </c>
      <c r="G7" s="52" t="s">
        <v>320</v>
      </c>
      <c r="H7" s="53"/>
      <c r="I7" s="53"/>
      <c r="J7" s="53"/>
      <c r="K7" s="54">
        <f>SUM(K5:K6)</f>
        <v>13147.75</v>
      </c>
      <c r="M7" s="193" t="s">
        <v>217</v>
      </c>
      <c r="N7" s="55" t="s">
        <v>204</v>
      </c>
      <c r="O7" s="55">
        <f>O6</f>
        <v>200</v>
      </c>
      <c r="P7" s="55">
        <v>2</v>
      </c>
      <c r="Q7" s="194">
        <f t="shared" si="0"/>
        <v>400</v>
      </c>
    </row>
    <row r="8" spans="1:17">
      <c r="A8" s="55" t="s">
        <v>207</v>
      </c>
      <c r="B8" s="55" t="s">
        <v>206</v>
      </c>
      <c r="C8" s="181">
        <f>0.3*C6</f>
        <v>336</v>
      </c>
      <c r="D8" s="181">
        <v>0.15</v>
      </c>
      <c r="E8" s="181">
        <f t="shared" si="1"/>
        <v>50.4</v>
      </c>
      <c r="M8" s="193" t="s">
        <v>219</v>
      </c>
      <c r="N8" s="55" t="s">
        <v>220</v>
      </c>
      <c r="O8" s="55">
        <v>0.8</v>
      </c>
      <c r="P8" s="55">
        <v>35</v>
      </c>
      <c r="Q8" s="194">
        <f t="shared" si="0"/>
        <v>28</v>
      </c>
    </row>
    <row r="9" spans="1:17">
      <c r="A9" s="55" t="s">
        <v>208</v>
      </c>
      <c r="B9" s="55" t="s">
        <v>209</v>
      </c>
      <c r="C9" s="181">
        <f>0.02*C6</f>
        <v>22.400000000000002</v>
      </c>
      <c r="D9" s="181">
        <v>35</v>
      </c>
      <c r="E9" s="181">
        <f t="shared" si="1"/>
        <v>784.00000000000011</v>
      </c>
      <c r="M9" s="193" t="s">
        <v>222</v>
      </c>
      <c r="N9" s="55" t="s">
        <v>220</v>
      </c>
      <c r="O9" s="55">
        <v>8</v>
      </c>
      <c r="P9" s="55">
        <v>25</v>
      </c>
      <c r="Q9" s="194">
        <f t="shared" si="0"/>
        <v>200</v>
      </c>
    </row>
    <row r="10" spans="1:17">
      <c r="A10" s="55" t="s">
        <v>210</v>
      </c>
      <c r="B10" s="55" t="s">
        <v>206</v>
      </c>
      <c r="C10" s="181">
        <f>0.35*C6</f>
        <v>392</v>
      </c>
      <c r="D10" s="181">
        <v>0.65</v>
      </c>
      <c r="E10" s="181">
        <f t="shared" si="1"/>
        <v>254.8</v>
      </c>
      <c r="M10" s="193" t="s">
        <v>224</v>
      </c>
      <c r="N10" s="55" t="s">
        <v>220</v>
      </c>
      <c r="O10" s="55">
        <v>10</v>
      </c>
      <c r="P10" s="55">
        <v>35</v>
      </c>
      <c r="Q10" s="194">
        <f t="shared" si="0"/>
        <v>350</v>
      </c>
    </row>
    <row r="11" spans="1:17" ht="15" thickBot="1">
      <c r="A11" s="55" t="s">
        <v>211</v>
      </c>
      <c r="B11" s="55" t="s">
        <v>206</v>
      </c>
      <c r="C11" s="181">
        <f>0.005*C6</f>
        <v>5.6000000000000005</v>
      </c>
      <c r="D11" s="181">
        <v>25</v>
      </c>
      <c r="E11" s="181">
        <f t="shared" si="1"/>
        <v>140</v>
      </c>
      <c r="M11" s="195" t="s">
        <v>226</v>
      </c>
      <c r="N11" s="56" t="s">
        <v>220</v>
      </c>
      <c r="O11" s="56">
        <v>15</v>
      </c>
      <c r="P11" s="56">
        <v>25</v>
      </c>
      <c r="Q11" s="196">
        <f t="shared" si="0"/>
        <v>375</v>
      </c>
    </row>
    <row r="12" spans="1:17" ht="15" thickBot="1">
      <c r="A12" s="55" t="s">
        <v>212</v>
      </c>
      <c r="B12" s="55" t="s">
        <v>209</v>
      </c>
      <c r="C12" s="181">
        <v>0</v>
      </c>
      <c r="D12" s="181">
        <v>40</v>
      </c>
      <c r="E12" s="181">
        <f t="shared" si="1"/>
        <v>0</v>
      </c>
      <c r="M12" s="48" t="s">
        <v>320</v>
      </c>
      <c r="N12" s="49"/>
      <c r="O12" s="49"/>
      <c r="P12" s="49"/>
      <c r="Q12" s="192">
        <f>SUM(Q5:Q11)</f>
        <v>3483</v>
      </c>
    </row>
    <row r="13" spans="1:17" ht="15" thickBot="1">
      <c r="A13" s="55" t="s">
        <v>213</v>
      </c>
      <c r="B13" s="55" t="s">
        <v>200</v>
      </c>
      <c r="C13" s="181">
        <v>1</v>
      </c>
      <c r="D13" s="181">
        <v>600</v>
      </c>
      <c r="E13" s="181">
        <f t="shared" si="1"/>
        <v>600</v>
      </c>
    </row>
    <row r="14" spans="1:17" ht="15" thickBot="1">
      <c r="A14" s="48" t="s">
        <v>216</v>
      </c>
      <c r="B14" s="49"/>
      <c r="C14" s="183"/>
      <c r="D14" s="183"/>
      <c r="E14" s="57">
        <f>SUM(E6:E13)</f>
        <v>9938</v>
      </c>
    </row>
    <row r="15" spans="1:17" ht="15" thickBot="1">
      <c r="A15" s="184" t="s">
        <v>218</v>
      </c>
      <c r="B15" s="185"/>
      <c r="C15" s="186"/>
      <c r="D15" s="186"/>
      <c r="E15" s="187"/>
      <c r="M15" s="197" t="s">
        <v>317</v>
      </c>
    </row>
    <row r="16" spans="1:17" ht="15" thickBot="1">
      <c r="A16" s="188" t="s">
        <v>221</v>
      </c>
      <c r="B16" s="55" t="s">
        <v>220</v>
      </c>
      <c r="C16" s="181">
        <v>4.5</v>
      </c>
      <c r="D16" s="181">
        <v>25</v>
      </c>
      <c r="E16" s="189">
        <f>C16*D16</f>
        <v>112.5</v>
      </c>
      <c r="M16" s="48" t="s">
        <v>320</v>
      </c>
      <c r="N16" s="49"/>
      <c r="O16" s="49"/>
      <c r="P16" s="49"/>
      <c r="Q16" s="192">
        <f>Q12*J19</f>
        <v>10100.699999999999</v>
      </c>
    </row>
    <row r="17" spans="1:17">
      <c r="A17" s="188" t="s">
        <v>223</v>
      </c>
      <c r="B17" s="55" t="s">
        <v>220</v>
      </c>
      <c r="C17" s="181">
        <v>9.5</v>
      </c>
      <c r="D17" s="181">
        <v>25</v>
      </c>
      <c r="E17" s="189">
        <f t="shared" ref="E17:E24" si="2">C17*D17</f>
        <v>237.5</v>
      </c>
    </row>
    <row r="18" spans="1:17">
      <c r="A18" s="188" t="s">
        <v>225</v>
      </c>
      <c r="B18" s="55" t="s">
        <v>220</v>
      </c>
      <c r="C18" s="181">
        <v>9.5</v>
      </c>
      <c r="D18" s="181">
        <v>25</v>
      </c>
      <c r="E18" s="189">
        <f t="shared" si="2"/>
        <v>237.5</v>
      </c>
    </row>
    <row r="19" spans="1:17">
      <c r="A19" s="188" t="s">
        <v>227</v>
      </c>
      <c r="B19" s="55" t="s">
        <v>220</v>
      </c>
      <c r="C19" s="181">
        <v>4.5</v>
      </c>
      <c r="D19" s="181">
        <v>25</v>
      </c>
      <c r="E19" s="189">
        <f t="shared" si="2"/>
        <v>112.5</v>
      </c>
      <c r="J19">
        <v>2.9</v>
      </c>
    </row>
    <row r="20" spans="1:17">
      <c r="A20" s="188" t="s">
        <v>228</v>
      </c>
      <c r="B20" s="55" t="s">
        <v>220</v>
      </c>
      <c r="C20" s="181">
        <v>7.5</v>
      </c>
      <c r="D20" s="181">
        <v>25</v>
      </c>
      <c r="E20" s="189">
        <f t="shared" si="2"/>
        <v>187.5</v>
      </c>
    </row>
    <row r="21" spans="1:17" ht="15" thickBot="1">
      <c r="A21" s="188" t="s">
        <v>229</v>
      </c>
      <c r="B21" s="55" t="s">
        <v>220</v>
      </c>
      <c r="C21" s="181">
        <v>4</v>
      </c>
      <c r="D21" s="181">
        <v>25</v>
      </c>
      <c r="E21" s="189">
        <f t="shared" si="2"/>
        <v>100</v>
      </c>
      <c r="G21" s="197" t="s">
        <v>317</v>
      </c>
    </row>
    <row r="22" spans="1:17" ht="15" thickBot="1">
      <c r="A22" s="188" t="s">
        <v>230</v>
      </c>
      <c r="B22" s="55" t="s">
        <v>220</v>
      </c>
      <c r="C22" s="181">
        <v>0</v>
      </c>
      <c r="D22" s="181">
        <v>25</v>
      </c>
      <c r="E22" s="189">
        <f t="shared" si="2"/>
        <v>0</v>
      </c>
      <c r="G22" s="48" t="s">
        <v>195</v>
      </c>
      <c r="H22" s="49" t="s">
        <v>31</v>
      </c>
      <c r="I22" s="49" t="s">
        <v>196</v>
      </c>
      <c r="J22" s="49" t="s">
        <v>197</v>
      </c>
      <c r="K22" s="50" t="s">
        <v>198</v>
      </c>
    </row>
    <row r="23" spans="1:17">
      <c r="A23" s="188" t="s">
        <v>231</v>
      </c>
      <c r="B23" s="55" t="s">
        <v>232</v>
      </c>
      <c r="C23" s="181">
        <v>15</v>
      </c>
      <c r="D23" s="181">
        <v>48.15</v>
      </c>
      <c r="E23" s="189">
        <f t="shared" si="2"/>
        <v>722.25</v>
      </c>
      <c r="G23" t="s">
        <v>199</v>
      </c>
      <c r="H23" t="s">
        <v>200</v>
      </c>
      <c r="I23">
        <v>0</v>
      </c>
      <c r="J23">
        <v>0</v>
      </c>
      <c r="K23">
        <f>I23*J23</f>
        <v>0</v>
      </c>
    </row>
    <row r="24" spans="1:17" ht="15" thickBot="1">
      <c r="A24" s="190"/>
      <c r="B24" s="56"/>
      <c r="C24" s="182"/>
      <c r="D24" s="182"/>
      <c r="E24" s="191">
        <f t="shared" si="2"/>
        <v>0</v>
      </c>
      <c r="G24" t="s">
        <v>202</v>
      </c>
      <c r="H24" t="s">
        <v>200</v>
      </c>
      <c r="I24">
        <v>1</v>
      </c>
      <c r="J24" s="51">
        <f>J6*$J$19</f>
        <v>33778.474999999999</v>
      </c>
      <c r="K24">
        <f>I24*J24</f>
        <v>33778.474999999999</v>
      </c>
    </row>
    <row r="25" spans="1:17" ht="15" thickBot="1">
      <c r="A25" s="58" t="s">
        <v>233</v>
      </c>
      <c r="B25" s="49"/>
      <c r="C25" s="49"/>
      <c r="D25" s="59"/>
      <c r="E25" s="57">
        <f>SUM(E16:E24)</f>
        <v>1709.75</v>
      </c>
      <c r="G25" s="52" t="s">
        <v>320</v>
      </c>
      <c r="H25" s="53"/>
      <c r="I25" s="53"/>
      <c r="J25" s="53"/>
      <c r="K25" s="198">
        <f>SUM(K23:K24)</f>
        <v>33778.474999999999</v>
      </c>
    </row>
    <row r="26" spans="1:17" ht="15" thickBot="1">
      <c r="A26" s="60" t="s">
        <v>234</v>
      </c>
      <c r="B26" s="53"/>
      <c r="C26" s="53"/>
      <c r="D26" s="61"/>
      <c r="E26" s="62">
        <f>E14+E25</f>
        <v>11647.75</v>
      </c>
    </row>
    <row r="27" spans="1:17">
      <c r="A27" s="63"/>
      <c r="B27" s="64"/>
      <c r="C27" s="64"/>
      <c r="D27" s="65"/>
      <c r="E27" s="64"/>
    </row>
    <row r="28" spans="1:17">
      <c r="A28" s="66" t="s">
        <v>319</v>
      </c>
    </row>
    <row r="29" spans="1:17">
      <c r="A29" s="66" t="s">
        <v>235</v>
      </c>
      <c r="N29" s="67"/>
      <c r="Q29" s="67"/>
    </row>
    <row r="30" spans="1:17">
      <c r="A30" s="66" t="s">
        <v>236</v>
      </c>
    </row>
    <row r="31" spans="1:17">
      <c r="A31" s="66" t="s">
        <v>237</v>
      </c>
    </row>
    <row r="32" spans="1:17">
      <c r="A32" s="66" t="s">
        <v>238</v>
      </c>
    </row>
    <row r="33" spans="1:21">
      <c r="A33" s="66" t="s">
        <v>239</v>
      </c>
    </row>
    <row r="34" spans="1:21">
      <c r="A34" s="66" t="s">
        <v>240</v>
      </c>
    </row>
    <row r="38" spans="1:21">
      <c r="U38" s="67"/>
    </row>
    <row r="39" spans="1:21">
      <c r="U39" s="67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8519-1119-4F34-9E9B-9081102630FB}">
  <dimension ref="A1:H19"/>
  <sheetViews>
    <sheetView workbookViewId="0">
      <selection activeCell="B7" sqref="B7"/>
    </sheetView>
  </sheetViews>
  <sheetFormatPr defaultRowHeight="14.4"/>
  <cols>
    <col min="2" max="2" width="58" bestFit="1" customWidth="1"/>
    <col min="5" max="6" width="14.21875" bestFit="1" customWidth="1"/>
    <col min="7" max="7" width="63.44140625" bestFit="1" customWidth="1"/>
    <col min="8" max="8" width="14.21875" bestFit="1" customWidth="1"/>
  </cols>
  <sheetData>
    <row r="1" spans="1:8" ht="14.4" customHeight="1">
      <c r="A1" s="125" t="s">
        <v>322</v>
      </c>
      <c r="B1" s="125"/>
      <c r="C1" s="125"/>
      <c r="D1" s="125"/>
      <c r="E1" s="125"/>
      <c r="F1" s="125"/>
      <c r="G1" s="125"/>
    </row>
    <row r="2" spans="1:8" ht="14.4" customHeight="1">
      <c r="A2" s="125"/>
      <c r="B2" s="125"/>
      <c r="C2" s="125"/>
      <c r="D2" s="125"/>
      <c r="E2" s="125"/>
      <c r="F2" s="125"/>
      <c r="G2" s="125"/>
    </row>
    <row r="3" spans="1:8" s="97" customFormat="1" ht="14.4" customHeight="1">
      <c r="A3" s="92">
        <v>2</v>
      </c>
      <c r="B3" s="93" t="s">
        <v>298</v>
      </c>
      <c r="C3" s="94"/>
      <c r="D3" s="95"/>
      <c r="E3" s="95"/>
      <c r="F3" s="95"/>
      <c r="G3" s="96"/>
    </row>
    <row r="4" spans="1:8" s="97" customFormat="1" ht="14.4" customHeight="1">
      <c r="A4" s="98" t="s">
        <v>299</v>
      </c>
      <c r="B4" s="99" t="s">
        <v>300</v>
      </c>
      <c r="C4" s="100"/>
      <c r="D4" s="101"/>
      <c r="E4" s="102"/>
      <c r="F4" s="103"/>
      <c r="G4" s="104"/>
    </row>
    <row r="5" spans="1:8" s="97" customFormat="1" ht="14.4" customHeight="1">
      <c r="A5" s="105" t="s">
        <v>301</v>
      </c>
      <c r="B5" s="106" t="s">
        <v>302</v>
      </c>
      <c r="C5" s="107"/>
      <c r="D5" s="108"/>
      <c r="E5" s="109"/>
      <c r="F5" s="110">
        <f>SUM(F6:F16)</f>
        <v>4000000</v>
      </c>
      <c r="G5" s="111"/>
      <c r="H5" s="199" t="s">
        <v>317</v>
      </c>
    </row>
    <row r="6" spans="1:8" s="97" customFormat="1" ht="14.4" customHeight="1">
      <c r="A6" s="112" t="s">
        <v>303</v>
      </c>
      <c r="B6" s="113" t="s">
        <v>304</v>
      </c>
      <c r="C6" s="114" t="s">
        <v>305</v>
      </c>
      <c r="D6" s="115">
        <v>1</v>
      </c>
      <c r="E6" s="116">
        <v>2500000</v>
      </c>
      <c r="F6" s="117">
        <f t="shared" ref="F6:F7" si="0">D6*E6</f>
        <v>2500000</v>
      </c>
      <c r="G6" s="118" t="s">
        <v>306</v>
      </c>
      <c r="H6" s="119">
        <f>F6*$B$18</f>
        <v>2849999.9999999995</v>
      </c>
    </row>
    <row r="7" spans="1:8" s="97" customFormat="1" ht="14.4" customHeight="1">
      <c r="A7" s="112" t="s">
        <v>307</v>
      </c>
      <c r="B7" s="244" t="s">
        <v>308</v>
      </c>
      <c r="C7" s="114" t="s">
        <v>305</v>
      </c>
      <c r="D7" s="115">
        <v>1</v>
      </c>
      <c r="E7" s="116">
        <v>1500000</v>
      </c>
      <c r="F7" s="117">
        <f t="shared" si="0"/>
        <v>1500000</v>
      </c>
      <c r="G7" s="118" t="s">
        <v>306</v>
      </c>
      <c r="H7" s="119">
        <f>F7*$B$18</f>
        <v>1709999.9999999998</v>
      </c>
    </row>
    <row r="8" spans="1:8" ht="14.4" customHeight="1"/>
    <row r="9" spans="1:8" ht="14.4" customHeight="1"/>
    <row r="10" spans="1:8" ht="14.4" customHeight="1"/>
    <row r="11" spans="1:8" ht="14.4" customHeight="1"/>
    <row r="12" spans="1:8" ht="14.4" customHeight="1"/>
    <row r="13" spans="1:8" ht="14.4" customHeight="1"/>
    <row r="14" spans="1:8" ht="14.4" customHeight="1"/>
    <row r="15" spans="1:8" ht="14.4" customHeight="1"/>
    <row r="16" spans="1:8" ht="14.4" customHeight="1"/>
    <row r="17" spans="2:2" ht="14.4" customHeight="1"/>
    <row r="18" spans="2:2" ht="14.4" customHeight="1">
      <c r="B18">
        <v>1.1399999999999999</v>
      </c>
    </row>
    <row r="19" spans="2:2" ht="14.4" customHeight="1"/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13E2-2B86-4652-9816-05571FF9466A}">
  <dimension ref="A1:H15"/>
  <sheetViews>
    <sheetView zoomScaleNormal="100" workbookViewId="0">
      <selection activeCell="E15" sqref="E15"/>
    </sheetView>
  </sheetViews>
  <sheetFormatPr defaultRowHeight="14.4"/>
  <cols>
    <col min="1" max="1" width="23.77734375" style="202" customWidth="1"/>
    <col min="2" max="2" width="16.5546875" style="202" customWidth="1"/>
    <col min="3" max="3" width="13.109375" style="202" customWidth="1"/>
    <col min="4" max="4" width="14" style="202" customWidth="1"/>
    <col min="5" max="5" width="16.6640625" style="202" customWidth="1"/>
    <col min="6" max="6" width="18.6640625" style="202" customWidth="1"/>
    <col min="7" max="7" width="16.44140625" style="202" customWidth="1"/>
    <col min="8" max="8" width="11.77734375" style="69" bestFit="1" customWidth="1"/>
    <col min="9" max="16384" width="8.88671875" style="202"/>
  </cols>
  <sheetData>
    <row r="1" spans="1:8">
      <c r="A1" s="125" t="s">
        <v>349</v>
      </c>
    </row>
    <row r="3" spans="1:8">
      <c r="A3" s="260" t="s">
        <v>323</v>
      </c>
      <c r="B3" s="261"/>
      <c r="C3" s="261"/>
      <c r="D3" s="261"/>
      <c r="E3" s="261"/>
      <c r="F3" s="261"/>
      <c r="G3" s="262"/>
    </row>
    <row r="4" spans="1:8">
      <c r="A4" s="254" t="s">
        <v>262</v>
      </c>
      <c r="B4" s="255"/>
      <c r="C4" s="255"/>
      <c r="D4" s="255"/>
      <c r="E4" s="255"/>
      <c r="F4" s="255"/>
      <c r="G4" s="256"/>
    </row>
    <row r="5" spans="1:8" s="203" customFormat="1">
      <c r="A5" s="257" t="s">
        <v>324</v>
      </c>
      <c r="B5" s="258"/>
      <c r="C5" s="259"/>
      <c r="D5" s="231">
        <v>5.5309999999999997</v>
      </c>
      <c r="E5" s="232" t="s">
        <v>325</v>
      </c>
      <c r="F5" s="233">
        <v>2025</v>
      </c>
      <c r="G5" s="234"/>
      <c r="H5" s="69"/>
    </row>
    <row r="6" spans="1:8">
      <c r="A6" s="254" t="s">
        <v>326</v>
      </c>
      <c r="B6" s="255"/>
      <c r="C6" s="255"/>
      <c r="D6" s="255"/>
      <c r="E6" s="255"/>
      <c r="F6" s="255"/>
      <c r="G6" s="256"/>
    </row>
    <row r="7" spans="1:8">
      <c r="A7" s="263" t="s">
        <v>327</v>
      </c>
      <c r="B7" s="265" t="s">
        <v>328</v>
      </c>
      <c r="C7" s="254" t="s">
        <v>329</v>
      </c>
      <c r="D7" s="255"/>
      <c r="E7" s="255"/>
      <c r="F7" s="255"/>
      <c r="G7" s="256"/>
    </row>
    <row r="8" spans="1:8">
      <c r="A8" s="264"/>
      <c r="B8" s="266"/>
      <c r="C8" s="235">
        <v>2</v>
      </c>
      <c r="D8" s="235">
        <v>3</v>
      </c>
      <c r="E8" s="235">
        <v>4</v>
      </c>
      <c r="F8" s="235">
        <v>5</v>
      </c>
      <c r="G8" s="235">
        <v>6</v>
      </c>
    </row>
    <row r="9" spans="1:8">
      <c r="A9" s="236" t="s">
        <v>330</v>
      </c>
      <c r="B9" s="236" t="s">
        <v>331</v>
      </c>
      <c r="C9" s="237" t="s">
        <v>263</v>
      </c>
      <c r="D9" s="238">
        <v>5755.16</v>
      </c>
      <c r="E9" s="238">
        <v>8516.94</v>
      </c>
      <c r="F9" s="238">
        <v>13785.75</v>
      </c>
      <c r="G9" s="238">
        <v>26355.62</v>
      </c>
    </row>
    <row r="10" spans="1:8">
      <c r="A10" s="236" t="s">
        <v>330</v>
      </c>
      <c r="B10" s="236" t="s">
        <v>294</v>
      </c>
      <c r="C10" s="237" t="s">
        <v>263</v>
      </c>
      <c r="D10" s="238">
        <v>6814.71</v>
      </c>
      <c r="E10" s="238">
        <v>10132.33</v>
      </c>
      <c r="F10" s="238">
        <v>16408.580000000002</v>
      </c>
      <c r="G10" s="238">
        <v>31224.93</v>
      </c>
    </row>
    <row r="11" spans="1:8">
      <c r="A11" s="236" t="s">
        <v>330</v>
      </c>
      <c r="B11" s="236" t="s">
        <v>332</v>
      </c>
      <c r="C11" s="237" t="s">
        <v>263</v>
      </c>
      <c r="D11" s="238">
        <v>6189.4</v>
      </c>
      <c r="E11" s="238">
        <v>8939.61</v>
      </c>
      <c r="F11" s="238">
        <v>14474.75</v>
      </c>
      <c r="G11" s="238">
        <v>28665.79</v>
      </c>
    </row>
    <row r="12" spans="1:8">
      <c r="A12" s="236" t="s">
        <v>330</v>
      </c>
      <c r="B12" s="236" t="s">
        <v>295</v>
      </c>
      <c r="C12" s="237" t="s">
        <v>263</v>
      </c>
      <c r="D12" s="238">
        <v>4863.5200000000004</v>
      </c>
      <c r="E12" s="238">
        <v>6814.71</v>
      </c>
      <c r="F12" s="238">
        <v>11029.76</v>
      </c>
      <c r="G12" s="238">
        <v>22707.99</v>
      </c>
    </row>
    <row r="13" spans="1:8">
      <c r="A13" s="254" t="s">
        <v>333</v>
      </c>
      <c r="B13" s="255"/>
      <c r="C13" s="255"/>
      <c r="D13" s="255"/>
      <c r="E13" s="255"/>
      <c r="F13" s="255"/>
      <c r="G13" s="256"/>
    </row>
    <row r="14" spans="1:8">
      <c r="A14" s="254" t="s">
        <v>329</v>
      </c>
      <c r="B14" s="255"/>
      <c r="C14" s="256"/>
      <c r="D14" s="235">
        <v>3</v>
      </c>
      <c r="E14" s="235">
        <v>4</v>
      </c>
      <c r="F14" s="235">
        <v>5</v>
      </c>
      <c r="G14" s="235">
        <v>6</v>
      </c>
    </row>
    <row r="15" spans="1:8" s="204" customFormat="1">
      <c r="A15" s="257" t="s">
        <v>334</v>
      </c>
      <c r="B15" s="258"/>
      <c r="C15" s="259"/>
      <c r="D15" s="238">
        <v>14191.04</v>
      </c>
      <c r="E15" s="238">
        <v>20276.23</v>
      </c>
      <c r="F15" s="238">
        <v>30408.55</v>
      </c>
      <c r="G15" s="238">
        <v>48658.32</v>
      </c>
      <c r="H15" s="69"/>
    </row>
  </sheetData>
  <mergeCells count="10">
    <mergeCell ref="A13:G13"/>
    <mergeCell ref="A14:C14"/>
    <mergeCell ref="A15:C15"/>
    <mergeCell ref="A3:G3"/>
    <mergeCell ref="A4:G4"/>
    <mergeCell ref="A5:C5"/>
    <mergeCell ref="A6:G6"/>
    <mergeCell ref="A7:A8"/>
    <mergeCell ref="B7:B8"/>
    <mergeCell ref="C7:G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5E37-F8A4-4A34-B561-E5D834E252B5}">
  <dimension ref="A1:D19"/>
  <sheetViews>
    <sheetView zoomScale="115" zoomScaleNormal="115" workbookViewId="0">
      <selection activeCell="C18" sqref="C18"/>
    </sheetView>
  </sheetViews>
  <sheetFormatPr defaultRowHeight="14.4"/>
  <cols>
    <col min="1" max="1" width="114.33203125" style="82" customWidth="1"/>
    <col min="2" max="2" width="39.6640625" style="84" bestFit="1" customWidth="1"/>
    <col min="3" max="3" width="15.44140625" style="84" customWidth="1"/>
    <col min="4" max="4" width="14.109375" style="83" bestFit="1" customWidth="1"/>
    <col min="5" max="5" width="10.44140625" style="82" customWidth="1"/>
    <col min="6" max="6" width="12" style="82" bestFit="1" customWidth="1"/>
    <col min="7" max="16384" width="8.88671875" style="82"/>
  </cols>
  <sheetData>
    <row r="1" spans="1:4">
      <c r="A1" s="125" t="s">
        <v>350</v>
      </c>
      <c r="B1" s="85" t="s">
        <v>348</v>
      </c>
      <c r="C1">
        <v>5.7899000000000003</v>
      </c>
    </row>
    <row r="3" spans="1:4" s="243" customFormat="1" ht="14.4" customHeight="1">
      <c r="A3" s="239" t="s">
        <v>264</v>
      </c>
      <c r="B3" s="240" t="s">
        <v>265</v>
      </c>
      <c r="C3" s="241" t="s">
        <v>266</v>
      </c>
      <c r="D3" s="242" t="s">
        <v>267</v>
      </c>
    </row>
    <row r="4" spans="1:4" ht="14.4" customHeight="1">
      <c r="A4" s="86" t="s">
        <v>268</v>
      </c>
      <c r="B4" s="200" t="s">
        <v>269</v>
      </c>
      <c r="C4" s="245">
        <f>1740+782</f>
        <v>2522</v>
      </c>
      <c r="D4" s="87">
        <f>124*$C$1+$C$1*Tabela2[[#This Row],[Area (ha)]]</f>
        <v>15320.0754</v>
      </c>
    </row>
    <row r="5" spans="1:4" ht="14.4" customHeight="1">
      <c r="A5" s="86" t="s">
        <v>270</v>
      </c>
      <c r="B5" s="200" t="s">
        <v>269</v>
      </c>
      <c r="C5" s="245">
        <v>0</v>
      </c>
      <c r="D5" s="87">
        <v>0</v>
      </c>
    </row>
    <row r="6" spans="1:4" ht="14.4" customHeight="1">
      <c r="A6" s="86" t="s">
        <v>271</v>
      </c>
      <c r="B6" s="200" t="s">
        <v>269</v>
      </c>
      <c r="C6" s="245">
        <v>0</v>
      </c>
      <c r="D6" s="87">
        <v>0</v>
      </c>
    </row>
    <row r="7" spans="1:4" ht="14.4" customHeight="1">
      <c r="A7" s="86" t="s">
        <v>272</v>
      </c>
      <c r="B7" s="200" t="s">
        <v>269</v>
      </c>
      <c r="C7" s="245">
        <f>7608-C4</f>
        <v>5086</v>
      </c>
      <c r="D7" s="87">
        <f>124*$C$1+$C$1*Tabela2[[#This Row],[Area (ha)]]</f>
        <v>30165.379000000001</v>
      </c>
    </row>
    <row r="8" spans="1:4" ht="14.4" customHeight="1">
      <c r="A8" s="86" t="s">
        <v>273</v>
      </c>
      <c r="B8" s="200" t="s">
        <v>274</v>
      </c>
      <c r="C8" s="245">
        <v>0</v>
      </c>
      <c r="D8" s="87">
        <v>0</v>
      </c>
    </row>
    <row r="9" spans="1:4" ht="14.4" customHeight="1">
      <c r="A9" s="86" t="s">
        <v>275</v>
      </c>
      <c r="B9" s="200" t="s">
        <v>276</v>
      </c>
      <c r="C9" s="245">
        <v>0</v>
      </c>
      <c r="D9" s="87">
        <v>0</v>
      </c>
    </row>
    <row r="10" spans="1:4" ht="14.4" customHeight="1">
      <c r="A10" s="86" t="s">
        <v>277</v>
      </c>
      <c r="B10" s="200" t="s">
        <v>269</v>
      </c>
      <c r="C10" s="245">
        <v>0</v>
      </c>
      <c r="D10" s="87">
        <v>0</v>
      </c>
    </row>
    <row r="11" spans="1:4" ht="14.4" customHeight="1">
      <c r="A11" s="86" t="s">
        <v>278</v>
      </c>
      <c r="B11" s="200" t="s">
        <v>269</v>
      </c>
      <c r="C11" s="245">
        <v>0</v>
      </c>
      <c r="D11" s="87">
        <v>0</v>
      </c>
    </row>
    <row r="12" spans="1:4" ht="14.4" customHeight="1">
      <c r="A12" s="86" t="s">
        <v>279</v>
      </c>
      <c r="B12" s="200" t="s">
        <v>280</v>
      </c>
      <c r="C12" s="245">
        <v>28000</v>
      </c>
      <c r="D12" s="87">
        <f>124*$C$1+$C$1*Tabela2[[#This Row],[Area (ha)]]</f>
        <v>162835.14760000003</v>
      </c>
    </row>
    <row r="13" spans="1:4" ht="14.4" customHeight="1">
      <c r="A13" s="86" t="s">
        <v>281</v>
      </c>
      <c r="B13" s="200" t="s">
        <v>274</v>
      </c>
      <c r="C13" s="245">
        <v>0</v>
      </c>
      <c r="D13" s="87">
        <v>0</v>
      </c>
    </row>
    <row r="14" spans="1:4" ht="14.4" customHeight="1">
      <c r="A14" s="86" t="s">
        <v>282</v>
      </c>
      <c r="B14" s="200" t="s">
        <v>274</v>
      </c>
      <c r="C14" s="245">
        <v>0</v>
      </c>
      <c r="D14" s="87">
        <v>0</v>
      </c>
    </row>
    <row r="15" spans="1:4" ht="14.4" customHeight="1">
      <c r="A15" s="86" t="s">
        <v>283</v>
      </c>
      <c r="B15" s="200" t="s">
        <v>274</v>
      </c>
      <c r="C15" s="245">
        <v>5336</v>
      </c>
      <c r="D15" s="87">
        <f>124*$C$1+$C$1*Tabela2[[#This Row],[Area (ha)]]</f>
        <v>31612.853999999999</v>
      </c>
    </row>
    <row r="16" spans="1:4" ht="14.4" customHeight="1">
      <c r="A16" s="86" t="s">
        <v>284</v>
      </c>
      <c r="B16" s="200" t="s">
        <v>274</v>
      </c>
      <c r="C16" s="245">
        <v>0</v>
      </c>
      <c r="D16" s="87">
        <v>0</v>
      </c>
    </row>
    <row r="17" spans="1:4" ht="14.4" customHeight="1">
      <c r="A17" s="86" t="s">
        <v>285</v>
      </c>
      <c r="B17" s="200" t="s">
        <v>274</v>
      </c>
      <c r="C17" s="245">
        <f>C7+C4</f>
        <v>7608</v>
      </c>
      <c r="D17" s="87">
        <v>0</v>
      </c>
    </row>
    <row r="18" spans="1:4" ht="14.4" customHeight="1">
      <c r="A18" s="86" t="s">
        <v>286</v>
      </c>
      <c r="B18" s="200" t="s">
        <v>274</v>
      </c>
      <c r="C18" s="245">
        <v>0</v>
      </c>
      <c r="D18" s="87">
        <v>0</v>
      </c>
    </row>
    <row r="19" spans="1:4" ht="14.4" customHeight="1">
      <c r="A19" s="205" t="s">
        <v>198</v>
      </c>
      <c r="B19" s="201" t="s">
        <v>263</v>
      </c>
      <c r="C19" s="206" t="s">
        <v>263</v>
      </c>
      <c r="D19" s="207">
        <f>SUBTOTAL(109,Tabela2[Custo (R$)])</f>
        <v>239933.45600000001</v>
      </c>
    </row>
  </sheetData>
  <pageMargins left="0.7" right="0.7" top="0.75" bottom="0.75" header="0.3" footer="0.3"/>
  <ignoredErrors>
    <ignoredError sqref="D5:D6 D8:D11 D13:D18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3296-1E5B-45E6-8B1E-D5A72E572C69}">
  <dimension ref="A1:F7"/>
  <sheetViews>
    <sheetView zoomScale="85" zoomScaleNormal="85" workbookViewId="0">
      <selection activeCell="E26" sqref="E26"/>
    </sheetView>
  </sheetViews>
  <sheetFormatPr defaultRowHeight="14.4"/>
  <cols>
    <col min="1" max="1" width="77.77734375" style="89" customWidth="1"/>
    <col min="2" max="2" width="10.6640625" style="91" customWidth="1"/>
    <col min="3" max="3" width="12.6640625" style="91" customWidth="1"/>
    <col min="4" max="4" width="7.21875" style="91" customWidth="1"/>
    <col min="5" max="5" width="9.33203125" style="88" customWidth="1"/>
    <col min="6" max="6" width="11.109375" style="88" customWidth="1"/>
    <col min="7" max="16384" width="8.88671875" style="88"/>
  </cols>
  <sheetData>
    <row r="1" spans="1:6" ht="14.4" customHeight="1">
      <c r="A1" s="267" t="s">
        <v>287</v>
      </c>
      <c r="B1" s="267" t="s">
        <v>351</v>
      </c>
      <c r="C1" s="268" t="s">
        <v>288</v>
      </c>
      <c r="D1" s="268"/>
      <c r="E1" s="268"/>
      <c r="F1" s="268"/>
    </row>
    <row r="2" spans="1:6" s="89" customFormat="1" ht="14.4" customHeight="1">
      <c r="A2" s="267"/>
      <c r="B2" s="267"/>
      <c r="C2" s="214" t="s">
        <v>289</v>
      </c>
      <c r="D2" s="214" t="s">
        <v>290</v>
      </c>
      <c r="E2" s="214" t="s">
        <v>18</v>
      </c>
      <c r="F2" s="214" t="s">
        <v>291</v>
      </c>
    </row>
    <row r="3" spans="1:6" s="90" customFormat="1" ht="14.4" customHeight="1">
      <c r="A3" s="215" t="s">
        <v>293</v>
      </c>
      <c r="B3" s="217" t="s">
        <v>294</v>
      </c>
      <c r="C3" s="221">
        <f>CustosFEAM!E10</f>
        <v>10132.33</v>
      </c>
      <c r="D3" s="219">
        <v>1</v>
      </c>
      <c r="E3" s="220" t="s">
        <v>292</v>
      </c>
      <c r="F3" s="221">
        <f>C3*D3</f>
        <v>10132.33</v>
      </c>
    </row>
    <row r="4" spans="1:6" s="90" customFormat="1" ht="14.4" customHeight="1">
      <c r="A4" s="215" t="s">
        <v>293</v>
      </c>
      <c r="B4" s="217" t="s">
        <v>295</v>
      </c>
      <c r="C4" s="221">
        <f>CustosFEAM!E12</f>
        <v>6814.71</v>
      </c>
      <c r="D4" s="219">
        <v>1</v>
      </c>
      <c r="E4" s="220" t="s">
        <v>292</v>
      </c>
      <c r="F4" s="221">
        <f t="shared" ref="F4:F6" si="0">C4*D4</f>
        <v>6814.71</v>
      </c>
    </row>
    <row r="5" spans="1:6" s="90" customFormat="1" ht="14.4" customHeight="1">
      <c r="A5" s="216" t="s">
        <v>293</v>
      </c>
      <c r="B5" s="217" t="s">
        <v>198</v>
      </c>
      <c r="C5" s="218">
        <f>C3+C4</f>
        <v>16947.04</v>
      </c>
      <c r="D5" s="219">
        <v>1</v>
      </c>
      <c r="E5" s="220" t="s">
        <v>292</v>
      </c>
      <c r="F5" s="218">
        <f t="shared" si="0"/>
        <v>16947.04</v>
      </c>
    </row>
    <row r="6" spans="1:6" s="90" customFormat="1" ht="14.4" customHeight="1">
      <c r="A6" s="216" t="s">
        <v>296</v>
      </c>
      <c r="B6" s="217" t="s">
        <v>297</v>
      </c>
      <c r="C6" s="218">
        <f>CustosFEAM!E15</f>
        <v>20276.23</v>
      </c>
      <c r="D6" s="219">
        <v>1</v>
      </c>
      <c r="E6" s="220" t="s">
        <v>292</v>
      </c>
      <c r="F6" s="218">
        <f t="shared" si="0"/>
        <v>20276.23</v>
      </c>
    </row>
    <row r="7" spans="1:6" s="226" customFormat="1" ht="14.4" customHeight="1">
      <c r="A7" s="222" t="s">
        <v>320</v>
      </c>
      <c r="B7" s="223"/>
      <c r="C7" s="223"/>
      <c r="D7" s="223"/>
      <c r="E7" s="224"/>
      <c r="F7" s="225">
        <f>SUM(F5:F6)</f>
        <v>37223.270000000004</v>
      </c>
    </row>
  </sheetData>
  <mergeCells count="3">
    <mergeCell ref="A1:A2"/>
    <mergeCell ref="B1:B2"/>
    <mergeCell ref="C1:F1"/>
  </mergeCells>
  <conditionalFormatting sqref="C1:C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09D1F-D7C5-406B-BA41-851B6ABC6BBB}">
  <dimension ref="A1:N130"/>
  <sheetViews>
    <sheetView topLeftCell="A23" zoomScaleNormal="100" workbookViewId="0">
      <selection activeCell="G81" sqref="G81"/>
    </sheetView>
  </sheetViews>
  <sheetFormatPr defaultRowHeight="14.4"/>
  <cols>
    <col min="1" max="1" width="56.6640625" customWidth="1"/>
    <col min="2" max="2" width="41.88671875" customWidth="1"/>
    <col min="3" max="3" width="52.77734375" customWidth="1"/>
    <col min="4" max="4" width="56.109375" bestFit="1" customWidth="1"/>
    <col min="7" max="7" width="15.5546875" bestFit="1" customWidth="1"/>
    <col min="8" max="8" width="11.21875" bestFit="1" customWidth="1"/>
    <col min="9" max="9" width="16.109375" bestFit="1" customWidth="1"/>
    <col min="10" max="10" width="11.88671875" style="227" bestFit="1" customWidth="1"/>
    <col min="11" max="11" width="9.77734375" bestFit="1" customWidth="1"/>
  </cols>
  <sheetData>
    <row r="1" spans="1:8" ht="15" thickBot="1">
      <c r="A1" s="208" t="s">
        <v>166</v>
      </c>
    </row>
    <row r="2" spans="1:8">
      <c r="A2" s="313" t="s">
        <v>123</v>
      </c>
      <c r="B2" s="315" t="s">
        <v>124</v>
      </c>
      <c r="C2" s="316"/>
      <c r="D2" s="319"/>
      <c r="E2" s="319"/>
      <c r="F2" s="319"/>
      <c r="G2" s="320"/>
    </row>
    <row r="3" spans="1:8" ht="24.6" thickBot="1">
      <c r="A3" s="314"/>
      <c r="B3" s="317"/>
      <c r="C3" s="318"/>
      <c r="D3" s="126" t="s">
        <v>125</v>
      </c>
      <c r="E3" s="126" t="s">
        <v>126</v>
      </c>
      <c r="F3" s="126" t="s">
        <v>127</v>
      </c>
      <c r="G3" s="127" t="s">
        <v>128</v>
      </c>
    </row>
    <row r="4" spans="1:8">
      <c r="A4" s="292" t="s">
        <v>165</v>
      </c>
      <c r="B4" s="128" t="s">
        <v>12</v>
      </c>
      <c r="C4" s="128" t="s">
        <v>153</v>
      </c>
      <c r="D4" s="129">
        <v>1</v>
      </c>
      <c r="E4" s="129">
        <v>48</v>
      </c>
      <c r="F4" s="26">
        <f>VLOOKUP(B4,CustosUnit!A$5:G$11,7,FALSE)</f>
        <v>27161.591015999998</v>
      </c>
      <c r="G4" s="27">
        <f>F4*E4*D4</f>
        <v>1303756.368768</v>
      </c>
      <c r="H4" s="130"/>
    </row>
    <row r="5" spans="1:8">
      <c r="A5" s="292"/>
      <c r="B5" s="128" t="s">
        <v>12</v>
      </c>
      <c r="C5" s="128" t="s">
        <v>154</v>
      </c>
      <c r="D5" s="129">
        <v>1</v>
      </c>
      <c r="E5" s="129">
        <v>48</v>
      </c>
      <c r="F5" s="26">
        <f>VLOOKUP(B5,CustosUnit!A$5:G$11,7,FALSE)</f>
        <v>27161.591015999998</v>
      </c>
      <c r="G5" s="27">
        <f>F5*E5*D5</f>
        <v>1303756.368768</v>
      </c>
      <c r="H5" s="8"/>
    </row>
    <row r="6" spans="1:8">
      <c r="A6" s="292"/>
      <c r="B6" s="128" t="s">
        <v>15</v>
      </c>
      <c r="C6" s="128" t="s">
        <v>130</v>
      </c>
      <c r="D6" s="129">
        <v>1</v>
      </c>
      <c r="E6" s="129">
        <f>35*12</f>
        <v>420</v>
      </c>
      <c r="F6" s="26">
        <f>VLOOKUP(B6,CustosUnit!A$5:G$11,7,FALSE)</f>
        <v>3515.0294256000002</v>
      </c>
      <c r="G6" s="27">
        <f>F6*E6*D6</f>
        <v>1476312.3587520001</v>
      </c>
      <c r="H6" s="130"/>
    </row>
    <row r="7" spans="1:8">
      <c r="A7" s="292"/>
      <c r="B7" s="128" t="s">
        <v>16</v>
      </c>
      <c r="C7" s="128" t="s">
        <v>159</v>
      </c>
      <c r="D7" s="129">
        <v>1</v>
      </c>
      <c r="E7" s="129">
        <f>48+4*12</f>
        <v>96</v>
      </c>
      <c r="F7" s="26">
        <f>VLOOKUP(B7,CustosUnit!A$5:G$11,7,FALSE)</f>
        <v>3195.4812959999999</v>
      </c>
      <c r="G7" s="27">
        <f>F7*E7*D7</f>
        <v>306766.20441599999</v>
      </c>
      <c r="H7" s="130"/>
    </row>
    <row r="8" spans="1:8">
      <c r="A8" s="293"/>
      <c r="B8" s="282" t="s">
        <v>129</v>
      </c>
      <c r="C8" s="283"/>
      <c r="D8" s="283"/>
      <c r="E8" s="283"/>
      <c r="F8" s="284"/>
      <c r="G8" s="28">
        <f>SUM(G4:G7)</f>
        <v>4390591.3007040005</v>
      </c>
    </row>
    <row r="9" spans="1:8">
      <c r="A9" s="285" t="s">
        <v>149</v>
      </c>
      <c r="B9" s="128" t="s">
        <v>12</v>
      </c>
      <c r="C9" s="131" t="s">
        <v>186</v>
      </c>
      <c r="D9" s="132">
        <v>1</v>
      </c>
      <c r="E9" s="129">
        <f>2*4</f>
        <v>8</v>
      </c>
      <c r="F9" s="26">
        <f>VLOOKUP(B9,CustosUnit!A$5:G$11,7,FALSE)</f>
        <v>27161.591015999998</v>
      </c>
      <c r="G9" s="27">
        <f>F9*E9*D9</f>
        <v>217292.72812799999</v>
      </c>
      <c r="H9" s="8"/>
    </row>
    <row r="10" spans="1:8" ht="15" thickBot="1">
      <c r="A10" s="286"/>
      <c r="B10" s="282" t="s">
        <v>129</v>
      </c>
      <c r="C10" s="283"/>
      <c r="D10" s="283"/>
      <c r="E10" s="283"/>
      <c r="F10" s="284"/>
      <c r="G10" s="31">
        <f>SUM(G9)</f>
        <v>217292.72812799999</v>
      </c>
    </row>
    <row r="11" spans="1:8">
      <c r="A11" s="290" t="s">
        <v>343</v>
      </c>
      <c r="B11" s="133" t="s">
        <v>12</v>
      </c>
      <c r="C11" s="133" t="s">
        <v>155</v>
      </c>
      <c r="D11" s="134">
        <v>2</v>
      </c>
      <c r="E11" s="134">
        <f>2*4*2</f>
        <v>16</v>
      </c>
      <c r="F11" s="29">
        <f>VLOOKUP(B11,CustosUnit!A$5:G$11,7,FALSE)</f>
        <v>27161.591015999998</v>
      </c>
      <c r="G11" s="30">
        <f>F11*E11*D11</f>
        <v>869170.91251199995</v>
      </c>
    </row>
    <row r="12" spans="1:8">
      <c r="A12" s="291"/>
      <c r="B12" s="133" t="s">
        <v>12</v>
      </c>
      <c r="C12" s="133" t="s">
        <v>156</v>
      </c>
      <c r="D12" s="134">
        <v>2</v>
      </c>
      <c r="E12" s="134">
        <f t="shared" ref="E12:E15" si="0">2*4*2</f>
        <v>16</v>
      </c>
      <c r="F12" s="29">
        <f>VLOOKUP(B12,CustosUnit!A$5:G$11,7,FALSE)</f>
        <v>27161.591015999998</v>
      </c>
      <c r="G12" s="30">
        <f t="shared" ref="G12:G15" si="1">F12*E12*D12</f>
        <v>869170.91251199995</v>
      </c>
    </row>
    <row r="13" spans="1:8">
      <c r="A13" s="292"/>
      <c r="B13" s="133" t="s">
        <v>12</v>
      </c>
      <c r="C13" s="128" t="s">
        <v>157</v>
      </c>
      <c r="D13" s="129">
        <v>2</v>
      </c>
      <c r="E13" s="134">
        <f t="shared" si="0"/>
        <v>16</v>
      </c>
      <c r="F13" s="29">
        <f>VLOOKUP(B13,CustosUnit!A$5:G$11,7,FALSE)</f>
        <v>27161.591015999998</v>
      </c>
      <c r="G13" s="30">
        <f t="shared" si="1"/>
        <v>869170.91251199995</v>
      </c>
    </row>
    <row r="14" spans="1:8">
      <c r="A14" s="292"/>
      <c r="B14" s="133" t="s">
        <v>14</v>
      </c>
      <c r="C14" s="128" t="s">
        <v>158</v>
      </c>
      <c r="D14" s="129">
        <v>2</v>
      </c>
      <c r="E14" s="134">
        <f t="shared" si="0"/>
        <v>16</v>
      </c>
      <c r="F14" s="29">
        <f>VLOOKUP(B14,CustosUnit!A$5:G$11,7,FALSE)</f>
        <v>3834.5775551999996</v>
      </c>
      <c r="G14" s="30">
        <f t="shared" si="1"/>
        <v>122706.48176639999</v>
      </c>
    </row>
    <row r="15" spans="1:8">
      <c r="A15" s="292"/>
      <c r="B15" s="128" t="s">
        <v>15</v>
      </c>
      <c r="C15" s="128" t="s">
        <v>163</v>
      </c>
      <c r="D15" s="129">
        <v>2</v>
      </c>
      <c r="E15" s="134">
        <f t="shared" si="0"/>
        <v>16</v>
      </c>
      <c r="F15" s="29">
        <f>VLOOKUP(B15,CustosUnit!A$5:G$11,7,FALSE)</f>
        <v>3515.0294256000002</v>
      </c>
      <c r="G15" s="30">
        <f t="shared" si="1"/>
        <v>112480.94161920001</v>
      </c>
    </row>
    <row r="16" spans="1:8">
      <c r="A16" s="293"/>
      <c r="B16" s="282" t="s">
        <v>129</v>
      </c>
      <c r="C16" s="283"/>
      <c r="D16" s="283"/>
      <c r="E16" s="283"/>
      <c r="F16" s="284"/>
      <c r="G16" s="28">
        <f>SUM(G11:G15)</f>
        <v>2842700.1609216002</v>
      </c>
    </row>
    <row r="17" spans="1:8">
      <c r="A17" s="294" t="s">
        <v>164</v>
      </c>
      <c r="B17" s="128" t="s">
        <v>12</v>
      </c>
      <c r="C17" s="135" t="s">
        <v>131</v>
      </c>
      <c r="D17" s="129">
        <v>1</v>
      </c>
      <c r="E17" s="129">
        <f>3*4+2*5</f>
        <v>22</v>
      </c>
      <c r="F17" s="26">
        <f>VLOOKUP(B17,CustosUnit!A$5:G$11,7,FALSE)</f>
        <v>27161.591015999998</v>
      </c>
      <c r="G17" s="27">
        <f t="shared" ref="G17" si="2">F17*E17*D17</f>
        <v>597555.00235199998</v>
      </c>
      <c r="H17" s="8"/>
    </row>
    <row r="18" spans="1:8">
      <c r="A18" s="294"/>
      <c r="B18" s="128" t="s">
        <v>16</v>
      </c>
      <c r="C18" s="135" t="s">
        <v>132</v>
      </c>
      <c r="D18" s="129">
        <v>1</v>
      </c>
      <c r="E18" s="129">
        <f t="shared" ref="E18:E24" si="3">3*4+2*5</f>
        <v>22</v>
      </c>
      <c r="F18" s="26">
        <f>VLOOKUP(B18,CustosUnit!A$5:G$11,7,FALSE)</f>
        <v>3195.4812959999999</v>
      </c>
      <c r="G18" s="27">
        <f t="shared" ref="G18:G24" si="4">F18*E18*D18</f>
        <v>70300.588512000002</v>
      </c>
      <c r="H18" s="8"/>
    </row>
    <row r="19" spans="1:8">
      <c r="A19" s="294"/>
      <c r="B19" s="128" t="s">
        <v>12</v>
      </c>
      <c r="C19" s="135" t="s">
        <v>133</v>
      </c>
      <c r="D19" s="129">
        <v>1</v>
      </c>
      <c r="E19" s="129">
        <f t="shared" si="3"/>
        <v>22</v>
      </c>
      <c r="F19" s="26">
        <f>VLOOKUP(B19,CustosUnit!A$5:G$11,7,FALSE)</f>
        <v>27161.591015999998</v>
      </c>
      <c r="G19" s="27">
        <f t="shared" si="4"/>
        <v>597555.00235199998</v>
      </c>
      <c r="H19" s="8"/>
    </row>
    <row r="20" spans="1:8">
      <c r="A20" s="294"/>
      <c r="B20" s="128" t="s">
        <v>16</v>
      </c>
      <c r="C20" s="135" t="s">
        <v>134</v>
      </c>
      <c r="D20" s="129">
        <v>1</v>
      </c>
      <c r="E20" s="129">
        <f t="shared" si="3"/>
        <v>22</v>
      </c>
      <c r="F20" s="26">
        <f>VLOOKUP(B20,CustosUnit!A$5:G$11,7,FALSE)</f>
        <v>3195.4812959999999</v>
      </c>
      <c r="G20" s="27">
        <f t="shared" si="4"/>
        <v>70300.588512000002</v>
      </c>
      <c r="H20" s="8"/>
    </row>
    <row r="21" spans="1:8">
      <c r="A21" s="294"/>
      <c r="B21" s="128" t="s">
        <v>12</v>
      </c>
      <c r="C21" s="135" t="s">
        <v>135</v>
      </c>
      <c r="D21" s="129">
        <v>1</v>
      </c>
      <c r="E21" s="129">
        <f t="shared" si="3"/>
        <v>22</v>
      </c>
      <c r="F21" s="26">
        <f>VLOOKUP(B21,CustosUnit!A$5:G$11,7,FALSE)</f>
        <v>27161.591015999998</v>
      </c>
      <c r="G21" s="27">
        <f t="shared" si="4"/>
        <v>597555.00235199998</v>
      </c>
      <c r="H21" s="8"/>
    </row>
    <row r="22" spans="1:8">
      <c r="A22" s="294"/>
      <c r="B22" s="128" t="s">
        <v>16</v>
      </c>
      <c r="C22" s="135" t="s">
        <v>136</v>
      </c>
      <c r="D22" s="129">
        <v>1</v>
      </c>
      <c r="E22" s="129">
        <f t="shared" si="3"/>
        <v>22</v>
      </c>
      <c r="F22" s="26">
        <f>VLOOKUP(B22,CustosUnit!A$5:G$11,7,FALSE)</f>
        <v>3195.4812959999999</v>
      </c>
      <c r="G22" s="27">
        <f t="shared" si="4"/>
        <v>70300.588512000002</v>
      </c>
      <c r="H22" s="8"/>
    </row>
    <row r="23" spans="1:8">
      <c r="A23" s="294"/>
      <c r="B23" s="128" t="s">
        <v>12</v>
      </c>
      <c r="C23" s="135" t="s">
        <v>161</v>
      </c>
      <c r="D23" s="134">
        <v>1</v>
      </c>
      <c r="E23" s="129">
        <f t="shared" si="3"/>
        <v>22</v>
      </c>
      <c r="F23" s="26">
        <f>VLOOKUP(B23,CustosUnit!A$5:G$11,7,FALSE)</f>
        <v>27161.591015999998</v>
      </c>
      <c r="G23" s="27">
        <f t="shared" si="4"/>
        <v>597555.00235199998</v>
      </c>
      <c r="H23" s="8"/>
    </row>
    <row r="24" spans="1:8">
      <c r="A24" s="294"/>
      <c r="B24" s="128" t="s">
        <v>16</v>
      </c>
      <c r="C24" s="135" t="s">
        <v>160</v>
      </c>
      <c r="D24" s="134">
        <v>1</v>
      </c>
      <c r="E24" s="129">
        <f t="shared" si="3"/>
        <v>22</v>
      </c>
      <c r="F24" s="26">
        <f>VLOOKUP(B24,CustosUnit!A$5:G$11,7,FALSE)</f>
        <v>3195.4812959999999</v>
      </c>
      <c r="G24" s="27">
        <f t="shared" si="4"/>
        <v>70300.588512000002</v>
      </c>
      <c r="H24" s="8"/>
    </row>
    <row r="25" spans="1:8">
      <c r="A25" s="294"/>
      <c r="B25" s="128" t="s">
        <v>12</v>
      </c>
      <c r="C25" s="135" t="s">
        <v>162</v>
      </c>
      <c r="D25" s="134">
        <v>1</v>
      </c>
      <c r="E25" s="129">
        <f>240/30</f>
        <v>8</v>
      </c>
      <c r="F25" s="26">
        <f>VLOOKUP(B25,CustosUnit!A$5:G$11,7,FALSE)</f>
        <v>27161.591015999998</v>
      </c>
      <c r="G25" s="27">
        <f t="shared" ref="G25" si="5">F25*E25*D25</f>
        <v>217292.72812799999</v>
      </c>
      <c r="H25" s="8"/>
    </row>
    <row r="26" spans="1:8">
      <c r="A26" s="294"/>
      <c r="B26" s="128" t="s">
        <v>15</v>
      </c>
      <c r="C26" s="128" t="s">
        <v>249</v>
      </c>
      <c r="D26" s="134">
        <v>1</v>
      </c>
      <c r="E26" s="129">
        <v>48</v>
      </c>
      <c r="F26" s="26">
        <f>VLOOKUP(B26,CustosUnit!A$5:G$11,7,FALSE)</f>
        <v>3515.0294256000002</v>
      </c>
      <c r="G26" s="27">
        <f t="shared" ref="G26" si="6">F26*E26*D26</f>
        <v>168721.41242880002</v>
      </c>
      <c r="H26" s="8"/>
    </row>
    <row r="27" spans="1:8" ht="15" thickBot="1">
      <c r="A27" s="294"/>
      <c r="B27" s="295" t="s">
        <v>129</v>
      </c>
      <c r="C27" s="296"/>
      <c r="D27" s="296"/>
      <c r="E27" s="296"/>
      <c r="F27" s="297"/>
      <c r="G27" s="120">
        <f>SUM(G17:G26)</f>
        <v>3057436.5040128003</v>
      </c>
    </row>
    <row r="28" spans="1:8">
      <c r="A28" s="298" t="s">
        <v>151</v>
      </c>
      <c r="B28" s="136" t="s">
        <v>12</v>
      </c>
      <c r="C28" s="137" t="s">
        <v>152</v>
      </c>
      <c r="D28" s="138">
        <v>1</v>
      </c>
      <c r="E28" s="139">
        <f>(48+4*12)/2</f>
        <v>48</v>
      </c>
      <c r="F28" s="122">
        <f>VLOOKUP(B28,CustosUnit!A$5:G$11,7,FALSE)</f>
        <v>27161.591015999998</v>
      </c>
      <c r="G28" s="123">
        <f>F28*E28*D28</f>
        <v>1303756.368768</v>
      </c>
      <c r="H28" s="8"/>
    </row>
    <row r="29" spans="1:8">
      <c r="A29" s="294"/>
      <c r="B29" s="128" t="s">
        <v>13</v>
      </c>
      <c r="C29" s="140" t="s">
        <v>189</v>
      </c>
      <c r="D29" s="141">
        <v>1</v>
      </c>
      <c r="E29" s="129">
        <v>48</v>
      </c>
      <c r="F29" s="26">
        <f>VLOOKUP(B29,CustosUnit!A$5:G$11,7,FALSE)</f>
        <v>19172.887776</v>
      </c>
      <c r="G29" s="27">
        <f>F29*E29*D29</f>
        <v>920298.61324799992</v>
      </c>
      <c r="H29" s="8"/>
    </row>
    <row r="30" spans="1:8" ht="15" thickBot="1">
      <c r="A30" s="299"/>
      <c r="B30" s="300" t="s">
        <v>129</v>
      </c>
      <c r="C30" s="301"/>
      <c r="D30" s="301"/>
      <c r="E30" s="301"/>
      <c r="F30" s="302"/>
      <c r="G30" s="31">
        <f>SUM(G28:G29)</f>
        <v>2224054.982016</v>
      </c>
    </row>
    <row r="31" spans="1:8">
      <c r="A31" s="303" t="s">
        <v>309</v>
      </c>
      <c r="B31" s="142" t="s">
        <v>12</v>
      </c>
      <c r="C31" s="137" t="s">
        <v>152</v>
      </c>
      <c r="D31" s="138">
        <v>1</v>
      </c>
      <c r="E31" s="139">
        <f>(48+4*12)/2</f>
        <v>48</v>
      </c>
      <c r="F31" s="122">
        <f>VLOOKUP(B31,CustosUnit!A$5:G$11,7,FALSE)</f>
        <v>27161.591015999998</v>
      </c>
      <c r="G31" s="123">
        <f>F31*E31*D31</f>
        <v>1303756.368768</v>
      </c>
      <c r="H31" s="8"/>
    </row>
    <row r="32" spans="1:8" ht="15" thickBot="1">
      <c r="A32" s="304"/>
      <c r="B32" s="301" t="s">
        <v>129</v>
      </c>
      <c r="C32" s="301"/>
      <c r="D32" s="301"/>
      <c r="E32" s="301"/>
      <c r="F32" s="302"/>
      <c r="G32" s="31">
        <f>SUM(G31:G31)</f>
        <v>1303756.368768</v>
      </c>
    </row>
    <row r="33" spans="1:10">
      <c r="A33" s="294" t="s">
        <v>261</v>
      </c>
      <c r="B33" s="133" t="s">
        <v>12</v>
      </c>
      <c r="C33" s="143" t="s">
        <v>186</v>
      </c>
      <c r="D33" s="144">
        <v>1</v>
      </c>
      <c r="E33" s="134">
        <f>2*5</f>
        <v>10</v>
      </c>
      <c r="F33" s="29">
        <f>VLOOKUP(B33,CustosUnit!A$5:G$11,7,FALSE)</f>
        <v>27161.591015999998</v>
      </c>
      <c r="G33" s="121">
        <f>F33*E33*D33</f>
        <v>271615.91015999997</v>
      </c>
      <c r="H33" s="8"/>
    </row>
    <row r="34" spans="1:10">
      <c r="A34" s="294"/>
      <c r="B34" s="133" t="s">
        <v>12</v>
      </c>
      <c r="C34" s="131" t="s">
        <v>157</v>
      </c>
      <c r="D34" s="132">
        <v>1</v>
      </c>
      <c r="E34" s="129">
        <f>2*5</f>
        <v>10</v>
      </c>
      <c r="F34" s="29">
        <f>VLOOKUP(B34,CustosUnit!A$5:G$11,7,FALSE)</f>
        <v>27161.591015999998</v>
      </c>
      <c r="G34" s="30">
        <f t="shared" ref="G34" si="7">F34*E34*D34</f>
        <v>271615.91015999997</v>
      </c>
      <c r="H34" s="8"/>
    </row>
    <row r="35" spans="1:10" ht="15" thickBot="1">
      <c r="A35" s="299"/>
      <c r="B35" s="282" t="s">
        <v>129</v>
      </c>
      <c r="C35" s="283"/>
      <c r="D35" s="283"/>
      <c r="E35" s="283"/>
      <c r="F35" s="284"/>
      <c r="G35" s="31">
        <f>SUM(G33:G34)</f>
        <v>543231.82031999994</v>
      </c>
    </row>
    <row r="36" spans="1:10">
      <c r="A36" s="294" t="s">
        <v>187</v>
      </c>
      <c r="B36" s="128" t="s">
        <v>14</v>
      </c>
      <c r="C36" s="131" t="s">
        <v>250</v>
      </c>
      <c r="D36" s="132">
        <v>1</v>
      </c>
      <c r="E36" s="129">
        <v>48</v>
      </c>
      <c r="F36" s="26">
        <f>VLOOKUP(B36,CustosUnit!A$5:G$11,7,FALSE)</f>
        <v>3834.5775551999996</v>
      </c>
      <c r="G36" s="27">
        <f>F36*E36*D36</f>
        <v>184059.72264959998</v>
      </c>
      <c r="H36" s="130"/>
    </row>
    <row r="37" spans="1:10">
      <c r="A37" s="294"/>
      <c r="B37" s="128" t="s">
        <v>12</v>
      </c>
      <c r="C37" s="140" t="s">
        <v>188</v>
      </c>
      <c r="D37" s="141">
        <v>1</v>
      </c>
      <c r="E37" s="129">
        <f>2*20</f>
        <v>40</v>
      </c>
      <c r="F37" s="26">
        <f>VLOOKUP(B37,CustosUnit!A$5:G$11,7,FALSE)</f>
        <v>27161.591015999998</v>
      </c>
      <c r="G37" s="27">
        <f>F37*E37*D37</f>
        <v>1086463.6406399999</v>
      </c>
      <c r="H37" s="130"/>
    </row>
    <row r="38" spans="1:10" ht="15" thickBot="1">
      <c r="A38" s="299"/>
      <c r="B38" s="300" t="s">
        <v>129</v>
      </c>
      <c r="C38" s="301"/>
      <c r="D38" s="301"/>
      <c r="E38" s="301"/>
      <c r="F38" s="302"/>
      <c r="G38" s="31">
        <f>SUM(G36:G37)</f>
        <v>1270523.3632895998</v>
      </c>
    </row>
    <row r="39" spans="1:10">
      <c r="A39" s="145"/>
      <c r="B39" s="46"/>
      <c r="C39" s="46"/>
      <c r="D39" s="46"/>
      <c r="E39" s="46"/>
      <c r="F39" s="46"/>
      <c r="G39" s="47"/>
    </row>
    <row r="40" spans="1:10" ht="15" thickBot="1">
      <c r="A40" s="208" t="s">
        <v>167</v>
      </c>
    </row>
    <row r="41" spans="1:10" ht="24.6" thickBot="1">
      <c r="A41" s="2" t="s">
        <v>123</v>
      </c>
      <c r="B41" s="3" t="s">
        <v>137</v>
      </c>
      <c r="C41" s="327" t="s">
        <v>138</v>
      </c>
      <c r="D41" s="328"/>
      <c r="E41" s="3" t="s">
        <v>18</v>
      </c>
      <c r="F41" s="3" t="s">
        <v>139</v>
      </c>
      <c r="G41" s="3" t="s">
        <v>140</v>
      </c>
      <c r="H41" s="3" t="s">
        <v>141</v>
      </c>
      <c r="I41" s="4" t="s">
        <v>142</v>
      </c>
    </row>
    <row r="42" spans="1:10">
      <c r="A42" s="321" t="str">
        <f>A4</f>
        <v>Programa de Gestão Ambiental do Empreendimento</v>
      </c>
      <c r="B42" s="146" t="s">
        <v>1</v>
      </c>
      <c r="C42" s="147" t="s">
        <v>169</v>
      </c>
      <c r="D42" s="147" t="s">
        <v>24</v>
      </c>
      <c r="E42" s="148" t="s">
        <v>18</v>
      </c>
      <c r="F42" s="148">
        <v>1</v>
      </c>
      <c r="G42" s="148">
        <v>1</v>
      </c>
      <c r="H42" s="44">
        <v>150000</v>
      </c>
      <c r="I42" s="45">
        <f>H42*G42*F42*1.12*1.1662</f>
        <v>195921.6</v>
      </c>
      <c r="J42" s="227" t="s">
        <v>179</v>
      </c>
    </row>
    <row r="43" spans="1:10">
      <c r="A43" s="321"/>
      <c r="B43" s="146" t="s">
        <v>173</v>
      </c>
      <c r="C43" s="305" t="s">
        <v>169</v>
      </c>
      <c r="D43" s="306"/>
      <c r="E43" s="148" t="s">
        <v>18</v>
      </c>
      <c r="F43" s="148">
        <v>1</v>
      </c>
      <c r="G43" s="148">
        <v>1</v>
      </c>
      <c r="H43" s="44">
        <v>10000</v>
      </c>
      <c r="I43" s="45">
        <f>H43*G43*F43*1.12*1.1662</f>
        <v>13061.44</v>
      </c>
      <c r="J43" s="227" t="s">
        <v>179</v>
      </c>
    </row>
    <row r="44" spans="1:10">
      <c r="A44" s="321"/>
      <c r="B44" s="287" t="s">
        <v>174</v>
      </c>
      <c r="C44" s="305" t="s">
        <v>169</v>
      </c>
      <c r="D44" s="306"/>
      <c r="E44" s="148" t="s">
        <v>18</v>
      </c>
      <c r="F44" s="148">
        <v>4</v>
      </c>
      <c r="G44" s="148">
        <v>1</v>
      </c>
      <c r="H44" s="44">
        <v>2000</v>
      </c>
      <c r="I44" s="45">
        <f>H44*G44*F44*1.12*1.1662</f>
        <v>10449.151999999998</v>
      </c>
      <c r="J44" s="227" t="s">
        <v>179</v>
      </c>
    </row>
    <row r="45" spans="1:10">
      <c r="A45" s="321"/>
      <c r="B45" s="288"/>
      <c r="C45" s="280" t="s">
        <v>184</v>
      </c>
      <c r="D45" s="280"/>
      <c r="E45" s="148" t="s">
        <v>25</v>
      </c>
      <c r="F45" s="148">
        <v>48</v>
      </c>
      <c r="G45" s="148">
        <v>3</v>
      </c>
      <c r="H45" s="44">
        <v>300</v>
      </c>
      <c r="I45" s="45">
        <f>H45*G45*F45*1.12*1.1662</f>
        <v>56425.420800000007</v>
      </c>
    </row>
    <row r="46" spans="1:10">
      <c r="A46" s="321"/>
      <c r="B46" s="289"/>
      <c r="C46" s="280" t="s">
        <v>184</v>
      </c>
      <c r="D46" s="280"/>
      <c r="E46" s="148" t="s">
        <v>25</v>
      </c>
      <c r="F46" s="148">
        <f>E6</f>
        <v>420</v>
      </c>
      <c r="G46" s="148">
        <v>1</v>
      </c>
      <c r="H46" s="44">
        <v>300</v>
      </c>
      <c r="I46" s="45">
        <f>H46*G46*F46*1.12*1.1662</f>
        <v>164574.144</v>
      </c>
    </row>
    <row r="47" spans="1:10">
      <c r="A47" s="321"/>
      <c r="B47" s="287" t="s">
        <v>100</v>
      </c>
      <c r="C47" s="151" t="s">
        <v>144</v>
      </c>
      <c r="D47" s="151" t="s">
        <v>32</v>
      </c>
      <c r="E47" s="148" t="s">
        <v>25</v>
      </c>
      <c r="F47" s="148">
        <v>48</v>
      </c>
      <c r="G47" s="148">
        <v>3</v>
      </c>
      <c r="H47" s="44">
        <f>VLOOKUP(D47,CustosUnit!B$14:G$96,6,FALSE)</f>
        <v>97.908636823364503</v>
      </c>
      <c r="I47" s="45">
        <f t="shared" ref="I47:I49" si="8">H47*G47*F47</f>
        <v>14098.843702564487</v>
      </c>
      <c r="J47" s="228"/>
    </row>
    <row r="48" spans="1:10">
      <c r="A48" s="321"/>
      <c r="B48" s="288"/>
      <c r="C48" s="151" t="s">
        <v>144</v>
      </c>
      <c r="D48" s="151" t="s">
        <v>32</v>
      </c>
      <c r="E48" s="148" t="s">
        <v>25</v>
      </c>
      <c r="F48" s="148">
        <v>420</v>
      </c>
      <c r="G48" s="148">
        <v>1</v>
      </c>
      <c r="H48" s="44">
        <f>VLOOKUP(D48,CustosUnit!B$14:G$96,6,FALSE)</f>
        <v>97.908636823364503</v>
      </c>
      <c r="I48" s="45">
        <f t="shared" ref="I48" si="9">H48*G48*F48</f>
        <v>41121.627465813093</v>
      </c>
      <c r="J48" s="228"/>
    </row>
    <row r="49" spans="1:10">
      <c r="A49" s="321"/>
      <c r="B49" s="288"/>
      <c r="C49" s="151" t="s">
        <v>118</v>
      </c>
      <c r="D49" s="151" t="s">
        <v>119</v>
      </c>
      <c r="E49" s="148" t="s">
        <v>120</v>
      </c>
      <c r="F49" s="148">
        <v>500</v>
      </c>
      <c r="G49" s="148">
        <f>48/3</f>
        <v>16</v>
      </c>
      <c r="H49" s="44">
        <f>VLOOKUP(D49,CustosUnit!B$14:G$96,6,FALSE)</f>
        <v>1.9980680961406823</v>
      </c>
      <c r="I49" s="45">
        <f t="shared" si="8"/>
        <v>15984.544769125458</v>
      </c>
    </row>
    <row r="50" spans="1:10">
      <c r="A50" s="326"/>
      <c r="B50" s="288"/>
      <c r="C50" s="152" t="s">
        <v>168</v>
      </c>
      <c r="D50" s="153"/>
      <c r="E50" s="148" t="s">
        <v>25</v>
      </c>
      <c r="F50" s="148">
        <f>E6</f>
        <v>420</v>
      </c>
      <c r="G50" s="148">
        <v>1</v>
      </c>
      <c r="H50" s="44">
        <v>3000</v>
      </c>
      <c r="I50" s="45">
        <f>H50*G50*F50*1.12*1.1662</f>
        <v>1645741.4400000002</v>
      </c>
    </row>
    <row r="51" spans="1:10">
      <c r="A51" s="326"/>
      <c r="B51" s="288"/>
      <c r="C51" s="151" t="s">
        <v>103</v>
      </c>
      <c r="D51" s="153"/>
      <c r="E51" s="148" t="s">
        <v>25</v>
      </c>
      <c r="F51" s="148">
        <f>F50</f>
        <v>420</v>
      </c>
      <c r="G51" s="148">
        <v>1</v>
      </c>
      <c r="H51" s="44">
        <f>VLOOKUP(C51,CustosUnit!B$14:G$96,6,FALSE)</f>
        <v>1890.064415268213</v>
      </c>
      <c r="I51" s="45">
        <f t="shared" ref="I51" si="10">H51*G51*F51</f>
        <v>793827.05441264948</v>
      </c>
    </row>
    <row r="52" spans="1:10">
      <c r="A52" s="326"/>
      <c r="B52" s="289"/>
      <c r="C52" s="151" t="s">
        <v>190</v>
      </c>
      <c r="D52" s="153" t="s">
        <v>16</v>
      </c>
      <c r="E52" s="148" t="s">
        <v>25</v>
      </c>
      <c r="F52" s="148">
        <v>48</v>
      </c>
      <c r="G52" s="154">
        <v>2</v>
      </c>
      <c r="H52" s="44">
        <v>3195.4812959999999</v>
      </c>
      <c r="I52" s="45">
        <f t="shared" ref="I52:I53" si="11">H52*G52*F52</f>
        <v>306766.20441599999</v>
      </c>
    </row>
    <row r="53" spans="1:10">
      <c r="A53" s="326"/>
      <c r="B53" s="287" t="s">
        <v>191</v>
      </c>
      <c r="C53" s="151" t="s">
        <v>110</v>
      </c>
      <c r="D53" s="153"/>
      <c r="E53" s="148" t="s">
        <v>18</v>
      </c>
      <c r="F53" s="148">
        <v>1</v>
      </c>
      <c r="G53" s="154">
        <v>4</v>
      </c>
      <c r="H53" s="44">
        <f>VLOOKUP(C53,CustosUnit!B$14:G$96,6,FALSE)</f>
        <v>984.18354195037659</v>
      </c>
      <c r="I53" s="45">
        <f t="shared" si="11"/>
        <v>3936.7341678015064</v>
      </c>
    </row>
    <row r="54" spans="1:10">
      <c r="A54" s="326"/>
      <c r="B54" s="288"/>
      <c r="C54" s="151" t="s">
        <v>111</v>
      </c>
      <c r="D54" s="153"/>
      <c r="E54" s="148" t="s">
        <v>18</v>
      </c>
      <c r="F54" s="148">
        <v>1</v>
      </c>
      <c r="G54" s="154">
        <v>4</v>
      </c>
      <c r="H54" s="44">
        <f>VLOOKUP(C54,CustosUnit!B$14:G$96,6,FALSE)</f>
        <v>643.1</v>
      </c>
      <c r="I54" s="45">
        <f t="shared" ref="I54:I55" si="12">H54*G54*F54</f>
        <v>2572.4</v>
      </c>
    </row>
    <row r="55" spans="1:10">
      <c r="A55" s="326"/>
      <c r="B55" s="289"/>
      <c r="C55" s="151" t="s">
        <v>112</v>
      </c>
      <c r="D55" s="153"/>
      <c r="E55" s="148" t="s">
        <v>18</v>
      </c>
      <c r="F55" s="148">
        <v>1</v>
      </c>
      <c r="G55" s="154">
        <v>4</v>
      </c>
      <c r="H55" s="44">
        <f>VLOOKUP(C55,CustosUnit!B$14:G$96,6,FALSE)</f>
        <v>257.24</v>
      </c>
      <c r="I55" s="45">
        <f t="shared" si="12"/>
        <v>1028.96</v>
      </c>
    </row>
    <row r="56" spans="1:10">
      <c r="A56" s="322"/>
      <c r="B56" s="272" t="s">
        <v>129</v>
      </c>
      <c r="C56" s="273"/>
      <c r="D56" s="273"/>
      <c r="E56" s="273"/>
      <c r="F56" s="273"/>
      <c r="G56" s="273"/>
      <c r="H56" s="274"/>
      <c r="I56" s="155">
        <f>SUM(I42:I55)</f>
        <v>3265509.5657339538</v>
      </c>
    </row>
    <row r="57" spans="1:10">
      <c r="A57" s="275" t="s">
        <v>254</v>
      </c>
      <c r="B57" s="156" t="s">
        <v>171</v>
      </c>
      <c r="C57" s="156" t="s">
        <v>143</v>
      </c>
      <c r="D57" s="156" t="s">
        <v>255</v>
      </c>
      <c r="E57" s="157" t="s">
        <v>18</v>
      </c>
      <c r="F57" s="157">
        <v>1</v>
      </c>
      <c r="G57" s="157">
        <f>1+3*4+2*(35-4)</f>
        <v>75</v>
      </c>
      <c r="H57" s="44">
        <f>52450/2</f>
        <v>26225</v>
      </c>
      <c r="I57" s="158">
        <f>H57*G57*F57</f>
        <v>1966875</v>
      </c>
      <c r="J57" s="228"/>
    </row>
    <row r="58" spans="1:10">
      <c r="A58" s="276"/>
      <c r="B58" s="272" t="s">
        <v>129</v>
      </c>
      <c r="C58" s="273"/>
      <c r="D58" s="273"/>
      <c r="E58" s="273"/>
      <c r="F58" s="273"/>
      <c r="G58" s="273"/>
      <c r="H58" s="274"/>
      <c r="I58" s="155">
        <f>SUM(I57)</f>
        <v>1966875</v>
      </c>
    </row>
    <row r="59" spans="1:10">
      <c r="A59" s="275" t="s">
        <v>251</v>
      </c>
      <c r="B59" s="156" t="s">
        <v>171</v>
      </c>
      <c r="C59" s="156" t="s">
        <v>143</v>
      </c>
      <c r="D59" s="156" t="s">
        <v>172</v>
      </c>
      <c r="E59" s="157" t="s">
        <v>18</v>
      </c>
      <c r="F59" s="157">
        <v>1</v>
      </c>
      <c r="G59" s="157">
        <f>1+3*4+2*(35-4)</f>
        <v>75</v>
      </c>
      <c r="H59" s="44">
        <f>52450/2</f>
        <v>26225</v>
      </c>
      <c r="I59" s="158">
        <f>H59*G59*F59</f>
        <v>1966875</v>
      </c>
      <c r="J59" s="228"/>
    </row>
    <row r="60" spans="1:10">
      <c r="A60" s="276"/>
      <c r="B60" s="272" t="s">
        <v>129</v>
      </c>
      <c r="C60" s="273"/>
      <c r="D60" s="273"/>
      <c r="E60" s="273"/>
      <c r="F60" s="273"/>
      <c r="G60" s="273"/>
      <c r="H60" s="274"/>
      <c r="I60" s="155">
        <f>SUM(I59)</f>
        <v>1966875</v>
      </c>
    </row>
    <row r="61" spans="1:10">
      <c r="A61" s="275" t="s">
        <v>252</v>
      </c>
      <c r="B61" s="156" t="s">
        <v>171</v>
      </c>
      <c r="C61" s="156"/>
      <c r="D61" s="156"/>
      <c r="E61" s="157" t="s">
        <v>18</v>
      </c>
      <c r="F61" s="157">
        <v>1</v>
      </c>
      <c r="G61" s="157">
        <f>1+34</f>
        <v>35</v>
      </c>
      <c r="H61" s="44">
        <f>1304.98*3*(41+37)/4</f>
        <v>76341.33</v>
      </c>
      <c r="I61" s="158">
        <f>H61*G61*F61</f>
        <v>2671946.5500000003</v>
      </c>
      <c r="J61" s="228" t="s">
        <v>335</v>
      </c>
    </row>
    <row r="62" spans="1:10">
      <c r="A62" s="276"/>
      <c r="B62" s="272" t="s">
        <v>129</v>
      </c>
      <c r="C62" s="273"/>
      <c r="D62" s="273"/>
      <c r="E62" s="273"/>
      <c r="F62" s="273"/>
      <c r="G62" s="273"/>
      <c r="H62" s="274"/>
      <c r="I62" s="155">
        <f>SUM(I61)</f>
        <v>2671946.5500000003</v>
      </c>
    </row>
    <row r="63" spans="1:10">
      <c r="A63" s="275" t="s">
        <v>253</v>
      </c>
      <c r="B63" s="156" t="s">
        <v>1</v>
      </c>
      <c r="C63" s="156" t="s">
        <v>145</v>
      </c>
      <c r="D63" s="156" t="s">
        <v>26</v>
      </c>
      <c r="E63" s="157" t="s">
        <v>25</v>
      </c>
      <c r="F63" s="157">
        <f>2*4</f>
        <v>8</v>
      </c>
      <c r="G63" s="157">
        <v>2</v>
      </c>
      <c r="H63" s="44">
        <f>VLOOKUP(D63,CustosUnit!B$14:G$96,6,FALSE)</f>
        <v>4799.2183579936664</v>
      </c>
      <c r="I63" s="158">
        <f t="shared" ref="I63:I72" si="13">H63*G63*F63</f>
        <v>76787.493727898662</v>
      </c>
    </row>
    <row r="64" spans="1:10">
      <c r="A64" s="281"/>
      <c r="B64" s="279" t="s">
        <v>144</v>
      </c>
      <c r="C64" s="280" t="s">
        <v>32</v>
      </c>
      <c r="D64" s="280"/>
      <c r="E64" s="148" t="s">
        <v>25</v>
      </c>
      <c r="F64" s="148">
        <f>2*4</f>
        <v>8</v>
      </c>
      <c r="G64" s="148">
        <v>4</v>
      </c>
      <c r="H64" s="44">
        <f>VLOOKUP(C64,CustosUnit!B$14:G$96,6,FALSE)</f>
        <v>97.908636823364503</v>
      </c>
      <c r="I64" s="45">
        <f t="shared" si="13"/>
        <v>3133.0763783476641</v>
      </c>
    </row>
    <row r="65" spans="1:14">
      <c r="A65" s="281"/>
      <c r="B65" s="279"/>
      <c r="C65" s="280" t="s">
        <v>34</v>
      </c>
      <c r="D65" s="280"/>
      <c r="E65" s="148" t="s">
        <v>25</v>
      </c>
      <c r="F65" s="148">
        <f t="shared" ref="F65:F66" si="14">2*4</f>
        <v>8</v>
      </c>
      <c r="G65" s="148">
        <v>4</v>
      </c>
      <c r="H65" s="44">
        <f>VLOOKUP(C65,CustosUnit!B$14:G$96,6,FALSE)</f>
        <v>13.798670272356535</v>
      </c>
      <c r="I65" s="45">
        <f t="shared" si="13"/>
        <v>441.55744871540912</v>
      </c>
    </row>
    <row r="66" spans="1:14">
      <c r="A66" s="281"/>
      <c r="B66" s="279"/>
      <c r="C66" s="280" t="s">
        <v>29</v>
      </c>
      <c r="D66" s="280"/>
      <c r="E66" s="148" t="s">
        <v>25</v>
      </c>
      <c r="F66" s="148">
        <f t="shared" si="14"/>
        <v>8</v>
      </c>
      <c r="G66" s="148">
        <v>4</v>
      </c>
      <c r="H66" s="44">
        <f>VLOOKUP(C66,CustosUnit!B$14:G$96,6,FALSE)</f>
        <v>24.350479888484458</v>
      </c>
      <c r="I66" s="45">
        <f t="shared" si="13"/>
        <v>779.21535643150264</v>
      </c>
    </row>
    <row r="67" spans="1:14" s="69" customFormat="1">
      <c r="A67" s="281"/>
      <c r="B67" s="159" t="s">
        <v>150</v>
      </c>
      <c r="C67" s="160" t="s">
        <v>260</v>
      </c>
      <c r="D67" s="160"/>
      <c r="E67" s="148" t="s">
        <v>25</v>
      </c>
      <c r="F67" s="148">
        <v>48</v>
      </c>
      <c r="G67" s="148">
        <v>1</v>
      </c>
      <c r="H67" s="44">
        <v>10000</v>
      </c>
      <c r="I67" s="45">
        <f>H67*G67*F67*1.12*1.1662</f>
        <v>626949.12</v>
      </c>
      <c r="J67" s="227" t="s">
        <v>336</v>
      </c>
    </row>
    <row r="68" spans="1:14" s="69" customFormat="1">
      <c r="A68" s="281"/>
      <c r="B68" s="159" t="s">
        <v>312</v>
      </c>
      <c r="C68" s="160" t="s">
        <v>313</v>
      </c>
      <c r="D68" s="160"/>
      <c r="E68" s="148" t="s">
        <v>176</v>
      </c>
      <c r="F68" s="148">
        <v>109</v>
      </c>
      <c r="G68" s="148">
        <v>1</v>
      </c>
      <c r="H68" s="44">
        <v>952.40000000000009</v>
      </c>
      <c r="I68" s="45">
        <f>H68*G68*F68*1.12*1.1662</f>
        <v>135592.89847040002</v>
      </c>
      <c r="J68" s="227" t="s">
        <v>338</v>
      </c>
    </row>
    <row r="69" spans="1:14">
      <c r="A69" s="276"/>
      <c r="B69" s="272" t="s">
        <v>129</v>
      </c>
      <c r="C69" s="273"/>
      <c r="D69" s="273"/>
      <c r="E69" s="273"/>
      <c r="F69" s="273"/>
      <c r="G69" s="273"/>
      <c r="H69" s="274"/>
      <c r="I69" s="155">
        <f>SUM(I63:I68)</f>
        <v>843683.36138179328</v>
      </c>
    </row>
    <row r="70" spans="1:14">
      <c r="A70" s="281" t="s">
        <v>339</v>
      </c>
      <c r="B70" s="246" t="s">
        <v>175</v>
      </c>
      <c r="C70" s="161" t="s">
        <v>341</v>
      </c>
      <c r="D70" s="161"/>
      <c r="E70" s="148" t="s">
        <v>176</v>
      </c>
      <c r="F70" s="148">
        <f>1250/2</f>
        <v>625</v>
      </c>
      <c r="G70" s="148">
        <v>1</v>
      </c>
      <c r="H70" s="44">
        <f>'CustosReflorest.'!K25</f>
        <v>33778.474999999999</v>
      </c>
      <c r="I70" s="45">
        <f t="shared" si="13"/>
        <v>21111546.875</v>
      </c>
    </row>
    <row r="71" spans="1:14" s="69" customFormat="1">
      <c r="A71" s="281"/>
      <c r="B71" s="159" t="s">
        <v>241</v>
      </c>
      <c r="C71" s="160"/>
      <c r="D71" s="160"/>
      <c r="E71" s="148" t="s">
        <v>242</v>
      </c>
      <c r="F71" s="148">
        <v>60</v>
      </c>
      <c r="G71" s="148">
        <v>1</v>
      </c>
      <c r="H71" s="44">
        <f>'CustosReflorest.'!Q16</f>
        <v>10100.699999999999</v>
      </c>
      <c r="I71" s="45">
        <f t="shared" ref="I71" si="15">H71*G71*F71</f>
        <v>606041.99999999988</v>
      </c>
      <c r="J71" s="227"/>
    </row>
    <row r="72" spans="1:14">
      <c r="A72" s="281"/>
      <c r="B72" s="159" t="s">
        <v>352</v>
      </c>
      <c r="C72" s="161" t="s">
        <v>177</v>
      </c>
      <c r="D72" s="161"/>
      <c r="E72" s="148" t="s">
        <v>170</v>
      </c>
      <c r="F72" s="148">
        <v>1</v>
      </c>
      <c r="G72" s="148">
        <v>1</v>
      </c>
      <c r="H72" s="44">
        <v>2500000</v>
      </c>
      <c r="I72" s="45">
        <f t="shared" si="13"/>
        <v>2500000</v>
      </c>
      <c r="J72" s="228"/>
    </row>
    <row r="73" spans="1:14">
      <c r="A73" s="281"/>
      <c r="B73" s="159" t="s">
        <v>347</v>
      </c>
      <c r="C73" s="161" t="s">
        <v>344</v>
      </c>
      <c r="D73" s="161"/>
      <c r="E73" s="148" t="s">
        <v>18</v>
      </c>
      <c r="F73" s="148">
        <v>42000</v>
      </c>
      <c r="G73" s="148">
        <v>1</v>
      </c>
      <c r="H73" s="44">
        <f>100*5.7899</f>
        <v>578.99</v>
      </c>
      <c r="I73" s="45">
        <f>H73*G73*F73</f>
        <v>24317580</v>
      </c>
      <c r="J73" s="228"/>
    </row>
    <row r="74" spans="1:14">
      <c r="A74" s="281"/>
      <c r="B74" s="159" t="s">
        <v>340</v>
      </c>
      <c r="C74" s="161" t="s">
        <v>353</v>
      </c>
      <c r="D74" s="161"/>
      <c r="E74" s="148" t="s">
        <v>176</v>
      </c>
      <c r="F74" s="148">
        <f>1681+5044</f>
        <v>6725</v>
      </c>
      <c r="G74" s="148">
        <v>1</v>
      </c>
      <c r="H74" s="44">
        <f>(1050+1000)/2</f>
        <v>1025</v>
      </c>
      <c r="I74" s="45">
        <f t="shared" ref="I74" si="16">H74*G74*F74</f>
        <v>6893125</v>
      </c>
      <c r="J74" s="228"/>
      <c r="K74" s="149"/>
      <c r="L74" s="149"/>
      <c r="M74" s="149"/>
      <c r="N74" s="149"/>
    </row>
    <row r="75" spans="1:14">
      <c r="A75" s="276"/>
      <c r="B75" s="272" t="s">
        <v>129</v>
      </c>
      <c r="C75" s="273"/>
      <c r="D75" s="273"/>
      <c r="E75" s="273"/>
      <c r="F75" s="273"/>
      <c r="G75" s="273"/>
      <c r="H75" s="274"/>
      <c r="I75" s="155">
        <f>SUM(I70:I74)</f>
        <v>55428293.875</v>
      </c>
      <c r="K75" s="149"/>
      <c r="L75" s="149"/>
      <c r="M75" s="149"/>
      <c r="N75" s="149"/>
    </row>
    <row r="76" spans="1:14">
      <c r="A76" s="277" t="s">
        <v>256</v>
      </c>
      <c r="B76" s="279" t="s">
        <v>1</v>
      </c>
      <c r="C76" s="279"/>
      <c r="D76" s="147" t="s">
        <v>26</v>
      </c>
      <c r="E76" s="148" t="s">
        <v>25</v>
      </c>
      <c r="F76" s="148">
        <f>E17</f>
        <v>22</v>
      </c>
      <c r="G76" s="148">
        <v>1</v>
      </c>
      <c r="H76" s="44">
        <f>VLOOKUP(D76,CustosUnit!B$14:G$96,6,FALSE)</f>
        <v>4799.2183579936664</v>
      </c>
      <c r="I76" s="45">
        <f t="shared" ref="I76:I78" si="17">H76*G76*F76</f>
        <v>105582.80387586066</v>
      </c>
      <c r="K76" s="149"/>
      <c r="L76" s="149"/>
      <c r="M76" s="149"/>
      <c r="N76" s="149"/>
    </row>
    <row r="77" spans="1:14">
      <c r="A77" s="277"/>
      <c r="B77" s="279"/>
      <c r="C77" s="279"/>
      <c r="D77" s="147" t="s">
        <v>24</v>
      </c>
      <c r="E77" s="148" t="s">
        <v>25</v>
      </c>
      <c r="F77" s="148">
        <f>F76</f>
        <v>22</v>
      </c>
      <c r="G77" s="148">
        <v>1</v>
      </c>
      <c r="H77" s="44">
        <f>VLOOKUP(D77,CustosUnit!B$14:G$96,6,FALSE)</f>
        <v>3962.4331436480688</v>
      </c>
      <c r="I77" s="45">
        <f t="shared" ref="I77" si="18">H77*G77*F77</f>
        <v>87173.529160257516</v>
      </c>
      <c r="K77" s="149"/>
      <c r="L77" s="149"/>
      <c r="M77" s="149"/>
      <c r="N77" s="149"/>
    </row>
    <row r="78" spans="1:14">
      <c r="A78" s="277"/>
      <c r="B78" s="279"/>
      <c r="C78" s="279"/>
      <c r="D78" s="147" t="s">
        <v>104</v>
      </c>
      <c r="E78" s="148" t="s">
        <v>31</v>
      </c>
      <c r="F78" s="148">
        <v>3</v>
      </c>
      <c r="G78" s="148">
        <v>3</v>
      </c>
      <c r="H78" s="44">
        <f>VLOOKUP(D78,CustosUnit!B$14:G$96,6,FALSE)</f>
        <v>778.05851700526875</v>
      </c>
      <c r="I78" s="45">
        <f t="shared" si="17"/>
        <v>7002.5266530474191</v>
      </c>
    </row>
    <row r="79" spans="1:14">
      <c r="A79" s="277"/>
      <c r="B79" s="307" t="s">
        <v>181</v>
      </c>
      <c r="C79" s="308"/>
      <c r="D79" s="151" t="s">
        <v>168</v>
      </c>
      <c r="E79" s="148" t="s">
        <v>25</v>
      </c>
      <c r="F79" s="148">
        <v>48</v>
      </c>
      <c r="G79" s="148">
        <v>1</v>
      </c>
      <c r="H79" s="44">
        <v>3000</v>
      </c>
      <c r="I79" s="45">
        <f>H79*G79*F79*1.12*1.1662</f>
        <v>188084.736</v>
      </c>
      <c r="J79" s="227" t="s">
        <v>182</v>
      </c>
    </row>
    <row r="80" spans="1:14">
      <c r="A80" s="277"/>
      <c r="B80" s="309"/>
      <c r="C80" s="310"/>
      <c r="D80" s="151" t="s">
        <v>183</v>
      </c>
      <c r="E80" s="148" t="s">
        <v>170</v>
      </c>
      <c r="F80" s="148">
        <v>1</v>
      </c>
      <c r="G80" s="148">
        <v>1</v>
      </c>
      <c r="H80" s="44">
        <v>80000</v>
      </c>
      <c r="I80" s="45">
        <f>H80*G80*F80*1.12*1.1662</f>
        <v>104491.52</v>
      </c>
      <c r="J80" s="227" t="s">
        <v>182</v>
      </c>
    </row>
    <row r="81" spans="1:11">
      <c r="A81" s="277"/>
      <c r="B81" s="311"/>
      <c r="C81" s="312"/>
      <c r="D81" s="151" t="s">
        <v>103</v>
      </c>
      <c r="E81" s="148" t="s">
        <v>25</v>
      </c>
      <c r="F81" s="148">
        <v>48</v>
      </c>
      <c r="G81" s="148">
        <v>1</v>
      </c>
      <c r="H81" s="44">
        <f>VLOOKUP(D81,CustosUnit!B$14:G$96,6,FALSE)</f>
        <v>1890.064415268213</v>
      </c>
      <c r="I81" s="45">
        <f t="shared" ref="I81" si="19">H81*G81*F81</f>
        <v>90723.091932874231</v>
      </c>
    </row>
    <row r="82" spans="1:11">
      <c r="A82" s="277"/>
      <c r="B82" s="146" t="s">
        <v>144</v>
      </c>
      <c r="C82" s="162" t="s">
        <v>185</v>
      </c>
      <c r="D82" s="151"/>
      <c r="E82" s="148" t="s">
        <v>170</v>
      </c>
      <c r="F82" s="148">
        <v>1</v>
      </c>
      <c r="G82" s="148">
        <v>22</v>
      </c>
      <c r="H82" s="44">
        <v>325000</v>
      </c>
      <c r="I82" s="45">
        <f t="shared" ref="I82" si="20">H82*G82*F82</f>
        <v>7150000</v>
      </c>
    </row>
    <row r="83" spans="1:11">
      <c r="A83" s="278"/>
      <c r="B83" s="272" t="s">
        <v>129</v>
      </c>
      <c r="C83" s="273"/>
      <c r="D83" s="273"/>
      <c r="E83" s="273"/>
      <c r="F83" s="273"/>
      <c r="G83" s="273"/>
      <c r="H83" s="274"/>
      <c r="I83" s="155">
        <f>SUM(I76:I82)</f>
        <v>7733058.2076220401</v>
      </c>
      <c r="K83" s="163"/>
    </row>
    <row r="84" spans="1:11">
      <c r="A84" s="269" t="s">
        <v>151</v>
      </c>
      <c r="B84" s="156" t="s">
        <v>1</v>
      </c>
      <c r="C84" s="156" t="s">
        <v>145</v>
      </c>
      <c r="D84" s="156" t="s">
        <v>24</v>
      </c>
      <c r="E84" s="157" t="s">
        <v>25</v>
      </c>
      <c r="F84" s="157">
        <f>E28</f>
        <v>48</v>
      </c>
      <c r="G84" s="157">
        <v>1</v>
      </c>
      <c r="H84" s="44">
        <f>VLOOKUP(D84,CustosUnit!B$14:G$96,6,FALSE)</f>
        <v>3962.4331436480688</v>
      </c>
      <c r="I84" s="158">
        <f>H84*G84*F84</f>
        <v>190196.79089510732</v>
      </c>
    </row>
    <row r="85" spans="1:11">
      <c r="A85" s="270"/>
      <c r="B85" s="287" t="s">
        <v>192</v>
      </c>
      <c r="C85" s="280" t="s">
        <v>32</v>
      </c>
      <c r="D85" s="280"/>
      <c r="E85" s="148" t="s">
        <v>25</v>
      </c>
      <c r="F85" s="148">
        <f>$F$84</f>
        <v>48</v>
      </c>
      <c r="G85" s="148">
        <v>1</v>
      </c>
      <c r="H85" s="44">
        <f>VLOOKUP(C85,CustosUnit!B$14:G$96,6,FALSE)</f>
        <v>97.908636823364503</v>
      </c>
      <c r="I85" s="45">
        <f>H85*G85*F85</f>
        <v>4699.6145675214957</v>
      </c>
    </row>
    <row r="86" spans="1:11">
      <c r="A86" s="270"/>
      <c r="B86" s="289"/>
      <c r="C86" s="280" t="s">
        <v>34</v>
      </c>
      <c r="D86" s="280"/>
      <c r="E86" s="148" t="s">
        <v>25</v>
      </c>
      <c r="F86" s="148">
        <f t="shared" ref="F86:F88" si="21">$F$84</f>
        <v>48</v>
      </c>
      <c r="G86" s="148">
        <v>1</v>
      </c>
      <c r="H86" s="44">
        <f>VLOOKUP(C86,CustosUnit!B$14:G$96,6,FALSE)</f>
        <v>13.798670272356535</v>
      </c>
      <c r="I86" s="45">
        <f>H86*G86*F86</f>
        <v>662.33617307311374</v>
      </c>
    </row>
    <row r="87" spans="1:11">
      <c r="A87" s="270"/>
      <c r="B87" s="287" t="s">
        <v>310</v>
      </c>
      <c r="C87" s="305" t="s">
        <v>169</v>
      </c>
      <c r="D87" s="306"/>
      <c r="E87" s="148" t="s">
        <v>18</v>
      </c>
      <c r="F87" s="148">
        <v>1</v>
      </c>
      <c r="G87" s="148">
        <v>1</v>
      </c>
      <c r="H87" s="44">
        <v>2000</v>
      </c>
      <c r="I87" s="45">
        <f>H87*G87*F87*1.12*1.1662</f>
        <v>2612.2879999999996</v>
      </c>
      <c r="J87" s="227" t="s">
        <v>179</v>
      </c>
    </row>
    <row r="88" spans="1:11">
      <c r="A88" s="270"/>
      <c r="B88" s="289"/>
      <c r="C88" s="280" t="s">
        <v>184</v>
      </c>
      <c r="D88" s="280"/>
      <c r="E88" s="148" t="s">
        <v>25</v>
      </c>
      <c r="F88" s="148">
        <f t="shared" si="21"/>
        <v>48</v>
      </c>
      <c r="G88" s="148">
        <v>1</v>
      </c>
      <c r="H88" s="44">
        <v>300</v>
      </c>
      <c r="I88" s="45">
        <f>H88*G88*F88*1.12*1.1662</f>
        <v>18808.473600000001</v>
      </c>
    </row>
    <row r="89" spans="1:11">
      <c r="A89" s="270"/>
      <c r="B89" s="323" t="s">
        <v>178</v>
      </c>
      <c r="C89" s="161" t="s">
        <v>180</v>
      </c>
      <c r="D89" s="161"/>
      <c r="E89" s="148" t="s">
        <v>31</v>
      </c>
      <c r="F89" s="148">
        <v>1</v>
      </c>
      <c r="G89" s="148">
        <v>2</v>
      </c>
      <c r="H89" s="44">
        <v>10000</v>
      </c>
      <c r="I89" s="45">
        <f>H89*G89*F89*1.16*1.1662</f>
        <v>27055.839999999997</v>
      </c>
      <c r="J89" s="227" t="s">
        <v>337</v>
      </c>
    </row>
    <row r="90" spans="1:11">
      <c r="A90" s="270"/>
      <c r="B90" s="324"/>
      <c r="C90" s="151" t="s">
        <v>118</v>
      </c>
      <c r="D90" s="161" t="s">
        <v>121</v>
      </c>
      <c r="E90" s="148" t="s">
        <v>120</v>
      </c>
      <c r="F90" s="148">
        <v>500</v>
      </c>
      <c r="G90" s="148">
        <f>3*4</f>
        <v>12</v>
      </c>
      <c r="H90" s="44">
        <f>VLOOKUP(D90,CustosUnit!B$14:G$96,6,FALSE)</f>
        <v>2.5560871139817731</v>
      </c>
      <c r="I90" s="45">
        <f t="shared" ref="I90" si="22">H90*G90*F90</f>
        <v>15336.522683890638</v>
      </c>
    </row>
    <row r="91" spans="1:11">
      <c r="A91" s="270"/>
      <c r="B91" s="164" t="s">
        <v>193</v>
      </c>
      <c r="C91" s="280" t="s">
        <v>32</v>
      </c>
      <c r="D91" s="280"/>
      <c r="E91" s="148" t="s">
        <v>25</v>
      </c>
      <c r="F91" s="148">
        <v>48</v>
      </c>
      <c r="G91" s="148">
        <v>1</v>
      </c>
      <c r="H91" s="44">
        <f>VLOOKUP(C91,CustosUnit!B$14:G$96,6,FALSE)</f>
        <v>97.908636823364503</v>
      </c>
      <c r="I91" s="45">
        <f>H91*G91*F91</f>
        <v>4699.6145675214957</v>
      </c>
    </row>
    <row r="92" spans="1:11">
      <c r="A92" s="270"/>
      <c r="B92" s="287" t="s">
        <v>311</v>
      </c>
      <c r="C92" s="305" t="s">
        <v>169</v>
      </c>
      <c r="D92" s="306"/>
      <c r="E92" s="148" t="s">
        <v>18</v>
      </c>
      <c r="F92" s="148">
        <v>1</v>
      </c>
      <c r="G92" s="148">
        <v>1</v>
      </c>
      <c r="H92" s="44">
        <v>2000</v>
      </c>
      <c r="I92" s="45">
        <f>H92*G92*F92*1.12*1.1662</f>
        <v>2612.2879999999996</v>
      </c>
      <c r="J92" s="227" t="s">
        <v>179</v>
      </c>
    </row>
    <row r="93" spans="1:11">
      <c r="A93" s="270"/>
      <c r="B93" s="289"/>
      <c r="C93" s="280" t="s">
        <v>184</v>
      </c>
      <c r="D93" s="280"/>
      <c r="E93" s="148" t="s">
        <v>25</v>
      </c>
      <c r="F93" s="148">
        <v>48</v>
      </c>
      <c r="G93" s="148">
        <v>1</v>
      </c>
      <c r="H93" s="44">
        <v>300</v>
      </c>
      <c r="I93" s="45">
        <f>H93*G93*F93*1.12*1.1662</f>
        <v>18808.473600000001</v>
      </c>
    </row>
    <row r="94" spans="1:11">
      <c r="A94" s="270"/>
      <c r="B94" s="287" t="s">
        <v>191</v>
      </c>
      <c r="C94" s="165" t="s">
        <v>110</v>
      </c>
      <c r="D94" s="153"/>
      <c r="E94" s="148" t="s">
        <v>18</v>
      </c>
      <c r="F94" s="148">
        <v>1</v>
      </c>
      <c r="G94" s="154">
        <v>2</v>
      </c>
      <c r="H94" s="44">
        <f>VLOOKUP(C94,CustosUnit!B$14:G$96,6,FALSE)</f>
        <v>984.18354195037659</v>
      </c>
      <c r="I94" s="45">
        <f t="shared" ref="I94:I96" si="23">H94*G94*F94</f>
        <v>1968.3670839007532</v>
      </c>
    </row>
    <row r="95" spans="1:11">
      <c r="A95" s="270"/>
      <c r="B95" s="288"/>
      <c r="C95" s="165" t="s">
        <v>111</v>
      </c>
      <c r="D95" s="153"/>
      <c r="E95" s="148" t="s">
        <v>18</v>
      </c>
      <c r="F95" s="148">
        <v>1</v>
      </c>
      <c r="G95" s="154">
        <v>2</v>
      </c>
      <c r="H95" s="44">
        <f>VLOOKUP(C95,CustosUnit!B$14:G$96,6,FALSE)</f>
        <v>643.1</v>
      </c>
      <c r="I95" s="45">
        <f t="shared" si="23"/>
        <v>1286.2</v>
      </c>
    </row>
    <row r="96" spans="1:11">
      <c r="A96" s="270"/>
      <c r="B96" s="289"/>
      <c r="C96" s="165" t="s">
        <v>112</v>
      </c>
      <c r="D96" s="153"/>
      <c r="E96" s="148" t="s">
        <v>18</v>
      </c>
      <c r="F96" s="148">
        <v>1</v>
      </c>
      <c r="G96" s="154">
        <v>2</v>
      </c>
      <c r="H96" s="44">
        <f>VLOOKUP(C96,CustosUnit!B$14:G$96,6,FALSE)</f>
        <v>257.24</v>
      </c>
      <c r="I96" s="45">
        <f t="shared" si="23"/>
        <v>514.48</v>
      </c>
    </row>
    <row r="97" spans="1:10">
      <c r="A97" s="271"/>
      <c r="B97" s="272" t="s">
        <v>129</v>
      </c>
      <c r="C97" s="273"/>
      <c r="D97" s="273"/>
      <c r="E97" s="273"/>
      <c r="F97" s="273"/>
      <c r="G97" s="273"/>
      <c r="H97" s="274"/>
      <c r="I97" s="155">
        <f>SUM(I84:I96)</f>
        <v>289261.2891710148</v>
      </c>
    </row>
    <row r="98" spans="1:10">
      <c r="A98" s="269" t="str">
        <f>A31</f>
        <v>Programa de Desapropriação e Reassentamento da População</v>
      </c>
      <c r="B98" s="156" t="s">
        <v>1</v>
      </c>
      <c r="C98" s="156" t="s">
        <v>145</v>
      </c>
      <c r="D98" s="156" t="s">
        <v>24</v>
      </c>
      <c r="E98" s="157" t="s">
        <v>25</v>
      </c>
      <c r="F98" s="157">
        <f>E31</f>
        <v>48</v>
      </c>
      <c r="G98" s="157">
        <v>1</v>
      </c>
      <c r="H98" s="44">
        <f>VLOOKUP(D98,CustosUnit!B$14:G$96,6,FALSE)</f>
        <v>3962.4331436480688</v>
      </c>
      <c r="I98" s="158">
        <f>H98*G98*F98</f>
        <v>190196.79089510732</v>
      </c>
    </row>
    <row r="99" spans="1:10">
      <c r="A99" s="270"/>
      <c r="B99" s="287" t="s">
        <v>192</v>
      </c>
      <c r="C99" s="280" t="s">
        <v>32</v>
      </c>
      <c r="D99" s="280"/>
      <c r="E99" s="148" t="s">
        <v>25</v>
      </c>
      <c r="F99" s="148">
        <f>$F$98</f>
        <v>48</v>
      </c>
      <c r="G99" s="148">
        <v>1</v>
      </c>
      <c r="H99" s="44">
        <f>VLOOKUP(C99,CustosUnit!B$14:G$96,6,FALSE)</f>
        <v>97.908636823364503</v>
      </c>
      <c r="I99" s="45">
        <f>H99*G99*F99</f>
        <v>4699.6145675214957</v>
      </c>
    </row>
    <row r="100" spans="1:10">
      <c r="A100" s="270"/>
      <c r="B100" s="289"/>
      <c r="C100" s="280" t="s">
        <v>34</v>
      </c>
      <c r="D100" s="280"/>
      <c r="E100" s="148" t="s">
        <v>25</v>
      </c>
      <c r="F100" s="148">
        <f t="shared" ref="F100:F101" si="24">$F$98</f>
        <v>48</v>
      </c>
      <c r="G100" s="148">
        <v>1</v>
      </c>
      <c r="H100" s="44">
        <f>VLOOKUP(C100,CustosUnit!B$14:G$96,6,FALSE)</f>
        <v>13.798670272356535</v>
      </c>
      <c r="I100" s="45">
        <f>H100*G100*F100</f>
        <v>662.33617307311374</v>
      </c>
    </row>
    <row r="101" spans="1:10">
      <c r="A101" s="270"/>
      <c r="B101" s="150" t="s">
        <v>174</v>
      </c>
      <c r="C101" s="280" t="s">
        <v>184</v>
      </c>
      <c r="D101" s="280"/>
      <c r="E101" s="148" t="s">
        <v>25</v>
      </c>
      <c r="F101" s="148">
        <f t="shared" si="24"/>
        <v>48</v>
      </c>
      <c r="G101" s="148">
        <v>1</v>
      </c>
      <c r="H101" s="44">
        <v>300</v>
      </c>
      <c r="I101" s="45">
        <f>H101*G101*F101*1.12*1.1662</f>
        <v>18808.473600000001</v>
      </c>
    </row>
    <row r="102" spans="1:10">
      <c r="A102" s="271"/>
      <c r="B102" s="272" t="s">
        <v>129</v>
      </c>
      <c r="C102" s="273"/>
      <c r="D102" s="273"/>
      <c r="E102" s="273"/>
      <c r="F102" s="273"/>
      <c r="G102" s="273"/>
      <c r="H102" s="274"/>
      <c r="I102" s="155">
        <f>SUM(I98:I101)</f>
        <v>214367.21523570194</v>
      </c>
    </row>
    <row r="103" spans="1:10">
      <c r="A103" s="269" t="s">
        <v>258</v>
      </c>
      <c r="B103" s="164" t="s">
        <v>194</v>
      </c>
      <c r="C103" s="305" t="s">
        <v>32</v>
      </c>
      <c r="D103" s="306"/>
      <c r="E103" s="148" t="s">
        <v>25</v>
      </c>
      <c r="F103" s="148">
        <v>48</v>
      </c>
      <c r="G103" s="148">
        <v>1</v>
      </c>
      <c r="H103" s="44">
        <f>VLOOKUP(C103,CustosUnit!B$14:G$96,6,FALSE)</f>
        <v>97.908636823364503</v>
      </c>
      <c r="I103" s="45">
        <f>H103*G103*F103</f>
        <v>4699.6145675214957</v>
      </c>
    </row>
    <row r="104" spans="1:10">
      <c r="A104" s="270"/>
      <c r="B104" s="287" t="s">
        <v>191</v>
      </c>
      <c r="C104" s="165" t="s">
        <v>110</v>
      </c>
      <c r="D104" s="153"/>
      <c r="E104" s="148" t="s">
        <v>18</v>
      </c>
      <c r="F104" s="148">
        <v>1</v>
      </c>
      <c r="G104" s="154">
        <v>1</v>
      </c>
      <c r="H104" s="44">
        <f>VLOOKUP(C104,CustosUnit!B$14:G$96,6,FALSE)</f>
        <v>984.18354195037659</v>
      </c>
      <c r="I104" s="45">
        <f t="shared" ref="I104:I106" si="25">H104*G104*F104</f>
        <v>984.18354195037659</v>
      </c>
    </row>
    <row r="105" spans="1:10">
      <c r="A105" s="270"/>
      <c r="B105" s="288"/>
      <c r="C105" s="165" t="s">
        <v>111</v>
      </c>
      <c r="D105" s="153"/>
      <c r="E105" s="148" t="s">
        <v>18</v>
      </c>
      <c r="F105" s="148">
        <v>1</v>
      </c>
      <c r="G105" s="154">
        <v>1</v>
      </c>
      <c r="H105" s="44">
        <f>VLOOKUP(C105,CustosUnit!B$14:G$96,6,FALSE)</f>
        <v>643.1</v>
      </c>
      <c r="I105" s="45">
        <f t="shared" si="25"/>
        <v>643.1</v>
      </c>
    </row>
    <row r="106" spans="1:10">
      <c r="A106" s="270"/>
      <c r="B106" s="289"/>
      <c r="C106" s="165" t="s">
        <v>112</v>
      </c>
      <c r="D106" s="153"/>
      <c r="E106" s="148" t="s">
        <v>18</v>
      </c>
      <c r="F106" s="148">
        <v>1</v>
      </c>
      <c r="G106" s="154">
        <v>1</v>
      </c>
      <c r="H106" s="44">
        <f>VLOOKUP(C106,CustosUnit!B$14:G$96,6,FALSE)</f>
        <v>257.24</v>
      </c>
      <c r="I106" s="45">
        <f t="shared" si="25"/>
        <v>257.24</v>
      </c>
    </row>
    <row r="107" spans="1:10">
      <c r="A107" s="270"/>
      <c r="B107" s="287" t="s">
        <v>174</v>
      </c>
      <c r="C107" s="305" t="s">
        <v>169</v>
      </c>
      <c r="D107" s="306"/>
      <c r="E107" s="148" t="s">
        <v>18</v>
      </c>
      <c r="F107" s="148">
        <v>1</v>
      </c>
      <c r="G107" s="148">
        <v>1</v>
      </c>
      <c r="H107" s="44">
        <v>2000</v>
      </c>
      <c r="I107" s="45">
        <f>H107*G107*F107*1.12*1.1662</f>
        <v>2612.2879999999996</v>
      </c>
      <c r="J107" s="227" t="s">
        <v>179</v>
      </c>
    </row>
    <row r="108" spans="1:10">
      <c r="A108" s="270"/>
      <c r="B108" s="289"/>
      <c r="C108" s="280" t="s">
        <v>184</v>
      </c>
      <c r="D108" s="280"/>
      <c r="E108" s="148" t="s">
        <v>25</v>
      </c>
      <c r="F108" s="148">
        <v>48</v>
      </c>
      <c r="G108" s="148">
        <v>1</v>
      </c>
      <c r="H108" s="44">
        <v>300</v>
      </c>
      <c r="I108" s="45">
        <f>H108*G108*F108*1.12*1.1662</f>
        <v>18808.473600000001</v>
      </c>
    </row>
    <row r="109" spans="1:10">
      <c r="A109" s="325"/>
      <c r="B109" s="272" t="s">
        <v>129</v>
      </c>
      <c r="C109" s="273"/>
      <c r="D109" s="273"/>
      <c r="E109" s="273"/>
      <c r="F109" s="273"/>
      <c r="G109" s="273"/>
      <c r="H109" s="274"/>
      <c r="I109" s="155">
        <f>SUM(I103:I108)</f>
        <v>28004.899709471872</v>
      </c>
    </row>
    <row r="110" spans="1:10">
      <c r="A110" s="321" t="s">
        <v>257</v>
      </c>
      <c r="B110" s="146" t="s">
        <v>143</v>
      </c>
      <c r="C110" s="167"/>
      <c r="D110" s="151"/>
      <c r="E110" s="148" t="s">
        <v>170</v>
      </c>
      <c r="F110" s="148">
        <v>1</v>
      </c>
      <c r="G110" s="148">
        <v>1</v>
      </c>
      <c r="H110" s="44">
        <v>500000</v>
      </c>
      <c r="I110" s="45">
        <f>H110*G110*F110</f>
        <v>500000</v>
      </c>
      <c r="J110" s="227" t="s">
        <v>182</v>
      </c>
    </row>
    <row r="111" spans="1:10">
      <c r="A111" s="322"/>
      <c r="B111" s="272" t="s">
        <v>129</v>
      </c>
      <c r="C111" s="273"/>
      <c r="D111" s="273"/>
      <c r="E111" s="273"/>
      <c r="F111" s="273"/>
      <c r="G111" s="273"/>
      <c r="H111" s="274"/>
      <c r="I111" s="155">
        <f>SUM(I110:I110)</f>
        <v>500000</v>
      </c>
    </row>
    <row r="112" spans="1:10">
      <c r="A112" s="168"/>
      <c r="B112" s="168"/>
      <c r="C112" s="169"/>
      <c r="D112" s="169"/>
      <c r="E112" s="169"/>
      <c r="F112" s="169"/>
      <c r="G112" s="169"/>
      <c r="H112" s="169"/>
      <c r="I112" s="170"/>
    </row>
    <row r="114" spans="1:4" ht="15" thickBot="1"/>
    <row r="115" spans="1:4" ht="15" thickBot="1">
      <c r="A115" s="171" t="s">
        <v>123</v>
      </c>
      <c r="B115" s="172" t="s">
        <v>146</v>
      </c>
      <c r="C115" s="172" t="s">
        <v>0</v>
      </c>
      <c r="D115" s="173" t="s">
        <v>147</v>
      </c>
    </row>
    <row r="116" spans="1:4">
      <c r="A116" s="174" t="str">
        <f>A42</f>
        <v>Programa de Gestão Ambiental do Empreendimento</v>
      </c>
      <c r="B116" s="38">
        <f>I56</f>
        <v>3265509.5657339538</v>
      </c>
      <c r="C116" s="38">
        <f>G8</f>
        <v>4390591.3007040005</v>
      </c>
      <c r="D116" s="39">
        <f t="shared" ref="D116:D128" si="26">SUM(B116:C116)</f>
        <v>7656100.8664379548</v>
      </c>
    </row>
    <row r="117" spans="1:4">
      <c r="A117" s="166" t="str">
        <f>A9</f>
        <v>Programa de Monitoramento e Controle de Processos Erosivos</v>
      </c>
      <c r="B117" s="70">
        <v>0</v>
      </c>
      <c r="C117" s="70">
        <f>G10</f>
        <v>217292.72812799999</v>
      </c>
      <c r="D117" s="71">
        <f t="shared" si="26"/>
        <v>217292.72812799999</v>
      </c>
    </row>
    <row r="118" spans="1:4">
      <c r="A118" s="175" t="str">
        <f>A57</f>
        <v>Programa de Monitoramento da Qualidade das Águas Subterrâneas</v>
      </c>
      <c r="B118" s="40">
        <f>I58</f>
        <v>1966875</v>
      </c>
      <c r="C118" s="40">
        <v>0</v>
      </c>
      <c r="D118" s="41">
        <f>SUM(B118:C118)</f>
        <v>1966875</v>
      </c>
    </row>
    <row r="119" spans="1:4">
      <c r="A119" s="175" t="str">
        <f>A59</f>
        <v>Programa de Monitoramento da Qualidade das Águas Superficiais</v>
      </c>
      <c r="B119" s="40">
        <f>I60</f>
        <v>1966875</v>
      </c>
      <c r="C119" s="40">
        <v>0</v>
      </c>
      <c r="D119" s="41">
        <f>SUM(B119:C119)</f>
        <v>1966875</v>
      </c>
    </row>
    <row r="120" spans="1:4">
      <c r="A120" s="175" t="str">
        <f>A61</f>
        <v>Programa de Monitoramento dos Solos</v>
      </c>
      <c r="B120" s="40">
        <f>I62</f>
        <v>2671946.5500000003</v>
      </c>
      <c r="C120" s="40">
        <v>0</v>
      </c>
      <c r="D120" s="41">
        <f>SUM(B120:C120)</f>
        <v>2671946.5500000003</v>
      </c>
    </row>
    <row r="121" spans="1:4">
      <c r="A121" s="175" t="str">
        <f>A63</f>
        <v>Programa de Supressão de Vegetação e Manejo da Flora</v>
      </c>
      <c r="B121" s="40">
        <f>I69</f>
        <v>843683.36138179328</v>
      </c>
      <c r="C121" s="40">
        <f>G16</f>
        <v>2842700.1609216002</v>
      </c>
      <c r="D121" s="41">
        <f t="shared" si="26"/>
        <v>3686383.5223033936</v>
      </c>
    </row>
    <row r="122" spans="1:4">
      <c r="A122" s="175" t="str">
        <f>A70</f>
        <v>Programa de Compensação Ambiental</v>
      </c>
      <c r="B122" s="40">
        <f>I75</f>
        <v>55428293.875</v>
      </c>
      <c r="C122" s="40">
        <v>0</v>
      </c>
      <c r="D122" s="41">
        <f t="shared" si="26"/>
        <v>55428293.875</v>
      </c>
    </row>
    <row r="123" spans="1:4">
      <c r="A123" s="175" t="str">
        <f>A76</f>
        <v>Programa de Afugentamento, Monitoramento e Conservação da Fauna</v>
      </c>
      <c r="B123" s="40">
        <f>I83</f>
        <v>7733058.2076220401</v>
      </c>
      <c r="C123" s="40">
        <f>G27</f>
        <v>3057436.5040128003</v>
      </c>
      <c r="D123" s="41">
        <f t="shared" si="26"/>
        <v>10790494.711634841</v>
      </c>
    </row>
    <row r="124" spans="1:4">
      <c r="A124" s="175" t="str">
        <f>A84</f>
        <v>Programa de Educação Ambiental</v>
      </c>
      <c r="B124" s="40">
        <f>I97</f>
        <v>289261.2891710148</v>
      </c>
      <c r="C124" s="40">
        <f>G30</f>
        <v>2224054.982016</v>
      </c>
      <c r="D124" s="41">
        <f t="shared" si="26"/>
        <v>2513316.2711870149</v>
      </c>
    </row>
    <row r="125" spans="1:4">
      <c r="A125" s="175" t="str">
        <f>A31</f>
        <v>Programa de Desapropriação e Reassentamento da População</v>
      </c>
      <c r="B125" s="40">
        <f>I102</f>
        <v>214367.21523570194</v>
      </c>
      <c r="C125" s="40">
        <f>G32</f>
        <v>1303756.368768</v>
      </c>
      <c r="D125" s="41">
        <f t="shared" si="26"/>
        <v>1518123.584003702</v>
      </c>
    </row>
    <row r="126" spans="1:4">
      <c r="A126" s="175" t="str">
        <f>A110</f>
        <v>Programa de Apoio às Prefeituras da AII</v>
      </c>
      <c r="B126" s="40">
        <f>I111</f>
        <v>500000</v>
      </c>
      <c r="C126" s="40">
        <v>0</v>
      </c>
      <c r="D126" s="41">
        <f t="shared" si="26"/>
        <v>500000</v>
      </c>
    </row>
    <row r="127" spans="1:4">
      <c r="A127" s="175" t="str">
        <f>A103</f>
        <v>Programa de Combate a Incêndios Florestais nas Áreas de Reserva Legal</v>
      </c>
      <c r="B127" s="40">
        <f>I109</f>
        <v>28004.899709471872</v>
      </c>
      <c r="C127" s="40">
        <f>G38</f>
        <v>1270523.3632895998</v>
      </c>
      <c r="D127" s="41">
        <f>SUM(B127:C127)</f>
        <v>1298528.2629990717</v>
      </c>
    </row>
    <row r="128" spans="1:4">
      <c r="A128" s="175" t="str">
        <f>A33</f>
        <v>Programa de Recuperação de Áreas Degradadas</v>
      </c>
      <c r="B128" s="40">
        <v>0</v>
      </c>
      <c r="C128" s="40">
        <f>G35</f>
        <v>543231.82031999994</v>
      </c>
      <c r="D128" s="41">
        <f t="shared" si="26"/>
        <v>543231.82031999994</v>
      </c>
    </row>
    <row r="129" spans="1:5" ht="15" thickBot="1">
      <c r="A129" s="176" t="s">
        <v>148</v>
      </c>
      <c r="B129" s="42">
        <f>SUM(B116:B128)</f>
        <v>74907874.96385397</v>
      </c>
      <c r="C129" s="42">
        <f>SUM(C116:C128)</f>
        <v>15849587.228160001</v>
      </c>
      <c r="D129" s="43">
        <f>SUM(D116:D128)</f>
        <v>90757462.192013964</v>
      </c>
      <c r="E129" s="8"/>
    </row>
    <row r="130" spans="1:5">
      <c r="D130" s="8"/>
    </row>
  </sheetData>
  <mergeCells count="76">
    <mergeCell ref="B38:F38"/>
    <mergeCell ref="B47:B52"/>
    <mergeCell ref="B58:H58"/>
    <mergeCell ref="A57:A58"/>
    <mergeCell ref="A42:A56"/>
    <mergeCell ref="B56:H56"/>
    <mergeCell ref="C45:D45"/>
    <mergeCell ref="C43:D43"/>
    <mergeCell ref="C44:D44"/>
    <mergeCell ref="C41:D41"/>
    <mergeCell ref="A110:A111"/>
    <mergeCell ref="B111:H111"/>
    <mergeCell ref="B85:B86"/>
    <mergeCell ref="C85:D85"/>
    <mergeCell ref="C86:D86"/>
    <mergeCell ref="B97:H97"/>
    <mergeCell ref="B89:B90"/>
    <mergeCell ref="C91:D91"/>
    <mergeCell ref="B92:B93"/>
    <mergeCell ref="C92:D92"/>
    <mergeCell ref="C93:D93"/>
    <mergeCell ref="B94:B96"/>
    <mergeCell ref="B109:H109"/>
    <mergeCell ref="C103:D103"/>
    <mergeCell ref="A103:A109"/>
    <mergeCell ref="B104:B106"/>
    <mergeCell ref="A2:A3"/>
    <mergeCell ref="B2:C3"/>
    <mergeCell ref="D2:G2"/>
    <mergeCell ref="A4:A8"/>
    <mergeCell ref="B8:F8"/>
    <mergeCell ref="B107:B108"/>
    <mergeCell ref="C107:D107"/>
    <mergeCell ref="C108:D108"/>
    <mergeCell ref="B69:H69"/>
    <mergeCell ref="C88:D88"/>
    <mergeCell ref="B99:B100"/>
    <mergeCell ref="C99:D99"/>
    <mergeCell ref="C100:D100"/>
    <mergeCell ref="C101:D101"/>
    <mergeCell ref="B87:B88"/>
    <mergeCell ref="C87:D87"/>
    <mergeCell ref="B76:C78"/>
    <mergeCell ref="B83:H83"/>
    <mergeCell ref="B75:H75"/>
    <mergeCell ref="B79:C81"/>
    <mergeCell ref="B10:F10"/>
    <mergeCell ref="A9:A10"/>
    <mergeCell ref="B53:B55"/>
    <mergeCell ref="A11:A16"/>
    <mergeCell ref="B16:F16"/>
    <mergeCell ref="A17:A27"/>
    <mergeCell ref="B27:F27"/>
    <mergeCell ref="A28:A30"/>
    <mergeCell ref="B30:F30"/>
    <mergeCell ref="B32:F32"/>
    <mergeCell ref="A31:A32"/>
    <mergeCell ref="C46:D46"/>
    <mergeCell ref="B44:B46"/>
    <mergeCell ref="A33:A35"/>
    <mergeCell ref="B35:F35"/>
    <mergeCell ref="A36:A38"/>
    <mergeCell ref="A84:A97"/>
    <mergeCell ref="B102:H102"/>
    <mergeCell ref="A98:A102"/>
    <mergeCell ref="A59:A60"/>
    <mergeCell ref="B60:H60"/>
    <mergeCell ref="A76:A83"/>
    <mergeCell ref="B64:B66"/>
    <mergeCell ref="C64:D64"/>
    <mergeCell ref="C65:D65"/>
    <mergeCell ref="C66:D66"/>
    <mergeCell ref="A63:A69"/>
    <mergeCell ref="A70:A75"/>
    <mergeCell ref="A61:A62"/>
    <mergeCell ref="B62:H62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CC78D-387A-49EF-A7E2-C936B4A8A4DF}">
  <dimension ref="A1:AL26"/>
  <sheetViews>
    <sheetView tabSelected="1" zoomScaleNormal="100" workbookViewId="0">
      <selection activeCell="D19" sqref="D19"/>
    </sheetView>
  </sheetViews>
  <sheetFormatPr defaultRowHeight="13.8"/>
  <cols>
    <col min="1" max="1" width="57.5546875" style="75" bestFit="1" customWidth="1"/>
    <col min="2" max="2" width="16.21875" style="78" bestFit="1" customWidth="1"/>
    <col min="3" max="6" width="15.21875" style="75" bestFit="1" customWidth="1"/>
    <col min="7" max="9" width="14.88671875" style="75" bestFit="1" customWidth="1"/>
    <col min="10" max="36" width="16.21875" style="75" bestFit="1" customWidth="1"/>
    <col min="37" max="37" width="16.21875" style="75" customWidth="1"/>
    <col min="38" max="38" width="17.44140625" style="75" bestFit="1" customWidth="1"/>
    <col min="39" max="16384" width="8.88671875" style="75"/>
  </cols>
  <sheetData>
    <row r="1" spans="1:38">
      <c r="B1" s="72" t="s">
        <v>198</v>
      </c>
      <c r="C1" s="68">
        <v>2027</v>
      </c>
      <c r="D1" s="68">
        <v>2028</v>
      </c>
      <c r="E1" s="68">
        <v>2029</v>
      </c>
      <c r="F1" s="68">
        <v>2030</v>
      </c>
      <c r="G1" s="73">
        <v>2031</v>
      </c>
      <c r="H1" s="73">
        <v>2032</v>
      </c>
      <c r="I1" s="73">
        <v>2033</v>
      </c>
      <c r="J1" s="73">
        <v>2034</v>
      </c>
      <c r="K1" s="73">
        <v>2035</v>
      </c>
      <c r="L1" s="73">
        <v>2036</v>
      </c>
      <c r="M1" s="73">
        <v>2037</v>
      </c>
      <c r="N1" s="73">
        <v>2038</v>
      </c>
      <c r="O1" s="73">
        <v>2039</v>
      </c>
      <c r="P1" s="73">
        <v>2040</v>
      </c>
      <c r="Q1" s="73">
        <v>2041</v>
      </c>
      <c r="R1" s="73">
        <v>2042</v>
      </c>
      <c r="S1" s="73">
        <v>2043</v>
      </c>
      <c r="T1" s="73">
        <v>2044</v>
      </c>
      <c r="U1" s="73">
        <v>2045</v>
      </c>
      <c r="V1" s="73">
        <v>2046</v>
      </c>
      <c r="W1" s="73">
        <v>2047</v>
      </c>
      <c r="X1" s="73">
        <v>2048</v>
      </c>
      <c r="Y1" s="73">
        <v>2049</v>
      </c>
      <c r="Z1" s="73">
        <v>2050</v>
      </c>
      <c r="AA1" s="73">
        <v>2051</v>
      </c>
      <c r="AB1" s="73">
        <v>2052</v>
      </c>
      <c r="AC1" s="73">
        <v>2053</v>
      </c>
      <c r="AD1" s="73">
        <v>2054</v>
      </c>
      <c r="AE1" s="73">
        <v>2055</v>
      </c>
      <c r="AF1" s="73">
        <v>2056</v>
      </c>
      <c r="AG1" s="73">
        <v>2057</v>
      </c>
      <c r="AH1" s="73">
        <v>2058</v>
      </c>
      <c r="AI1" s="73">
        <v>2059</v>
      </c>
      <c r="AJ1" s="73">
        <v>2060</v>
      </c>
      <c r="AK1" s="73">
        <v>2061</v>
      </c>
    </row>
    <row r="2" spans="1:38">
      <c r="A2" s="74" t="s">
        <v>243</v>
      </c>
      <c r="B2" s="76">
        <f>SUM(B3:B4)</f>
        <v>277156.45600000001</v>
      </c>
      <c r="C2" s="79">
        <f>SUM(C3:C4)</f>
        <v>277156.45600000001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8"/>
    </row>
    <row r="3" spans="1:38">
      <c r="A3" s="75" t="s">
        <v>244</v>
      </c>
      <c r="B3" s="78">
        <f>ROUND(CalcTaxas!F7,0)</f>
        <v>37223</v>
      </c>
      <c r="C3" s="78">
        <f>B3</f>
        <v>37223</v>
      </c>
      <c r="AL3" s="78"/>
    </row>
    <row r="4" spans="1:38">
      <c r="A4" s="75" t="s">
        <v>346</v>
      </c>
      <c r="B4" s="329">
        <f>Tabela2[[#Totals],[Custo (R$)]]</f>
        <v>239933.45600000001</v>
      </c>
      <c r="C4" s="78">
        <f>B4</f>
        <v>239933.45600000001</v>
      </c>
      <c r="AL4" s="78"/>
    </row>
    <row r="5" spans="1:38">
      <c r="A5" s="74" t="s">
        <v>245</v>
      </c>
      <c r="B5" s="76">
        <f t="shared" ref="B5:AK5" si="0">SUM(B6:B9)</f>
        <v>4959999.9999999991</v>
      </c>
      <c r="C5" s="79">
        <f t="shared" si="0"/>
        <v>4959999.9999999991</v>
      </c>
      <c r="D5" s="79">
        <f t="shared" si="0"/>
        <v>0</v>
      </c>
      <c r="E5" s="79">
        <f t="shared" si="0"/>
        <v>0</v>
      </c>
      <c r="F5" s="79">
        <f t="shared" si="0"/>
        <v>0</v>
      </c>
      <c r="G5" s="79">
        <f t="shared" si="0"/>
        <v>0</v>
      </c>
      <c r="H5" s="79">
        <f t="shared" si="0"/>
        <v>0</v>
      </c>
      <c r="I5" s="79">
        <f t="shared" si="0"/>
        <v>0</v>
      </c>
      <c r="J5" s="79">
        <f t="shared" si="0"/>
        <v>0</v>
      </c>
      <c r="K5" s="79">
        <f t="shared" si="0"/>
        <v>0</v>
      </c>
      <c r="L5" s="79">
        <f t="shared" si="0"/>
        <v>0</v>
      </c>
      <c r="M5" s="79">
        <f t="shared" si="0"/>
        <v>0</v>
      </c>
      <c r="N5" s="79">
        <f t="shared" si="0"/>
        <v>0</v>
      </c>
      <c r="O5" s="79">
        <f t="shared" si="0"/>
        <v>0</v>
      </c>
      <c r="P5" s="79">
        <f t="shared" si="0"/>
        <v>0</v>
      </c>
      <c r="Q5" s="79">
        <f t="shared" si="0"/>
        <v>0</v>
      </c>
      <c r="R5" s="79">
        <f t="shared" si="0"/>
        <v>0</v>
      </c>
      <c r="S5" s="79">
        <f t="shared" si="0"/>
        <v>0</v>
      </c>
      <c r="T5" s="79">
        <f t="shared" si="0"/>
        <v>0</v>
      </c>
      <c r="U5" s="79">
        <f t="shared" si="0"/>
        <v>0</v>
      </c>
      <c r="V5" s="79">
        <f t="shared" si="0"/>
        <v>0</v>
      </c>
      <c r="W5" s="79">
        <f t="shared" si="0"/>
        <v>0</v>
      </c>
      <c r="X5" s="79">
        <f t="shared" si="0"/>
        <v>0</v>
      </c>
      <c r="Y5" s="79">
        <f t="shared" si="0"/>
        <v>0</v>
      </c>
      <c r="Z5" s="79">
        <f t="shared" si="0"/>
        <v>0</v>
      </c>
      <c r="AA5" s="79">
        <f t="shared" si="0"/>
        <v>0</v>
      </c>
      <c r="AB5" s="79">
        <f t="shared" si="0"/>
        <v>0</v>
      </c>
      <c r="AC5" s="79">
        <f t="shared" si="0"/>
        <v>0</v>
      </c>
      <c r="AD5" s="79">
        <f t="shared" si="0"/>
        <v>0</v>
      </c>
      <c r="AE5" s="79">
        <f t="shared" si="0"/>
        <v>0</v>
      </c>
      <c r="AF5" s="79">
        <f t="shared" si="0"/>
        <v>0</v>
      </c>
      <c r="AG5" s="79">
        <f t="shared" si="0"/>
        <v>0</v>
      </c>
      <c r="AH5" s="79">
        <f t="shared" si="0"/>
        <v>0</v>
      </c>
      <c r="AI5" s="79">
        <f t="shared" si="0"/>
        <v>0</v>
      </c>
      <c r="AJ5" s="79">
        <f t="shared" si="0"/>
        <v>0</v>
      </c>
      <c r="AK5" s="79">
        <f t="shared" si="0"/>
        <v>0</v>
      </c>
      <c r="AL5" s="78"/>
    </row>
    <row r="6" spans="1:38">
      <c r="A6" s="75" t="s">
        <v>308</v>
      </c>
      <c r="B6" s="78">
        <f>CustosEstudos!H7</f>
        <v>1709999.9999999998</v>
      </c>
      <c r="C6" s="78">
        <f>B6</f>
        <v>1709999.9999999998</v>
      </c>
      <c r="AL6" s="78"/>
    </row>
    <row r="7" spans="1:38">
      <c r="A7" s="75" t="s">
        <v>246</v>
      </c>
      <c r="B7" s="78">
        <f>CustosEstudos!H6</f>
        <v>2849999.9999999995</v>
      </c>
      <c r="C7" s="78">
        <f t="shared" ref="C7:C9" si="1">B7</f>
        <v>2849999.9999999995</v>
      </c>
      <c r="AL7" s="78"/>
    </row>
    <row r="8" spans="1:38">
      <c r="A8" s="75" t="s">
        <v>345</v>
      </c>
      <c r="B8" s="78">
        <v>200000</v>
      </c>
      <c r="C8" s="78">
        <f t="shared" si="1"/>
        <v>200000</v>
      </c>
      <c r="AL8" s="78"/>
    </row>
    <row r="9" spans="1:38">
      <c r="A9" s="75" t="s">
        <v>247</v>
      </c>
      <c r="B9" s="78">
        <v>200000</v>
      </c>
      <c r="C9" s="78">
        <f t="shared" si="1"/>
        <v>200000</v>
      </c>
      <c r="AL9" s="78"/>
    </row>
    <row r="10" spans="1:38">
      <c r="A10" s="74" t="s">
        <v>248</v>
      </c>
      <c r="B10" s="76">
        <f>SUM(B11:B23)</f>
        <v>90757462.192013964</v>
      </c>
      <c r="C10" s="79">
        <f>SUM(C11:C23)</f>
        <v>17696246.545057464</v>
      </c>
      <c r="D10" s="79">
        <f t="shared" ref="D10:AJ10" si="2">SUM(D11:D23)</f>
        <v>14876279.984263815</v>
      </c>
      <c r="E10" s="79">
        <f t="shared" si="2"/>
        <v>14876279.984263815</v>
      </c>
      <c r="F10" s="79">
        <f t="shared" si="2"/>
        <v>14876279.984263815</v>
      </c>
      <c r="G10" s="79">
        <f t="shared" si="2"/>
        <v>1669231.5768022481</v>
      </c>
      <c r="H10" s="79">
        <f t="shared" si="2"/>
        <v>1669231.5768022481</v>
      </c>
      <c r="I10" s="79">
        <f t="shared" si="2"/>
        <v>1669231.5768022481</v>
      </c>
      <c r="J10" s="79">
        <f t="shared" si="2"/>
        <v>1669231.5768022481</v>
      </c>
      <c r="K10" s="79">
        <f t="shared" si="2"/>
        <v>1439203.2879142992</v>
      </c>
      <c r="L10" s="79">
        <f t="shared" si="2"/>
        <v>1439203.2879142992</v>
      </c>
      <c r="M10" s="79">
        <f t="shared" si="2"/>
        <v>1439203.2879142992</v>
      </c>
      <c r="N10" s="79">
        <f t="shared" si="2"/>
        <v>1439203.2879142992</v>
      </c>
      <c r="O10" s="79">
        <f t="shared" si="2"/>
        <v>1439203.2879142992</v>
      </c>
      <c r="P10" s="79">
        <f t="shared" si="2"/>
        <v>1439203.2879142992</v>
      </c>
      <c r="Q10" s="79">
        <f t="shared" si="2"/>
        <v>1439203.2879142992</v>
      </c>
      <c r="R10" s="79">
        <f t="shared" si="2"/>
        <v>1439203.2879142992</v>
      </c>
      <c r="S10" s="79">
        <f t="shared" si="2"/>
        <v>1439203.2879142992</v>
      </c>
      <c r="T10" s="79">
        <f t="shared" si="2"/>
        <v>1439203.2879142992</v>
      </c>
      <c r="U10" s="79">
        <f t="shared" si="2"/>
        <v>1439203.2879142992</v>
      </c>
      <c r="V10" s="79">
        <f t="shared" si="2"/>
        <v>1439203.2879142992</v>
      </c>
      <c r="W10" s="79">
        <f t="shared" si="2"/>
        <v>299000.66213229892</v>
      </c>
      <c r="X10" s="79">
        <f t="shared" si="2"/>
        <v>299000.66213229892</v>
      </c>
      <c r="Y10" s="79">
        <f t="shared" si="2"/>
        <v>299000.66213229892</v>
      </c>
      <c r="Z10" s="79">
        <f t="shared" si="2"/>
        <v>299000.66213229892</v>
      </c>
      <c r="AA10" s="79">
        <f t="shared" si="2"/>
        <v>299000.66213229892</v>
      </c>
      <c r="AB10" s="79">
        <f t="shared" si="2"/>
        <v>299000.66213229892</v>
      </c>
      <c r="AC10" s="79">
        <f t="shared" si="2"/>
        <v>299000.66213229892</v>
      </c>
      <c r="AD10" s="79">
        <f t="shared" si="2"/>
        <v>299000.66213229892</v>
      </c>
      <c r="AE10" s="79">
        <f t="shared" si="2"/>
        <v>299000.66213229892</v>
      </c>
      <c r="AF10" s="79">
        <f t="shared" si="2"/>
        <v>299000.66213229892</v>
      </c>
      <c r="AG10" s="79">
        <f t="shared" si="2"/>
        <v>299000.66213229892</v>
      </c>
      <c r="AH10" s="79">
        <f t="shared" si="2"/>
        <v>299000.66213229892</v>
      </c>
      <c r="AI10" s="79">
        <f t="shared" si="2"/>
        <v>299000.66213229892</v>
      </c>
      <c r="AJ10" s="79">
        <f t="shared" si="2"/>
        <v>299000.66213229892</v>
      </c>
      <c r="AK10" s="79">
        <f>SUM(AK11:AK23)</f>
        <v>299000.66213229892</v>
      </c>
      <c r="AL10" s="229"/>
    </row>
    <row r="11" spans="1:38">
      <c r="A11" s="75" t="str">
        <f>CalcProgramas!A116</f>
        <v>Programa de Gestão Ambiental do Empreendimento</v>
      </c>
      <c r="B11" s="78">
        <f>CalcProgramas!D116</f>
        <v>7656100.8664379548</v>
      </c>
      <c r="C11" s="78">
        <f>(CalcProgramas!I42+CalcProgramas!I43+CalcProgramas!I44+CalcProgramas!I53+CalcProgramas!I54+CalcProgramas!I55)+(CalcProgramas!$I$45+CalcProgramas!$I$47+CalcProgramas!$I$49+CalcProgramas!$I$52)/4+(CalcProgramas!$G$4+CalcProgramas!$G$5)/4+(CalcProgramas!$G$7)/8+(CalcProgramas!$G$6+CalcProgramas!$I$46+CalcProgramas!$I$48+CalcProgramas!$I$50+CalcProgramas!$I$51)/35</f>
        <v>1133272.3316580229</v>
      </c>
      <c r="D11" s="78">
        <f>(CalcProgramas!$I$45+CalcProgramas!$I$47+CalcProgramas!$I$49+CalcProgramas!$I$52)/4+(CalcProgramas!$G$4+CalcProgramas!$G$5)/4+(CalcProgramas!$G$7)/8+(CalcProgramas!$G$6+CalcProgramas!$I$46+CalcProgramas!$I$48+CalcProgramas!$I$50+CalcProgramas!$I$51)/35</f>
        <v>906302.04549022147</v>
      </c>
      <c r="E11" s="78">
        <f>(CalcProgramas!$I$45+CalcProgramas!$I$47+CalcProgramas!$I$49+CalcProgramas!$I$52)/4+(CalcProgramas!$G$4+CalcProgramas!$G$5)/4+(CalcProgramas!$G$7)/8+(CalcProgramas!$G$6+CalcProgramas!$I$46+CalcProgramas!$I$48+CalcProgramas!$I$50+CalcProgramas!$I$51)/35</f>
        <v>906302.04549022147</v>
      </c>
      <c r="F11" s="78">
        <f>(CalcProgramas!$I$45+CalcProgramas!$I$47+CalcProgramas!$I$49+CalcProgramas!$I$52)/4+(CalcProgramas!$G$4+CalcProgramas!$G$5)/4+(CalcProgramas!$G$7)/8+(CalcProgramas!$G$6+CalcProgramas!$I$46+CalcProgramas!$I$48+CalcProgramas!$I$50+CalcProgramas!$I$51)/35</f>
        <v>906302.04549022147</v>
      </c>
      <c r="G11" s="78">
        <f>(CalcProgramas!$G$7)/8+(CalcProgramas!$G$6+CalcProgramas!$I$46+CalcProgramas!$I$48+CalcProgramas!$I$50+CalcProgramas!$I$51)/35</f>
        <v>156105.10768429894</v>
      </c>
      <c r="H11" s="78">
        <f>(CalcProgramas!$G$7)/8+(CalcProgramas!$G$6+CalcProgramas!$I$46+CalcProgramas!$I$48+CalcProgramas!$I$50+CalcProgramas!$I$51)/35</f>
        <v>156105.10768429894</v>
      </c>
      <c r="I11" s="78">
        <f>(CalcProgramas!$G$7)/8+(CalcProgramas!$G$6+CalcProgramas!$I$46+CalcProgramas!$I$48+CalcProgramas!$I$50+CalcProgramas!$I$51)/35</f>
        <v>156105.10768429894</v>
      </c>
      <c r="J11" s="78">
        <f>(CalcProgramas!$G$7)/8+(CalcProgramas!$G$6+CalcProgramas!$I$46+CalcProgramas!$I$48+CalcProgramas!$I$50+CalcProgramas!$I$51)/35</f>
        <v>156105.10768429894</v>
      </c>
      <c r="K11" s="78">
        <f>(CalcProgramas!$G$6+CalcProgramas!$I$46+CalcProgramas!$I$48+CalcProgramas!$I$50+CalcProgramas!$I$51)/35</f>
        <v>117759.33213229894</v>
      </c>
      <c r="L11" s="78">
        <f>(CalcProgramas!$G$6+CalcProgramas!$I$46+CalcProgramas!$I$48+CalcProgramas!$I$50+CalcProgramas!$I$51)/35</f>
        <v>117759.33213229894</v>
      </c>
      <c r="M11" s="78">
        <f>(CalcProgramas!$G$6+CalcProgramas!$I$46+CalcProgramas!$I$48+CalcProgramas!$I$50+CalcProgramas!$I$51)/35</f>
        <v>117759.33213229894</v>
      </c>
      <c r="N11" s="78">
        <f>(CalcProgramas!$G$6+CalcProgramas!$I$46+CalcProgramas!$I$48+CalcProgramas!$I$50+CalcProgramas!$I$51)/35</f>
        <v>117759.33213229894</v>
      </c>
      <c r="O11" s="78">
        <f>(CalcProgramas!$G$6+CalcProgramas!$I$46+CalcProgramas!$I$48+CalcProgramas!$I$50+CalcProgramas!$I$51)/35</f>
        <v>117759.33213229894</v>
      </c>
      <c r="P11" s="78">
        <f>(CalcProgramas!$G$6+CalcProgramas!$I$46+CalcProgramas!$I$48+CalcProgramas!$I$50+CalcProgramas!$I$51)/35</f>
        <v>117759.33213229894</v>
      </c>
      <c r="Q11" s="78">
        <f>(CalcProgramas!$G$6+CalcProgramas!$I$46+CalcProgramas!$I$48+CalcProgramas!$I$50+CalcProgramas!$I$51)/35</f>
        <v>117759.33213229894</v>
      </c>
      <c r="R11" s="78">
        <f>(CalcProgramas!$G$6+CalcProgramas!$I$46+CalcProgramas!$I$48+CalcProgramas!$I$50+CalcProgramas!$I$51)/35</f>
        <v>117759.33213229894</v>
      </c>
      <c r="S11" s="78">
        <f>(CalcProgramas!$G$6+CalcProgramas!$I$46+CalcProgramas!$I$48+CalcProgramas!$I$50+CalcProgramas!$I$51)/35</f>
        <v>117759.33213229894</v>
      </c>
      <c r="T11" s="78">
        <f>(CalcProgramas!$G$6+CalcProgramas!$I$46+CalcProgramas!$I$48+CalcProgramas!$I$50+CalcProgramas!$I$51)/35</f>
        <v>117759.33213229894</v>
      </c>
      <c r="U11" s="78">
        <f>(CalcProgramas!$G$6+CalcProgramas!$I$46+CalcProgramas!$I$48+CalcProgramas!$I$50+CalcProgramas!$I$51)/35</f>
        <v>117759.33213229894</v>
      </c>
      <c r="V11" s="78">
        <f>(CalcProgramas!$G$6+CalcProgramas!$I$46+CalcProgramas!$I$48+CalcProgramas!$I$50+CalcProgramas!$I$51)/35</f>
        <v>117759.33213229894</v>
      </c>
      <c r="W11" s="78">
        <f>(CalcProgramas!$G$6+CalcProgramas!$I$46+CalcProgramas!$I$48+CalcProgramas!$I$50+CalcProgramas!$I$51)/35</f>
        <v>117759.33213229894</v>
      </c>
      <c r="X11" s="78">
        <f>(CalcProgramas!$G$6+CalcProgramas!$I$46+CalcProgramas!$I$48+CalcProgramas!$I$50+CalcProgramas!$I$51)/35</f>
        <v>117759.33213229894</v>
      </c>
      <c r="Y11" s="78">
        <f>(CalcProgramas!$G$6+CalcProgramas!$I$46+CalcProgramas!$I$48+CalcProgramas!$I$50+CalcProgramas!$I$51)/35</f>
        <v>117759.33213229894</v>
      </c>
      <c r="Z11" s="78">
        <f>(CalcProgramas!$G$6+CalcProgramas!$I$46+CalcProgramas!$I$48+CalcProgramas!$I$50+CalcProgramas!$I$51)/35</f>
        <v>117759.33213229894</v>
      </c>
      <c r="AA11" s="78">
        <f>(CalcProgramas!$G$6+CalcProgramas!$I$46+CalcProgramas!$I$48+CalcProgramas!$I$50+CalcProgramas!$I$51)/35</f>
        <v>117759.33213229894</v>
      </c>
      <c r="AB11" s="78">
        <f>(CalcProgramas!$G$6+CalcProgramas!$I$46+CalcProgramas!$I$48+CalcProgramas!$I$50+CalcProgramas!$I$51)/35</f>
        <v>117759.33213229894</v>
      </c>
      <c r="AC11" s="78">
        <f>(CalcProgramas!$G$6+CalcProgramas!$I$46+CalcProgramas!$I$48+CalcProgramas!$I$50+CalcProgramas!$I$51)/35</f>
        <v>117759.33213229894</v>
      </c>
      <c r="AD11" s="78">
        <f>(CalcProgramas!$G$6+CalcProgramas!$I$46+CalcProgramas!$I$48+CalcProgramas!$I$50+CalcProgramas!$I$51)/35</f>
        <v>117759.33213229894</v>
      </c>
      <c r="AE11" s="78">
        <f>(CalcProgramas!$G$6+CalcProgramas!$I$46+CalcProgramas!$I$48+CalcProgramas!$I$50+CalcProgramas!$I$51)/35</f>
        <v>117759.33213229894</v>
      </c>
      <c r="AF11" s="78">
        <f>(CalcProgramas!$G$6+CalcProgramas!$I$46+CalcProgramas!$I$48+CalcProgramas!$I$50+CalcProgramas!$I$51)/35</f>
        <v>117759.33213229894</v>
      </c>
      <c r="AG11" s="78">
        <f>(CalcProgramas!$G$6+CalcProgramas!$I$46+CalcProgramas!$I$48+CalcProgramas!$I$50+CalcProgramas!$I$51)/35</f>
        <v>117759.33213229894</v>
      </c>
      <c r="AH11" s="78">
        <f>(CalcProgramas!$G$6+CalcProgramas!$I$46+CalcProgramas!$I$48+CalcProgramas!$I$50+CalcProgramas!$I$51)/35</f>
        <v>117759.33213229894</v>
      </c>
      <c r="AI11" s="78">
        <f>(CalcProgramas!$G$6+CalcProgramas!$I$46+CalcProgramas!$I$48+CalcProgramas!$I$50+CalcProgramas!$I$51)/35</f>
        <v>117759.33213229894</v>
      </c>
      <c r="AJ11" s="78">
        <f>(CalcProgramas!$G$6+CalcProgramas!$I$46+CalcProgramas!$I$48+CalcProgramas!$I$50+CalcProgramas!$I$51)/35</f>
        <v>117759.33213229894</v>
      </c>
      <c r="AK11" s="78">
        <f>(CalcProgramas!$G$6+CalcProgramas!$I$46+CalcProgramas!$I$48+CalcProgramas!$I$50+CalcProgramas!$I$51)/35</f>
        <v>117759.33213229894</v>
      </c>
      <c r="AL11" s="78"/>
    </row>
    <row r="12" spans="1:38">
      <c r="A12" s="75" t="str">
        <f>CalcProgramas!A117</f>
        <v>Programa de Monitoramento e Controle de Processos Erosivos</v>
      </c>
      <c r="B12" s="78">
        <f>CalcProgramas!D117</f>
        <v>217292.72812799999</v>
      </c>
      <c r="C12" s="78">
        <f>$B$12/4</f>
        <v>54323.182031999997</v>
      </c>
      <c r="D12" s="78">
        <f t="shared" ref="D12:F12" si="3">$B$12/4</f>
        <v>54323.182031999997</v>
      </c>
      <c r="E12" s="78">
        <f t="shared" si="3"/>
        <v>54323.182031999997</v>
      </c>
      <c r="F12" s="78">
        <f t="shared" si="3"/>
        <v>54323.182031999997</v>
      </c>
      <c r="AL12" s="78"/>
    </row>
    <row r="13" spans="1:38">
      <c r="A13" s="75" t="str">
        <f>CalcProgramas!A118</f>
        <v>Programa de Monitoramento da Qualidade das Águas Subterrâneas</v>
      </c>
      <c r="B13" s="78">
        <f>CalcProgramas!D118</f>
        <v>1966875</v>
      </c>
      <c r="C13" s="78">
        <f>CalcProgramas!$H$57*4</f>
        <v>104900</v>
      </c>
      <c r="D13" s="78">
        <f>CalcProgramas!$H$57*3</f>
        <v>78675</v>
      </c>
      <c r="E13" s="78">
        <f>CalcProgramas!$H$57*3</f>
        <v>78675</v>
      </c>
      <c r="F13" s="78">
        <f>CalcProgramas!$H$57*3</f>
        <v>78675</v>
      </c>
      <c r="G13" s="78">
        <f>CalcProgramas!$H$57*2</f>
        <v>52450</v>
      </c>
      <c r="H13" s="78">
        <f>CalcProgramas!$H$57*2</f>
        <v>52450</v>
      </c>
      <c r="I13" s="78">
        <f>CalcProgramas!$H$57*2</f>
        <v>52450</v>
      </c>
      <c r="J13" s="78">
        <f>CalcProgramas!$H$57*2</f>
        <v>52450</v>
      </c>
      <c r="K13" s="78">
        <f>CalcProgramas!$H$57*2</f>
        <v>52450</v>
      </c>
      <c r="L13" s="78">
        <f>CalcProgramas!$H$57*2</f>
        <v>52450</v>
      </c>
      <c r="M13" s="78">
        <f>CalcProgramas!$H$57*2</f>
        <v>52450</v>
      </c>
      <c r="N13" s="78">
        <f>CalcProgramas!$H$57*2</f>
        <v>52450</v>
      </c>
      <c r="O13" s="78">
        <f>CalcProgramas!$H$57*2</f>
        <v>52450</v>
      </c>
      <c r="P13" s="78">
        <f>CalcProgramas!$H$57*2</f>
        <v>52450</v>
      </c>
      <c r="Q13" s="78">
        <f>CalcProgramas!$H$57*2</f>
        <v>52450</v>
      </c>
      <c r="R13" s="78">
        <f>CalcProgramas!$H$57*2</f>
        <v>52450</v>
      </c>
      <c r="S13" s="78">
        <f>CalcProgramas!$H$57*2</f>
        <v>52450</v>
      </c>
      <c r="T13" s="78">
        <f>CalcProgramas!$H$57*2</f>
        <v>52450</v>
      </c>
      <c r="U13" s="78">
        <f>CalcProgramas!$H$57*2</f>
        <v>52450</v>
      </c>
      <c r="V13" s="78">
        <f>CalcProgramas!$H$57*2</f>
        <v>52450</v>
      </c>
      <c r="W13" s="78">
        <f>CalcProgramas!$H$57*2</f>
        <v>52450</v>
      </c>
      <c r="X13" s="78">
        <f>CalcProgramas!$H$57*2</f>
        <v>52450</v>
      </c>
      <c r="Y13" s="78">
        <f>CalcProgramas!$H$57*2</f>
        <v>52450</v>
      </c>
      <c r="Z13" s="78">
        <f>CalcProgramas!$H$57*2</f>
        <v>52450</v>
      </c>
      <c r="AA13" s="78">
        <f>CalcProgramas!$H$57*2</f>
        <v>52450</v>
      </c>
      <c r="AB13" s="78">
        <f>CalcProgramas!$H$57*2</f>
        <v>52450</v>
      </c>
      <c r="AC13" s="78">
        <f>CalcProgramas!$H$57*2</f>
        <v>52450</v>
      </c>
      <c r="AD13" s="78">
        <f>CalcProgramas!$H$57*2</f>
        <v>52450</v>
      </c>
      <c r="AE13" s="78">
        <f>CalcProgramas!$H$57*2</f>
        <v>52450</v>
      </c>
      <c r="AF13" s="78">
        <f>CalcProgramas!$H$57*2</f>
        <v>52450</v>
      </c>
      <c r="AG13" s="78">
        <f>CalcProgramas!$H$57*2</f>
        <v>52450</v>
      </c>
      <c r="AH13" s="78">
        <f>CalcProgramas!$H$57*2</f>
        <v>52450</v>
      </c>
      <c r="AI13" s="78">
        <f>CalcProgramas!$H$57*2</f>
        <v>52450</v>
      </c>
      <c r="AJ13" s="78">
        <f>CalcProgramas!$H$57*2</f>
        <v>52450</v>
      </c>
      <c r="AK13" s="78">
        <f>CalcProgramas!$H$57*2</f>
        <v>52450</v>
      </c>
      <c r="AL13" s="78"/>
    </row>
    <row r="14" spans="1:38">
      <c r="A14" s="75" t="str">
        <f>CalcProgramas!A119</f>
        <v>Programa de Monitoramento da Qualidade das Águas Superficiais</v>
      </c>
      <c r="B14" s="78">
        <f>CalcProgramas!D119</f>
        <v>1966875</v>
      </c>
      <c r="C14" s="78">
        <f>CalcProgramas!$H$59*4</f>
        <v>104900</v>
      </c>
      <c r="D14" s="78">
        <f>CalcProgramas!$H$59*3</f>
        <v>78675</v>
      </c>
      <c r="E14" s="78">
        <f>CalcProgramas!$H$59*3</f>
        <v>78675</v>
      </c>
      <c r="F14" s="78">
        <f>CalcProgramas!$H$59*3</f>
        <v>78675</v>
      </c>
      <c r="G14" s="78">
        <f>CalcProgramas!$H$59*2</f>
        <v>52450</v>
      </c>
      <c r="H14" s="78">
        <f>CalcProgramas!$H$59*2</f>
        <v>52450</v>
      </c>
      <c r="I14" s="78">
        <f>CalcProgramas!$H$59*2</f>
        <v>52450</v>
      </c>
      <c r="J14" s="78">
        <f>CalcProgramas!$H$59*2</f>
        <v>52450</v>
      </c>
      <c r="K14" s="78">
        <f>CalcProgramas!$H$59*2</f>
        <v>52450</v>
      </c>
      <c r="L14" s="78">
        <f>CalcProgramas!$H$59*2</f>
        <v>52450</v>
      </c>
      <c r="M14" s="78">
        <f>CalcProgramas!$H$59*2</f>
        <v>52450</v>
      </c>
      <c r="N14" s="78">
        <f>CalcProgramas!$H$59*2</f>
        <v>52450</v>
      </c>
      <c r="O14" s="78">
        <f>CalcProgramas!$H$59*2</f>
        <v>52450</v>
      </c>
      <c r="P14" s="78">
        <f>CalcProgramas!$H$59*2</f>
        <v>52450</v>
      </c>
      <c r="Q14" s="78">
        <f>CalcProgramas!$H$59*2</f>
        <v>52450</v>
      </c>
      <c r="R14" s="78">
        <f>CalcProgramas!$H$59*2</f>
        <v>52450</v>
      </c>
      <c r="S14" s="78">
        <f>CalcProgramas!$H$59*2</f>
        <v>52450</v>
      </c>
      <c r="T14" s="78">
        <f>CalcProgramas!$H$59*2</f>
        <v>52450</v>
      </c>
      <c r="U14" s="78">
        <f>CalcProgramas!$H$59*2</f>
        <v>52450</v>
      </c>
      <c r="V14" s="78">
        <f>CalcProgramas!$H$59*2</f>
        <v>52450</v>
      </c>
      <c r="W14" s="78">
        <f>CalcProgramas!$H$59*2</f>
        <v>52450</v>
      </c>
      <c r="X14" s="78">
        <f>CalcProgramas!$H$59*2</f>
        <v>52450</v>
      </c>
      <c r="Y14" s="78">
        <f>CalcProgramas!$H$59*2</f>
        <v>52450</v>
      </c>
      <c r="Z14" s="78">
        <f>CalcProgramas!$H$59*2</f>
        <v>52450</v>
      </c>
      <c r="AA14" s="78">
        <f>CalcProgramas!$H$59*2</f>
        <v>52450</v>
      </c>
      <c r="AB14" s="78">
        <f>CalcProgramas!$H$59*2</f>
        <v>52450</v>
      </c>
      <c r="AC14" s="78">
        <f>CalcProgramas!$H$59*2</f>
        <v>52450</v>
      </c>
      <c r="AD14" s="78">
        <f>CalcProgramas!$H$59*2</f>
        <v>52450</v>
      </c>
      <c r="AE14" s="78">
        <f>CalcProgramas!$H$59*2</f>
        <v>52450</v>
      </c>
      <c r="AF14" s="78">
        <f>CalcProgramas!$H$59*2</f>
        <v>52450</v>
      </c>
      <c r="AG14" s="78">
        <f>CalcProgramas!$H$59*2</f>
        <v>52450</v>
      </c>
      <c r="AH14" s="78">
        <f>CalcProgramas!$H$59*2</f>
        <v>52450</v>
      </c>
      <c r="AI14" s="78">
        <f>CalcProgramas!$H$59*2</f>
        <v>52450</v>
      </c>
      <c r="AJ14" s="78">
        <f>CalcProgramas!$H$59*2</f>
        <v>52450</v>
      </c>
      <c r="AK14" s="78">
        <f>CalcProgramas!$H$59*2</f>
        <v>52450</v>
      </c>
      <c r="AL14" s="78"/>
    </row>
    <row r="15" spans="1:38">
      <c r="A15" s="75" t="str">
        <f>CalcProgramas!A120</f>
        <v>Programa de Monitoramento dos Solos</v>
      </c>
      <c r="B15" s="78">
        <f>CalcProgramas!D120</f>
        <v>2671946.5500000003</v>
      </c>
      <c r="C15" s="78">
        <f>CalcProgramas!$H$61</f>
        <v>76341.33</v>
      </c>
      <c r="D15" s="78">
        <f>CalcProgramas!$H$61</f>
        <v>76341.33</v>
      </c>
      <c r="E15" s="78">
        <f>CalcProgramas!$H$61</f>
        <v>76341.33</v>
      </c>
      <c r="F15" s="78">
        <f>CalcProgramas!$H$61</f>
        <v>76341.33</v>
      </c>
      <c r="G15" s="78">
        <f>CalcProgramas!$H$61</f>
        <v>76341.33</v>
      </c>
      <c r="H15" s="78">
        <f>CalcProgramas!$H$61</f>
        <v>76341.33</v>
      </c>
      <c r="I15" s="78">
        <f>CalcProgramas!$H$61</f>
        <v>76341.33</v>
      </c>
      <c r="J15" s="78">
        <f>CalcProgramas!$H$61</f>
        <v>76341.33</v>
      </c>
      <c r="K15" s="78">
        <f>CalcProgramas!$H$61</f>
        <v>76341.33</v>
      </c>
      <c r="L15" s="78">
        <f>CalcProgramas!$H$61</f>
        <v>76341.33</v>
      </c>
      <c r="M15" s="78">
        <f>CalcProgramas!$H$61</f>
        <v>76341.33</v>
      </c>
      <c r="N15" s="78">
        <f>CalcProgramas!$H$61</f>
        <v>76341.33</v>
      </c>
      <c r="O15" s="78">
        <f>CalcProgramas!$H$61</f>
        <v>76341.33</v>
      </c>
      <c r="P15" s="78">
        <f>CalcProgramas!$H$61</f>
        <v>76341.33</v>
      </c>
      <c r="Q15" s="78">
        <f>CalcProgramas!$H$61</f>
        <v>76341.33</v>
      </c>
      <c r="R15" s="78">
        <f>CalcProgramas!$H$61</f>
        <v>76341.33</v>
      </c>
      <c r="S15" s="78">
        <f>CalcProgramas!$H$61</f>
        <v>76341.33</v>
      </c>
      <c r="T15" s="78">
        <f>CalcProgramas!$H$61</f>
        <v>76341.33</v>
      </c>
      <c r="U15" s="78">
        <f>CalcProgramas!$H$61</f>
        <v>76341.33</v>
      </c>
      <c r="V15" s="78">
        <f>CalcProgramas!$H$61</f>
        <v>76341.33</v>
      </c>
      <c r="W15" s="78">
        <f>CalcProgramas!$H$61</f>
        <v>76341.33</v>
      </c>
      <c r="X15" s="78">
        <f>CalcProgramas!$H$61</f>
        <v>76341.33</v>
      </c>
      <c r="Y15" s="78">
        <f>CalcProgramas!$H$61</f>
        <v>76341.33</v>
      </c>
      <c r="Z15" s="78">
        <f>CalcProgramas!$H$61</f>
        <v>76341.33</v>
      </c>
      <c r="AA15" s="78">
        <f>CalcProgramas!$H$61</f>
        <v>76341.33</v>
      </c>
      <c r="AB15" s="78">
        <f>CalcProgramas!$H$61</f>
        <v>76341.33</v>
      </c>
      <c r="AC15" s="78">
        <f>CalcProgramas!$H$61</f>
        <v>76341.33</v>
      </c>
      <c r="AD15" s="78">
        <f>CalcProgramas!$H$61</f>
        <v>76341.33</v>
      </c>
      <c r="AE15" s="78">
        <f>CalcProgramas!$H$61</f>
        <v>76341.33</v>
      </c>
      <c r="AF15" s="78">
        <f>CalcProgramas!$H$61</f>
        <v>76341.33</v>
      </c>
      <c r="AG15" s="78">
        <f>CalcProgramas!$H$61</f>
        <v>76341.33</v>
      </c>
      <c r="AH15" s="78">
        <f>CalcProgramas!$H$61</f>
        <v>76341.33</v>
      </c>
      <c r="AI15" s="78">
        <f>CalcProgramas!$H$61</f>
        <v>76341.33</v>
      </c>
      <c r="AJ15" s="78">
        <f>CalcProgramas!$H$61</f>
        <v>76341.33</v>
      </c>
      <c r="AK15" s="78">
        <f>CalcProgramas!$H$61</f>
        <v>76341.33</v>
      </c>
      <c r="AL15" s="78"/>
    </row>
    <row r="16" spans="1:38">
      <c r="A16" s="75" t="str">
        <f>CalcProgramas!A121</f>
        <v>Programa de Supressão de Vegetação e Manejo da Flora</v>
      </c>
      <c r="B16" s="329">
        <f>CalcProgramas!D121</f>
        <v>3686383.5223033936</v>
      </c>
      <c r="C16" s="78">
        <f>$B$16/4</f>
        <v>921595.88057584839</v>
      </c>
      <c r="D16" s="78">
        <f t="shared" ref="D16:F16" si="4">$B$16/4</f>
        <v>921595.88057584839</v>
      </c>
      <c r="E16" s="78">
        <f t="shared" si="4"/>
        <v>921595.88057584839</v>
      </c>
      <c r="F16" s="78">
        <f t="shared" si="4"/>
        <v>921595.88057584839</v>
      </c>
      <c r="AL16" s="78"/>
    </row>
    <row r="17" spans="1:38">
      <c r="A17" s="75" t="str">
        <f>CalcProgramas!A122</f>
        <v>Programa de Compensação Ambiental</v>
      </c>
      <c r="B17" s="329">
        <f>CalcProgramas!D122</f>
        <v>55428293.875</v>
      </c>
      <c r="C17" s="78">
        <f>CalcProgramas!I72+(CalcProgramas!$I$73+CalcProgramas!$I$74)/4+(CalcProgramas!$I$70+CalcProgramas!$I$71)/20</f>
        <v>11388555.69375</v>
      </c>
      <c r="D17" s="78">
        <f>(CalcProgramas!$I$73+CalcProgramas!$I$74)/4+(CalcProgramas!$I$70+CalcProgramas!$I$71)/20</f>
        <v>8888555.6937499996</v>
      </c>
      <c r="E17" s="78">
        <f>(CalcProgramas!$I$73+CalcProgramas!$I$74)/4+(CalcProgramas!$I$70+CalcProgramas!$I$71)/20</f>
        <v>8888555.6937499996</v>
      </c>
      <c r="F17" s="78">
        <f>(CalcProgramas!$I$73+CalcProgramas!$I$74)/4+(CalcProgramas!$I$70+CalcProgramas!$I$71)/20</f>
        <v>8888555.6937499996</v>
      </c>
      <c r="G17" s="78">
        <f>(CalcProgramas!$I$70+CalcProgramas!$I$71)/20</f>
        <v>1085879.4437500001</v>
      </c>
      <c r="H17" s="78">
        <f>(CalcProgramas!$I$70+CalcProgramas!$I$71)/20</f>
        <v>1085879.4437500001</v>
      </c>
      <c r="I17" s="78">
        <f>(CalcProgramas!$I$70+CalcProgramas!$I$71)/20</f>
        <v>1085879.4437500001</v>
      </c>
      <c r="J17" s="78">
        <f>(CalcProgramas!$I$70+CalcProgramas!$I$71)/20</f>
        <v>1085879.4437500001</v>
      </c>
      <c r="K17" s="78">
        <f>(CalcProgramas!$I$70+CalcProgramas!$I$71)/20</f>
        <v>1085879.4437500001</v>
      </c>
      <c r="L17" s="78">
        <f>(CalcProgramas!$I$70+CalcProgramas!$I$71)/20</f>
        <v>1085879.4437500001</v>
      </c>
      <c r="M17" s="78">
        <f>(CalcProgramas!$I$70+CalcProgramas!$I$71)/20</f>
        <v>1085879.4437500001</v>
      </c>
      <c r="N17" s="78">
        <f>(CalcProgramas!$I$70+CalcProgramas!$I$71)/20</f>
        <v>1085879.4437500001</v>
      </c>
      <c r="O17" s="78">
        <f>(CalcProgramas!$I$70+CalcProgramas!$I$71)/20</f>
        <v>1085879.4437500001</v>
      </c>
      <c r="P17" s="78">
        <f>(CalcProgramas!$I$70+CalcProgramas!$I$71)/20</f>
        <v>1085879.4437500001</v>
      </c>
      <c r="Q17" s="78">
        <f>(CalcProgramas!$I$70+CalcProgramas!$I$71)/20</f>
        <v>1085879.4437500001</v>
      </c>
      <c r="R17" s="78">
        <f>(CalcProgramas!$I$70+CalcProgramas!$I$71)/20</f>
        <v>1085879.4437500001</v>
      </c>
      <c r="S17" s="78">
        <f>(CalcProgramas!$I$70+CalcProgramas!$I$71)/20</f>
        <v>1085879.4437500001</v>
      </c>
      <c r="T17" s="78">
        <f>(CalcProgramas!$I$70+CalcProgramas!$I$71)/20</f>
        <v>1085879.4437500001</v>
      </c>
      <c r="U17" s="78">
        <f>(CalcProgramas!$I$70+CalcProgramas!$I$71)/20</f>
        <v>1085879.4437500001</v>
      </c>
      <c r="V17" s="78">
        <f>(CalcProgramas!$I$70+CalcProgramas!$I$71)/20</f>
        <v>1085879.4437500001</v>
      </c>
      <c r="AL17" s="229"/>
    </row>
    <row r="18" spans="1:38">
      <c r="A18" s="75" t="str">
        <f>CalcProgramas!A123</f>
        <v>Programa de Afugentamento, Monitoramento e Conservação da Fauna</v>
      </c>
      <c r="B18" s="78">
        <f>CalcProgramas!D123</f>
        <v>10790494.711634841</v>
      </c>
      <c r="C18" s="78">
        <f>$B$18/4</f>
        <v>2697623.6779087102</v>
      </c>
      <c r="D18" s="78">
        <f t="shared" ref="D18:F18" si="5">$B$18/4</f>
        <v>2697623.6779087102</v>
      </c>
      <c r="E18" s="78">
        <f t="shared" si="5"/>
        <v>2697623.6779087102</v>
      </c>
      <c r="F18" s="78">
        <f t="shared" si="5"/>
        <v>2697623.6779087102</v>
      </c>
      <c r="AL18" s="78"/>
    </row>
    <row r="19" spans="1:38">
      <c r="A19" s="75" t="str">
        <f>CalcProgramas!A124</f>
        <v>Programa de Educação Ambiental</v>
      </c>
      <c r="B19" s="78">
        <f>CalcProgramas!D124</f>
        <v>2513316.2711870149</v>
      </c>
      <c r="C19" s="78">
        <f>(CalcProgramas!I87+CalcProgramas!I92+CalcProgramas!I94+CalcProgramas!I95+CalcProgramas!I96+CalcProgramas!I89)+(CalcProgramas!$G$29+CalcProgramas!$I$91+CalcProgramas!$I$93)/4+(CalcProgramas!$G$28+CalcProgramas!$I$84+CalcProgramas!$I$85+CalcProgramas!$I$86+CalcProgramas!$I$88+CalcProgramas!$I$90)/8</f>
        <v>463683.65177373018</v>
      </c>
      <c r="D19" s="78">
        <f>(CalcProgramas!$G$29+CalcProgramas!$I$91+CalcProgramas!$I$93)/4+(CalcProgramas!$G$28+CalcProgramas!$I$84+CalcProgramas!$I$85+CalcProgramas!$I$86+CalcProgramas!$I$88+CalcProgramas!$I$90)/8</f>
        <v>427634.18868982943</v>
      </c>
      <c r="E19" s="78">
        <f>(CalcProgramas!$G$29+CalcProgramas!$I$91+CalcProgramas!$I$93)/4+(CalcProgramas!$G$28+CalcProgramas!$I$84+CalcProgramas!$I$85+CalcProgramas!$I$86+CalcProgramas!$I$88+CalcProgramas!$I$90)/8</f>
        <v>427634.18868982943</v>
      </c>
      <c r="F19" s="78">
        <f>(CalcProgramas!$G$29+CalcProgramas!$I$91+CalcProgramas!$I$93)/4+(CalcProgramas!$G$28+CalcProgramas!$I$84+CalcProgramas!$I$85+CalcProgramas!$I$86+CalcProgramas!$I$88+CalcProgramas!$I$90)/8</f>
        <v>427634.18868982943</v>
      </c>
      <c r="G19" s="78">
        <f>(CalcProgramas!$G$28+CalcProgramas!$I$84+CalcProgramas!$I$85+CalcProgramas!$I$86+CalcProgramas!$I$88+CalcProgramas!$I$90)/8</f>
        <v>191682.51333594904</v>
      </c>
      <c r="H19" s="78">
        <f>(CalcProgramas!$G$28+CalcProgramas!$I$84+CalcProgramas!$I$85+CalcProgramas!$I$86+CalcProgramas!$I$88+CalcProgramas!$I$90)/8</f>
        <v>191682.51333594904</v>
      </c>
      <c r="I19" s="78">
        <f>(CalcProgramas!$G$28+CalcProgramas!$I$84+CalcProgramas!$I$85+CalcProgramas!$I$86+CalcProgramas!$I$88+CalcProgramas!$I$90)/8</f>
        <v>191682.51333594904</v>
      </c>
      <c r="J19" s="78">
        <f>(CalcProgramas!$G$28+CalcProgramas!$I$84+CalcProgramas!$I$85+CalcProgramas!$I$86+CalcProgramas!$I$88+CalcProgramas!$I$90)/8</f>
        <v>191682.51333594904</v>
      </c>
      <c r="AL19" s="78"/>
    </row>
    <row r="20" spans="1:38">
      <c r="A20" s="75" t="str">
        <f>CalcProgramas!A125</f>
        <v>Programa de Desapropriação e Reassentamento da População</v>
      </c>
      <c r="B20" s="78">
        <f>CalcProgramas!D125</f>
        <v>1518123.584003702</v>
      </c>
      <c r="C20" s="78">
        <f>(CalcProgramas!$G$31+CalcProgramas!$I$98+CalcProgramas!$I$99+CalcProgramas!$I$100+CalcProgramas!$I$101)/4</f>
        <v>379530.89600092545</v>
      </c>
      <c r="D20" s="78">
        <f>(CalcProgramas!$G$31+CalcProgramas!$I$98+CalcProgramas!$I$99+CalcProgramas!$I$100+CalcProgramas!$I$101)/4</f>
        <v>379530.89600092545</v>
      </c>
      <c r="E20" s="78">
        <f>(CalcProgramas!$G$31+CalcProgramas!$I$98+CalcProgramas!$I$99+CalcProgramas!$I$100+CalcProgramas!$I$101)/4</f>
        <v>379530.89600092545</v>
      </c>
      <c r="F20" s="78">
        <f>(CalcProgramas!$G$31+CalcProgramas!$I$98+CalcProgramas!$I$99+CalcProgramas!$I$100+CalcProgramas!$I$101)/4</f>
        <v>379530.89600092545</v>
      </c>
      <c r="G20" s="78"/>
      <c r="H20" s="78"/>
      <c r="I20" s="78"/>
      <c r="J20" s="78"/>
      <c r="AL20" s="78"/>
    </row>
    <row r="21" spans="1:38">
      <c r="A21" s="75" t="str">
        <f>CalcProgramas!A126</f>
        <v>Programa de Apoio às Prefeituras da AII</v>
      </c>
      <c r="B21" s="78">
        <f>CalcProgramas!D126</f>
        <v>500000</v>
      </c>
      <c r="C21" s="78">
        <f>$B$21/4</f>
        <v>125000</v>
      </c>
      <c r="D21" s="78">
        <f t="shared" ref="D21:F21" si="6">$B$21/4</f>
        <v>125000</v>
      </c>
      <c r="E21" s="78">
        <f t="shared" si="6"/>
        <v>125000</v>
      </c>
      <c r="F21" s="78">
        <f t="shared" si="6"/>
        <v>125000</v>
      </c>
      <c r="AL21" s="78"/>
    </row>
    <row r="22" spans="1:38">
      <c r="A22" s="75" t="str">
        <f>CalcProgramas!A127</f>
        <v>Programa de Combate a Incêndios Florestais nas Áreas de Reserva Legal</v>
      </c>
      <c r="B22" s="78">
        <f>CalcProgramas!D127</f>
        <v>1298528.2629990717</v>
      </c>
      <c r="C22" s="78">
        <f>(CalcProgramas!I104+CalcProgramas!I105+CalcProgramas!I106+CalcProgramas!I107)+(CalcProgramas!$I$103+CalcProgramas!$I$108+CalcProgramas!$G$36)/4+CalcProgramas!$G$37/20</f>
        <v>110711.94627823074</v>
      </c>
      <c r="D22" s="78">
        <f>(CalcProgramas!$I$103+CalcProgramas!$I$108+CalcProgramas!$G$36)/4+CalcProgramas!$G$37/20</f>
        <v>106215.13473628036</v>
      </c>
      <c r="E22" s="78">
        <f>(CalcProgramas!$I$103+CalcProgramas!$I$108+CalcProgramas!$G$36)/4+CalcProgramas!$G$37/20</f>
        <v>106215.13473628036</v>
      </c>
      <c r="F22" s="78">
        <f>(CalcProgramas!$I$103+CalcProgramas!$I$108+CalcProgramas!$G$36)/4+CalcProgramas!$G$37/20</f>
        <v>106215.13473628036</v>
      </c>
      <c r="G22" s="78">
        <f>CalcProgramas!$G$37/20</f>
        <v>54323.182031999997</v>
      </c>
      <c r="H22" s="78">
        <f>CalcProgramas!$G$37/20</f>
        <v>54323.182031999997</v>
      </c>
      <c r="I22" s="78">
        <f>CalcProgramas!$G$37/20</f>
        <v>54323.182031999997</v>
      </c>
      <c r="J22" s="78">
        <f>CalcProgramas!$G$37/20</f>
        <v>54323.182031999997</v>
      </c>
      <c r="K22" s="78">
        <f>CalcProgramas!$G$37/20</f>
        <v>54323.182031999997</v>
      </c>
      <c r="L22" s="78">
        <f>CalcProgramas!$G$37/20</f>
        <v>54323.182031999997</v>
      </c>
      <c r="M22" s="78">
        <f>CalcProgramas!$G$37/20</f>
        <v>54323.182031999997</v>
      </c>
      <c r="N22" s="78">
        <f>CalcProgramas!$G$37/20</f>
        <v>54323.182031999997</v>
      </c>
      <c r="O22" s="78">
        <f>CalcProgramas!$G$37/20</f>
        <v>54323.182031999997</v>
      </c>
      <c r="P22" s="78">
        <f>CalcProgramas!$G$37/20</f>
        <v>54323.182031999997</v>
      </c>
      <c r="Q22" s="78">
        <f>CalcProgramas!$G$37/20</f>
        <v>54323.182031999997</v>
      </c>
      <c r="R22" s="78">
        <f>CalcProgramas!$G$37/20</f>
        <v>54323.182031999997</v>
      </c>
      <c r="S22" s="78">
        <f>CalcProgramas!$G$37/20</f>
        <v>54323.182031999997</v>
      </c>
      <c r="T22" s="78">
        <f>CalcProgramas!$G$37/20</f>
        <v>54323.182031999997</v>
      </c>
      <c r="U22" s="78">
        <f>CalcProgramas!$G$37/20</f>
        <v>54323.182031999997</v>
      </c>
      <c r="V22" s="78">
        <f>CalcProgramas!$G$37/20</f>
        <v>54323.182031999997</v>
      </c>
      <c r="AL22" s="78"/>
    </row>
    <row r="23" spans="1:38">
      <c r="A23" s="75" t="str">
        <f>CalcProgramas!A128</f>
        <v>Programa de Recuperação de Áreas Degradadas</v>
      </c>
      <c r="B23" s="78">
        <f>CalcProgramas!D128</f>
        <v>543231.82031999994</v>
      </c>
      <c r="C23" s="78">
        <f>$B$23/4</f>
        <v>135807.95507999999</v>
      </c>
      <c r="D23" s="78">
        <f t="shared" ref="D23:F23" si="7">$B$23/4</f>
        <v>135807.95507999999</v>
      </c>
      <c r="E23" s="78">
        <f t="shared" si="7"/>
        <v>135807.95507999999</v>
      </c>
      <c r="F23" s="78">
        <f t="shared" si="7"/>
        <v>135807.95507999999</v>
      </c>
      <c r="AL23" s="78"/>
    </row>
    <row r="24" spans="1:38">
      <c r="A24" s="80" t="s">
        <v>259</v>
      </c>
      <c r="B24" s="81">
        <f>B10+B5+B2</f>
        <v>95994618.648013964</v>
      </c>
      <c r="C24" s="81">
        <f>C10+C5+C2</f>
        <v>22933403.001057465</v>
      </c>
      <c r="D24" s="81">
        <f>C24+D10+D5+D2</f>
        <v>37809682.985321283</v>
      </c>
      <c r="E24" s="81">
        <f t="shared" ref="E24:AJ24" si="8">D24+E10+E5+E2</f>
        <v>52685962.969585098</v>
      </c>
      <c r="F24" s="81">
        <f t="shared" si="8"/>
        <v>67562242.953848913</v>
      </c>
      <c r="G24" s="81">
        <f t="shared" si="8"/>
        <v>69231474.530651167</v>
      </c>
      <c r="H24" s="81">
        <f t="shared" si="8"/>
        <v>70900706.107453421</v>
      </c>
      <c r="I24" s="81">
        <f>H24+I10+I5+I2</f>
        <v>72569937.684255674</v>
      </c>
      <c r="J24" s="81">
        <f t="shared" si="8"/>
        <v>74239169.261057928</v>
      </c>
      <c r="K24" s="81">
        <f t="shared" si="8"/>
        <v>75678372.548972234</v>
      </c>
      <c r="L24" s="81">
        <f t="shared" si="8"/>
        <v>77117575.83688654</v>
      </c>
      <c r="M24" s="81">
        <f t="shared" si="8"/>
        <v>78556779.124800846</v>
      </c>
      <c r="N24" s="81">
        <f t="shared" si="8"/>
        <v>79995982.412715152</v>
      </c>
      <c r="O24" s="81">
        <f t="shared" si="8"/>
        <v>81435185.700629458</v>
      </c>
      <c r="P24" s="81">
        <f t="shared" si="8"/>
        <v>82874388.988543764</v>
      </c>
      <c r="Q24" s="81">
        <f t="shared" si="8"/>
        <v>84313592.27645807</v>
      </c>
      <c r="R24" s="81">
        <f t="shared" si="8"/>
        <v>85752795.564372376</v>
      </c>
      <c r="S24" s="81">
        <f t="shared" si="8"/>
        <v>87191998.852286682</v>
      </c>
      <c r="T24" s="81">
        <f t="shared" si="8"/>
        <v>88631202.140200987</v>
      </c>
      <c r="U24" s="81">
        <f t="shared" si="8"/>
        <v>90070405.428115293</v>
      </c>
      <c r="V24" s="81">
        <f t="shared" si="8"/>
        <v>91509608.716029599</v>
      </c>
      <c r="W24" s="81">
        <f t="shared" si="8"/>
        <v>91808609.378161892</v>
      </c>
      <c r="X24" s="81">
        <f t="shared" si="8"/>
        <v>92107610.040294185</v>
      </c>
      <c r="Y24" s="81">
        <f t="shared" si="8"/>
        <v>92406610.702426478</v>
      </c>
      <c r="Z24" s="81">
        <f t="shared" si="8"/>
        <v>92705611.364558771</v>
      </c>
      <c r="AA24" s="81">
        <f t="shared" si="8"/>
        <v>93004612.026691064</v>
      </c>
      <c r="AB24" s="81">
        <f t="shared" si="8"/>
        <v>93303612.688823357</v>
      </c>
      <c r="AC24" s="81">
        <f t="shared" si="8"/>
        <v>93602613.35095565</v>
      </c>
      <c r="AD24" s="81">
        <f t="shared" si="8"/>
        <v>93901614.013087943</v>
      </c>
      <c r="AE24" s="81">
        <f t="shared" si="8"/>
        <v>94200614.675220236</v>
      </c>
      <c r="AF24" s="81">
        <f t="shared" si="8"/>
        <v>94499615.337352529</v>
      </c>
      <c r="AG24" s="81">
        <f t="shared" si="8"/>
        <v>94798615.999484822</v>
      </c>
      <c r="AH24" s="81">
        <f t="shared" si="8"/>
        <v>95097616.661617115</v>
      </c>
      <c r="AI24" s="81">
        <f t="shared" si="8"/>
        <v>95396617.323749408</v>
      </c>
      <c r="AJ24" s="81">
        <f t="shared" si="8"/>
        <v>95695617.985881701</v>
      </c>
      <c r="AK24" s="81">
        <f>AJ24+AK10+AK5+AK2</f>
        <v>95994618.648013994</v>
      </c>
      <c r="AL24" s="78"/>
    </row>
    <row r="26" spans="1:38">
      <c r="C26" s="23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CustosUnit</vt:lpstr>
      <vt:lpstr>CustosReflorest.</vt:lpstr>
      <vt:lpstr>CustosEstudos</vt:lpstr>
      <vt:lpstr>CustosFEAM</vt:lpstr>
      <vt:lpstr>CustosIntervAmb</vt:lpstr>
      <vt:lpstr>CalcTaxas</vt:lpstr>
      <vt:lpstr>CalcProgramas</vt:lpstr>
      <vt:lpstr>CronogramaFin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Pedroso</dc:creator>
  <cp:lastModifiedBy>Andreia Pedroso</cp:lastModifiedBy>
  <dcterms:created xsi:type="dcterms:W3CDTF">2025-09-09T16:53:57Z</dcterms:created>
  <dcterms:modified xsi:type="dcterms:W3CDTF">2026-07-01T16:51:47Z</dcterms:modified>
</cp:coreProperties>
</file>