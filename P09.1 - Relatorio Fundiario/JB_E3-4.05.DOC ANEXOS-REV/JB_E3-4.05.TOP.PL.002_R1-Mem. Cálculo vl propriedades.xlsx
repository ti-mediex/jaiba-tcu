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PROJETOS\JAÍBA ETAPAS 3 e 4\AVALIAÇÃO FUNDIÁRIA\JB_E3-4.05.AVALIAÇÃO FUNDARIA - REVISÃO DO LIMITE 29-06-26\REVISADO -14-07\"/>
    </mc:Choice>
  </mc:AlternateContent>
  <xr:revisionPtr revIDLastSave="0" documentId="13_ncr:1_{C94FCE19-CD9E-491F-A6E5-5EDB6997DB9F}" xr6:coauthVersionLast="47" xr6:coauthVersionMax="47" xr10:uidLastSave="{00000000-0000-0000-0000-000000000000}"/>
  <workbookProtection workbookAlgorithmName="SHA-512" workbookHashValue="LKOkSWuNCRfzTtqTXnV1+I4QND8zHJnB804CYQHGooQ12b+wx92bXFVvTG8/c4jIZgoQ4TWifjvoyiND/jU+LQ==" workbookSaltValue="NKea++zp78d2mG3MI5kTPQ==" workbookSpinCount="100000" lockStructure="1"/>
  <bookViews>
    <workbookView xWindow="-28920" yWindow="-120" windowWidth="29040" windowHeight="15840" tabRatio="834" firstSheet="1" activeTab="2" xr2:uid="{00000000-000D-0000-FFFF-FFFF00000000}"/>
  </bookViews>
  <sheets>
    <sheet name="base" sheetId="9" state="hidden" r:id="rId1"/>
    <sheet name="Lista de Abas" sheetId="31" r:id="rId2"/>
    <sheet name="Capa" sheetId="25" r:id="rId3"/>
    <sheet name="Cálculo Depre.-Sist. Irrig." sheetId="26" r:id="rId4"/>
    <sheet name="Estimativa Valores-Painéis Sol." sheetId="27" r:id="rId5"/>
    <sheet name="Cálculo Valor Avaliação-Cultura" sheetId="29" r:id="rId6"/>
    <sheet name="Cálculo Geral de Propriedades" sheetId="11" r:id="rId7"/>
    <sheet name="Valores Est. por Propriedade" sheetId="30" r:id="rId8"/>
    <sheet name="Valores Est. por Prop. ET.3e4" sheetId="33" r:id="rId9"/>
  </sheets>
  <definedNames>
    <definedName name="_xlnm._FilterDatabase" localSheetId="0" hidden="1">base!$A$1:$P$383</definedName>
    <definedName name="_xlnm._FilterDatabase" localSheetId="6" hidden="1">'Cálculo Geral de Propriedades'!$A$1:$Y$314</definedName>
    <definedName name="_xlnm.Print_Area" localSheetId="8">'Valores Est. por Prop. ET.3e4'!$A$3:$H$163</definedName>
    <definedName name="_xlnm.Print_Area" localSheetId="7">'Valores Est. por Propriedade'!$A$1:$H$119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3" i="11" l="1"/>
  <c r="F174" i="11"/>
  <c r="F95" i="33" l="1"/>
  <c r="F123" i="33"/>
  <c r="F94" i="33"/>
  <c r="D114" i="33"/>
  <c r="F122" i="33"/>
  <c r="F93" i="33"/>
  <c r="D113" i="33"/>
  <c r="F121" i="33"/>
  <c r="F92" i="33"/>
  <c r="D112" i="33"/>
  <c r="F120" i="33"/>
  <c r="F91" i="33"/>
  <c r="D111" i="33"/>
  <c r="F119" i="33"/>
  <c r="F90" i="33"/>
  <c r="D110" i="33"/>
  <c r="F118" i="33"/>
  <c r="F89" i="33"/>
  <c r="D109" i="33"/>
  <c r="F117" i="33"/>
  <c r="F88" i="33"/>
  <c r="D108" i="33"/>
  <c r="F116" i="33"/>
  <c r="F87" i="33"/>
  <c r="D107" i="33"/>
  <c r="F115" i="33"/>
  <c r="F86" i="33"/>
  <c r="D106" i="33"/>
  <c r="F114" i="33"/>
  <c r="F85" i="33"/>
  <c r="D105" i="33"/>
  <c r="F113" i="33"/>
  <c r="F84" i="33"/>
  <c r="D104" i="33"/>
  <c r="F112" i="33"/>
  <c r="F83" i="33"/>
  <c r="D103" i="33"/>
  <c r="F111" i="33"/>
  <c r="F82" i="33"/>
  <c r="D102" i="33"/>
  <c r="F110" i="33"/>
  <c r="F81" i="33"/>
  <c r="D101" i="33"/>
  <c r="F109" i="33"/>
  <c r="F80" i="33"/>
  <c r="D100" i="33"/>
  <c r="F108" i="33"/>
  <c r="F79" i="33"/>
  <c r="D99" i="33"/>
  <c r="F107" i="33"/>
  <c r="F78" i="33"/>
  <c r="D98" i="33"/>
  <c r="F106" i="33"/>
  <c r="F77" i="33"/>
  <c r="D97" i="33"/>
  <c r="F105" i="33"/>
  <c r="F76" i="33"/>
  <c r="D96" i="33"/>
  <c r="F104" i="33"/>
  <c r="F75" i="33"/>
  <c r="D95" i="33"/>
  <c r="F103" i="33"/>
  <c r="D123" i="33"/>
  <c r="D94" i="33"/>
  <c r="F102" i="33"/>
  <c r="D122" i="33"/>
  <c r="D93" i="33"/>
  <c r="F101" i="33"/>
  <c r="D121" i="33"/>
  <c r="D92" i="33"/>
  <c r="F100" i="33"/>
  <c r="D120" i="33"/>
  <c r="D91" i="33"/>
  <c r="F99" i="33"/>
  <c r="D119" i="33"/>
  <c r="D90" i="33"/>
  <c r="F98" i="33"/>
  <c r="D118" i="33"/>
  <c r="D89" i="33"/>
  <c r="F97" i="33"/>
  <c r="D117" i="33"/>
  <c r="D88" i="33"/>
  <c r="F96" i="33"/>
  <c r="D116" i="33"/>
  <c r="D87" i="33"/>
  <c r="D115" i="33"/>
  <c r="D86" i="33"/>
  <c r="D85" i="33"/>
  <c r="B86" i="33"/>
  <c r="D55" i="33"/>
  <c r="D84" i="33"/>
  <c r="B85" i="33"/>
  <c r="D54" i="33"/>
  <c r="D83" i="33"/>
  <c r="B84" i="33"/>
  <c r="D53" i="33"/>
  <c r="D82" i="33"/>
  <c r="B83" i="33"/>
  <c r="D52" i="33"/>
  <c r="D81" i="33"/>
  <c r="B82" i="33"/>
  <c r="D51" i="33"/>
  <c r="D80" i="33"/>
  <c r="B81" i="33"/>
  <c r="D50" i="33"/>
  <c r="D79" i="33"/>
  <c r="B80" i="33"/>
  <c r="D49" i="33"/>
  <c r="D78" i="33"/>
  <c r="B79" i="33"/>
  <c r="D48" i="33"/>
  <c r="D77" i="33"/>
  <c r="B78" i="33"/>
  <c r="D47" i="33"/>
  <c r="D76" i="33"/>
  <c r="B77" i="33"/>
  <c r="D46" i="33"/>
  <c r="D75" i="33"/>
  <c r="B76" i="33"/>
  <c r="D45" i="33"/>
  <c r="B124" i="33"/>
  <c r="B75" i="33"/>
  <c r="D44" i="33"/>
  <c r="B123" i="33"/>
  <c r="F63" i="33"/>
  <c r="D43" i="33"/>
  <c r="B122" i="33"/>
  <c r="F62" i="33"/>
  <c r="D42" i="33"/>
  <c r="B121" i="33"/>
  <c r="F61" i="33"/>
  <c r="D41" i="33"/>
  <c r="B120" i="33"/>
  <c r="F60" i="33"/>
  <c r="D40" i="33"/>
  <c r="B119" i="33"/>
  <c r="F59" i="33"/>
  <c r="D39" i="33"/>
  <c r="B118" i="33"/>
  <c r="F58" i="33"/>
  <c r="D38" i="33"/>
  <c r="B117" i="33"/>
  <c r="F57" i="33"/>
  <c r="D37" i="33"/>
  <c r="B116" i="33"/>
  <c r="F56" i="33"/>
  <c r="D36" i="33"/>
  <c r="B115" i="33"/>
  <c r="F55" i="33"/>
  <c r="B64" i="33"/>
  <c r="B114" i="33"/>
  <c r="F54" i="33"/>
  <c r="B63" i="33"/>
  <c r="B113" i="33"/>
  <c r="F53" i="33"/>
  <c r="B62" i="33"/>
  <c r="B112" i="33"/>
  <c r="F52" i="33"/>
  <c r="B61" i="33"/>
  <c r="B111" i="33"/>
  <c r="F51" i="33"/>
  <c r="B60" i="33"/>
  <c r="B110" i="33"/>
  <c r="F50" i="33"/>
  <c r="B59" i="33"/>
  <c r="B109" i="33"/>
  <c r="F49" i="33"/>
  <c r="B58" i="33"/>
  <c r="B108" i="33"/>
  <c r="F48" i="33"/>
  <c r="B57" i="33"/>
  <c r="B107" i="33"/>
  <c r="F47" i="33"/>
  <c r="B56" i="33"/>
  <c r="B106" i="33"/>
  <c r="F46" i="33"/>
  <c r="B55" i="33"/>
  <c r="B105" i="33"/>
  <c r="F45" i="33"/>
  <c r="B54" i="33"/>
  <c r="B104" i="33"/>
  <c r="F44" i="33"/>
  <c r="B53" i="33"/>
  <c r="B103" i="33"/>
  <c r="F43" i="33"/>
  <c r="B52" i="33"/>
  <c r="B102" i="33"/>
  <c r="F42" i="33"/>
  <c r="B51" i="33"/>
  <c r="B101" i="33"/>
  <c r="F41" i="33"/>
  <c r="B50" i="33"/>
  <c r="B100" i="33"/>
  <c r="F40" i="33"/>
  <c r="B49" i="33"/>
  <c r="B99" i="33"/>
  <c r="F39" i="33"/>
  <c r="B48" i="33"/>
  <c r="B98" i="33"/>
  <c r="F38" i="33"/>
  <c r="B47" i="33"/>
  <c r="B97" i="33"/>
  <c r="F37" i="33"/>
  <c r="B46" i="33"/>
  <c r="B96" i="33"/>
  <c r="F36" i="33"/>
  <c r="B45" i="33"/>
  <c r="B95" i="33"/>
  <c r="D64" i="33"/>
  <c r="B44" i="33"/>
  <c r="B94" i="33"/>
  <c r="D63" i="33"/>
  <c r="B43" i="33"/>
  <c r="B93" i="33"/>
  <c r="D62" i="33"/>
  <c r="B42" i="33"/>
  <c r="B92" i="33"/>
  <c r="D61" i="33"/>
  <c r="B41" i="33"/>
  <c r="B91" i="33"/>
  <c r="D60" i="33"/>
  <c r="B40" i="33"/>
  <c r="B90" i="33"/>
  <c r="D59" i="33"/>
  <c r="B39" i="33"/>
  <c r="B89" i="33"/>
  <c r="D58" i="33"/>
  <c r="B38" i="33"/>
  <c r="B88" i="33"/>
  <c r="D57" i="33"/>
  <c r="B37" i="33"/>
  <c r="B87" i="33"/>
  <c r="D56" i="33"/>
  <c r="B36" i="33"/>
  <c r="F30" i="33"/>
  <c r="D19" i="33"/>
  <c r="B25" i="33"/>
  <c r="F29" i="33"/>
  <c r="B24" i="33"/>
  <c r="F28" i="33"/>
  <c r="B23" i="33"/>
  <c r="F27" i="33"/>
  <c r="B22" i="33"/>
  <c r="F26" i="33"/>
  <c r="B21" i="33"/>
  <c r="F25" i="33"/>
  <c r="F24" i="33"/>
  <c r="F23" i="33"/>
  <c r="F22" i="33"/>
  <c r="D18" i="33"/>
  <c r="F21" i="33"/>
  <c r="D17" i="33"/>
  <c r="F20" i="33"/>
  <c r="D16" i="33"/>
  <c r="F19" i="33"/>
  <c r="D15" i="33"/>
  <c r="F18" i="33"/>
  <c r="D14" i="33"/>
  <c r="F17" i="33"/>
  <c r="D13" i="33"/>
  <c r="F16" i="33"/>
  <c r="D12" i="33"/>
  <c r="F15" i="33"/>
  <c r="D11" i="33"/>
  <c r="B20" i="33"/>
  <c r="F14" i="33"/>
  <c r="D10" i="33"/>
  <c r="B19" i="33"/>
  <c r="F13" i="33"/>
  <c r="D9" i="33"/>
  <c r="B18" i="33"/>
  <c r="F12" i="33"/>
  <c r="B17" i="33"/>
  <c r="F11" i="33"/>
  <c r="B16" i="33"/>
  <c r="F10" i="33"/>
  <c r="B15" i="33"/>
  <c r="F9" i="33"/>
  <c r="B14" i="33"/>
  <c r="F8" i="33"/>
  <c r="B13" i="33"/>
  <c r="F7" i="33"/>
  <c r="B12" i="33"/>
  <c r="F6" i="33"/>
  <c r="B11" i="33"/>
  <c r="D31" i="33"/>
  <c r="B10" i="33"/>
  <c r="D30" i="33"/>
  <c r="B9" i="33"/>
  <c r="D29" i="33"/>
  <c r="B8" i="33"/>
  <c r="D28" i="33"/>
  <c r="D8" i="33"/>
  <c r="D27" i="33"/>
  <c r="D7" i="33"/>
  <c r="D26" i="33"/>
  <c r="D6" i="33"/>
  <c r="D25" i="33"/>
  <c r="B31" i="33"/>
  <c r="D24" i="33"/>
  <c r="B30" i="33"/>
  <c r="D23" i="33"/>
  <c r="B29" i="33"/>
  <c r="D22" i="33"/>
  <c r="B28" i="33"/>
  <c r="D21" i="33"/>
  <c r="B27" i="33"/>
  <c r="B7" i="33"/>
  <c r="D20" i="33"/>
  <c r="B26" i="33"/>
  <c r="B6" i="33"/>
  <c r="W284" i="11" l="1"/>
  <c r="W307" i="11"/>
  <c r="W300" i="11"/>
  <c r="W297" i="11"/>
  <c r="W295" i="11"/>
  <c r="W292" i="11"/>
  <c r="W289" i="11"/>
  <c r="W278" i="11"/>
  <c r="W273" i="11"/>
  <c r="W271" i="11"/>
  <c r="W268" i="11"/>
  <c r="W265" i="11"/>
  <c r="W256" i="11"/>
  <c r="W246" i="11"/>
  <c r="W233" i="11"/>
  <c r="W195" i="11"/>
  <c r="W126" i="11"/>
  <c r="W104" i="11"/>
  <c r="W25" i="11"/>
  <c r="W23" i="11"/>
  <c r="W4" i="11"/>
  <c r="E5" i="27"/>
  <c r="E8" i="27"/>
  <c r="E9" i="27"/>
  <c r="E12" i="27"/>
  <c r="E13" i="27"/>
  <c r="E16" i="27"/>
  <c r="E17" i="27"/>
  <c r="E20" i="27"/>
  <c r="E21" i="27"/>
  <c r="E24" i="27"/>
  <c r="E4" i="27"/>
  <c r="E6" i="27"/>
  <c r="E7" i="27"/>
  <c r="E10" i="27"/>
  <c r="E11" i="27"/>
  <c r="E14" i="27"/>
  <c r="E15" i="27"/>
  <c r="E18" i="27"/>
  <c r="E19" i="27"/>
  <c r="E22" i="27"/>
  <c r="E23" i="27"/>
  <c r="L3" i="26" l="1"/>
  <c r="F114" i="30"/>
  <c r="F115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70" i="30"/>
  <c r="F71" i="30"/>
  <c r="F72" i="30"/>
  <c r="F73" i="30"/>
  <c r="F74" i="30"/>
  <c r="F75" i="30"/>
  <c r="F76" i="30"/>
  <c r="F77" i="30"/>
  <c r="F78" i="30"/>
  <c r="F79" i="30"/>
  <c r="F80" i="30"/>
  <c r="F81" i="30"/>
  <c r="F82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104" i="30"/>
  <c r="F105" i="30"/>
  <c r="F106" i="30"/>
  <c r="F107" i="30"/>
  <c r="F108" i="30"/>
  <c r="F109" i="30"/>
  <c r="F110" i="30"/>
  <c r="F111" i="30"/>
  <c r="F112" i="30"/>
  <c r="F113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B4" i="30"/>
  <c r="T5" i="29"/>
  <c r="U5" i="29"/>
  <c r="T6" i="29"/>
  <c r="U6" i="29"/>
  <c r="T7" i="29"/>
  <c r="U7" i="29"/>
  <c r="T8" i="29"/>
  <c r="U8" i="29"/>
  <c r="T9" i="29"/>
  <c r="U9" i="29"/>
  <c r="T10" i="29"/>
  <c r="U10" i="29"/>
  <c r="T11" i="29"/>
  <c r="U11" i="29"/>
  <c r="T12" i="29"/>
  <c r="U12" i="29"/>
  <c r="T13" i="29"/>
  <c r="U13" i="29"/>
  <c r="T14" i="29"/>
  <c r="U14" i="29"/>
  <c r="T15" i="29"/>
  <c r="U15" i="29"/>
  <c r="T16" i="29"/>
  <c r="U16" i="29"/>
  <c r="T17" i="29"/>
  <c r="U17" i="29"/>
  <c r="T18" i="29"/>
  <c r="U18" i="29"/>
  <c r="T19" i="29"/>
  <c r="U19" i="29"/>
  <c r="T20" i="29"/>
  <c r="U20" i="29"/>
  <c r="T26" i="29"/>
  <c r="U26" i="29"/>
  <c r="T27" i="29"/>
  <c r="U27" i="29"/>
  <c r="T28" i="29"/>
  <c r="U28" i="29"/>
  <c r="T29" i="29"/>
  <c r="U29" i="29"/>
  <c r="T30" i="29"/>
  <c r="U30" i="29"/>
  <c r="T31" i="29"/>
  <c r="U31" i="29"/>
  <c r="T32" i="29"/>
  <c r="U32" i="29"/>
  <c r="T33" i="29"/>
  <c r="U33" i="29"/>
  <c r="T34" i="29"/>
  <c r="U34" i="29"/>
  <c r="T35" i="29"/>
  <c r="U35" i="29"/>
  <c r="T36" i="29"/>
  <c r="U36" i="29"/>
  <c r="T45" i="29"/>
  <c r="U45" i="29"/>
  <c r="T46" i="29"/>
  <c r="U46" i="29"/>
  <c r="T47" i="29"/>
  <c r="U47" i="29"/>
  <c r="T48" i="29"/>
  <c r="U48" i="29"/>
  <c r="T49" i="29"/>
  <c r="U49" i="29"/>
  <c r="T50" i="29"/>
  <c r="U50" i="29"/>
  <c r="T51" i="29"/>
  <c r="U51" i="29"/>
  <c r="T52" i="29"/>
  <c r="U52" i="29"/>
  <c r="T53" i="29"/>
  <c r="U53" i="29"/>
  <c r="T60" i="29"/>
  <c r="U60" i="29"/>
  <c r="T61" i="29"/>
  <c r="U61" i="29"/>
  <c r="T62" i="29"/>
  <c r="U62" i="29"/>
  <c r="T63" i="29"/>
  <c r="U63" i="29"/>
  <c r="T64" i="29"/>
  <c r="U64" i="29"/>
  <c r="T65" i="29"/>
  <c r="U65" i="29"/>
  <c r="T66" i="29"/>
  <c r="U66" i="29"/>
  <c r="P78" i="29"/>
  <c r="L5" i="29"/>
  <c r="M5" i="29"/>
  <c r="L6" i="29"/>
  <c r="M6" i="29"/>
  <c r="L7" i="29"/>
  <c r="M7" i="29"/>
  <c r="L8" i="29"/>
  <c r="M8" i="29"/>
  <c r="L9" i="29"/>
  <c r="M9" i="29"/>
  <c r="L10" i="29"/>
  <c r="M10" i="29"/>
  <c r="L11" i="29"/>
  <c r="M11" i="29"/>
  <c r="L12" i="29"/>
  <c r="M12" i="29"/>
  <c r="L13" i="29"/>
  <c r="M13" i="29"/>
  <c r="L14" i="29"/>
  <c r="M14" i="29"/>
  <c r="L15" i="29"/>
  <c r="M15" i="29"/>
  <c r="L16" i="29"/>
  <c r="M16" i="29"/>
  <c r="L17" i="29"/>
  <c r="M17" i="29"/>
  <c r="L18" i="29"/>
  <c r="M18" i="29"/>
  <c r="L19" i="29"/>
  <c r="M19" i="29"/>
  <c r="L26" i="29"/>
  <c r="M26" i="29"/>
  <c r="L27" i="29"/>
  <c r="M27" i="29"/>
  <c r="L28" i="29"/>
  <c r="M28" i="29"/>
  <c r="L29" i="29"/>
  <c r="M29" i="29"/>
  <c r="L30" i="29"/>
  <c r="M30" i="29"/>
  <c r="L31" i="29"/>
  <c r="M31" i="29"/>
  <c r="L32" i="29"/>
  <c r="M32" i="29"/>
  <c r="L33" i="29"/>
  <c r="M33" i="29"/>
  <c r="L34" i="29"/>
  <c r="M34" i="29"/>
  <c r="L45" i="29"/>
  <c r="M45" i="29"/>
  <c r="L46" i="29"/>
  <c r="M46" i="29"/>
  <c r="L47" i="29"/>
  <c r="M47" i="29"/>
  <c r="L48" i="29"/>
  <c r="M48" i="29"/>
  <c r="L49" i="29"/>
  <c r="M49" i="29"/>
  <c r="L50" i="29"/>
  <c r="M50" i="29"/>
  <c r="L51" i="29"/>
  <c r="M51" i="29"/>
  <c r="L52" i="29"/>
  <c r="M52" i="29"/>
  <c r="L53" i="29"/>
  <c r="M53" i="29"/>
  <c r="L61" i="29"/>
  <c r="M61" i="29"/>
  <c r="L62" i="29"/>
  <c r="M62" i="29"/>
  <c r="L63" i="29"/>
  <c r="M63" i="29"/>
  <c r="L64" i="29"/>
  <c r="M64" i="29"/>
  <c r="L65" i="29"/>
  <c r="M65" i="29"/>
  <c r="L66" i="29"/>
  <c r="M66" i="29"/>
  <c r="H78" i="29"/>
  <c r="B78" i="29"/>
  <c r="E66" i="29"/>
  <c r="E65" i="29"/>
  <c r="E64" i="29"/>
  <c r="E63" i="29"/>
  <c r="E62" i="29"/>
  <c r="E61" i="29"/>
  <c r="E60" i="29"/>
  <c r="E54" i="29"/>
  <c r="E53" i="29"/>
  <c r="E52" i="29"/>
  <c r="E51" i="29"/>
  <c r="E50" i="29"/>
  <c r="E49" i="29"/>
  <c r="E48" i="29"/>
  <c r="E47" i="29"/>
  <c r="E46" i="29"/>
  <c r="E45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T54" i="29" l="1"/>
  <c r="T21" i="29"/>
  <c r="U54" i="29"/>
  <c r="U37" i="29"/>
  <c r="U21" i="29"/>
  <c r="T37" i="29"/>
  <c r="M54" i="29"/>
  <c r="L67" i="29"/>
  <c r="M35" i="29"/>
  <c r="M20" i="29"/>
  <c r="L54" i="29"/>
  <c r="L35" i="29"/>
  <c r="M67" i="29"/>
  <c r="L20" i="29"/>
  <c r="E55" i="29"/>
  <c r="E40" i="29"/>
  <c r="E67" i="29"/>
  <c r="E20" i="29"/>
  <c r="U70" i="29" l="1"/>
  <c r="T70" i="29"/>
  <c r="M70" i="29"/>
  <c r="L70" i="29"/>
  <c r="E70" i="29"/>
  <c r="B79" i="29" s="1"/>
  <c r="T72" i="29" l="1"/>
  <c r="P79" i="29" s="1"/>
  <c r="L72" i="29"/>
  <c r="H79" i="29" s="1"/>
  <c r="A315" i="11" l="1"/>
  <c r="B315" i="11"/>
  <c r="L145" i="11"/>
  <c r="L144" i="11"/>
  <c r="L120" i="11"/>
  <c r="L98" i="11"/>
  <c r="L97" i="11"/>
  <c r="L91" i="11"/>
  <c r="L90" i="11"/>
  <c r="L89" i="11"/>
  <c r="L80" i="11"/>
  <c r="L60" i="11"/>
  <c r="L56" i="11"/>
  <c r="L50" i="11"/>
  <c r="L31" i="11"/>
  <c r="L30" i="11"/>
  <c r="L29" i="11"/>
  <c r="L28" i="11"/>
  <c r="L17" i="11"/>
  <c r="L16" i="11"/>
  <c r="L15" i="11"/>
  <c r="L14" i="11"/>
  <c r="L13" i="11"/>
  <c r="L11" i="11"/>
  <c r="L4" i="11"/>
  <c r="L3" i="11"/>
  <c r="L123" i="11"/>
  <c r="L122" i="11"/>
  <c r="L96" i="11"/>
  <c r="L57" i="11"/>
  <c r="L49" i="11"/>
  <c r="L41" i="11"/>
  <c r="L79" i="11"/>
  <c r="L77" i="11"/>
  <c r="L12" i="11"/>
  <c r="L121" i="11"/>
  <c r="L313" i="11"/>
  <c r="L309" i="11"/>
  <c r="L305" i="11"/>
  <c r="L302" i="11"/>
  <c r="L293" i="11"/>
  <c r="L290" i="11"/>
  <c r="L284" i="11"/>
  <c r="L270" i="11"/>
  <c r="L259" i="11"/>
  <c r="L250" i="11"/>
  <c r="L248" i="11"/>
  <c r="L245" i="11"/>
  <c r="L242" i="11"/>
  <c r="L241" i="11"/>
  <c r="L239" i="11"/>
  <c r="L238" i="11"/>
  <c r="L237" i="11"/>
  <c r="L236" i="11"/>
  <c r="L235" i="11"/>
  <c r="L234" i="11"/>
  <c r="L233" i="11"/>
  <c r="L232" i="11"/>
  <c r="L229" i="11"/>
  <c r="L228" i="11"/>
  <c r="L226" i="11"/>
  <c r="L224" i="11"/>
  <c r="L223" i="11"/>
  <c r="L222" i="11"/>
  <c r="L221" i="11"/>
  <c r="L219" i="11"/>
  <c r="L217" i="11"/>
  <c r="L216" i="11"/>
  <c r="L212" i="11"/>
  <c r="L210" i="11"/>
  <c r="L209" i="11"/>
  <c r="L205" i="11"/>
  <c r="L204" i="11"/>
  <c r="L203" i="11"/>
  <c r="L202" i="11"/>
  <c r="L200" i="11"/>
  <c r="L199" i="11"/>
  <c r="L198" i="11"/>
  <c r="L197" i="11"/>
  <c r="L194" i="11"/>
  <c r="L192" i="11"/>
  <c r="L191" i="11"/>
  <c r="L187" i="11"/>
  <c r="L186" i="11"/>
  <c r="L185" i="11"/>
  <c r="L184" i="11"/>
  <c r="L179" i="11"/>
  <c r="L178" i="11"/>
  <c r="L177" i="11"/>
  <c r="L175" i="11"/>
  <c r="L173" i="11"/>
  <c r="L169" i="11"/>
  <c r="L167" i="11"/>
  <c r="L166" i="11"/>
  <c r="L164" i="11"/>
  <c r="L162" i="11"/>
  <c r="L161" i="11"/>
  <c r="L160" i="11"/>
  <c r="L159" i="11"/>
  <c r="L158" i="11"/>
  <c r="L157" i="11"/>
  <c r="L154" i="11"/>
  <c r="L152" i="11"/>
  <c r="L151" i="11"/>
  <c r="L150" i="11"/>
  <c r="L146" i="11"/>
  <c r="L143" i="11"/>
  <c r="L141" i="11"/>
  <c r="L140" i="11"/>
  <c r="L135" i="11"/>
  <c r="L131" i="11"/>
  <c r="L129" i="11"/>
  <c r="L126" i="11"/>
  <c r="L119" i="11"/>
  <c r="L118" i="11"/>
  <c r="L113" i="11"/>
  <c r="L111" i="11"/>
  <c r="L106" i="11"/>
  <c r="L105" i="11"/>
  <c r="L102" i="11"/>
  <c r="L100" i="11"/>
  <c r="L95" i="11"/>
  <c r="L94" i="11"/>
  <c r="L88" i="11"/>
  <c r="L87" i="11"/>
  <c r="L86" i="11"/>
  <c r="L85" i="11"/>
  <c r="L81" i="11"/>
  <c r="L78" i="11"/>
  <c r="L73" i="11"/>
  <c r="L72" i="11"/>
  <c r="L71" i="11"/>
  <c r="L70" i="11"/>
  <c r="L69" i="11"/>
  <c r="L68" i="11"/>
  <c r="L67" i="11"/>
  <c r="L66" i="11"/>
  <c r="L64" i="11"/>
  <c r="L63" i="11"/>
  <c r="L62" i="11"/>
  <c r="L61" i="11"/>
  <c r="L53" i="11"/>
  <c r="L51" i="11"/>
  <c r="L47" i="11"/>
  <c r="L45" i="11"/>
  <c r="L43" i="11"/>
  <c r="L42" i="11"/>
  <c r="L40" i="11"/>
  <c r="L38" i="11"/>
  <c r="L37" i="11"/>
  <c r="L36" i="11"/>
  <c r="L34" i="11"/>
  <c r="L27" i="11"/>
  <c r="L26" i="11"/>
  <c r="L25" i="11"/>
  <c r="L24" i="11"/>
  <c r="L23" i="11"/>
  <c r="L20" i="11"/>
  <c r="L18" i="11"/>
  <c r="L8" i="11"/>
  <c r="L7" i="11"/>
  <c r="L6" i="11"/>
  <c r="L5" i="11"/>
  <c r="L310" i="11"/>
  <c r="L308" i="11"/>
  <c r="L306" i="11"/>
  <c r="L294" i="11"/>
  <c r="L288" i="11"/>
  <c r="L182" i="11"/>
  <c r="L181" i="11"/>
  <c r="L180" i="11"/>
  <c r="L171" i="11"/>
  <c r="L170" i="11"/>
  <c r="L168" i="11"/>
  <c r="L139" i="11"/>
  <c r="L138" i="11"/>
  <c r="L137" i="11"/>
  <c r="L136" i="11"/>
  <c r="L101" i="11"/>
  <c r="L65" i="11"/>
  <c r="L54" i="11"/>
  <c r="L48" i="11"/>
  <c r="L10" i="11"/>
  <c r="L312" i="11"/>
  <c r="L304" i="11"/>
  <c r="L303" i="11"/>
  <c r="L301" i="11"/>
  <c r="L299" i="11"/>
  <c r="L296" i="11"/>
  <c r="L295" i="11"/>
  <c r="L285" i="11"/>
  <c r="L283" i="11"/>
  <c r="L282" i="11"/>
  <c r="L280" i="11"/>
  <c r="L278" i="11"/>
  <c r="L277" i="11"/>
  <c r="L276" i="11"/>
  <c r="L275" i="11"/>
  <c r="L274" i="11"/>
  <c r="L272" i="11"/>
  <c r="L269" i="11"/>
  <c r="L267" i="11"/>
  <c r="L265" i="11"/>
  <c r="L262" i="11"/>
  <c r="L260" i="11"/>
  <c r="L257" i="11"/>
  <c r="L255" i="11"/>
  <c r="L254" i="11"/>
  <c r="L253" i="11"/>
  <c r="L252" i="11"/>
  <c r="L251" i="11"/>
  <c r="L247" i="11"/>
  <c r="L244" i="11"/>
  <c r="L243" i="11"/>
  <c r="L240" i="11"/>
  <c r="L231" i="11"/>
  <c r="L230" i="11"/>
  <c r="L227" i="11"/>
  <c r="L225" i="11"/>
  <c r="L220" i="11"/>
  <c r="L218" i="11"/>
  <c r="L208" i="11"/>
  <c r="L207" i="11"/>
  <c r="L196" i="11"/>
  <c r="L195" i="11"/>
  <c r="L189" i="11"/>
  <c r="L188" i="11"/>
  <c r="L176" i="11"/>
  <c r="L165" i="11"/>
  <c r="L163" i="11"/>
  <c r="L156" i="11"/>
  <c r="L155" i="11"/>
  <c r="L149" i="11"/>
  <c r="L132" i="11"/>
  <c r="L130" i="11"/>
  <c r="L128" i="11"/>
  <c r="L127" i="11"/>
  <c r="L117" i="11"/>
  <c r="L116" i="11"/>
  <c r="L110" i="11"/>
  <c r="L109" i="11"/>
  <c r="L84" i="11"/>
  <c r="L83" i="11"/>
  <c r="L82" i="11"/>
  <c r="L75" i="11"/>
  <c r="L59" i="11"/>
  <c r="L58" i="11"/>
  <c r="L55" i="11"/>
  <c r="L52" i="11"/>
  <c r="L46" i="11"/>
  <c r="L39" i="11"/>
  <c r="L35" i="11"/>
  <c r="L33" i="11"/>
  <c r="L22" i="11"/>
  <c r="L21" i="11"/>
  <c r="L19" i="11"/>
  <c r="L297" i="11"/>
  <c r="L292" i="11"/>
  <c r="L311" i="11"/>
  <c r="L307" i="11"/>
  <c r="L300" i="11"/>
  <c r="L298" i="11"/>
  <c r="L291" i="11"/>
  <c r="L289" i="11"/>
  <c r="L287" i="11"/>
  <c r="L286" i="11"/>
  <c r="L281" i="11"/>
  <c r="L279" i="11"/>
  <c r="L273" i="11"/>
  <c r="L271" i="11"/>
  <c r="L268" i="11"/>
  <c r="L266" i="11"/>
  <c r="L264" i="11"/>
  <c r="L263" i="11"/>
  <c r="L261" i="11"/>
  <c r="L258" i="11"/>
  <c r="L256" i="11"/>
  <c r="L249" i="11"/>
  <c r="L246" i="11"/>
  <c r="L215" i="11"/>
  <c r="L214" i="11"/>
  <c r="L213" i="11"/>
  <c r="L211" i="11"/>
  <c r="L206" i="11"/>
  <c r="L201" i="11"/>
  <c r="L193" i="11"/>
  <c r="L190" i="11"/>
  <c r="L183" i="11"/>
  <c r="L174" i="11"/>
  <c r="L172" i="11"/>
  <c r="L153" i="11"/>
  <c r="L148" i="11"/>
  <c r="L147" i="11"/>
  <c r="L142" i="11"/>
  <c r="L134" i="11"/>
  <c r="L133" i="11"/>
  <c r="L125" i="11"/>
  <c r="L124" i="11"/>
  <c r="L115" i="11"/>
  <c r="L114" i="11"/>
  <c r="L112" i="11"/>
  <c r="L108" i="11"/>
  <c r="L107" i="11"/>
  <c r="L104" i="11"/>
  <c r="L103" i="11"/>
  <c r="L93" i="11"/>
  <c r="L92" i="11"/>
  <c r="L76" i="11"/>
  <c r="L74" i="11"/>
  <c r="L44" i="11"/>
  <c r="L32" i="11"/>
  <c r="L9" i="11"/>
  <c r="L99" i="11"/>
  <c r="K313" i="11"/>
  <c r="K309" i="11"/>
  <c r="K305" i="11"/>
  <c r="K302" i="11"/>
  <c r="K293" i="11"/>
  <c r="K290" i="11"/>
  <c r="K284" i="11"/>
  <c r="K270" i="11"/>
  <c r="K259" i="11"/>
  <c r="K250" i="11"/>
  <c r="K248" i="11"/>
  <c r="K245" i="11"/>
  <c r="K242" i="11"/>
  <c r="K241" i="11"/>
  <c r="K239" i="11"/>
  <c r="K238" i="11"/>
  <c r="K237" i="11"/>
  <c r="K236" i="11"/>
  <c r="K235" i="11"/>
  <c r="K234" i="11"/>
  <c r="K233" i="11"/>
  <c r="K232" i="11"/>
  <c r="K229" i="11"/>
  <c r="K228" i="11"/>
  <c r="K226" i="11"/>
  <c r="K224" i="11"/>
  <c r="K223" i="11"/>
  <c r="K222" i="11"/>
  <c r="K221" i="11"/>
  <c r="K219" i="11"/>
  <c r="K217" i="11"/>
  <c r="K216" i="11"/>
  <c r="K212" i="11"/>
  <c r="K210" i="11"/>
  <c r="K209" i="11"/>
  <c r="K205" i="11"/>
  <c r="K204" i="11"/>
  <c r="K203" i="11"/>
  <c r="K202" i="11"/>
  <c r="K200" i="11"/>
  <c r="K199" i="11"/>
  <c r="K198" i="11"/>
  <c r="K197" i="11"/>
  <c r="K194" i="11"/>
  <c r="K192" i="11"/>
  <c r="K191" i="11"/>
  <c r="K187" i="11"/>
  <c r="K186" i="11"/>
  <c r="K185" i="11"/>
  <c r="K184" i="11"/>
  <c r="K179" i="11"/>
  <c r="K178" i="11"/>
  <c r="K177" i="11"/>
  <c r="K175" i="11"/>
  <c r="K173" i="11"/>
  <c r="K169" i="11"/>
  <c r="K167" i="11"/>
  <c r="K166" i="11"/>
  <c r="K164" i="11"/>
  <c r="K162" i="11"/>
  <c r="K161" i="11"/>
  <c r="K160" i="11"/>
  <c r="K159" i="11"/>
  <c r="K158" i="11"/>
  <c r="K157" i="11"/>
  <c r="K154" i="11"/>
  <c r="K152" i="11"/>
  <c r="K151" i="11"/>
  <c r="K150" i="11"/>
  <c r="K146" i="11"/>
  <c r="K145" i="11"/>
  <c r="K144" i="11"/>
  <c r="K143" i="11"/>
  <c r="K141" i="11"/>
  <c r="K140" i="11"/>
  <c r="K135" i="11"/>
  <c r="K131" i="11"/>
  <c r="K129" i="11"/>
  <c r="K126" i="11"/>
  <c r="K120" i="11"/>
  <c r="K119" i="11"/>
  <c r="K118" i="11"/>
  <c r="K113" i="11"/>
  <c r="K111" i="11"/>
  <c r="K106" i="11"/>
  <c r="K105" i="11"/>
  <c r="K102" i="11"/>
  <c r="K100" i="11"/>
  <c r="K98" i="11"/>
  <c r="K97" i="11"/>
  <c r="K95" i="11"/>
  <c r="K94" i="11"/>
  <c r="K91" i="11"/>
  <c r="K90" i="11"/>
  <c r="K89" i="11"/>
  <c r="K88" i="11"/>
  <c r="K87" i="11"/>
  <c r="K86" i="11"/>
  <c r="K85" i="11"/>
  <c r="K81" i="11"/>
  <c r="K80" i="11"/>
  <c r="K78" i="11"/>
  <c r="K73" i="11"/>
  <c r="K72" i="11"/>
  <c r="K71" i="11"/>
  <c r="K70" i="11"/>
  <c r="K69" i="11"/>
  <c r="K68" i="11"/>
  <c r="K67" i="11"/>
  <c r="K66" i="11"/>
  <c r="K64" i="11"/>
  <c r="K63" i="11"/>
  <c r="K62" i="11"/>
  <c r="K61" i="11"/>
  <c r="K60" i="11"/>
  <c r="K56" i="11"/>
  <c r="K53" i="11"/>
  <c r="K51" i="11"/>
  <c r="K50" i="11"/>
  <c r="K47" i="11"/>
  <c r="K45" i="11"/>
  <c r="K43" i="11"/>
  <c r="K42" i="11"/>
  <c r="K40" i="11"/>
  <c r="K38" i="11"/>
  <c r="K37" i="11"/>
  <c r="K36" i="11"/>
  <c r="K34" i="11"/>
  <c r="K31" i="11"/>
  <c r="K30" i="11"/>
  <c r="K29" i="11"/>
  <c r="K28" i="11"/>
  <c r="K27" i="11"/>
  <c r="K26" i="11"/>
  <c r="K25" i="11"/>
  <c r="K24" i="11"/>
  <c r="K23" i="11"/>
  <c r="K20" i="11"/>
  <c r="K18" i="11"/>
  <c r="K17" i="11"/>
  <c r="K16" i="11"/>
  <c r="K15" i="11"/>
  <c r="K14" i="11"/>
  <c r="K13" i="11"/>
  <c r="K11" i="11"/>
  <c r="K8" i="11"/>
  <c r="K7" i="11"/>
  <c r="K6" i="11"/>
  <c r="K5" i="11"/>
  <c r="K4" i="11"/>
  <c r="K3" i="11"/>
  <c r="K312" i="11"/>
  <c r="K304" i="11"/>
  <c r="K303" i="11"/>
  <c r="K301" i="11"/>
  <c r="K299" i="11"/>
  <c r="K296" i="11"/>
  <c r="K295" i="11"/>
  <c r="K285" i="11"/>
  <c r="K283" i="11"/>
  <c r="K282" i="11"/>
  <c r="K280" i="11"/>
  <c r="K278" i="11"/>
  <c r="K277" i="11"/>
  <c r="K276" i="11"/>
  <c r="K275" i="11"/>
  <c r="K274" i="11"/>
  <c r="K272" i="11"/>
  <c r="K269" i="11"/>
  <c r="K267" i="11"/>
  <c r="K265" i="11"/>
  <c r="K262" i="11"/>
  <c r="K260" i="11"/>
  <c r="K257" i="11"/>
  <c r="K255" i="11"/>
  <c r="K254" i="11"/>
  <c r="K253" i="11"/>
  <c r="K252" i="11"/>
  <c r="K251" i="11"/>
  <c r="K247" i="11"/>
  <c r="K244" i="11"/>
  <c r="K243" i="11"/>
  <c r="K240" i="11"/>
  <c r="K231" i="11"/>
  <c r="K230" i="11"/>
  <c r="K227" i="11"/>
  <c r="K225" i="11"/>
  <c r="K220" i="11"/>
  <c r="K218" i="11"/>
  <c r="K208" i="11"/>
  <c r="K207" i="11"/>
  <c r="K196" i="11"/>
  <c r="K195" i="11"/>
  <c r="K189" i="11"/>
  <c r="K188" i="11"/>
  <c r="K176" i="11"/>
  <c r="K165" i="11"/>
  <c r="K163" i="11"/>
  <c r="K156" i="11"/>
  <c r="K155" i="11"/>
  <c r="K149" i="11"/>
  <c r="K132" i="11"/>
  <c r="K130" i="11"/>
  <c r="K128" i="11"/>
  <c r="K127" i="11"/>
  <c r="K117" i="11"/>
  <c r="K116" i="11"/>
  <c r="K110" i="11"/>
  <c r="K109" i="11"/>
  <c r="K84" i="11"/>
  <c r="K83" i="11"/>
  <c r="K82" i="11"/>
  <c r="K79" i="11"/>
  <c r="K77" i="11"/>
  <c r="K75" i="11"/>
  <c r="K59" i="11"/>
  <c r="K58" i="11"/>
  <c r="K55" i="11"/>
  <c r="K52" i="11"/>
  <c r="K46" i="11"/>
  <c r="K39" i="11"/>
  <c r="K35" i="11"/>
  <c r="K33" i="11"/>
  <c r="K22" i="11"/>
  <c r="K21" i="11"/>
  <c r="K19" i="11"/>
  <c r="K12" i="11"/>
  <c r="K297" i="11"/>
  <c r="K292" i="11"/>
  <c r="K311" i="11"/>
  <c r="K307" i="11"/>
  <c r="K300" i="11"/>
  <c r="K298" i="11"/>
  <c r="K291" i="11"/>
  <c r="K289" i="11"/>
  <c r="K287" i="11"/>
  <c r="K286" i="11"/>
  <c r="K281" i="11"/>
  <c r="K279" i="11"/>
  <c r="K273" i="11"/>
  <c r="K271" i="11"/>
  <c r="K268" i="11"/>
  <c r="K266" i="11"/>
  <c r="K264" i="11"/>
  <c r="K263" i="11"/>
  <c r="K261" i="11"/>
  <c r="K258" i="11"/>
  <c r="K256" i="11"/>
  <c r="K249" i="11"/>
  <c r="K246" i="11"/>
  <c r="K215" i="11"/>
  <c r="K214" i="11"/>
  <c r="K213" i="11"/>
  <c r="K211" i="11"/>
  <c r="K206" i="11"/>
  <c r="K201" i="11"/>
  <c r="K193" i="11"/>
  <c r="K190" i="11"/>
  <c r="K183" i="11"/>
  <c r="K174" i="11"/>
  <c r="K172" i="11"/>
  <c r="K153" i="11"/>
  <c r="K148" i="11"/>
  <c r="K147" i="11"/>
  <c r="K142" i="11"/>
  <c r="K134" i="11"/>
  <c r="K133" i="11"/>
  <c r="K125" i="11"/>
  <c r="K124" i="11"/>
  <c r="K121" i="11"/>
  <c r="K115" i="11"/>
  <c r="K114" i="11"/>
  <c r="K112" i="11"/>
  <c r="K108" i="11"/>
  <c r="K107" i="11"/>
  <c r="K104" i="11"/>
  <c r="K103" i="11"/>
  <c r="K93" i="11"/>
  <c r="K92" i="11"/>
  <c r="K76" i="11"/>
  <c r="K74" i="11"/>
  <c r="K44" i="11"/>
  <c r="K32" i="11"/>
  <c r="K9" i="11"/>
  <c r="K99" i="11"/>
  <c r="K310" i="11"/>
  <c r="K308" i="11"/>
  <c r="K306" i="11"/>
  <c r="K294" i="11"/>
  <c r="K288" i="11"/>
  <c r="K182" i="11"/>
  <c r="K181" i="11"/>
  <c r="K180" i="11"/>
  <c r="K171" i="11"/>
  <c r="K170" i="11"/>
  <c r="K168" i="11"/>
  <c r="K139" i="11"/>
  <c r="K138" i="11"/>
  <c r="K137" i="11"/>
  <c r="K136" i="11"/>
  <c r="K123" i="11"/>
  <c r="K122" i="11"/>
  <c r="K101" i="11"/>
  <c r="K96" i="11"/>
  <c r="K65" i="11"/>
  <c r="K57" i="11"/>
  <c r="K54" i="11"/>
  <c r="K49" i="11"/>
  <c r="K48" i="11"/>
  <c r="K41" i="11"/>
  <c r="K10" i="11"/>
  <c r="H3" i="11" l="1"/>
  <c r="I3" i="11"/>
  <c r="H4" i="11"/>
  <c r="I4" i="11"/>
  <c r="M4" i="11"/>
  <c r="N4" i="11" s="1"/>
  <c r="X4" i="11" s="1"/>
  <c r="H5" i="11"/>
  <c r="I5" i="11"/>
  <c r="M5" i="11"/>
  <c r="N5" i="11" s="1"/>
  <c r="X5" i="11" s="1"/>
  <c r="H6" i="11"/>
  <c r="I6" i="11"/>
  <c r="M6" i="11"/>
  <c r="N6" i="11" s="1"/>
  <c r="X6" i="11" s="1"/>
  <c r="H7" i="11"/>
  <c r="I7" i="11"/>
  <c r="M7" i="11"/>
  <c r="N7" i="11" s="1"/>
  <c r="X7" i="11" s="1"/>
  <c r="H8" i="11"/>
  <c r="I8" i="11"/>
  <c r="H11" i="11"/>
  <c r="I11" i="11"/>
  <c r="M11" i="11"/>
  <c r="N11" i="11" s="1"/>
  <c r="X11" i="11" s="1"/>
  <c r="H13" i="11"/>
  <c r="I13" i="11"/>
  <c r="M13" i="11"/>
  <c r="N13" i="11" s="1"/>
  <c r="X13" i="11" s="1"/>
  <c r="H14" i="11"/>
  <c r="I14" i="11"/>
  <c r="M14" i="11"/>
  <c r="N14" i="11" s="1"/>
  <c r="X14" i="11" s="1"/>
  <c r="H15" i="11"/>
  <c r="I15" i="11"/>
  <c r="M15" i="11"/>
  <c r="N15" i="11" s="1"/>
  <c r="X15" i="11" s="1"/>
  <c r="H16" i="11"/>
  <c r="I16" i="11"/>
  <c r="M16" i="11"/>
  <c r="N16" i="11" s="1"/>
  <c r="X16" i="11" s="1"/>
  <c r="H17" i="11"/>
  <c r="I17" i="11"/>
  <c r="M17" i="11"/>
  <c r="N17" i="11" s="1"/>
  <c r="X17" i="11" s="1"/>
  <c r="H18" i="11"/>
  <c r="I18" i="11"/>
  <c r="M18" i="11"/>
  <c r="N18" i="11" s="1"/>
  <c r="X18" i="11" s="1"/>
  <c r="H20" i="11"/>
  <c r="I20" i="11"/>
  <c r="M20" i="11"/>
  <c r="N20" i="11" s="1"/>
  <c r="X20" i="11" s="1"/>
  <c r="H23" i="11"/>
  <c r="I23" i="11"/>
  <c r="M23" i="11"/>
  <c r="N23" i="11" s="1"/>
  <c r="X23" i="11" s="1"/>
  <c r="H24" i="11"/>
  <c r="I24" i="11"/>
  <c r="M24" i="11"/>
  <c r="N24" i="11" s="1"/>
  <c r="X24" i="11" s="1"/>
  <c r="H25" i="11"/>
  <c r="I25" i="11"/>
  <c r="M25" i="11"/>
  <c r="N25" i="11" s="1"/>
  <c r="X25" i="11" s="1"/>
  <c r="H26" i="11"/>
  <c r="I26" i="11"/>
  <c r="M26" i="11"/>
  <c r="N26" i="11" s="1"/>
  <c r="X26" i="11" s="1"/>
  <c r="H27" i="11"/>
  <c r="I27" i="11"/>
  <c r="H28" i="11"/>
  <c r="I28" i="11"/>
  <c r="M28" i="11"/>
  <c r="N28" i="11" s="1"/>
  <c r="X28" i="11" s="1"/>
  <c r="H29" i="11"/>
  <c r="I29" i="11"/>
  <c r="M29" i="11"/>
  <c r="N29" i="11" s="1"/>
  <c r="X29" i="11" s="1"/>
  <c r="H30" i="11"/>
  <c r="I30" i="11"/>
  <c r="M30" i="11"/>
  <c r="N30" i="11" s="1"/>
  <c r="X30" i="11" s="1"/>
  <c r="H31" i="11"/>
  <c r="I31" i="11"/>
  <c r="H34" i="11"/>
  <c r="I34" i="11"/>
  <c r="M34" i="11"/>
  <c r="N34" i="11" s="1"/>
  <c r="X34" i="11" s="1"/>
  <c r="H36" i="11"/>
  <c r="I36" i="11"/>
  <c r="M36" i="11"/>
  <c r="N36" i="11" s="1"/>
  <c r="X36" i="11" s="1"/>
  <c r="H37" i="11"/>
  <c r="I37" i="11"/>
  <c r="M37" i="11"/>
  <c r="N37" i="11" s="1"/>
  <c r="X37" i="11" s="1"/>
  <c r="H38" i="11"/>
  <c r="I38" i="11"/>
  <c r="H40" i="11"/>
  <c r="I40" i="11"/>
  <c r="M40" i="11"/>
  <c r="N40" i="11" s="1"/>
  <c r="X40" i="11" s="1"/>
  <c r="H42" i="11"/>
  <c r="I42" i="11"/>
  <c r="M42" i="11"/>
  <c r="N42" i="11" s="1"/>
  <c r="X42" i="11" s="1"/>
  <c r="H43" i="11"/>
  <c r="I43" i="11"/>
  <c r="M43" i="11"/>
  <c r="N43" i="11" s="1"/>
  <c r="X43" i="11" s="1"/>
  <c r="H45" i="11"/>
  <c r="I45" i="11"/>
  <c r="H47" i="11"/>
  <c r="I47" i="11"/>
  <c r="M47" i="11"/>
  <c r="N47" i="11" s="1"/>
  <c r="X47" i="11" s="1"/>
  <c r="H50" i="11"/>
  <c r="I50" i="11"/>
  <c r="M50" i="11"/>
  <c r="N50" i="11" s="1"/>
  <c r="X50" i="11" s="1"/>
  <c r="H51" i="11"/>
  <c r="I51" i="11"/>
  <c r="M51" i="11"/>
  <c r="N51" i="11" s="1"/>
  <c r="X51" i="11" s="1"/>
  <c r="H53" i="11"/>
  <c r="I53" i="11"/>
  <c r="M53" i="11"/>
  <c r="N53" i="11" s="1"/>
  <c r="X53" i="11" s="1"/>
  <c r="H56" i="11"/>
  <c r="I56" i="11"/>
  <c r="M56" i="11"/>
  <c r="N56" i="11" s="1"/>
  <c r="X56" i="11" s="1"/>
  <c r="H60" i="11"/>
  <c r="I60" i="11"/>
  <c r="M60" i="11"/>
  <c r="N60" i="11" s="1"/>
  <c r="X60" i="11" s="1"/>
  <c r="H61" i="11"/>
  <c r="I61" i="11"/>
  <c r="M61" i="11"/>
  <c r="N61" i="11" s="1"/>
  <c r="X61" i="11" s="1"/>
  <c r="H62" i="11"/>
  <c r="I62" i="11"/>
  <c r="M62" i="11"/>
  <c r="N62" i="11" s="1"/>
  <c r="X62" i="11" s="1"/>
  <c r="H63" i="11"/>
  <c r="I63" i="11"/>
  <c r="M63" i="11"/>
  <c r="N63" i="11" s="1"/>
  <c r="X63" i="11" s="1"/>
  <c r="H64" i="11"/>
  <c r="I64" i="11"/>
  <c r="M64" i="11"/>
  <c r="N64" i="11" s="1"/>
  <c r="X64" i="11" s="1"/>
  <c r="H66" i="11"/>
  <c r="I66" i="11"/>
  <c r="M66" i="11"/>
  <c r="N66" i="11" s="1"/>
  <c r="X66" i="11" s="1"/>
  <c r="H67" i="11"/>
  <c r="I67" i="11"/>
  <c r="M67" i="11"/>
  <c r="N67" i="11" s="1"/>
  <c r="X67" i="11" s="1"/>
  <c r="H68" i="11"/>
  <c r="I68" i="11"/>
  <c r="M68" i="11"/>
  <c r="N68" i="11" s="1"/>
  <c r="X68" i="11" s="1"/>
  <c r="H69" i="11"/>
  <c r="I69" i="11"/>
  <c r="M69" i="11"/>
  <c r="N69" i="11" s="1"/>
  <c r="X69" i="11" s="1"/>
  <c r="H70" i="11"/>
  <c r="I70" i="11"/>
  <c r="M70" i="11"/>
  <c r="N70" i="11" s="1"/>
  <c r="X70" i="11" s="1"/>
  <c r="H71" i="11"/>
  <c r="I71" i="11"/>
  <c r="M71" i="11"/>
  <c r="N71" i="11" s="1"/>
  <c r="X71" i="11" s="1"/>
  <c r="H72" i="11"/>
  <c r="I72" i="11"/>
  <c r="M72" i="11"/>
  <c r="N72" i="11" s="1"/>
  <c r="X72" i="11" s="1"/>
  <c r="H73" i="11"/>
  <c r="I73" i="11"/>
  <c r="M73" i="11"/>
  <c r="N73" i="11" s="1"/>
  <c r="X73" i="11" s="1"/>
  <c r="H78" i="11"/>
  <c r="I78" i="11"/>
  <c r="M78" i="11"/>
  <c r="N78" i="11" s="1"/>
  <c r="X78" i="11" s="1"/>
  <c r="H80" i="11"/>
  <c r="I80" i="11"/>
  <c r="H81" i="11"/>
  <c r="I81" i="11"/>
  <c r="M81" i="11"/>
  <c r="N81" i="11" s="1"/>
  <c r="X81" i="11" s="1"/>
  <c r="H85" i="11"/>
  <c r="I85" i="11"/>
  <c r="M85" i="11"/>
  <c r="N85" i="11" s="1"/>
  <c r="X85" i="11" s="1"/>
  <c r="H86" i="11"/>
  <c r="I86" i="11"/>
  <c r="M86" i="11"/>
  <c r="N86" i="11" s="1"/>
  <c r="X86" i="11" s="1"/>
  <c r="H87" i="11"/>
  <c r="I87" i="11"/>
  <c r="H88" i="11"/>
  <c r="I88" i="11"/>
  <c r="M88" i="11"/>
  <c r="N88" i="11" s="1"/>
  <c r="X88" i="11" s="1"/>
  <c r="H89" i="11"/>
  <c r="I89" i="11"/>
  <c r="M89" i="11"/>
  <c r="N89" i="11" s="1"/>
  <c r="X89" i="11" s="1"/>
  <c r="H90" i="11"/>
  <c r="I90" i="11"/>
  <c r="M90" i="11"/>
  <c r="N90" i="11" s="1"/>
  <c r="X90" i="11" s="1"/>
  <c r="H91" i="11"/>
  <c r="I91" i="11"/>
  <c r="H94" i="11"/>
  <c r="I94" i="11"/>
  <c r="M94" i="11"/>
  <c r="N94" i="11" s="1"/>
  <c r="X94" i="11" s="1"/>
  <c r="H95" i="11"/>
  <c r="I95" i="11"/>
  <c r="M95" i="11"/>
  <c r="N95" i="11" s="1"/>
  <c r="X95" i="11" s="1"/>
  <c r="H97" i="11"/>
  <c r="I97" i="11"/>
  <c r="M97" i="11"/>
  <c r="N97" i="11" s="1"/>
  <c r="X97" i="11" s="1"/>
  <c r="H98" i="11"/>
  <c r="I98" i="11"/>
  <c r="H100" i="11"/>
  <c r="I100" i="11"/>
  <c r="M100" i="11"/>
  <c r="N100" i="11" s="1"/>
  <c r="X100" i="11" s="1"/>
  <c r="H102" i="11"/>
  <c r="I102" i="11"/>
  <c r="M102" i="11"/>
  <c r="N102" i="11" s="1"/>
  <c r="X102" i="11" s="1"/>
  <c r="H105" i="11"/>
  <c r="I105" i="11"/>
  <c r="M105" i="11"/>
  <c r="N105" i="11" s="1"/>
  <c r="X105" i="11" s="1"/>
  <c r="H106" i="11"/>
  <c r="I106" i="11"/>
  <c r="H111" i="11"/>
  <c r="I111" i="11"/>
  <c r="M111" i="11"/>
  <c r="N111" i="11" s="1"/>
  <c r="X111" i="11" s="1"/>
  <c r="H113" i="11"/>
  <c r="I113" i="11"/>
  <c r="H118" i="11"/>
  <c r="I118" i="11"/>
  <c r="M118" i="11"/>
  <c r="N118" i="11" s="1"/>
  <c r="X118" i="11" s="1"/>
  <c r="H119" i="11"/>
  <c r="I119" i="11"/>
  <c r="H120" i="11"/>
  <c r="I120" i="11"/>
  <c r="M120" i="11"/>
  <c r="N120" i="11" s="1"/>
  <c r="X120" i="11" s="1"/>
  <c r="H126" i="11"/>
  <c r="I126" i="11"/>
  <c r="M126" i="11"/>
  <c r="N126" i="11" s="1"/>
  <c r="X126" i="11" s="1"/>
  <c r="H129" i="11"/>
  <c r="I129" i="11"/>
  <c r="H131" i="11"/>
  <c r="I131" i="11"/>
  <c r="H135" i="11"/>
  <c r="I135" i="11"/>
  <c r="M135" i="11"/>
  <c r="N135" i="11" s="1"/>
  <c r="X135" i="11" s="1"/>
  <c r="H140" i="11"/>
  <c r="I140" i="11"/>
  <c r="M140" i="11"/>
  <c r="N140" i="11" s="1"/>
  <c r="X140" i="11" s="1"/>
  <c r="H141" i="11"/>
  <c r="I141" i="11"/>
  <c r="M141" i="11"/>
  <c r="N141" i="11" s="1"/>
  <c r="X141" i="11" s="1"/>
  <c r="H143" i="11"/>
  <c r="I143" i="11"/>
  <c r="H144" i="11"/>
  <c r="I144" i="11"/>
  <c r="M144" i="11"/>
  <c r="N144" i="11" s="1"/>
  <c r="X144" i="11" s="1"/>
  <c r="H145" i="11"/>
  <c r="I145" i="11"/>
  <c r="M145" i="11"/>
  <c r="N145" i="11" s="1"/>
  <c r="X145" i="11" s="1"/>
  <c r="H146" i="11"/>
  <c r="I146" i="11"/>
  <c r="M146" i="11"/>
  <c r="N146" i="11" s="1"/>
  <c r="X146" i="11" s="1"/>
  <c r="H150" i="11"/>
  <c r="I150" i="11"/>
  <c r="M150" i="11"/>
  <c r="N150" i="11" s="1"/>
  <c r="X150" i="11" s="1"/>
  <c r="H151" i="11"/>
  <c r="I151" i="11"/>
  <c r="M151" i="11"/>
  <c r="N151" i="11" s="1"/>
  <c r="X151" i="11" s="1"/>
  <c r="H152" i="11"/>
  <c r="I152" i="11"/>
  <c r="H154" i="11"/>
  <c r="I154" i="11"/>
  <c r="H157" i="11"/>
  <c r="I157" i="11"/>
  <c r="M157" i="11"/>
  <c r="N157" i="11" s="1"/>
  <c r="X157" i="11" s="1"/>
  <c r="H158" i="11"/>
  <c r="I158" i="11"/>
  <c r="M158" i="11"/>
  <c r="N158" i="11" s="1"/>
  <c r="X158" i="11" s="1"/>
  <c r="H159" i="11"/>
  <c r="I159" i="11"/>
  <c r="M159" i="11"/>
  <c r="N159" i="11" s="1"/>
  <c r="X159" i="11" s="1"/>
  <c r="H160" i="11"/>
  <c r="I160" i="11"/>
  <c r="M160" i="11"/>
  <c r="N160" i="11" s="1"/>
  <c r="X160" i="11" s="1"/>
  <c r="H161" i="11"/>
  <c r="I161" i="11"/>
  <c r="M161" i="11"/>
  <c r="N161" i="11" s="1"/>
  <c r="X161" i="11" s="1"/>
  <c r="H162" i="11"/>
  <c r="I162" i="11"/>
  <c r="M162" i="11"/>
  <c r="N162" i="11" s="1"/>
  <c r="X162" i="11" s="1"/>
  <c r="H164" i="11"/>
  <c r="I164" i="11"/>
  <c r="H166" i="11"/>
  <c r="I166" i="11"/>
  <c r="H167" i="11"/>
  <c r="I167" i="11"/>
  <c r="M167" i="11"/>
  <c r="N167" i="11" s="1"/>
  <c r="X167" i="11" s="1"/>
  <c r="H169" i="11"/>
  <c r="I169" i="11"/>
  <c r="M169" i="11"/>
  <c r="N169" i="11" s="1"/>
  <c r="X169" i="11" s="1"/>
  <c r="H173" i="11"/>
  <c r="I173" i="11"/>
  <c r="M173" i="11"/>
  <c r="N173" i="11" s="1"/>
  <c r="X173" i="11" s="1"/>
  <c r="H175" i="11"/>
  <c r="I175" i="11"/>
  <c r="M175" i="11"/>
  <c r="N175" i="11" s="1"/>
  <c r="X175" i="11" s="1"/>
  <c r="H177" i="11"/>
  <c r="I177" i="11"/>
  <c r="M177" i="11"/>
  <c r="N177" i="11" s="1"/>
  <c r="X177" i="11" s="1"/>
  <c r="H178" i="11"/>
  <c r="I178" i="11"/>
  <c r="M178" i="11"/>
  <c r="N178" i="11" s="1"/>
  <c r="X178" i="11" s="1"/>
  <c r="H179" i="11"/>
  <c r="I179" i="11"/>
  <c r="H184" i="11"/>
  <c r="I184" i="11"/>
  <c r="H185" i="11"/>
  <c r="I185" i="11"/>
  <c r="M185" i="11"/>
  <c r="N185" i="11" s="1"/>
  <c r="X185" i="11" s="1"/>
  <c r="H186" i="11"/>
  <c r="I186" i="11"/>
  <c r="M186" i="11"/>
  <c r="N186" i="11" s="1"/>
  <c r="X186" i="11" s="1"/>
  <c r="H187" i="11"/>
  <c r="I187" i="11"/>
  <c r="M187" i="11"/>
  <c r="N187" i="11" s="1"/>
  <c r="X187" i="11" s="1"/>
  <c r="H191" i="11"/>
  <c r="I191" i="11"/>
  <c r="M191" i="11"/>
  <c r="N191" i="11" s="1"/>
  <c r="X191" i="11" s="1"/>
  <c r="H192" i="11"/>
  <c r="I192" i="11"/>
  <c r="M192" i="11"/>
  <c r="N192" i="11" s="1"/>
  <c r="X192" i="11" s="1"/>
  <c r="H194" i="11"/>
  <c r="I194" i="11"/>
  <c r="M194" i="11"/>
  <c r="N194" i="11" s="1"/>
  <c r="X194" i="11" s="1"/>
  <c r="H197" i="11"/>
  <c r="I197" i="11"/>
  <c r="H198" i="11"/>
  <c r="I198" i="11"/>
  <c r="H199" i="11"/>
  <c r="I199" i="11"/>
  <c r="M199" i="11"/>
  <c r="N199" i="11" s="1"/>
  <c r="X199" i="11" s="1"/>
  <c r="H200" i="11"/>
  <c r="I200" i="11"/>
  <c r="M200" i="11"/>
  <c r="N200" i="11" s="1"/>
  <c r="X200" i="11" s="1"/>
  <c r="H202" i="11"/>
  <c r="I202" i="11"/>
  <c r="M202" i="11"/>
  <c r="N202" i="11" s="1"/>
  <c r="X202" i="11" s="1"/>
  <c r="H203" i="11"/>
  <c r="I203" i="11"/>
  <c r="M203" i="11"/>
  <c r="N203" i="11" s="1"/>
  <c r="X203" i="11" s="1"/>
  <c r="H204" i="11"/>
  <c r="I204" i="11"/>
  <c r="M204" i="11"/>
  <c r="N204" i="11" s="1"/>
  <c r="X204" i="11" s="1"/>
  <c r="H205" i="11"/>
  <c r="I205" i="11"/>
  <c r="M205" i="11"/>
  <c r="N205" i="11" s="1"/>
  <c r="X205" i="11" s="1"/>
  <c r="H209" i="11"/>
  <c r="I209" i="11"/>
  <c r="H210" i="11"/>
  <c r="I210" i="11"/>
  <c r="H212" i="11"/>
  <c r="I212" i="11"/>
  <c r="M212" i="11"/>
  <c r="N212" i="11" s="1"/>
  <c r="X212" i="11" s="1"/>
  <c r="H216" i="11"/>
  <c r="I216" i="11"/>
  <c r="M216" i="11"/>
  <c r="N216" i="11" s="1"/>
  <c r="X216" i="11" s="1"/>
  <c r="H217" i="11"/>
  <c r="I217" i="11"/>
  <c r="M217" i="11"/>
  <c r="N217" i="11" s="1"/>
  <c r="X217" i="11" s="1"/>
  <c r="H219" i="11"/>
  <c r="I219" i="11"/>
  <c r="M219" i="11"/>
  <c r="N219" i="11" s="1"/>
  <c r="X219" i="11" s="1"/>
  <c r="H221" i="11"/>
  <c r="I221" i="11"/>
  <c r="M221" i="11"/>
  <c r="N221" i="11" s="1"/>
  <c r="X221" i="11" s="1"/>
  <c r="H222" i="11"/>
  <c r="I222" i="11"/>
  <c r="M222" i="11"/>
  <c r="N222" i="11" s="1"/>
  <c r="X222" i="11" s="1"/>
  <c r="H223" i="11"/>
  <c r="I223" i="11"/>
  <c r="H224" i="11"/>
  <c r="I224" i="11"/>
  <c r="H226" i="11"/>
  <c r="I226" i="11"/>
  <c r="M226" i="11"/>
  <c r="N226" i="11" s="1"/>
  <c r="X226" i="11" s="1"/>
  <c r="H228" i="11"/>
  <c r="I228" i="11"/>
  <c r="M228" i="11"/>
  <c r="N228" i="11" s="1"/>
  <c r="X228" i="11" s="1"/>
  <c r="H229" i="11"/>
  <c r="I229" i="11"/>
  <c r="M229" i="11"/>
  <c r="N229" i="11" s="1"/>
  <c r="X229" i="11" s="1"/>
  <c r="H232" i="11"/>
  <c r="I232" i="11"/>
  <c r="M232" i="11"/>
  <c r="N232" i="11" s="1"/>
  <c r="X232" i="11" s="1"/>
  <c r="H233" i="11"/>
  <c r="I233" i="11"/>
  <c r="M233" i="11"/>
  <c r="N233" i="11" s="1"/>
  <c r="X233" i="11" s="1"/>
  <c r="H234" i="11"/>
  <c r="I234" i="11"/>
  <c r="M234" i="11"/>
  <c r="N234" i="11" s="1"/>
  <c r="X234" i="11" s="1"/>
  <c r="H235" i="11"/>
  <c r="I235" i="11"/>
  <c r="H236" i="11"/>
  <c r="I236" i="11"/>
  <c r="H237" i="11"/>
  <c r="I237" i="11"/>
  <c r="M237" i="11"/>
  <c r="N237" i="11" s="1"/>
  <c r="X237" i="11" s="1"/>
  <c r="H238" i="11"/>
  <c r="I238" i="11"/>
  <c r="M238" i="11"/>
  <c r="N238" i="11" s="1"/>
  <c r="X238" i="11" s="1"/>
  <c r="H239" i="11"/>
  <c r="I239" i="11"/>
  <c r="M239" i="11"/>
  <c r="N239" i="11" s="1"/>
  <c r="X239" i="11" s="1"/>
  <c r="H241" i="11"/>
  <c r="I241" i="11"/>
  <c r="M241" i="11"/>
  <c r="N241" i="11" s="1"/>
  <c r="X241" i="11" s="1"/>
  <c r="H242" i="11"/>
  <c r="I242" i="11"/>
  <c r="M242" i="11"/>
  <c r="N242" i="11" s="1"/>
  <c r="X242" i="11" s="1"/>
  <c r="H245" i="11"/>
  <c r="I245" i="11"/>
  <c r="M245" i="11"/>
  <c r="N245" i="11" s="1"/>
  <c r="X245" i="11" s="1"/>
  <c r="H248" i="11"/>
  <c r="I248" i="11"/>
  <c r="H250" i="11"/>
  <c r="I250" i="11"/>
  <c r="H259" i="11"/>
  <c r="I259" i="11"/>
  <c r="M259" i="11"/>
  <c r="N259" i="11" s="1"/>
  <c r="X259" i="11" s="1"/>
  <c r="H270" i="11"/>
  <c r="I270" i="11"/>
  <c r="M270" i="11"/>
  <c r="N270" i="11" s="1"/>
  <c r="X270" i="11" s="1"/>
  <c r="H284" i="11"/>
  <c r="I284" i="11"/>
  <c r="M284" i="11"/>
  <c r="N284" i="11" s="1"/>
  <c r="X284" i="11" s="1"/>
  <c r="H290" i="11"/>
  <c r="I290" i="11"/>
  <c r="M290" i="11"/>
  <c r="N290" i="11" s="1"/>
  <c r="X290" i="11" s="1"/>
  <c r="H293" i="11"/>
  <c r="I293" i="11"/>
  <c r="M293" i="11"/>
  <c r="N293" i="11" s="1"/>
  <c r="X293" i="11" s="1"/>
  <c r="H302" i="11"/>
  <c r="I302" i="11"/>
  <c r="M302" i="11"/>
  <c r="N302" i="11" s="1"/>
  <c r="X302" i="11" s="1"/>
  <c r="H305" i="11"/>
  <c r="I305" i="11"/>
  <c r="H309" i="11"/>
  <c r="I309" i="11"/>
  <c r="H313" i="11"/>
  <c r="I313" i="11"/>
  <c r="M313" i="11"/>
  <c r="N313" i="11" s="1"/>
  <c r="X313" i="11" s="1"/>
  <c r="H10" i="11"/>
  <c r="I10" i="11"/>
  <c r="M10" i="11"/>
  <c r="N10" i="11" s="1"/>
  <c r="X10" i="11" s="1"/>
  <c r="H41" i="11"/>
  <c r="I41" i="11"/>
  <c r="M41" i="11"/>
  <c r="N41" i="11" s="1"/>
  <c r="X41" i="11" s="1"/>
  <c r="H48" i="11"/>
  <c r="I48" i="11"/>
  <c r="M48" i="11"/>
  <c r="N48" i="11" s="1"/>
  <c r="X48" i="11" s="1"/>
  <c r="E25" i="33" s="1"/>
  <c r="H49" i="11"/>
  <c r="I49" i="11"/>
  <c r="M49" i="11"/>
  <c r="N49" i="11" s="1"/>
  <c r="X49" i="11" s="1"/>
  <c r="H54" i="11"/>
  <c r="I54" i="11"/>
  <c r="H57" i="11"/>
  <c r="I57" i="11"/>
  <c r="H65" i="11"/>
  <c r="I65" i="11"/>
  <c r="H96" i="11"/>
  <c r="I96" i="11"/>
  <c r="H101" i="11"/>
  <c r="I101" i="11"/>
  <c r="H122" i="11"/>
  <c r="I122" i="11"/>
  <c r="H123" i="11"/>
  <c r="I123" i="11"/>
  <c r="H136" i="11"/>
  <c r="I136" i="11"/>
  <c r="H137" i="11"/>
  <c r="I137" i="11"/>
  <c r="H138" i="11"/>
  <c r="I138" i="11"/>
  <c r="H139" i="11"/>
  <c r="I139" i="11"/>
  <c r="H168" i="11"/>
  <c r="I168" i="11"/>
  <c r="H170" i="11"/>
  <c r="I170" i="11"/>
  <c r="H171" i="11"/>
  <c r="I171" i="11"/>
  <c r="H180" i="11"/>
  <c r="I180" i="11"/>
  <c r="H181" i="11"/>
  <c r="I181" i="11"/>
  <c r="H182" i="11"/>
  <c r="I182" i="11"/>
  <c r="H288" i="11"/>
  <c r="I288" i="11"/>
  <c r="H294" i="11"/>
  <c r="I294" i="11"/>
  <c r="H306" i="11"/>
  <c r="I306" i="11"/>
  <c r="H308" i="11"/>
  <c r="I308" i="11"/>
  <c r="H310" i="11"/>
  <c r="I310" i="11"/>
  <c r="H12" i="11"/>
  <c r="I12" i="11"/>
  <c r="H19" i="11"/>
  <c r="I19" i="11"/>
  <c r="H21" i="11"/>
  <c r="I21" i="11"/>
  <c r="H22" i="11"/>
  <c r="I22" i="11"/>
  <c r="H33" i="11"/>
  <c r="I33" i="11"/>
  <c r="H35" i="11"/>
  <c r="I35" i="11"/>
  <c r="M35" i="11"/>
  <c r="N35" i="11" s="1"/>
  <c r="X35" i="11" s="1"/>
  <c r="H39" i="11"/>
  <c r="I39" i="11"/>
  <c r="H46" i="11"/>
  <c r="I46" i="11"/>
  <c r="H52" i="11"/>
  <c r="I52" i="11"/>
  <c r="H55" i="11"/>
  <c r="I55" i="11"/>
  <c r="M55" i="11"/>
  <c r="N55" i="11" s="1"/>
  <c r="X55" i="11" s="1"/>
  <c r="H58" i="11"/>
  <c r="I58" i="11"/>
  <c r="M58" i="11"/>
  <c r="N58" i="11" s="1"/>
  <c r="X58" i="11" s="1"/>
  <c r="H59" i="11"/>
  <c r="I59" i="11"/>
  <c r="H75" i="11"/>
  <c r="I75" i="11"/>
  <c r="M75" i="11"/>
  <c r="N75" i="11" s="1"/>
  <c r="X75" i="11" s="1"/>
  <c r="H77" i="11"/>
  <c r="I77" i="11"/>
  <c r="H79" i="11"/>
  <c r="I79" i="11"/>
  <c r="H82" i="11"/>
  <c r="I82" i="11"/>
  <c r="H83" i="11"/>
  <c r="I83" i="11"/>
  <c r="H84" i="11"/>
  <c r="I84" i="11"/>
  <c r="H109" i="11"/>
  <c r="I109" i="11"/>
  <c r="H110" i="11"/>
  <c r="I110" i="11"/>
  <c r="H116" i="11"/>
  <c r="I116" i="11"/>
  <c r="H117" i="11"/>
  <c r="I117" i="11"/>
  <c r="H127" i="11"/>
  <c r="I127" i="11"/>
  <c r="H128" i="11"/>
  <c r="I128" i="11"/>
  <c r="H130" i="11"/>
  <c r="I130" i="11"/>
  <c r="M130" i="11"/>
  <c r="N130" i="11" s="1"/>
  <c r="X130" i="11" s="1"/>
  <c r="H132" i="11"/>
  <c r="I132" i="11"/>
  <c r="M132" i="11"/>
  <c r="N132" i="11" s="1"/>
  <c r="X132" i="11" s="1"/>
  <c r="H149" i="11"/>
  <c r="I149" i="11"/>
  <c r="H155" i="11"/>
  <c r="I155" i="11"/>
  <c r="H156" i="11"/>
  <c r="I156" i="11"/>
  <c r="M156" i="11"/>
  <c r="N156" i="11" s="1"/>
  <c r="X156" i="11" s="1"/>
  <c r="H163" i="11"/>
  <c r="I163" i="11"/>
  <c r="H165" i="11"/>
  <c r="I165" i="11"/>
  <c r="H176" i="11"/>
  <c r="I176" i="11"/>
  <c r="H188" i="11"/>
  <c r="I188" i="11"/>
  <c r="H189" i="11"/>
  <c r="I189" i="11"/>
  <c r="M189" i="11"/>
  <c r="N189" i="11" s="1"/>
  <c r="X189" i="11" s="1"/>
  <c r="H195" i="11"/>
  <c r="I195" i="11"/>
  <c r="H196" i="11"/>
  <c r="I196" i="11"/>
  <c r="H207" i="11"/>
  <c r="I207" i="11"/>
  <c r="H208" i="11"/>
  <c r="I208" i="11"/>
  <c r="M208" i="11"/>
  <c r="N208" i="11" s="1"/>
  <c r="X208" i="11" s="1"/>
  <c r="H218" i="11"/>
  <c r="I218" i="11"/>
  <c r="M218" i="11"/>
  <c r="N218" i="11" s="1"/>
  <c r="X218" i="11" s="1"/>
  <c r="H220" i="11"/>
  <c r="I220" i="11"/>
  <c r="H225" i="11"/>
  <c r="I225" i="11"/>
  <c r="H227" i="11"/>
  <c r="I227" i="11"/>
  <c r="H230" i="11"/>
  <c r="I230" i="11"/>
  <c r="H231" i="11"/>
  <c r="I231" i="11"/>
  <c r="H240" i="11"/>
  <c r="I240" i="11"/>
  <c r="H243" i="11"/>
  <c r="I243" i="11"/>
  <c r="H244" i="11"/>
  <c r="I244" i="11"/>
  <c r="H247" i="11"/>
  <c r="I247" i="11"/>
  <c r="H251" i="11"/>
  <c r="I251" i="11"/>
  <c r="H252" i="11"/>
  <c r="I252" i="11"/>
  <c r="H253" i="11"/>
  <c r="I253" i="11"/>
  <c r="H254" i="11"/>
  <c r="I254" i="11"/>
  <c r="H255" i="11"/>
  <c r="I255" i="11"/>
  <c r="H257" i="11"/>
  <c r="I257" i="11"/>
  <c r="H260" i="11"/>
  <c r="I260" i="11"/>
  <c r="H262" i="11"/>
  <c r="I262" i="11"/>
  <c r="M262" i="11"/>
  <c r="N262" i="11" s="1"/>
  <c r="X262" i="11" s="1"/>
  <c r="H265" i="11"/>
  <c r="I265" i="11"/>
  <c r="H267" i="11"/>
  <c r="I267" i="11"/>
  <c r="H269" i="11"/>
  <c r="I269" i="11"/>
  <c r="H272" i="11"/>
  <c r="I272" i="11"/>
  <c r="H274" i="11"/>
  <c r="I274" i="11"/>
  <c r="H275" i="11"/>
  <c r="I275" i="11"/>
  <c r="H276" i="11"/>
  <c r="I276" i="11"/>
  <c r="H277" i="11"/>
  <c r="I277" i="11"/>
  <c r="H278" i="11"/>
  <c r="I278" i="11"/>
  <c r="H280" i="11"/>
  <c r="I280" i="11"/>
  <c r="H282" i="11"/>
  <c r="I282" i="11"/>
  <c r="H283" i="11"/>
  <c r="I283" i="11"/>
  <c r="M283" i="11"/>
  <c r="N283" i="11" s="1"/>
  <c r="X283" i="11" s="1"/>
  <c r="H285" i="11"/>
  <c r="I285" i="11"/>
  <c r="M285" i="11"/>
  <c r="N285" i="11" s="1"/>
  <c r="X285" i="11" s="1"/>
  <c r="H295" i="11"/>
  <c r="I295" i="11"/>
  <c r="H296" i="11"/>
  <c r="I296" i="11"/>
  <c r="H299" i="11"/>
  <c r="I299" i="11"/>
  <c r="M299" i="11"/>
  <c r="N299" i="11" s="1"/>
  <c r="X299" i="11" s="1"/>
  <c r="H301" i="11"/>
  <c r="I301" i="11"/>
  <c r="H303" i="11"/>
  <c r="I303" i="11"/>
  <c r="M303" i="11"/>
  <c r="N303" i="11" s="1"/>
  <c r="X303" i="11" s="1"/>
  <c r="H304" i="11"/>
  <c r="I304" i="11"/>
  <c r="H312" i="11"/>
  <c r="I312" i="11"/>
  <c r="H292" i="11"/>
  <c r="I292" i="11"/>
  <c r="T292" i="11"/>
  <c r="U292" i="11" s="1"/>
  <c r="H297" i="11"/>
  <c r="I297" i="11"/>
  <c r="T297" i="11"/>
  <c r="U297" i="11" s="1"/>
  <c r="H9" i="11"/>
  <c r="I9" i="11"/>
  <c r="T9" i="11"/>
  <c r="U9" i="11" s="1"/>
  <c r="H32" i="11"/>
  <c r="I32" i="11"/>
  <c r="T32" i="11"/>
  <c r="U32" i="11" s="1"/>
  <c r="H44" i="11"/>
  <c r="I44" i="11"/>
  <c r="T44" i="11"/>
  <c r="U44" i="11" s="1"/>
  <c r="H74" i="11"/>
  <c r="I74" i="11"/>
  <c r="T74" i="11"/>
  <c r="U74" i="11" s="1"/>
  <c r="H76" i="11"/>
  <c r="I76" i="11"/>
  <c r="T76" i="11"/>
  <c r="U76" i="11" s="1"/>
  <c r="H92" i="11"/>
  <c r="I92" i="11"/>
  <c r="T92" i="11"/>
  <c r="U92" i="11" s="1"/>
  <c r="H93" i="11"/>
  <c r="I93" i="11"/>
  <c r="T93" i="11"/>
  <c r="U93" i="11" s="1"/>
  <c r="H103" i="11"/>
  <c r="I103" i="11"/>
  <c r="T103" i="11"/>
  <c r="U103" i="11" s="1"/>
  <c r="H104" i="11"/>
  <c r="I104" i="11"/>
  <c r="T104" i="11"/>
  <c r="U104" i="11" s="1"/>
  <c r="H107" i="11"/>
  <c r="I107" i="11"/>
  <c r="T107" i="11"/>
  <c r="U107" i="11" s="1"/>
  <c r="H108" i="11"/>
  <c r="I108" i="11"/>
  <c r="T108" i="11"/>
  <c r="U108" i="11" s="1"/>
  <c r="H112" i="11"/>
  <c r="I112" i="11"/>
  <c r="T112" i="11"/>
  <c r="U112" i="11" s="1"/>
  <c r="H114" i="11"/>
  <c r="I114" i="11"/>
  <c r="T114" i="11"/>
  <c r="U114" i="11" s="1"/>
  <c r="H115" i="11"/>
  <c r="I115" i="11"/>
  <c r="T115" i="11"/>
  <c r="U115" i="11" s="1"/>
  <c r="H121" i="11"/>
  <c r="I121" i="11"/>
  <c r="T121" i="11"/>
  <c r="U121" i="11" s="1"/>
  <c r="H124" i="11"/>
  <c r="I124" i="11"/>
  <c r="T124" i="11"/>
  <c r="U124" i="11" s="1"/>
  <c r="H125" i="11"/>
  <c r="I125" i="11"/>
  <c r="T125" i="11"/>
  <c r="U125" i="11" s="1"/>
  <c r="H133" i="11"/>
  <c r="I133" i="11"/>
  <c r="T133" i="11"/>
  <c r="U133" i="11" s="1"/>
  <c r="H134" i="11"/>
  <c r="I134" i="11"/>
  <c r="T134" i="11"/>
  <c r="U134" i="11" s="1"/>
  <c r="H142" i="11"/>
  <c r="I142" i="11"/>
  <c r="T142" i="11"/>
  <c r="U142" i="11" s="1"/>
  <c r="H147" i="11"/>
  <c r="I147" i="11"/>
  <c r="T147" i="11"/>
  <c r="U147" i="11" s="1"/>
  <c r="H148" i="11"/>
  <c r="I148" i="11"/>
  <c r="T148" i="11"/>
  <c r="U148" i="11" s="1"/>
  <c r="H153" i="11"/>
  <c r="I153" i="11"/>
  <c r="T153" i="11"/>
  <c r="U153" i="11" s="1"/>
  <c r="H172" i="11"/>
  <c r="I172" i="11"/>
  <c r="T172" i="11"/>
  <c r="U172" i="11" s="1"/>
  <c r="I174" i="11"/>
  <c r="T174" i="11"/>
  <c r="U174" i="11" s="1"/>
  <c r="H183" i="11"/>
  <c r="I183" i="11"/>
  <c r="T183" i="11"/>
  <c r="U183" i="11" s="1"/>
  <c r="H190" i="11"/>
  <c r="I190" i="11"/>
  <c r="T190" i="11"/>
  <c r="U190" i="11" s="1"/>
  <c r="H193" i="11"/>
  <c r="I193" i="11"/>
  <c r="T193" i="11"/>
  <c r="H201" i="11"/>
  <c r="I201" i="11"/>
  <c r="T201" i="11"/>
  <c r="U201" i="11" s="1"/>
  <c r="H206" i="11"/>
  <c r="I206" i="11"/>
  <c r="T206" i="11"/>
  <c r="U206" i="11" s="1"/>
  <c r="H211" i="11"/>
  <c r="I211" i="11"/>
  <c r="T211" i="11"/>
  <c r="U211" i="11" s="1"/>
  <c r="H213" i="11"/>
  <c r="I213" i="11"/>
  <c r="T213" i="11"/>
  <c r="U213" i="11" s="1"/>
  <c r="H214" i="11"/>
  <c r="I214" i="11"/>
  <c r="T214" i="11"/>
  <c r="U214" i="11" s="1"/>
  <c r="H215" i="11"/>
  <c r="I215" i="11"/>
  <c r="T215" i="11"/>
  <c r="U215" i="11" s="1"/>
  <c r="H246" i="11"/>
  <c r="I246" i="11"/>
  <c r="T246" i="11"/>
  <c r="U246" i="11" s="1"/>
  <c r="H249" i="11"/>
  <c r="I249" i="11"/>
  <c r="T249" i="11"/>
  <c r="U249" i="11" s="1"/>
  <c r="H256" i="11"/>
  <c r="I256" i="11"/>
  <c r="T256" i="11"/>
  <c r="U256" i="11" s="1"/>
  <c r="H258" i="11"/>
  <c r="I258" i="11"/>
  <c r="T258" i="11"/>
  <c r="U258" i="11" s="1"/>
  <c r="H261" i="11"/>
  <c r="I261" i="11"/>
  <c r="T261" i="11"/>
  <c r="H263" i="11"/>
  <c r="I263" i="11"/>
  <c r="T263" i="11"/>
  <c r="U263" i="11" s="1"/>
  <c r="H264" i="11"/>
  <c r="I264" i="11"/>
  <c r="T264" i="11"/>
  <c r="U264" i="11" s="1"/>
  <c r="H266" i="11"/>
  <c r="I266" i="11"/>
  <c r="T266" i="11"/>
  <c r="U266" i="11" s="1"/>
  <c r="H268" i="11"/>
  <c r="I268" i="11"/>
  <c r="M268" i="11"/>
  <c r="N268" i="11" s="1"/>
  <c r="T268" i="11"/>
  <c r="U268" i="11" s="1"/>
  <c r="H271" i="11"/>
  <c r="I271" i="11"/>
  <c r="T271" i="11"/>
  <c r="U271" i="11" s="1"/>
  <c r="H273" i="11"/>
  <c r="I273" i="11"/>
  <c r="T273" i="11"/>
  <c r="H279" i="11"/>
  <c r="I279" i="11"/>
  <c r="T279" i="11"/>
  <c r="U279" i="11" s="1"/>
  <c r="H281" i="11"/>
  <c r="I281" i="11"/>
  <c r="M281" i="11"/>
  <c r="N281" i="11" s="1"/>
  <c r="T281" i="11"/>
  <c r="U281" i="11" s="1"/>
  <c r="H286" i="11"/>
  <c r="I286" i="11"/>
  <c r="T286" i="11"/>
  <c r="H287" i="11"/>
  <c r="I287" i="11"/>
  <c r="M287" i="11"/>
  <c r="N287" i="11" s="1"/>
  <c r="T287" i="11"/>
  <c r="U287" i="11" s="1"/>
  <c r="H289" i="11"/>
  <c r="I289" i="11"/>
  <c r="T289" i="11"/>
  <c r="U289" i="11" s="1"/>
  <c r="H291" i="11"/>
  <c r="I291" i="11"/>
  <c r="T291" i="11"/>
  <c r="U291" i="11" s="1"/>
  <c r="H298" i="11"/>
  <c r="I298" i="11"/>
  <c r="T298" i="11"/>
  <c r="U298" i="11" s="1"/>
  <c r="H300" i="11"/>
  <c r="I300" i="11"/>
  <c r="T300" i="11"/>
  <c r="H307" i="11"/>
  <c r="I307" i="11"/>
  <c r="Q307" i="11"/>
  <c r="H311" i="11"/>
  <c r="I311" i="11"/>
  <c r="T311" i="11"/>
  <c r="U311" i="11" s="1"/>
  <c r="G101" i="30" l="1"/>
  <c r="G109" i="33"/>
  <c r="E37" i="30"/>
  <c r="E59" i="33"/>
  <c r="G24" i="30"/>
  <c r="G26" i="33"/>
  <c r="G4" i="30"/>
  <c r="G6" i="33"/>
  <c r="E16" i="30"/>
  <c r="E18" i="33"/>
  <c r="G92" i="30"/>
  <c r="G100" i="33"/>
  <c r="C105" i="30"/>
  <c r="E104" i="33"/>
  <c r="C98" i="30"/>
  <c r="E97" i="33"/>
  <c r="C92" i="30"/>
  <c r="E91" i="33"/>
  <c r="G78" i="30"/>
  <c r="E81" i="33"/>
  <c r="G72" i="30"/>
  <c r="E75" i="33"/>
  <c r="G59" i="30"/>
  <c r="C112" i="33"/>
  <c r="G50" i="30"/>
  <c r="C103" i="33"/>
  <c r="G42" i="30"/>
  <c r="C95" i="33"/>
  <c r="E80" i="30"/>
  <c r="C84" i="33"/>
  <c r="E67" i="30"/>
  <c r="G60" i="33"/>
  <c r="E63" i="30"/>
  <c r="G56" i="33"/>
  <c r="E51" i="30"/>
  <c r="G44" i="33"/>
  <c r="C80" i="30"/>
  <c r="E53" i="33"/>
  <c r="C72" i="30"/>
  <c r="E45" i="33"/>
  <c r="C54" i="30"/>
  <c r="C56" i="33"/>
  <c r="C49" i="30"/>
  <c r="C51" i="33"/>
  <c r="C44" i="30"/>
  <c r="C46" i="33"/>
  <c r="G21" i="30"/>
  <c r="G23" i="33"/>
  <c r="G17" i="30"/>
  <c r="G19" i="33"/>
  <c r="G12" i="30"/>
  <c r="G14" i="33"/>
  <c r="G5" i="30"/>
  <c r="G7" i="33"/>
  <c r="E22" i="30"/>
  <c r="E24" i="33"/>
  <c r="E17" i="30"/>
  <c r="E19" i="33"/>
  <c r="E9" i="30"/>
  <c r="E11" i="33"/>
  <c r="C29" i="30"/>
  <c r="C31" i="33"/>
  <c r="C26" i="30"/>
  <c r="C28" i="33"/>
  <c r="C19" i="30"/>
  <c r="C21" i="33"/>
  <c r="C18" i="30"/>
  <c r="C20" i="33"/>
  <c r="C14" i="30"/>
  <c r="C16" i="33"/>
  <c r="C8" i="30"/>
  <c r="C10" i="33"/>
  <c r="G64" i="30"/>
  <c r="C117" i="33"/>
  <c r="E61" i="30"/>
  <c r="G54" i="33"/>
  <c r="G7" i="30"/>
  <c r="G9" i="33"/>
  <c r="G95" i="30"/>
  <c r="G103" i="33"/>
  <c r="E90" i="30"/>
  <c r="E118" i="33"/>
  <c r="C99" i="30"/>
  <c r="E98" i="33"/>
  <c r="C93" i="30"/>
  <c r="E92" i="33"/>
  <c r="G82" i="30"/>
  <c r="E85" i="33"/>
  <c r="G73" i="30"/>
  <c r="E76" i="33"/>
  <c r="G60" i="30"/>
  <c r="C113" i="33"/>
  <c r="G55" i="30"/>
  <c r="C108" i="33"/>
  <c r="G43" i="30"/>
  <c r="C96" i="33"/>
  <c r="E82" i="30"/>
  <c r="C86" i="33"/>
  <c r="E72" i="30"/>
  <c r="C76" i="33"/>
  <c r="E64" i="30"/>
  <c r="G57" i="33"/>
  <c r="E55" i="30"/>
  <c r="G48" i="33"/>
  <c r="E40" i="30"/>
  <c r="E62" i="33"/>
  <c r="C65" i="30"/>
  <c r="E38" i="33"/>
  <c r="C56" i="30"/>
  <c r="C58" i="33"/>
  <c r="C51" i="30"/>
  <c r="C53" i="33"/>
  <c r="C35" i="30"/>
  <c r="C37" i="33"/>
  <c r="G22" i="30"/>
  <c r="G24" i="33"/>
  <c r="G18" i="30"/>
  <c r="G20" i="33"/>
  <c r="G13" i="30"/>
  <c r="G15" i="33"/>
  <c r="G9" i="30"/>
  <c r="G11" i="33"/>
  <c r="E25" i="30"/>
  <c r="E27" i="33"/>
  <c r="E18" i="30"/>
  <c r="E20" i="33"/>
  <c r="E15" i="30"/>
  <c r="E17" i="33"/>
  <c r="E11" i="30"/>
  <c r="E13" i="33"/>
  <c r="E4" i="30"/>
  <c r="E6" i="33"/>
  <c r="C27" i="30"/>
  <c r="C29" i="33"/>
  <c r="C21" i="30"/>
  <c r="C23" i="33"/>
  <c r="C15" i="30"/>
  <c r="C17" i="33"/>
  <c r="E114" i="30"/>
  <c r="G93" i="33"/>
  <c r="G74" i="30"/>
  <c r="E77" i="33"/>
  <c r="G45" i="30"/>
  <c r="C98" i="33"/>
  <c r="E24" i="30"/>
  <c r="E26" i="33"/>
  <c r="C11" i="30"/>
  <c r="C13" i="33"/>
  <c r="G104" i="30"/>
  <c r="G112" i="33"/>
  <c r="E101" i="30"/>
  <c r="G80" i="33"/>
  <c r="C101" i="30"/>
  <c r="E100" i="33"/>
  <c r="C94" i="30"/>
  <c r="E93" i="33"/>
  <c r="C88" i="30"/>
  <c r="E87" i="33"/>
  <c r="G75" i="30"/>
  <c r="E78" i="33"/>
  <c r="G61" i="30"/>
  <c r="C114" i="33"/>
  <c r="G56" i="30"/>
  <c r="C109" i="33"/>
  <c r="G47" i="30"/>
  <c r="C100" i="33"/>
  <c r="G34" i="30"/>
  <c r="C87" i="33"/>
  <c r="E74" i="30"/>
  <c r="C78" i="33"/>
  <c r="E65" i="30"/>
  <c r="G58" i="33"/>
  <c r="E56" i="30"/>
  <c r="G49" i="33"/>
  <c r="E49" i="30"/>
  <c r="G42" i="33"/>
  <c r="E45" i="30"/>
  <c r="G38" i="33"/>
  <c r="C59" i="30"/>
  <c r="C61" i="33"/>
  <c r="C42" i="30"/>
  <c r="C44" i="33"/>
  <c r="C39" i="30"/>
  <c r="C41" i="33"/>
  <c r="G27" i="30"/>
  <c r="G29" i="33"/>
  <c r="G19" i="30"/>
  <c r="G21" i="33"/>
  <c r="G15" i="30"/>
  <c r="G17" i="33"/>
  <c r="G10" i="30"/>
  <c r="G12" i="33"/>
  <c r="E26" i="30"/>
  <c r="E28" i="33"/>
  <c r="E12" i="30"/>
  <c r="E14" i="33"/>
  <c r="E5" i="30"/>
  <c r="E7" i="33"/>
  <c r="C24" i="30"/>
  <c r="C26" i="33"/>
  <c r="C16" i="30"/>
  <c r="C18" i="33"/>
  <c r="C6" i="30"/>
  <c r="C8" i="33"/>
  <c r="G105" i="30"/>
  <c r="G113" i="33"/>
  <c r="G87" i="30"/>
  <c r="G95" i="33"/>
  <c r="E93" i="30"/>
  <c r="E121" i="33"/>
  <c r="E35" i="30"/>
  <c r="E57" i="33"/>
  <c r="E10" i="30"/>
  <c r="E12" i="33"/>
  <c r="G115" i="30"/>
  <c r="G123" i="33"/>
  <c r="E115" i="30"/>
  <c r="G94" i="33"/>
  <c r="C102" i="30"/>
  <c r="E101" i="33"/>
  <c r="C97" i="30"/>
  <c r="E96" i="33"/>
  <c r="C89" i="30"/>
  <c r="E88" i="33"/>
  <c r="G77" i="30"/>
  <c r="E80" i="33"/>
  <c r="G68" i="30"/>
  <c r="C121" i="33"/>
  <c r="G58" i="30"/>
  <c r="C111" i="33"/>
  <c r="G48" i="30"/>
  <c r="C101" i="33"/>
  <c r="G41" i="30"/>
  <c r="C94" i="33"/>
  <c r="E78" i="30"/>
  <c r="C82" i="33"/>
  <c r="E66" i="30"/>
  <c r="G59" i="33"/>
  <c r="E62" i="30"/>
  <c r="G55" i="33"/>
  <c r="E50" i="30"/>
  <c r="G43" i="33"/>
  <c r="E46" i="30"/>
  <c r="G39" i="33"/>
  <c r="C74" i="30"/>
  <c r="E47" i="33"/>
  <c r="C48" i="30"/>
  <c r="C50" i="33"/>
  <c r="C43" i="30"/>
  <c r="C45" i="33"/>
  <c r="C40" i="30"/>
  <c r="C42" i="33"/>
  <c r="G20" i="30"/>
  <c r="G22" i="33"/>
  <c r="G16" i="30"/>
  <c r="G18" i="33"/>
  <c r="G11" i="30"/>
  <c r="G13" i="33"/>
  <c r="E28" i="30"/>
  <c r="E30" i="33"/>
  <c r="C25" i="30"/>
  <c r="C27" i="33"/>
  <c r="C17" i="30"/>
  <c r="C19" i="33"/>
  <c r="C12" i="30"/>
  <c r="C14" i="33"/>
  <c r="C7" i="30"/>
  <c r="C9" i="33"/>
  <c r="C5" i="30"/>
  <c r="C7" i="33"/>
  <c r="AB105" i="11"/>
  <c r="E23" i="30"/>
  <c r="AB100" i="11"/>
  <c r="U315" i="11"/>
  <c r="W315" i="11"/>
  <c r="AB102" i="11"/>
  <c r="M74" i="11"/>
  <c r="N74" i="11" s="1"/>
  <c r="M253" i="11"/>
  <c r="N253" i="11" s="1"/>
  <c r="X253" i="11" s="1"/>
  <c r="M251" i="11"/>
  <c r="N251" i="11" s="1"/>
  <c r="X251" i="11" s="1"/>
  <c r="M244" i="11"/>
  <c r="N244" i="11" s="1"/>
  <c r="X244" i="11" s="1"/>
  <c r="M240" i="11"/>
  <c r="N240" i="11" s="1"/>
  <c r="X240" i="11" s="1"/>
  <c r="M230" i="11"/>
  <c r="N230" i="11" s="1"/>
  <c r="X230" i="11" s="1"/>
  <c r="M33" i="11"/>
  <c r="N33" i="11" s="1"/>
  <c r="X33" i="11" s="1"/>
  <c r="M12" i="11"/>
  <c r="N12" i="11" s="1"/>
  <c r="X12" i="11" s="1"/>
  <c r="M310" i="11"/>
  <c r="N310" i="11" s="1"/>
  <c r="X310" i="11" s="1"/>
  <c r="M308" i="11"/>
  <c r="N308" i="11" s="1"/>
  <c r="X308" i="11" s="1"/>
  <c r="M306" i="11"/>
  <c r="N306" i="11" s="1"/>
  <c r="X306" i="11" s="1"/>
  <c r="M250" i="11"/>
  <c r="N250" i="11" s="1"/>
  <c r="X250" i="11" s="1"/>
  <c r="M248" i="11"/>
  <c r="N248" i="11" s="1"/>
  <c r="X248" i="11" s="1"/>
  <c r="M224" i="11"/>
  <c r="N224" i="11" s="1"/>
  <c r="X224" i="11" s="1"/>
  <c r="M223" i="11"/>
  <c r="N223" i="11" s="1"/>
  <c r="X223" i="11" s="1"/>
  <c r="M198" i="11"/>
  <c r="N198" i="11" s="1"/>
  <c r="X198" i="11" s="1"/>
  <c r="M197" i="11"/>
  <c r="N197" i="11" s="1"/>
  <c r="X197" i="11" s="1"/>
  <c r="M166" i="11"/>
  <c r="N166" i="11" s="1"/>
  <c r="X166" i="11" s="1"/>
  <c r="M164" i="11"/>
  <c r="N164" i="11" s="1"/>
  <c r="X164" i="11" s="1"/>
  <c r="M113" i="11"/>
  <c r="N113" i="11" s="1"/>
  <c r="X113" i="11" s="1"/>
  <c r="M31" i="11"/>
  <c r="N31" i="11" s="1"/>
  <c r="X31" i="11" s="1"/>
  <c r="M27" i="11"/>
  <c r="N27" i="11" s="1"/>
  <c r="X27" i="11" s="1"/>
  <c r="M311" i="11"/>
  <c r="N311" i="11" s="1"/>
  <c r="M289" i="11"/>
  <c r="N289" i="11" s="1"/>
  <c r="M286" i="11"/>
  <c r="N286" i="11" s="1"/>
  <c r="M282" i="11"/>
  <c r="N282" i="11" s="1"/>
  <c r="X282" i="11" s="1"/>
  <c r="M277" i="11"/>
  <c r="N277" i="11" s="1"/>
  <c r="X277" i="11" s="1"/>
  <c r="M276" i="11"/>
  <c r="N276" i="11" s="1"/>
  <c r="X276" i="11" s="1"/>
  <c r="M272" i="11"/>
  <c r="N272" i="11" s="1"/>
  <c r="X272" i="11" s="1"/>
  <c r="M269" i="11"/>
  <c r="N269" i="11" s="1"/>
  <c r="X269" i="11" s="1"/>
  <c r="M127" i="11"/>
  <c r="N127" i="11" s="1"/>
  <c r="X127" i="11" s="1"/>
  <c r="M117" i="11"/>
  <c r="N117" i="11" s="1"/>
  <c r="X117" i="11" s="1"/>
  <c r="M84" i="11"/>
  <c r="N84" i="11" s="1"/>
  <c r="X84" i="11" s="1"/>
  <c r="M82" i="11"/>
  <c r="N82" i="11" s="1"/>
  <c r="X82" i="11" s="1"/>
  <c r="M79" i="11"/>
  <c r="N79" i="11" s="1"/>
  <c r="X79" i="11" s="1"/>
  <c r="M309" i="11"/>
  <c r="N309" i="11" s="1"/>
  <c r="X309" i="11" s="1"/>
  <c r="M305" i="11"/>
  <c r="N305" i="11" s="1"/>
  <c r="X305" i="11" s="1"/>
  <c r="M236" i="11"/>
  <c r="N236" i="11" s="1"/>
  <c r="X236" i="11" s="1"/>
  <c r="M235" i="11"/>
  <c r="N235" i="11" s="1"/>
  <c r="X235" i="11" s="1"/>
  <c r="M210" i="11"/>
  <c r="N210" i="11" s="1"/>
  <c r="X210" i="11" s="1"/>
  <c r="M209" i="11"/>
  <c r="N209" i="11" s="1"/>
  <c r="X209" i="11" s="1"/>
  <c r="M184" i="11"/>
  <c r="N184" i="11" s="1"/>
  <c r="X184" i="11" s="1"/>
  <c r="M179" i="11"/>
  <c r="N179" i="11" s="1"/>
  <c r="X179" i="11" s="1"/>
  <c r="M154" i="11"/>
  <c r="N154" i="11" s="1"/>
  <c r="X154" i="11" s="1"/>
  <c r="M152" i="11"/>
  <c r="N152" i="11" s="1"/>
  <c r="X152" i="11" s="1"/>
  <c r="M131" i="11"/>
  <c r="N131" i="11" s="1"/>
  <c r="X131" i="11" s="1"/>
  <c r="M129" i="11"/>
  <c r="N129" i="11" s="1"/>
  <c r="X129" i="11" s="1"/>
  <c r="M264" i="11"/>
  <c r="N264" i="11" s="1"/>
  <c r="M215" i="11"/>
  <c r="N215" i="11" s="1"/>
  <c r="M295" i="11"/>
  <c r="N295" i="11" s="1"/>
  <c r="X295" i="11" s="1"/>
  <c r="M260" i="11"/>
  <c r="N260" i="11" s="1"/>
  <c r="X260" i="11" s="1"/>
  <c r="M176" i="11"/>
  <c r="N176" i="11" s="1"/>
  <c r="X176" i="11" s="1"/>
  <c r="M165" i="11"/>
  <c r="N165" i="11" s="1"/>
  <c r="X165" i="11" s="1"/>
  <c r="M163" i="11"/>
  <c r="N163" i="11" s="1"/>
  <c r="X163" i="11" s="1"/>
  <c r="M155" i="11"/>
  <c r="N155" i="11" s="1"/>
  <c r="X155" i="11" s="1"/>
  <c r="M149" i="11"/>
  <c r="N149" i="11" s="1"/>
  <c r="X149" i="11" s="1"/>
  <c r="M116" i="11"/>
  <c r="N116" i="11" s="1"/>
  <c r="X116" i="11" s="1"/>
  <c r="M22" i="11"/>
  <c r="N22" i="11" s="1"/>
  <c r="X22" i="11" s="1"/>
  <c r="M294" i="11"/>
  <c r="N294" i="11" s="1"/>
  <c r="X294" i="11" s="1"/>
  <c r="G104" i="33" s="1"/>
  <c r="M288" i="11"/>
  <c r="N288" i="11" s="1"/>
  <c r="X288" i="11" s="1"/>
  <c r="M182" i="11"/>
  <c r="N182" i="11" s="1"/>
  <c r="X182" i="11" s="1"/>
  <c r="M211" i="11"/>
  <c r="N211" i="11" s="1"/>
  <c r="M297" i="11"/>
  <c r="N297" i="11" s="1"/>
  <c r="M312" i="11"/>
  <c r="N312" i="11" s="1"/>
  <c r="X312" i="11" s="1"/>
  <c r="M278" i="11"/>
  <c r="N278" i="11" s="1"/>
  <c r="X278" i="11" s="1"/>
  <c r="M225" i="11"/>
  <c r="N225" i="11" s="1"/>
  <c r="X225" i="11" s="1"/>
  <c r="M220" i="11"/>
  <c r="N220" i="11" s="1"/>
  <c r="X220" i="11" s="1"/>
  <c r="M207" i="11"/>
  <c r="N207" i="11" s="1"/>
  <c r="X207" i="11" s="1"/>
  <c r="M196" i="11"/>
  <c r="N196" i="11" s="1"/>
  <c r="X196" i="11" s="1"/>
  <c r="M77" i="11"/>
  <c r="N77" i="11" s="1"/>
  <c r="X77" i="11" s="1"/>
  <c r="M275" i="11"/>
  <c r="N275" i="11" s="1"/>
  <c r="X275" i="11" s="1"/>
  <c r="M274" i="11"/>
  <c r="N274" i="11" s="1"/>
  <c r="X274" i="11" s="1"/>
  <c r="M267" i="11"/>
  <c r="N267" i="11" s="1"/>
  <c r="X267" i="11" s="1"/>
  <c r="M46" i="11"/>
  <c r="N46" i="11" s="1"/>
  <c r="X46" i="11" s="1"/>
  <c r="M39" i="11"/>
  <c r="N39" i="11" s="1"/>
  <c r="X39" i="11" s="1"/>
  <c r="M143" i="11"/>
  <c r="N143" i="11" s="1"/>
  <c r="X143" i="11" s="1"/>
  <c r="M38" i="11"/>
  <c r="N38" i="11" s="1"/>
  <c r="X38" i="11" s="1"/>
  <c r="M8" i="11"/>
  <c r="N8" i="11" s="1"/>
  <c r="X8" i="11" s="1"/>
  <c r="M3" i="11"/>
  <c r="N3" i="11" s="1"/>
  <c r="M181" i="11"/>
  <c r="N181" i="11" s="1"/>
  <c r="X181" i="11" s="1"/>
  <c r="M180" i="11"/>
  <c r="N180" i="11" s="1"/>
  <c r="X180" i="11" s="1"/>
  <c r="M171" i="11"/>
  <c r="N171" i="11" s="1"/>
  <c r="X171" i="11" s="1"/>
  <c r="M170" i="11"/>
  <c r="N170" i="11" s="1"/>
  <c r="X170" i="11" s="1"/>
  <c r="C79" i="33" s="1"/>
  <c r="M168" i="11"/>
  <c r="N168" i="11" s="1"/>
  <c r="X168" i="11" s="1"/>
  <c r="M139" i="11"/>
  <c r="N139" i="11" s="1"/>
  <c r="X139" i="11" s="1"/>
  <c r="G37" i="33" s="1"/>
  <c r="M138" i="11"/>
  <c r="N138" i="11" s="1"/>
  <c r="X138" i="11" s="1"/>
  <c r="M137" i="11"/>
  <c r="N137" i="11" s="1"/>
  <c r="X137" i="11" s="1"/>
  <c r="M136" i="11"/>
  <c r="N136" i="11" s="1"/>
  <c r="X136" i="11" s="1"/>
  <c r="M123" i="11"/>
  <c r="N123" i="11" s="1"/>
  <c r="X123" i="11" s="1"/>
  <c r="M122" i="11"/>
  <c r="N122" i="11" s="1"/>
  <c r="X122" i="11" s="1"/>
  <c r="M101" i="11"/>
  <c r="N101" i="11" s="1"/>
  <c r="X101" i="11" s="1"/>
  <c r="M96" i="11"/>
  <c r="N96" i="11" s="1"/>
  <c r="X96" i="11" s="1"/>
  <c r="C52" i="33" s="1"/>
  <c r="M65" i="11"/>
  <c r="N65" i="11" s="1"/>
  <c r="X65" i="11" s="1"/>
  <c r="M57" i="11"/>
  <c r="N57" i="11" s="1"/>
  <c r="X57" i="11" s="1"/>
  <c r="M54" i="11"/>
  <c r="N54" i="11" s="1"/>
  <c r="X54" i="11" s="1"/>
  <c r="M106" i="11"/>
  <c r="N106" i="11" s="1"/>
  <c r="X106" i="11" s="1"/>
  <c r="C62" i="33" s="1"/>
  <c r="M98" i="11"/>
  <c r="N98" i="11" s="1"/>
  <c r="X98" i="11" s="1"/>
  <c r="M91" i="11"/>
  <c r="N91" i="11" s="1"/>
  <c r="X91" i="11" s="1"/>
  <c r="M87" i="11"/>
  <c r="N87" i="11" s="1"/>
  <c r="X87" i="11" s="1"/>
  <c r="M80" i="11"/>
  <c r="N80" i="11" s="1"/>
  <c r="X80" i="11" s="1"/>
  <c r="M45" i="11"/>
  <c r="N45" i="11" s="1"/>
  <c r="X45" i="11" s="1"/>
  <c r="M119" i="11"/>
  <c r="N119" i="11" s="1"/>
  <c r="X119" i="11" s="1"/>
  <c r="M279" i="11"/>
  <c r="N279" i="11" s="1"/>
  <c r="M249" i="11"/>
  <c r="N249" i="11" s="1"/>
  <c r="M112" i="11"/>
  <c r="N112" i="11" s="1"/>
  <c r="M107" i="11"/>
  <c r="N107" i="11" s="1"/>
  <c r="M304" i="11"/>
  <c r="N304" i="11" s="1"/>
  <c r="X304" i="11" s="1"/>
  <c r="M301" i="11"/>
  <c r="N301" i="11" s="1"/>
  <c r="X301" i="11" s="1"/>
  <c r="M265" i="11"/>
  <c r="N265" i="11" s="1"/>
  <c r="X265" i="11" s="1"/>
  <c r="M255" i="11"/>
  <c r="N255" i="11" s="1"/>
  <c r="X255" i="11" s="1"/>
  <c r="M254" i="11"/>
  <c r="N254" i="11" s="1"/>
  <c r="X254" i="11" s="1"/>
  <c r="M252" i="11"/>
  <c r="N252" i="11" s="1"/>
  <c r="X252" i="11" s="1"/>
  <c r="M231" i="11"/>
  <c r="N231" i="11" s="1"/>
  <c r="X231" i="11" s="1"/>
  <c r="M227" i="11"/>
  <c r="N227" i="11" s="1"/>
  <c r="X227" i="11" s="1"/>
  <c r="M195" i="11"/>
  <c r="N195" i="11" s="1"/>
  <c r="X195" i="11" s="1"/>
  <c r="M188" i="11"/>
  <c r="N188" i="11" s="1"/>
  <c r="X188" i="11" s="1"/>
  <c r="M128" i="11"/>
  <c r="N128" i="11" s="1"/>
  <c r="X128" i="11" s="1"/>
  <c r="M52" i="11"/>
  <c r="N52" i="11" s="1"/>
  <c r="X52" i="11" s="1"/>
  <c r="M21" i="11"/>
  <c r="N21" i="11" s="1"/>
  <c r="X21" i="11" s="1"/>
  <c r="M19" i="11"/>
  <c r="N19" i="11" s="1"/>
  <c r="X19" i="11" s="1"/>
  <c r="M213" i="11"/>
  <c r="N213" i="11" s="1"/>
  <c r="M103" i="11"/>
  <c r="N103" i="11" s="1"/>
  <c r="M9" i="11"/>
  <c r="N9" i="11" s="1"/>
  <c r="M292" i="11"/>
  <c r="N292" i="11" s="1"/>
  <c r="M296" i="11"/>
  <c r="N296" i="11" s="1"/>
  <c r="X296" i="11" s="1"/>
  <c r="M280" i="11"/>
  <c r="N280" i="11" s="1"/>
  <c r="X280" i="11" s="1"/>
  <c r="M257" i="11"/>
  <c r="N257" i="11" s="1"/>
  <c r="X257" i="11" s="1"/>
  <c r="M247" i="11"/>
  <c r="N247" i="11" s="1"/>
  <c r="X247" i="11" s="1"/>
  <c r="M243" i="11"/>
  <c r="N243" i="11" s="1"/>
  <c r="X243" i="11" s="1"/>
  <c r="M110" i="11"/>
  <c r="N110" i="11" s="1"/>
  <c r="X110" i="11" s="1"/>
  <c r="M109" i="11"/>
  <c r="N109" i="11" s="1"/>
  <c r="X109" i="11" s="1"/>
  <c r="M83" i="11"/>
  <c r="N83" i="11" s="1"/>
  <c r="X83" i="11" s="1"/>
  <c r="M59" i="11"/>
  <c r="N59" i="11" s="1"/>
  <c r="X59" i="11" s="1"/>
  <c r="T307" i="11"/>
  <c r="M300" i="11"/>
  <c r="N300" i="11" s="1"/>
  <c r="M263" i="11"/>
  <c r="N263" i="11" s="1"/>
  <c r="M92" i="11"/>
  <c r="N92" i="11" s="1"/>
  <c r="M32" i="11"/>
  <c r="N32" i="11" s="1"/>
  <c r="M307" i="11"/>
  <c r="N307" i="11" s="1"/>
  <c r="M258" i="11"/>
  <c r="N258" i="11" s="1"/>
  <c r="M256" i="11"/>
  <c r="N256" i="11" s="1"/>
  <c r="M206" i="11"/>
  <c r="N206" i="11" s="1"/>
  <c r="M104" i="11"/>
  <c r="N104" i="11" s="1"/>
  <c r="M93" i="11"/>
  <c r="N93" i="11" s="1"/>
  <c r="M298" i="11"/>
  <c r="N298" i="11" s="1"/>
  <c r="M261" i="11"/>
  <c r="N261" i="11" s="1"/>
  <c r="M125" i="11"/>
  <c r="N125" i="11" s="1"/>
  <c r="M108" i="11"/>
  <c r="N108" i="11" s="1"/>
  <c r="M273" i="11"/>
  <c r="N273" i="11" s="1"/>
  <c r="M271" i="11"/>
  <c r="N271" i="11" s="1"/>
  <c r="M266" i="11"/>
  <c r="N266" i="11" s="1"/>
  <c r="M214" i="11"/>
  <c r="N214" i="11" s="1"/>
  <c r="M44" i="11"/>
  <c r="N44" i="11" s="1"/>
  <c r="M246" i="11"/>
  <c r="N246" i="11" s="1"/>
  <c r="M201" i="11"/>
  <c r="N201" i="11" s="1"/>
  <c r="M190" i="11"/>
  <c r="N190" i="11" s="1"/>
  <c r="M174" i="11"/>
  <c r="N174" i="11" s="1"/>
  <c r="M153" i="11"/>
  <c r="N153" i="11" s="1"/>
  <c r="M147" i="11"/>
  <c r="N147" i="11" s="1"/>
  <c r="M134" i="11"/>
  <c r="N134" i="11" s="1"/>
  <c r="M121" i="11"/>
  <c r="N121" i="11" s="1"/>
  <c r="M114" i="11"/>
  <c r="N114" i="11" s="1"/>
  <c r="M76" i="11"/>
  <c r="N76" i="11" s="1"/>
  <c r="M291" i="11"/>
  <c r="N291" i="11" s="1"/>
  <c r="M193" i="11"/>
  <c r="N193" i="11" s="1"/>
  <c r="M183" i="11"/>
  <c r="N183" i="11" s="1"/>
  <c r="M172" i="11"/>
  <c r="N172" i="11" s="1"/>
  <c r="M148" i="11"/>
  <c r="N148" i="11" s="1"/>
  <c r="M142" i="11"/>
  <c r="N142" i="11" s="1"/>
  <c r="M133" i="11"/>
  <c r="N133" i="11" s="1"/>
  <c r="M124" i="11"/>
  <c r="N124" i="11" s="1"/>
  <c r="M115" i="11"/>
  <c r="N115" i="11" s="1"/>
  <c r="E111" i="30" l="1"/>
  <c r="G90" i="33"/>
  <c r="G106" i="30"/>
  <c r="G114" i="33"/>
  <c r="G14" i="30"/>
  <c r="G16" i="33"/>
  <c r="C77" i="30"/>
  <c r="E50" i="33"/>
  <c r="G8" i="30"/>
  <c r="G10" i="33"/>
  <c r="C103" i="30"/>
  <c r="E102" i="33"/>
  <c r="G98" i="30"/>
  <c r="G106" i="33"/>
  <c r="E27" i="30"/>
  <c r="E29" i="33"/>
  <c r="C87" i="30"/>
  <c r="E86" i="33"/>
  <c r="C115" i="30"/>
  <c r="E114" i="33"/>
  <c r="C73" i="30"/>
  <c r="E46" i="33"/>
  <c r="C41" i="30"/>
  <c r="C43" i="33"/>
  <c r="E41" i="30"/>
  <c r="E63" i="33"/>
  <c r="E73" i="30"/>
  <c r="C77" i="33"/>
  <c r="G37" i="30"/>
  <c r="C90" i="33"/>
  <c r="E106" i="30"/>
  <c r="G85" i="33"/>
  <c r="G26" i="30"/>
  <c r="G28" i="33"/>
  <c r="G81" i="30"/>
  <c r="E84" i="33"/>
  <c r="C23" i="30"/>
  <c r="C25" i="33"/>
  <c r="E68" i="30"/>
  <c r="G61" i="33"/>
  <c r="G97" i="30"/>
  <c r="G105" i="33"/>
  <c r="E59" i="30"/>
  <c r="G52" i="33"/>
  <c r="G66" i="30"/>
  <c r="C119" i="33"/>
  <c r="G111" i="30"/>
  <c r="G119" i="33"/>
  <c r="C36" i="30"/>
  <c r="C38" i="33"/>
  <c r="E100" i="30"/>
  <c r="G79" i="33"/>
  <c r="E113" i="30"/>
  <c r="G92" i="33"/>
  <c r="C28" i="30"/>
  <c r="C30" i="33"/>
  <c r="E69" i="30"/>
  <c r="G62" i="33"/>
  <c r="G79" i="30"/>
  <c r="E82" i="33"/>
  <c r="G108" i="30"/>
  <c r="G116" i="33"/>
  <c r="E8" i="30"/>
  <c r="E10" i="33"/>
  <c r="C111" i="30"/>
  <c r="E110" i="33"/>
  <c r="C107" i="30"/>
  <c r="E106" i="33"/>
  <c r="C82" i="30"/>
  <c r="E55" i="33"/>
  <c r="E96" i="30"/>
  <c r="G75" i="33"/>
  <c r="C45" i="30"/>
  <c r="C47" i="33"/>
  <c r="C55" i="30"/>
  <c r="C57" i="33"/>
  <c r="C9" i="30"/>
  <c r="C11" i="33"/>
  <c r="E14" i="30"/>
  <c r="E16" i="33"/>
  <c r="G52" i="30"/>
  <c r="C105" i="33"/>
  <c r="E109" i="30"/>
  <c r="G88" i="33"/>
  <c r="G38" i="30"/>
  <c r="C91" i="33"/>
  <c r="C70" i="30"/>
  <c r="E43" i="33"/>
  <c r="E70" i="30"/>
  <c r="G63" i="33"/>
  <c r="E34" i="30"/>
  <c r="E56" i="33"/>
  <c r="G35" i="30"/>
  <c r="C88" i="33"/>
  <c r="C95" i="30"/>
  <c r="E94" i="33"/>
  <c r="C38" i="30"/>
  <c r="C40" i="33"/>
  <c r="E103" i="30"/>
  <c r="G82" i="33"/>
  <c r="E6" i="30"/>
  <c r="E8" i="33"/>
  <c r="E71" i="30"/>
  <c r="C75" i="33"/>
  <c r="G80" i="30"/>
  <c r="E83" i="33"/>
  <c r="G110" i="30"/>
  <c r="G118" i="33"/>
  <c r="C90" i="30"/>
  <c r="E89" i="33"/>
  <c r="C113" i="30"/>
  <c r="E112" i="33"/>
  <c r="C37" i="30"/>
  <c r="C39" i="33"/>
  <c r="C20" i="30"/>
  <c r="C22" i="33"/>
  <c r="C91" i="30"/>
  <c r="E90" i="33"/>
  <c r="E29" i="30"/>
  <c r="E31" i="33"/>
  <c r="E42" i="30"/>
  <c r="E64" i="33"/>
  <c r="C63" i="30"/>
  <c r="E36" i="33"/>
  <c r="E88" i="30"/>
  <c r="E116" i="33"/>
  <c r="C22" i="30"/>
  <c r="C24" i="33"/>
  <c r="G44" i="30"/>
  <c r="C97" i="33"/>
  <c r="C112" i="30"/>
  <c r="E111" i="33"/>
  <c r="G103" i="30"/>
  <c r="G111" i="33"/>
  <c r="E20" i="30"/>
  <c r="E22" i="33"/>
  <c r="C52" i="30"/>
  <c r="C54" i="33"/>
  <c r="G6" i="30"/>
  <c r="G8" i="33"/>
  <c r="C76" i="30"/>
  <c r="E49" i="33"/>
  <c r="E43" i="30"/>
  <c r="G36" i="33"/>
  <c r="E76" i="30"/>
  <c r="C80" i="33"/>
  <c r="E13" i="30"/>
  <c r="E15" i="33"/>
  <c r="E21" i="30"/>
  <c r="E23" i="33"/>
  <c r="E98" i="30"/>
  <c r="G77" i="33"/>
  <c r="G63" i="30"/>
  <c r="C116" i="33"/>
  <c r="G114" i="30"/>
  <c r="G122" i="33"/>
  <c r="G90" i="30"/>
  <c r="G98" i="33"/>
  <c r="E54" i="30"/>
  <c r="G47" i="33"/>
  <c r="E81" i="30"/>
  <c r="C85" i="33"/>
  <c r="E36" i="30"/>
  <c r="E58" i="33"/>
  <c r="G40" i="30"/>
  <c r="C93" i="33"/>
  <c r="C96" i="30"/>
  <c r="E95" i="33"/>
  <c r="C71" i="30"/>
  <c r="E44" i="33"/>
  <c r="E107" i="30"/>
  <c r="G86" i="33"/>
  <c r="G53" i="30"/>
  <c r="C106" i="33"/>
  <c r="C108" i="30"/>
  <c r="E107" i="33"/>
  <c r="G112" i="30"/>
  <c r="G120" i="33"/>
  <c r="C100" i="30"/>
  <c r="E99" i="33"/>
  <c r="C64" i="30"/>
  <c r="E37" i="33"/>
  <c r="G51" i="30"/>
  <c r="C104" i="33"/>
  <c r="C114" i="30"/>
  <c r="E113" i="33"/>
  <c r="C34" i="30"/>
  <c r="C36" i="33"/>
  <c r="G36" i="30"/>
  <c r="C89" i="33"/>
  <c r="E48" i="30"/>
  <c r="G41" i="33"/>
  <c r="E105" i="30"/>
  <c r="G84" i="33"/>
  <c r="G76" i="30"/>
  <c r="E79" i="33"/>
  <c r="E60" i="30"/>
  <c r="G53" i="33"/>
  <c r="E91" i="30"/>
  <c r="E119" i="33"/>
  <c r="E57" i="30"/>
  <c r="G50" i="33"/>
  <c r="G65" i="30"/>
  <c r="C118" i="33"/>
  <c r="G107" i="30"/>
  <c r="G115" i="33"/>
  <c r="G28" i="30"/>
  <c r="G30" i="33"/>
  <c r="C81" i="30"/>
  <c r="E54" i="33"/>
  <c r="E108" i="30"/>
  <c r="G87" i="33"/>
  <c r="C67" i="30"/>
  <c r="E40" i="33"/>
  <c r="G54" i="30"/>
  <c r="C107" i="33"/>
  <c r="C110" i="30"/>
  <c r="E109" i="33"/>
  <c r="C13" i="30"/>
  <c r="C15" i="33"/>
  <c r="C104" i="30"/>
  <c r="E103" i="33"/>
  <c r="AB106" i="11"/>
  <c r="C60" i="30"/>
  <c r="AB126" i="11"/>
  <c r="G96" i="30"/>
  <c r="AB118" i="11"/>
  <c r="E44" i="30"/>
  <c r="AB120" i="11"/>
  <c r="E75" i="30"/>
  <c r="AB111" i="11"/>
  <c r="C50" i="30"/>
  <c r="AB116" i="11"/>
  <c r="AB113" i="11"/>
  <c r="AB127" i="11"/>
  <c r="X3" i="11"/>
  <c r="AB117" i="11"/>
  <c r="AB101" i="11"/>
  <c r="AB109" i="11"/>
  <c r="AB128" i="11"/>
  <c r="AB110" i="11"/>
  <c r="AB122" i="11"/>
  <c r="AB129" i="11"/>
  <c r="AB119" i="11"/>
  <c r="AB123" i="11"/>
  <c r="C4" i="30" l="1"/>
  <c r="C6" i="33"/>
  <c r="L4" i="26"/>
  <c r="M4" i="26" l="1"/>
  <c r="O4" i="26" s="1"/>
  <c r="P4" i="26" s="1"/>
  <c r="M3" i="26"/>
  <c r="O3" i="26" s="1"/>
  <c r="R4" i="26" l="1"/>
  <c r="P297" i="11"/>
  <c r="P292" i="11"/>
  <c r="P99" i="11"/>
  <c r="P3" i="26"/>
  <c r="T99" i="11"/>
  <c r="P315" i="11" l="1"/>
  <c r="R3" i="26"/>
  <c r="R298" i="11"/>
  <c r="X298" i="11" s="1"/>
  <c r="R289" i="11"/>
  <c r="X289" i="11" s="1"/>
  <c r="R279" i="11"/>
  <c r="X279" i="11" s="1"/>
  <c r="R266" i="11"/>
  <c r="X266" i="11" s="1"/>
  <c r="R258" i="11"/>
  <c r="X258" i="11" s="1"/>
  <c r="R215" i="11"/>
  <c r="X215" i="11" s="1"/>
  <c r="R206" i="11"/>
  <c r="X206" i="11" s="1"/>
  <c r="R183" i="11"/>
  <c r="X183" i="11" s="1"/>
  <c r="R148" i="11"/>
  <c r="X148" i="11" s="1"/>
  <c r="R133" i="11"/>
  <c r="X133" i="11" s="1"/>
  <c r="R115" i="11"/>
  <c r="X115" i="11" s="1"/>
  <c r="E42" i="33" s="1"/>
  <c r="R107" i="11"/>
  <c r="X107" i="11" s="1"/>
  <c r="C63" i="33" s="1"/>
  <c r="R92" i="11"/>
  <c r="X92" i="11" s="1"/>
  <c r="R44" i="11"/>
  <c r="X44" i="11" s="1"/>
  <c r="R311" i="11"/>
  <c r="X311" i="11" s="1"/>
  <c r="R297" i="11"/>
  <c r="R287" i="11"/>
  <c r="X287" i="11" s="1"/>
  <c r="R264" i="11"/>
  <c r="X264" i="11" s="1"/>
  <c r="R214" i="11"/>
  <c r="X214" i="11" s="1"/>
  <c r="R201" i="11"/>
  <c r="X201" i="11" s="1"/>
  <c r="R174" i="11"/>
  <c r="X174" i="11" s="1"/>
  <c r="R147" i="11"/>
  <c r="X147" i="11" s="1"/>
  <c r="R125" i="11"/>
  <c r="X125" i="11" s="1"/>
  <c r="E52" i="33" s="1"/>
  <c r="R114" i="11"/>
  <c r="X114" i="11" s="1"/>
  <c r="E41" i="33" s="1"/>
  <c r="R104" i="11"/>
  <c r="X104" i="11" s="1"/>
  <c r="C60" i="33" s="1"/>
  <c r="R76" i="11"/>
  <c r="X76" i="11" s="1"/>
  <c r="R307" i="11"/>
  <c r="X307" i="11" s="1"/>
  <c r="R292" i="11"/>
  <c r="X292" i="11" s="1"/>
  <c r="R286" i="11"/>
  <c r="X286" i="11" s="1"/>
  <c r="R271" i="11"/>
  <c r="X271" i="11" s="1"/>
  <c r="R263" i="11"/>
  <c r="X263" i="11" s="1"/>
  <c r="R249" i="11"/>
  <c r="X249" i="11" s="1"/>
  <c r="R213" i="11"/>
  <c r="X213" i="11" s="1"/>
  <c r="R193" i="11"/>
  <c r="X193" i="11" s="1"/>
  <c r="R172" i="11"/>
  <c r="X172" i="11" s="1"/>
  <c r="R142" i="11"/>
  <c r="X142" i="11" s="1"/>
  <c r="R124" i="11"/>
  <c r="X124" i="11" s="1"/>
  <c r="E51" i="33" s="1"/>
  <c r="R112" i="11"/>
  <c r="X112" i="11" s="1"/>
  <c r="E39" i="33" s="1"/>
  <c r="R103" i="11"/>
  <c r="X103" i="11" s="1"/>
  <c r="C59" i="33" s="1"/>
  <c r="R74" i="11"/>
  <c r="X74" i="11" s="1"/>
  <c r="R300" i="11"/>
  <c r="X300" i="11" s="1"/>
  <c r="R291" i="11"/>
  <c r="X291" i="11" s="1"/>
  <c r="R281" i="11"/>
  <c r="X281" i="11" s="1"/>
  <c r="R268" i="11"/>
  <c r="X268" i="11" s="1"/>
  <c r="R261" i="11"/>
  <c r="X261" i="11" s="1"/>
  <c r="R246" i="11"/>
  <c r="X246" i="11" s="1"/>
  <c r="R211" i="11"/>
  <c r="X211" i="11" s="1"/>
  <c r="R190" i="11"/>
  <c r="X190" i="11" s="1"/>
  <c r="R153" i="11"/>
  <c r="X153" i="11" s="1"/>
  <c r="R134" i="11"/>
  <c r="X134" i="11" s="1"/>
  <c r="R121" i="11"/>
  <c r="X121" i="11" s="1"/>
  <c r="E48" i="33" s="1"/>
  <c r="R108" i="11"/>
  <c r="X108" i="11" s="1"/>
  <c r="C64" i="33" s="1"/>
  <c r="R93" i="11"/>
  <c r="X93" i="11" s="1"/>
  <c r="R32" i="11"/>
  <c r="X32" i="11" s="1"/>
  <c r="R9" i="11"/>
  <c r="X9" i="11" s="1"/>
  <c r="R256" i="11"/>
  <c r="X256" i="11" s="1"/>
  <c r="R273" i="11"/>
  <c r="X273" i="11" s="1"/>
  <c r="X297" i="11"/>
  <c r="M99" i="11"/>
  <c r="N99" i="11" s="1"/>
  <c r="N315" i="11" s="1"/>
  <c r="E39" i="30" l="1"/>
  <c r="E61" i="33"/>
  <c r="C106" i="30"/>
  <c r="E105" i="33"/>
  <c r="G93" i="30"/>
  <c r="G101" i="33"/>
  <c r="G49" i="30"/>
  <c r="C102" i="33"/>
  <c r="E102" i="30"/>
  <c r="G81" i="33"/>
  <c r="G25" i="30"/>
  <c r="G27" i="33"/>
  <c r="E52" i="30"/>
  <c r="G45" i="33"/>
  <c r="E95" i="30"/>
  <c r="E123" i="33"/>
  <c r="E19" i="30"/>
  <c r="E21" i="33"/>
  <c r="E38" i="30"/>
  <c r="E60" i="33"/>
  <c r="G71" i="30"/>
  <c r="C124" i="33"/>
  <c r="G91" i="30"/>
  <c r="G99" i="33"/>
  <c r="G99" i="30"/>
  <c r="G107" i="33"/>
  <c r="C10" i="30"/>
  <c r="C12" i="33"/>
  <c r="C47" i="30"/>
  <c r="C49" i="33"/>
  <c r="E58" i="30"/>
  <c r="G51" i="33"/>
  <c r="E92" i="30"/>
  <c r="E120" i="33"/>
  <c r="G102" i="30"/>
  <c r="G110" i="33"/>
  <c r="G69" i="30"/>
  <c r="C122" i="33"/>
  <c r="G88" i="30"/>
  <c r="G96" i="33"/>
  <c r="E79" i="30"/>
  <c r="C83" i="33"/>
  <c r="G89" i="30"/>
  <c r="G97" i="33"/>
  <c r="C46" i="30"/>
  <c r="C48" i="33"/>
  <c r="E53" i="30"/>
  <c r="G46" i="33"/>
  <c r="E89" i="30"/>
  <c r="E117" i="33"/>
  <c r="G100" i="30"/>
  <c r="G108" i="33"/>
  <c r="E104" i="30"/>
  <c r="G83" i="33"/>
  <c r="G46" i="30"/>
  <c r="C99" i="33"/>
  <c r="E99" i="30"/>
  <c r="G78" i="33"/>
  <c r="G23" i="30"/>
  <c r="G25" i="33"/>
  <c r="E47" i="30"/>
  <c r="G40" i="33"/>
  <c r="C109" i="30"/>
  <c r="C116" i="30" s="1"/>
  <c r="E108" i="33"/>
  <c r="G94" i="30"/>
  <c r="G102" i="33"/>
  <c r="G57" i="30"/>
  <c r="C110" i="33"/>
  <c r="G39" i="30"/>
  <c r="C92" i="33"/>
  <c r="E97" i="30"/>
  <c r="G76" i="33"/>
  <c r="E87" i="30"/>
  <c r="E115" i="33"/>
  <c r="E7" i="30"/>
  <c r="E9" i="33"/>
  <c r="G67" i="30"/>
  <c r="C120" i="33"/>
  <c r="E112" i="30"/>
  <c r="G91" i="33"/>
  <c r="E77" i="30"/>
  <c r="C81" i="33"/>
  <c r="E94" i="30"/>
  <c r="E122" i="33"/>
  <c r="G109" i="30"/>
  <c r="G117" i="33"/>
  <c r="G70" i="30"/>
  <c r="C123" i="33"/>
  <c r="G113" i="30"/>
  <c r="G121" i="33"/>
  <c r="G62" i="30"/>
  <c r="C115" i="33"/>
  <c r="E110" i="30"/>
  <c r="G89" i="33"/>
  <c r="C75" i="30"/>
  <c r="AB121" i="11"/>
  <c r="AB103" i="11"/>
  <c r="C57" i="30"/>
  <c r="C79" i="30"/>
  <c r="AB125" i="11"/>
  <c r="C69" i="30"/>
  <c r="AB115" i="11"/>
  <c r="C66" i="30"/>
  <c r="AB112" i="11"/>
  <c r="R315" i="11"/>
  <c r="AB104" i="11"/>
  <c r="C58" i="30"/>
  <c r="C78" i="30"/>
  <c r="AB124" i="11"/>
  <c r="C62" i="30"/>
  <c r="AB108" i="11"/>
  <c r="C68" i="30"/>
  <c r="AB114" i="11"/>
  <c r="C61" i="30"/>
  <c r="AB107" i="11"/>
  <c r="B385" i="9"/>
  <c r="X99" i="11"/>
  <c r="E116" i="30" l="1"/>
  <c r="E83" i="30"/>
  <c r="E65" i="33"/>
  <c r="G30" i="30"/>
  <c r="E30" i="30"/>
  <c r="G65" i="33"/>
  <c r="G83" i="30"/>
  <c r="G116" i="30"/>
  <c r="E125" i="33"/>
  <c r="C125" i="33"/>
  <c r="G125" i="33"/>
  <c r="G32" i="33"/>
  <c r="C53" i="30"/>
  <c r="C83" i="30" s="1"/>
  <c r="C55" i="33"/>
  <c r="C65" i="33" s="1"/>
  <c r="C30" i="30"/>
  <c r="C32" i="33"/>
  <c r="E32" i="33"/>
  <c r="X315" i="11"/>
  <c r="H99" i="11"/>
  <c r="I99" i="11"/>
  <c r="E284" i="9"/>
  <c r="F284" i="9"/>
  <c r="E285" i="9"/>
  <c r="F285" i="9"/>
  <c r="E286" i="9"/>
  <c r="F286" i="9"/>
  <c r="E287" i="9"/>
  <c r="F287" i="9"/>
  <c r="E288" i="9"/>
  <c r="F288" i="9"/>
  <c r="E289" i="9"/>
  <c r="F289" i="9"/>
  <c r="E290" i="9"/>
  <c r="F290" i="9"/>
  <c r="E291" i="9"/>
  <c r="F291" i="9"/>
  <c r="E292" i="9"/>
  <c r="F292" i="9"/>
  <c r="E293" i="9"/>
  <c r="F293" i="9"/>
  <c r="E294" i="9"/>
  <c r="F294" i="9"/>
  <c r="E295" i="9"/>
  <c r="F295" i="9"/>
  <c r="E296" i="9"/>
  <c r="F296" i="9"/>
  <c r="E297" i="9"/>
  <c r="F297" i="9"/>
  <c r="E298" i="9"/>
  <c r="F298" i="9"/>
  <c r="E299" i="9"/>
  <c r="F299" i="9"/>
  <c r="E300" i="9"/>
  <c r="F300" i="9"/>
  <c r="E301" i="9"/>
  <c r="F301" i="9"/>
  <c r="E302" i="9"/>
  <c r="F302" i="9"/>
  <c r="E303" i="9"/>
  <c r="F303" i="9"/>
  <c r="E304" i="9"/>
  <c r="F304" i="9"/>
  <c r="E305" i="9"/>
  <c r="F305" i="9"/>
  <c r="E306" i="9"/>
  <c r="F306" i="9"/>
  <c r="E307" i="9"/>
  <c r="F307" i="9"/>
  <c r="E308" i="9"/>
  <c r="F308" i="9"/>
  <c r="E309" i="9"/>
  <c r="F309" i="9"/>
  <c r="E310" i="9"/>
  <c r="F310" i="9"/>
  <c r="E311" i="9"/>
  <c r="F311" i="9"/>
  <c r="E312" i="9"/>
  <c r="F312" i="9"/>
  <c r="E313" i="9"/>
  <c r="F313" i="9"/>
  <c r="E314" i="9"/>
  <c r="F314" i="9"/>
  <c r="E315" i="9"/>
  <c r="F315" i="9"/>
  <c r="E316" i="9"/>
  <c r="F316" i="9"/>
  <c r="E317" i="9"/>
  <c r="F317" i="9"/>
  <c r="E318" i="9"/>
  <c r="F318" i="9"/>
  <c r="E319" i="9"/>
  <c r="F319" i="9"/>
  <c r="E320" i="9"/>
  <c r="F320" i="9"/>
  <c r="E321" i="9"/>
  <c r="F321" i="9"/>
  <c r="E322" i="9"/>
  <c r="F322" i="9"/>
  <c r="E323" i="9"/>
  <c r="F323" i="9"/>
  <c r="E324" i="9"/>
  <c r="F324" i="9"/>
  <c r="E325" i="9"/>
  <c r="F325" i="9"/>
  <c r="E326" i="9"/>
  <c r="F326" i="9"/>
  <c r="E327" i="9"/>
  <c r="F327" i="9"/>
  <c r="E328" i="9"/>
  <c r="F328" i="9"/>
  <c r="E329" i="9"/>
  <c r="F329" i="9"/>
  <c r="E330" i="9"/>
  <c r="F330" i="9"/>
  <c r="E331" i="9"/>
  <c r="F331" i="9"/>
  <c r="E332" i="9"/>
  <c r="F332" i="9"/>
  <c r="E333" i="9"/>
  <c r="F333" i="9"/>
  <c r="E334" i="9"/>
  <c r="F334" i="9"/>
  <c r="E335" i="9"/>
  <c r="F335" i="9"/>
  <c r="E336" i="9"/>
  <c r="F336" i="9"/>
  <c r="E337" i="9"/>
  <c r="F337" i="9"/>
  <c r="E338" i="9"/>
  <c r="F338" i="9"/>
  <c r="E339" i="9"/>
  <c r="F339" i="9"/>
  <c r="E340" i="9"/>
  <c r="F340" i="9"/>
  <c r="E341" i="9"/>
  <c r="F341" i="9"/>
  <c r="E342" i="9"/>
  <c r="F342" i="9"/>
  <c r="E343" i="9"/>
  <c r="F343" i="9"/>
  <c r="E344" i="9"/>
  <c r="F344" i="9"/>
  <c r="E345" i="9"/>
  <c r="F345" i="9"/>
  <c r="E346" i="9"/>
  <c r="F346" i="9"/>
  <c r="E347" i="9"/>
  <c r="F347" i="9"/>
  <c r="E348" i="9"/>
  <c r="F348" i="9"/>
  <c r="E349" i="9"/>
  <c r="F349" i="9"/>
  <c r="E350" i="9"/>
  <c r="F350" i="9"/>
  <c r="E351" i="9"/>
  <c r="F351" i="9"/>
  <c r="E352" i="9"/>
  <c r="F352" i="9"/>
  <c r="E353" i="9"/>
  <c r="F353" i="9"/>
  <c r="E354" i="9"/>
  <c r="F354" i="9"/>
  <c r="E355" i="9"/>
  <c r="F355" i="9"/>
  <c r="E356" i="9"/>
  <c r="F356" i="9"/>
  <c r="E357" i="9"/>
  <c r="F357" i="9"/>
  <c r="E358" i="9"/>
  <c r="F358" i="9"/>
  <c r="E359" i="9"/>
  <c r="F359" i="9"/>
  <c r="E360" i="9"/>
  <c r="F360" i="9"/>
  <c r="E361" i="9"/>
  <c r="F361" i="9"/>
  <c r="E362" i="9"/>
  <c r="F362" i="9"/>
  <c r="E363" i="9"/>
  <c r="F363" i="9"/>
  <c r="E364" i="9"/>
  <c r="F364" i="9"/>
  <c r="E365" i="9"/>
  <c r="F365" i="9"/>
  <c r="E366" i="9"/>
  <c r="F366" i="9"/>
  <c r="E367" i="9"/>
  <c r="F367" i="9"/>
  <c r="E368" i="9"/>
  <c r="F368" i="9"/>
  <c r="E369" i="9"/>
  <c r="F369" i="9"/>
  <c r="E370" i="9"/>
  <c r="F370" i="9"/>
  <c r="E371" i="9"/>
  <c r="F371" i="9"/>
  <c r="E372" i="9"/>
  <c r="F372" i="9"/>
  <c r="E373" i="9"/>
  <c r="F373" i="9"/>
  <c r="E374" i="9"/>
  <c r="F374" i="9"/>
  <c r="E375" i="9"/>
  <c r="F375" i="9"/>
  <c r="E376" i="9"/>
  <c r="F376" i="9"/>
  <c r="E377" i="9"/>
  <c r="F377" i="9"/>
  <c r="E378" i="9"/>
  <c r="F378" i="9"/>
  <c r="E379" i="9"/>
  <c r="F379" i="9"/>
  <c r="E380" i="9"/>
  <c r="F380" i="9"/>
  <c r="E381" i="9"/>
  <c r="F381" i="9"/>
  <c r="E382" i="9"/>
  <c r="F382" i="9"/>
  <c r="E383" i="9"/>
  <c r="F383" i="9"/>
  <c r="E3" i="9"/>
  <c r="F3" i="9"/>
  <c r="E4" i="9"/>
  <c r="F4" i="9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F33" i="9"/>
  <c r="E34" i="9"/>
  <c r="F34" i="9"/>
  <c r="E35" i="9"/>
  <c r="F35" i="9"/>
  <c r="E36" i="9"/>
  <c r="F36" i="9"/>
  <c r="E37" i="9"/>
  <c r="F37" i="9"/>
  <c r="E38" i="9"/>
  <c r="F38" i="9"/>
  <c r="E39" i="9"/>
  <c r="F39" i="9"/>
  <c r="E40" i="9"/>
  <c r="F40" i="9"/>
  <c r="E41" i="9"/>
  <c r="F41" i="9"/>
  <c r="E42" i="9"/>
  <c r="F42" i="9"/>
  <c r="E43" i="9"/>
  <c r="F43" i="9"/>
  <c r="E44" i="9"/>
  <c r="F44" i="9"/>
  <c r="E45" i="9"/>
  <c r="F45" i="9"/>
  <c r="E46" i="9"/>
  <c r="F46" i="9"/>
  <c r="E47" i="9"/>
  <c r="F47" i="9"/>
  <c r="E48" i="9"/>
  <c r="F48" i="9"/>
  <c r="E49" i="9"/>
  <c r="F49" i="9"/>
  <c r="E50" i="9"/>
  <c r="F50" i="9"/>
  <c r="E51" i="9"/>
  <c r="F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E95" i="9"/>
  <c r="F95" i="9"/>
  <c r="E96" i="9"/>
  <c r="F96" i="9"/>
  <c r="E97" i="9"/>
  <c r="F97" i="9"/>
  <c r="E98" i="9"/>
  <c r="F98" i="9"/>
  <c r="E99" i="9"/>
  <c r="F99" i="9"/>
  <c r="E100" i="9"/>
  <c r="F100" i="9"/>
  <c r="E101" i="9"/>
  <c r="F101" i="9"/>
  <c r="E102" i="9"/>
  <c r="F102" i="9"/>
  <c r="E103" i="9"/>
  <c r="F103" i="9"/>
  <c r="E104" i="9"/>
  <c r="F104" i="9"/>
  <c r="E105" i="9"/>
  <c r="F105" i="9"/>
  <c r="E106" i="9"/>
  <c r="F106" i="9"/>
  <c r="E107" i="9"/>
  <c r="F107" i="9"/>
  <c r="E108" i="9"/>
  <c r="F108" i="9"/>
  <c r="E109" i="9"/>
  <c r="F109" i="9"/>
  <c r="E110" i="9"/>
  <c r="F110" i="9"/>
  <c r="E111" i="9"/>
  <c r="F111" i="9"/>
  <c r="E112" i="9"/>
  <c r="F112" i="9"/>
  <c r="E113" i="9"/>
  <c r="F113" i="9"/>
  <c r="E114" i="9"/>
  <c r="F114" i="9"/>
  <c r="E115" i="9"/>
  <c r="F115" i="9"/>
  <c r="E116" i="9"/>
  <c r="F116" i="9"/>
  <c r="E117" i="9"/>
  <c r="F117" i="9"/>
  <c r="E118" i="9"/>
  <c r="F118" i="9"/>
  <c r="E119" i="9"/>
  <c r="F119" i="9"/>
  <c r="E120" i="9"/>
  <c r="F120" i="9"/>
  <c r="E121" i="9"/>
  <c r="F121" i="9"/>
  <c r="E122" i="9"/>
  <c r="F122" i="9"/>
  <c r="E123" i="9"/>
  <c r="F123" i="9"/>
  <c r="E124" i="9"/>
  <c r="F124" i="9"/>
  <c r="E125" i="9"/>
  <c r="F125" i="9"/>
  <c r="E126" i="9"/>
  <c r="F126" i="9"/>
  <c r="E127" i="9"/>
  <c r="F127" i="9"/>
  <c r="E128" i="9"/>
  <c r="F128" i="9"/>
  <c r="E129" i="9"/>
  <c r="F129" i="9"/>
  <c r="E130" i="9"/>
  <c r="F130" i="9"/>
  <c r="E131" i="9"/>
  <c r="F131" i="9"/>
  <c r="E132" i="9"/>
  <c r="F132" i="9"/>
  <c r="E133" i="9"/>
  <c r="F133" i="9"/>
  <c r="E134" i="9"/>
  <c r="F134" i="9"/>
  <c r="E135" i="9"/>
  <c r="F135" i="9"/>
  <c r="E136" i="9"/>
  <c r="F136" i="9"/>
  <c r="E137" i="9"/>
  <c r="F137" i="9"/>
  <c r="E138" i="9"/>
  <c r="F138" i="9"/>
  <c r="E139" i="9"/>
  <c r="F139" i="9"/>
  <c r="E140" i="9"/>
  <c r="F140" i="9"/>
  <c r="E141" i="9"/>
  <c r="F141" i="9"/>
  <c r="E142" i="9"/>
  <c r="F142" i="9"/>
  <c r="E143" i="9"/>
  <c r="F143" i="9"/>
  <c r="E144" i="9"/>
  <c r="F144" i="9"/>
  <c r="E145" i="9"/>
  <c r="F145" i="9"/>
  <c r="E146" i="9"/>
  <c r="F146" i="9"/>
  <c r="E147" i="9"/>
  <c r="F147" i="9"/>
  <c r="E148" i="9"/>
  <c r="F148" i="9"/>
  <c r="E149" i="9"/>
  <c r="F149" i="9"/>
  <c r="E150" i="9"/>
  <c r="F150" i="9"/>
  <c r="E151" i="9"/>
  <c r="F151" i="9"/>
  <c r="E152" i="9"/>
  <c r="F152" i="9"/>
  <c r="E153" i="9"/>
  <c r="F153" i="9"/>
  <c r="E154" i="9"/>
  <c r="F154" i="9"/>
  <c r="E155" i="9"/>
  <c r="F155" i="9"/>
  <c r="E156" i="9"/>
  <c r="F156" i="9"/>
  <c r="E157" i="9"/>
  <c r="F157" i="9"/>
  <c r="E158" i="9"/>
  <c r="F158" i="9"/>
  <c r="E159" i="9"/>
  <c r="F159" i="9"/>
  <c r="E160" i="9"/>
  <c r="F160" i="9"/>
  <c r="E161" i="9"/>
  <c r="F161" i="9"/>
  <c r="E162" i="9"/>
  <c r="F162" i="9"/>
  <c r="E163" i="9"/>
  <c r="F163" i="9"/>
  <c r="E164" i="9"/>
  <c r="F164" i="9"/>
  <c r="E165" i="9"/>
  <c r="F165" i="9"/>
  <c r="E166" i="9"/>
  <c r="F166" i="9"/>
  <c r="E167" i="9"/>
  <c r="F167" i="9"/>
  <c r="E168" i="9"/>
  <c r="F168" i="9"/>
  <c r="E169" i="9"/>
  <c r="F169" i="9"/>
  <c r="E170" i="9"/>
  <c r="F170" i="9"/>
  <c r="E171" i="9"/>
  <c r="F171" i="9"/>
  <c r="E172" i="9"/>
  <c r="F172" i="9"/>
  <c r="E173" i="9"/>
  <c r="F173" i="9"/>
  <c r="E174" i="9"/>
  <c r="F174" i="9"/>
  <c r="E175" i="9"/>
  <c r="F175" i="9"/>
  <c r="E176" i="9"/>
  <c r="F176" i="9"/>
  <c r="E177" i="9"/>
  <c r="F177" i="9"/>
  <c r="E178" i="9"/>
  <c r="F178" i="9"/>
  <c r="E179" i="9"/>
  <c r="F179" i="9"/>
  <c r="E180" i="9"/>
  <c r="F180" i="9"/>
  <c r="E181" i="9"/>
  <c r="F181" i="9"/>
  <c r="E182" i="9"/>
  <c r="F182" i="9"/>
  <c r="E183" i="9"/>
  <c r="F183" i="9"/>
  <c r="E184" i="9"/>
  <c r="F184" i="9"/>
  <c r="E185" i="9"/>
  <c r="F185" i="9"/>
  <c r="E186" i="9"/>
  <c r="F186" i="9"/>
  <c r="E187" i="9"/>
  <c r="F187" i="9"/>
  <c r="E188" i="9"/>
  <c r="F188" i="9"/>
  <c r="E189" i="9"/>
  <c r="F189" i="9"/>
  <c r="E190" i="9"/>
  <c r="F190" i="9"/>
  <c r="E191" i="9"/>
  <c r="F191" i="9"/>
  <c r="E192" i="9"/>
  <c r="F192" i="9"/>
  <c r="E193" i="9"/>
  <c r="F193" i="9"/>
  <c r="E194" i="9"/>
  <c r="F194" i="9"/>
  <c r="E195" i="9"/>
  <c r="F195" i="9"/>
  <c r="E196" i="9"/>
  <c r="F196" i="9"/>
  <c r="E197" i="9"/>
  <c r="F197" i="9"/>
  <c r="E198" i="9"/>
  <c r="F198" i="9"/>
  <c r="E199" i="9"/>
  <c r="F199" i="9"/>
  <c r="E200" i="9"/>
  <c r="F200" i="9"/>
  <c r="E201" i="9"/>
  <c r="F201" i="9"/>
  <c r="E202" i="9"/>
  <c r="F202" i="9"/>
  <c r="E203" i="9"/>
  <c r="F203" i="9"/>
  <c r="E204" i="9"/>
  <c r="F204" i="9"/>
  <c r="E205" i="9"/>
  <c r="F205" i="9"/>
  <c r="E206" i="9"/>
  <c r="F206" i="9"/>
  <c r="E207" i="9"/>
  <c r="F207" i="9"/>
  <c r="E208" i="9"/>
  <c r="F208" i="9"/>
  <c r="E209" i="9"/>
  <c r="F209" i="9"/>
  <c r="E210" i="9"/>
  <c r="F210" i="9"/>
  <c r="E211" i="9"/>
  <c r="F211" i="9"/>
  <c r="E212" i="9"/>
  <c r="F212" i="9"/>
  <c r="E213" i="9"/>
  <c r="F213" i="9"/>
  <c r="E214" i="9"/>
  <c r="F214" i="9"/>
  <c r="E215" i="9"/>
  <c r="F215" i="9"/>
  <c r="E216" i="9"/>
  <c r="F216" i="9"/>
  <c r="E217" i="9"/>
  <c r="F217" i="9"/>
  <c r="E218" i="9"/>
  <c r="F218" i="9"/>
  <c r="E219" i="9"/>
  <c r="F219" i="9"/>
  <c r="E220" i="9"/>
  <c r="F220" i="9"/>
  <c r="E221" i="9"/>
  <c r="F221" i="9"/>
  <c r="E222" i="9"/>
  <c r="F222" i="9"/>
  <c r="E223" i="9"/>
  <c r="F223" i="9"/>
  <c r="E224" i="9"/>
  <c r="F224" i="9"/>
  <c r="E225" i="9"/>
  <c r="F225" i="9"/>
  <c r="E226" i="9"/>
  <c r="F226" i="9"/>
  <c r="E227" i="9"/>
  <c r="F227" i="9"/>
  <c r="E228" i="9"/>
  <c r="F228" i="9"/>
  <c r="E229" i="9"/>
  <c r="F229" i="9"/>
  <c r="E230" i="9"/>
  <c r="F230" i="9"/>
  <c r="E231" i="9"/>
  <c r="F231" i="9"/>
  <c r="E232" i="9"/>
  <c r="F232" i="9"/>
  <c r="E233" i="9"/>
  <c r="F233" i="9"/>
  <c r="E234" i="9"/>
  <c r="F234" i="9"/>
  <c r="E235" i="9"/>
  <c r="F235" i="9"/>
  <c r="E236" i="9"/>
  <c r="F236" i="9"/>
  <c r="E237" i="9"/>
  <c r="F237" i="9"/>
  <c r="E238" i="9"/>
  <c r="F238" i="9"/>
  <c r="E239" i="9"/>
  <c r="F239" i="9"/>
  <c r="E240" i="9"/>
  <c r="F240" i="9"/>
  <c r="E241" i="9"/>
  <c r="F241" i="9"/>
  <c r="E242" i="9"/>
  <c r="F242" i="9"/>
  <c r="E243" i="9"/>
  <c r="F243" i="9"/>
  <c r="E244" i="9"/>
  <c r="F244" i="9"/>
  <c r="E245" i="9"/>
  <c r="F245" i="9"/>
  <c r="E246" i="9"/>
  <c r="F246" i="9"/>
  <c r="E247" i="9"/>
  <c r="F247" i="9"/>
  <c r="E248" i="9"/>
  <c r="F248" i="9"/>
  <c r="E249" i="9"/>
  <c r="F249" i="9"/>
  <c r="E250" i="9"/>
  <c r="F250" i="9"/>
  <c r="E251" i="9"/>
  <c r="F251" i="9"/>
  <c r="E252" i="9"/>
  <c r="F252" i="9"/>
  <c r="E253" i="9"/>
  <c r="F253" i="9"/>
  <c r="E254" i="9"/>
  <c r="F254" i="9"/>
  <c r="E255" i="9"/>
  <c r="F255" i="9"/>
  <c r="E256" i="9"/>
  <c r="F256" i="9"/>
  <c r="E257" i="9"/>
  <c r="F257" i="9"/>
  <c r="E258" i="9"/>
  <c r="F258" i="9"/>
  <c r="E259" i="9"/>
  <c r="F259" i="9"/>
  <c r="E260" i="9"/>
  <c r="F260" i="9"/>
  <c r="E261" i="9"/>
  <c r="F261" i="9"/>
  <c r="E262" i="9"/>
  <c r="F262" i="9"/>
  <c r="E263" i="9"/>
  <c r="F263" i="9"/>
  <c r="E264" i="9"/>
  <c r="F264" i="9"/>
  <c r="E265" i="9"/>
  <c r="F265" i="9"/>
  <c r="E266" i="9"/>
  <c r="F266" i="9"/>
  <c r="E267" i="9"/>
  <c r="F267" i="9"/>
  <c r="E268" i="9"/>
  <c r="F268" i="9"/>
  <c r="E269" i="9"/>
  <c r="F269" i="9"/>
  <c r="E270" i="9"/>
  <c r="F270" i="9"/>
  <c r="E271" i="9"/>
  <c r="F271" i="9"/>
  <c r="E272" i="9"/>
  <c r="F272" i="9"/>
  <c r="E273" i="9"/>
  <c r="F273" i="9"/>
  <c r="E274" i="9"/>
  <c r="F274" i="9"/>
  <c r="E275" i="9"/>
  <c r="F275" i="9"/>
  <c r="E276" i="9"/>
  <c r="F276" i="9"/>
  <c r="E277" i="9"/>
  <c r="F277" i="9"/>
  <c r="E278" i="9"/>
  <c r="F278" i="9"/>
  <c r="E279" i="9"/>
  <c r="F279" i="9"/>
  <c r="E280" i="9"/>
  <c r="F280" i="9"/>
  <c r="E281" i="9"/>
  <c r="F281" i="9"/>
  <c r="E282" i="9"/>
  <c r="F282" i="9"/>
  <c r="F283" i="9"/>
  <c r="E283" i="9"/>
  <c r="G118" i="30" l="1"/>
  <c r="G127" i="33"/>
  <c r="F370" i="30"/>
  <c r="F286" i="33"/>
  <c r="F287" i="33" s="1"/>
  <c r="G67" i="33"/>
  <c r="F371" i="30"/>
  <c r="I377" i="9"/>
  <c r="I385" i="9" s="1"/>
  <c r="C385" i="9"/>
  <c r="G385" i="9"/>
  <c r="M385" i="9"/>
  <c r="J385" i="9"/>
  <c r="H385" i="9"/>
  <c r="A385" i="9"/>
  <c r="G131" i="33" l="1"/>
  <c r="G132" i="33" s="1"/>
  <c r="H174" i="11" l="1"/>
</calcChain>
</file>

<file path=xl/sharedStrings.xml><?xml version="1.0" encoding="utf-8"?>
<sst xmlns="http://schemas.openxmlformats.org/spreadsheetml/2006/main" count="3159" uniqueCount="301">
  <si>
    <t>ÁREA PROPRIEDADE (ha)</t>
  </si>
  <si>
    <t>VEGETAÇÃO NATIVA (ha)</t>
  </si>
  <si>
    <t>IRRIGAÇÃO LOCALIZADA (ha)</t>
  </si>
  <si>
    <t>PASTO
(ha)</t>
  </si>
  <si>
    <t>PIVÔ
 (ha)</t>
  </si>
  <si>
    <t>BENFEITORIAS</t>
  </si>
  <si>
    <t>RECURSOS HÍDRICOS</t>
  </si>
  <si>
    <t>ENERGIA</t>
  </si>
  <si>
    <t>%
EXPLORAÇÃO</t>
  </si>
  <si>
    <t>PASTO</t>
  </si>
  <si>
    <t>X</t>
  </si>
  <si>
    <t>PAINEL SOLAR 
(m²)</t>
  </si>
  <si>
    <t>CULTURA EXPLORADA</t>
  </si>
  <si>
    <t/>
  </si>
  <si>
    <t>VEG.NAT.</t>
  </si>
  <si>
    <t>Nº PROPRIE-
DADE</t>
  </si>
  <si>
    <t>Banana</t>
  </si>
  <si>
    <t>Limão</t>
  </si>
  <si>
    <t>Ciclo Anual</t>
  </si>
  <si>
    <t>S/Cultura</t>
  </si>
  <si>
    <t>Cultura Anual</t>
  </si>
  <si>
    <t>Manga</t>
  </si>
  <si>
    <t>s/ Cultura</t>
  </si>
  <si>
    <t>**Obs.: A Propriedade 19 possui áreas com CAR e áreas sem CAR.</t>
  </si>
  <si>
    <t>19*</t>
  </si>
  <si>
    <t xml:space="preserve">Casa Alvenaria; Curral; Bebedouro; Viveiro de Mudas; </t>
  </si>
  <si>
    <t xml:space="preserve">Estrutura Diversa; Casa Alvenaria; Estrutura Metálica; Reservatório; </t>
  </si>
  <si>
    <t xml:space="preserve">Bebedouro; </t>
  </si>
  <si>
    <t xml:space="preserve">Estrutura Diversa; Casa Alvenaria; Estrutura de Concreto; Reservatório; Curral; </t>
  </si>
  <si>
    <t xml:space="preserve">Estrutura Diversa; Casa Alvenaria; Reservatório; </t>
  </si>
  <si>
    <t xml:space="preserve">Casa Alvenaria; Bebedouro; </t>
  </si>
  <si>
    <t xml:space="preserve">Estrutura Diversa; Casa Alvenaria; </t>
  </si>
  <si>
    <t xml:space="preserve">Casa Alvenaria; Reservatório; </t>
  </si>
  <si>
    <t xml:space="preserve">Casa Alvenaria; Curral; </t>
  </si>
  <si>
    <t xml:space="preserve">Casa Alvenaria; </t>
  </si>
  <si>
    <t xml:space="preserve">Estrutura Diversa; Casa Alvenaria; Estrutura de Concreto; Bebedouro; </t>
  </si>
  <si>
    <t xml:space="preserve">Casa Alvenaria; Estrutura Metálica; Reservatório; </t>
  </si>
  <si>
    <t xml:space="preserve">Estrutura Diversa; Casa Alvenaria; Reservatório; Curral; </t>
  </si>
  <si>
    <t xml:space="preserve">Estrutura Diversa; </t>
  </si>
  <si>
    <t xml:space="preserve">Casa Alvenaria; Estrutura de Concreto; Estrutura Metálica; </t>
  </si>
  <si>
    <t xml:space="preserve">Casa Alvenaria; Estrutura Metálica; Curral; </t>
  </si>
  <si>
    <t xml:space="preserve">Estrutura Diversa; Casa Alvenaria; Viveiro de Mudas; </t>
  </si>
  <si>
    <t xml:space="preserve">Estrutura Diversa; Casa Alvenaria; Estrutura Metálica; Reservatório; Curral; Viveiro de Mudas; </t>
  </si>
  <si>
    <t xml:space="preserve">Estrutura Diversa; Casa Alvenaria; Cisterna; </t>
  </si>
  <si>
    <t xml:space="preserve">Estrutura Diversa; Casa Alvenaria; Curral; </t>
  </si>
  <si>
    <t xml:space="preserve">Curral; </t>
  </si>
  <si>
    <t xml:space="preserve">Estrutura Diversa; Casa Alvenaria; Curral; Bebedouro; </t>
  </si>
  <si>
    <t xml:space="preserve">Casa Alvenaria; Estrutura Metálica; </t>
  </si>
  <si>
    <t xml:space="preserve">Casa Alvenaria; Estrutura Metálica; Bebedouro; </t>
  </si>
  <si>
    <t xml:space="preserve">Casa Alvenaria; Reservatório; Curral; </t>
  </si>
  <si>
    <t xml:space="preserve">Casa Alvenaria; Estrutura de Concreto; </t>
  </si>
  <si>
    <t xml:space="preserve">Estrutura de Concreto; Reservatório; </t>
  </si>
  <si>
    <t xml:space="preserve">Estrutura Diversa; Estrutura de Concreto; Bebedouro; </t>
  </si>
  <si>
    <t xml:space="preserve">Reservatório; </t>
  </si>
  <si>
    <t xml:space="preserve">Estrutura Diversa; Reservatório; </t>
  </si>
  <si>
    <t xml:space="preserve">Estrutura Diversa; Reservatório; Bebedouro; </t>
  </si>
  <si>
    <t xml:space="preserve">Estrutura de Concreto; Estrutura Metálica; </t>
  </si>
  <si>
    <t xml:space="preserve">Casa Alvenaria; Curral; Bebedouro; </t>
  </si>
  <si>
    <t xml:space="preserve">Estrutura Diversa; Casa Alvenaria; Reservatório; Curral; Bebedouro; </t>
  </si>
  <si>
    <t xml:space="preserve">Estrutura Diversa; Casa Alvenaria; Estrutura de Concreto; Reservatório; </t>
  </si>
  <si>
    <t xml:space="preserve">Casa Alvenaria; Reservatório; Bebedouro; </t>
  </si>
  <si>
    <t xml:space="preserve">Estrutura Diversa; Casa de Bomba; Casa Alvenaria; Bebedouro; </t>
  </si>
  <si>
    <t xml:space="preserve">Estrutura Diversa; Casa Alvenaria; Reservatório; Bebedouro; </t>
  </si>
  <si>
    <t xml:space="preserve">Estrutura Diversa; Casa Alvenaria; Estrutura Metálica; Reservatório; Curral; Bebedouro; </t>
  </si>
  <si>
    <t xml:space="preserve">Estrutura Diversa; Casa de Bomba; Estrutura de Concreto; </t>
  </si>
  <si>
    <t xml:space="preserve">Casa Alvenaria; Estrutura de Concreto; Reservatório; Curral; Bebedouro; </t>
  </si>
  <si>
    <t xml:space="preserve">Estrutura Diversa; Casa de Bomba; Casa Alvenaria; Reservatório; Curral; Bebedouro; </t>
  </si>
  <si>
    <t xml:space="preserve">Estrutura Diversa; Casa Alvenaria; Estrutura de Concreto; Estrutura Metálica; Reservatório; Curral; </t>
  </si>
  <si>
    <t xml:space="preserve">Estrutura de Concreto; </t>
  </si>
  <si>
    <t xml:space="preserve">Estrutura Diversa; Casa Alvenaria; Estrutura de Concreto; Reservatório; Bebedouro; </t>
  </si>
  <si>
    <t xml:space="preserve">Estrutura de Concreto; Bebedouro; </t>
  </si>
  <si>
    <t xml:space="preserve">Estrutura Diversa; Casa Alvenaria; Estrutura Metálica; Bebedouro; </t>
  </si>
  <si>
    <t xml:space="preserve">Casa Alvenaria; Estrutura de Concreto; Reservatório; Bebedouro; </t>
  </si>
  <si>
    <t xml:space="preserve">Casa Alvenaria; Estrutura de Concreto; Estrutura Metálica; Reservatório; </t>
  </si>
  <si>
    <t xml:space="preserve">Casa Alvenaria; Estrutura de Concreto; Estrutura Metálica; Bebedouro; </t>
  </si>
  <si>
    <t xml:space="preserve">Estrutura Diversa; Estrutura de Concreto; Reservatório; Bebedouro; </t>
  </si>
  <si>
    <t xml:space="preserve">Casa de Bomba; Casa Alvenaria; </t>
  </si>
  <si>
    <t>Possui PIVÔ
 (ha)</t>
  </si>
  <si>
    <t>Possui IRRIGAÇÃO LOCALIZADA (ha)</t>
  </si>
  <si>
    <t>Possui PAINEL SOLAR 
(m²)</t>
  </si>
  <si>
    <t>Quantidade</t>
  </si>
  <si>
    <t>Soma</t>
  </si>
  <si>
    <t>VALOR</t>
  </si>
  <si>
    <t>BENFEITORIA</t>
  </si>
  <si>
    <t>VALOR COM</t>
  </si>
  <si>
    <t xml:space="preserve">VALOR </t>
  </si>
  <si>
    <t>Estrutura de Concreto; Reservatório;</t>
  </si>
  <si>
    <t>VT=</t>
  </si>
  <si>
    <t>ÁREA DA CULTURA EXPLORADA</t>
  </si>
  <si>
    <t>Fundo de Desenvolvimento da Infraestrutura Sustentável – FDIRS</t>
  </si>
  <si>
    <t xml:space="preserve">Serviços Técnicos relativos à Estruturação e o Desenvolvimento de Concessão do Perímetro Irrigado do Jaíba (Etapas III e IV) da Companhia de Desenvolvimento dos Vales do São Francisco e do Parnaíba - CODEVASF </t>
  </si>
  <si>
    <t>CONTRATO: 01/2025</t>
  </si>
  <si>
    <t xml:space="preserve">CONSÓRCIO Nova Irrigação Jaíba/MG </t>
  </si>
  <si>
    <t>Casa Alvenaria;  viveiro de mudas</t>
  </si>
  <si>
    <t>Estrutura Diversa; Casa Alvenaria; viviero de mudas</t>
  </si>
  <si>
    <t>Estrutura Diversa; Casa Alvenaria; Reservatório;  viveiro de mudas</t>
  </si>
  <si>
    <t>Estrutura Diversa; Casa Alvenaria; Reservatório; Curral; Bebedouro; viveiro de mudas</t>
  </si>
  <si>
    <t xml:space="preserve">RELATÓRIO TÉCNICO-AVALIAÇÃO FUNDIÁRIA </t>
  </si>
  <si>
    <t>MEMÓRIA DE CÁLCULO DO VALOR DE CADA PROPRIEDADE</t>
  </si>
  <si>
    <t>DISCRIMINAÇÃO</t>
  </si>
  <si>
    <t>C.M.</t>
  </si>
  <si>
    <t>C.T.</t>
  </si>
  <si>
    <t>VALOR
RESIDUAL
(% DO
VALOR 
TOTAL)</t>
  </si>
  <si>
    <t>VALOR
DO BEM
USADO / REFORM.
(R$)</t>
  </si>
  <si>
    <t>VALOR
DO BEM
NOVO
(R$)</t>
  </si>
  <si>
    <t>VALOR
DEPREC.
(R$)</t>
  </si>
  <si>
    <t>F.L.
(%)</t>
  </si>
  <si>
    <t>VALOR
DEPREC.
x FATOR DE
LIQUIDEZ
(R$)</t>
  </si>
  <si>
    <t>VALOR
AVALIADO
UNITÁRIO
(R$)</t>
  </si>
  <si>
    <t>VALOR
AVALIADO
UNITÁRIO /
VALOR NOVO (%)</t>
  </si>
  <si>
    <t>VALOR
AVALIADO
TOTAL
(R$)</t>
  </si>
  <si>
    <t>CÁLCULO DA DEPRECIAÇÃO PELO MÉTODO DE CAIRES</t>
  </si>
  <si>
    <t xml:space="preserve">    VB = ( ( 1 - VR ) x 1,347961431 / ( 1 + 0,347961431 x EXP ( 3,579760093 x ( IA / VU ) x 0,853081710 x EXP ( 0,067348748 x CT - 0,041679277 x CM - 0,001022860 x CT x CM ) ) ) + VR ) x VN</t>
  </si>
  <si>
    <t>VB = Valor do bem avaliando, em R$</t>
  </si>
  <si>
    <t>Coeficiente de Trabalho</t>
  </si>
  <si>
    <t>Coeficiente de Manutenção</t>
  </si>
  <si>
    <t>VR = Valor residual, em %, do bem avaliando</t>
  </si>
  <si>
    <t>Nulo</t>
  </si>
  <si>
    <t>Inexistente</t>
  </si>
  <si>
    <t>Médio</t>
  </si>
  <si>
    <t>IA = Idade aparente do bem avaliando, em anos</t>
  </si>
  <si>
    <t>Leve</t>
  </si>
  <si>
    <t>Sofrível</t>
  </si>
  <si>
    <t>Baixo</t>
  </si>
  <si>
    <t>VU = Vida útil total do bem avaliando, em anos</t>
  </si>
  <si>
    <t>Normal</t>
  </si>
  <si>
    <t>Baixíssimo</t>
  </si>
  <si>
    <t>CT = Coeficiente de trabalho do bem avaliando</t>
  </si>
  <si>
    <t>Pesado</t>
  </si>
  <si>
    <t>Rigorosa</t>
  </si>
  <si>
    <t>CM = Coeficiente de manutenção do bem avaliando</t>
  </si>
  <si>
    <t>Extremo</t>
  </si>
  <si>
    <t>Perfeita</t>
  </si>
  <si>
    <t>VN = Valor de similar novo, em R$</t>
  </si>
  <si>
    <t>sistema de irrigação-Microaspersão</t>
  </si>
  <si>
    <t>sistema de irrigação- Pivô central</t>
  </si>
  <si>
    <t xml:space="preserve">IDADE APARENTE </t>
  </si>
  <si>
    <t>VIDA ÚTIL - ANOS</t>
  </si>
  <si>
    <t>Propriedade</t>
  </si>
  <si>
    <t>Área - m²</t>
  </si>
  <si>
    <t>Valor da Placa</t>
  </si>
  <si>
    <t>Valor / m²</t>
  </si>
  <si>
    <t>ESTIMATIVA DE VALOR DE m² DE PLACA DE PAINEL SOLAR</t>
  </si>
  <si>
    <t>UNITÁRIO-HA 1/</t>
  </si>
  <si>
    <t>FATOR OFERTA  2/</t>
  </si>
  <si>
    <t>1/ - Valor unitário - valor obtido no Sotware  SiSDEA</t>
  </si>
  <si>
    <t>Fator para todas propriedades, exceto aquelas apenas com vegetação nativa</t>
  </si>
  <si>
    <t>Fator para  propriedades apenas com vegetação nativa</t>
  </si>
  <si>
    <t>FATOR OFERTA E LOCALIZAÇÃO 4/</t>
  </si>
  <si>
    <t>4/ Valor com fator de oferta e localização – corresponde ao produto do valor unitário pelos fatores de oferta e de localização</t>
  </si>
  <si>
    <t>VALOR TOTAL R$  5/</t>
  </si>
  <si>
    <t>PIVO 6/</t>
  </si>
  <si>
    <t>IRRIGAÇÃO 7/</t>
  </si>
  <si>
    <t>5/ Valor total - corresponde ao  produto do valor de  oferta e localização pela área da propriedade</t>
  </si>
  <si>
    <t>Banana 1/</t>
  </si>
  <si>
    <t>GASTO COM INSUMOS</t>
  </si>
  <si>
    <t>Descrição</t>
  </si>
  <si>
    <t>Unidade</t>
  </si>
  <si>
    <t>Custo Unit.</t>
  </si>
  <si>
    <t>Quantidade por ha</t>
  </si>
  <si>
    <t>Custo por ano - R$</t>
  </si>
  <si>
    <t>Ácido Bórico</t>
  </si>
  <si>
    <t>KG</t>
  </si>
  <si>
    <t>Calcário</t>
  </si>
  <si>
    <t>T</t>
  </si>
  <si>
    <t>Fosfatado</t>
  </si>
  <si>
    <t>Foliar Completo</t>
  </si>
  <si>
    <t>L</t>
  </si>
  <si>
    <t>KCL</t>
  </si>
  <si>
    <t>Sulfato de Magnésio</t>
  </si>
  <si>
    <t>Sulfato de Zinco</t>
  </si>
  <si>
    <t>Esterco de Gado</t>
  </si>
  <si>
    <t>M3</t>
  </si>
  <si>
    <t>Nitrato de Amonia</t>
  </si>
  <si>
    <t>Fungicida</t>
  </si>
  <si>
    <t>Inseticida</t>
  </si>
  <si>
    <t>Espalhante</t>
  </si>
  <si>
    <t>Herbicida</t>
  </si>
  <si>
    <t>Óleo Mineral</t>
  </si>
  <si>
    <t>Muda Banana</t>
  </si>
  <si>
    <t>UD</t>
  </si>
  <si>
    <t>SUB-TOTAL-INSUMOS =</t>
  </si>
  <si>
    <t xml:space="preserve"> GASTO COM MÃO DE OBRA</t>
  </si>
  <si>
    <t>Preparao cova</t>
  </si>
  <si>
    <t>dh</t>
  </si>
  <si>
    <t>plantio</t>
  </si>
  <si>
    <t>ad. Manual</t>
  </si>
  <si>
    <t>herbicida</t>
  </si>
  <si>
    <t>isca</t>
  </si>
  <si>
    <t>Aplicação defensivo</t>
  </si>
  <si>
    <t>rocada manual</t>
  </si>
  <si>
    <t>desfolha</t>
  </si>
  <si>
    <t>desbrota</t>
  </si>
  <si>
    <t>contaagem cachos</t>
  </si>
  <si>
    <t>Controle moleque</t>
  </si>
  <si>
    <t>Aplicação esterco/calcário/fosfatado</t>
  </si>
  <si>
    <t>Manejo do sist irrigação</t>
  </si>
  <si>
    <t>Atividades diversa</t>
  </si>
  <si>
    <t>SUB-TOTAL- MÃO DE OBRA =</t>
  </si>
  <si>
    <t>GASTO COM TRATOR E EQUIPAMENTOS E AVIAÇÃO AGRÍCOLA</t>
  </si>
  <si>
    <t>Preparo de solo</t>
  </si>
  <si>
    <t>HMPP</t>
  </si>
  <si>
    <t xml:space="preserve">Distribuição de cálcario </t>
  </si>
  <si>
    <t>HMPM</t>
  </si>
  <si>
    <t>Distribuição de  fosfato</t>
  </si>
  <si>
    <t>Incorporação corretivos</t>
  </si>
  <si>
    <t>Abertura de sulcos</t>
  </si>
  <si>
    <t>Aplicação de defensivos / foliar</t>
  </si>
  <si>
    <t>Apoio distribuição adubo orgânico</t>
  </si>
  <si>
    <t xml:space="preserve">Roçada </t>
  </si>
  <si>
    <t>Aviação agrícola</t>
  </si>
  <si>
    <t>ha</t>
  </si>
  <si>
    <t>Drenagem parcelar</t>
  </si>
  <si>
    <t>HMR</t>
  </si>
  <si>
    <t>SUB-TOTAL -  EQUIPAMENTOS =</t>
  </si>
  <si>
    <t>OUTRAS DESPESAS</t>
  </si>
  <si>
    <t>Energia</t>
  </si>
  <si>
    <t>R$/ha/ano</t>
  </si>
  <si>
    <t>man sist irrig</t>
  </si>
  <si>
    <t>vb/ha/ano</t>
  </si>
  <si>
    <t>man estrutura</t>
  </si>
  <si>
    <t>Ferramentas diversas</t>
  </si>
  <si>
    <t>Transporte funcionários</t>
  </si>
  <si>
    <t>Assistência Técnica - consultoria</t>
  </si>
  <si>
    <t>Administrativo</t>
  </si>
  <si>
    <t>SUB-TOTAL OUTRAS DESPESAS =</t>
  </si>
  <si>
    <t xml:space="preserve">TOTAIS </t>
  </si>
  <si>
    <t>1/ Estimativa de custo - período - julho/agosto -2025 para formação de 1 ha de banana, sendo 50% Prata e 50% nanica- Custo de investimento para alta tecnologia</t>
  </si>
  <si>
    <t>Situação atual dos bananais, avaliado oleas imagens aéreas e visita de campo</t>
  </si>
  <si>
    <t>Idade média -anos</t>
  </si>
  <si>
    <t>Situação média aspectos fitossanitário</t>
  </si>
  <si>
    <t>Média a boa</t>
  </si>
  <si>
    <t>Vida útil de um bananal na região - anos</t>
  </si>
  <si>
    <t>Fator de aproveitamento</t>
  </si>
  <si>
    <t xml:space="preserve">Valor de avaliação </t>
  </si>
  <si>
    <t>Quantidade por ha por ano</t>
  </si>
  <si>
    <t>Muda Manga</t>
  </si>
  <si>
    <t>GASTO COM MÃO DE OBRA</t>
  </si>
  <si>
    <t>Apoio a pulveizações</t>
  </si>
  <si>
    <t>SUB-TOTAL -  GASTO COM TRATOR E EQUIPAMENTOS E AVIAÇÃO AGRÍCOLA =</t>
  </si>
  <si>
    <t>Custo para formação de 1 ha de Manga- ano 1 +ano 2</t>
  </si>
  <si>
    <t>Situação atual dos mangueirais, avaliado pelas imagens aéreas e visita de campo</t>
  </si>
  <si>
    <t>Nitrato de Potássio</t>
  </si>
  <si>
    <t>Muda Limao</t>
  </si>
  <si>
    <t>colheita</t>
  </si>
  <si>
    <t>Situação atual da cultura do limão, avaliado pelas imagens aéreas e visita de campo</t>
  </si>
  <si>
    <t>Custo para formação de 1 ha de Limão- ano 1 +ano 2</t>
  </si>
  <si>
    <t>Manga 2/</t>
  </si>
  <si>
    <t>2/ Estimativa de custo - período - julho/agosto -2025 para formação de 1 ha de Manga- Custo de investimento para alta tecnologia</t>
  </si>
  <si>
    <t>3/ Estimativa de custo - período - julho/agosto -2025 para formação de 1 ha de Limão- Custo de investimento para alta tecnologia</t>
  </si>
  <si>
    <t>Limão 3/</t>
  </si>
  <si>
    <t>6/ Valor do pivô – corresponde ao produto entre o valor avaliado do pivô pela área. O valor avaliado encontra-se detalhado na planilha ‘Cálculo depre-sist irrigação’</t>
  </si>
  <si>
    <t>7/ Valor da irrigação localizada – corresponde ao produto entre o valor avaliado do sistema pela área. O valor avaliado encontra-se detalhado na planilha ‘Cálculo depre-sist irrigação’</t>
  </si>
  <si>
    <t>CULTURA 8/</t>
  </si>
  <si>
    <t>PAINEL 9/</t>
  </si>
  <si>
    <t>TOTAL GERAL 10/</t>
  </si>
  <si>
    <t>8/ Valor da cultura - refere-se ao produto do valor de avaliação da cultura pela área. O valor de avalização encontra-se detalhado na planilha "Valor da Cultura"</t>
  </si>
  <si>
    <t>9/Valor do painel - refere-se ao valor estimado dos painéis pela área do sistema. Mais detalhes se encontra na planilha "Estimativa valor - Painel solar"</t>
  </si>
  <si>
    <t>10/ Valor total geral – corresponde à soma dos valores referentes ao Valor total de Fator de Oferta e Localização, Valor do Pivô, Valor do Sistema Localizado, Valor da Cultura e Valor dos Painéis.</t>
  </si>
  <si>
    <t>Nº PROPRIEDADE</t>
  </si>
  <si>
    <t xml:space="preserve">ÍNDICE </t>
  </si>
  <si>
    <t>SUBTOTAL =</t>
  </si>
  <si>
    <t xml:space="preserve">TOTAL GERAL = </t>
  </si>
  <si>
    <t>*OBS: Fonte Painel Solar = PORTAL SOLAR- 31-972132657 - Contato@portalsolar.com.br - Data de Referência- Janeiro/2025 - Valores médios praticados no Brasil.</t>
  </si>
  <si>
    <t>Valor médio de um sistema novo de Pivô central para 28 ha(média das propriedades) - R$/ha =</t>
  </si>
  <si>
    <t>LISTA DE ABAS</t>
  </si>
  <si>
    <t>Capa</t>
  </si>
  <si>
    <t>Cálculo Depre.-Sist. Irrig.</t>
  </si>
  <si>
    <t>Estimativa Valores-Painéis Sol.</t>
  </si>
  <si>
    <t>Cálculo Valor Avaliação-Cultura</t>
  </si>
  <si>
    <t>Cálculo Geral de Propriedades</t>
  </si>
  <si>
    <t>Memória de cálculo do valor de avaliação das culturas de Banana, Limão e Manga.</t>
  </si>
  <si>
    <t>Planilha geral do cálculo dos valores por propriedade.</t>
  </si>
  <si>
    <t>Base da estimativa dos valores dos painéis solares.</t>
  </si>
  <si>
    <t>Identificação do documento.</t>
  </si>
  <si>
    <t xml:space="preserve">2/- Fator de oferta         - </t>
  </si>
  <si>
    <r>
      <t xml:space="preserve">    </t>
    </r>
    <r>
      <rPr>
        <u/>
        <sz val="8"/>
        <rFont val="Calibri"/>
        <family val="2"/>
        <scheme val="minor"/>
      </rPr>
      <t>Equação</t>
    </r>
    <r>
      <rPr>
        <sz val="8"/>
        <rFont val="Calibri"/>
        <family val="2"/>
        <scheme val="minor"/>
      </rPr>
      <t>:</t>
    </r>
  </si>
  <si>
    <r>
      <t xml:space="preserve">    </t>
    </r>
    <r>
      <rPr>
        <u/>
        <sz val="8"/>
        <rFont val="Calibri"/>
        <family val="2"/>
        <scheme val="minor"/>
      </rPr>
      <t>onde</t>
    </r>
    <r>
      <rPr>
        <sz val="8"/>
        <rFont val="Calibri"/>
        <family val="2"/>
        <scheme val="minor"/>
      </rPr>
      <t>:</t>
    </r>
  </si>
  <si>
    <r>
      <t xml:space="preserve">       </t>
    </r>
    <r>
      <rPr>
        <u/>
        <sz val="8"/>
        <rFont val="Calibri"/>
        <family val="2"/>
        <scheme val="minor"/>
      </rPr>
      <t>Fator de Liquidez</t>
    </r>
  </si>
  <si>
    <t>Memória de cálculo do valor avaliado dos sistemas de irrigação baseado na depreciação.</t>
  </si>
  <si>
    <t>Valor médio de um sistema novo de Microaspersão (para atender cultura de limão, manga, banana), para 16 ha (média das pr0priedades) - R$/ha =</t>
  </si>
  <si>
    <t>3/- Fator de ajuste em relação ao acesso 1</t>
  </si>
  <si>
    <t>3/- Fator de ajuste em relação ao acesso 2</t>
  </si>
  <si>
    <t>FATOR DE AJUSTE - ACESSO 1 - 3/</t>
  </si>
  <si>
    <t>VALOR ESTIMADO  (R$)</t>
  </si>
  <si>
    <t>Parte 01/03</t>
  </si>
  <si>
    <t>Parte 02/03</t>
  </si>
  <si>
    <t>Parte 03/03</t>
  </si>
  <si>
    <t>Parte 02/02</t>
  </si>
  <si>
    <t>Parte 01/02</t>
  </si>
  <si>
    <t>Parte 01/01</t>
  </si>
  <si>
    <t xml:space="preserve">ETAPA 4   -  TOTAL = </t>
  </si>
  <si>
    <t xml:space="preserve">ETAPA 3   -  TOTAL = </t>
  </si>
  <si>
    <t>ETAPA 4</t>
  </si>
  <si>
    <t>ETAPA 3</t>
  </si>
  <si>
    <t>Valores Est. por Propriedade</t>
  </si>
  <si>
    <t>Valores Est. por Prop. ET.3e4</t>
  </si>
  <si>
    <t>Planilha resumo dos valores estimados das propriedades nas Etapas 3 e 4.</t>
  </si>
  <si>
    <t>Planilha resumo dos valores estimados das propriedades geral.</t>
  </si>
  <si>
    <t>Fonte do valor novo sistema de Irrigação - Tecminas -irrigação (038)991138754</t>
  </si>
  <si>
    <t>JB_E3-4.05.TOP.PL.002_R1-Mem. Cálculo vl propriedades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</si>
</sst>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00_-;\-* #,##0.0000_-;_-* &quot;-&quot;??_-;_-@_-"/>
    <numFmt numFmtId="165" formatCode="0.0000"/>
    <numFmt numFmtId="166" formatCode="#,##0.0"/>
    <numFmt numFmtId="167" formatCode="#,##0.000"/>
    <numFmt numFmtId="168" formatCode="[$-416]mmmm\-yy;@"/>
    <numFmt numFmtId="169" formatCode="0.0"/>
    <numFmt numFmtId="170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</font>
    <font>
      <b/>
      <sz val="16"/>
      <name val="Calibri"/>
      <family val="2"/>
    </font>
    <font>
      <sz val="10"/>
      <name val="Arial"/>
      <family val="2"/>
    </font>
    <font>
      <sz val="18"/>
      <name val="Calibri"/>
      <family val="2"/>
      <scheme val="minor"/>
    </font>
    <font>
      <b/>
      <sz val="18"/>
      <name val="Calibri"/>
      <family val="2"/>
    </font>
    <font>
      <b/>
      <sz val="12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5">
    <xf numFmtId="0" fontId="0" fillId="0" borderId="0" xfId="0"/>
    <xf numFmtId="1" fontId="0" fillId="2" borderId="1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3" fontId="0" fillId="0" borderId="2" xfId="0" applyNumberFormat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 wrapText="1"/>
    </xf>
    <xf numFmtId="43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0" xfId="1" applyNumberFormat="1" applyFont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left" vertical="center"/>
    </xf>
    <xf numFmtId="1" fontId="2" fillId="2" borderId="5" xfId="0" applyNumberFormat="1" applyFont="1" applyFill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/>
    </xf>
    <xf numFmtId="3" fontId="2" fillId="0" borderId="8" xfId="2" applyNumberFormat="1" applyFont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2" xfId="0" applyFill="1" applyBorder="1"/>
    <xf numFmtId="0" fontId="0" fillId="2" borderId="0" xfId="0" applyFill="1"/>
    <xf numFmtId="0" fontId="0" fillId="2" borderId="16" xfId="0" applyFill="1" applyBorder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9" fillId="18" borderId="24" xfId="0" applyFont="1" applyFill="1" applyBorder="1" applyAlignment="1">
      <alignment vertical="center"/>
    </xf>
    <xf numFmtId="0" fontId="0" fillId="0" borderId="30" xfId="0" applyBorder="1" applyAlignment="1">
      <alignment vertical="center" wrapText="1"/>
    </xf>
    <xf numFmtId="0" fontId="0" fillId="8" borderId="24" xfId="0" applyFill="1" applyBorder="1" applyAlignment="1">
      <alignment vertical="center"/>
    </xf>
    <xf numFmtId="0" fontId="9" fillId="19" borderId="24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10" fillId="0" borderId="24" xfId="0" applyNumberFormat="1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/>
    </xf>
    <xf numFmtId="4" fontId="10" fillId="0" borderId="30" xfId="0" applyNumberFormat="1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left" vertical="center" wrapText="1"/>
    </xf>
    <xf numFmtId="1" fontId="10" fillId="0" borderId="28" xfId="0" applyNumberFormat="1" applyFont="1" applyBorder="1" applyAlignment="1">
      <alignment horizontal="center" vertical="center"/>
    </xf>
    <xf numFmtId="169" fontId="10" fillId="0" borderId="28" xfId="0" applyNumberFormat="1" applyFont="1" applyBorder="1" applyAlignment="1">
      <alignment horizontal="center" vertical="center"/>
    </xf>
    <xf numFmtId="4" fontId="10" fillId="0" borderId="28" xfId="0" applyNumberFormat="1" applyFont="1" applyBorder="1" applyAlignment="1">
      <alignment horizontal="center" vertical="center"/>
    </xf>
    <xf numFmtId="4" fontId="11" fillId="6" borderId="28" xfId="0" applyNumberFormat="1" applyFont="1" applyFill="1" applyBorder="1" applyAlignment="1">
      <alignment horizontal="center" vertical="center"/>
    </xf>
    <xf numFmtId="4" fontId="10" fillId="0" borderId="3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169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0" fillId="0" borderId="40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4" fontId="10" fillId="0" borderId="5" xfId="0" applyNumberFormat="1" applyFont="1" applyBorder="1" applyAlignment="1">
      <alignment horizontal="left" vertical="center"/>
    </xf>
    <xf numFmtId="4" fontId="10" fillId="0" borderId="6" xfId="0" applyNumberFormat="1" applyFont="1" applyBorder="1" applyAlignment="1">
      <alignment horizontal="center" vertical="center"/>
    </xf>
    <xf numFmtId="0" fontId="10" fillId="0" borderId="5" xfId="0" applyFont="1" applyBorder="1"/>
    <xf numFmtId="4" fontId="10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left" vertical="center"/>
    </xf>
    <xf numFmtId="4" fontId="10" fillId="0" borderId="6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6" xfId="0" applyFont="1" applyBorder="1"/>
    <xf numFmtId="1" fontId="10" fillId="0" borderId="5" xfId="0" applyNumberFormat="1" applyFont="1" applyBorder="1" applyAlignment="1">
      <alignment horizontal="center" vertical="center"/>
    </xf>
    <xf numFmtId="4" fontId="10" fillId="0" borderId="0" xfId="0" applyNumberFormat="1" applyFont="1" applyAlignment="1">
      <alignment horizontal="left"/>
    </xf>
    <xf numFmtId="1" fontId="10" fillId="0" borderId="7" xfId="0" applyNumberFormat="1" applyFont="1" applyBorder="1"/>
    <xf numFmtId="0" fontId="10" fillId="0" borderId="8" xfId="0" applyFont="1" applyBorder="1"/>
    <xf numFmtId="4" fontId="10" fillId="0" borderId="8" xfId="0" applyNumberFormat="1" applyFont="1" applyBorder="1" applyAlignment="1">
      <alignment horizontal="left"/>
    </xf>
    <xf numFmtId="1" fontId="10" fillId="0" borderId="8" xfId="0" applyNumberFormat="1" applyFont="1" applyBorder="1"/>
    <xf numFmtId="49" fontId="10" fillId="0" borderId="8" xfId="0" applyNumberFormat="1" applyFont="1" applyBorder="1"/>
    <xf numFmtId="4" fontId="10" fillId="0" borderId="8" xfId="0" applyNumberFormat="1" applyFont="1" applyBorder="1"/>
    <xf numFmtId="4" fontId="10" fillId="0" borderId="9" xfId="0" applyNumberFormat="1" applyFont="1" applyBorder="1"/>
    <xf numFmtId="0" fontId="13" fillId="0" borderId="0" xfId="0" applyFont="1"/>
    <xf numFmtId="4" fontId="13" fillId="0" borderId="0" xfId="0" applyNumberFormat="1" applyFont="1"/>
    <xf numFmtId="0" fontId="13" fillId="5" borderId="0" xfId="0" applyFont="1" applyFill="1"/>
    <xf numFmtId="0" fontId="13" fillId="0" borderId="0" xfId="0" applyFont="1" applyAlignment="1">
      <alignment horizontal="center" vertical="center"/>
    </xf>
    <xf numFmtId="0" fontId="15" fillId="17" borderId="24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30" xfId="0" applyFont="1" applyFill="1" applyBorder="1" applyAlignment="1">
      <alignment horizontal="center" vertical="center"/>
    </xf>
    <xf numFmtId="1" fontId="16" fillId="2" borderId="24" xfId="0" applyNumberFormat="1" applyFont="1" applyFill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3" fontId="16" fillId="0" borderId="30" xfId="0" applyNumberFormat="1" applyFont="1" applyBorder="1" applyAlignment="1">
      <alignment horizontal="center" vertical="center"/>
    </xf>
    <xf numFmtId="1" fontId="16" fillId="2" borderId="27" xfId="0" applyNumberFormat="1" applyFont="1" applyFill="1" applyBorder="1" applyAlignment="1">
      <alignment horizontal="center" vertical="center"/>
    </xf>
    <xf numFmtId="3" fontId="16" fillId="0" borderId="3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8" borderId="23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30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30" xfId="0" applyFont="1" applyFill="1" applyBorder="1" applyAlignment="1">
      <alignment horizontal="center" vertical="center"/>
    </xf>
    <xf numFmtId="0" fontId="13" fillId="0" borderId="24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6" fontId="13" fillId="0" borderId="30" xfId="1" applyNumberFormat="1" applyFont="1" applyFill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6" fillId="0" borderId="30" xfId="0" applyNumberFormat="1" applyFont="1" applyBorder="1" applyAlignment="1">
      <alignment horizontal="center" vertical="center"/>
    </xf>
    <xf numFmtId="166" fontId="16" fillId="0" borderId="1" xfId="1" applyNumberFormat="1" applyFont="1" applyFill="1" applyBorder="1" applyAlignment="1">
      <alignment horizontal="center" vertical="center"/>
    </xf>
    <xf numFmtId="166" fontId="16" fillId="0" borderId="30" xfId="1" applyNumberFormat="1" applyFont="1" applyFill="1" applyBorder="1" applyAlignment="1">
      <alignment horizontal="center" vertical="center"/>
    </xf>
    <xf numFmtId="0" fontId="13" fillId="0" borderId="27" xfId="0" applyFont="1" applyBorder="1" applyAlignment="1">
      <alignment vertical="center"/>
    </xf>
    <xf numFmtId="0" fontId="13" fillId="0" borderId="28" xfId="0" applyFont="1" applyBorder="1" applyAlignment="1">
      <alignment horizontal="center" vertical="center"/>
    </xf>
    <xf numFmtId="166" fontId="13" fillId="0" borderId="28" xfId="0" applyNumberFormat="1" applyFont="1" applyBorder="1" applyAlignment="1">
      <alignment horizontal="center" vertical="center"/>
    </xf>
    <xf numFmtId="166" fontId="13" fillId="0" borderId="31" xfId="1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vertical="center"/>
    </xf>
    <xf numFmtId="0" fontId="16" fillId="0" borderId="28" xfId="0" applyFont="1" applyBorder="1" applyAlignment="1">
      <alignment horizontal="center" vertical="center"/>
    </xf>
    <xf numFmtId="166" fontId="16" fillId="0" borderId="28" xfId="0" applyNumberFormat="1" applyFont="1" applyBorder="1" applyAlignment="1">
      <alignment horizontal="center" vertical="center"/>
    </xf>
    <xf numFmtId="166" fontId="16" fillId="0" borderId="31" xfId="0" applyNumberFormat="1" applyFont="1" applyBorder="1" applyAlignment="1">
      <alignment horizontal="center" vertical="center"/>
    </xf>
    <xf numFmtId="43" fontId="15" fillId="9" borderId="32" xfId="1" applyFont="1" applyFill="1" applyBorder="1" applyAlignment="1" applyProtection="1">
      <alignment vertical="center"/>
    </xf>
    <xf numFmtId="0" fontId="15" fillId="0" borderId="0" xfId="0" applyFont="1" applyAlignment="1">
      <alignment vertical="center"/>
    </xf>
    <xf numFmtId="4" fontId="15" fillId="14" borderId="25" xfId="0" applyNumberFormat="1" applyFont="1" applyFill="1" applyBorder="1" applyAlignment="1">
      <alignment horizontal="center" vertical="center"/>
    </xf>
    <xf numFmtId="4" fontId="15" fillId="14" borderId="32" xfId="0" applyNumberFormat="1" applyFont="1" applyFill="1" applyBorder="1" applyAlignment="1">
      <alignment horizontal="center" vertical="center"/>
    </xf>
    <xf numFmtId="166" fontId="16" fillId="0" borderId="28" xfId="1" applyNumberFormat="1" applyFont="1" applyFill="1" applyBorder="1" applyAlignment="1">
      <alignment horizontal="center" vertical="center"/>
    </xf>
    <xf numFmtId="166" fontId="16" fillId="0" borderId="31" xfId="1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4" fontId="13" fillId="0" borderId="0" xfId="0" applyNumberFormat="1" applyFont="1" applyAlignment="1">
      <alignment vertical="center"/>
    </xf>
    <xf numFmtId="0" fontId="13" fillId="0" borderId="6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6" fillId="0" borderId="6" xfId="0" applyFont="1" applyBorder="1" applyAlignment="1">
      <alignment vertical="center"/>
    </xf>
    <xf numFmtId="170" fontId="15" fillId="14" borderId="25" xfId="1" applyNumberFormat="1" applyFont="1" applyFill="1" applyBorder="1" applyAlignment="1" applyProtection="1">
      <alignment horizontal="center" vertical="center"/>
    </xf>
    <xf numFmtId="170" fontId="15" fillId="14" borderId="32" xfId="1" applyNumberFormat="1" applyFont="1" applyFill="1" applyBorder="1" applyAlignment="1" applyProtection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170" fontId="15" fillId="0" borderId="0" xfId="1" applyNumberFormat="1" applyFont="1" applyFill="1" applyBorder="1" applyAlignment="1" applyProtection="1">
      <alignment horizontal="center" vertical="center"/>
    </xf>
    <xf numFmtId="170" fontId="15" fillId="0" borderId="6" xfId="1" applyNumberFormat="1" applyFont="1" applyFill="1" applyBorder="1" applyAlignment="1" applyProtection="1">
      <alignment horizontal="center" vertical="center"/>
    </xf>
    <xf numFmtId="43" fontId="15" fillId="9" borderId="32" xfId="1" applyFont="1" applyFill="1" applyBorder="1" applyAlignment="1" applyProtection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6" fillId="0" borderId="34" xfId="0" applyFont="1" applyBorder="1" applyAlignment="1">
      <alignment vertical="center"/>
    </xf>
    <xf numFmtId="0" fontId="13" fillId="0" borderId="24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166" fontId="16" fillId="0" borderId="1" xfId="0" applyNumberFormat="1" applyFont="1" applyBorder="1" applyAlignment="1">
      <alignment horizontal="left" vertical="center"/>
    </xf>
    <xf numFmtId="0" fontId="13" fillId="0" borderId="27" xfId="0" applyFont="1" applyBorder="1" applyAlignment="1">
      <alignment horizontal="left" vertical="center"/>
    </xf>
    <xf numFmtId="0" fontId="15" fillId="0" borderId="7" xfId="0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43" fontId="15" fillId="0" borderId="9" xfId="1" applyFont="1" applyFill="1" applyBorder="1" applyAlignment="1" applyProtection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3" fillId="0" borderId="5" xfId="0" applyFont="1" applyBorder="1"/>
    <xf numFmtId="0" fontId="13" fillId="0" borderId="6" xfId="0" applyFont="1" applyBorder="1"/>
    <xf numFmtId="43" fontId="19" fillId="7" borderId="20" xfId="0" applyNumberFormat="1" applyFont="1" applyFill="1" applyBorder="1" applyAlignment="1">
      <alignment horizontal="left" vertical="center" indent="2"/>
    </xf>
    <xf numFmtId="4" fontId="20" fillId="15" borderId="25" xfId="0" applyNumberFormat="1" applyFont="1" applyFill="1" applyBorder="1" applyAlignment="1">
      <alignment horizontal="center" vertical="center"/>
    </xf>
    <xf numFmtId="4" fontId="20" fillId="15" borderId="32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4" fontId="19" fillId="15" borderId="20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2" fontId="0" fillId="0" borderId="0" xfId="0" applyNumberFormat="1" applyAlignment="1">
      <alignment horizontal="center" vertical="center"/>
    </xf>
    <xf numFmtId="0" fontId="2" fillId="10" borderId="27" xfId="0" applyFont="1" applyFill="1" applyBorder="1" applyAlignment="1">
      <alignment vertical="center"/>
    </xf>
    <xf numFmtId="43" fontId="2" fillId="10" borderId="28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3" fontId="2" fillId="10" borderId="28" xfId="0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3" fontId="14" fillId="3" borderId="3" xfId="0" applyNumberFormat="1" applyFont="1" applyFill="1" applyBorder="1" applyAlignment="1">
      <alignment horizontal="center" vertical="center" wrapText="1"/>
    </xf>
    <xf numFmtId="166" fontId="14" fillId="3" borderId="3" xfId="0" applyNumberFormat="1" applyFont="1" applyFill="1" applyBorder="1" applyAlignment="1">
      <alignment horizontal="center" vertical="center" wrapText="1"/>
    </xf>
    <xf numFmtId="167" fontId="14" fillId="3" borderId="3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 wrapText="1"/>
    </xf>
    <xf numFmtId="3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3" fontId="14" fillId="3" borderId="4" xfId="0" applyNumberFormat="1" applyFont="1" applyFill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center" vertical="center" wrapText="1"/>
    </xf>
    <xf numFmtId="166" fontId="14" fillId="3" borderId="4" xfId="0" applyNumberFormat="1" applyFont="1" applyFill="1" applyBorder="1" applyAlignment="1">
      <alignment horizontal="center" vertical="center" wrapText="1"/>
    </xf>
    <xf numFmtId="167" fontId="14" fillId="3" borderId="4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9" fontId="16" fillId="0" borderId="1" xfId="2" applyFont="1" applyFill="1" applyBorder="1" applyAlignment="1">
      <alignment horizontal="center" vertical="center"/>
    </xf>
    <xf numFmtId="4" fontId="16" fillId="0" borderId="1" xfId="2" applyNumberFormat="1" applyFont="1" applyFill="1" applyBorder="1" applyAlignment="1">
      <alignment horizontal="center" vertical="center"/>
    </xf>
    <xf numFmtId="3" fontId="21" fillId="0" borderId="1" xfId="0" applyNumberFormat="1" applyFont="1" applyBorder="1" applyAlignment="1">
      <alignment horizontal="left" vertical="center"/>
    </xf>
    <xf numFmtId="3" fontId="13" fillId="0" borderId="2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left" vertical="center"/>
    </xf>
    <xf numFmtId="167" fontId="16" fillId="0" borderId="1" xfId="0" applyNumberFormat="1" applyFont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43" fontId="13" fillId="2" borderId="0" xfId="0" applyNumberFormat="1" applyFont="1" applyFill="1" applyAlignment="1">
      <alignment vertical="center"/>
    </xf>
    <xf numFmtId="3" fontId="13" fillId="2" borderId="0" xfId="1" applyNumberFormat="1" applyFont="1" applyFill="1" applyBorder="1" applyAlignment="1">
      <alignment horizontal="center" vertical="center"/>
    </xf>
    <xf numFmtId="3" fontId="16" fillId="0" borderId="1" xfId="2" applyNumberFormat="1" applyFont="1" applyFill="1" applyBorder="1" applyAlignment="1">
      <alignment horizontal="center" vertical="center"/>
    </xf>
    <xf numFmtId="165" fontId="13" fillId="2" borderId="0" xfId="0" applyNumberFormat="1" applyFont="1" applyFill="1" applyAlignment="1">
      <alignment vertical="center"/>
    </xf>
    <xf numFmtId="1" fontId="16" fillId="2" borderId="1" xfId="0" applyNumberFormat="1" applyFont="1" applyFill="1" applyBorder="1" applyAlignment="1">
      <alignment horizontal="center" vertical="center"/>
    </xf>
    <xf numFmtId="1" fontId="14" fillId="2" borderId="11" xfId="0" applyNumberFormat="1" applyFont="1" applyFill="1" applyBorder="1" applyAlignment="1">
      <alignment horizontal="center" vertical="center"/>
    </xf>
    <xf numFmtId="166" fontId="14" fillId="0" borderId="12" xfId="1" applyNumberFormat="1" applyFont="1" applyBorder="1" applyAlignment="1">
      <alignment horizontal="center" vertical="center"/>
    </xf>
    <xf numFmtId="9" fontId="14" fillId="0" borderId="12" xfId="2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" fontId="14" fillId="2" borderId="12" xfId="0" applyNumberFormat="1" applyFont="1" applyFill="1" applyBorder="1" applyAlignment="1">
      <alignment horizontal="center" vertical="center"/>
    </xf>
    <xf numFmtId="3" fontId="13" fillId="0" borderId="13" xfId="0" applyNumberFormat="1" applyFont="1" applyBorder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4" fontId="14" fillId="0" borderId="8" xfId="0" applyNumberFormat="1" applyFont="1" applyBorder="1" applyAlignment="1">
      <alignment horizontal="center" vertical="center"/>
    </xf>
    <xf numFmtId="4" fontId="14" fillId="0" borderId="8" xfId="2" applyNumberFormat="1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/>
    </xf>
    <xf numFmtId="4" fontId="14" fillId="2" borderId="8" xfId="0" applyNumberFormat="1" applyFont="1" applyFill="1" applyBorder="1" applyAlignment="1">
      <alignment horizontal="center" vertical="center"/>
    </xf>
    <xf numFmtId="167" fontId="14" fillId="0" borderId="8" xfId="0" applyNumberFormat="1" applyFont="1" applyBorder="1" applyAlignment="1">
      <alignment horizontal="center" vertical="center"/>
    </xf>
    <xf numFmtId="1" fontId="13" fillId="2" borderId="0" xfId="0" applyNumberFormat="1" applyFont="1" applyFill="1" applyAlignment="1">
      <alignment horizontal="left" vertical="center"/>
    </xf>
    <xf numFmtId="166" fontId="13" fillId="0" borderId="0" xfId="1" applyNumberFormat="1" applyFont="1" applyBorder="1" applyAlignment="1">
      <alignment horizontal="left" vertical="center"/>
    </xf>
    <xf numFmtId="9" fontId="13" fillId="0" borderId="0" xfId="2" applyFont="1" applyBorder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4" fontId="13" fillId="0" borderId="0" xfId="0" applyNumberFormat="1" applyFont="1" applyAlignment="1">
      <alignment horizontal="left" vertical="center"/>
    </xf>
    <xf numFmtId="167" fontId="13" fillId="0" borderId="0" xfId="0" applyNumberFormat="1" applyFont="1" applyAlignment="1">
      <alignment horizontal="left" vertical="center"/>
    </xf>
    <xf numFmtId="3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4" fontId="13" fillId="0" borderId="0" xfId="1" applyNumberFormat="1" applyFont="1" applyBorder="1" applyAlignment="1">
      <alignment horizontal="center" vertical="center"/>
    </xf>
    <xf numFmtId="4" fontId="13" fillId="0" borderId="0" xfId="2" applyNumberFormat="1" applyFont="1" applyBorder="1" applyAlignment="1">
      <alignment horizontal="left" vertical="center"/>
    </xf>
    <xf numFmtId="2" fontId="13" fillId="0" borderId="0" xfId="2" applyNumberFormat="1" applyFont="1" applyBorder="1" applyAlignment="1">
      <alignment horizontal="left" vertical="center"/>
    </xf>
    <xf numFmtId="1" fontId="13" fillId="2" borderId="0" xfId="0" applyNumberFormat="1" applyFont="1" applyFill="1" applyAlignment="1">
      <alignment horizontal="center" vertical="center"/>
    </xf>
    <xf numFmtId="166" fontId="13" fillId="0" borderId="0" xfId="1" applyNumberFormat="1" applyFont="1" applyBorder="1" applyAlignment="1">
      <alignment horizontal="center" vertical="center"/>
    </xf>
    <xf numFmtId="9" fontId="13" fillId="0" borderId="0" xfId="2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14" fillId="3" borderId="22" xfId="1" applyNumberFormat="1" applyFont="1" applyFill="1" applyBorder="1" applyAlignment="1">
      <alignment horizontal="center" vertical="center" wrapText="1"/>
    </xf>
    <xf numFmtId="166" fontId="14" fillId="3" borderId="29" xfId="0" applyNumberFormat="1" applyFont="1" applyFill="1" applyBorder="1" applyAlignment="1">
      <alignment horizontal="center" vertical="center" wrapText="1"/>
    </xf>
    <xf numFmtId="1" fontId="13" fillId="0" borderId="24" xfId="0" applyNumberFormat="1" applyFont="1" applyBorder="1" applyAlignment="1">
      <alignment horizontal="center"/>
    </xf>
    <xf numFmtId="4" fontId="13" fillId="0" borderId="30" xfId="0" applyNumberFormat="1" applyFont="1" applyBorder="1" applyAlignment="1">
      <alignment horizontal="center"/>
    </xf>
    <xf numFmtId="1" fontId="13" fillId="0" borderId="36" xfId="0" applyNumberFormat="1" applyFont="1" applyBorder="1" applyAlignment="1">
      <alignment horizontal="center"/>
    </xf>
    <xf numFmtId="4" fontId="13" fillId="0" borderId="37" xfId="0" applyNumberFormat="1" applyFont="1" applyBorder="1" applyAlignment="1">
      <alignment horizontal="center"/>
    </xf>
    <xf numFmtId="1" fontId="13" fillId="0" borderId="27" xfId="0" applyNumberFormat="1" applyFont="1" applyBorder="1" applyAlignment="1">
      <alignment horizontal="center"/>
    </xf>
    <xf numFmtId="4" fontId="13" fillId="0" borderId="3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4" fontId="14" fillId="0" borderId="32" xfId="0" applyNumberFormat="1" applyFont="1" applyBorder="1" applyAlignment="1">
      <alignment horizontal="center"/>
    </xf>
    <xf numFmtId="4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14" fillId="0" borderId="17" xfId="0" applyFont="1" applyBorder="1" applyAlignment="1">
      <alignment horizontal="right"/>
    </xf>
    <xf numFmtId="4" fontId="14" fillId="0" borderId="18" xfId="0" applyNumberFormat="1" applyFont="1" applyBorder="1" applyAlignment="1">
      <alignment horizontal="right"/>
    </xf>
    <xf numFmtId="0" fontId="14" fillId="0" borderId="18" xfId="0" applyFont="1" applyBorder="1" applyAlignment="1">
      <alignment horizontal="right"/>
    </xf>
    <xf numFmtId="4" fontId="14" fillId="0" borderId="19" xfId="0" applyNumberFormat="1" applyFont="1" applyBorder="1" applyAlignment="1">
      <alignment horizontal="center"/>
    </xf>
    <xf numFmtId="4" fontId="16" fillId="0" borderId="28" xfId="0" applyNumberFormat="1" applyFont="1" applyBorder="1" applyAlignment="1">
      <alignment horizontal="center" vertical="center"/>
    </xf>
    <xf numFmtId="3" fontId="13" fillId="0" borderId="0" xfId="2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right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8" xfId="0" applyFont="1" applyBorder="1"/>
    <xf numFmtId="4" fontId="14" fillId="0" borderId="19" xfId="0" applyNumberFormat="1" applyFont="1" applyBorder="1" applyAlignment="1">
      <alignment horizontal="right"/>
    </xf>
    <xf numFmtId="0" fontId="13" fillId="0" borderId="0" xfId="0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3" fillId="0" borderId="8" xfId="0" applyFont="1" applyBorder="1" applyAlignment="1">
      <alignment horizontal="center"/>
    </xf>
    <xf numFmtId="0" fontId="13" fillId="0" borderId="8" xfId="0" applyFont="1" applyBorder="1"/>
    <xf numFmtId="0" fontId="23" fillId="0" borderId="0" xfId="0" applyFont="1" applyAlignment="1">
      <alignment horizont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 wrapText="1"/>
    </xf>
    <xf numFmtId="0" fontId="0" fillId="0" borderId="24" xfId="0" applyBorder="1" applyAlignment="1">
      <alignment vertical="center"/>
    </xf>
    <xf numFmtId="4" fontId="13" fillId="0" borderId="46" xfId="0" applyNumberFormat="1" applyFont="1" applyBorder="1" applyAlignment="1">
      <alignment horizontal="center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166" fontId="2" fillId="3" borderId="4" xfId="0" applyNumberFormat="1" applyFont="1" applyFill="1" applyBorder="1" applyAlignment="1">
      <alignment horizontal="center" vertical="center" wrapText="1"/>
    </xf>
    <xf numFmtId="167" fontId="2" fillId="3" borderId="3" xfId="0" applyNumberFormat="1" applyFont="1" applyFill="1" applyBorder="1" applyAlignment="1">
      <alignment horizontal="center" vertical="center" wrapText="1"/>
    </xf>
    <xf numFmtId="167" fontId="2" fillId="3" borderId="4" xfId="0" applyNumberFormat="1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166" fontId="2" fillId="3" borderId="3" xfId="1" applyNumberFormat="1" applyFont="1" applyFill="1" applyBorder="1" applyAlignment="1">
      <alignment horizontal="center" vertical="center" wrapText="1"/>
    </xf>
    <xf numFmtId="166" fontId="2" fillId="3" borderId="4" xfId="1" applyNumberFormat="1" applyFont="1" applyFill="1" applyBorder="1" applyAlignment="1">
      <alignment horizontal="center" vertical="center" wrapText="1"/>
    </xf>
    <xf numFmtId="164" fontId="2" fillId="3" borderId="3" xfId="1" applyNumberFormat="1" applyFont="1" applyFill="1" applyBorder="1" applyAlignment="1">
      <alignment horizontal="center" vertical="center" wrapText="1"/>
    </xf>
    <xf numFmtId="164" fontId="2" fillId="3" borderId="4" xfId="1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2" fillId="16" borderId="42" xfId="0" applyFont="1" applyFill="1" applyBorder="1" applyAlignment="1">
      <alignment horizontal="center" vertical="center"/>
    </xf>
    <xf numFmtId="0" fontId="22" fillId="16" borderId="4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168" fontId="7" fillId="2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166" fontId="17" fillId="0" borderId="0" xfId="0" applyNumberFormat="1" applyFont="1" applyAlignment="1">
      <alignment horizontal="left" vertical="center"/>
    </xf>
    <xf numFmtId="0" fontId="2" fillId="16" borderId="22" xfId="0" applyFont="1" applyFill="1" applyBorder="1" applyAlignment="1">
      <alignment horizontal="center" vertical="center" wrapText="1"/>
    </xf>
    <xf numFmtId="0" fontId="2" fillId="16" borderId="23" xfId="0" applyFont="1" applyFill="1" applyBorder="1" applyAlignment="1">
      <alignment horizontal="center" vertical="center" wrapText="1"/>
    </xf>
    <xf numFmtId="0" fontId="2" fillId="16" borderId="29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right" vertical="center"/>
    </xf>
    <xf numFmtId="0" fontId="15" fillId="9" borderId="25" xfId="0" applyFont="1" applyFill="1" applyBorder="1" applyAlignment="1">
      <alignment horizontal="right" vertical="center"/>
    </xf>
    <xf numFmtId="0" fontId="18" fillId="11" borderId="17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0" fontId="15" fillId="12" borderId="19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/>
    </xf>
    <xf numFmtId="0" fontId="15" fillId="8" borderId="23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15" fillId="14" borderId="17" xfId="0" applyFont="1" applyFill="1" applyBorder="1" applyAlignment="1">
      <alignment horizontal="right" vertical="center"/>
    </xf>
    <xf numFmtId="0" fontId="15" fillId="14" borderId="18" xfId="0" applyFont="1" applyFill="1" applyBorder="1" applyAlignment="1">
      <alignment horizontal="right" vertical="center"/>
    </xf>
    <xf numFmtId="0" fontId="15" fillId="14" borderId="33" xfId="0" applyFont="1" applyFill="1" applyBorder="1" applyAlignment="1">
      <alignment horizontal="right" vertical="center"/>
    </xf>
    <xf numFmtId="0" fontId="19" fillId="15" borderId="21" xfId="0" applyFont="1" applyFill="1" applyBorder="1" applyAlignment="1">
      <alignment horizontal="center" vertical="center"/>
    </xf>
    <xf numFmtId="0" fontId="19" fillId="15" borderId="25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5" fillId="13" borderId="23" xfId="0" applyFont="1" applyFill="1" applyBorder="1" applyAlignment="1">
      <alignment horizontal="center" vertical="center"/>
    </xf>
    <xf numFmtId="0" fontId="15" fillId="13" borderId="23" xfId="0" applyFont="1" applyFill="1" applyBorder="1" applyAlignment="1">
      <alignment horizontal="left" vertical="center"/>
    </xf>
    <xf numFmtId="0" fontId="15" fillId="13" borderId="29" xfId="0" applyFont="1" applyFill="1" applyBorder="1" applyAlignment="1">
      <alignment horizontal="left" vertical="center"/>
    </xf>
    <xf numFmtId="0" fontId="15" fillId="13" borderId="22" xfId="0" applyFont="1" applyFill="1" applyBorder="1" applyAlignment="1">
      <alignment horizontal="center" vertical="center"/>
    </xf>
    <xf numFmtId="0" fontId="15" fillId="13" borderId="24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29" xfId="0" applyFont="1" applyFill="1" applyBorder="1" applyAlignment="1">
      <alignment horizontal="center" vertical="center"/>
    </xf>
    <xf numFmtId="164" fontId="14" fillId="3" borderId="3" xfId="1" applyNumberFormat="1" applyFont="1" applyFill="1" applyBorder="1" applyAlignment="1">
      <alignment horizontal="center" vertical="center" wrapText="1"/>
    </xf>
    <xf numFmtId="164" fontId="14" fillId="3" borderId="4" xfId="1" applyNumberFormat="1" applyFont="1" applyFill="1" applyBorder="1" applyAlignment="1">
      <alignment horizontal="center" vertical="center" wrapText="1"/>
    </xf>
    <xf numFmtId="166" fontId="14" fillId="3" borderId="3" xfId="1" applyNumberFormat="1" applyFont="1" applyFill="1" applyBorder="1" applyAlignment="1">
      <alignment horizontal="center" vertical="center" wrapText="1"/>
    </xf>
    <xf numFmtId="166" fontId="14" fillId="3" borderId="4" xfId="1" applyNumberFormat="1" applyFont="1" applyFill="1" applyBorder="1" applyAlignment="1">
      <alignment horizontal="center" vertical="center" wrapText="1"/>
    </xf>
    <xf numFmtId="166" fontId="14" fillId="3" borderId="3" xfId="0" applyNumberFormat="1" applyFont="1" applyFill="1" applyBorder="1" applyAlignment="1">
      <alignment horizontal="center" vertical="center" wrapText="1"/>
    </xf>
    <xf numFmtId="166" fontId="14" fillId="3" borderId="4" xfId="0" applyNumberFormat="1" applyFont="1" applyFill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167" fontId="14" fillId="3" borderId="3" xfId="0" applyNumberFormat="1" applyFont="1" applyFill="1" applyBorder="1" applyAlignment="1">
      <alignment horizontal="center" vertical="center" wrapText="1"/>
    </xf>
    <xf numFmtId="167" fontId="14" fillId="3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58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54</xdr:row>
      <xdr:rowOff>38100</xdr:rowOff>
    </xdr:from>
    <xdr:to>
      <xdr:col>10</xdr:col>
      <xdr:colOff>533400</xdr:colOff>
      <xdr:row>58</xdr:row>
      <xdr:rowOff>95250</xdr:rowOff>
    </xdr:to>
    <xdr:pic>
      <xdr:nvPicPr>
        <xdr:cNvPr id="2" name="Imagem 6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24DD6860-46D6-4A69-A67A-E42D2798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7115175"/>
          <a:ext cx="4438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419100</xdr:colOff>
      <xdr:row>1</xdr:row>
      <xdr:rowOff>19050</xdr:rowOff>
    </xdr:from>
    <xdr:to>
      <xdr:col>8</xdr:col>
      <xdr:colOff>447675</xdr:colOff>
      <xdr:row>3</xdr:row>
      <xdr:rowOff>142875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4DDE6DC-5CCE-4A6E-9E51-066F35C51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09550"/>
          <a:ext cx="19431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DC7-8E35-4F74-98C5-A368CB5DFA0E}">
  <dimension ref="A1:Z395"/>
  <sheetViews>
    <sheetView showGridLines="0" zoomScale="80" zoomScaleNormal="80" workbookViewId="0">
      <pane ySplit="2" topLeftCell="A368" activePane="bottomLeft" state="frozen"/>
      <selection pane="bottomLeft" activeCell="B400" sqref="B400"/>
    </sheetView>
  </sheetViews>
  <sheetFormatPr defaultColWidth="9.140625" defaultRowHeight="15" x14ac:dyDescent="0.25"/>
  <cols>
    <col min="1" max="1" width="14.5703125" style="2" customWidth="1"/>
    <col min="2" max="2" width="17.5703125" style="18" bestFit="1" customWidth="1"/>
    <col min="3" max="3" width="10" style="17" bestFit="1" customWidth="1"/>
    <col min="4" max="4" width="15.85546875" style="17" customWidth="1"/>
    <col min="5" max="6" width="12.5703125" style="24" customWidth="1"/>
    <col min="7" max="7" width="9.5703125" style="5" customWidth="1"/>
    <col min="8" max="8" width="11" style="5" customWidth="1"/>
    <col min="9" max="9" width="13.85546875" style="3" customWidth="1"/>
    <col min="10" max="10" width="14.140625" style="3" customWidth="1"/>
    <col min="11" max="11" width="16.42578125" style="17" bestFit="1" customWidth="1"/>
    <col min="12" max="12" width="15.42578125" style="20" customWidth="1"/>
    <col min="13" max="13" width="11.5703125" style="20" customWidth="1"/>
    <col min="14" max="14" width="91.140625" style="5" bestFit="1" customWidth="1"/>
    <col min="15" max="15" width="14.85546875" style="5" bestFit="1" customWidth="1"/>
    <col min="16" max="16" width="12" style="5" bestFit="1" customWidth="1"/>
    <col min="17" max="17" width="22.42578125" style="5" customWidth="1"/>
    <col min="18" max="18" width="15.85546875" style="5" bestFit="1" customWidth="1"/>
    <col min="19" max="19" width="14.85546875" style="7" bestFit="1" customWidth="1"/>
    <col min="20" max="20" width="12.5703125" style="7" bestFit="1" customWidth="1"/>
    <col min="21" max="21" width="13.85546875" style="8" bestFit="1" customWidth="1"/>
    <col min="22" max="22" width="9.5703125" style="8" bestFit="1" customWidth="1"/>
    <col min="23" max="23" width="12.5703125" style="8" bestFit="1" customWidth="1"/>
    <col min="24" max="25" width="9.140625" style="8"/>
    <col min="26" max="16384" width="9.140625" style="9"/>
  </cols>
  <sheetData>
    <row r="1" spans="1:22" ht="45.75" customHeight="1" x14ac:dyDescent="0.25">
      <c r="A1" s="304" t="s">
        <v>15</v>
      </c>
      <c r="B1" s="302" t="s">
        <v>0</v>
      </c>
      <c r="C1" s="296" t="s">
        <v>3</v>
      </c>
      <c r="D1" s="296" t="s">
        <v>1</v>
      </c>
      <c r="E1" s="306" t="s">
        <v>8</v>
      </c>
      <c r="F1" s="306"/>
      <c r="G1" s="293" t="s">
        <v>4</v>
      </c>
      <c r="H1" s="293" t="s">
        <v>77</v>
      </c>
      <c r="I1" s="300" t="s">
        <v>2</v>
      </c>
      <c r="J1" s="300" t="s">
        <v>78</v>
      </c>
      <c r="K1" s="296" t="s">
        <v>12</v>
      </c>
      <c r="L1" s="298" t="s">
        <v>11</v>
      </c>
      <c r="M1" s="298" t="s">
        <v>79</v>
      </c>
      <c r="N1" s="293" t="s">
        <v>5</v>
      </c>
      <c r="O1" s="293" t="s">
        <v>6</v>
      </c>
      <c r="P1" s="293" t="s">
        <v>7</v>
      </c>
      <c r="Q1" s="295"/>
      <c r="S1" s="11"/>
    </row>
    <row r="2" spans="1:22" ht="45.75" customHeight="1" x14ac:dyDescent="0.25">
      <c r="A2" s="305"/>
      <c r="B2" s="303"/>
      <c r="C2" s="297"/>
      <c r="D2" s="297"/>
      <c r="E2" s="22" t="s">
        <v>9</v>
      </c>
      <c r="F2" s="22" t="s">
        <v>14</v>
      </c>
      <c r="G2" s="294"/>
      <c r="H2" s="294"/>
      <c r="I2" s="301"/>
      <c r="J2" s="301"/>
      <c r="K2" s="297"/>
      <c r="L2" s="299"/>
      <c r="M2" s="299"/>
      <c r="N2" s="294"/>
      <c r="O2" s="294"/>
      <c r="P2" s="294"/>
      <c r="Q2" s="295"/>
      <c r="S2" s="11"/>
    </row>
    <row r="3" spans="1:22" x14ac:dyDescent="0.25">
      <c r="A3" s="1">
        <v>1</v>
      </c>
      <c r="B3" s="14">
        <v>1206.7749435000001</v>
      </c>
      <c r="C3" s="19">
        <v>572.96760524000001</v>
      </c>
      <c r="D3" s="19">
        <v>633.80733826000005</v>
      </c>
      <c r="E3" s="23">
        <f t="shared" ref="E3:E66" si="0">C3/B3</f>
        <v>0.47479242780615455</v>
      </c>
      <c r="F3" s="23">
        <f t="shared" ref="F3:F66" si="1">D3/B3</f>
        <v>0.52520757219384551</v>
      </c>
      <c r="G3" s="6"/>
      <c r="H3" s="6"/>
      <c r="I3" s="4"/>
      <c r="J3" s="6"/>
      <c r="K3" s="6" t="s">
        <v>13</v>
      </c>
      <c r="L3" s="21"/>
      <c r="M3" s="6"/>
      <c r="N3" s="6" t="s">
        <v>25</v>
      </c>
      <c r="O3" s="6" t="s">
        <v>13</v>
      </c>
      <c r="P3" s="6" t="s">
        <v>10</v>
      </c>
      <c r="Q3" s="10"/>
    </row>
    <row r="4" spans="1:22" x14ac:dyDescent="0.25">
      <c r="A4" s="1">
        <v>2</v>
      </c>
      <c r="B4" s="15">
        <v>3666.8487748800003</v>
      </c>
      <c r="C4" s="19">
        <v>2600.6799079100006</v>
      </c>
      <c r="D4" s="19">
        <v>1066.16886697</v>
      </c>
      <c r="E4" s="23">
        <f t="shared" si="0"/>
        <v>0.70924111343945706</v>
      </c>
      <c r="F4" s="23">
        <f t="shared" si="1"/>
        <v>0.29075888656054294</v>
      </c>
      <c r="G4" s="6"/>
      <c r="H4" s="6"/>
      <c r="I4" s="4"/>
      <c r="J4" s="6"/>
      <c r="K4" s="6" t="s">
        <v>13</v>
      </c>
      <c r="L4" s="21">
        <v>511.72309999999999</v>
      </c>
      <c r="M4" s="6" t="s">
        <v>10</v>
      </c>
      <c r="N4" s="6" t="s">
        <v>26</v>
      </c>
      <c r="O4" s="6" t="s">
        <v>10</v>
      </c>
      <c r="P4" s="6" t="s">
        <v>10</v>
      </c>
      <c r="Q4" s="10"/>
      <c r="U4" s="12"/>
      <c r="V4" s="13"/>
    </row>
    <row r="5" spans="1:22" x14ac:dyDescent="0.25">
      <c r="A5" s="1">
        <v>3</v>
      </c>
      <c r="B5" s="15">
        <v>12.14621522</v>
      </c>
      <c r="C5" s="19">
        <v>12.054604059999999</v>
      </c>
      <c r="D5" s="19">
        <v>9.1611160000001135E-2</v>
      </c>
      <c r="E5" s="23">
        <f t="shared" si="0"/>
        <v>0.9924576373511681</v>
      </c>
      <c r="F5" s="23">
        <f t="shared" si="1"/>
        <v>7.5423626488318662E-3</v>
      </c>
      <c r="G5" s="6"/>
      <c r="H5" s="6"/>
      <c r="I5" s="4"/>
      <c r="J5" s="6"/>
      <c r="K5" s="6" t="s">
        <v>13</v>
      </c>
      <c r="L5" s="21"/>
      <c r="M5" s="6"/>
      <c r="N5" s="6" t="s">
        <v>13</v>
      </c>
      <c r="O5" s="6" t="s">
        <v>13</v>
      </c>
      <c r="P5" s="6" t="s">
        <v>10</v>
      </c>
      <c r="Q5" s="10"/>
    </row>
    <row r="6" spans="1:22" x14ac:dyDescent="0.25">
      <c r="A6" s="1">
        <v>4</v>
      </c>
      <c r="B6" s="15">
        <v>15.914785269999999</v>
      </c>
      <c r="C6" s="19">
        <v>15.914785269999999</v>
      </c>
      <c r="D6" s="19"/>
      <c r="E6" s="23">
        <f t="shared" si="0"/>
        <v>1</v>
      </c>
      <c r="F6" s="23">
        <f t="shared" si="1"/>
        <v>0</v>
      </c>
      <c r="G6" s="6"/>
      <c r="H6" s="6"/>
      <c r="I6" s="4"/>
      <c r="J6" s="6"/>
      <c r="K6" s="6" t="s">
        <v>13</v>
      </c>
      <c r="L6" s="21"/>
      <c r="M6" s="6"/>
      <c r="N6" s="6" t="s">
        <v>13</v>
      </c>
      <c r="O6" s="6" t="s">
        <v>13</v>
      </c>
      <c r="P6" s="6" t="s">
        <v>10</v>
      </c>
      <c r="Q6" s="10"/>
      <c r="U6" s="12"/>
    </row>
    <row r="7" spans="1:22" x14ac:dyDescent="0.25">
      <c r="A7" s="1">
        <v>5</v>
      </c>
      <c r="B7" s="15">
        <v>93.414859120000003</v>
      </c>
      <c r="C7" s="19">
        <v>82.127623710000009</v>
      </c>
      <c r="D7" s="19">
        <v>11.287235409999999</v>
      </c>
      <c r="E7" s="23">
        <f t="shared" si="0"/>
        <v>0.87917087799168547</v>
      </c>
      <c r="F7" s="23">
        <f t="shared" si="1"/>
        <v>0.1208291220083146</v>
      </c>
      <c r="G7" s="6"/>
      <c r="H7" s="6"/>
      <c r="I7" s="4"/>
      <c r="J7" s="6"/>
      <c r="K7" s="6" t="s">
        <v>13</v>
      </c>
      <c r="L7" s="21"/>
      <c r="M7" s="6"/>
      <c r="N7" s="6" t="s">
        <v>27</v>
      </c>
      <c r="O7" s="6" t="s">
        <v>13</v>
      </c>
      <c r="P7" s="6" t="s">
        <v>10</v>
      </c>
      <c r="Q7" s="10"/>
    </row>
    <row r="8" spans="1:22" x14ac:dyDescent="0.25">
      <c r="A8" s="1">
        <v>6</v>
      </c>
      <c r="B8" s="15">
        <v>108.07806863</v>
      </c>
      <c r="C8" s="19">
        <v>22.476286060000014</v>
      </c>
      <c r="D8" s="19">
        <v>81.009442609999994</v>
      </c>
      <c r="E8" s="23">
        <f t="shared" si="0"/>
        <v>0.20796343184986477</v>
      </c>
      <c r="F8" s="23">
        <f t="shared" si="1"/>
        <v>0.74954561676459885</v>
      </c>
      <c r="G8" s="6"/>
      <c r="H8" s="6"/>
      <c r="I8" s="4">
        <v>4.5923399599999994</v>
      </c>
      <c r="J8" s="6" t="s">
        <v>10</v>
      </c>
      <c r="K8" s="6" t="s">
        <v>16</v>
      </c>
      <c r="L8" s="21"/>
      <c r="M8" s="6"/>
      <c r="N8" s="6" t="s">
        <v>26</v>
      </c>
      <c r="O8" s="6" t="s">
        <v>10</v>
      </c>
      <c r="P8" s="6" t="s">
        <v>10</v>
      </c>
      <c r="Q8" s="10"/>
    </row>
    <row r="9" spans="1:22" x14ac:dyDescent="0.25">
      <c r="A9" s="1">
        <v>7</v>
      </c>
      <c r="B9" s="14">
        <v>53.319423459999996</v>
      </c>
      <c r="C9" s="19">
        <v>17.032642209999999</v>
      </c>
      <c r="D9" s="19">
        <v>36.286781249999997</v>
      </c>
      <c r="E9" s="23">
        <f t="shared" si="0"/>
        <v>0.31944535602073443</v>
      </c>
      <c r="F9" s="23">
        <f t="shared" si="1"/>
        <v>0.68055464397926557</v>
      </c>
      <c r="G9" s="6"/>
      <c r="H9" s="6"/>
      <c r="I9" s="4"/>
      <c r="J9" s="6"/>
      <c r="K9" s="6" t="s">
        <v>13</v>
      </c>
      <c r="L9" s="21"/>
      <c r="M9" s="6"/>
      <c r="N9" s="6" t="s">
        <v>13</v>
      </c>
      <c r="O9" s="6" t="s">
        <v>13</v>
      </c>
      <c r="P9" s="6" t="s">
        <v>10</v>
      </c>
      <c r="Q9" s="10"/>
      <c r="R9" s="7"/>
    </row>
    <row r="10" spans="1:22" x14ac:dyDescent="0.25">
      <c r="A10" s="1">
        <v>8</v>
      </c>
      <c r="B10" s="15">
        <v>30.14613233</v>
      </c>
      <c r="C10" s="19">
        <v>9.3378293299999982</v>
      </c>
      <c r="D10" s="19">
        <v>20.808302999999999</v>
      </c>
      <c r="E10" s="23">
        <f t="shared" si="0"/>
        <v>0.30975215088230185</v>
      </c>
      <c r="F10" s="23">
        <f t="shared" si="1"/>
        <v>0.69024784911769799</v>
      </c>
      <c r="G10" s="6"/>
      <c r="H10" s="6"/>
      <c r="I10" s="4"/>
      <c r="J10" s="6"/>
      <c r="K10" s="6" t="s">
        <v>13</v>
      </c>
      <c r="L10" s="21"/>
      <c r="M10" s="6"/>
      <c r="N10" s="6" t="s">
        <v>13</v>
      </c>
      <c r="O10" s="6" t="s">
        <v>13</v>
      </c>
      <c r="P10" s="6" t="s">
        <v>10</v>
      </c>
      <c r="Q10" s="10"/>
    </row>
    <row r="11" spans="1:22" x14ac:dyDescent="0.25">
      <c r="A11" s="1">
        <v>9</v>
      </c>
      <c r="B11" s="15">
        <v>223.79593321000002</v>
      </c>
      <c r="C11" s="19">
        <v>204.09329421000004</v>
      </c>
      <c r="D11" s="19">
        <v>19.702639000000001</v>
      </c>
      <c r="E11" s="23">
        <f t="shared" si="0"/>
        <v>0.91196158608694688</v>
      </c>
      <c r="F11" s="23">
        <f t="shared" si="1"/>
        <v>8.8038413913053254E-2</v>
      </c>
      <c r="G11" s="6"/>
      <c r="H11" s="6"/>
      <c r="I11" s="4"/>
      <c r="J11" s="6"/>
      <c r="K11" s="6" t="s">
        <v>13</v>
      </c>
      <c r="L11" s="21"/>
      <c r="M11" s="6"/>
      <c r="N11" s="6" t="s">
        <v>28</v>
      </c>
      <c r="O11" s="6" t="s">
        <v>10</v>
      </c>
      <c r="P11" s="6" t="s">
        <v>10</v>
      </c>
      <c r="Q11" s="10"/>
    </row>
    <row r="12" spans="1:22" x14ac:dyDescent="0.25">
      <c r="A12" s="1">
        <v>10</v>
      </c>
      <c r="B12" s="15">
        <v>20.08643137</v>
      </c>
      <c r="C12" s="19">
        <v>16.377264010000001</v>
      </c>
      <c r="D12" s="19">
        <v>2.8160724300000002</v>
      </c>
      <c r="E12" s="23">
        <f t="shared" si="0"/>
        <v>0.81533965433303357</v>
      </c>
      <c r="F12" s="23">
        <f t="shared" si="1"/>
        <v>0.14019774733136184</v>
      </c>
      <c r="G12" s="6"/>
      <c r="H12" s="6"/>
      <c r="I12" s="4">
        <v>0.89309493000000006</v>
      </c>
      <c r="J12" s="6" t="s">
        <v>10</v>
      </c>
      <c r="K12" s="6" t="s">
        <v>17</v>
      </c>
      <c r="L12" s="21"/>
      <c r="M12" s="6"/>
      <c r="N12" s="6" t="s">
        <v>13</v>
      </c>
      <c r="O12" s="6" t="s">
        <v>13</v>
      </c>
      <c r="P12" s="6" t="s">
        <v>10</v>
      </c>
      <c r="Q12" s="10"/>
    </row>
    <row r="13" spans="1:22" x14ac:dyDescent="0.25">
      <c r="A13" s="1">
        <v>11</v>
      </c>
      <c r="B13" s="15">
        <v>31.177792810000003</v>
      </c>
      <c r="C13" s="19">
        <v>7.1158069000000017</v>
      </c>
      <c r="D13" s="19">
        <v>24.061985910000001</v>
      </c>
      <c r="E13" s="23">
        <f t="shared" si="0"/>
        <v>0.22823318325849126</v>
      </c>
      <c r="F13" s="23">
        <f t="shared" si="1"/>
        <v>0.77176681674150871</v>
      </c>
      <c r="G13" s="6"/>
      <c r="H13" s="6"/>
      <c r="I13" s="4"/>
      <c r="J13" s="6"/>
      <c r="K13" s="6" t="s">
        <v>13</v>
      </c>
      <c r="L13" s="21"/>
      <c r="M13" s="6"/>
      <c r="N13" s="6" t="s">
        <v>29</v>
      </c>
      <c r="O13" s="6" t="s">
        <v>10</v>
      </c>
      <c r="P13" s="6" t="s">
        <v>10</v>
      </c>
      <c r="Q13" s="10"/>
    </row>
    <row r="14" spans="1:22" x14ac:dyDescent="0.25">
      <c r="A14" s="1">
        <v>12</v>
      </c>
      <c r="B14" s="15">
        <v>30.07726435</v>
      </c>
      <c r="C14" s="19">
        <v>7.2797137300000001</v>
      </c>
      <c r="D14" s="19">
        <v>22.797550619999999</v>
      </c>
      <c r="E14" s="23">
        <f t="shared" si="0"/>
        <v>0.24203377159864609</v>
      </c>
      <c r="F14" s="23">
        <f t="shared" si="1"/>
        <v>0.75796622840135386</v>
      </c>
      <c r="G14" s="6"/>
      <c r="H14" s="6"/>
      <c r="I14" s="4"/>
      <c r="J14" s="6"/>
      <c r="K14" s="6" t="s">
        <v>13</v>
      </c>
      <c r="L14" s="21"/>
      <c r="M14" s="6"/>
      <c r="N14" s="6" t="s">
        <v>29</v>
      </c>
      <c r="O14" s="6" t="s">
        <v>10</v>
      </c>
      <c r="P14" s="6" t="s">
        <v>10</v>
      </c>
      <c r="Q14" s="10"/>
    </row>
    <row r="15" spans="1:22" x14ac:dyDescent="0.25">
      <c r="A15" s="1">
        <v>13</v>
      </c>
      <c r="B15" s="15">
        <v>49.176021470000002</v>
      </c>
      <c r="C15" s="19">
        <v>9.1121381600000007</v>
      </c>
      <c r="D15" s="19">
        <v>40.063883310000001</v>
      </c>
      <c r="E15" s="23">
        <f t="shared" si="0"/>
        <v>0.18529636777466618</v>
      </c>
      <c r="F15" s="23">
        <f t="shared" si="1"/>
        <v>0.81470363222533382</v>
      </c>
      <c r="G15" s="6"/>
      <c r="H15" s="6"/>
      <c r="I15" s="4"/>
      <c r="J15" s="6"/>
      <c r="K15" s="6" t="s">
        <v>13</v>
      </c>
      <c r="L15" s="21"/>
      <c r="M15" s="6"/>
      <c r="N15" s="6" t="s">
        <v>29</v>
      </c>
      <c r="O15" s="6" t="s">
        <v>10</v>
      </c>
      <c r="P15" s="6" t="s">
        <v>10</v>
      </c>
      <c r="Q15" s="10"/>
    </row>
    <row r="16" spans="1:22" x14ac:dyDescent="0.25">
      <c r="A16" s="1">
        <v>14</v>
      </c>
      <c r="B16" s="15">
        <v>28.10331777</v>
      </c>
      <c r="C16" s="19"/>
      <c r="D16" s="19">
        <v>28.10331777</v>
      </c>
      <c r="E16" s="23">
        <f t="shared" si="0"/>
        <v>0</v>
      </c>
      <c r="F16" s="23">
        <f t="shared" si="1"/>
        <v>1</v>
      </c>
      <c r="G16" s="6"/>
      <c r="H16" s="6"/>
      <c r="I16" s="4"/>
      <c r="J16" s="6"/>
      <c r="K16" s="6" t="s">
        <v>13</v>
      </c>
      <c r="L16" s="21"/>
      <c r="M16" s="6"/>
      <c r="N16" s="6" t="s">
        <v>13</v>
      </c>
      <c r="O16" s="6" t="s">
        <v>13</v>
      </c>
      <c r="P16" s="6" t="s">
        <v>10</v>
      </c>
      <c r="Q16" s="10"/>
    </row>
    <row r="17" spans="1:17" x14ac:dyDescent="0.25">
      <c r="A17" s="1">
        <v>15</v>
      </c>
      <c r="B17" s="15">
        <v>31.473609379999996</v>
      </c>
      <c r="C17" s="19">
        <v>1.7939744599999972</v>
      </c>
      <c r="D17" s="19">
        <v>26.481061599999997</v>
      </c>
      <c r="E17" s="23">
        <f t="shared" si="0"/>
        <v>5.6999324047657014E-2</v>
      </c>
      <c r="F17" s="23">
        <f t="shared" si="1"/>
        <v>0.84137352282282152</v>
      </c>
      <c r="G17" s="6"/>
      <c r="H17" s="6"/>
      <c r="I17" s="4">
        <v>3.1985733199999999</v>
      </c>
      <c r="J17" s="6" t="s">
        <v>10</v>
      </c>
      <c r="K17" s="6" t="s">
        <v>17</v>
      </c>
      <c r="L17" s="21"/>
      <c r="M17" s="6"/>
      <c r="N17" s="6" t="s">
        <v>29</v>
      </c>
      <c r="O17" s="6" t="s">
        <v>10</v>
      </c>
      <c r="P17" s="6" t="s">
        <v>10</v>
      </c>
      <c r="Q17" s="10"/>
    </row>
    <row r="18" spans="1:17" x14ac:dyDescent="0.25">
      <c r="A18" s="1">
        <v>16</v>
      </c>
      <c r="B18" s="15">
        <v>29.811364680000001</v>
      </c>
      <c r="C18" s="19">
        <v>3.3303030800000006</v>
      </c>
      <c r="D18" s="19">
        <v>26.481061599999997</v>
      </c>
      <c r="E18" s="23">
        <f t="shared" si="0"/>
        <v>0.11171253365110961</v>
      </c>
      <c r="F18" s="23">
        <f t="shared" si="1"/>
        <v>0.88828746634889033</v>
      </c>
      <c r="G18" s="6"/>
      <c r="H18" s="6"/>
      <c r="I18" s="4"/>
      <c r="J18" s="6"/>
      <c r="K18" s="6" t="s">
        <v>13</v>
      </c>
      <c r="L18" s="21"/>
      <c r="M18" s="6"/>
      <c r="N18" s="6" t="s">
        <v>30</v>
      </c>
      <c r="O18" s="6" t="s">
        <v>13</v>
      </c>
      <c r="P18" s="6" t="s">
        <v>10</v>
      </c>
      <c r="Q18" s="10"/>
    </row>
    <row r="19" spans="1:17" x14ac:dyDescent="0.25">
      <c r="A19" s="1">
        <v>17</v>
      </c>
      <c r="B19" s="15">
        <v>29.640944420000004</v>
      </c>
      <c r="C19" s="19">
        <v>9.8787928899999997</v>
      </c>
      <c r="D19" s="19">
        <v>12.51550129</v>
      </c>
      <c r="E19" s="23">
        <f t="shared" si="0"/>
        <v>0.33328198825319338</v>
      </c>
      <c r="F19" s="23">
        <f t="shared" si="1"/>
        <v>0.42223692715928646</v>
      </c>
      <c r="G19" s="6">
        <v>2.2801</v>
      </c>
      <c r="H19" s="6" t="s">
        <v>10</v>
      </c>
      <c r="I19" s="4">
        <v>4.9665502400000001</v>
      </c>
      <c r="J19" s="6" t="s">
        <v>10</v>
      </c>
      <c r="K19" s="6" t="s">
        <v>18</v>
      </c>
      <c r="L19" s="21"/>
      <c r="M19" s="6"/>
      <c r="N19" s="6" t="s">
        <v>29</v>
      </c>
      <c r="O19" s="6" t="s">
        <v>10</v>
      </c>
      <c r="P19" s="6" t="s">
        <v>10</v>
      </c>
      <c r="Q19" s="10"/>
    </row>
    <row r="20" spans="1:17" x14ac:dyDescent="0.25">
      <c r="A20" s="1">
        <v>18</v>
      </c>
      <c r="B20" s="15">
        <v>8.0706057799999993</v>
      </c>
      <c r="C20" s="19">
        <v>3.7902881299999995</v>
      </c>
      <c r="D20" s="19">
        <v>4.2803176499999998</v>
      </c>
      <c r="E20" s="23">
        <f t="shared" si="0"/>
        <v>0.4696410942773121</v>
      </c>
      <c r="F20" s="23">
        <f t="shared" si="1"/>
        <v>0.53035890572268796</v>
      </c>
      <c r="G20" s="6"/>
      <c r="H20" s="6"/>
      <c r="I20" s="4"/>
      <c r="J20" s="6"/>
      <c r="K20" s="6" t="s">
        <v>13</v>
      </c>
      <c r="L20" s="21"/>
      <c r="M20" s="6"/>
      <c r="N20" s="6" t="s">
        <v>13</v>
      </c>
      <c r="O20" s="6" t="s">
        <v>13</v>
      </c>
      <c r="P20" s="6" t="s">
        <v>10</v>
      </c>
      <c r="Q20" s="10"/>
    </row>
    <row r="21" spans="1:17" x14ac:dyDescent="0.25">
      <c r="A21" s="25" t="s">
        <v>24</v>
      </c>
      <c r="B21" s="16">
        <v>97.479979999999998</v>
      </c>
      <c r="C21" s="19">
        <v>69.993599829999994</v>
      </c>
      <c r="D21" s="19">
        <v>3.4863801700000003</v>
      </c>
      <c r="E21" s="23">
        <f t="shared" si="0"/>
        <v>0.71803051077770019</v>
      </c>
      <c r="F21" s="23">
        <f t="shared" si="1"/>
        <v>3.5765089098294851E-2</v>
      </c>
      <c r="G21" s="6">
        <v>20</v>
      </c>
      <c r="H21" s="6" t="s">
        <v>10</v>
      </c>
      <c r="I21" s="4">
        <v>4</v>
      </c>
      <c r="J21" s="6" t="s">
        <v>10</v>
      </c>
      <c r="K21" s="6" t="s">
        <v>16</v>
      </c>
      <c r="L21" s="21"/>
      <c r="M21" s="6"/>
      <c r="N21" s="6" t="s">
        <v>29</v>
      </c>
      <c r="O21" s="6" t="s">
        <v>10</v>
      </c>
      <c r="P21" s="6" t="s">
        <v>10</v>
      </c>
      <c r="Q21" s="28" t="s">
        <v>23</v>
      </c>
    </row>
    <row r="22" spans="1:17" x14ac:dyDescent="0.25">
      <c r="A22" s="25">
        <v>20</v>
      </c>
      <c r="B22" s="16">
        <v>43.604089999999999</v>
      </c>
      <c r="C22" s="19"/>
      <c r="D22" s="19">
        <v>43.604089999999999</v>
      </c>
      <c r="E22" s="23">
        <f t="shared" si="0"/>
        <v>0</v>
      </c>
      <c r="F22" s="23">
        <f t="shared" si="1"/>
        <v>1</v>
      </c>
      <c r="G22" s="6"/>
      <c r="H22" s="6"/>
      <c r="I22" s="4"/>
      <c r="J22" s="6"/>
      <c r="K22" s="6"/>
      <c r="L22" s="21"/>
      <c r="M22" s="6"/>
      <c r="N22" s="6" t="s">
        <v>13</v>
      </c>
      <c r="O22" s="6" t="s">
        <v>13</v>
      </c>
      <c r="P22" s="6" t="s">
        <v>10</v>
      </c>
      <c r="Q22" s="10"/>
    </row>
    <row r="23" spans="1:17" x14ac:dyDescent="0.25">
      <c r="A23" s="1">
        <v>21</v>
      </c>
      <c r="B23" s="15">
        <v>38.616420579999996</v>
      </c>
      <c r="C23" s="19">
        <v>9.4852663599999971</v>
      </c>
      <c r="D23" s="19">
        <v>29.131154220000003</v>
      </c>
      <c r="E23" s="23">
        <f t="shared" si="0"/>
        <v>0.24562779816295438</v>
      </c>
      <c r="F23" s="23">
        <f t="shared" si="1"/>
        <v>0.75437220183704567</v>
      </c>
      <c r="G23" s="6"/>
      <c r="H23" s="6"/>
      <c r="I23" s="4"/>
      <c r="J23" s="6"/>
      <c r="K23" s="6" t="s">
        <v>13</v>
      </c>
      <c r="L23" s="21"/>
      <c r="M23" s="6"/>
      <c r="N23" s="6" t="s">
        <v>31</v>
      </c>
      <c r="O23" s="6" t="s">
        <v>13</v>
      </c>
      <c r="P23" s="6" t="s">
        <v>10</v>
      </c>
      <c r="Q23" s="10"/>
    </row>
    <row r="24" spans="1:17" x14ac:dyDescent="0.25">
      <c r="A24" s="1">
        <v>22</v>
      </c>
      <c r="B24" s="15">
        <v>33.659596700000002</v>
      </c>
      <c r="C24" s="19">
        <v>9.4253461500000011</v>
      </c>
      <c r="D24" s="19">
        <v>24.234250549999999</v>
      </c>
      <c r="E24" s="23">
        <f t="shared" si="0"/>
        <v>0.28001958056734533</v>
      </c>
      <c r="F24" s="23">
        <f t="shared" si="1"/>
        <v>0.71998041943265467</v>
      </c>
      <c r="G24" s="6"/>
      <c r="H24" s="6"/>
      <c r="I24" s="4"/>
      <c r="J24" s="6"/>
      <c r="K24" s="6" t="s">
        <v>13</v>
      </c>
      <c r="L24" s="21"/>
      <c r="M24" s="6"/>
      <c r="N24" s="6" t="s">
        <v>31</v>
      </c>
      <c r="O24" s="6" t="s">
        <v>13</v>
      </c>
      <c r="P24" s="6" t="s">
        <v>10</v>
      </c>
      <c r="Q24" s="10"/>
    </row>
    <row r="25" spans="1:17" x14ac:dyDescent="0.25">
      <c r="A25" s="1">
        <v>23</v>
      </c>
      <c r="B25" s="15">
        <v>148.72491886</v>
      </c>
      <c r="C25" s="19">
        <v>5.3437990400000013</v>
      </c>
      <c r="D25" s="19">
        <v>143.38111982000001</v>
      </c>
      <c r="E25" s="23">
        <f t="shared" si="0"/>
        <v>3.593075781087033E-2</v>
      </c>
      <c r="F25" s="23">
        <f t="shared" si="1"/>
        <v>0.9640692421891297</v>
      </c>
      <c r="G25" s="6"/>
      <c r="H25" s="6"/>
      <c r="I25" s="4"/>
      <c r="J25" s="6"/>
      <c r="K25" s="6" t="s">
        <v>13</v>
      </c>
      <c r="L25" s="21"/>
      <c r="M25" s="6"/>
      <c r="N25" s="6" t="s">
        <v>31</v>
      </c>
      <c r="O25" s="6" t="s">
        <v>13</v>
      </c>
      <c r="P25" s="6" t="s">
        <v>10</v>
      </c>
      <c r="Q25" s="10"/>
    </row>
    <row r="26" spans="1:17" x14ac:dyDescent="0.25">
      <c r="A26" s="1">
        <v>24</v>
      </c>
      <c r="B26" s="15">
        <v>146.25719663999999</v>
      </c>
      <c r="C26" s="19">
        <v>129.50176328000001</v>
      </c>
      <c r="D26" s="19">
        <v>16.755433360000001</v>
      </c>
      <c r="E26" s="23">
        <f t="shared" si="0"/>
        <v>0.88543857160586703</v>
      </c>
      <c r="F26" s="23">
        <f t="shared" si="1"/>
        <v>0.11456142839413309</v>
      </c>
      <c r="G26" s="6"/>
      <c r="H26" s="6"/>
      <c r="I26" s="4"/>
      <c r="J26" s="6"/>
      <c r="K26" s="6" t="s">
        <v>13</v>
      </c>
      <c r="L26" s="21"/>
      <c r="M26" s="6"/>
      <c r="N26" s="6" t="s">
        <v>31</v>
      </c>
      <c r="O26" s="6" t="s">
        <v>13</v>
      </c>
      <c r="P26" s="6" t="s">
        <v>10</v>
      </c>
      <c r="Q26" s="10"/>
    </row>
    <row r="27" spans="1:17" x14ac:dyDescent="0.25">
      <c r="A27" s="1">
        <v>25</v>
      </c>
      <c r="B27" s="15">
        <v>45.43599047</v>
      </c>
      <c r="C27" s="19">
        <v>28.228487019999999</v>
      </c>
      <c r="D27" s="19">
        <v>17.207503450000001</v>
      </c>
      <c r="E27" s="23">
        <f t="shared" si="0"/>
        <v>0.62128032707107839</v>
      </c>
      <c r="F27" s="23">
        <f t="shared" si="1"/>
        <v>0.37871967292892167</v>
      </c>
      <c r="G27" s="6"/>
      <c r="H27" s="6"/>
      <c r="I27" s="4"/>
      <c r="J27" s="6"/>
      <c r="K27" s="6" t="s">
        <v>13</v>
      </c>
      <c r="L27" s="21"/>
      <c r="M27" s="6"/>
      <c r="N27" s="6" t="s">
        <v>13</v>
      </c>
      <c r="O27" s="6" t="s">
        <v>13</v>
      </c>
      <c r="P27" s="6" t="s">
        <v>10</v>
      </c>
      <c r="Q27" s="10"/>
    </row>
    <row r="28" spans="1:17" x14ac:dyDescent="0.25">
      <c r="A28" s="1">
        <v>26</v>
      </c>
      <c r="B28" s="15">
        <v>693.41037370999993</v>
      </c>
      <c r="C28" s="19">
        <v>283.40072022000004</v>
      </c>
      <c r="D28" s="19">
        <v>390.80333936</v>
      </c>
      <c r="E28" s="23">
        <f t="shared" si="0"/>
        <v>0.40870562507408448</v>
      </c>
      <c r="F28" s="23">
        <f t="shared" si="1"/>
        <v>0.56359603804174252</v>
      </c>
      <c r="G28" s="6"/>
      <c r="H28" s="6"/>
      <c r="I28" s="4">
        <v>19.206314129999999</v>
      </c>
      <c r="J28" s="6" t="s">
        <v>10</v>
      </c>
      <c r="K28" s="6" t="s">
        <v>17</v>
      </c>
      <c r="L28" s="21"/>
      <c r="M28" s="6"/>
      <c r="N28" s="6" t="s">
        <v>32</v>
      </c>
      <c r="O28" s="6" t="s">
        <v>10</v>
      </c>
      <c r="P28" s="6" t="s">
        <v>10</v>
      </c>
      <c r="Q28" s="10"/>
    </row>
    <row r="29" spans="1:17" x14ac:dyDescent="0.25">
      <c r="A29" s="1">
        <v>27</v>
      </c>
      <c r="B29" s="15">
        <v>81.972571160000001</v>
      </c>
      <c r="C29" s="19"/>
      <c r="D29" s="19">
        <v>81.972571160000001</v>
      </c>
      <c r="E29" s="23">
        <f t="shared" si="0"/>
        <v>0</v>
      </c>
      <c r="F29" s="23">
        <f t="shared" si="1"/>
        <v>1</v>
      </c>
      <c r="G29" s="6"/>
      <c r="H29" s="6"/>
      <c r="I29" s="4"/>
      <c r="J29" s="6"/>
      <c r="K29" s="6" t="s">
        <v>13</v>
      </c>
      <c r="L29" s="21"/>
      <c r="M29" s="6"/>
      <c r="N29" s="6" t="s">
        <v>32</v>
      </c>
      <c r="O29" s="6" t="s">
        <v>10</v>
      </c>
      <c r="P29" s="6" t="s">
        <v>10</v>
      </c>
      <c r="Q29" s="10"/>
    </row>
    <row r="30" spans="1:17" x14ac:dyDescent="0.25">
      <c r="A30" s="1">
        <v>28</v>
      </c>
      <c r="B30" s="15">
        <v>244.45630684000002</v>
      </c>
      <c r="C30" s="19">
        <v>5.90941852</v>
      </c>
      <c r="D30" s="19">
        <v>238.54688831999999</v>
      </c>
      <c r="E30" s="23">
        <f t="shared" si="0"/>
        <v>2.4173720843568967E-2</v>
      </c>
      <c r="F30" s="23">
        <f t="shared" si="1"/>
        <v>0.97582627915643094</v>
      </c>
      <c r="G30" s="6"/>
      <c r="H30" s="6"/>
      <c r="I30" s="4"/>
      <c r="J30" s="6"/>
      <c r="K30" s="6" t="s">
        <v>13</v>
      </c>
      <c r="L30" s="21"/>
      <c r="M30" s="6"/>
      <c r="N30" s="6" t="s">
        <v>13</v>
      </c>
      <c r="O30" s="6" t="s">
        <v>13</v>
      </c>
      <c r="P30" s="6" t="s">
        <v>10</v>
      </c>
      <c r="Q30" s="10"/>
    </row>
    <row r="31" spans="1:17" x14ac:dyDescent="0.25">
      <c r="A31" s="1">
        <v>29</v>
      </c>
      <c r="B31" s="15">
        <v>40.615095020000005</v>
      </c>
      <c r="C31" s="19">
        <v>40.615095020000005</v>
      </c>
      <c r="D31" s="19"/>
      <c r="E31" s="23">
        <f t="shared" si="0"/>
        <v>1</v>
      </c>
      <c r="F31" s="23">
        <f t="shared" si="1"/>
        <v>0</v>
      </c>
      <c r="G31" s="6"/>
      <c r="H31" s="6"/>
      <c r="I31" s="4"/>
      <c r="J31" s="6"/>
      <c r="K31" s="6" t="s">
        <v>13</v>
      </c>
      <c r="L31" s="21"/>
      <c r="M31" s="6"/>
      <c r="N31" s="6" t="s">
        <v>33</v>
      </c>
      <c r="O31" s="6" t="s">
        <v>13</v>
      </c>
      <c r="P31" s="6" t="s">
        <v>10</v>
      </c>
      <c r="Q31" s="10"/>
    </row>
    <row r="32" spans="1:17" x14ac:dyDescent="0.25">
      <c r="A32" s="1">
        <v>30</v>
      </c>
      <c r="B32" s="15">
        <v>40.576268380000002</v>
      </c>
      <c r="C32" s="19">
        <v>18.4688363</v>
      </c>
      <c r="D32" s="19">
        <v>22.107432079999999</v>
      </c>
      <c r="E32" s="23">
        <f t="shared" si="0"/>
        <v>0.45516349919213539</v>
      </c>
      <c r="F32" s="23">
        <f t="shared" si="1"/>
        <v>0.5448365008078645</v>
      </c>
      <c r="G32" s="6"/>
      <c r="H32" s="6"/>
      <c r="I32" s="4"/>
      <c r="J32" s="6"/>
      <c r="K32" s="6" t="s">
        <v>13</v>
      </c>
      <c r="L32" s="21"/>
      <c r="M32" s="6"/>
      <c r="N32" s="6" t="s">
        <v>34</v>
      </c>
      <c r="O32" s="6" t="s">
        <v>13</v>
      </c>
      <c r="P32" s="6" t="s">
        <v>10</v>
      </c>
      <c r="Q32" s="10"/>
    </row>
    <row r="33" spans="1:17" x14ac:dyDescent="0.25">
      <c r="A33" s="1">
        <v>31</v>
      </c>
      <c r="B33" s="15">
        <v>82.712953650000003</v>
      </c>
      <c r="C33" s="19">
        <v>22.779881620000001</v>
      </c>
      <c r="D33" s="19">
        <v>59.933072030000005</v>
      </c>
      <c r="E33" s="23">
        <f t="shared" si="0"/>
        <v>0.27540887629757616</v>
      </c>
      <c r="F33" s="23">
        <f t="shared" si="1"/>
        <v>0.72459112370242384</v>
      </c>
      <c r="G33" s="6"/>
      <c r="H33" s="6"/>
      <c r="I33" s="4"/>
      <c r="J33" s="6"/>
      <c r="K33" s="6" t="s">
        <v>13</v>
      </c>
      <c r="L33" s="21"/>
      <c r="M33" s="6"/>
      <c r="N33" s="6" t="s">
        <v>13</v>
      </c>
      <c r="O33" s="6" t="s">
        <v>13</v>
      </c>
      <c r="P33" s="6" t="s">
        <v>10</v>
      </c>
      <c r="Q33" s="10"/>
    </row>
    <row r="34" spans="1:17" x14ac:dyDescent="0.25">
      <c r="A34" s="1">
        <v>32</v>
      </c>
      <c r="B34" s="15">
        <v>44.620108080000001</v>
      </c>
      <c r="C34" s="19">
        <v>26.202261869999997</v>
      </c>
      <c r="D34" s="19">
        <v>18.41784621</v>
      </c>
      <c r="E34" s="23">
        <f t="shared" si="0"/>
        <v>0.58722990592092705</v>
      </c>
      <c r="F34" s="23">
        <f t="shared" si="1"/>
        <v>0.41277009407907289</v>
      </c>
      <c r="G34" s="6"/>
      <c r="H34" s="6"/>
      <c r="I34" s="4"/>
      <c r="J34" s="6"/>
      <c r="K34" s="6" t="s">
        <v>13</v>
      </c>
      <c r="L34" s="21"/>
      <c r="M34" s="6"/>
      <c r="N34" s="6" t="s">
        <v>34</v>
      </c>
      <c r="O34" s="6" t="s">
        <v>13</v>
      </c>
      <c r="P34" s="6" t="s">
        <v>10</v>
      </c>
      <c r="Q34" s="10"/>
    </row>
    <row r="35" spans="1:17" x14ac:dyDescent="0.25">
      <c r="A35" s="1">
        <v>33</v>
      </c>
      <c r="B35" s="15">
        <v>80.644454789999998</v>
      </c>
      <c r="C35" s="19">
        <v>6.4966871500000005</v>
      </c>
      <c r="D35" s="19">
        <v>74.147767639999998</v>
      </c>
      <c r="E35" s="23">
        <f t="shared" si="0"/>
        <v>8.055962641098538E-2</v>
      </c>
      <c r="F35" s="23">
        <f t="shared" si="1"/>
        <v>0.91944037358901465</v>
      </c>
      <c r="G35" s="6"/>
      <c r="H35" s="6"/>
      <c r="I35" s="4"/>
      <c r="J35" s="6"/>
      <c r="K35" s="6" t="s">
        <v>13</v>
      </c>
      <c r="L35" s="21"/>
      <c r="M35" s="6"/>
      <c r="N35" s="6" t="s">
        <v>32</v>
      </c>
      <c r="O35" s="6" t="s">
        <v>10</v>
      </c>
      <c r="P35" s="6" t="s">
        <v>10</v>
      </c>
      <c r="Q35" s="10"/>
    </row>
    <row r="36" spans="1:17" x14ac:dyDescent="0.25">
      <c r="A36" s="1">
        <v>34</v>
      </c>
      <c r="B36" s="15">
        <v>1369.7731192799999</v>
      </c>
      <c r="C36" s="19">
        <v>1222.9324531299999</v>
      </c>
      <c r="D36" s="19">
        <v>146.84066615</v>
      </c>
      <c r="E36" s="23">
        <f t="shared" si="0"/>
        <v>0.89279927888555399</v>
      </c>
      <c r="F36" s="23">
        <f t="shared" si="1"/>
        <v>0.10720072111444597</v>
      </c>
      <c r="G36" s="6"/>
      <c r="H36" s="6"/>
      <c r="I36" s="4"/>
      <c r="J36" s="6"/>
      <c r="K36" s="6" t="s">
        <v>13</v>
      </c>
      <c r="L36" s="21"/>
      <c r="M36" s="6"/>
      <c r="N36" s="6" t="s">
        <v>35</v>
      </c>
      <c r="O36" s="6" t="s">
        <v>13</v>
      </c>
      <c r="P36" s="6" t="s">
        <v>10</v>
      </c>
      <c r="Q36" s="10"/>
    </row>
    <row r="37" spans="1:17" x14ac:dyDescent="0.25">
      <c r="A37" s="1">
        <v>35</v>
      </c>
      <c r="B37" s="15">
        <v>26.870599300000002</v>
      </c>
      <c r="C37" s="19">
        <v>21.349982369999999</v>
      </c>
      <c r="D37" s="19">
        <v>5.5206169300000001</v>
      </c>
      <c r="E37" s="23">
        <f t="shared" si="0"/>
        <v>0.79454805349280011</v>
      </c>
      <c r="F37" s="23">
        <f t="shared" si="1"/>
        <v>0.20545194650719978</v>
      </c>
      <c r="G37" s="6"/>
      <c r="H37" s="6"/>
      <c r="I37" s="4"/>
      <c r="J37" s="6"/>
      <c r="K37" s="6" t="s">
        <v>13</v>
      </c>
      <c r="L37" s="21"/>
      <c r="M37" s="6"/>
      <c r="N37" s="6" t="s">
        <v>13</v>
      </c>
      <c r="O37" s="6" t="s">
        <v>13</v>
      </c>
      <c r="P37" s="6" t="s">
        <v>10</v>
      </c>
      <c r="Q37" s="10"/>
    </row>
    <row r="38" spans="1:17" x14ac:dyDescent="0.25">
      <c r="A38" s="1">
        <v>36</v>
      </c>
      <c r="B38" s="15">
        <v>26.870026230000001</v>
      </c>
      <c r="C38" s="19">
        <v>21.09639799</v>
      </c>
      <c r="D38" s="19">
        <v>5.7736282399999999</v>
      </c>
      <c r="E38" s="23">
        <f t="shared" si="0"/>
        <v>0.78512755474894824</v>
      </c>
      <c r="F38" s="23">
        <f t="shared" si="1"/>
        <v>0.21487244525105176</v>
      </c>
      <c r="G38" s="6"/>
      <c r="H38" s="6"/>
      <c r="I38" s="4"/>
      <c r="J38" s="6"/>
      <c r="K38" s="6" t="s">
        <v>13</v>
      </c>
      <c r="L38" s="21"/>
      <c r="M38" s="6"/>
      <c r="N38" s="6" t="s">
        <v>36</v>
      </c>
      <c r="O38" s="6" t="s">
        <v>10</v>
      </c>
      <c r="P38" s="6" t="s">
        <v>10</v>
      </c>
      <c r="Q38" s="10"/>
    </row>
    <row r="39" spans="1:17" x14ac:dyDescent="0.25">
      <c r="A39" s="1">
        <v>37</v>
      </c>
      <c r="B39" s="15">
        <v>0.50077894999999994</v>
      </c>
      <c r="C39" s="19">
        <v>0.50077894999999994</v>
      </c>
      <c r="D39" s="19"/>
      <c r="E39" s="23">
        <f t="shared" si="0"/>
        <v>1</v>
      </c>
      <c r="F39" s="23">
        <f t="shared" si="1"/>
        <v>0</v>
      </c>
      <c r="G39" s="6"/>
      <c r="H39" s="6"/>
      <c r="I39" s="4"/>
      <c r="J39" s="6"/>
      <c r="K39" s="6" t="s">
        <v>13</v>
      </c>
      <c r="L39" s="21"/>
      <c r="M39" s="6"/>
      <c r="N39" s="6" t="s">
        <v>13</v>
      </c>
      <c r="O39" s="6" t="s">
        <v>13</v>
      </c>
      <c r="P39" s="6" t="s">
        <v>10</v>
      </c>
      <c r="Q39" s="10"/>
    </row>
    <row r="40" spans="1:17" x14ac:dyDescent="0.25">
      <c r="A40" s="1">
        <v>38</v>
      </c>
      <c r="B40" s="15">
        <v>3.9824501300000001</v>
      </c>
      <c r="C40" s="19">
        <v>0.53543386000000026</v>
      </c>
      <c r="D40" s="19">
        <v>3.4470162700000002</v>
      </c>
      <c r="E40" s="23">
        <f t="shared" si="0"/>
        <v>0.13444835277824313</v>
      </c>
      <c r="F40" s="23">
        <f t="shared" si="1"/>
        <v>0.86555164722175693</v>
      </c>
      <c r="G40" s="6"/>
      <c r="H40" s="6"/>
      <c r="I40" s="4"/>
      <c r="J40" s="6"/>
      <c r="K40" s="6" t="s">
        <v>13</v>
      </c>
      <c r="L40" s="21"/>
      <c r="M40" s="6"/>
      <c r="N40" s="6" t="s">
        <v>13</v>
      </c>
      <c r="O40" s="6" t="s">
        <v>13</v>
      </c>
      <c r="P40" s="6" t="s">
        <v>10</v>
      </c>
      <c r="Q40" s="10"/>
    </row>
    <row r="41" spans="1:17" x14ac:dyDescent="0.25">
      <c r="A41" s="1">
        <v>39</v>
      </c>
      <c r="B41" s="15">
        <v>15.66168834</v>
      </c>
      <c r="C41" s="19">
        <v>6.2550859799999987</v>
      </c>
      <c r="D41" s="19">
        <v>9.4066023600000008</v>
      </c>
      <c r="E41" s="23">
        <f t="shared" si="0"/>
        <v>0.39938771888497426</v>
      </c>
      <c r="F41" s="23">
        <f t="shared" si="1"/>
        <v>0.60061228111502574</v>
      </c>
      <c r="G41" s="6"/>
      <c r="H41" s="6"/>
      <c r="I41" s="4"/>
      <c r="J41" s="6"/>
      <c r="K41" s="6" t="s">
        <v>13</v>
      </c>
      <c r="L41" s="21"/>
      <c r="M41" s="6"/>
      <c r="N41" s="6" t="s">
        <v>13</v>
      </c>
      <c r="O41" s="6" t="s">
        <v>13</v>
      </c>
      <c r="P41" s="6" t="s">
        <v>10</v>
      </c>
      <c r="Q41" s="10"/>
    </row>
    <row r="42" spans="1:17" x14ac:dyDescent="0.25">
      <c r="A42" s="1">
        <v>40</v>
      </c>
      <c r="B42" s="15">
        <v>25.845583059999999</v>
      </c>
      <c r="C42" s="19">
        <v>12.095402309999999</v>
      </c>
      <c r="D42" s="19">
        <v>13.75018075</v>
      </c>
      <c r="E42" s="23">
        <f t="shared" si="0"/>
        <v>0.46798721011326255</v>
      </c>
      <c r="F42" s="23">
        <f t="shared" si="1"/>
        <v>0.53201278988673739</v>
      </c>
      <c r="G42" s="6"/>
      <c r="H42" s="6"/>
      <c r="I42" s="4"/>
      <c r="J42" s="6"/>
      <c r="K42" s="6" t="s">
        <v>13</v>
      </c>
      <c r="L42" s="21"/>
      <c r="M42" s="6"/>
      <c r="N42" s="6" t="s">
        <v>13</v>
      </c>
      <c r="O42" s="6" t="s">
        <v>13</v>
      </c>
      <c r="P42" s="6" t="s">
        <v>10</v>
      </c>
      <c r="Q42" s="10"/>
    </row>
    <row r="43" spans="1:17" x14ac:dyDescent="0.25">
      <c r="A43" s="1">
        <v>41</v>
      </c>
      <c r="B43" s="15">
        <v>30.547732020000002</v>
      </c>
      <c r="C43" s="19">
        <v>10.719933140000002</v>
      </c>
      <c r="D43" s="19">
        <v>19.82779888</v>
      </c>
      <c r="E43" s="23">
        <f t="shared" si="0"/>
        <v>0.35092402712520593</v>
      </c>
      <c r="F43" s="23">
        <f t="shared" si="1"/>
        <v>0.64907597287479413</v>
      </c>
      <c r="G43" s="6"/>
      <c r="H43" s="6"/>
      <c r="I43" s="4"/>
      <c r="J43" s="6"/>
      <c r="K43" s="6" t="s">
        <v>13</v>
      </c>
      <c r="L43" s="21"/>
      <c r="M43" s="6"/>
      <c r="N43" s="6" t="s">
        <v>29</v>
      </c>
      <c r="O43" s="6" t="s">
        <v>10</v>
      </c>
      <c r="P43" s="6" t="s">
        <v>10</v>
      </c>
      <c r="Q43" s="10"/>
    </row>
    <row r="44" spans="1:17" x14ac:dyDescent="0.25">
      <c r="A44" s="1">
        <v>42</v>
      </c>
      <c r="B44" s="15">
        <v>244.97123062</v>
      </c>
      <c r="C44" s="19">
        <v>44.108171149999997</v>
      </c>
      <c r="D44" s="19">
        <v>200.86305947</v>
      </c>
      <c r="E44" s="23">
        <f t="shared" si="0"/>
        <v>0.1800544947190991</v>
      </c>
      <c r="F44" s="23">
        <f t="shared" si="1"/>
        <v>0.81994550528090082</v>
      </c>
      <c r="G44" s="6"/>
      <c r="H44" s="6"/>
      <c r="I44" s="4"/>
      <c r="J44" s="6"/>
      <c r="K44" s="6" t="s">
        <v>13</v>
      </c>
      <c r="L44" s="21"/>
      <c r="M44" s="6"/>
      <c r="N44" s="6" t="s">
        <v>37</v>
      </c>
      <c r="O44" s="6" t="s">
        <v>10</v>
      </c>
      <c r="P44" s="6" t="s">
        <v>10</v>
      </c>
      <c r="Q44" s="10"/>
    </row>
    <row r="45" spans="1:17" x14ac:dyDescent="0.25">
      <c r="A45" s="1">
        <v>43</v>
      </c>
      <c r="B45" s="15">
        <v>29.850348700000001</v>
      </c>
      <c r="C45" s="19">
        <v>18.008716540000002</v>
      </c>
      <c r="D45" s="19"/>
      <c r="E45" s="23">
        <f t="shared" si="0"/>
        <v>0.60330003917173669</v>
      </c>
      <c r="F45" s="23">
        <f t="shared" si="1"/>
        <v>0</v>
      </c>
      <c r="G45" s="6"/>
      <c r="H45" s="6"/>
      <c r="I45" s="4"/>
      <c r="J45" s="6"/>
      <c r="K45" s="6" t="s">
        <v>13</v>
      </c>
      <c r="L45" s="21">
        <v>118416.3216</v>
      </c>
      <c r="M45" s="6" t="s">
        <v>10</v>
      </c>
      <c r="N45" s="6" t="s">
        <v>13</v>
      </c>
      <c r="O45" s="6" t="s">
        <v>13</v>
      </c>
      <c r="P45" s="6" t="s">
        <v>10</v>
      </c>
      <c r="Q45" s="10"/>
    </row>
    <row r="46" spans="1:17" x14ac:dyDescent="0.25">
      <c r="A46" s="1">
        <v>44</v>
      </c>
      <c r="B46" s="15">
        <v>59.734008160000002</v>
      </c>
      <c r="C46" s="19"/>
      <c r="D46" s="19">
        <v>59.734008160000002</v>
      </c>
      <c r="E46" s="23">
        <f t="shared" si="0"/>
        <v>0</v>
      </c>
      <c r="F46" s="23">
        <f t="shared" si="1"/>
        <v>1</v>
      </c>
      <c r="G46" s="6"/>
      <c r="H46" s="6"/>
      <c r="I46" s="4"/>
      <c r="J46" s="6"/>
      <c r="K46" s="6" t="s">
        <v>13</v>
      </c>
      <c r="L46" s="21"/>
      <c r="M46" s="6"/>
      <c r="N46" s="6" t="s">
        <v>13</v>
      </c>
      <c r="O46" s="6" t="s">
        <v>13</v>
      </c>
      <c r="P46" s="6" t="s">
        <v>10</v>
      </c>
      <c r="Q46" s="10"/>
    </row>
    <row r="47" spans="1:17" x14ac:dyDescent="0.25">
      <c r="A47" s="1">
        <v>45</v>
      </c>
      <c r="B47" s="15">
        <v>27.410206849999998</v>
      </c>
      <c r="C47" s="19">
        <v>19.740561839999998</v>
      </c>
      <c r="D47" s="19">
        <v>7.66964501</v>
      </c>
      <c r="E47" s="23">
        <f t="shared" si="0"/>
        <v>0.72019018127183521</v>
      </c>
      <c r="F47" s="23">
        <f t="shared" si="1"/>
        <v>0.27980981872816479</v>
      </c>
      <c r="G47" s="6"/>
      <c r="H47" s="6"/>
      <c r="I47" s="4"/>
      <c r="J47" s="6"/>
      <c r="K47" s="6" t="s">
        <v>13</v>
      </c>
      <c r="L47" s="21"/>
      <c r="M47" s="6"/>
      <c r="N47" s="6" t="s">
        <v>31</v>
      </c>
      <c r="O47" s="6" t="s">
        <v>13</v>
      </c>
      <c r="P47" s="6" t="s">
        <v>10</v>
      </c>
      <c r="Q47" s="10"/>
    </row>
    <row r="48" spans="1:17" x14ac:dyDescent="0.25">
      <c r="A48" s="1">
        <v>46</v>
      </c>
      <c r="B48" s="15">
        <v>29.865446039999998</v>
      </c>
      <c r="C48" s="19">
        <v>29.865446039999998</v>
      </c>
      <c r="D48" s="19"/>
      <c r="E48" s="23">
        <f t="shared" si="0"/>
        <v>1</v>
      </c>
      <c r="F48" s="23">
        <f t="shared" si="1"/>
        <v>0</v>
      </c>
      <c r="G48" s="6"/>
      <c r="H48" s="6"/>
      <c r="I48" s="4"/>
      <c r="J48" s="6"/>
      <c r="K48" s="6" t="s">
        <v>13</v>
      </c>
      <c r="L48" s="21"/>
      <c r="M48" s="6"/>
      <c r="N48" s="6" t="s">
        <v>30</v>
      </c>
      <c r="O48" s="6" t="s">
        <v>13</v>
      </c>
      <c r="P48" s="6" t="s">
        <v>10</v>
      </c>
      <c r="Q48" s="10"/>
    </row>
    <row r="49" spans="1:17" x14ac:dyDescent="0.25">
      <c r="A49" s="1">
        <v>47</v>
      </c>
      <c r="B49" s="15">
        <v>153.33062662</v>
      </c>
      <c r="C49" s="19">
        <v>20.293230059999996</v>
      </c>
      <c r="D49" s="19">
        <v>133.03739655999999</v>
      </c>
      <c r="E49" s="23">
        <f t="shared" si="0"/>
        <v>0.13234948886169232</v>
      </c>
      <c r="F49" s="23">
        <f t="shared" si="1"/>
        <v>0.8676505111383076</v>
      </c>
      <c r="G49" s="6"/>
      <c r="H49" s="6"/>
      <c r="I49" s="4"/>
      <c r="J49" s="6"/>
      <c r="K49" s="6" t="s">
        <v>13</v>
      </c>
      <c r="L49" s="21"/>
      <c r="M49" s="6"/>
      <c r="N49" s="6" t="s">
        <v>13</v>
      </c>
      <c r="O49" s="6" t="s">
        <v>13</v>
      </c>
      <c r="P49" s="6" t="s">
        <v>10</v>
      </c>
      <c r="Q49" s="10"/>
    </row>
    <row r="50" spans="1:17" x14ac:dyDescent="0.25">
      <c r="A50" s="1">
        <v>48</v>
      </c>
      <c r="B50" s="15">
        <v>10.84011664</v>
      </c>
      <c r="C50" s="19">
        <v>10.84011664</v>
      </c>
      <c r="D50" s="19"/>
      <c r="E50" s="23">
        <f t="shared" si="0"/>
        <v>1</v>
      </c>
      <c r="F50" s="23">
        <f t="shared" si="1"/>
        <v>0</v>
      </c>
      <c r="G50" s="6"/>
      <c r="H50" s="6"/>
      <c r="I50" s="4"/>
      <c r="J50" s="6"/>
      <c r="K50" s="6" t="s">
        <v>13</v>
      </c>
      <c r="L50" s="21"/>
      <c r="M50" s="6"/>
      <c r="N50" s="6" t="s">
        <v>13</v>
      </c>
      <c r="O50" s="6" t="s">
        <v>13</v>
      </c>
      <c r="P50" s="6" t="s">
        <v>10</v>
      </c>
      <c r="Q50" s="10"/>
    </row>
    <row r="51" spans="1:17" x14ac:dyDescent="0.25">
      <c r="A51" s="1">
        <v>49</v>
      </c>
      <c r="B51" s="15">
        <v>20.45324184</v>
      </c>
      <c r="C51" s="19">
        <v>20.45324184</v>
      </c>
      <c r="D51" s="19"/>
      <c r="E51" s="23">
        <f t="shared" si="0"/>
        <v>1</v>
      </c>
      <c r="F51" s="23">
        <f t="shared" si="1"/>
        <v>0</v>
      </c>
      <c r="G51" s="6"/>
      <c r="H51" s="6"/>
      <c r="I51" s="4"/>
      <c r="J51" s="6"/>
      <c r="K51" s="6" t="s">
        <v>13</v>
      </c>
      <c r="L51" s="21"/>
      <c r="M51" s="6"/>
      <c r="N51" s="6" t="s">
        <v>38</v>
      </c>
      <c r="O51" s="6" t="s">
        <v>13</v>
      </c>
      <c r="P51" s="6" t="s">
        <v>10</v>
      </c>
      <c r="Q51" s="10"/>
    </row>
    <row r="52" spans="1:17" x14ac:dyDescent="0.25">
      <c r="A52" s="1">
        <v>50</v>
      </c>
      <c r="B52" s="15">
        <v>41.573141249999999</v>
      </c>
      <c r="C52" s="19">
        <v>2.6753900000000002</v>
      </c>
      <c r="D52" s="19">
        <v>27.642813779999997</v>
      </c>
      <c r="E52" s="23">
        <f t="shared" si="0"/>
        <v>6.4353809203676671E-2</v>
      </c>
      <c r="F52" s="23">
        <f t="shared" si="1"/>
        <v>0.66492001683899693</v>
      </c>
      <c r="G52" s="6"/>
      <c r="H52" s="6"/>
      <c r="I52" s="4"/>
      <c r="J52" s="6"/>
      <c r="K52" s="6" t="s">
        <v>13</v>
      </c>
      <c r="L52" s="21">
        <v>112549.3747</v>
      </c>
      <c r="M52" s="6" t="s">
        <v>10</v>
      </c>
      <c r="N52" s="6" t="s">
        <v>13</v>
      </c>
      <c r="O52" s="6" t="s">
        <v>13</v>
      </c>
      <c r="P52" s="6" t="s">
        <v>10</v>
      </c>
      <c r="Q52" s="10"/>
    </row>
    <row r="53" spans="1:17" x14ac:dyDescent="0.25">
      <c r="A53" s="1">
        <v>51</v>
      </c>
      <c r="B53" s="15">
        <v>31.415907750000002</v>
      </c>
      <c r="C53" s="19">
        <v>13.972914870000002</v>
      </c>
      <c r="D53" s="19">
        <v>17.442992879999998</v>
      </c>
      <c r="E53" s="23">
        <f t="shared" si="0"/>
        <v>0.44477196015448578</v>
      </c>
      <c r="F53" s="23">
        <f t="shared" si="1"/>
        <v>0.55522803984551417</v>
      </c>
      <c r="G53" s="6"/>
      <c r="H53" s="6"/>
      <c r="I53" s="4"/>
      <c r="J53" s="6"/>
      <c r="K53" s="6" t="s">
        <v>13</v>
      </c>
      <c r="L53" s="21"/>
      <c r="M53" s="6"/>
      <c r="N53" s="6" t="s">
        <v>29</v>
      </c>
      <c r="O53" s="6" t="s">
        <v>10</v>
      </c>
      <c r="P53" s="6" t="s">
        <v>10</v>
      </c>
      <c r="Q53" s="10"/>
    </row>
    <row r="54" spans="1:17" x14ac:dyDescent="0.25">
      <c r="A54" s="1">
        <v>52</v>
      </c>
      <c r="B54" s="15">
        <v>10.693703170000001</v>
      </c>
      <c r="C54" s="19">
        <v>6.4317115200000003</v>
      </c>
      <c r="D54" s="19">
        <v>4.2619916499999997</v>
      </c>
      <c r="E54" s="23">
        <f t="shared" si="0"/>
        <v>0.60144848026485853</v>
      </c>
      <c r="F54" s="23">
        <f t="shared" si="1"/>
        <v>0.39855151973514141</v>
      </c>
      <c r="G54" s="6"/>
      <c r="H54" s="6"/>
      <c r="I54" s="4"/>
      <c r="J54" s="6"/>
      <c r="K54" s="6" t="s">
        <v>13</v>
      </c>
      <c r="L54" s="21">
        <v>25.589400000000001</v>
      </c>
      <c r="M54" s="6" t="s">
        <v>10</v>
      </c>
      <c r="N54" s="6" t="s">
        <v>37</v>
      </c>
      <c r="O54" s="6" t="s">
        <v>10</v>
      </c>
      <c r="P54" s="6" t="s">
        <v>10</v>
      </c>
      <c r="Q54" s="10"/>
    </row>
    <row r="55" spans="1:17" x14ac:dyDescent="0.25">
      <c r="A55" s="1">
        <v>53</v>
      </c>
      <c r="B55" s="15">
        <v>80.856749120000003</v>
      </c>
      <c r="C55" s="19">
        <v>71.987820690000007</v>
      </c>
      <c r="D55" s="19">
        <v>8.8689284300000004</v>
      </c>
      <c r="E55" s="23">
        <f t="shared" si="0"/>
        <v>0.89031307186444553</v>
      </c>
      <c r="F55" s="23">
        <f t="shared" si="1"/>
        <v>0.1096869281355545</v>
      </c>
      <c r="G55" s="6"/>
      <c r="H55" s="6"/>
      <c r="I55" s="4"/>
      <c r="J55" s="6"/>
      <c r="K55" s="6" t="s">
        <v>13</v>
      </c>
      <c r="L55" s="21"/>
      <c r="M55" s="6"/>
      <c r="N55" s="6" t="s">
        <v>33</v>
      </c>
      <c r="O55" s="6" t="s">
        <v>13</v>
      </c>
      <c r="P55" s="6" t="s">
        <v>10</v>
      </c>
      <c r="Q55" s="10"/>
    </row>
    <row r="56" spans="1:17" x14ac:dyDescent="0.25">
      <c r="A56" s="1">
        <v>54</v>
      </c>
      <c r="B56" s="15">
        <v>80.335977009999993</v>
      </c>
      <c r="C56" s="19">
        <v>70.614148919999991</v>
      </c>
      <c r="D56" s="19">
        <v>9.7218280899999989</v>
      </c>
      <c r="E56" s="23">
        <f t="shared" si="0"/>
        <v>0.87898537552123313</v>
      </c>
      <c r="F56" s="23">
        <f t="shared" si="1"/>
        <v>0.12101462447876689</v>
      </c>
      <c r="G56" s="6"/>
      <c r="H56" s="6"/>
      <c r="I56" s="4"/>
      <c r="J56" s="6"/>
      <c r="K56" s="6" t="s">
        <v>13</v>
      </c>
      <c r="L56" s="21"/>
      <c r="M56" s="6"/>
      <c r="N56" s="6" t="s">
        <v>13</v>
      </c>
      <c r="O56" s="6" t="s">
        <v>13</v>
      </c>
      <c r="P56" s="6" t="s">
        <v>10</v>
      </c>
      <c r="Q56" s="10"/>
    </row>
    <row r="57" spans="1:17" x14ac:dyDescent="0.25">
      <c r="A57" s="1">
        <v>55</v>
      </c>
      <c r="B57" s="15">
        <v>72.790069380000006</v>
      </c>
      <c r="C57" s="19">
        <v>68.134161860000006</v>
      </c>
      <c r="D57" s="19">
        <v>4.6559075199999995</v>
      </c>
      <c r="E57" s="23">
        <f t="shared" si="0"/>
        <v>0.93603650113734793</v>
      </c>
      <c r="F57" s="23">
        <f t="shared" si="1"/>
        <v>6.3963498862652124E-2</v>
      </c>
      <c r="G57" s="6"/>
      <c r="H57" s="6"/>
      <c r="I57" s="4"/>
      <c r="J57" s="6"/>
      <c r="K57" s="6" t="s">
        <v>13</v>
      </c>
      <c r="L57" s="21"/>
      <c r="M57" s="6"/>
      <c r="N57" s="6" t="s">
        <v>13</v>
      </c>
      <c r="O57" s="6" t="s">
        <v>13</v>
      </c>
      <c r="P57" s="6" t="s">
        <v>10</v>
      </c>
      <c r="Q57" s="10"/>
    </row>
    <row r="58" spans="1:17" x14ac:dyDescent="0.25">
      <c r="A58" s="1">
        <v>56</v>
      </c>
      <c r="B58" s="15">
        <v>80.064317099999997</v>
      </c>
      <c r="C58" s="19">
        <v>48.388840399999999</v>
      </c>
      <c r="D58" s="19">
        <v>31.675476700000001</v>
      </c>
      <c r="E58" s="23">
        <f t="shared" si="0"/>
        <v>0.60437460972236279</v>
      </c>
      <c r="F58" s="23">
        <f t="shared" si="1"/>
        <v>0.39562539027763721</v>
      </c>
      <c r="G58" s="6"/>
      <c r="H58" s="6"/>
      <c r="I58" s="4"/>
      <c r="J58" s="6"/>
      <c r="K58" s="6" t="s">
        <v>13</v>
      </c>
      <c r="L58" s="21"/>
      <c r="M58" s="6"/>
      <c r="N58" s="6" t="s">
        <v>39</v>
      </c>
      <c r="O58" s="6" t="s">
        <v>13</v>
      </c>
      <c r="P58" s="6" t="s">
        <v>10</v>
      </c>
      <c r="Q58" s="10"/>
    </row>
    <row r="59" spans="1:17" x14ac:dyDescent="0.25">
      <c r="A59" s="1">
        <v>57</v>
      </c>
      <c r="B59" s="15">
        <v>91.414956579999995</v>
      </c>
      <c r="C59" s="19">
        <v>4.1386030800000002</v>
      </c>
      <c r="D59" s="19">
        <v>87.276353499999999</v>
      </c>
      <c r="E59" s="23">
        <f t="shared" si="0"/>
        <v>4.5272712856108871E-2</v>
      </c>
      <c r="F59" s="23">
        <f t="shared" si="1"/>
        <v>0.95472728714389121</v>
      </c>
      <c r="G59" s="6"/>
      <c r="H59" s="6"/>
      <c r="I59" s="4"/>
      <c r="J59" s="6"/>
      <c r="K59" s="6" t="s">
        <v>13</v>
      </c>
      <c r="L59" s="21"/>
      <c r="M59" s="6"/>
      <c r="N59" s="6" t="s">
        <v>13</v>
      </c>
      <c r="O59" s="6" t="s">
        <v>13</v>
      </c>
      <c r="P59" s="6" t="s">
        <v>10</v>
      </c>
      <c r="Q59" s="10"/>
    </row>
    <row r="60" spans="1:17" x14ac:dyDescent="0.25">
      <c r="A60" s="1">
        <v>58</v>
      </c>
      <c r="B60" s="15">
        <v>331.19827921000001</v>
      </c>
      <c r="C60" s="19">
        <v>160.0387054</v>
      </c>
      <c r="D60" s="19">
        <v>171.15957381000001</v>
      </c>
      <c r="E60" s="23">
        <f t="shared" si="0"/>
        <v>0.4832111621525837</v>
      </c>
      <c r="F60" s="23">
        <f t="shared" si="1"/>
        <v>0.51678883784741636</v>
      </c>
      <c r="G60" s="6"/>
      <c r="H60" s="6"/>
      <c r="I60" s="4"/>
      <c r="J60" s="6"/>
      <c r="K60" s="6" t="s">
        <v>13</v>
      </c>
      <c r="L60" s="21"/>
      <c r="M60" s="6"/>
      <c r="N60" s="6" t="s">
        <v>34</v>
      </c>
      <c r="O60" s="6" t="s">
        <v>13</v>
      </c>
      <c r="P60" s="6" t="s">
        <v>10</v>
      </c>
      <c r="Q60" s="10"/>
    </row>
    <row r="61" spans="1:17" x14ac:dyDescent="0.25">
      <c r="A61" s="1">
        <v>59</v>
      </c>
      <c r="B61" s="15">
        <v>54.68617982</v>
      </c>
      <c r="C61" s="19">
        <v>52.166534579999997</v>
      </c>
      <c r="D61" s="19">
        <v>2.51964524</v>
      </c>
      <c r="E61" s="23">
        <f t="shared" si="0"/>
        <v>0.95392537477853756</v>
      </c>
      <c r="F61" s="23">
        <f t="shared" si="1"/>
        <v>4.6074625221462398E-2</v>
      </c>
      <c r="G61" s="6"/>
      <c r="H61" s="6"/>
      <c r="I61" s="4"/>
      <c r="J61" s="6"/>
      <c r="K61" s="6" t="s">
        <v>13</v>
      </c>
      <c r="L61" s="21"/>
      <c r="M61" s="6"/>
      <c r="N61" s="6" t="s">
        <v>13</v>
      </c>
      <c r="O61" s="6" t="s">
        <v>13</v>
      </c>
      <c r="P61" s="6" t="s">
        <v>10</v>
      </c>
      <c r="Q61" s="10"/>
    </row>
    <row r="62" spans="1:17" x14ac:dyDescent="0.25">
      <c r="A62" s="1">
        <v>60</v>
      </c>
      <c r="B62" s="15">
        <v>26.111791669999999</v>
      </c>
      <c r="C62" s="19">
        <v>7.8436717399999996</v>
      </c>
      <c r="D62" s="19">
        <v>18.268119930000001</v>
      </c>
      <c r="E62" s="23">
        <f t="shared" si="0"/>
        <v>0.30038810967581531</v>
      </c>
      <c r="F62" s="23">
        <f t="shared" si="1"/>
        <v>0.6996118903241848</v>
      </c>
      <c r="G62" s="6"/>
      <c r="H62" s="6"/>
      <c r="I62" s="4"/>
      <c r="J62" s="6"/>
      <c r="K62" s="6" t="s">
        <v>13</v>
      </c>
      <c r="L62" s="21"/>
      <c r="M62" s="6"/>
      <c r="N62" s="6" t="s">
        <v>34</v>
      </c>
      <c r="O62" s="6" t="s">
        <v>13</v>
      </c>
      <c r="P62" s="6" t="s">
        <v>10</v>
      </c>
      <c r="Q62" s="10"/>
    </row>
    <row r="63" spans="1:17" x14ac:dyDescent="0.25">
      <c r="A63" s="1">
        <v>61</v>
      </c>
      <c r="B63" s="15">
        <v>22.02722838</v>
      </c>
      <c r="C63" s="19">
        <v>3.41415208</v>
      </c>
      <c r="D63" s="19">
        <v>3.6998077700000001</v>
      </c>
      <c r="E63" s="23">
        <f t="shared" si="0"/>
        <v>0.15499689843411885</v>
      </c>
      <c r="F63" s="23">
        <f t="shared" si="1"/>
        <v>0.16796519771680871</v>
      </c>
      <c r="G63" s="6"/>
      <c r="H63" s="6"/>
      <c r="I63" s="4">
        <v>14.913268530000002</v>
      </c>
      <c r="J63" s="6" t="s">
        <v>10</v>
      </c>
      <c r="K63" s="6" t="s">
        <v>16</v>
      </c>
      <c r="L63" s="21"/>
      <c r="M63" s="6"/>
      <c r="N63" s="6" t="s">
        <v>34</v>
      </c>
      <c r="O63" s="6" t="s">
        <v>13</v>
      </c>
      <c r="P63" s="6" t="s">
        <v>10</v>
      </c>
      <c r="Q63" s="10"/>
    </row>
    <row r="64" spans="1:17" x14ac:dyDescent="0.25">
      <c r="A64" s="1">
        <v>62</v>
      </c>
      <c r="B64" s="15">
        <v>53.376152740000002</v>
      </c>
      <c r="C64" s="19">
        <v>43.483829159999999</v>
      </c>
      <c r="D64" s="19">
        <v>9.8923235799999993</v>
      </c>
      <c r="E64" s="23">
        <f t="shared" si="0"/>
        <v>0.8146677294598883</v>
      </c>
      <c r="F64" s="23">
        <f t="shared" si="1"/>
        <v>0.18533227054011159</v>
      </c>
      <c r="G64" s="6"/>
      <c r="H64" s="6"/>
      <c r="I64" s="4"/>
      <c r="J64" s="6"/>
      <c r="K64" s="6" t="s">
        <v>13</v>
      </c>
      <c r="L64" s="21"/>
      <c r="M64" s="6"/>
      <c r="N64" s="6" t="s">
        <v>13</v>
      </c>
      <c r="O64" s="6" t="s">
        <v>13</v>
      </c>
      <c r="P64" s="6" t="s">
        <v>10</v>
      </c>
      <c r="Q64" s="10"/>
    </row>
    <row r="65" spans="1:17" x14ac:dyDescent="0.25">
      <c r="A65" s="1">
        <v>63</v>
      </c>
      <c r="B65" s="15">
        <v>55.269747779999996</v>
      </c>
      <c r="C65" s="19">
        <v>27.059797159999999</v>
      </c>
      <c r="D65" s="19">
        <v>28.209950620000001</v>
      </c>
      <c r="E65" s="23">
        <f t="shared" si="0"/>
        <v>0.48959509038671428</v>
      </c>
      <c r="F65" s="23">
        <f t="shared" si="1"/>
        <v>0.51040490961328577</v>
      </c>
      <c r="G65" s="6"/>
      <c r="H65" s="6"/>
      <c r="I65" s="4"/>
      <c r="J65" s="6"/>
      <c r="K65" s="6" t="s">
        <v>13</v>
      </c>
      <c r="L65" s="21"/>
      <c r="M65" s="6"/>
      <c r="N65" s="6" t="s">
        <v>34</v>
      </c>
      <c r="O65" s="6" t="s">
        <v>13</v>
      </c>
      <c r="P65" s="6" t="s">
        <v>10</v>
      </c>
      <c r="Q65" s="10"/>
    </row>
    <row r="66" spans="1:17" x14ac:dyDescent="0.25">
      <c r="A66" s="1">
        <v>64</v>
      </c>
      <c r="B66" s="15">
        <v>24.368637830000001</v>
      </c>
      <c r="C66" s="19">
        <v>23.156024379999998</v>
      </c>
      <c r="D66" s="19">
        <v>1.2126134500000001</v>
      </c>
      <c r="E66" s="23">
        <f t="shared" si="0"/>
        <v>0.95023876761354442</v>
      </c>
      <c r="F66" s="23">
        <f t="shared" si="1"/>
        <v>4.9761232386455474E-2</v>
      </c>
      <c r="G66" s="6"/>
      <c r="H66" s="6"/>
      <c r="I66" s="4"/>
      <c r="J66" s="6"/>
      <c r="K66" s="6" t="s">
        <v>13</v>
      </c>
      <c r="L66" s="21"/>
      <c r="M66" s="6"/>
      <c r="N66" s="6" t="s">
        <v>33</v>
      </c>
      <c r="O66" s="6" t="s">
        <v>13</v>
      </c>
      <c r="P66" s="6" t="s">
        <v>10</v>
      </c>
      <c r="Q66" s="10"/>
    </row>
    <row r="67" spans="1:17" x14ac:dyDescent="0.25">
      <c r="A67" s="1">
        <v>65</v>
      </c>
      <c r="B67" s="15">
        <v>25.130103120000001</v>
      </c>
      <c r="C67" s="19">
        <v>24.117179629999999</v>
      </c>
      <c r="D67" s="19">
        <v>1.0129234899999999</v>
      </c>
      <c r="E67" s="23">
        <f t="shared" ref="E67:E130" si="2">C67/B67</f>
        <v>0.95969282397437283</v>
      </c>
      <c r="F67" s="23">
        <f t="shared" ref="F67:F130" si="3">D67/B67</f>
        <v>4.0307176025627063E-2</v>
      </c>
      <c r="G67" s="6"/>
      <c r="H67" s="6"/>
      <c r="I67" s="4"/>
      <c r="J67" s="6"/>
      <c r="K67" s="6" t="s">
        <v>13</v>
      </c>
      <c r="L67" s="21"/>
      <c r="M67" s="6"/>
      <c r="N67" s="6" t="s">
        <v>40</v>
      </c>
      <c r="O67" s="6" t="s">
        <v>13</v>
      </c>
      <c r="P67" s="6" t="s">
        <v>10</v>
      </c>
      <c r="Q67" s="10"/>
    </row>
    <row r="68" spans="1:17" x14ac:dyDescent="0.25">
      <c r="A68" s="1">
        <v>66</v>
      </c>
      <c r="B68" s="15">
        <v>12.444945050000001</v>
      </c>
      <c r="C68" s="19">
        <v>4.1346074200000045</v>
      </c>
      <c r="D68" s="19">
        <v>4.5184025099999996</v>
      </c>
      <c r="E68" s="23">
        <f t="shared" si="2"/>
        <v>0.33223187433840889</v>
      </c>
      <c r="F68" s="23">
        <f t="shared" si="3"/>
        <v>0.36307131062824571</v>
      </c>
      <c r="G68" s="6"/>
      <c r="H68" s="6"/>
      <c r="I68" s="4">
        <v>3.7919351199999998</v>
      </c>
      <c r="J68" s="6" t="s">
        <v>10</v>
      </c>
      <c r="K68" s="6" t="s">
        <v>19</v>
      </c>
      <c r="L68" s="21"/>
      <c r="M68" s="6"/>
      <c r="N68" s="6" t="s">
        <v>26</v>
      </c>
      <c r="O68" s="6" t="s">
        <v>10</v>
      </c>
      <c r="P68" s="6" t="s">
        <v>10</v>
      </c>
      <c r="Q68" s="10"/>
    </row>
    <row r="69" spans="1:17" x14ac:dyDescent="0.25">
      <c r="A69" s="1">
        <v>67</v>
      </c>
      <c r="B69" s="15">
        <v>8.2753131</v>
      </c>
      <c r="C69" s="19">
        <v>7.00222531</v>
      </c>
      <c r="D69" s="19">
        <v>1.2730877899999999</v>
      </c>
      <c r="E69" s="23">
        <f t="shared" si="2"/>
        <v>0.84615835381503568</v>
      </c>
      <c r="F69" s="23">
        <f t="shared" si="3"/>
        <v>0.15384164618496429</v>
      </c>
      <c r="G69" s="6"/>
      <c r="H69" s="6"/>
      <c r="I69" s="4"/>
      <c r="J69" s="6"/>
      <c r="K69" s="6" t="s">
        <v>13</v>
      </c>
      <c r="L69" s="21"/>
      <c r="M69" s="6"/>
      <c r="N69" s="6" t="s">
        <v>13</v>
      </c>
      <c r="O69" s="6" t="s">
        <v>13</v>
      </c>
      <c r="P69" s="6" t="s">
        <v>10</v>
      </c>
      <c r="Q69" s="10"/>
    </row>
    <row r="70" spans="1:17" x14ac:dyDescent="0.25">
      <c r="A70" s="1">
        <v>68</v>
      </c>
      <c r="B70" s="15">
        <v>6.3863364699999998</v>
      </c>
      <c r="C70" s="19">
        <v>6.3863364699999998</v>
      </c>
      <c r="D70" s="19"/>
      <c r="E70" s="23">
        <f t="shared" si="2"/>
        <v>1</v>
      </c>
      <c r="F70" s="23">
        <f t="shared" si="3"/>
        <v>0</v>
      </c>
      <c r="G70" s="6"/>
      <c r="H70" s="6"/>
      <c r="I70" s="4"/>
      <c r="J70" s="6"/>
      <c r="K70" s="6" t="s">
        <v>13</v>
      </c>
      <c r="L70" s="21"/>
      <c r="M70" s="6"/>
      <c r="N70" s="6" t="s">
        <v>13</v>
      </c>
      <c r="O70" s="6" t="s">
        <v>13</v>
      </c>
      <c r="P70" s="6" t="s">
        <v>10</v>
      </c>
      <c r="Q70" s="10"/>
    </row>
    <row r="71" spans="1:17" x14ac:dyDescent="0.25">
      <c r="A71" s="1">
        <v>69</v>
      </c>
      <c r="B71" s="15">
        <v>4.4716998200000004</v>
      </c>
      <c r="C71" s="19">
        <v>4.4716998200000004</v>
      </c>
      <c r="D71" s="19"/>
      <c r="E71" s="23">
        <f t="shared" si="2"/>
        <v>1</v>
      </c>
      <c r="F71" s="23">
        <f t="shared" si="3"/>
        <v>0</v>
      </c>
      <c r="G71" s="6"/>
      <c r="H71" s="6"/>
      <c r="I71" s="4"/>
      <c r="J71" s="6"/>
      <c r="K71" s="6" t="s">
        <v>13</v>
      </c>
      <c r="L71" s="21"/>
      <c r="M71" s="6"/>
      <c r="N71" s="6" t="s">
        <v>32</v>
      </c>
      <c r="O71" s="6" t="s">
        <v>10</v>
      </c>
      <c r="P71" s="6" t="s">
        <v>10</v>
      </c>
      <c r="Q71" s="10"/>
    </row>
    <row r="72" spans="1:17" x14ac:dyDescent="0.25">
      <c r="A72" s="1">
        <v>70</v>
      </c>
      <c r="B72" s="15">
        <v>23.537019050000001</v>
      </c>
      <c r="C72" s="19">
        <v>6.0422798799999988</v>
      </c>
      <c r="D72" s="19">
        <v>10.870060839999999</v>
      </c>
      <c r="E72" s="23">
        <f t="shared" si="2"/>
        <v>0.25671389682628476</v>
      </c>
      <c r="F72" s="23">
        <f t="shared" si="3"/>
        <v>0.46182827217450878</v>
      </c>
      <c r="G72" s="6"/>
      <c r="H72" s="6"/>
      <c r="I72" s="4">
        <v>6.6246783299999992</v>
      </c>
      <c r="J72" s="6" t="s">
        <v>10</v>
      </c>
      <c r="K72" s="6" t="s">
        <v>16</v>
      </c>
      <c r="L72" s="21"/>
      <c r="M72" s="6"/>
      <c r="N72" s="6" t="s">
        <v>32</v>
      </c>
      <c r="O72" s="6" t="s">
        <v>10</v>
      </c>
      <c r="P72" s="6" t="s">
        <v>10</v>
      </c>
      <c r="Q72" s="10"/>
    </row>
    <row r="73" spans="1:17" x14ac:dyDescent="0.25">
      <c r="A73" s="1">
        <v>71</v>
      </c>
      <c r="B73" s="15">
        <v>9.4526086899999999</v>
      </c>
      <c r="C73" s="19">
        <v>4.1137945199999999</v>
      </c>
      <c r="D73" s="19"/>
      <c r="E73" s="23">
        <f t="shared" si="2"/>
        <v>0.4352020331014041</v>
      </c>
      <c r="F73" s="23">
        <f t="shared" si="3"/>
        <v>0</v>
      </c>
      <c r="G73" s="6"/>
      <c r="H73" s="6"/>
      <c r="I73" s="4">
        <v>5.33881417</v>
      </c>
      <c r="J73" s="6" t="s">
        <v>10</v>
      </c>
      <c r="K73" s="6" t="s">
        <v>16</v>
      </c>
      <c r="L73" s="21"/>
      <c r="M73" s="6"/>
      <c r="N73" s="6" t="s">
        <v>34</v>
      </c>
      <c r="O73" s="6" t="s">
        <v>13</v>
      </c>
      <c r="P73" s="6" t="s">
        <v>10</v>
      </c>
      <c r="Q73" s="10"/>
    </row>
    <row r="74" spans="1:17" x14ac:dyDescent="0.25">
      <c r="A74" s="1">
        <v>72</v>
      </c>
      <c r="B74" s="15">
        <v>4.6930590499999996</v>
      </c>
      <c r="C74" s="19">
        <v>1.8445774400000001</v>
      </c>
      <c r="D74" s="19">
        <v>0.79817453999999999</v>
      </c>
      <c r="E74" s="23">
        <f t="shared" si="2"/>
        <v>0.39304373125243336</v>
      </c>
      <c r="F74" s="23">
        <f t="shared" si="3"/>
        <v>0.17007553740454215</v>
      </c>
      <c r="G74" s="6"/>
      <c r="H74" s="6"/>
      <c r="I74" s="4">
        <v>2.0503070700000001</v>
      </c>
      <c r="J74" s="6" t="s">
        <v>10</v>
      </c>
      <c r="K74" s="6" t="s">
        <v>16</v>
      </c>
      <c r="L74" s="21"/>
      <c r="M74" s="6"/>
      <c r="N74" s="6" t="s">
        <v>34</v>
      </c>
      <c r="O74" s="6" t="s">
        <v>13</v>
      </c>
      <c r="P74" s="6" t="s">
        <v>10</v>
      </c>
      <c r="Q74" s="10"/>
    </row>
    <row r="75" spans="1:17" x14ac:dyDescent="0.25">
      <c r="A75" s="1">
        <v>73</v>
      </c>
      <c r="B75" s="15">
        <v>24.578735609999999</v>
      </c>
      <c r="C75" s="19">
        <v>19.742389379999999</v>
      </c>
      <c r="D75" s="19">
        <v>1.59404506</v>
      </c>
      <c r="E75" s="23">
        <f t="shared" si="2"/>
        <v>0.80323047097539446</v>
      </c>
      <c r="F75" s="23">
        <f t="shared" si="3"/>
        <v>6.4854640421432158E-2</v>
      </c>
      <c r="G75" s="6"/>
      <c r="H75" s="6"/>
      <c r="I75" s="4">
        <v>3.2423011699999997</v>
      </c>
      <c r="J75" s="6" t="s">
        <v>10</v>
      </c>
      <c r="K75" s="6" t="s">
        <v>16</v>
      </c>
      <c r="L75" s="21"/>
      <c r="M75" s="6"/>
      <c r="N75" s="6" t="s">
        <v>41</v>
      </c>
      <c r="O75" s="6" t="s">
        <v>13</v>
      </c>
      <c r="P75" s="6" t="s">
        <v>10</v>
      </c>
      <c r="Q75" s="10"/>
    </row>
    <row r="76" spans="1:17" x14ac:dyDescent="0.25">
      <c r="A76" s="1">
        <v>74</v>
      </c>
      <c r="B76" s="15">
        <v>9.9284990900000007</v>
      </c>
      <c r="C76" s="19">
        <v>9.9284990900000007</v>
      </c>
      <c r="D76" s="19"/>
      <c r="E76" s="23">
        <f t="shared" si="2"/>
        <v>1</v>
      </c>
      <c r="F76" s="23">
        <f t="shared" si="3"/>
        <v>0</v>
      </c>
      <c r="G76" s="6"/>
      <c r="H76" s="6"/>
      <c r="I76" s="4"/>
      <c r="J76" s="6"/>
      <c r="K76" s="6" t="s">
        <v>13</v>
      </c>
      <c r="L76" s="21"/>
      <c r="M76" s="6"/>
      <c r="N76" s="6" t="s">
        <v>42</v>
      </c>
      <c r="O76" s="6" t="s">
        <v>10</v>
      </c>
      <c r="P76" s="6" t="s">
        <v>10</v>
      </c>
      <c r="Q76" s="10"/>
    </row>
    <row r="77" spans="1:17" x14ac:dyDescent="0.25">
      <c r="A77" s="1">
        <v>75</v>
      </c>
      <c r="B77" s="15">
        <v>19.79865569</v>
      </c>
      <c r="C77" s="19">
        <v>1.8609939499999939</v>
      </c>
      <c r="D77" s="19">
        <v>1.7391985300000001</v>
      </c>
      <c r="E77" s="23">
        <f t="shared" si="2"/>
        <v>9.3995975238861981E-2</v>
      </c>
      <c r="F77" s="23">
        <f t="shared" si="3"/>
        <v>8.7844273734122402E-2</v>
      </c>
      <c r="G77" s="6"/>
      <c r="H77" s="6"/>
      <c r="I77" s="4">
        <v>16.19846321</v>
      </c>
      <c r="J77" s="6" t="s">
        <v>10</v>
      </c>
      <c r="K77" s="6" t="s">
        <v>16</v>
      </c>
      <c r="L77" s="21"/>
      <c r="M77" s="6"/>
      <c r="N77" s="6" t="s">
        <v>13</v>
      </c>
      <c r="O77" s="6" t="s">
        <v>13</v>
      </c>
      <c r="P77" s="6" t="s">
        <v>10</v>
      </c>
      <c r="Q77" s="10"/>
    </row>
    <row r="78" spans="1:17" x14ac:dyDescent="0.25">
      <c r="A78" s="1">
        <v>76</v>
      </c>
      <c r="B78" s="15">
        <v>47.811448220000003</v>
      </c>
      <c r="C78" s="19">
        <v>47.811448220000003</v>
      </c>
      <c r="D78" s="19"/>
      <c r="E78" s="23">
        <f t="shared" si="2"/>
        <v>1</v>
      </c>
      <c r="F78" s="23">
        <f t="shared" si="3"/>
        <v>0</v>
      </c>
      <c r="G78" s="6"/>
      <c r="H78" s="6"/>
      <c r="I78" s="4"/>
      <c r="J78" s="6"/>
      <c r="K78" s="6" t="s">
        <v>13</v>
      </c>
      <c r="L78" s="21"/>
      <c r="M78" s="6"/>
      <c r="N78" s="6" t="s">
        <v>13</v>
      </c>
      <c r="O78" s="6" t="s">
        <v>13</v>
      </c>
      <c r="P78" s="6" t="s">
        <v>10</v>
      </c>
      <c r="Q78" s="10"/>
    </row>
    <row r="79" spans="1:17" x14ac:dyDescent="0.25">
      <c r="A79" s="1">
        <v>77</v>
      </c>
      <c r="B79" s="15">
        <v>37.709054399999999</v>
      </c>
      <c r="C79" s="19">
        <v>29.050626939999997</v>
      </c>
      <c r="D79" s="19">
        <v>8.6584274600000004</v>
      </c>
      <c r="E79" s="23">
        <f t="shared" si="2"/>
        <v>0.7703886348314265</v>
      </c>
      <c r="F79" s="23">
        <f t="shared" si="3"/>
        <v>0.22961136516857342</v>
      </c>
      <c r="G79" s="6"/>
      <c r="H79" s="6"/>
      <c r="I79" s="4"/>
      <c r="J79" s="6"/>
      <c r="K79" s="6" t="s">
        <v>13</v>
      </c>
      <c r="L79" s="21"/>
      <c r="M79" s="6"/>
      <c r="N79" s="6" t="s">
        <v>13</v>
      </c>
      <c r="O79" s="6" t="s">
        <v>13</v>
      </c>
      <c r="P79" s="6" t="s">
        <v>10</v>
      </c>
      <c r="Q79" s="10"/>
    </row>
    <row r="80" spans="1:17" x14ac:dyDescent="0.25">
      <c r="A80" s="1">
        <v>78</v>
      </c>
      <c r="B80" s="15">
        <v>5.8431238599999995</v>
      </c>
      <c r="C80" s="19">
        <v>5.8431238599999995</v>
      </c>
      <c r="D80" s="19"/>
      <c r="E80" s="23">
        <f t="shared" si="2"/>
        <v>1</v>
      </c>
      <c r="F80" s="23">
        <f t="shared" si="3"/>
        <v>0</v>
      </c>
      <c r="G80" s="6"/>
      <c r="H80" s="6"/>
      <c r="I80" s="4"/>
      <c r="J80" s="6"/>
      <c r="K80" s="6" t="s">
        <v>13</v>
      </c>
      <c r="L80" s="21"/>
      <c r="M80" s="6"/>
      <c r="N80" s="6" t="s">
        <v>13</v>
      </c>
      <c r="O80" s="6" t="s">
        <v>13</v>
      </c>
      <c r="P80" s="6" t="s">
        <v>10</v>
      </c>
      <c r="Q80" s="10"/>
    </row>
    <row r="81" spans="1:17" x14ac:dyDescent="0.25">
      <c r="A81" s="1">
        <v>79</v>
      </c>
      <c r="B81" s="15">
        <v>4.4534930299999997</v>
      </c>
      <c r="C81" s="19">
        <v>4.4534930299999997</v>
      </c>
      <c r="D81" s="19"/>
      <c r="E81" s="23">
        <f t="shared" si="2"/>
        <v>1</v>
      </c>
      <c r="F81" s="23">
        <f t="shared" si="3"/>
        <v>0</v>
      </c>
      <c r="G81" s="6"/>
      <c r="H81" s="6"/>
      <c r="I81" s="4"/>
      <c r="J81" s="6"/>
      <c r="K81" s="6" t="s">
        <v>13</v>
      </c>
      <c r="L81" s="21"/>
      <c r="M81" s="6"/>
      <c r="N81" s="6" t="s">
        <v>34</v>
      </c>
      <c r="O81" s="6" t="s">
        <v>13</v>
      </c>
      <c r="P81" s="6" t="s">
        <v>10</v>
      </c>
      <c r="Q81" s="10"/>
    </row>
    <row r="82" spans="1:17" x14ac:dyDescent="0.25">
      <c r="A82" s="1">
        <v>80</v>
      </c>
      <c r="B82" s="15">
        <v>4.2890868700000002</v>
      </c>
      <c r="C82" s="19">
        <v>4.2890868700000002</v>
      </c>
      <c r="D82" s="19"/>
      <c r="E82" s="23">
        <f t="shared" si="2"/>
        <v>1</v>
      </c>
      <c r="F82" s="23">
        <f t="shared" si="3"/>
        <v>0</v>
      </c>
      <c r="G82" s="6"/>
      <c r="H82" s="6"/>
      <c r="I82" s="4"/>
      <c r="J82" s="6"/>
      <c r="K82" s="6" t="s">
        <v>13</v>
      </c>
      <c r="L82" s="21"/>
      <c r="M82" s="6"/>
      <c r="N82" s="6" t="s">
        <v>31</v>
      </c>
      <c r="O82" s="6" t="s">
        <v>13</v>
      </c>
      <c r="P82" s="6" t="s">
        <v>10</v>
      </c>
      <c r="Q82" s="10"/>
    </row>
    <row r="83" spans="1:17" x14ac:dyDescent="0.25">
      <c r="A83" s="1">
        <v>81</v>
      </c>
      <c r="B83" s="15">
        <v>25.169105399999999</v>
      </c>
      <c r="C83" s="19">
        <v>18.593632420000002</v>
      </c>
      <c r="D83" s="19">
        <v>3.9698468299999998</v>
      </c>
      <c r="E83" s="23">
        <f t="shared" si="2"/>
        <v>0.73874824410723805</v>
      </c>
      <c r="F83" s="23">
        <f t="shared" si="3"/>
        <v>0.15772697387965168</v>
      </c>
      <c r="G83" s="6"/>
      <c r="H83" s="6"/>
      <c r="I83" s="4">
        <v>2.60562615</v>
      </c>
      <c r="J83" s="6" t="s">
        <v>10</v>
      </c>
      <c r="K83" s="6" t="s">
        <v>16</v>
      </c>
      <c r="L83" s="21"/>
      <c r="M83" s="6"/>
      <c r="N83" s="6" t="s">
        <v>34</v>
      </c>
      <c r="O83" s="6" t="s">
        <v>13</v>
      </c>
      <c r="P83" s="6" t="s">
        <v>10</v>
      </c>
      <c r="Q83" s="10"/>
    </row>
    <row r="84" spans="1:17" x14ac:dyDescent="0.25">
      <c r="A84" s="1">
        <v>82</v>
      </c>
      <c r="B84" s="15">
        <v>85.282297809999989</v>
      </c>
      <c r="C84" s="19">
        <v>85.282297809999989</v>
      </c>
      <c r="D84" s="19"/>
      <c r="E84" s="23">
        <f t="shared" si="2"/>
        <v>1</v>
      </c>
      <c r="F84" s="23">
        <f t="shared" si="3"/>
        <v>0</v>
      </c>
      <c r="G84" s="6"/>
      <c r="H84" s="6"/>
      <c r="I84" s="4"/>
      <c r="J84" s="6"/>
      <c r="K84" s="6" t="s">
        <v>13</v>
      </c>
      <c r="L84" s="21"/>
      <c r="M84" s="6"/>
      <c r="N84" s="6" t="s">
        <v>13</v>
      </c>
      <c r="O84" s="6" t="s">
        <v>13</v>
      </c>
      <c r="P84" s="6" t="s">
        <v>10</v>
      </c>
      <c r="Q84" s="10"/>
    </row>
    <row r="85" spans="1:17" x14ac:dyDescent="0.25">
      <c r="A85" s="1">
        <v>83</v>
      </c>
      <c r="B85" s="15">
        <v>152.22302418999999</v>
      </c>
      <c r="C85" s="19">
        <v>121.15451641999999</v>
      </c>
      <c r="D85" s="19">
        <v>31.068507770000004</v>
      </c>
      <c r="E85" s="23">
        <f t="shared" si="2"/>
        <v>0.79590138919312714</v>
      </c>
      <c r="F85" s="23">
        <f t="shared" si="3"/>
        <v>0.20409861080687289</v>
      </c>
      <c r="G85" s="6"/>
      <c r="H85" s="6"/>
      <c r="I85" s="4"/>
      <c r="J85" s="6"/>
      <c r="K85" s="6" t="s">
        <v>13</v>
      </c>
      <c r="L85" s="21"/>
      <c r="M85" s="6"/>
      <c r="N85" s="6" t="s">
        <v>13</v>
      </c>
      <c r="O85" s="6" t="s">
        <v>13</v>
      </c>
      <c r="P85" s="6" t="s">
        <v>10</v>
      </c>
      <c r="Q85" s="10"/>
    </row>
    <row r="86" spans="1:17" x14ac:dyDescent="0.25">
      <c r="A86" s="1">
        <v>84</v>
      </c>
      <c r="B86" s="15">
        <v>31.113299910000002</v>
      </c>
      <c r="C86" s="19">
        <v>31.113299910000002</v>
      </c>
      <c r="D86" s="19"/>
      <c r="E86" s="23">
        <f t="shared" si="2"/>
        <v>1</v>
      </c>
      <c r="F86" s="23">
        <f t="shared" si="3"/>
        <v>0</v>
      </c>
      <c r="G86" s="6"/>
      <c r="H86" s="6"/>
      <c r="I86" s="4"/>
      <c r="J86" s="6"/>
      <c r="K86" s="6" t="s">
        <v>13</v>
      </c>
      <c r="L86" s="21"/>
      <c r="M86" s="6"/>
      <c r="N86" s="6" t="s">
        <v>13</v>
      </c>
      <c r="O86" s="6" t="s">
        <v>13</v>
      </c>
      <c r="P86" s="6" t="s">
        <v>10</v>
      </c>
      <c r="Q86" s="10"/>
    </row>
    <row r="87" spans="1:17" x14ac:dyDescent="0.25">
      <c r="A87" s="1">
        <v>85</v>
      </c>
      <c r="B87" s="15">
        <v>87.209039160000003</v>
      </c>
      <c r="C87" s="19">
        <v>20.824199249999992</v>
      </c>
      <c r="D87" s="19">
        <v>66.384839910000011</v>
      </c>
      <c r="E87" s="23">
        <f t="shared" si="2"/>
        <v>0.23878487196487067</v>
      </c>
      <c r="F87" s="23">
        <f t="shared" si="3"/>
        <v>0.76121512803512936</v>
      </c>
      <c r="G87" s="6"/>
      <c r="H87" s="6"/>
      <c r="I87" s="4"/>
      <c r="J87" s="6"/>
      <c r="K87" s="6" t="s">
        <v>13</v>
      </c>
      <c r="L87" s="21"/>
      <c r="M87" s="6"/>
      <c r="N87" s="6" t="s">
        <v>43</v>
      </c>
      <c r="O87" s="6" t="s">
        <v>10</v>
      </c>
      <c r="P87" s="6" t="s">
        <v>10</v>
      </c>
      <c r="Q87" s="10"/>
    </row>
    <row r="88" spans="1:17" x14ac:dyDescent="0.25">
      <c r="A88" s="1">
        <v>86</v>
      </c>
      <c r="B88" s="15">
        <v>90.685412720000002</v>
      </c>
      <c r="C88" s="19">
        <v>64.247784319999994</v>
      </c>
      <c r="D88" s="19">
        <v>26.437628399999998</v>
      </c>
      <c r="E88" s="23">
        <f t="shared" si="2"/>
        <v>0.70846878668757074</v>
      </c>
      <c r="F88" s="23">
        <f t="shared" si="3"/>
        <v>0.29153121331242915</v>
      </c>
      <c r="G88" s="6"/>
      <c r="H88" s="6"/>
      <c r="I88" s="4"/>
      <c r="J88" s="6"/>
      <c r="K88" s="6" t="s">
        <v>13</v>
      </c>
      <c r="L88" s="21"/>
      <c r="M88" s="6"/>
      <c r="N88" s="6" t="s">
        <v>29</v>
      </c>
      <c r="O88" s="6" t="s">
        <v>10</v>
      </c>
      <c r="P88" s="6" t="s">
        <v>10</v>
      </c>
      <c r="Q88" s="10"/>
    </row>
    <row r="89" spans="1:17" x14ac:dyDescent="0.25">
      <c r="A89" s="1">
        <v>87</v>
      </c>
      <c r="B89" s="15">
        <v>200.28119021000001</v>
      </c>
      <c r="C89" s="19">
        <v>166.72913378000001</v>
      </c>
      <c r="D89" s="19">
        <v>33.55205643</v>
      </c>
      <c r="E89" s="23">
        <f t="shared" si="2"/>
        <v>0.83247524944893825</v>
      </c>
      <c r="F89" s="23">
        <f t="shared" si="3"/>
        <v>0.16752475055106175</v>
      </c>
      <c r="G89" s="6"/>
      <c r="H89" s="6"/>
      <c r="I89" s="4"/>
      <c r="J89" s="6"/>
      <c r="K89" s="6" t="s">
        <v>13</v>
      </c>
      <c r="L89" s="21"/>
      <c r="M89" s="6"/>
      <c r="N89" s="6" t="s">
        <v>34</v>
      </c>
      <c r="O89" s="6" t="s">
        <v>13</v>
      </c>
      <c r="P89" s="6" t="s">
        <v>10</v>
      </c>
      <c r="Q89" s="10"/>
    </row>
    <row r="90" spans="1:17" x14ac:dyDescent="0.25">
      <c r="A90" s="1">
        <v>88</v>
      </c>
      <c r="B90" s="15">
        <v>120.59786499999998</v>
      </c>
      <c r="C90" s="19">
        <v>120.59786499999998</v>
      </c>
      <c r="D90" s="19"/>
      <c r="E90" s="23">
        <f t="shared" si="2"/>
        <v>1</v>
      </c>
      <c r="F90" s="23">
        <f t="shared" si="3"/>
        <v>0</v>
      </c>
      <c r="G90" s="6"/>
      <c r="H90" s="6"/>
      <c r="I90" s="4"/>
      <c r="J90" s="6"/>
      <c r="K90" s="6" t="s">
        <v>13</v>
      </c>
      <c r="L90" s="21"/>
      <c r="M90" s="6"/>
      <c r="N90" s="6" t="s">
        <v>44</v>
      </c>
      <c r="O90" s="6" t="s">
        <v>13</v>
      </c>
      <c r="P90" s="6" t="s">
        <v>10</v>
      </c>
      <c r="Q90" s="10"/>
    </row>
    <row r="91" spans="1:17" x14ac:dyDescent="0.25">
      <c r="A91" s="1">
        <v>89</v>
      </c>
      <c r="B91" s="15">
        <v>119.61510068000001</v>
      </c>
      <c r="C91" s="19">
        <v>19.615774160000008</v>
      </c>
      <c r="D91" s="19">
        <v>99.999326519999997</v>
      </c>
      <c r="E91" s="23">
        <f t="shared" si="2"/>
        <v>0.16399078417763538</v>
      </c>
      <c r="F91" s="23">
        <f t="shared" si="3"/>
        <v>0.83600921582236454</v>
      </c>
      <c r="G91" s="6"/>
      <c r="H91" s="6"/>
      <c r="I91" s="4"/>
      <c r="J91" s="6"/>
      <c r="K91" s="6" t="s">
        <v>13</v>
      </c>
      <c r="L91" s="21"/>
      <c r="M91" s="6"/>
      <c r="N91" s="6" t="s">
        <v>34</v>
      </c>
      <c r="O91" s="6" t="s">
        <v>13</v>
      </c>
      <c r="P91" s="6" t="s">
        <v>10</v>
      </c>
      <c r="Q91" s="10"/>
    </row>
    <row r="92" spans="1:17" x14ac:dyDescent="0.25">
      <c r="A92" s="1">
        <v>90</v>
      </c>
      <c r="B92" s="15">
        <v>161.8665264</v>
      </c>
      <c r="C92" s="19"/>
      <c r="D92" s="19">
        <v>161.8665264</v>
      </c>
      <c r="E92" s="23">
        <f t="shared" si="2"/>
        <v>0</v>
      </c>
      <c r="F92" s="23">
        <f t="shared" si="3"/>
        <v>1</v>
      </c>
      <c r="G92" s="6"/>
      <c r="H92" s="6"/>
      <c r="I92" s="4"/>
      <c r="J92" s="6"/>
      <c r="K92" s="6" t="s">
        <v>13</v>
      </c>
      <c r="L92" s="21"/>
      <c r="M92" s="6"/>
      <c r="N92" s="6" t="s">
        <v>13</v>
      </c>
      <c r="O92" s="6" t="s">
        <v>13</v>
      </c>
      <c r="P92" s="6" t="s">
        <v>10</v>
      </c>
      <c r="Q92" s="10"/>
    </row>
    <row r="93" spans="1:17" x14ac:dyDescent="0.25">
      <c r="A93" s="1">
        <v>91</v>
      </c>
      <c r="B93" s="15">
        <v>23.93270291</v>
      </c>
      <c r="C93" s="19">
        <v>17.546274759999999</v>
      </c>
      <c r="D93" s="19"/>
      <c r="E93" s="23">
        <f t="shared" si="2"/>
        <v>0.73315056915984589</v>
      </c>
      <c r="F93" s="23">
        <f t="shared" si="3"/>
        <v>0</v>
      </c>
      <c r="G93" s="6"/>
      <c r="H93" s="6"/>
      <c r="I93" s="4">
        <v>6.3864281499999995</v>
      </c>
      <c r="J93" s="6" t="s">
        <v>10</v>
      </c>
      <c r="K93" s="6" t="s">
        <v>16</v>
      </c>
      <c r="L93" s="21"/>
      <c r="M93" s="6"/>
      <c r="N93" s="6" t="s">
        <v>31</v>
      </c>
      <c r="O93" s="6" t="s">
        <v>13</v>
      </c>
      <c r="P93" s="6" t="s">
        <v>10</v>
      </c>
      <c r="Q93" s="10"/>
    </row>
    <row r="94" spans="1:17" x14ac:dyDescent="0.25">
      <c r="A94" s="1">
        <v>92</v>
      </c>
      <c r="B94" s="15">
        <v>133.51280098999999</v>
      </c>
      <c r="C94" s="19">
        <v>122.60897344</v>
      </c>
      <c r="D94" s="19">
        <v>10.903827550000001</v>
      </c>
      <c r="E94" s="23">
        <f t="shared" si="2"/>
        <v>0.91833122015905666</v>
      </c>
      <c r="F94" s="23">
        <f t="shared" si="3"/>
        <v>8.1668779840943409E-2</v>
      </c>
      <c r="G94" s="6"/>
      <c r="H94" s="6"/>
      <c r="I94" s="4"/>
      <c r="J94" s="6"/>
      <c r="K94" s="6" t="s">
        <v>13</v>
      </c>
      <c r="L94" s="21"/>
      <c r="M94" s="6"/>
      <c r="N94" s="6" t="s">
        <v>44</v>
      </c>
      <c r="O94" s="6" t="s">
        <v>13</v>
      </c>
      <c r="P94" s="6" t="s">
        <v>10</v>
      </c>
      <c r="Q94" s="10"/>
    </row>
    <row r="95" spans="1:17" x14ac:dyDescent="0.25">
      <c r="A95" s="1">
        <v>93</v>
      </c>
      <c r="B95" s="15">
        <v>47.114608619999998</v>
      </c>
      <c r="C95" s="19">
        <v>47.114608619999998</v>
      </c>
      <c r="D95" s="19"/>
      <c r="E95" s="23">
        <f t="shared" si="2"/>
        <v>1</v>
      </c>
      <c r="F95" s="23">
        <f t="shared" si="3"/>
        <v>0</v>
      </c>
      <c r="G95" s="6"/>
      <c r="H95" s="6"/>
      <c r="I95" s="4"/>
      <c r="J95" s="6"/>
      <c r="K95" s="6" t="s">
        <v>13</v>
      </c>
      <c r="L95" s="21"/>
      <c r="M95" s="6"/>
      <c r="N95" s="6" t="s">
        <v>13</v>
      </c>
      <c r="O95" s="6" t="s">
        <v>13</v>
      </c>
      <c r="P95" s="6" t="s">
        <v>10</v>
      </c>
      <c r="Q95" s="10"/>
    </row>
    <row r="96" spans="1:17" x14ac:dyDescent="0.25">
      <c r="A96" s="1">
        <v>94</v>
      </c>
      <c r="B96" s="15">
        <v>23.43011542</v>
      </c>
      <c r="C96" s="19">
        <v>22.729058539999997</v>
      </c>
      <c r="D96" s="19">
        <v>0.70105687999999999</v>
      </c>
      <c r="E96" s="23">
        <f t="shared" si="2"/>
        <v>0.97007881235610216</v>
      </c>
      <c r="F96" s="23">
        <f t="shared" si="3"/>
        <v>2.9921187643897659E-2</v>
      </c>
      <c r="G96" s="6"/>
      <c r="H96" s="6"/>
      <c r="I96" s="4"/>
      <c r="J96" s="6"/>
      <c r="K96" s="6" t="s">
        <v>13</v>
      </c>
      <c r="L96" s="21"/>
      <c r="M96" s="6"/>
      <c r="N96" s="6" t="s">
        <v>13</v>
      </c>
      <c r="O96" s="6" t="s">
        <v>13</v>
      </c>
      <c r="P96" s="6" t="s">
        <v>10</v>
      </c>
      <c r="Q96" s="10"/>
    </row>
    <row r="97" spans="1:17" x14ac:dyDescent="0.25">
      <c r="A97" s="1">
        <v>95</v>
      </c>
      <c r="B97" s="15">
        <v>26.982164360000002</v>
      </c>
      <c r="C97" s="19">
        <v>22.956990360000002</v>
      </c>
      <c r="D97" s="19">
        <v>4.0251739999999998</v>
      </c>
      <c r="E97" s="23">
        <f t="shared" si="2"/>
        <v>0.85082093688647298</v>
      </c>
      <c r="F97" s="23">
        <f t="shared" si="3"/>
        <v>0.14917906311352702</v>
      </c>
      <c r="G97" s="6"/>
      <c r="H97" s="6"/>
      <c r="I97" s="4"/>
      <c r="J97" s="6"/>
      <c r="K97" s="6" t="s">
        <v>13</v>
      </c>
      <c r="L97" s="21"/>
      <c r="M97" s="6"/>
      <c r="N97" s="6" t="s">
        <v>34</v>
      </c>
      <c r="O97" s="6" t="s">
        <v>13</v>
      </c>
      <c r="P97" s="6" t="s">
        <v>10</v>
      </c>
      <c r="Q97" s="10"/>
    </row>
    <row r="98" spans="1:17" x14ac:dyDescent="0.25">
      <c r="A98" s="1">
        <v>96</v>
      </c>
      <c r="B98" s="15">
        <v>88.269564610000003</v>
      </c>
      <c r="C98" s="19">
        <v>79.556212990000006</v>
      </c>
      <c r="D98" s="19">
        <v>2.5916612300000001</v>
      </c>
      <c r="E98" s="23">
        <f t="shared" si="2"/>
        <v>0.9012870216535217</v>
      </c>
      <c r="F98" s="23">
        <f t="shared" si="3"/>
        <v>2.9360756920584069E-2</v>
      </c>
      <c r="G98" s="6"/>
      <c r="H98" s="6"/>
      <c r="I98" s="4">
        <v>6.1216903899999995</v>
      </c>
      <c r="J98" s="6" t="s">
        <v>10</v>
      </c>
      <c r="K98" s="6" t="s">
        <v>16</v>
      </c>
      <c r="L98" s="21"/>
      <c r="M98" s="6"/>
      <c r="N98" s="6" t="s">
        <v>44</v>
      </c>
      <c r="O98" s="6" t="s">
        <v>13</v>
      </c>
      <c r="P98" s="6" t="s">
        <v>10</v>
      </c>
      <c r="Q98" s="10"/>
    </row>
    <row r="99" spans="1:17" x14ac:dyDescent="0.25">
      <c r="A99" s="1">
        <v>97</v>
      </c>
      <c r="B99" s="15">
        <v>50.328842619999996</v>
      </c>
      <c r="C99" s="19">
        <v>39.166190749999998</v>
      </c>
      <c r="D99" s="19">
        <v>11.162651869999999</v>
      </c>
      <c r="E99" s="23">
        <f t="shared" si="2"/>
        <v>0.77820567116391204</v>
      </c>
      <c r="F99" s="23">
        <f t="shared" si="3"/>
        <v>0.22179432883608799</v>
      </c>
      <c r="G99" s="6"/>
      <c r="H99" s="6"/>
      <c r="I99" s="4"/>
      <c r="J99" s="6"/>
      <c r="K99" s="6" t="s">
        <v>13</v>
      </c>
      <c r="L99" s="21"/>
      <c r="M99" s="6"/>
      <c r="N99" s="6" t="s">
        <v>31</v>
      </c>
      <c r="O99" s="6" t="s">
        <v>13</v>
      </c>
      <c r="P99" s="6" t="s">
        <v>10</v>
      </c>
      <c r="Q99" s="10"/>
    </row>
    <row r="100" spans="1:17" x14ac:dyDescent="0.25">
      <c r="A100" s="1">
        <v>98</v>
      </c>
      <c r="B100" s="15">
        <v>27.705579879999998</v>
      </c>
      <c r="C100" s="19">
        <v>18.691002189999999</v>
      </c>
      <c r="D100" s="19">
        <v>9.0145776899999994</v>
      </c>
      <c r="E100" s="23">
        <f t="shared" si="2"/>
        <v>0.67462952484501471</v>
      </c>
      <c r="F100" s="23">
        <f t="shared" si="3"/>
        <v>0.32537047515498529</v>
      </c>
      <c r="G100" s="6"/>
      <c r="H100" s="6"/>
      <c r="I100" s="4"/>
      <c r="J100" s="6"/>
      <c r="K100" s="6" t="s">
        <v>13</v>
      </c>
      <c r="L100" s="21"/>
      <c r="M100" s="6"/>
      <c r="N100" s="6" t="s">
        <v>31</v>
      </c>
      <c r="O100" s="6" t="s">
        <v>13</v>
      </c>
      <c r="P100" s="6" t="s">
        <v>10</v>
      </c>
      <c r="Q100" s="10"/>
    </row>
    <row r="101" spans="1:17" x14ac:dyDescent="0.25">
      <c r="A101" s="1">
        <v>99</v>
      </c>
      <c r="B101" s="15">
        <v>29.488914350000002</v>
      </c>
      <c r="C101" s="19">
        <v>21.692619520000001</v>
      </c>
      <c r="D101" s="19">
        <v>7.7962948300000008</v>
      </c>
      <c r="E101" s="23">
        <f t="shared" si="2"/>
        <v>0.73561946915146437</v>
      </c>
      <c r="F101" s="23">
        <f t="shared" si="3"/>
        <v>0.26438053084853563</v>
      </c>
      <c r="G101" s="6"/>
      <c r="H101" s="6"/>
      <c r="I101" s="4"/>
      <c r="J101" s="6"/>
      <c r="K101" s="6" t="s">
        <v>13</v>
      </c>
      <c r="L101" s="21"/>
      <c r="M101" s="6"/>
      <c r="N101" s="6" t="s">
        <v>44</v>
      </c>
      <c r="O101" s="6" t="s">
        <v>13</v>
      </c>
      <c r="P101" s="6" t="s">
        <v>10</v>
      </c>
      <c r="Q101" s="10"/>
    </row>
    <row r="102" spans="1:17" x14ac:dyDescent="0.25">
      <c r="A102" s="1">
        <v>100</v>
      </c>
      <c r="B102" s="15">
        <v>14.790567709999999</v>
      </c>
      <c r="C102" s="19">
        <v>6.7123877099999998</v>
      </c>
      <c r="D102" s="19"/>
      <c r="E102" s="23">
        <f t="shared" si="2"/>
        <v>0.45382894298652987</v>
      </c>
      <c r="F102" s="23">
        <f t="shared" si="3"/>
        <v>0</v>
      </c>
      <c r="G102" s="6"/>
      <c r="H102" s="6"/>
      <c r="I102" s="4">
        <v>8.0781799999999997</v>
      </c>
      <c r="J102" s="6" t="s">
        <v>10</v>
      </c>
      <c r="K102" s="6" t="s">
        <v>16</v>
      </c>
      <c r="L102" s="21"/>
      <c r="M102" s="6"/>
      <c r="N102" s="6" t="s">
        <v>45</v>
      </c>
      <c r="O102" s="6" t="s">
        <v>13</v>
      </c>
      <c r="P102" s="6" t="s">
        <v>10</v>
      </c>
      <c r="Q102" s="10"/>
    </row>
    <row r="103" spans="1:17" x14ac:dyDescent="0.25">
      <c r="A103" s="1">
        <v>101</v>
      </c>
      <c r="B103" s="15">
        <v>30.498453909999999</v>
      </c>
      <c r="C103" s="19">
        <v>10.467775339999999</v>
      </c>
      <c r="D103" s="19">
        <v>20.030678569999999</v>
      </c>
      <c r="E103" s="23">
        <f t="shared" si="2"/>
        <v>0.34322314734019249</v>
      </c>
      <c r="F103" s="23">
        <f t="shared" si="3"/>
        <v>0.65677685265980745</v>
      </c>
      <c r="G103" s="6"/>
      <c r="H103" s="6"/>
      <c r="I103" s="4"/>
      <c r="J103" s="6"/>
      <c r="K103" s="6" t="s">
        <v>13</v>
      </c>
      <c r="L103" s="21"/>
      <c r="M103" s="6"/>
      <c r="N103" s="6" t="s">
        <v>29</v>
      </c>
      <c r="O103" s="6" t="s">
        <v>10</v>
      </c>
      <c r="P103" s="6" t="s">
        <v>10</v>
      </c>
      <c r="Q103" s="10"/>
    </row>
    <row r="104" spans="1:17" x14ac:dyDescent="0.25">
      <c r="A104" s="1">
        <v>102</v>
      </c>
      <c r="B104" s="15">
        <v>121.09812038</v>
      </c>
      <c r="C104" s="19">
        <v>121.09812038</v>
      </c>
      <c r="D104" s="19"/>
      <c r="E104" s="23">
        <f t="shared" si="2"/>
        <v>1</v>
      </c>
      <c r="F104" s="23">
        <f t="shared" si="3"/>
        <v>0</v>
      </c>
      <c r="G104" s="6"/>
      <c r="H104" s="6"/>
      <c r="I104" s="4"/>
      <c r="J104" s="6"/>
      <c r="K104" s="6" t="s">
        <v>13</v>
      </c>
      <c r="L104" s="21"/>
      <c r="M104" s="6"/>
      <c r="N104" s="6" t="s">
        <v>13</v>
      </c>
      <c r="O104" s="6" t="s">
        <v>13</v>
      </c>
      <c r="P104" s="6" t="s">
        <v>10</v>
      </c>
      <c r="Q104" s="10"/>
    </row>
    <row r="105" spans="1:17" x14ac:dyDescent="0.25">
      <c r="A105" s="1">
        <v>103</v>
      </c>
      <c r="B105" s="15">
        <v>40.121761169999999</v>
      </c>
      <c r="C105" s="19">
        <v>13.463064730000001</v>
      </c>
      <c r="D105" s="19">
        <v>26.65869644</v>
      </c>
      <c r="E105" s="23">
        <f t="shared" si="2"/>
        <v>0.3355551784717431</v>
      </c>
      <c r="F105" s="23">
        <f t="shared" si="3"/>
        <v>0.66444482152825701</v>
      </c>
      <c r="G105" s="6"/>
      <c r="H105" s="6"/>
      <c r="I105" s="4"/>
      <c r="J105" s="6"/>
      <c r="K105" s="6" t="s">
        <v>13</v>
      </c>
      <c r="L105" s="21"/>
      <c r="M105" s="6"/>
      <c r="N105" s="6" t="s">
        <v>13</v>
      </c>
      <c r="O105" s="6" t="s">
        <v>13</v>
      </c>
      <c r="P105" s="6" t="s">
        <v>10</v>
      </c>
      <c r="Q105" s="10"/>
    </row>
    <row r="106" spans="1:17" x14ac:dyDescent="0.25">
      <c r="A106" s="1">
        <v>104</v>
      </c>
      <c r="B106" s="15">
        <v>38.289849629999999</v>
      </c>
      <c r="C106" s="19"/>
      <c r="D106" s="19">
        <v>38.289849629999999</v>
      </c>
      <c r="E106" s="23">
        <f t="shared" si="2"/>
        <v>0</v>
      </c>
      <c r="F106" s="23">
        <f t="shared" si="3"/>
        <v>1</v>
      </c>
      <c r="G106" s="6"/>
      <c r="H106" s="6"/>
      <c r="I106" s="4"/>
      <c r="J106" s="6"/>
      <c r="K106" s="6" t="s">
        <v>13</v>
      </c>
      <c r="L106" s="21"/>
      <c r="M106" s="6"/>
      <c r="N106" s="6" t="s">
        <v>13</v>
      </c>
      <c r="O106" s="6" t="s">
        <v>13</v>
      </c>
      <c r="P106" s="6" t="s">
        <v>10</v>
      </c>
      <c r="Q106" s="10"/>
    </row>
    <row r="107" spans="1:17" x14ac:dyDescent="0.25">
      <c r="A107" s="1">
        <v>105</v>
      </c>
      <c r="B107" s="15">
        <v>40.456105600000001</v>
      </c>
      <c r="C107" s="19"/>
      <c r="D107" s="19">
        <v>40.456105600000001</v>
      </c>
      <c r="E107" s="23">
        <f t="shared" si="2"/>
        <v>0</v>
      </c>
      <c r="F107" s="23">
        <f t="shared" si="3"/>
        <v>1</v>
      </c>
      <c r="G107" s="6"/>
      <c r="H107" s="6"/>
      <c r="I107" s="4"/>
      <c r="J107" s="6"/>
      <c r="K107" s="6" t="s">
        <v>13</v>
      </c>
      <c r="L107" s="21"/>
      <c r="M107" s="6"/>
      <c r="N107" s="6" t="s">
        <v>13</v>
      </c>
      <c r="O107" s="6" t="s">
        <v>13</v>
      </c>
      <c r="P107" s="6" t="s">
        <v>10</v>
      </c>
      <c r="Q107" s="10"/>
    </row>
    <row r="108" spans="1:17" x14ac:dyDescent="0.25">
      <c r="A108" s="1">
        <v>106</v>
      </c>
      <c r="B108" s="15">
        <v>40.774436810000005</v>
      </c>
      <c r="C108" s="19">
        <v>12.37456489</v>
      </c>
      <c r="D108" s="19">
        <v>28.399871920000006</v>
      </c>
      <c r="E108" s="23">
        <f t="shared" si="2"/>
        <v>0.30348830929689546</v>
      </c>
      <c r="F108" s="23">
        <f t="shared" si="3"/>
        <v>0.69651169070310459</v>
      </c>
      <c r="G108" s="6"/>
      <c r="H108" s="6"/>
      <c r="I108" s="4"/>
      <c r="J108" s="6"/>
      <c r="K108" s="6" t="s">
        <v>13</v>
      </c>
      <c r="L108" s="21"/>
      <c r="M108" s="6"/>
      <c r="N108" s="6" t="s">
        <v>34</v>
      </c>
      <c r="O108" s="6" t="s">
        <v>13</v>
      </c>
      <c r="P108" s="6" t="s">
        <v>10</v>
      </c>
      <c r="Q108" s="10"/>
    </row>
    <row r="109" spans="1:17" x14ac:dyDescent="0.25">
      <c r="A109" s="1">
        <v>107</v>
      </c>
      <c r="B109" s="15">
        <v>98.783329670000001</v>
      </c>
      <c r="C109" s="19">
        <v>98.783329670000001</v>
      </c>
      <c r="D109" s="19"/>
      <c r="E109" s="23">
        <f t="shared" si="2"/>
        <v>1</v>
      </c>
      <c r="F109" s="23">
        <f t="shared" si="3"/>
        <v>0</v>
      </c>
      <c r="G109" s="6"/>
      <c r="H109" s="6"/>
      <c r="I109" s="4"/>
      <c r="J109" s="6"/>
      <c r="K109" s="6" t="s">
        <v>13</v>
      </c>
      <c r="L109" s="21"/>
      <c r="M109" s="6"/>
      <c r="N109" s="6" t="s">
        <v>46</v>
      </c>
      <c r="O109" s="6" t="s">
        <v>13</v>
      </c>
      <c r="P109" s="6" t="s">
        <v>10</v>
      </c>
      <c r="Q109" s="10"/>
    </row>
    <row r="110" spans="1:17" x14ac:dyDescent="0.25">
      <c r="A110" s="1">
        <v>108</v>
      </c>
      <c r="B110" s="15">
        <v>57.310666689999998</v>
      </c>
      <c r="C110" s="19">
        <v>55.838282120000002</v>
      </c>
      <c r="D110" s="19">
        <v>1.47238457</v>
      </c>
      <c r="E110" s="23">
        <f t="shared" si="2"/>
        <v>0.9743087167705744</v>
      </c>
      <c r="F110" s="23">
        <f t="shared" si="3"/>
        <v>2.5691283229425647E-2</v>
      </c>
      <c r="G110" s="6"/>
      <c r="H110" s="6"/>
      <c r="I110" s="4"/>
      <c r="J110" s="6"/>
      <c r="K110" s="6" t="s">
        <v>13</v>
      </c>
      <c r="L110" s="21"/>
      <c r="M110" s="6"/>
      <c r="N110" s="6" t="s">
        <v>34</v>
      </c>
      <c r="O110" s="6" t="s">
        <v>13</v>
      </c>
      <c r="P110" s="6" t="s">
        <v>10</v>
      </c>
      <c r="Q110" s="10"/>
    </row>
    <row r="111" spans="1:17" x14ac:dyDescent="0.25">
      <c r="A111" s="1">
        <v>109</v>
      </c>
      <c r="B111" s="15">
        <v>24.9595862</v>
      </c>
      <c r="C111" s="19">
        <v>24.9595862</v>
      </c>
      <c r="D111" s="19"/>
      <c r="E111" s="23">
        <f t="shared" si="2"/>
        <v>1</v>
      </c>
      <c r="F111" s="23">
        <f t="shared" si="3"/>
        <v>0</v>
      </c>
      <c r="G111" s="6"/>
      <c r="H111" s="6"/>
      <c r="I111" s="4"/>
      <c r="J111" s="6"/>
      <c r="K111" s="6" t="s">
        <v>13</v>
      </c>
      <c r="L111" s="21"/>
      <c r="M111" s="6"/>
      <c r="N111" s="6" t="s">
        <v>34</v>
      </c>
      <c r="O111" s="6" t="s">
        <v>13</v>
      </c>
      <c r="P111" s="6" t="s">
        <v>10</v>
      </c>
      <c r="Q111" s="10"/>
    </row>
    <row r="112" spans="1:17" x14ac:dyDescent="0.25">
      <c r="A112" s="1">
        <v>110</v>
      </c>
      <c r="B112" s="15">
        <v>31.974344630000001</v>
      </c>
      <c r="C112" s="19">
        <v>24.653707440000002</v>
      </c>
      <c r="D112" s="19">
        <v>7.3206371900000002</v>
      </c>
      <c r="E112" s="23">
        <f t="shared" si="2"/>
        <v>0.77104652887454661</v>
      </c>
      <c r="F112" s="23">
        <f t="shared" si="3"/>
        <v>0.22895347112545336</v>
      </c>
      <c r="G112" s="6"/>
      <c r="H112" s="6"/>
      <c r="I112" s="4"/>
      <c r="J112" s="6"/>
      <c r="K112" s="6" t="s">
        <v>13</v>
      </c>
      <c r="L112" s="21"/>
      <c r="M112" s="6"/>
      <c r="N112" s="6" t="s">
        <v>13</v>
      </c>
      <c r="O112" s="6" t="s">
        <v>13</v>
      </c>
      <c r="P112" s="6" t="s">
        <v>10</v>
      </c>
      <c r="Q112" s="10"/>
    </row>
    <row r="113" spans="1:17" x14ac:dyDescent="0.25">
      <c r="A113" s="1">
        <v>111</v>
      </c>
      <c r="B113" s="15">
        <v>14.57548469</v>
      </c>
      <c r="C113" s="19"/>
      <c r="D113" s="19">
        <v>14.57548469</v>
      </c>
      <c r="E113" s="23">
        <f t="shared" si="2"/>
        <v>0</v>
      </c>
      <c r="F113" s="23">
        <f t="shared" si="3"/>
        <v>1</v>
      </c>
      <c r="G113" s="6"/>
      <c r="H113" s="6"/>
      <c r="I113" s="4"/>
      <c r="J113" s="6"/>
      <c r="K113" s="6" t="s">
        <v>13</v>
      </c>
      <c r="L113" s="21"/>
      <c r="M113" s="6"/>
      <c r="N113" s="6" t="s">
        <v>13</v>
      </c>
      <c r="O113" s="6" t="s">
        <v>13</v>
      </c>
      <c r="P113" s="6" t="s">
        <v>10</v>
      </c>
      <c r="Q113" s="10"/>
    </row>
    <row r="114" spans="1:17" x14ac:dyDescent="0.25">
      <c r="A114" s="1">
        <v>112</v>
      </c>
      <c r="B114" s="15">
        <v>25.260069699999999</v>
      </c>
      <c r="C114" s="19">
        <v>21.470884529999999</v>
      </c>
      <c r="D114" s="19">
        <v>3.7891851700000001</v>
      </c>
      <c r="E114" s="23">
        <f t="shared" si="2"/>
        <v>0.84999308335241852</v>
      </c>
      <c r="F114" s="23">
        <f t="shared" si="3"/>
        <v>0.15000691664758156</v>
      </c>
      <c r="G114" s="6"/>
      <c r="H114" s="6"/>
      <c r="I114" s="4"/>
      <c r="J114" s="6"/>
      <c r="K114" s="6" t="s">
        <v>13</v>
      </c>
      <c r="L114" s="21"/>
      <c r="M114" s="6"/>
      <c r="N114" s="6" t="s">
        <v>13</v>
      </c>
      <c r="O114" s="6" t="s">
        <v>13</v>
      </c>
      <c r="P114" s="6" t="s">
        <v>10</v>
      </c>
      <c r="Q114" s="10"/>
    </row>
    <row r="115" spans="1:17" x14ac:dyDescent="0.25">
      <c r="A115" s="1">
        <v>113</v>
      </c>
      <c r="B115" s="15">
        <v>24.37120556</v>
      </c>
      <c r="C115" s="19">
        <v>24.37120556</v>
      </c>
      <c r="D115" s="19"/>
      <c r="E115" s="23">
        <f t="shared" si="2"/>
        <v>1</v>
      </c>
      <c r="F115" s="23">
        <f t="shared" si="3"/>
        <v>0</v>
      </c>
      <c r="G115" s="6"/>
      <c r="H115" s="6"/>
      <c r="I115" s="4"/>
      <c r="J115" s="6"/>
      <c r="K115" s="6" t="s">
        <v>13</v>
      </c>
      <c r="L115" s="21"/>
      <c r="M115" s="6"/>
      <c r="N115" s="6" t="s">
        <v>13</v>
      </c>
      <c r="O115" s="6" t="s">
        <v>13</v>
      </c>
      <c r="P115" s="6" t="s">
        <v>10</v>
      </c>
      <c r="Q115" s="10"/>
    </row>
    <row r="116" spans="1:17" x14ac:dyDescent="0.25">
      <c r="A116" s="1">
        <v>114</v>
      </c>
      <c r="B116" s="15">
        <v>24.68283636</v>
      </c>
      <c r="C116" s="19">
        <v>24.68283636</v>
      </c>
      <c r="D116" s="19"/>
      <c r="E116" s="23">
        <f t="shared" si="2"/>
        <v>1</v>
      </c>
      <c r="F116" s="23">
        <f t="shared" si="3"/>
        <v>0</v>
      </c>
      <c r="G116" s="6"/>
      <c r="H116" s="6"/>
      <c r="I116" s="4"/>
      <c r="J116" s="6"/>
      <c r="K116" s="6" t="s">
        <v>13</v>
      </c>
      <c r="L116" s="21"/>
      <c r="M116" s="6"/>
      <c r="N116" s="6" t="s">
        <v>13</v>
      </c>
      <c r="O116" s="6" t="s">
        <v>13</v>
      </c>
      <c r="P116" s="6" t="s">
        <v>10</v>
      </c>
      <c r="Q116" s="10"/>
    </row>
    <row r="117" spans="1:17" x14ac:dyDescent="0.25">
      <c r="A117" s="1">
        <v>115</v>
      </c>
      <c r="B117" s="15">
        <v>75.254025580000004</v>
      </c>
      <c r="C117" s="19">
        <v>28.58522219</v>
      </c>
      <c r="D117" s="19">
        <v>18.429719339999998</v>
      </c>
      <c r="E117" s="23">
        <f t="shared" si="2"/>
        <v>0.37984974185350417</v>
      </c>
      <c r="F117" s="23">
        <f t="shared" si="3"/>
        <v>0.24490011262464609</v>
      </c>
      <c r="G117" s="6">
        <v>7.1511441200000005</v>
      </c>
      <c r="H117" s="6" t="s">
        <v>10</v>
      </c>
      <c r="I117" s="4">
        <v>21.087939929999997</v>
      </c>
      <c r="J117" s="6" t="s">
        <v>10</v>
      </c>
      <c r="K117" s="6" t="s">
        <v>16</v>
      </c>
      <c r="L117" s="21"/>
      <c r="M117" s="6"/>
      <c r="N117" s="6" t="s">
        <v>31</v>
      </c>
      <c r="O117" s="6" t="s">
        <v>13</v>
      </c>
      <c r="P117" s="6" t="s">
        <v>10</v>
      </c>
      <c r="Q117" s="10"/>
    </row>
    <row r="118" spans="1:17" x14ac:dyDescent="0.25">
      <c r="A118" s="1">
        <v>116</v>
      </c>
      <c r="B118" s="15">
        <v>24.755994820000002</v>
      </c>
      <c r="C118" s="19">
        <v>24.755994820000002</v>
      </c>
      <c r="D118" s="19"/>
      <c r="E118" s="23">
        <f t="shared" si="2"/>
        <v>1</v>
      </c>
      <c r="F118" s="23">
        <f t="shared" si="3"/>
        <v>0</v>
      </c>
      <c r="G118" s="6"/>
      <c r="H118" s="6"/>
      <c r="I118" s="4"/>
      <c r="J118" s="6"/>
      <c r="K118" s="6" t="s">
        <v>13</v>
      </c>
      <c r="L118" s="21"/>
      <c r="M118" s="6"/>
      <c r="N118" s="6" t="s">
        <v>13</v>
      </c>
      <c r="O118" s="6" t="s">
        <v>13</v>
      </c>
      <c r="P118" s="6" t="s">
        <v>10</v>
      </c>
      <c r="Q118" s="10"/>
    </row>
    <row r="119" spans="1:17" x14ac:dyDescent="0.25">
      <c r="A119" s="1">
        <v>117</v>
      </c>
      <c r="B119" s="15">
        <v>3.8082524700000002</v>
      </c>
      <c r="C119" s="19">
        <v>3.8082524700000002</v>
      </c>
      <c r="D119" s="19"/>
      <c r="E119" s="23">
        <f t="shared" si="2"/>
        <v>1</v>
      </c>
      <c r="F119" s="23">
        <f t="shared" si="3"/>
        <v>0</v>
      </c>
      <c r="G119" s="6"/>
      <c r="H119" s="6"/>
      <c r="I119" s="4"/>
      <c r="J119" s="6"/>
      <c r="K119" s="6" t="s">
        <v>13</v>
      </c>
      <c r="L119" s="21"/>
      <c r="M119" s="6"/>
      <c r="N119" s="6" t="s">
        <v>13</v>
      </c>
      <c r="O119" s="6" t="s">
        <v>13</v>
      </c>
      <c r="P119" s="6" t="s">
        <v>10</v>
      </c>
      <c r="Q119" s="10"/>
    </row>
    <row r="120" spans="1:17" x14ac:dyDescent="0.25">
      <c r="A120" s="1">
        <v>118</v>
      </c>
      <c r="B120" s="15">
        <v>5.8249347599999997</v>
      </c>
      <c r="C120" s="19">
        <v>3.7450583699999989</v>
      </c>
      <c r="D120" s="19">
        <v>2.0798763900000004</v>
      </c>
      <c r="E120" s="23">
        <f t="shared" si="2"/>
        <v>0.64293567641605642</v>
      </c>
      <c r="F120" s="23">
        <f t="shared" si="3"/>
        <v>0.35706432358394352</v>
      </c>
      <c r="G120" s="6"/>
      <c r="H120" s="6"/>
      <c r="I120" s="4"/>
      <c r="J120" s="6"/>
      <c r="K120" s="6" t="s">
        <v>13</v>
      </c>
      <c r="L120" s="21"/>
      <c r="M120" s="6"/>
      <c r="N120" s="6" t="s">
        <v>13</v>
      </c>
      <c r="O120" s="6" t="s">
        <v>13</v>
      </c>
      <c r="P120" s="6" t="s">
        <v>10</v>
      </c>
      <c r="Q120" s="10"/>
    </row>
    <row r="121" spans="1:17" x14ac:dyDescent="0.25">
      <c r="A121" s="1">
        <v>119</v>
      </c>
      <c r="B121" s="15">
        <v>26.876677039999997</v>
      </c>
      <c r="C121" s="19">
        <v>19.507994159999996</v>
      </c>
      <c r="D121" s="19">
        <v>7.3686828800000006</v>
      </c>
      <c r="E121" s="23">
        <f t="shared" si="2"/>
        <v>0.72583355937070104</v>
      </c>
      <c r="F121" s="23">
        <f t="shared" si="3"/>
        <v>0.2741664406292989</v>
      </c>
      <c r="G121" s="6"/>
      <c r="H121" s="6"/>
      <c r="I121" s="4"/>
      <c r="J121" s="6"/>
      <c r="K121" s="6" t="s">
        <v>13</v>
      </c>
      <c r="L121" s="21"/>
      <c r="M121" s="6"/>
      <c r="N121" s="6" t="s">
        <v>31</v>
      </c>
      <c r="O121" s="6" t="s">
        <v>13</v>
      </c>
      <c r="P121" s="6" t="s">
        <v>10</v>
      </c>
      <c r="Q121" s="10"/>
    </row>
    <row r="122" spans="1:17" x14ac:dyDescent="0.25">
      <c r="A122" s="1">
        <v>120</v>
      </c>
      <c r="B122" s="15">
        <v>4.9629928000000003</v>
      </c>
      <c r="C122" s="19">
        <v>4.9629928000000003</v>
      </c>
      <c r="D122" s="19"/>
      <c r="E122" s="23">
        <f t="shared" si="2"/>
        <v>1</v>
      </c>
      <c r="F122" s="23">
        <f t="shared" si="3"/>
        <v>0</v>
      </c>
      <c r="G122" s="6"/>
      <c r="H122" s="6"/>
      <c r="I122" s="4"/>
      <c r="J122" s="6"/>
      <c r="K122" s="6" t="s">
        <v>13</v>
      </c>
      <c r="L122" s="21"/>
      <c r="M122" s="6"/>
      <c r="N122" s="6" t="s">
        <v>13</v>
      </c>
      <c r="O122" s="6" t="s">
        <v>13</v>
      </c>
      <c r="P122" s="6" t="s">
        <v>10</v>
      </c>
      <c r="Q122" s="10"/>
    </row>
    <row r="123" spans="1:17" x14ac:dyDescent="0.25">
      <c r="A123" s="1">
        <v>121</v>
      </c>
      <c r="B123" s="15">
        <v>905.74737037</v>
      </c>
      <c r="C123" s="19">
        <v>374.23703338000001</v>
      </c>
      <c r="D123" s="19">
        <v>531.51033699000004</v>
      </c>
      <c r="E123" s="23">
        <f t="shared" si="2"/>
        <v>0.41318036973943767</v>
      </c>
      <c r="F123" s="23">
        <f t="shared" si="3"/>
        <v>0.58681963026056239</v>
      </c>
      <c r="G123" s="6"/>
      <c r="H123" s="6"/>
      <c r="I123" s="4"/>
      <c r="J123" s="6"/>
      <c r="K123" s="6" t="s">
        <v>13</v>
      </c>
      <c r="L123" s="21"/>
      <c r="M123" s="6"/>
      <c r="N123" s="6" t="s">
        <v>34</v>
      </c>
      <c r="O123" s="6" t="s">
        <v>13</v>
      </c>
      <c r="P123" s="6" t="s">
        <v>10</v>
      </c>
      <c r="Q123" s="10"/>
    </row>
    <row r="124" spans="1:17" x14ac:dyDescent="0.25">
      <c r="A124" s="1">
        <v>122</v>
      </c>
      <c r="B124" s="15">
        <v>20.163496119999998</v>
      </c>
      <c r="C124" s="19"/>
      <c r="D124" s="19">
        <v>20.163496119999998</v>
      </c>
      <c r="E124" s="23">
        <f t="shared" si="2"/>
        <v>0</v>
      </c>
      <c r="F124" s="23">
        <f t="shared" si="3"/>
        <v>1</v>
      </c>
      <c r="G124" s="6"/>
      <c r="H124" s="6"/>
      <c r="I124" s="4"/>
      <c r="J124" s="6"/>
      <c r="K124" s="6" t="s">
        <v>13</v>
      </c>
      <c r="L124" s="21"/>
      <c r="M124" s="6"/>
      <c r="N124" s="6" t="s">
        <v>13</v>
      </c>
      <c r="O124" s="6" t="s">
        <v>13</v>
      </c>
      <c r="P124" s="6" t="s">
        <v>10</v>
      </c>
      <c r="Q124" s="10"/>
    </row>
    <row r="125" spans="1:17" x14ac:dyDescent="0.25">
      <c r="A125" s="1">
        <v>123</v>
      </c>
      <c r="B125" s="15">
        <v>39.840794949999996</v>
      </c>
      <c r="C125" s="19">
        <v>39.840794949999996</v>
      </c>
      <c r="D125" s="19"/>
      <c r="E125" s="23">
        <f t="shared" si="2"/>
        <v>1</v>
      </c>
      <c r="F125" s="23">
        <f t="shared" si="3"/>
        <v>0</v>
      </c>
      <c r="G125" s="6"/>
      <c r="H125" s="6"/>
      <c r="I125" s="4"/>
      <c r="J125" s="6"/>
      <c r="K125" s="6" t="s">
        <v>13</v>
      </c>
      <c r="L125" s="21"/>
      <c r="M125" s="6"/>
      <c r="N125" s="6" t="s">
        <v>13</v>
      </c>
      <c r="O125" s="6" t="s">
        <v>13</v>
      </c>
      <c r="P125" s="6" t="s">
        <v>10</v>
      </c>
      <c r="Q125" s="10"/>
    </row>
    <row r="126" spans="1:17" x14ac:dyDescent="0.25">
      <c r="A126" s="1">
        <v>124</v>
      </c>
      <c r="B126" s="15">
        <v>208.99011077</v>
      </c>
      <c r="C126" s="19">
        <v>64.348891070000008</v>
      </c>
      <c r="D126" s="19">
        <v>144.64121969999999</v>
      </c>
      <c r="E126" s="23">
        <f t="shared" si="2"/>
        <v>0.30790400001662244</v>
      </c>
      <c r="F126" s="23">
        <f t="shared" si="3"/>
        <v>0.69209599998337756</v>
      </c>
      <c r="G126" s="6"/>
      <c r="H126" s="6"/>
      <c r="I126" s="4"/>
      <c r="J126" s="6"/>
      <c r="K126" s="6" t="s">
        <v>13</v>
      </c>
      <c r="L126" s="21"/>
      <c r="M126" s="6"/>
      <c r="N126" s="6" t="s">
        <v>13</v>
      </c>
      <c r="O126" s="6" t="s">
        <v>13</v>
      </c>
      <c r="P126" s="6" t="s">
        <v>10</v>
      </c>
      <c r="Q126" s="10"/>
    </row>
    <row r="127" spans="1:17" x14ac:dyDescent="0.25">
      <c r="A127" s="1">
        <v>125</v>
      </c>
      <c r="B127" s="15">
        <v>34.184194359999999</v>
      </c>
      <c r="C127" s="19"/>
      <c r="D127" s="19">
        <v>34.184194359999999</v>
      </c>
      <c r="E127" s="23">
        <f t="shared" si="2"/>
        <v>0</v>
      </c>
      <c r="F127" s="23">
        <f t="shared" si="3"/>
        <v>1</v>
      </c>
      <c r="G127" s="6"/>
      <c r="H127" s="6"/>
      <c r="I127" s="4"/>
      <c r="J127" s="6"/>
      <c r="K127" s="6" t="s">
        <v>13</v>
      </c>
      <c r="L127" s="21"/>
      <c r="M127" s="6"/>
      <c r="N127" s="6"/>
      <c r="O127" s="6" t="s">
        <v>13</v>
      </c>
      <c r="P127" s="6" t="s">
        <v>10</v>
      </c>
      <c r="Q127" s="10"/>
    </row>
    <row r="128" spans="1:17" x14ac:dyDescent="0.25">
      <c r="A128" s="1">
        <v>126</v>
      </c>
      <c r="B128" s="15">
        <v>41.365694730000001</v>
      </c>
      <c r="C128" s="19">
        <v>41.365694730000001</v>
      </c>
      <c r="D128" s="19"/>
      <c r="E128" s="23">
        <f t="shared" si="2"/>
        <v>1</v>
      </c>
      <c r="F128" s="23">
        <f t="shared" si="3"/>
        <v>0</v>
      </c>
      <c r="G128" s="6"/>
      <c r="H128" s="6"/>
      <c r="I128" s="4"/>
      <c r="J128" s="6"/>
      <c r="K128" s="6" t="s">
        <v>13</v>
      </c>
      <c r="L128" s="21"/>
      <c r="M128" s="6"/>
      <c r="N128" s="6" t="s">
        <v>34</v>
      </c>
      <c r="O128" s="6" t="s">
        <v>13</v>
      </c>
      <c r="P128" s="6" t="s">
        <v>10</v>
      </c>
      <c r="Q128" s="10"/>
    </row>
    <row r="129" spans="1:17" x14ac:dyDescent="0.25">
      <c r="A129" s="1">
        <v>127</v>
      </c>
      <c r="B129" s="15">
        <v>3.1505760199999999</v>
      </c>
      <c r="C129" s="19">
        <v>3.1505760199999999</v>
      </c>
      <c r="D129" s="19"/>
      <c r="E129" s="23">
        <f t="shared" si="2"/>
        <v>1</v>
      </c>
      <c r="F129" s="23">
        <f t="shared" si="3"/>
        <v>0</v>
      </c>
      <c r="G129" s="6"/>
      <c r="H129" s="6"/>
      <c r="I129" s="4"/>
      <c r="J129" s="6"/>
      <c r="K129" s="6" t="s">
        <v>13</v>
      </c>
      <c r="L129" s="21"/>
      <c r="M129" s="6"/>
      <c r="N129" s="6" t="s">
        <v>34</v>
      </c>
      <c r="O129" s="6" t="s">
        <v>13</v>
      </c>
      <c r="P129" s="6" t="s">
        <v>10</v>
      </c>
      <c r="Q129" s="10"/>
    </row>
    <row r="130" spans="1:17" x14ac:dyDescent="0.25">
      <c r="A130" s="1">
        <v>128</v>
      </c>
      <c r="B130" s="15">
        <v>3.0386007099999999</v>
      </c>
      <c r="C130" s="19">
        <v>2.6303057699999997</v>
      </c>
      <c r="D130" s="19">
        <v>0.40829494000000022</v>
      </c>
      <c r="E130" s="23">
        <f t="shared" si="2"/>
        <v>0.86563060468711595</v>
      </c>
      <c r="F130" s="23">
        <f t="shared" si="3"/>
        <v>0.13436939531288408</v>
      </c>
      <c r="G130" s="6"/>
      <c r="H130" s="6"/>
      <c r="I130" s="4"/>
      <c r="J130" s="6"/>
      <c r="K130" s="6" t="s">
        <v>13</v>
      </c>
      <c r="L130" s="21"/>
      <c r="M130" s="6"/>
      <c r="N130" s="6" t="s">
        <v>13</v>
      </c>
      <c r="O130" s="6" t="s">
        <v>13</v>
      </c>
      <c r="P130" s="6" t="s">
        <v>10</v>
      </c>
      <c r="Q130" s="10"/>
    </row>
    <row r="131" spans="1:17" x14ac:dyDescent="0.25">
      <c r="A131" s="1">
        <v>129</v>
      </c>
      <c r="B131" s="15">
        <v>3.0334601299999999</v>
      </c>
      <c r="C131" s="19">
        <v>2.1616602500000002</v>
      </c>
      <c r="D131" s="19">
        <v>0.87179987999999997</v>
      </c>
      <c r="E131" s="23">
        <f t="shared" ref="E131:E194" si="4">C131/B131</f>
        <v>0.71260545956145471</v>
      </c>
      <c r="F131" s="23">
        <f t="shared" ref="F131:F194" si="5">D131/B131</f>
        <v>0.28739454043854534</v>
      </c>
      <c r="G131" s="6"/>
      <c r="H131" s="6"/>
      <c r="I131" s="4"/>
      <c r="J131" s="6"/>
      <c r="K131" s="6" t="s">
        <v>13</v>
      </c>
      <c r="L131" s="21"/>
      <c r="M131" s="6"/>
      <c r="N131" s="6" t="s">
        <v>13</v>
      </c>
      <c r="O131" s="6" t="s">
        <v>13</v>
      </c>
      <c r="P131" s="6" t="s">
        <v>10</v>
      </c>
      <c r="Q131" s="10"/>
    </row>
    <row r="132" spans="1:17" x14ac:dyDescent="0.25">
      <c r="A132" s="1">
        <v>130</v>
      </c>
      <c r="B132" s="15">
        <v>3.0334601299999999</v>
      </c>
      <c r="C132" s="19">
        <v>1.2018139400000001</v>
      </c>
      <c r="D132" s="19">
        <v>1.8316461899999998</v>
      </c>
      <c r="E132" s="23">
        <f t="shared" si="4"/>
        <v>0.39618583679885061</v>
      </c>
      <c r="F132" s="23">
        <f t="shared" si="5"/>
        <v>0.60381416320114945</v>
      </c>
      <c r="G132" s="6"/>
      <c r="H132" s="6"/>
      <c r="I132" s="4"/>
      <c r="J132" s="6"/>
      <c r="K132" s="6" t="s">
        <v>13</v>
      </c>
      <c r="L132" s="21"/>
      <c r="M132" s="6"/>
      <c r="N132" s="6" t="s">
        <v>13</v>
      </c>
      <c r="O132" s="6" t="s">
        <v>13</v>
      </c>
      <c r="P132" s="6" t="s">
        <v>10</v>
      </c>
      <c r="Q132" s="10"/>
    </row>
    <row r="133" spans="1:17" x14ac:dyDescent="0.25">
      <c r="A133" s="1">
        <v>131</v>
      </c>
      <c r="B133" s="15">
        <v>3.0358712699999999</v>
      </c>
      <c r="C133" s="19">
        <v>2.7867700599999998</v>
      </c>
      <c r="D133" s="19">
        <v>0.24910121000000007</v>
      </c>
      <c r="E133" s="23">
        <f t="shared" si="4"/>
        <v>0.91794737396753978</v>
      </c>
      <c r="F133" s="23">
        <f t="shared" si="5"/>
        <v>8.2052626032460219E-2</v>
      </c>
      <c r="G133" s="6"/>
      <c r="H133" s="6"/>
      <c r="I133" s="4"/>
      <c r="J133" s="6"/>
      <c r="K133" s="6" t="s">
        <v>13</v>
      </c>
      <c r="L133" s="21"/>
      <c r="M133" s="6"/>
      <c r="N133" s="6" t="s">
        <v>13</v>
      </c>
      <c r="O133" s="6" t="s">
        <v>13</v>
      </c>
      <c r="P133" s="6" t="s">
        <v>10</v>
      </c>
      <c r="Q133" s="10"/>
    </row>
    <row r="134" spans="1:17" x14ac:dyDescent="0.25">
      <c r="A134" s="1">
        <v>132</v>
      </c>
      <c r="B134" s="15">
        <v>3.0393746400000001</v>
      </c>
      <c r="C134" s="19">
        <v>2.9492057099999998</v>
      </c>
      <c r="D134" s="19">
        <v>9.0168930000000369E-2</v>
      </c>
      <c r="E134" s="23">
        <f t="shared" si="4"/>
        <v>0.97033306496233696</v>
      </c>
      <c r="F134" s="23">
        <f t="shared" si="5"/>
        <v>2.9666935037663E-2</v>
      </c>
      <c r="G134" s="6"/>
      <c r="H134" s="6"/>
      <c r="I134" s="4"/>
      <c r="J134" s="6"/>
      <c r="K134" s="6" t="s">
        <v>13</v>
      </c>
      <c r="L134" s="21"/>
      <c r="M134" s="6"/>
      <c r="N134" s="6" t="s">
        <v>13</v>
      </c>
      <c r="O134" s="6" t="s">
        <v>13</v>
      </c>
      <c r="P134" s="6" t="s">
        <v>10</v>
      </c>
      <c r="Q134" s="10"/>
    </row>
    <row r="135" spans="1:17" x14ac:dyDescent="0.25">
      <c r="A135" s="1">
        <v>133</v>
      </c>
      <c r="B135" s="15">
        <v>3.7630201099999998</v>
      </c>
      <c r="C135" s="19"/>
      <c r="D135" s="19">
        <v>3.7630201099999998</v>
      </c>
      <c r="E135" s="23">
        <f t="shared" si="4"/>
        <v>0</v>
      </c>
      <c r="F135" s="23">
        <f t="shared" si="5"/>
        <v>1</v>
      </c>
      <c r="G135" s="6"/>
      <c r="H135" s="6"/>
      <c r="I135" s="4"/>
      <c r="J135" s="6"/>
      <c r="K135" s="6" t="s">
        <v>13</v>
      </c>
      <c r="L135" s="21"/>
      <c r="M135" s="6"/>
      <c r="N135" s="6" t="s">
        <v>13</v>
      </c>
      <c r="O135" s="6" t="s">
        <v>13</v>
      </c>
      <c r="P135" s="6" t="s">
        <v>10</v>
      </c>
      <c r="Q135" s="10"/>
    </row>
    <row r="136" spans="1:17" x14ac:dyDescent="0.25">
      <c r="A136" s="1">
        <v>134</v>
      </c>
      <c r="B136" s="15">
        <v>4.0574915499999999</v>
      </c>
      <c r="C136" s="19">
        <v>0.26814533999999934</v>
      </c>
      <c r="D136" s="19">
        <v>3.7893462100000006</v>
      </c>
      <c r="E136" s="23">
        <f t="shared" si="4"/>
        <v>6.6086481437034508E-2</v>
      </c>
      <c r="F136" s="23">
        <f t="shared" si="5"/>
        <v>0.93391351856296545</v>
      </c>
      <c r="G136" s="6"/>
      <c r="H136" s="6"/>
      <c r="I136" s="4"/>
      <c r="J136" s="6"/>
      <c r="K136" s="6" t="s">
        <v>13</v>
      </c>
      <c r="L136" s="21"/>
      <c r="M136" s="6"/>
      <c r="N136" s="6" t="s">
        <v>13</v>
      </c>
      <c r="O136" s="6" t="s">
        <v>13</v>
      </c>
      <c r="P136" s="6" t="s">
        <v>10</v>
      </c>
      <c r="Q136" s="10"/>
    </row>
    <row r="137" spans="1:17" x14ac:dyDescent="0.25">
      <c r="A137" s="1">
        <v>135</v>
      </c>
      <c r="B137" s="15">
        <v>30.008529830000004</v>
      </c>
      <c r="C137" s="19">
        <v>5.96478661</v>
      </c>
      <c r="D137" s="19">
        <v>24.043743220000003</v>
      </c>
      <c r="E137" s="23">
        <f t="shared" si="4"/>
        <v>0.19876970460701837</v>
      </c>
      <c r="F137" s="23">
        <f t="shared" si="5"/>
        <v>0.80123029539298163</v>
      </c>
      <c r="G137" s="6"/>
      <c r="H137" s="6"/>
      <c r="I137" s="4"/>
      <c r="J137" s="6"/>
      <c r="K137" s="6" t="s">
        <v>13</v>
      </c>
      <c r="L137" s="21"/>
      <c r="M137" s="6"/>
      <c r="N137" s="6" t="s">
        <v>43</v>
      </c>
      <c r="O137" s="6" t="s">
        <v>10</v>
      </c>
      <c r="P137" s="6" t="s">
        <v>10</v>
      </c>
      <c r="Q137" s="10"/>
    </row>
    <row r="138" spans="1:17" x14ac:dyDescent="0.25">
      <c r="A138" s="1">
        <v>136</v>
      </c>
      <c r="B138" s="15">
        <v>15.246781179999999</v>
      </c>
      <c r="C138" s="19">
        <v>6.0689073799999997</v>
      </c>
      <c r="D138" s="19">
        <v>9.1778738000000004</v>
      </c>
      <c r="E138" s="23">
        <f t="shared" si="4"/>
        <v>0.39804515512827737</v>
      </c>
      <c r="F138" s="23">
        <f t="shared" si="5"/>
        <v>0.60195484487172268</v>
      </c>
      <c r="G138" s="6"/>
      <c r="H138" s="6"/>
      <c r="I138" s="4"/>
      <c r="J138" s="6"/>
      <c r="K138" s="6" t="s">
        <v>13</v>
      </c>
      <c r="L138" s="21"/>
      <c r="M138" s="6"/>
      <c r="N138" s="6" t="s">
        <v>31</v>
      </c>
      <c r="O138" s="6" t="s">
        <v>13</v>
      </c>
      <c r="P138" s="6" t="s">
        <v>10</v>
      </c>
      <c r="Q138" s="10"/>
    </row>
    <row r="139" spans="1:17" x14ac:dyDescent="0.25">
      <c r="A139" s="1">
        <v>137</v>
      </c>
      <c r="B139" s="15">
        <v>14.782297089999998</v>
      </c>
      <c r="C139" s="19">
        <v>4.9916899699999968</v>
      </c>
      <c r="D139" s="19">
        <v>9.7906071200000007</v>
      </c>
      <c r="E139" s="23">
        <f t="shared" si="4"/>
        <v>0.33768026306119908</v>
      </c>
      <c r="F139" s="23">
        <f t="shared" si="5"/>
        <v>0.66231973693880086</v>
      </c>
      <c r="G139" s="6"/>
      <c r="H139" s="6"/>
      <c r="I139" s="4"/>
      <c r="J139" s="6"/>
      <c r="K139" s="6" t="s">
        <v>13</v>
      </c>
      <c r="L139" s="21"/>
      <c r="M139" s="6"/>
      <c r="N139" s="6" t="s">
        <v>31</v>
      </c>
      <c r="O139" s="6" t="s">
        <v>13</v>
      </c>
      <c r="P139" s="6" t="s">
        <v>10</v>
      </c>
      <c r="Q139" s="10"/>
    </row>
    <row r="140" spans="1:17" x14ac:dyDescent="0.25">
      <c r="A140" s="1">
        <v>138</v>
      </c>
      <c r="B140" s="15">
        <v>6.4309966000000003</v>
      </c>
      <c r="C140" s="19">
        <v>4.5616150800000002</v>
      </c>
      <c r="D140" s="19">
        <v>1.8693815200000001</v>
      </c>
      <c r="E140" s="23">
        <f t="shared" si="4"/>
        <v>0.70931697895781809</v>
      </c>
      <c r="F140" s="23">
        <f t="shared" si="5"/>
        <v>0.29068302104218185</v>
      </c>
      <c r="G140" s="6"/>
      <c r="H140" s="6"/>
      <c r="I140" s="4"/>
      <c r="J140" s="6"/>
      <c r="K140" s="6" t="s">
        <v>13</v>
      </c>
      <c r="L140" s="21"/>
      <c r="M140" s="6"/>
      <c r="N140" s="6" t="s">
        <v>33</v>
      </c>
      <c r="O140" s="6" t="s">
        <v>13</v>
      </c>
      <c r="P140" s="6" t="s">
        <v>10</v>
      </c>
      <c r="Q140" s="10"/>
    </row>
    <row r="141" spans="1:17" x14ac:dyDescent="0.25">
      <c r="A141" s="1">
        <v>139</v>
      </c>
      <c r="B141" s="15">
        <v>4.0596772999999997</v>
      </c>
      <c r="C141" s="19">
        <v>2.7020671600000004</v>
      </c>
      <c r="D141" s="19">
        <v>1.35761014</v>
      </c>
      <c r="E141" s="23">
        <f t="shared" si="4"/>
        <v>0.66558668591712955</v>
      </c>
      <c r="F141" s="23">
        <f t="shared" si="5"/>
        <v>0.33441331408287062</v>
      </c>
      <c r="G141" s="6"/>
      <c r="H141" s="6"/>
      <c r="I141" s="4"/>
      <c r="J141" s="6"/>
      <c r="K141" s="6" t="s">
        <v>13</v>
      </c>
      <c r="L141" s="21"/>
      <c r="M141" s="6"/>
      <c r="N141" s="6" t="s">
        <v>34</v>
      </c>
      <c r="O141" s="6" t="s">
        <v>13</v>
      </c>
      <c r="P141" s="6" t="s">
        <v>10</v>
      </c>
      <c r="Q141" s="10"/>
    </row>
    <row r="142" spans="1:17" x14ac:dyDescent="0.25">
      <c r="A142" s="1">
        <v>140</v>
      </c>
      <c r="B142" s="15">
        <v>7.5719372399999996</v>
      </c>
      <c r="C142" s="19">
        <v>3.2525227899999991</v>
      </c>
      <c r="D142" s="19">
        <v>4.31941445</v>
      </c>
      <c r="E142" s="23">
        <f t="shared" si="4"/>
        <v>0.42954962341975239</v>
      </c>
      <c r="F142" s="23">
        <f t="shared" si="5"/>
        <v>0.57045037658024755</v>
      </c>
      <c r="G142" s="6"/>
      <c r="H142" s="6"/>
      <c r="I142" s="4"/>
      <c r="J142" s="6"/>
      <c r="K142" s="6" t="s">
        <v>13</v>
      </c>
      <c r="L142" s="21"/>
      <c r="M142" s="6"/>
      <c r="N142" s="6" t="s">
        <v>38</v>
      </c>
      <c r="O142" s="6" t="s">
        <v>13</v>
      </c>
      <c r="P142" s="6" t="s">
        <v>10</v>
      </c>
      <c r="Q142" s="10"/>
    </row>
    <row r="143" spans="1:17" x14ac:dyDescent="0.25">
      <c r="A143" s="1">
        <v>141</v>
      </c>
      <c r="B143" s="15">
        <v>21.7517426</v>
      </c>
      <c r="C143" s="19">
        <v>11.613183480000002</v>
      </c>
      <c r="D143" s="19">
        <v>10.13855912</v>
      </c>
      <c r="E143" s="23">
        <f t="shared" si="4"/>
        <v>0.5338966947871111</v>
      </c>
      <c r="F143" s="23">
        <f t="shared" si="5"/>
        <v>0.46610330521288901</v>
      </c>
      <c r="G143" s="6"/>
      <c r="H143" s="6"/>
      <c r="I143" s="4"/>
      <c r="J143" s="6"/>
      <c r="K143" s="6" t="s">
        <v>13</v>
      </c>
      <c r="L143" s="21"/>
      <c r="M143" s="6"/>
      <c r="N143" s="6" t="s">
        <v>34</v>
      </c>
      <c r="O143" s="6" t="s">
        <v>13</v>
      </c>
      <c r="P143" s="6" t="s">
        <v>10</v>
      </c>
      <c r="Q143" s="10"/>
    </row>
    <row r="144" spans="1:17" x14ac:dyDescent="0.25">
      <c r="A144" s="1">
        <v>142</v>
      </c>
      <c r="B144" s="15">
        <v>23.24426618</v>
      </c>
      <c r="C144" s="19">
        <v>15.043471159999998</v>
      </c>
      <c r="D144" s="19">
        <v>5.3351169199999999</v>
      </c>
      <c r="E144" s="23">
        <f t="shared" si="4"/>
        <v>0.64719062514194614</v>
      </c>
      <c r="F144" s="23">
        <f t="shared" si="5"/>
        <v>0.22952399867931644</v>
      </c>
      <c r="G144" s="6"/>
      <c r="H144" s="6"/>
      <c r="I144" s="4">
        <v>2.8656780999999998</v>
      </c>
      <c r="J144" s="6" t="s">
        <v>10</v>
      </c>
      <c r="K144" s="6" t="s">
        <v>17</v>
      </c>
      <c r="L144" s="21"/>
      <c r="M144" s="6"/>
      <c r="N144" s="6" t="s">
        <v>13</v>
      </c>
      <c r="O144" s="6" t="s">
        <v>13</v>
      </c>
      <c r="P144" s="6" t="s">
        <v>10</v>
      </c>
      <c r="Q144" s="10"/>
    </row>
    <row r="145" spans="1:17" x14ac:dyDescent="0.25">
      <c r="A145" s="1">
        <v>143</v>
      </c>
      <c r="B145" s="15">
        <v>30.267353269999997</v>
      </c>
      <c r="C145" s="19">
        <v>30.267353269999997</v>
      </c>
      <c r="D145" s="19"/>
      <c r="E145" s="23">
        <f t="shared" si="4"/>
        <v>1</v>
      </c>
      <c r="F145" s="23">
        <f t="shared" si="5"/>
        <v>0</v>
      </c>
      <c r="G145" s="6"/>
      <c r="H145" s="6"/>
      <c r="I145" s="4"/>
      <c r="J145" s="6"/>
      <c r="K145" s="6" t="s">
        <v>13</v>
      </c>
      <c r="L145" s="21"/>
      <c r="M145" s="6"/>
      <c r="N145" s="6" t="s">
        <v>13</v>
      </c>
      <c r="O145" s="6" t="s">
        <v>13</v>
      </c>
      <c r="P145" s="6" t="s">
        <v>10</v>
      </c>
      <c r="Q145" s="10"/>
    </row>
    <row r="146" spans="1:17" x14ac:dyDescent="0.25">
      <c r="A146" s="1">
        <v>144</v>
      </c>
      <c r="B146" s="15">
        <v>39.98538576</v>
      </c>
      <c r="C146" s="19">
        <v>11.042046320000001</v>
      </c>
      <c r="D146" s="19">
        <v>26.602158419999999</v>
      </c>
      <c r="E146" s="23">
        <f t="shared" si="4"/>
        <v>0.27615205180904079</v>
      </c>
      <c r="F146" s="23">
        <f t="shared" si="5"/>
        <v>0.665297030761971</v>
      </c>
      <c r="G146" s="6"/>
      <c r="H146" s="6"/>
      <c r="I146" s="4">
        <v>2.3411810200000001</v>
      </c>
      <c r="J146" s="6" t="s">
        <v>10</v>
      </c>
      <c r="K146" s="6" t="s">
        <v>16</v>
      </c>
      <c r="L146" s="21"/>
      <c r="M146" s="6"/>
      <c r="N146" s="6" t="s">
        <v>34</v>
      </c>
      <c r="O146" s="6" t="s">
        <v>13</v>
      </c>
      <c r="P146" s="6" t="s">
        <v>10</v>
      </c>
      <c r="Q146" s="10"/>
    </row>
    <row r="147" spans="1:17" x14ac:dyDescent="0.25">
      <c r="A147" s="1">
        <v>145</v>
      </c>
      <c r="B147" s="15">
        <v>41.616622300000003</v>
      </c>
      <c r="C147" s="19">
        <v>41.616622300000003</v>
      </c>
      <c r="D147" s="19"/>
      <c r="E147" s="23">
        <f t="shared" si="4"/>
        <v>1</v>
      </c>
      <c r="F147" s="23">
        <f t="shared" si="5"/>
        <v>0</v>
      </c>
      <c r="G147" s="6"/>
      <c r="H147" s="6"/>
      <c r="I147" s="4"/>
      <c r="J147" s="6"/>
      <c r="K147" s="6" t="s">
        <v>13</v>
      </c>
      <c r="L147" s="21"/>
      <c r="M147" s="6"/>
      <c r="N147" s="6" t="s">
        <v>13</v>
      </c>
      <c r="O147" s="6" t="s">
        <v>13</v>
      </c>
      <c r="P147" s="6" t="s">
        <v>10</v>
      </c>
      <c r="Q147" s="10"/>
    </row>
    <row r="148" spans="1:17" x14ac:dyDescent="0.25">
      <c r="A148" s="1">
        <v>146</v>
      </c>
      <c r="B148" s="15">
        <v>41.810683969999999</v>
      </c>
      <c r="C148" s="19">
        <v>35.44715575</v>
      </c>
      <c r="D148" s="19">
        <v>6.3635282200000001</v>
      </c>
      <c r="E148" s="23">
        <f t="shared" si="4"/>
        <v>0.84780138434075947</v>
      </c>
      <c r="F148" s="23">
        <f t="shared" si="5"/>
        <v>0.15219861565924056</v>
      </c>
      <c r="G148" s="6"/>
      <c r="H148" s="6"/>
      <c r="I148" s="4"/>
      <c r="J148" s="6"/>
      <c r="K148" s="6" t="s">
        <v>13</v>
      </c>
      <c r="L148" s="21"/>
      <c r="M148" s="6"/>
      <c r="N148" s="6" t="s">
        <v>34</v>
      </c>
      <c r="O148" s="6" t="s">
        <v>13</v>
      </c>
      <c r="P148" s="6" t="s">
        <v>10</v>
      </c>
      <c r="Q148" s="10"/>
    </row>
    <row r="149" spans="1:17" x14ac:dyDescent="0.25">
      <c r="A149" s="1">
        <v>147</v>
      </c>
      <c r="B149" s="15">
        <v>14.27766928</v>
      </c>
      <c r="C149" s="19">
        <v>14.27766928</v>
      </c>
      <c r="D149" s="19"/>
      <c r="E149" s="23">
        <f t="shared" si="4"/>
        <v>1</v>
      </c>
      <c r="F149" s="23">
        <f t="shared" si="5"/>
        <v>0</v>
      </c>
      <c r="G149" s="6"/>
      <c r="H149" s="6"/>
      <c r="I149" s="4"/>
      <c r="J149" s="6"/>
      <c r="K149" s="6" t="s">
        <v>13</v>
      </c>
      <c r="L149" s="21"/>
      <c r="M149" s="6"/>
      <c r="N149" s="6" t="s">
        <v>31</v>
      </c>
      <c r="O149" s="6" t="s">
        <v>13</v>
      </c>
      <c r="P149" s="6" t="s">
        <v>10</v>
      </c>
      <c r="Q149" s="10"/>
    </row>
    <row r="150" spans="1:17" x14ac:dyDescent="0.25">
      <c r="A150" s="1">
        <v>148</v>
      </c>
      <c r="B150" s="15">
        <v>26.276416529999999</v>
      </c>
      <c r="C150" s="19">
        <v>10.204236059999998</v>
      </c>
      <c r="D150" s="19">
        <v>16.072180469999999</v>
      </c>
      <c r="E150" s="23">
        <f t="shared" si="4"/>
        <v>0.38834199664744007</v>
      </c>
      <c r="F150" s="23">
        <f t="shared" si="5"/>
        <v>0.61165800335255993</v>
      </c>
      <c r="G150" s="6"/>
      <c r="H150" s="6"/>
      <c r="I150" s="4"/>
      <c r="J150" s="6"/>
      <c r="K150" s="6" t="s">
        <v>13</v>
      </c>
      <c r="L150" s="21"/>
      <c r="M150" s="6"/>
      <c r="N150" s="6" t="s">
        <v>34</v>
      </c>
      <c r="O150" s="6" t="s">
        <v>13</v>
      </c>
      <c r="P150" s="6" t="s">
        <v>10</v>
      </c>
      <c r="Q150" s="10"/>
    </row>
    <row r="151" spans="1:17" x14ac:dyDescent="0.25">
      <c r="A151" s="1">
        <v>149</v>
      </c>
      <c r="B151" s="15">
        <v>29.44904094</v>
      </c>
      <c r="C151" s="19">
        <v>19.68218259</v>
      </c>
      <c r="D151" s="19">
        <v>9.7668583499999997</v>
      </c>
      <c r="E151" s="23">
        <f t="shared" si="4"/>
        <v>0.66834715025527758</v>
      </c>
      <c r="F151" s="23">
        <f t="shared" si="5"/>
        <v>0.33165284974472242</v>
      </c>
      <c r="G151" s="6"/>
      <c r="H151" s="6"/>
      <c r="I151" s="4"/>
      <c r="J151" s="6"/>
      <c r="K151" s="6" t="s">
        <v>13</v>
      </c>
      <c r="L151" s="21"/>
      <c r="M151" s="6"/>
      <c r="N151" s="6" t="s">
        <v>31</v>
      </c>
      <c r="O151" s="6" t="s">
        <v>13</v>
      </c>
      <c r="P151" s="6" t="s">
        <v>10</v>
      </c>
      <c r="Q151" s="10"/>
    </row>
    <row r="152" spans="1:17" x14ac:dyDescent="0.25">
      <c r="A152" s="1">
        <v>150</v>
      </c>
      <c r="B152" s="15">
        <v>7.17376624</v>
      </c>
      <c r="C152" s="19">
        <v>7.17376624</v>
      </c>
      <c r="D152" s="19"/>
      <c r="E152" s="23">
        <f t="shared" si="4"/>
        <v>1</v>
      </c>
      <c r="F152" s="23">
        <f t="shared" si="5"/>
        <v>0</v>
      </c>
      <c r="G152" s="6"/>
      <c r="H152" s="6"/>
      <c r="I152" s="4"/>
      <c r="J152" s="6"/>
      <c r="K152" s="6" t="s">
        <v>13</v>
      </c>
      <c r="L152" s="21"/>
      <c r="M152" s="6"/>
      <c r="N152" s="6" t="s">
        <v>13</v>
      </c>
      <c r="O152" s="6" t="s">
        <v>13</v>
      </c>
      <c r="P152" s="6" t="s">
        <v>10</v>
      </c>
      <c r="Q152" s="10"/>
    </row>
    <row r="153" spans="1:17" x14ac:dyDescent="0.25">
      <c r="A153" s="1">
        <v>151</v>
      </c>
      <c r="B153" s="15">
        <v>1.7829999999999999</v>
      </c>
      <c r="C153" s="19">
        <v>1.7829999999999999</v>
      </c>
      <c r="D153" s="19"/>
      <c r="E153" s="23">
        <f t="shared" si="4"/>
        <v>1</v>
      </c>
      <c r="F153" s="23">
        <f t="shared" si="5"/>
        <v>0</v>
      </c>
      <c r="G153" s="6"/>
      <c r="H153" s="6"/>
      <c r="I153" s="4"/>
      <c r="J153" s="6"/>
      <c r="K153" s="6" t="s">
        <v>13</v>
      </c>
      <c r="L153" s="21"/>
      <c r="M153" s="6"/>
      <c r="N153" s="6" t="s">
        <v>34</v>
      </c>
      <c r="O153" s="6" t="s">
        <v>13</v>
      </c>
      <c r="P153" s="6" t="s">
        <v>10</v>
      </c>
      <c r="Q153" s="10"/>
    </row>
    <row r="154" spans="1:17" x14ac:dyDescent="0.25">
      <c r="A154" s="1">
        <v>152</v>
      </c>
      <c r="B154" s="15">
        <v>19.644972020000001</v>
      </c>
      <c r="C154" s="19">
        <v>19.644972020000001</v>
      </c>
      <c r="D154" s="19"/>
      <c r="E154" s="23">
        <f t="shared" si="4"/>
        <v>1</v>
      </c>
      <c r="F154" s="23">
        <f t="shared" si="5"/>
        <v>0</v>
      </c>
      <c r="G154" s="6"/>
      <c r="H154" s="6"/>
      <c r="I154" s="4"/>
      <c r="J154" s="6"/>
      <c r="K154" s="6" t="s">
        <v>13</v>
      </c>
      <c r="L154" s="21"/>
      <c r="M154" s="6"/>
      <c r="N154" s="6" t="s">
        <v>29</v>
      </c>
      <c r="O154" s="6" t="s">
        <v>10</v>
      </c>
      <c r="P154" s="6" t="s">
        <v>10</v>
      </c>
      <c r="Q154" s="10"/>
    </row>
    <row r="155" spans="1:17" x14ac:dyDescent="0.25">
      <c r="A155" s="1">
        <v>153</v>
      </c>
      <c r="B155" s="15">
        <v>91.252374159999988</v>
      </c>
      <c r="C155" s="19">
        <v>88.41409419</v>
      </c>
      <c r="D155" s="19">
        <v>2.8382799699999999</v>
      </c>
      <c r="E155" s="23">
        <f t="shared" si="4"/>
        <v>0.96889637123278116</v>
      </c>
      <c r="F155" s="23">
        <f t="shared" si="5"/>
        <v>3.1103628767218918E-2</v>
      </c>
      <c r="G155" s="6"/>
      <c r="H155" s="6"/>
      <c r="I155" s="4"/>
      <c r="J155" s="6"/>
      <c r="K155" s="6" t="s">
        <v>13</v>
      </c>
      <c r="L155" s="21"/>
      <c r="M155" s="6"/>
      <c r="N155" s="6" t="s">
        <v>13</v>
      </c>
      <c r="O155" s="6" t="s">
        <v>13</v>
      </c>
      <c r="P155" s="6" t="s">
        <v>10</v>
      </c>
      <c r="Q155" s="10"/>
    </row>
    <row r="156" spans="1:17" x14ac:dyDescent="0.25">
      <c r="A156" s="1">
        <v>154</v>
      </c>
      <c r="B156" s="15">
        <v>52.52530943</v>
      </c>
      <c r="C156" s="19">
        <v>35.90876059</v>
      </c>
      <c r="D156" s="19">
        <v>16.61654884</v>
      </c>
      <c r="E156" s="23">
        <f t="shared" si="4"/>
        <v>0.68364681673803895</v>
      </c>
      <c r="F156" s="23">
        <f t="shared" si="5"/>
        <v>0.31635318326196105</v>
      </c>
      <c r="G156" s="6"/>
      <c r="H156" s="6"/>
      <c r="I156" s="4"/>
      <c r="J156" s="6"/>
      <c r="K156" s="6" t="s">
        <v>13</v>
      </c>
      <c r="L156" s="21"/>
      <c r="M156" s="6"/>
      <c r="N156" s="6" t="s">
        <v>13</v>
      </c>
      <c r="O156" s="6" t="s">
        <v>13</v>
      </c>
      <c r="P156" s="6" t="s">
        <v>10</v>
      </c>
      <c r="Q156" s="10"/>
    </row>
    <row r="157" spans="1:17" x14ac:dyDescent="0.25">
      <c r="A157" s="1">
        <v>155</v>
      </c>
      <c r="B157" s="15">
        <v>39.455231859999998</v>
      </c>
      <c r="C157" s="19">
        <v>20.877180450000001</v>
      </c>
      <c r="D157" s="19">
        <v>18.57805141</v>
      </c>
      <c r="E157" s="23">
        <f t="shared" si="4"/>
        <v>0.5291359210377734</v>
      </c>
      <c r="F157" s="23">
        <f t="shared" si="5"/>
        <v>0.47086407896222665</v>
      </c>
      <c r="G157" s="6"/>
      <c r="H157" s="6"/>
      <c r="I157" s="4"/>
      <c r="J157" s="6"/>
      <c r="K157" s="6" t="s">
        <v>13</v>
      </c>
      <c r="L157" s="21"/>
      <c r="M157" s="6"/>
      <c r="N157" s="6" t="s">
        <v>31</v>
      </c>
      <c r="O157" s="6" t="s">
        <v>13</v>
      </c>
      <c r="P157" s="6" t="s">
        <v>10</v>
      </c>
      <c r="Q157" s="10"/>
    </row>
    <row r="158" spans="1:17" x14ac:dyDescent="0.25">
      <c r="A158" s="1">
        <v>156</v>
      </c>
      <c r="B158" s="15">
        <v>13.8786153</v>
      </c>
      <c r="C158" s="19">
        <v>4.300809319999999</v>
      </c>
      <c r="D158" s="19">
        <v>9.5778059800000008</v>
      </c>
      <c r="E158" s="23">
        <f t="shared" si="4"/>
        <v>0.30988749432373119</v>
      </c>
      <c r="F158" s="23">
        <f t="shared" si="5"/>
        <v>0.69011250567626881</v>
      </c>
      <c r="G158" s="6"/>
      <c r="H158" s="6"/>
      <c r="I158" s="4"/>
      <c r="J158" s="6"/>
      <c r="K158" s="6" t="s">
        <v>13</v>
      </c>
      <c r="L158" s="21"/>
      <c r="M158" s="6"/>
      <c r="N158" s="6" t="s">
        <v>13</v>
      </c>
      <c r="O158" s="6" t="s">
        <v>13</v>
      </c>
      <c r="P158" s="6" t="s">
        <v>10</v>
      </c>
      <c r="Q158" s="10"/>
    </row>
    <row r="159" spans="1:17" x14ac:dyDescent="0.25">
      <c r="A159" s="1">
        <v>157</v>
      </c>
      <c r="B159" s="15">
        <v>19.95216615</v>
      </c>
      <c r="C159" s="19">
        <v>11.049110199999998</v>
      </c>
      <c r="D159" s="19">
        <v>8.9030559500000006</v>
      </c>
      <c r="E159" s="23">
        <f t="shared" si="4"/>
        <v>0.55377998142823193</v>
      </c>
      <c r="F159" s="23">
        <f t="shared" si="5"/>
        <v>0.44622001857176796</v>
      </c>
      <c r="G159" s="6"/>
      <c r="H159" s="6"/>
      <c r="I159" s="4"/>
      <c r="J159" s="6"/>
      <c r="K159" s="6" t="s">
        <v>13</v>
      </c>
      <c r="L159" s="21"/>
      <c r="M159" s="6"/>
      <c r="N159" s="6" t="s">
        <v>34</v>
      </c>
      <c r="O159" s="6" t="s">
        <v>13</v>
      </c>
      <c r="P159" s="6" t="s">
        <v>10</v>
      </c>
      <c r="Q159" s="10"/>
    </row>
    <row r="160" spans="1:17" x14ac:dyDescent="0.25">
      <c r="A160" s="1">
        <v>158</v>
      </c>
      <c r="B160" s="15">
        <v>5.96867357</v>
      </c>
      <c r="C160" s="19">
        <v>3.1194497099999996</v>
      </c>
      <c r="D160" s="19">
        <v>2.8492238599999999</v>
      </c>
      <c r="E160" s="23">
        <f t="shared" si="4"/>
        <v>0.52263701028635745</v>
      </c>
      <c r="F160" s="23">
        <f t="shared" si="5"/>
        <v>0.47736298971364249</v>
      </c>
      <c r="G160" s="6"/>
      <c r="H160" s="6"/>
      <c r="I160" s="4"/>
      <c r="J160" s="6"/>
      <c r="K160" s="6" t="s">
        <v>13</v>
      </c>
      <c r="L160" s="21"/>
      <c r="M160" s="6"/>
      <c r="N160" s="6" t="s">
        <v>38</v>
      </c>
      <c r="O160" s="6" t="s">
        <v>13</v>
      </c>
      <c r="P160" s="6" t="s">
        <v>10</v>
      </c>
      <c r="Q160" s="10"/>
    </row>
    <row r="161" spans="1:17" x14ac:dyDescent="0.25">
      <c r="A161" s="1">
        <v>159</v>
      </c>
      <c r="B161" s="15">
        <v>37.094693759999998</v>
      </c>
      <c r="C161" s="19">
        <v>29.887090300000001</v>
      </c>
      <c r="D161" s="19">
        <v>7.2076034599999996</v>
      </c>
      <c r="E161" s="23">
        <f t="shared" si="4"/>
        <v>0.8056971838982504</v>
      </c>
      <c r="F161" s="23">
        <f t="shared" si="5"/>
        <v>0.19430281610174965</v>
      </c>
      <c r="G161" s="6"/>
      <c r="H161" s="6"/>
      <c r="I161" s="4"/>
      <c r="J161" s="6"/>
      <c r="K161" s="6" t="s">
        <v>13</v>
      </c>
      <c r="L161" s="21"/>
      <c r="M161" s="6"/>
      <c r="N161" s="6" t="s">
        <v>13</v>
      </c>
      <c r="O161" s="6" t="s">
        <v>13</v>
      </c>
      <c r="P161" s="6" t="s">
        <v>10</v>
      </c>
      <c r="Q161" s="10"/>
    </row>
    <row r="162" spans="1:17" x14ac:dyDescent="0.25">
      <c r="A162" s="1">
        <v>160</v>
      </c>
      <c r="B162" s="15">
        <v>26.711122889999999</v>
      </c>
      <c r="C162" s="19"/>
      <c r="D162" s="19"/>
      <c r="E162" s="23">
        <f t="shared" si="4"/>
        <v>0</v>
      </c>
      <c r="F162" s="23">
        <f t="shared" si="5"/>
        <v>0</v>
      </c>
      <c r="G162" s="6"/>
      <c r="H162" s="6"/>
      <c r="I162" s="4">
        <v>26.711122889999999</v>
      </c>
      <c r="J162" s="6" t="s">
        <v>10</v>
      </c>
      <c r="K162" s="6" t="s">
        <v>17</v>
      </c>
      <c r="L162" s="21"/>
      <c r="M162" s="6"/>
      <c r="N162" s="6" t="s">
        <v>31</v>
      </c>
      <c r="O162" s="6" t="s">
        <v>13</v>
      </c>
      <c r="P162" s="6" t="s">
        <v>10</v>
      </c>
      <c r="Q162" s="10"/>
    </row>
    <row r="163" spans="1:17" x14ac:dyDescent="0.25">
      <c r="A163" s="1">
        <v>161</v>
      </c>
      <c r="B163" s="15">
        <v>28.839177360000001</v>
      </c>
      <c r="C163" s="19">
        <v>5.7681253800000007</v>
      </c>
      <c r="D163" s="19">
        <v>4.2730476199999998</v>
      </c>
      <c r="E163" s="23">
        <f t="shared" si="4"/>
        <v>0.20001005257523061</v>
      </c>
      <c r="F163" s="23">
        <f t="shared" si="5"/>
        <v>0.14816815218615514</v>
      </c>
      <c r="G163" s="6"/>
      <c r="H163" s="6"/>
      <c r="I163" s="4">
        <v>18.79800436</v>
      </c>
      <c r="J163" s="6" t="s">
        <v>10</v>
      </c>
      <c r="K163" s="6" t="s">
        <v>16</v>
      </c>
      <c r="L163" s="21"/>
      <c r="M163" s="6"/>
      <c r="N163" s="6" t="s">
        <v>44</v>
      </c>
      <c r="O163" s="6" t="s">
        <v>13</v>
      </c>
      <c r="P163" s="6" t="s">
        <v>10</v>
      </c>
      <c r="Q163" s="10"/>
    </row>
    <row r="164" spans="1:17" x14ac:dyDescent="0.25">
      <c r="A164" s="1">
        <v>162</v>
      </c>
      <c r="B164" s="15">
        <v>29.6821485</v>
      </c>
      <c r="C164" s="19">
        <v>5.2610400799999972</v>
      </c>
      <c r="D164" s="19">
        <v>24.421108419999999</v>
      </c>
      <c r="E164" s="23">
        <f t="shared" si="4"/>
        <v>0.17724593218041468</v>
      </c>
      <c r="F164" s="23">
        <f t="shared" si="5"/>
        <v>0.82275406781958516</v>
      </c>
      <c r="G164" s="6"/>
      <c r="H164" s="6"/>
      <c r="I164" s="4"/>
      <c r="J164" s="6"/>
      <c r="K164" s="6" t="s">
        <v>13</v>
      </c>
      <c r="L164" s="21"/>
      <c r="M164" s="6"/>
      <c r="N164" s="6" t="s">
        <v>13</v>
      </c>
      <c r="O164" s="6" t="s">
        <v>13</v>
      </c>
      <c r="P164" s="6" t="s">
        <v>10</v>
      </c>
      <c r="Q164" s="10"/>
    </row>
    <row r="165" spans="1:17" x14ac:dyDescent="0.25">
      <c r="A165" s="1">
        <v>163</v>
      </c>
      <c r="B165" s="15">
        <v>40.858197189999998</v>
      </c>
      <c r="C165" s="19">
        <v>26.51741681</v>
      </c>
      <c r="D165" s="19">
        <v>14.34078038</v>
      </c>
      <c r="E165" s="23">
        <f t="shared" si="4"/>
        <v>0.64901093620670347</v>
      </c>
      <c r="F165" s="23">
        <f t="shared" si="5"/>
        <v>0.35098906379329659</v>
      </c>
      <c r="G165" s="6"/>
      <c r="H165" s="6"/>
      <c r="I165" s="4"/>
      <c r="J165" s="6"/>
      <c r="K165" s="6" t="s">
        <v>13</v>
      </c>
      <c r="L165" s="21"/>
      <c r="M165" s="6"/>
      <c r="N165" s="6" t="s">
        <v>31</v>
      </c>
      <c r="O165" s="6" t="s">
        <v>13</v>
      </c>
      <c r="P165" s="6" t="s">
        <v>10</v>
      </c>
      <c r="Q165" s="10"/>
    </row>
    <row r="166" spans="1:17" x14ac:dyDescent="0.25">
      <c r="A166" s="1">
        <v>164</v>
      </c>
      <c r="B166" s="15">
        <v>41.465655509999998</v>
      </c>
      <c r="C166" s="19"/>
      <c r="D166" s="19">
        <v>41.465655509999998</v>
      </c>
      <c r="E166" s="23">
        <f t="shared" si="4"/>
        <v>0</v>
      </c>
      <c r="F166" s="23">
        <f t="shared" si="5"/>
        <v>1</v>
      </c>
      <c r="G166" s="6"/>
      <c r="H166" s="6"/>
      <c r="I166" s="4"/>
      <c r="J166" s="6"/>
      <c r="K166" s="6" t="s">
        <v>13</v>
      </c>
      <c r="L166" s="21"/>
      <c r="M166" s="6"/>
      <c r="N166" s="6" t="s">
        <v>13</v>
      </c>
      <c r="O166" s="6" t="s">
        <v>13</v>
      </c>
      <c r="P166" s="6" t="s">
        <v>10</v>
      </c>
      <c r="Q166" s="10"/>
    </row>
    <row r="167" spans="1:17" x14ac:dyDescent="0.25">
      <c r="A167" s="1">
        <v>165</v>
      </c>
      <c r="B167" s="15">
        <v>44.299641569999999</v>
      </c>
      <c r="C167" s="19">
        <v>14.855146510000003</v>
      </c>
      <c r="D167" s="19">
        <v>29.444495059999998</v>
      </c>
      <c r="E167" s="23">
        <f t="shared" si="4"/>
        <v>0.33533333416539429</v>
      </c>
      <c r="F167" s="23">
        <f t="shared" si="5"/>
        <v>0.66466666583460576</v>
      </c>
      <c r="G167" s="6"/>
      <c r="H167" s="6"/>
      <c r="I167" s="4"/>
      <c r="J167" s="6"/>
      <c r="K167" s="6" t="s">
        <v>13</v>
      </c>
      <c r="L167" s="21"/>
      <c r="M167" s="6"/>
      <c r="N167" s="6" t="s">
        <v>31</v>
      </c>
      <c r="O167" s="6" t="s">
        <v>13</v>
      </c>
      <c r="P167" s="6" t="s">
        <v>10</v>
      </c>
      <c r="Q167" s="10"/>
    </row>
    <row r="168" spans="1:17" x14ac:dyDescent="0.25">
      <c r="A168" s="1">
        <v>166</v>
      </c>
      <c r="B168" s="15">
        <v>35.027603810000002</v>
      </c>
      <c r="C168" s="19">
        <v>19.311347260000002</v>
      </c>
      <c r="D168" s="19">
        <v>15.716256549999999</v>
      </c>
      <c r="E168" s="23">
        <f t="shared" si="4"/>
        <v>0.55131796524679266</v>
      </c>
      <c r="F168" s="23">
        <f t="shared" si="5"/>
        <v>0.44868203475320734</v>
      </c>
      <c r="G168" s="6"/>
      <c r="H168" s="6"/>
      <c r="I168" s="4"/>
      <c r="J168" s="6"/>
      <c r="K168" s="6" t="s">
        <v>13</v>
      </c>
      <c r="L168" s="21"/>
      <c r="M168" s="6"/>
      <c r="N168" s="6" t="s">
        <v>44</v>
      </c>
      <c r="O168" s="6" t="s">
        <v>13</v>
      </c>
      <c r="P168" s="6" t="s">
        <v>10</v>
      </c>
      <c r="Q168" s="10"/>
    </row>
    <row r="169" spans="1:17" x14ac:dyDescent="0.25">
      <c r="A169" s="1">
        <v>167</v>
      </c>
      <c r="B169" s="15">
        <v>53.993946440000002</v>
      </c>
      <c r="C169" s="19">
        <v>47.123611280000006</v>
      </c>
      <c r="D169" s="19">
        <v>0.93435941</v>
      </c>
      <c r="E169" s="23">
        <f t="shared" si="4"/>
        <v>0.87275730682819119</v>
      </c>
      <c r="F169" s="23">
        <f t="shared" si="5"/>
        <v>1.7304891966700257E-2</v>
      </c>
      <c r="G169" s="6">
        <v>5.9359757499999999</v>
      </c>
      <c r="H169" s="6" t="s">
        <v>10</v>
      </c>
      <c r="I169" s="4"/>
      <c r="J169" s="6"/>
      <c r="K169" s="6" t="s">
        <v>20</v>
      </c>
      <c r="L169" s="21"/>
      <c r="M169" s="6"/>
      <c r="N169" s="6" t="s">
        <v>13</v>
      </c>
      <c r="O169" s="6" t="s">
        <v>13</v>
      </c>
      <c r="P169" s="6" t="s">
        <v>10</v>
      </c>
      <c r="Q169" s="10"/>
    </row>
    <row r="170" spans="1:17" x14ac:dyDescent="0.25">
      <c r="A170" s="1">
        <v>168</v>
      </c>
      <c r="B170" s="15">
        <v>29.844953820000001</v>
      </c>
      <c r="C170" s="19">
        <v>23.875423099999999</v>
      </c>
      <c r="D170" s="19">
        <v>5.9695307200000007</v>
      </c>
      <c r="E170" s="23">
        <f t="shared" si="4"/>
        <v>0.79998190796329394</v>
      </c>
      <c r="F170" s="23">
        <f t="shared" si="5"/>
        <v>0.20001809203670601</v>
      </c>
      <c r="G170" s="6"/>
      <c r="H170" s="6"/>
      <c r="I170" s="4"/>
      <c r="J170" s="6"/>
      <c r="K170" s="6" t="s">
        <v>13</v>
      </c>
      <c r="L170" s="21"/>
      <c r="M170" s="6"/>
      <c r="N170" s="6" t="s">
        <v>33</v>
      </c>
      <c r="O170" s="6" t="s">
        <v>13</v>
      </c>
      <c r="P170" s="6" t="s">
        <v>10</v>
      </c>
      <c r="Q170" s="10"/>
    </row>
    <row r="171" spans="1:17" x14ac:dyDescent="0.25">
      <c r="A171" s="1">
        <v>169</v>
      </c>
      <c r="B171" s="15">
        <v>22.339072850000001</v>
      </c>
      <c r="C171" s="19"/>
      <c r="D171" s="19">
        <v>22.339072850000001</v>
      </c>
      <c r="E171" s="23">
        <f t="shared" si="4"/>
        <v>0</v>
      </c>
      <c r="F171" s="23">
        <f t="shared" si="5"/>
        <v>1</v>
      </c>
      <c r="G171" s="6"/>
      <c r="H171" s="6"/>
      <c r="I171" s="4"/>
      <c r="J171" s="6"/>
      <c r="K171" s="6" t="s">
        <v>13</v>
      </c>
      <c r="L171" s="21"/>
      <c r="M171" s="6"/>
      <c r="N171" s="6" t="s">
        <v>13</v>
      </c>
      <c r="O171" s="6" t="s">
        <v>13</v>
      </c>
      <c r="P171" s="6" t="s">
        <v>10</v>
      </c>
      <c r="Q171" s="10"/>
    </row>
    <row r="172" spans="1:17" x14ac:dyDescent="0.25">
      <c r="A172" s="1">
        <v>170</v>
      </c>
      <c r="B172" s="15">
        <v>28.128572090000002</v>
      </c>
      <c r="C172" s="19">
        <v>19.08382181</v>
      </c>
      <c r="D172" s="19">
        <v>9.0447502800000006</v>
      </c>
      <c r="E172" s="23">
        <f t="shared" si="4"/>
        <v>0.67844971827718537</v>
      </c>
      <c r="F172" s="23">
        <f t="shared" si="5"/>
        <v>0.32155028172281458</v>
      </c>
      <c r="G172" s="6"/>
      <c r="H172" s="6"/>
      <c r="I172" s="4"/>
      <c r="J172" s="6"/>
      <c r="K172" s="6" t="s">
        <v>13</v>
      </c>
      <c r="L172" s="21"/>
      <c r="M172" s="6"/>
      <c r="N172" s="6" t="s">
        <v>31</v>
      </c>
      <c r="O172" s="6" t="s">
        <v>13</v>
      </c>
      <c r="P172" s="6" t="s">
        <v>10</v>
      </c>
      <c r="Q172" s="10"/>
    </row>
    <row r="173" spans="1:17" x14ac:dyDescent="0.25">
      <c r="A173" s="1">
        <v>171</v>
      </c>
      <c r="B173" s="15">
        <v>29.592412939999999</v>
      </c>
      <c r="C173" s="19">
        <v>23.801467070000001</v>
      </c>
      <c r="D173" s="19">
        <v>4.1856158700000003</v>
      </c>
      <c r="E173" s="23">
        <f t="shared" si="4"/>
        <v>0.80430977758584909</v>
      </c>
      <c r="F173" s="23">
        <f t="shared" si="5"/>
        <v>0.14144219596038121</v>
      </c>
      <c r="G173" s="6"/>
      <c r="H173" s="6"/>
      <c r="I173" s="4">
        <v>1.6053299999999999</v>
      </c>
      <c r="J173" s="6" t="s">
        <v>10</v>
      </c>
      <c r="K173" s="6" t="s">
        <v>16</v>
      </c>
      <c r="L173" s="21"/>
      <c r="M173" s="6"/>
      <c r="N173" s="6" t="s">
        <v>34</v>
      </c>
      <c r="O173" s="6" t="s">
        <v>13</v>
      </c>
      <c r="P173" s="6" t="s">
        <v>10</v>
      </c>
      <c r="Q173" s="10"/>
    </row>
    <row r="174" spans="1:17" x14ac:dyDescent="0.25">
      <c r="A174" s="1">
        <v>172</v>
      </c>
      <c r="B174" s="15">
        <v>30.346801789999997</v>
      </c>
      <c r="C174" s="19">
        <v>3.4118868899999981</v>
      </c>
      <c r="D174" s="19">
        <v>3.4578844299999996</v>
      </c>
      <c r="E174" s="23">
        <f t="shared" si="4"/>
        <v>0.11242986702883126</v>
      </c>
      <c r="F174" s="23">
        <f t="shared" si="5"/>
        <v>0.11394559643973606</v>
      </c>
      <c r="G174" s="6"/>
      <c r="H174" s="6"/>
      <c r="I174" s="4">
        <v>23.443964699999999</v>
      </c>
      <c r="J174" s="6" t="s">
        <v>10</v>
      </c>
      <c r="K174" s="6" t="s">
        <v>16</v>
      </c>
      <c r="L174" s="21">
        <v>330.65769999999998</v>
      </c>
      <c r="M174" s="6" t="s">
        <v>10</v>
      </c>
      <c r="N174" s="6" t="s">
        <v>47</v>
      </c>
      <c r="O174" s="6" t="s">
        <v>13</v>
      </c>
      <c r="P174" s="6" t="s">
        <v>10</v>
      </c>
      <c r="Q174" s="10"/>
    </row>
    <row r="175" spans="1:17" x14ac:dyDescent="0.25">
      <c r="A175" s="1">
        <v>173</v>
      </c>
      <c r="B175" s="15">
        <v>28.87071705</v>
      </c>
      <c r="C175" s="19">
        <v>11.6194959</v>
      </c>
      <c r="D175" s="19">
        <v>17.251221149999999</v>
      </c>
      <c r="E175" s="23">
        <f t="shared" si="4"/>
        <v>0.40246648117110068</v>
      </c>
      <c r="F175" s="23">
        <f t="shared" si="5"/>
        <v>0.59753351882889927</v>
      </c>
      <c r="G175" s="6"/>
      <c r="H175" s="6"/>
      <c r="I175" s="4"/>
      <c r="J175" s="6"/>
      <c r="K175" s="6" t="s">
        <v>13</v>
      </c>
      <c r="L175" s="21"/>
      <c r="M175" s="6"/>
      <c r="N175" s="6" t="s">
        <v>34</v>
      </c>
      <c r="O175" s="6" t="s">
        <v>13</v>
      </c>
      <c r="P175" s="6" t="s">
        <v>10</v>
      </c>
      <c r="Q175" s="10"/>
    </row>
    <row r="176" spans="1:17" x14ac:dyDescent="0.25">
      <c r="A176" s="1">
        <v>174</v>
      </c>
      <c r="B176" s="15">
        <v>14.4315546</v>
      </c>
      <c r="C176" s="19">
        <v>9.00165638</v>
      </c>
      <c r="D176" s="19">
        <v>5.4298982200000001</v>
      </c>
      <c r="E176" s="23">
        <f t="shared" si="4"/>
        <v>0.62374821212955112</v>
      </c>
      <c r="F176" s="23">
        <f t="shared" si="5"/>
        <v>0.37625178787044883</v>
      </c>
      <c r="G176" s="6"/>
      <c r="H176" s="6"/>
      <c r="I176" s="4"/>
      <c r="J176" s="6"/>
      <c r="K176" s="6" t="s">
        <v>13</v>
      </c>
      <c r="L176" s="21"/>
      <c r="M176" s="6"/>
      <c r="N176" s="6" t="s">
        <v>13</v>
      </c>
      <c r="O176" s="6" t="s">
        <v>13</v>
      </c>
      <c r="P176" s="6" t="s">
        <v>10</v>
      </c>
      <c r="Q176" s="10"/>
    </row>
    <row r="177" spans="1:17" x14ac:dyDescent="0.25">
      <c r="A177" s="1">
        <v>175</v>
      </c>
      <c r="B177" s="15">
        <v>36.455525600000001</v>
      </c>
      <c r="C177" s="19">
        <v>19.06148108</v>
      </c>
      <c r="D177" s="19">
        <v>3.8278960500000001</v>
      </c>
      <c r="E177" s="23">
        <f t="shared" si="4"/>
        <v>0.52286946261995459</v>
      </c>
      <c r="F177" s="23">
        <f t="shared" si="5"/>
        <v>0.10500180663970457</v>
      </c>
      <c r="G177" s="6"/>
      <c r="H177" s="6"/>
      <c r="I177" s="4">
        <v>13.56614847</v>
      </c>
      <c r="J177" s="6" t="s">
        <v>10</v>
      </c>
      <c r="K177" s="6" t="s">
        <v>16</v>
      </c>
      <c r="L177" s="21"/>
      <c r="M177" s="6"/>
      <c r="N177" s="6" t="s">
        <v>47</v>
      </c>
      <c r="O177" s="6" t="s">
        <v>13</v>
      </c>
      <c r="P177" s="6" t="s">
        <v>10</v>
      </c>
      <c r="Q177" s="10"/>
    </row>
    <row r="178" spans="1:17" x14ac:dyDescent="0.25">
      <c r="A178" s="1">
        <v>176</v>
      </c>
      <c r="B178" s="15">
        <v>5.4394944299999999</v>
      </c>
      <c r="C178" s="19">
        <v>2.1371933900000002</v>
      </c>
      <c r="D178" s="19">
        <v>0.83992330000000004</v>
      </c>
      <c r="E178" s="23">
        <f t="shared" si="4"/>
        <v>0.39290294668065323</v>
      </c>
      <c r="F178" s="23">
        <f t="shared" si="5"/>
        <v>0.15441201582405151</v>
      </c>
      <c r="G178" s="6"/>
      <c r="H178" s="6"/>
      <c r="I178" s="4">
        <v>2.46237774</v>
      </c>
      <c r="J178" s="6" t="s">
        <v>10</v>
      </c>
      <c r="K178" s="6" t="s">
        <v>16</v>
      </c>
      <c r="L178" s="21"/>
      <c r="M178" s="6"/>
      <c r="N178" s="6" t="s">
        <v>34</v>
      </c>
      <c r="O178" s="6" t="s">
        <v>13</v>
      </c>
      <c r="P178" s="6" t="s">
        <v>10</v>
      </c>
      <c r="Q178" s="10"/>
    </row>
    <row r="179" spans="1:17" x14ac:dyDescent="0.25">
      <c r="A179" s="1">
        <v>177</v>
      </c>
      <c r="B179" s="15">
        <v>4.7189431800000001</v>
      </c>
      <c r="C179" s="19">
        <v>4.7189431800000001</v>
      </c>
      <c r="D179" s="19"/>
      <c r="E179" s="23">
        <f t="shared" si="4"/>
        <v>1</v>
      </c>
      <c r="F179" s="23">
        <f t="shared" si="5"/>
        <v>0</v>
      </c>
      <c r="G179" s="6"/>
      <c r="H179" s="6"/>
      <c r="I179" s="4"/>
      <c r="J179" s="6"/>
      <c r="K179" s="6" t="s">
        <v>13</v>
      </c>
      <c r="L179" s="21"/>
      <c r="M179" s="6"/>
      <c r="N179" s="6" t="s">
        <v>47</v>
      </c>
      <c r="O179" s="6" t="s">
        <v>13</v>
      </c>
      <c r="P179" s="6" t="s">
        <v>10</v>
      </c>
      <c r="Q179" s="10"/>
    </row>
    <row r="180" spans="1:17" x14ac:dyDescent="0.25">
      <c r="A180" s="1">
        <v>178</v>
      </c>
      <c r="B180" s="15">
        <v>4.57426815</v>
      </c>
      <c r="C180" s="19">
        <v>4.57426815</v>
      </c>
      <c r="D180" s="19"/>
      <c r="E180" s="23">
        <f t="shared" si="4"/>
        <v>1</v>
      </c>
      <c r="F180" s="23">
        <f t="shared" si="5"/>
        <v>0</v>
      </c>
      <c r="G180" s="6"/>
      <c r="H180" s="6"/>
      <c r="I180" s="4"/>
      <c r="J180" s="6"/>
      <c r="K180" s="6" t="s">
        <v>13</v>
      </c>
      <c r="L180" s="21"/>
      <c r="M180" s="6"/>
      <c r="N180" s="6" t="s">
        <v>34</v>
      </c>
      <c r="O180" s="6" t="s">
        <v>13</v>
      </c>
      <c r="P180" s="6" t="s">
        <v>10</v>
      </c>
      <c r="Q180" s="10"/>
    </row>
    <row r="181" spans="1:17" x14ac:dyDescent="0.25">
      <c r="A181" s="1">
        <v>179</v>
      </c>
      <c r="B181" s="15">
        <v>7.4999231199999992</v>
      </c>
      <c r="C181" s="19">
        <v>5.6040587599999991</v>
      </c>
      <c r="D181" s="4">
        <v>1.89586436</v>
      </c>
      <c r="E181" s="23">
        <f t="shared" si="4"/>
        <v>0.74721549412362509</v>
      </c>
      <c r="F181" s="23">
        <f t="shared" si="5"/>
        <v>0.25278450587637491</v>
      </c>
      <c r="G181" s="6"/>
      <c r="H181" s="6"/>
      <c r="I181" s="4"/>
      <c r="J181" s="6"/>
      <c r="K181" s="6" t="s">
        <v>13</v>
      </c>
      <c r="L181" s="21"/>
      <c r="M181" s="6"/>
      <c r="N181" s="6" t="s">
        <v>13</v>
      </c>
      <c r="O181" s="6" t="s">
        <v>13</v>
      </c>
      <c r="P181" s="6" t="s">
        <v>10</v>
      </c>
      <c r="Q181" s="10"/>
    </row>
    <row r="182" spans="1:17" x14ac:dyDescent="0.25">
      <c r="A182" s="1">
        <v>180</v>
      </c>
      <c r="B182" s="15">
        <v>7.53674249</v>
      </c>
      <c r="C182" s="19">
        <v>3.0477294099999988</v>
      </c>
      <c r="D182" s="19"/>
      <c r="E182" s="23">
        <f t="shared" si="4"/>
        <v>0.40438285028894477</v>
      </c>
      <c r="F182" s="23">
        <f t="shared" si="5"/>
        <v>0</v>
      </c>
      <c r="G182" s="6"/>
      <c r="H182" s="6"/>
      <c r="I182" s="4">
        <v>4.4890130800000003</v>
      </c>
      <c r="J182" s="6" t="s">
        <v>10</v>
      </c>
      <c r="K182" s="6" t="s">
        <v>16</v>
      </c>
      <c r="L182" s="21"/>
      <c r="M182" s="6"/>
      <c r="N182" s="6" t="s">
        <v>47</v>
      </c>
      <c r="O182" s="6" t="s">
        <v>13</v>
      </c>
      <c r="P182" s="6" t="s">
        <v>10</v>
      </c>
      <c r="Q182" s="10"/>
    </row>
    <row r="183" spans="1:17" x14ac:dyDescent="0.25">
      <c r="A183" s="1">
        <v>181</v>
      </c>
      <c r="B183" s="15">
        <v>15.086199789999998</v>
      </c>
      <c r="C183" s="19">
        <v>8.1236900599999995</v>
      </c>
      <c r="D183" s="19">
        <v>6.9625097299999998</v>
      </c>
      <c r="E183" s="23">
        <f t="shared" si="4"/>
        <v>0.53848485192307005</v>
      </c>
      <c r="F183" s="23">
        <f t="shared" si="5"/>
        <v>0.46151514807693</v>
      </c>
      <c r="G183" s="6"/>
      <c r="H183" s="6"/>
      <c r="I183" s="4"/>
      <c r="J183" s="6"/>
      <c r="K183" s="6" t="s">
        <v>13</v>
      </c>
      <c r="L183" s="21"/>
      <c r="M183" s="6"/>
      <c r="N183" s="6" t="s">
        <v>48</v>
      </c>
      <c r="O183" s="6" t="s">
        <v>13</v>
      </c>
      <c r="P183" s="6" t="s">
        <v>10</v>
      </c>
      <c r="Q183" s="10"/>
    </row>
    <row r="184" spans="1:17" x14ac:dyDescent="0.25">
      <c r="A184" s="1">
        <v>182</v>
      </c>
      <c r="B184" s="15">
        <v>14.84870868</v>
      </c>
      <c r="C184" s="19">
        <v>9.4884786000000005</v>
      </c>
      <c r="D184" s="19">
        <v>1.7694462399999999</v>
      </c>
      <c r="E184" s="23">
        <f t="shared" si="4"/>
        <v>0.63901035467011402</v>
      </c>
      <c r="F184" s="23">
        <f t="shared" si="5"/>
        <v>0.11916499125498366</v>
      </c>
      <c r="G184" s="6"/>
      <c r="H184" s="6"/>
      <c r="I184" s="4">
        <v>3.5907838399999998</v>
      </c>
      <c r="J184" s="6" t="s">
        <v>10</v>
      </c>
      <c r="K184" s="6" t="s">
        <v>16</v>
      </c>
      <c r="L184" s="21"/>
      <c r="M184" s="6"/>
      <c r="N184" s="6" t="s">
        <v>34</v>
      </c>
      <c r="O184" s="6" t="s">
        <v>13</v>
      </c>
      <c r="P184" s="6" t="s">
        <v>10</v>
      </c>
      <c r="Q184" s="10"/>
    </row>
    <row r="185" spans="1:17" x14ac:dyDescent="0.25">
      <c r="A185" s="1">
        <v>183</v>
      </c>
      <c r="B185" s="15">
        <v>14.673117110000002</v>
      </c>
      <c r="C185" s="19">
        <v>2.4115685600000036</v>
      </c>
      <c r="D185" s="19">
        <v>8.8568374599999995</v>
      </c>
      <c r="E185" s="23">
        <f t="shared" si="4"/>
        <v>0.16435284622355226</v>
      </c>
      <c r="F185" s="23">
        <f t="shared" si="5"/>
        <v>0.60360981198493269</v>
      </c>
      <c r="G185" s="6"/>
      <c r="H185" s="6"/>
      <c r="I185" s="4">
        <v>3.4047110900000002</v>
      </c>
      <c r="J185" s="6" t="s">
        <v>10</v>
      </c>
      <c r="K185" s="6" t="s">
        <v>16</v>
      </c>
      <c r="L185" s="21"/>
      <c r="M185" s="6"/>
      <c r="N185" s="6" t="s">
        <v>49</v>
      </c>
      <c r="O185" s="6" t="s">
        <v>10</v>
      </c>
      <c r="P185" s="6" t="s">
        <v>10</v>
      </c>
      <c r="Q185" s="10"/>
    </row>
    <row r="186" spans="1:17" x14ac:dyDescent="0.25">
      <c r="A186" s="1">
        <v>184</v>
      </c>
      <c r="B186" s="15">
        <v>14.40390189</v>
      </c>
      <c r="C186" s="19">
        <v>14.40390189</v>
      </c>
      <c r="D186" s="19"/>
      <c r="E186" s="23">
        <f t="shared" si="4"/>
        <v>1</v>
      </c>
      <c r="F186" s="23">
        <f t="shared" si="5"/>
        <v>0</v>
      </c>
      <c r="G186" s="6"/>
      <c r="H186" s="6"/>
      <c r="I186" s="4"/>
      <c r="J186" s="6"/>
      <c r="K186" s="6" t="s">
        <v>13</v>
      </c>
      <c r="L186" s="21"/>
      <c r="M186" s="6"/>
      <c r="N186" s="6" t="s">
        <v>13</v>
      </c>
      <c r="O186" s="6" t="s">
        <v>13</v>
      </c>
      <c r="P186" s="6" t="s">
        <v>10</v>
      </c>
      <c r="Q186" s="10"/>
    </row>
    <row r="187" spans="1:17" x14ac:dyDescent="0.25">
      <c r="A187" s="1">
        <v>185</v>
      </c>
      <c r="B187" s="15">
        <v>15.146574789999999</v>
      </c>
      <c r="C187" s="19">
        <v>15.146574789999999</v>
      </c>
      <c r="D187" s="19"/>
      <c r="E187" s="23">
        <f t="shared" si="4"/>
        <v>1</v>
      </c>
      <c r="F187" s="23">
        <f t="shared" si="5"/>
        <v>0</v>
      </c>
      <c r="G187" s="6"/>
      <c r="H187" s="6"/>
      <c r="I187" s="4"/>
      <c r="J187" s="6"/>
      <c r="K187" s="6" t="s">
        <v>13</v>
      </c>
      <c r="L187" s="21"/>
      <c r="M187" s="6"/>
      <c r="N187" s="6" t="s">
        <v>13</v>
      </c>
      <c r="O187" s="6" t="s">
        <v>13</v>
      </c>
      <c r="P187" s="6" t="s">
        <v>10</v>
      </c>
      <c r="Q187" s="10"/>
    </row>
    <row r="188" spans="1:17" x14ac:dyDescent="0.25">
      <c r="A188" s="1">
        <v>186</v>
      </c>
      <c r="B188" s="15">
        <v>41.284985230000004</v>
      </c>
      <c r="C188" s="19">
        <v>30.691794270000003</v>
      </c>
      <c r="D188" s="19">
        <v>10.593190959999999</v>
      </c>
      <c r="E188" s="23">
        <f t="shared" si="4"/>
        <v>0.743412988984131</v>
      </c>
      <c r="F188" s="23">
        <f t="shared" si="5"/>
        <v>0.256587011015869</v>
      </c>
      <c r="G188" s="6"/>
      <c r="H188" s="6"/>
      <c r="I188" s="4"/>
      <c r="J188" s="6"/>
      <c r="K188" s="6" t="s">
        <v>13</v>
      </c>
      <c r="L188" s="21"/>
      <c r="M188" s="6"/>
      <c r="N188" s="6" t="s">
        <v>31</v>
      </c>
      <c r="O188" s="6" t="s">
        <v>13</v>
      </c>
      <c r="P188" s="6" t="s">
        <v>10</v>
      </c>
      <c r="Q188" s="10"/>
    </row>
    <row r="189" spans="1:17" x14ac:dyDescent="0.25">
      <c r="A189" s="1">
        <v>187</v>
      </c>
      <c r="B189" s="15">
        <v>120.81320391</v>
      </c>
      <c r="C189" s="19">
        <v>62.155881600000001</v>
      </c>
      <c r="D189" s="19">
        <v>58.657322309999998</v>
      </c>
      <c r="E189" s="23">
        <f t="shared" si="4"/>
        <v>0.51447920912935252</v>
      </c>
      <c r="F189" s="23">
        <f t="shared" si="5"/>
        <v>0.48552079087064748</v>
      </c>
      <c r="G189" s="6"/>
      <c r="H189" s="6"/>
      <c r="I189" s="4"/>
      <c r="J189" s="6"/>
      <c r="K189" s="6" t="s">
        <v>13</v>
      </c>
      <c r="L189" s="21"/>
      <c r="M189" s="6"/>
      <c r="N189" s="6" t="s">
        <v>32</v>
      </c>
      <c r="O189" s="6" t="s">
        <v>10</v>
      </c>
      <c r="P189" s="6" t="s">
        <v>10</v>
      </c>
      <c r="Q189" s="10"/>
    </row>
    <row r="190" spans="1:17" x14ac:dyDescent="0.25">
      <c r="A190" s="1">
        <v>188</v>
      </c>
      <c r="B190" s="15">
        <v>39.82796888</v>
      </c>
      <c r="C190" s="19">
        <v>23.213229639999998</v>
      </c>
      <c r="D190" s="19">
        <v>16.614739240000002</v>
      </c>
      <c r="E190" s="23">
        <f t="shared" si="4"/>
        <v>0.5828373952470558</v>
      </c>
      <c r="F190" s="23">
        <f t="shared" si="5"/>
        <v>0.4171626047529442</v>
      </c>
      <c r="G190" s="6"/>
      <c r="H190" s="6"/>
      <c r="I190" s="4"/>
      <c r="J190" s="6"/>
      <c r="K190" s="6" t="s">
        <v>13</v>
      </c>
      <c r="L190" s="21"/>
      <c r="M190" s="6"/>
      <c r="N190" s="6" t="s">
        <v>34</v>
      </c>
      <c r="O190" s="6" t="s">
        <v>13</v>
      </c>
      <c r="P190" s="6" t="s">
        <v>10</v>
      </c>
      <c r="Q190" s="10"/>
    </row>
    <row r="191" spans="1:17" x14ac:dyDescent="0.25">
      <c r="A191" s="1">
        <v>189</v>
      </c>
      <c r="B191" s="15">
        <v>39.782550870000001</v>
      </c>
      <c r="C191" s="19">
        <v>29.427494039999996</v>
      </c>
      <c r="D191" s="19"/>
      <c r="E191" s="23">
        <f t="shared" si="4"/>
        <v>0.73970857565574688</v>
      </c>
      <c r="F191" s="23">
        <f t="shared" si="5"/>
        <v>0</v>
      </c>
      <c r="G191" s="6"/>
      <c r="H191" s="6"/>
      <c r="I191" s="4">
        <v>10.355056830000001</v>
      </c>
      <c r="J191" s="6" t="s">
        <v>10</v>
      </c>
      <c r="K191" s="6" t="s">
        <v>16</v>
      </c>
      <c r="L191" s="21"/>
      <c r="M191" s="6"/>
      <c r="N191" s="6" t="s">
        <v>38</v>
      </c>
      <c r="O191" s="6" t="s">
        <v>13</v>
      </c>
      <c r="P191" s="6" t="s">
        <v>10</v>
      </c>
      <c r="Q191" s="10"/>
    </row>
    <row r="192" spans="1:17" x14ac:dyDescent="0.25">
      <c r="A192" s="1">
        <v>190</v>
      </c>
      <c r="B192" s="15">
        <v>17.815777569999998</v>
      </c>
      <c r="C192" s="19"/>
      <c r="D192" s="19">
        <v>17.815777569999998</v>
      </c>
      <c r="E192" s="23">
        <f t="shared" si="4"/>
        <v>0</v>
      </c>
      <c r="F192" s="23">
        <f t="shared" si="5"/>
        <v>1</v>
      </c>
      <c r="G192" s="6"/>
      <c r="H192" s="6"/>
      <c r="I192" s="4"/>
      <c r="J192" s="6"/>
      <c r="K192" s="6" t="s">
        <v>13</v>
      </c>
      <c r="L192" s="21"/>
      <c r="M192" s="6"/>
      <c r="N192" s="6" t="s">
        <v>13</v>
      </c>
      <c r="O192" s="6" t="s">
        <v>13</v>
      </c>
      <c r="P192" s="6" t="s">
        <v>10</v>
      </c>
      <c r="Q192" s="10"/>
    </row>
    <row r="193" spans="1:17" x14ac:dyDescent="0.25">
      <c r="A193" s="1">
        <v>191</v>
      </c>
      <c r="B193" s="15">
        <v>82.079325249999997</v>
      </c>
      <c r="C193" s="19"/>
      <c r="D193" s="19">
        <v>82.079325249999997</v>
      </c>
      <c r="E193" s="23">
        <f t="shared" si="4"/>
        <v>0</v>
      </c>
      <c r="F193" s="23">
        <f t="shared" si="5"/>
        <v>1</v>
      </c>
      <c r="G193" s="6"/>
      <c r="H193" s="6"/>
      <c r="I193" s="4"/>
      <c r="J193" s="6"/>
      <c r="K193" s="6" t="s">
        <v>13</v>
      </c>
      <c r="L193" s="21"/>
      <c r="M193" s="6"/>
      <c r="N193" s="6" t="s">
        <v>13</v>
      </c>
      <c r="O193" s="6" t="s">
        <v>13</v>
      </c>
      <c r="P193" s="6" t="s">
        <v>10</v>
      </c>
      <c r="Q193" s="10"/>
    </row>
    <row r="194" spans="1:17" x14ac:dyDescent="0.25">
      <c r="A194" s="1">
        <v>192</v>
      </c>
      <c r="B194" s="15">
        <v>15.290032</v>
      </c>
      <c r="C194" s="19">
        <v>12.541211200000001</v>
      </c>
      <c r="D194" s="19">
        <v>1.6398331300000002</v>
      </c>
      <c r="E194" s="23">
        <f t="shared" si="4"/>
        <v>0.82022138344772599</v>
      </c>
      <c r="F194" s="23">
        <f t="shared" si="5"/>
        <v>0.10724850870161685</v>
      </c>
      <c r="G194" s="6"/>
      <c r="H194" s="6"/>
      <c r="I194" s="4">
        <v>1.1089876700000001</v>
      </c>
      <c r="J194" s="6" t="s">
        <v>10</v>
      </c>
      <c r="K194" s="6" t="s">
        <v>21</v>
      </c>
      <c r="L194" s="21"/>
      <c r="M194" s="6"/>
      <c r="N194" s="6" t="s">
        <v>31</v>
      </c>
      <c r="O194" s="6" t="s">
        <v>13</v>
      </c>
      <c r="P194" s="6" t="s">
        <v>10</v>
      </c>
      <c r="Q194" s="10"/>
    </row>
    <row r="195" spans="1:17" x14ac:dyDescent="0.25">
      <c r="A195" s="1">
        <v>193</v>
      </c>
      <c r="B195" s="15">
        <v>4.4668088300000006</v>
      </c>
      <c r="C195" s="19">
        <v>2.4446896799999998</v>
      </c>
      <c r="D195" s="19"/>
      <c r="E195" s="23">
        <f t="shared" ref="E195:E258" si="6">C195/B195</f>
        <v>0.54730116578550769</v>
      </c>
      <c r="F195" s="23">
        <f t="shared" ref="F195:F258" si="7">D195/B195</f>
        <v>0</v>
      </c>
      <c r="G195" s="6"/>
      <c r="H195" s="6"/>
      <c r="I195" s="4">
        <v>2.02211915</v>
      </c>
      <c r="J195" s="6" t="s">
        <v>10</v>
      </c>
      <c r="K195" s="6" t="s">
        <v>16</v>
      </c>
      <c r="L195" s="21"/>
      <c r="M195" s="6"/>
      <c r="N195" s="6" t="s">
        <v>31</v>
      </c>
      <c r="O195" s="6" t="s">
        <v>13</v>
      </c>
      <c r="P195" s="6" t="s">
        <v>10</v>
      </c>
      <c r="Q195" s="10"/>
    </row>
    <row r="196" spans="1:17" x14ac:dyDescent="0.25">
      <c r="A196" s="1">
        <v>194</v>
      </c>
      <c r="B196" s="15">
        <v>9.4026816399999991</v>
      </c>
      <c r="C196" s="19">
        <v>6.5389238299999981</v>
      </c>
      <c r="D196" s="19">
        <v>2.8616976099999998</v>
      </c>
      <c r="E196" s="23">
        <f t="shared" si="6"/>
        <v>0.69543180130471782</v>
      </c>
      <c r="F196" s="23">
        <f t="shared" si="7"/>
        <v>0.30434909098974877</v>
      </c>
      <c r="G196" s="6"/>
      <c r="H196" s="6"/>
      <c r="I196" s="4"/>
      <c r="J196" s="6"/>
      <c r="K196" s="6" t="s">
        <v>13</v>
      </c>
      <c r="L196" s="21">
        <v>20.602</v>
      </c>
      <c r="M196" s="6" t="s">
        <v>10</v>
      </c>
      <c r="N196" s="6" t="s">
        <v>32</v>
      </c>
      <c r="O196" s="6" t="s">
        <v>10</v>
      </c>
      <c r="P196" s="6" t="s">
        <v>10</v>
      </c>
      <c r="Q196" s="10"/>
    </row>
    <row r="197" spans="1:17" x14ac:dyDescent="0.25">
      <c r="A197" s="1">
        <v>195</v>
      </c>
      <c r="B197" s="15">
        <v>3.4919309900000002</v>
      </c>
      <c r="C197" s="19">
        <v>3.4919309900000002</v>
      </c>
      <c r="D197" s="19"/>
      <c r="E197" s="23">
        <f t="shared" si="6"/>
        <v>1</v>
      </c>
      <c r="F197" s="23">
        <f t="shared" si="7"/>
        <v>0</v>
      </c>
      <c r="G197" s="6"/>
      <c r="H197" s="6"/>
      <c r="I197" s="4"/>
      <c r="J197" s="6"/>
      <c r="K197" s="6" t="s">
        <v>13</v>
      </c>
      <c r="L197" s="21"/>
      <c r="M197" s="6"/>
      <c r="N197" s="6" t="s">
        <v>31</v>
      </c>
      <c r="O197" s="6" t="s">
        <v>13</v>
      </c>
      <c r="P197" s="6" t="s">
        <v>10</v>
      </c>
      <c r="Q197" s="10"/>
    </row>
    <row r="198" spans="1:17" x14ac:dyDescent="0.25">
      <c r="A198" s="1">
        <v>196</v>
      </c>
      <c r="B198" s="15">
        <v>5.4930742500000003</v>
      </c>
      <c r="C198" s="19">
        <v>5.4930742500000003</v>
      </c>
      <c r="D198" s="19"/>
      <c r="E198" s="23">
        <f t="shared" si="6"/>
        <v>1</v>
      </c>
      <c r="F198" s="23">
        <f t="shared" si="7"/>
        <v>0</v>
      </c>
      <c r="G198" s="6"/>
      <c r="H198" s="6"/>
      <c r="I198" s="4"/>
      <c r="J198" s="6"/>
      <c r="K198" s="6" t="s">
        <v>13</v>
      </c>
      <c r="L198" s="21"/>
      <c r="M198" s="6"/>
      <c r="N198" s="6" t="s">
        <v>38</v>
      </c>
      <c r="O198" s="6" t="s">
        <v>13</v>
      </c>
      <c r="P198" s="6" t="s">
        <v>10</v>
      </c>
      <c r="Q198" s="10"/>
    </row>
    <row r="199" spans="1:17" x14ac:dyDescent="0.25">
      <c r="A199" s="1">
        <v>197</v>
      </c>
      <c r="B199" s="15">
        <v>15.023865220000001</v>
      </c>
      <c r="C199" s="19">
        <v>2.1078836200000004</v>
      </c>
      <c r="D199" s="19">
        <v>12.9159816</v>
      </c>
      <c r="E199" s="23">
        <f t="shared" si="6"/>
        <v>0.14030235156755488</v>
      </c>
      <c r="F199" s="23">
        <f t="shared" si="7"/>
        <v>0.85969764843244512</v>
      </c>
      <c r="G199" s="6"/>
      <c r="H199" s="6"/>
      <c r="I199" s="4"/>
      <c r="J199" s="6"/>
      <c r="K199" s="6" t="s">
        <v>13</v>
      </c>
      <c r="L199" s="21"/>
      <c r="M199" s="6"/>
      <c r="N199" s="6" t="s">
        <v>34</v>
      </c>
      <c r="O199" s="6" t="s">
        <v>13</v>
      </c>
      <c r="P199" s="6" t="s">
        <v>10</v>
      </c>
      <c r="Q199" s="10"/>
    </row>
    <row r="200" spans="1:17" x14ac:dyDescent="0.25">
      <c r="A200" s="1">
        <v>198</v>
      </c>
      <c r="B200" s="15">
        <v>15.243709330000002</v>
      </c>
      <c r="C200" s="19">
        <v>15.243709330000002</v>
      </c>
      <c r="D200" s="19"/>
      <c r="E200" s="23">
        <f t="shared" si="6"/>
        <v>1</v>
      </c>
      <c r="F200" s="23">
        <f t="shared" si="7"/>
        <v>0</v>
      </c>
      <c r="G200" s="6"/>
      <c r="H200" s="6"/>
      <c r="I200" s="4"/>
      <c r="J200" s="6"/>
      <c r="K200" s="6" t="s">
        <v>13</v>
      </c>
      <c r="L200" s="21"/>
      <c r="M200" s="6"/>
      <c r="N200" s="6" t="s">
        <v>34</v>
      </c>
      <c r="O200" s="6" t="s">
        <v>13</v>
      </c>
      <c r="P200" s="6" t="s">
        <v>10</v>
      </c>
      <c r="Q200" s="10"/>
    </row>
    <row r="201" spans="1:17" x14ac:dyDescent="0.25">
      <c r="A201" s="1">
        <v>199</v>
      </c>
      <c r="B201" s="15">
        <v>14.898038159999999</v>
      </c>
      <c r="C201" s="19">
        <v>9.9706746199999987</v>
      </c>
      <c r="D201" s="19">
        <v>4.92736354</v>
      </c>
      <c r="E201" s="23">
        <f t="shared" si="6"/>
        <v>0.66926091294157353</v>
      </c>
      <c r="F201" s="23">
        <f t="shared" si="7"/>
        <v>0.33073908705842653</v>
      </c>
      <c r="G201" s="6"/>
      <c r="H201" s="6"/>
      <c r="I201" s="4"/>
      <c r="J201" s="6"/>
      <c r="K201" s="6" t="s">
        <v>13</v>
      </c>
      <c r="L201" s="21"/>
      <c r="M201" s="6"/>
      <c r="N201" s="6" t="s">
        <v>34</v>
      </c>
      <c r="O201" s="6" t="s">
        <v>13</v>
      </c>
      <c r="P201" s="6" t="s">
        <v>10</v>
      </c>
      <c r="Q201" s="10"/>
    </row>
    <row r="202" spans="1:17" x14ac:dyDescent="0.25">
      <c r="A202" s="1">
        <v>200</v>
      </c>
      <c r="B202" s="15">
        <v>18.067900599999998</v>
      </c>
      <c r="C202" s="19">
        <v>18.067900599999998</v>
      </c>
      <c r="D202" s="19"/>
      <c r="E202" s="23">
        <f t="shared" si="6"/>
        <v>1</v>
      </c>
      <c r="F202" s="23">
        <f t="shared" si="7"/>
        <v>0</v>
      </c>
      <c r="G202" s="6"/>
      <c r="H202" s="6"/>
      <c r="I202" s="4"/>
      <c r="J202" s="6"/>
      <c r="K202" s="6" t="s">
        <v>13</v>
      </c>
      <c r="L202" s="21"/>
      <c r="M202" s="6"/>
      <c r="N202" s="6" t="s">
        <v>34</v>
      </c>
      <c r="O202" s="6" t="s">
        <v>13</v>
      </c>
      <c r="P202" s="6" t="s">
        <v>10</v>
      </c>
      <c r="Q202" s="10"/>
    </row>
    <row r="203" spans="1:17" x14ac:dyDescent="0.25">
      <c r="A203" s="1">
        <v>201</v>
      </c>
      <c r="B203" s="15">
        <v>29.683980219999999</v>
      </c>
      <c r="C203" s="19">
        <v>9.516180219999999</v>
      </c>
      <c r="D203" s="19">
        <v>13.09742</v>
      </c>
      <c r="E203" s="23">
        <f t="shared" si="6"/>
        <v>0.3205830265844315</v>
      </c>
      <c r="F203" s="23">
        <f t="shared" si="7"/>
        <v>0.44122856513613457</v>
      </c>
      <c r="G203" s="6"/>
      <c r="H203" s="6"/>
      <c r="I203" s="4">
        <v>7.0703800000000001</v>
      </c>
      <c r="J203" s="6" t="s">
        <v>10</v>
      </c>
      <c r="K203" s="6" t="s">
        <v>16</v>
      </c>
      <c r="L203" s="21"/>
      <c r="M203" s="6"/>
      <c r="N203" s="6" t="s">
        <v>32</v>
      </c>
      <c r="O203" s="6" t="s">
        <v>10</v>
      </c>
      <c r="P203" s="6" t="s">
        <v>10</v>
      </c>
      <c r="Q203" s="10"/>
    </row>
    <row r="204" spans="1:17" x14ac:dyDescent="0.25">
      <c r="A204" s="1">
        <v>202</v>
      </c>
      <c r="B204" s="15">
        <v>7.1097184200000001</v>
      </c>
      <c r="C204" s="19">
        <v>3.7175920600000003</v>
      </c>
      <c r="D204" s="19"/>
      <c r="E204" s="23">
        <f t="shared" si="6"/>
        <v>0.52288878973634523</v>
      </c>
      <c r="F204" s="23">
        <f t="shared" si="7"/>
        <v>0</v>
      </c>
      <c r="G204" s="6"/>
      <c r="H204" s="6"/>
      <c r="I204" s="4">
        <v>3.3921263599999998</v>
      </c>
      <c r="J204" s="6" t="s">
        <v>10</v>
      </c>
      <c r="K204" s="6" t="s">
        <v>16</v>
      </c>
      <c r="L204" s="21"/>
      <c r="M204" s="6"/>
      <c r="N204" s="6" t="s">
        <v>50</v>
      </c>
      <c r="O204" s="6" t="s">
        <v>13</v>
      </c>
      <c r="P204" s="6" t="s">
        <v>10</v>
      </c>
      <c r="Q204" s="10"/>
    </row>
    <row r="205" spans="1:17" x14ac:dyDescent="0.25">
      <c r="A205" s="1">
        <v>203</v>
      </c>
      <c r="B205" s="15">
        <v>22.862441350000001</v>
      </c>
      <c r="C205" s="19">
        <v>1.0161457499999984</v>
      </c>
      <c r="D205" s="19">
        <v>21.846295600000001</v>
      </c>
      <c r="E205" s="23">
        <f t="shared" si="6"/>
        <v>4.4446073559856213E-2</v>
      </c>
      <c r="F205" s="23">
        <f t="shared" si="7"/>
        <v>0.9555539264401437</v>
      </c>
      <c r="G205" s="6"/>
      <c r="H205" s="6"/>
      <c r="I205" s="4"/>
      <c r="J205" s="6"/>
      <c r="K205" s="6" t="s">
        <v>13</v>
      </c>
      <c r="L205" s="21"/>
      <c r="M205" s="6"/>
      <c r="N205" s="6" t="s">
        <v>32</v>
      </c>
      <c r="O205" s="6" t="s">
        <v>10</v>
      </c>
      <c r="P205" s="6" t="s">
        <v>10</v>
      </c>
      <c r="Q205" s="10"/>
    </row>
    <row r="206" spans="1:17" x14ac:dyDescent="0.25">
      <c r="A206" s="1">
        <v>204</v>
      </c>
      <c r="B206" s="15">
        <v>3.3426175000000002</v>
      </c>
      <c r="C206" s="19"/>
      <c r="D206" s="19">
        <v>3.3426175000000002</v>
      </c>
      <c r="E206" s="23">
        <f t="shared" si="6"/>
        <v>0</v>
      </c>
      <c r="F206" s="23">
        <f t="shared" si="7"/>
        <v>1</v>
      </c>
      <c r="G206" s="6"/>
      <c r="H206" s="6"/>
      <c r="I206" s="4"/>
      <c r="J206" s="6"/>
      <c r="K206" s="6" t="s">
        <v>13</v>
      </c>
      <c r="L206" s="21"/>
      <c r="M206" s="6"/>
      <c r="N206" s="6" t="s">
        <v>13</v>
      </c>
      <c r="O206" s="6" t="s">
        <v>13</v>
      </c>
      <c r="P206" s="6" t="s">
        <v>10</v>
      </c>
      <c r="Q206" s="10"/>
    </row>
    <row r="207" spans="1:17" x14ac:dyDescent="0.25">
      <c r="A207" s="1">
        <v>205</v>
      </c>
      <c r="B207" s="15">
        <v>3.3311587099999995</v>
      </c>
      <c r="C207" s="19"/>
      <c r="D207" s="19">
        <v>3.3311587099999995</v>
      </c>
      <c r="E207" s="23">
        <f t="shared" si="6"/>
        <v>0</v>
      </c>
      <c r="F207" s="23">
        <f t="shared" si="7"/>
        <v>1</v>
      </c>
      <c r="G207" s="6"/>
      <c r="H207" s="6"/>
      <c r="I207" s="4"/>
      <c r="J207" s="6"/>
      <c r="K207" s="6" t="s">
        <v>13</v>
      </c>
      <c r="L207" s="21"/>
      <c r="M207" s="6"/>
      <c r="N207" s="6" t="s">
        <v>13</v>
      </c>
      <c r="O207" s="6" t="s">
        <v>13</v>
      </c>
      <c r="P207" s="6" t="s">
        <v>10</v>
      </c>
      <c r="Q207" s="10"/>
    </row>
    <row r="208" spans="1:17" x14ac:dyDescent="0.25">
      <c r="A208" s="1">
        <v>206</v>
      </c>
      <c r="B208" s="15">
        <v>3.3353128900000004</v>
      </c>
      <c r="C208" s="19"/>
      <c r="D208" s="19">
        <v>3.3353128900000004</v>
      </c>
      <c r="E208" s="23">
        <f t="shared" si="6"/>
        <v>0</v>
      </c>
      <c r="F208" s="23">
        <f t="shared" si="7"/>
        <v>1</v>
      </c>
      <c r="G208" s="6"/>
      <c r="H208" s="6"/>
      <c r="I208" s="4"/>
      <c r="J208" s="6"/>
      <c r="K208" s="6" t="s">
        <v>13</v>
      </c>
      <c r="L208" s="21"/>
      <c r="M208" s="6"/>
      <c r="N208" s="6" t="s">
        <v>32</v>
      </c>
      <c r="O208" s="6" t="s">
        <v>10</v>
      </c>
      <c r="P208" s="6" t="s">
        <v>10</v>
      </c>
      <c r="Q208" s="10"/>
    </row>
    <row r="209" spans="1:18" x14ac:dyDescent="0.25">
      <c r="A209" s="1">
        <v>207</v>
      </c>
      <c r="B209" s="15">
        <v>3.3387088400000002</v>
      </c>
      <c r="C209" s="19"/>
      <c r="D209" s="19">
        <v>3.3387088400000002</v>
      </c>
      <c r="E209" s="23">
        <f t="shared" si="6"/>
        <v>0</v>
      </c>
      <c r="F209" s="23">
        <f t="shared" si="7"/>
        <v>1</v>
      </c>
      <c r="G209" s="6"/>
      <c r="H209" s="6"/>
      <c r="I209" s="4"/>
      <c r="J209" s="6"/>
      <c r="K209" s="6" t="s">
        <v>13</v>
      </c>
      <c r="L209" s="21"/>
      <c r="M209" s="6"/>
      <c r="N209" s="6" t="s">
        <v>13</v>
      </c>
      <c r="O209" s="6" t="s">
        <v>13</v>
      </c>
      <c r="P209" s="6" t="s">
        <v>10</v>
      </c>
      <c r="Q209" s="10"/>
    </row>
    <row r="210" spans="1:18" x14ac:dyDescent="0.25">
      <c r="A210" s="1">
        <v>208</v>
      </c>
      <c r="B210" s="15">
        <v>3.3434642099999996</v>
      </c>
      <c r="C210" s="19">
        <v>0.79440946000000001</v>
      </c>
      <c r="D210" s="19">
        <v>2.5490547500000003</v>
      </c>
      <c r="E210" s="23">
        <f t="shared" si="6"/>
        <v>0.23760070696255489</v>
      </c>
      <c r="F210" s="23">
        <f t="shared" si="7"/>
        <v>0.76239929303744536</v>
      </c>
      <c r="G210" s="6"/>
      <c r="H210" s="6"/>
      <c r="I210" s="4"/>
      <c r="J210" s="6"/>
      <c r="K210" s="6" t="s">
        <v>13</v>
      </c>
      <c r="L210" s="21"/>
      <c r="M210" s="6"/>
      <c r="N210" s="6" t="s">
        <v>32</v>
      </c>
      <c r="O210" s="6" t="s">
        <v>10</v>
      </c>
      <c r="P210" s="6" t="s">
        <v>10</v>
      </c>
      <c r="Q210" s="10"/>
    </row>
    <row r="211" spans="1:18" x14ac:dyDescent="0.25">
      <c r="A211" s="1">
        <v>209</v>
      </c>
      <c r="B211" s="15">
        <v>3.3481877299999998</v>
      </c>
      <c r="C211" s="19">
        <v>2.43167307</v>
      </c>
      <c r="D211" s="19">
        <v>0.91651466000000004</v>
      </c>
      <c r="E211" s="23">
        <f t="shared" si="6"/>
        <v>0.72626545047400914</v>
      </c>
      <c r="F211" s="23">
        <f t="shared" si="7"/>
        <v>0.27373454952599091</v>
      </c>
      <c r="G211" s="6"/>
      <c r="H211" s="6"/>
      <c r="I211" s="4"/>
      <c r="J211" s="6"/>
      <c r="K211" s="6" t="s">
        <v>13</v>
      </c>
      <c r="L211" s="21"/>
      <c r="M211" s="6"/>
      <c r="N211" s="6" t="s">
        <v>31</v>
      </c>
      <c r="O211" s="6" t="s">
        <v>13</v>
      </c>
      <c r="P211" s="6" t="s">
        <v>10</v>
      </c>
      <c r="Q211" s="10"/>
    </row>
    <row r="212" spans="1:18" x14ac:dyDescent="0.25">
      <c r="A212" s="1">
        <v>210</v>
      </c>
      <c r="B212" s="15">
        <v>29.827088750000001</v>
      </c>
      <c r="C212" s="19">
        <v>28.678632500000003</v>
      </c>
      <c r="D212" s="19"/>
      <c r="E212" s="23">
        <f t="shared" si="6"/>
        <v>0.9614962003289711</v>
      </c>
      <c r="F212" s="23">
        <f t="shared" si="7"/>
        <v>0</v>
      </c>
      <c r="G212" s="6"/>
      <c r="H212" s="6"/>
      <c r="I212" s="4">
        <v>1.14845625</v>
      </c>
      <c r="J212" s="6" t="s">
        <v>10</v>
      </c>
      <c r="K212" s="6" t="s">
        <v>16</v>
      </c>
      <c r="L212" s="21"/>
      <c r="M212" s="6"/>
      <c r="N212" s="6" t="s">
        <v>32</v>
      </c>
      <c r="O212" s="6" t="s">
        <v>10</v>
      </c>
      <c r="P212" s="6" t="s">
        <v>10</v>
      </c>
      <c r="Q212" s="10"/>
    </row>
    <row r="213" spans="1:18" x14ac:dyDescent="0.25">
      <c r="A213" s="1">
        <v>211</v>
      </c>
      <c r="B213" s="15">
        <v>23.176762349999997</v>
      </c>
      <c r="C213" s="19">
        <v>9.2274292499999984</v>
      </c>
      <c r="D213" s="19">
        <v>13.9493331</v>
      </c>
      <c r="E213" s="23">
        <f t="shared" si="6"/>
        <v>0.39813279830260673</v>
      </c>
      <c r="F213" s="23">
        <f t="shared" si="7"/>
        <v>0.60186720169739338</v>
      </c>
      <c r="G213" s="6"/>
      <c r="H213" s="6"/>
      <c r="I213" s="4"/>
      <c r="J213" s="6"/>
      <c r="K213" s="6" t="s">
        <v>13</v>
      </c>
      <c r="L213" s="21"/>
      <c r="M213" s="6"/>
      <c r="N213" s="6" t="s">
        <v>29</v>
      </c>
      <c r="O213" s="6" t="s">
        <v>10</v>
      </c>
      <c r="P213" s="6" t="s">
        <v>10</v>
      </c>
      <c r="Q213" s="10"/>
    </row>
    <row r="214" spans="1:18" x14ac:dyDescent="0.25">
      <c r="A214" s="1">
        <v>212</v>
      </c>
      <c r="B214" s="15">
        <v>5.2076791499999997</v>
      </c>
      <c r="C214" s="19">
        <v>2.2844170200000002</v>
      </c>
      <c r="D214" s="19">
        <v>2.9232621299999999</v>
      </c>
      <c r="E214" s="23">
        <f t="shared" si="6"/>
        <v>0.43866316533728855</v>
      </c>
      <c r="F214" s="23">
        <f t="shared" si="7"/>
        <v>0.56133683466271156</v>
      </c>
      <c r="G214" s="6"/>
      <c r="H214" s="6"/>
      <c r="I214" s="4"/>
      <c r="J214" s="6"/>
      <c r="K214" s="6" t="s">
        <v>13</v>
      </c>
      <c r="L214" s="21"/>
      <c r="M214" s="6"/>
      <c r="N214" s="6" t="s">
        <v>13</v>
      </c>
      <c r="O214" s="6" t="s">
        <v>13</v>
      </c>
      <c r="P214" s="6" t="s">
        <v>10</v>
      </c>
      <c r="Q214" s="10"/>
    </row>
    <row r="215" spans="1:18" x14ac:dyDescent="0.25">
      <c r="A215" s="1">
        <v>213</v>
      </c>
      <c r="B215" s="15">
        <v>29.922539</v>
      </c>
      <c r="C215" s="19">
        <v>8.644810399999999</v>
      </c>
      <c r="D215" s="19">
        <v>21.2777286</v>
      </c>
      <c r="E215" s="23">
        <f t="shared" si="6"/>
        <v>0.2889063123954822</v>
      </c>
      <c r="F215" s="23">
        <f t="shared" si="7"/>
        <v>0.71109368760451774</v>
      </c>
      <c r="G215" s="6"/>
      <c r="H215" s="6"/>
      <c r="I215" s="4"/>
      <c r="J215" s="6"/>
      <c r="K215" s="6" t="s">
        <v>13</v>
      </c>
      <c r="L215" s="21"/>
      <c r="M215" s="6"/>
      <c r="N215" s="6" t="s">
        <v>13</v>
      </c>
      <c r="O215" s="6" t="s">
        <v>13</v>
      </c>
      <c r="P215" s="6" t="s">
        <v>10</v>
      </c>
      <c r="Q215" s="10"/>
    </row>
    <row r="216" spans="1:18" x14ac:dyDescent="0.25">
      <c r="A216" s="1">
        <v>214</v>
      </c>
      <c r="B216" s="15">
        <v>9.69233616</v>
      </c>
      <c r="C216" s="19">
        <v>5.823328870000001</v>
      </c>
      <c r="D216" s="19">
        <v>3.8690072899999999</v>
      </c>
      <c r="E216" s="23">
        <f t="shared" si="6"/>
        <v>0.60081788062951391</v>
      </c>
      <c r="F216" s="23">
        <f t="shared" si="7"/>
        <v>0.3991821193704862</v>
      </c>
      <c r="G216" s="6"/>
      <c r="H216" s="6"/>
      <c r="I216" s="4"/>
      <c r="J216" s="6"/>
      <c r="K216" s="6" t="s">
        <v>13</v>
      </c>
      <c r="L216" s="21"/>
      <c r="M216" s="6"/>
      <c r="N216" s="6" t="s">
        <v>29</v>
      </c>
      <c r="O216" s="6" t="s">
        <v>10</v>
      </c>
      <c r="P216" s="6" t="s">
        <v>10</v>
      </c>
      <c r="Q216" s="10"/>
    </row>
    <row r="217" spans="1:18" x14ac:dyDescent="0.25">
      <c r="A217" s="1">
        <v>215</v>
      </c>
      <c r="B217" s="15">
        <v>5.4421375799999998</v>
      </c>
      <c r="C217" s="19">
        <v>4.5974888999999983</v>
      </c>
      <c r="D217" s="19"/>
      <c r="E217" s="23">
        <f t="shared" si="6"/>
        <v>0.84479468451806372</v>
      </c>
      <c r="F217" s="23">
        <f t="shared" si="7"/>
        <v>0</v>
      </c>
      <c r="G217" s="6"/>
      <c r="H217" s="6"/>
      <c r="I217" s="4">
        <v>0.84464868000000004</v>
      </c>
      <c r="J217" s="6" t="s">
        <v>10</v>
      </c>
      <c r="K217" s="6" t="s">
        <v>16</v>
      </c>
      <c r="L217" s="21"/>
      <c r="M217" s="6"/>
      <c r="N217" s="6" t="s">
        <v>29</v>
      </c>
      <c r="O217" s="6" t="s">
        <v>10</v>
      </c>
      <c r="P217" s="6" t="s">
        <v>10</v>
      </c>
      <c r="Q217" s="10"/>
    </row>
    <row r="218" spans="1:18" x14ac:dyDescent="0.25">
      <c r="A218" s="1">
        <v>216</v>
      </c>
      <c r="B218" s="15">
        <v>14.845693129999999</v>
      </c>
      <c r="C218" s="19">
        <v>6.1092372199999998</v>
      </c>
      <c r="D218" s="19"/>
      <c r="E218" s="23">
        <f t="shared" si="6"/>
        <v>0.41151579562523266</v>
      </c>
      <c r="F218" s="23">
        <f t="shared" si="7"/>
        <v>0</v>
      </c>
      <c r="G218" s="6"/>
      <c r="H218" s="6"/>
      <c r="I218" s="4">
        <v>8.7364559100000001</v>
      </c>
      <c r="J218" s="6" t="s">
        <v>10</v>
      </c>
      <c r="K218" s="6" t="s">
        <v>16</v>
      </c>
      <c r="L218" s="21"/>
      <c r="M218" s="6"/>
      <c r="N218" s="6" t="s">
        <v>37</v>
      </c>
      <c r="O218" s="6" t="s">
        <v>10</v>
      </c>
      <c r="P218" s="6" t="s">
        <v>10</v>
      </c>
      <c r="Q218" s="10"/>
    </row>
    <row r="219" spans="1:18" x14ac:dyDescent="0.25">
      <c r="A219" s="1">
        <v>217</v>
      </c>
      <c r="B219" s="15">
        <v>14.636511950000001</v>
      </c>
      <c r="C219" s="19">
        <v>14.636511950000001</v>
      </c>
      <c r="D219" s="19"/>
      <c r="E219" s="23">
        <f t="shared" si="6"/>
        <v>1</v>
      </c>
      <c r="F219" s="23">
        <f t="shared" si="7"/>
        <v>0</v>
      </c>
      <c r="G219" s="6"/>
      <c r="H219" s="6"/>
      <c r="I219" s="4"/>
      <c r="J219" s="6"/>
      <c r="K219" s="6" t="s">
        <v>13</v>
      </c>
      <c r="L219" s="21"/>
      <c r="M219" s="6"/>
      <c r="N219" s="6" t="s">
        <v>32</v>
      </c>
      <c r="O219" s="6" t="s">
        <v>10</v>
      </c>
      <c r="P219" s="6" t="s">
        <v>10</v>
      </c>
      <c r="Q219" s="10"/>
    </row>
    <row r="220" spans="1:18" x14ac:dyDescent="0.25">
      <c r="A220" s="1">
        <v>218</v>
      </c>
      <c r="B220" s="15">
        <v>15.244172709999999</v>
      </c>
      <c r="C220" s="19">
        <v>13.695845819999999</v>
      </c>
      <c r="D220" s="19">
        <v>1.54832689</v>
      </c>
      <c r="E220" s="23">
        <f t="shared" si="6"/>
        <v>0.89843155680174658</v>
      </c>
      <c r="F220" s="23">
        <f t="shared" si="7"/>
        <v>0.10156844319825344</v>
      </c>
      <c r="G220" s="6"/>
      <c r="H220" s="6"/>
      <c r="I220" s="4"/>
      <c r="J220" s="6"/>
      <c r="K220" s="6" t="s">
        <v>13</v>
      </c>
      <c r="L220" s="21"/>
      <c r="M220" s="6"/>
      <c r="N220" s="6" t="s">
        <v>29</v>
      </c>
      <c r="O220" s="6" t="s">
        <v>10</v>
      </c>
      <c r="P220" s="6" t="s">
        <v>10</v>
      </c>
      <c r="Q220" s="10"/>
    </row>
    <row r="221" spans="1:18" x14ac:dyDescent="0.25">
      <c r="A221" s="1">
        <v>219</v>
      </c>
      <c r="B221" s="15">
        <v>446.78058468000006</v>
      </c>
      <c r="C221" s="19">
        <v>191.53865896000008</v>
      </c>
      <c r="D221" s="19">
        <v>255.24192571999998</v>
      </c>
      <c r="E221" s="23">
        <f t="shared" si="6"/>
        <v>0.42870855522333584</v>
      </c>
      <c r="F221" s="23">
        <f t="shared" si="7"/>
        <v>0.57129144477666416</v>
      </c>
      <c r="G221" s="6"/>
      <c r="H221" s="6"/>
      <c r="I221" s="4"/>
      <c r="J221" s="6"/>
      <c r="K221" s="6" t="s">
        <v>13</v>
      </c>
      <c r="L221" s="21"/>
      <c r="M221" s="6"/>
      <c r="N221" s="6" t="s">
        <v>29</v>
      </c>
      <c r="O221" s="6" t="s">
        <v>10</v>
      </c>
      <c r="P221" s="6" t="s">
        <v>10</v>
      </c>
      <c r="Q221" s="10"/>
    </row>
    <row r="222" spans="1:18" x14ac:dyDescent="0.25">
      <c r="A222" s="1">
        <v>220</v>
      </c>
      <c r="B222" s="15">
        <v>26.375169770000003</v>
      </c>
      <c r="C222" s="19">
        <v>2.5504354700000018</v>
      </c>
      <c r="D222" s="19">
        <v>23.824734299999999</v>
      </c>
      <c r="E222" s="23">
        <f t="shared" si="6"/>
        <v>9.6698352740119689E-2</v>
      </c>
      <c r="F222" s="23">
        <f t="shared" si="7"/>
        <v>0.90330164725988027</v>
      </c>
      <c r="G222" s="6"/>
      <c r="H222" s="6"/>
      <c r="I222" s="4"/>
      <c r="J222" s="6"/>
      <c r="K222" s="6" t="s">
        <v>13</v>
      </c>
      <c r="L222" s="21"/>
      <c r="M222" s="6"/>
      <c r="N222" s="6" t="s">
        <v>13</v>
      </c>
      <c r="O222" s="6" t="s">
        <v>13</v>
      </c>
      <c r="P222" s="6" t="s">
        <v>10</v>
      </c>
      <c r="Q222" s="10"/>
    </row>
    <row r="223" spans="1:18" x14ac:dyDescent="0.25">
      <c r="A223" s="1">
        <v>221</v>
      </c>
      <c r="B223" s="15">
        <v>24.24128344</v>
      </c>
      <c r="C223" s="19">
        <v>0.92037752000000039</v>
      </c>
      <c r="D223" s="19"/>
      <c r="E223" s="23">
        <f t="shared" si="6"/>
        <v>3.7967359371794067E-2</v>
      </c>
      <c r="F223" s="23">
        <f t="shared" si="7"/>
        <v>0</v>
      </c>
      <c r="G223" s="6"/>
      <c r="H223" s="6"/>
      <c r="I223" s="4">
        <v>23.320905919999998</v>
      </c>
      <c r="J223" s="6" t="s">
        <v>10</v>
      </c>
      <c r="K223" s="6" t="s">
        <v>16</v>
      </c>
      <c r="L223" s="21"/>
      <c r="M223" s="6"/>
      <c r="N223" s="6" t="s">
        <v>34</v>
      </c>
      <c r="O223" s="6" t="s">
        <v>13</v>
      </c>
      <c r="P223" s="6" t="s">
        <v>10</v>
      </c>
      <c r="Q223" s="10"/>
      <c r="R223" s="26"/>
    </row>
    <row r="224" spans="1:18" x14ac:dyDescent="0.25">
      <c r="A224" s="1">
        <v>222</v>
      </c>
      <c r="B224" s="15">
        <v>30.017528600000002</v>
      </c>
      <c r="C224" s="19">
        <v>28.027212989999999</v>
      </c>
      <c r="D224" s="19">
        <v>1.9903156100000001</v>
      </c>
      <c r="E224" s="23">
        <f t="shared" si="6"/>
        <v>0.93369488752648333</v>
      </c>
      <c r="F224" s="23">
        <f t="shared" si="7"/>
        <v>6.6305112473516559E-2</v>
      </c>
      <c r="G224" s="6"/>
      <c r="H224" s="6"/>
      <c r="I224" s="4"/>
      <c r="J224" s="6"/>
      <c r="K224" s="6" t="s">
        <v>13</v>
      </c>
      <c r="L224" s="21"/>
      <c r="M224" s="6"/>
      <c r="N224" s="6" t="s">
        <v>34</v>
      </c>
      <c r="O224" s="6" t="s">
        <v>13</v>
      </c>
      <c r="P224" s="6" t="s">
        <v>10</v>
      </c>
      <c r="Q224" s="10"/>
    </row>
    <row r="225" spans="1:23" x14ac:dyDescent="0.25">
      <c r="A225" s="1">
        <v>223</v>
      </c>
      <c r="B225" s="15">
        <v>2.0059136799999999</v>
      </c>
      <c r="C225" s="19">
        <v>2.0059136799999999</v>
      </c>
      <c r="D225" s="19"/>
      <c r="E225" s="23">
        <f t="shared" si="6"/>
        <v>1</v>
      </c>
      <c r="F225" s="23">
        <f t="shared" si="7"/>
        <v>0</v>
      </c>
      <c r="G225" s="6"/>
      <c r="H225" s="6"/>
      <c r="I225" s="4"/>
      <c r="J225" s="6"/>
      <c r="K225" s="6" t="s">
        <v>13</v>
      </c>
      <c r="L225" s="21"/>
      <c r="M225" s="6"/>
      <c r="N225" s="6" t="s">
        <v>32</v>
      </c>
      <c r="O225" s="6" t="s">
        <v>10</v>
      </c>
      <c r="P225" s="6" t="s">
        <v>10</v>
      </c>
      <c r="Q225" s="10"/>
    </row>
    <row r="226" spans="1:23" x14ac:dyDescent="0.25">
      <c r="A226" s="1">
        <v>224</v>
      </c>
      <c r="B226" s="15">
        <v>28.272211690000002</v>
      </c>
      <c r="C226" s="19">
        <v>28.272211690000002</v>
      </c>
      <c r="D226" s="19"/>
      <c r="E226" s="23">
        <f t="shared" si="6"/>
        <v>1</v>
      </c>
      <c r="F226" s="23">
        <f t="shared" si="7"/>
        <v>0</v>
      </c>
      <c r="G226" s="6"/>
      <c r="H226" s="6"/>
      <c r="I226" s="4"/>
      <c r="J226" s="6"/>
      <c r="K226" s="6" t="s">
        <v>13</v>
      </c>
      <c r="L226" s="21"/>
      <c r="M226" s="6"/>
      <c r="N226" s="6" t="s">
        <v>32</v>
      </c>
      <c r="O226" s="6" t="s">
        <v>10</v>
      </c>
      <c r="P226" s="6" t="s">
        <v>10</v>
      </c>
      <c r="Q226" s="10"/>
    </row>
    <row r="227" spans="1:23" x14ac:dyDescent="0.25">
      <c r="A227" s="1">
        <v>225</v>
      </c>
      <c r="B227" s="15">
        <v>79.23896148</v>
      </c>
      <c r="C227" s="19">
        <v>42.451419280000003</v>
      </c>
      <c r="D227" s="19">
        <v>36.787542200000004</v>
      </c>
      <c r="E227" s="23">
        <f t="shared" si="6"/>
        <v>0.53573921827224835</v>
      </c>
      <c r="F227" s="23">
        <f t="shared" si="7"/>
        <v>0.4642607817277517</v>
      </c>
      <c r="G227" s="6"/>
      <c r="H227" s="6"/>
      <c r="I227" s="4"/>
      <c r="J227" s="6"/>
      <c r="K227" s="6" t="s">
        <v>13</v>
      </c>
      <c r="L227" s="21"/>
      <c r="M227" s="6"/>
      <c r="N227" s="6" t="s">
        <v>29</v>
      </c>
      <c r="O227" s="6" t="s">
        <v>10</v>
      </c>
      <c r="P227" s="6" t="s">
        <v>10</v>
      </c>
      <c r="Q227" s="10"/>
      <c r="V227" s="12"/>
      <c r="W227" s="12"/>
    </row>
    <row r="228" spans="1:23" x14ac:dyDescent="0.25">
      <c r="A228" s="1">
        <v>226</v>
      </c>
      <c r="B228" s="15">
        <v>45.270576059999996</v>
      </c>
      <c r="C228" s="19">
        <v>10.32676676</v>
      </c>
      <c r="D228" s="19">
        <v>34.943809299999998</v>
      </c>
      <c r="E228" s="23">
        <f t="shared" si="6"/>
        <v>0.22811211296081751</v>
      </c>
      <c r="F228" s="23">
        <f t="shared" si="7"/>
        <v>0.77188788703918254</v>
      </c>
      <c r="G228" s="6"/>
      <c r="H228" s="6"/>
      <c r="I228" s="4"/>
      <c r="J228" s="6"/>
      <c r="K228" s="6" t="s">
        <v>13</v>
      </c>
      <c r="L228" s="21"/>
      <c r="M228" s="6"/>
      <c r="N228" s="6" t="s">
        <v>32</v>
      </c>
      <c r="O228" s="6" t="s">
        <v>10</v>
      </c>
      <c r="P228" s="6" t="s">
        <v>10</v>
      </c>
      <c r="Q228" s="10"/>
      <c r="V228" s="12"/>
      <c r="W228" s="12"/>
    </row>
    <row r="229" spans="1:23" x14ac:dyDescent="0.25">
      <c r="A229" s="1">
        <v>227</v>
      </c>
      <c r="B229" s="15">
        <v>29.878694660000001</v>
      </c>
      <c r="C229" s="19">
        <v>7.9464286599999996</v>
      </c>
      <c r="D229" s="19">
        <v>21.932266000000002</v>
      </c>
      <c r="E229" s="23">
        <f t="shared" si="6"/>
        <v>0.2659563528602959</v>
      </c>
      <c r="F229" s="23">
        <f t="shared" si="7"/>
        <v>0.73404364713970416</v>
      </c>
      <c r="G229" s="6"/>
      <c r="H229" s="6"/>
      <c r="I229" s="4"/>
      <c r="J229" s="6"/>
      <c r="K229" s="6" t="s">
        <v>13</v>
      </c>
      <c r="L229" s="21"/>
      <c r="M229" s="6"/>
      <c r="N229" s="6" t="s">
        <v>38</v>
      </c>
      <c r="O229" s="6" t="s">
        <v>13</v>
      </c>
      <c r="P229" s="6" t="s">
        <v>10</v>
      </c>
      <c r="Q229" s="10"/>
      <c r="V229" s="12"/>
      <c r="W229" s="12"/>
    </row>
    <row r="230" spans="1:23" x14ac:dyDescent="0.25">
      <c r="A230" s="1">
        <v>228</v>
      </c>
      <c r="B230" s="15">
        <v>30.76791665</v>
      </c>
      <c r="C230" s="19">
        <v>11.511767450000002</v>
      </c>
      <c r="D230" s="19">
        <v>19.256149199999999</v>
      </c>
      <c r="E230" s="23">
        <f t="shared" si="6"/>
        <v>0.37414842158316891</v>
      </c>
      <c r="F230" s="23">
        <f t="shared" si="7"/>
        <v>0.62585157841683114</v>
      </c>
      <c r="G230" s="6"/>
      <c r="H230" s="6"/>
      <c r="I230" s="4"/>
      <c r="J230" s="6"/>
      <c r="K230" s="6" t="s">
        <v>13</v>
      </c>
      <c r="L230" s="21"/>
      <c r="M230" s="6"/>
      <c r="N230" s="6" t="s">
        <v>29</v>
      </c>
      <c r="O230" s="6" t="s">
        <v>10</v>
      </c>
      <c r="P230" s="6" t="s">
        <v>10</v>
      </c>
      <c r="Q230" s="10"/>
      <c r="V230" s="12"/>
      <c r="W230" s="12"/>
    </row>
    <row r="231" spans="1:23" x14ac:dyDescent="0.25">
      <c r="A231" s="1">
        <v>229</v>
      </c>
      <c r="B231" s="15">
        <v>19.9682891</v>
      </c>
      <c r="C231" s="19">
        <v>0.89405239999999919</v>
      </c>
      <c r="D231" s="19">
        <v>19.0742367</v>
      </c>
      <c r="E231" s="23">
        <f t="shared" si="6"/>
        <v>4.4773610574378113E-2</v>
      </c>
      <c r="F231" s="23">
        <f t="shared" si="7"/>
        <v>0.95522638942562188</v>
      </c>
      <c r="G231" s="6"/>
      <c r="H231" s="6"/>
      <c r="I231" s="4"/>
      <c r="J231" s="6"/>
      <c r="K231" s="6" t="s">
        <v>13</v>
      </c>
      <c r="L231" s="21"/>
      <c r="M231" s="6"/>
      <c r="N231" s="6" t="s">
        <v>13</v>
      </c>
      <c r="O231" s="6" t="s">
        <v>13</v>
      </c>
      <c r="P231" s="6" t="s">
        <v>10</v>
      </c>
      <c r="Q231" s="10"/>
      <c r="V231" s="12"/>
      <c r="W231" s="12"/>
    </row>
    <row r="232" spans="1:23" x14ac:dyDescent="0.25">
      <c r="A232" s="1">
        <v>230</v>
      </c>
      <c r="B232" s="15">
        <v>20.315709330000001</v>
      </c>
      <c r="C232" s="19">
        <v>4.4139524699999999</v>
      </c>
      <c r="D232" s="19">
        <v>15.901756859999999</v>
      </c>
      <c r="E232" s="23">
        <f t="shared" si="6"/>
        <v>0.2172679475917664</v>
      </c>
      <c r="F232" s="23">
        <f t="shared" si="7"/>
        <v>0.78273205240823351</v>
      </c>
      <c r="G232" s="6"/>
      <c r="H232" s="6"/>
      <c r="I232" s="4"/>
      <c r="J232" s="6"/>
      <c r="K232" s="6" t="s">
        <v>13</v>
      </c>
      <c r="L232" s="21"/>
      <c r="M232" s="6"/>
      <c r="N232" s="6" t="s">
        <v>38</v>
      </c>
      <c r="O232" s="6" t="s">
        <v>13</v>
      </c>
      <c r="P232" s="6" t="s">
        <v>10</v>
      </c>
      <c r="Q232" s="10"/>
      <c r="V232" s="12"/>
      <c r="W232" s="12"/>
    </row>
    <row r="233" spans="1:23" x14ac:dyDescent="0.25">
      <c r="A233" s="1">
        <v>231</v>
      </c>
      <c r="B233" s="15">
        <v>13.629980799999998</v>
      </c>
      <c r="C233" s="19">
        <v>13.629980799999998</v>
      </c>
      <c r="D233" s="19"/>
      <c r="E233" s="23">
        <f t="shared" si="6"/>
        <v>1</v>
      </c>
      <c r="F233" s="23">
        <f t="shared" si="7"/>
        <v>0</v>
      </c>
      <c r="G233" s="6"/>
      <c r="H233" s="6"/>
      <c r="I233" s="4"/>
      <c r="J233" s="6"/>
      <c r="K233" s="6" t="s">
        <v>13</v>
      </c>
      <c r="L233" s="21"/>
      <c r="M233" s="6"/>
      <c r="N233" s="6" t="s">
        <v>13</v>
      </c>
      <c r="O233" s="6" t="s">
        <v>13</v>
      </c>
      <c r="P233" s="6" t="s">
        <v>10</v>
      </c>
      <c r="Q233" s="10"/>
      <c r="V233" s="12"/>
      <c r="W233" s="12"/>
    </row>
    <row r="234" spans="1:23" x14ac:dyDescent="0.25">
      <c r="A234" s="1">
        <v>232</v>
      </c>
      <c r="B234" s="15">
        <v>726.60068920999993</v>
      </c>
      <c r="C234" s="19">
        <v>129.05894512</v>
      </c>
      <c r="D234" s="19">
        <v>597.54174408999995</v>
      </c>
      <c r="E234" s="23">
        <f t="shared" si="6"/>
        <v>0.17762017988218531</v>
      </c>
      <c r="F234" s="23">
        <f t="shared" si="7"/>
        <v>0.82237982011781474</v>
      </c>
      <c r="G234" s="6"/>
      <c r="H234" s="6"/>
      <c r="I234" s="4"/>
      <c r="J234" s="6"/>
      <c r="K234" s="6" t="s">
        <v>13</v>
      </c>
      <c r="L234" s="21"/>
      <c r="M234" s="6"/>
      <c r="N234" s="6" t="s">
        <v>13</v>
      </c>
      <c r="O234" s="6" t="s">
        <v>13</v>
      </c>
      <c r="P234" s="6" t="s">
        <v>10</v>
      </c>
      <c r="Q234" s="10"/>
      <c r="V234" s="12"/>
      <c r="W234" s="12"/>
    </row>
    <row r="235" spans="1:23" x14ac:dyDescent="0.25">
      <c r="A235" s="1">
        <v>233</v>
      </c>
      <c r="B235" s="15">
        <v>28.463291269999999</v>
      </c>
      <c r="C235" s="19">
        <v>28.463291269999999</v>
      </c>
      <c r="D235" s="19"/>
      <c r="E235" s="23">
        <f t="shared" si="6"/>
        <v>1</v>
      </c>
      <c r="F235" s="23">
        <f t="shared" si="7"/>
        <v>0</v>
      </c>
      <c r="G235" s="6"/>
      <c r="H235" s="6"/>
      <c r="I235" s="4"/>
      <c r="J235" s="6"/>
      <c r="K235" s="6" t="s">
        <v>13</v>
      </c>
      <c r="L235" s="21"/>
      <c r="M235" s="6"/>
      <c r="N235" s="6" t="s">
        <v>13</v>
      </c>
      <c r="O235" s="6" t="s">
        <v>13</v>
      </c>
      <c r="P235" s="6" t="s">
        <v>10</v>
      </c>
      <c r="Q235" s="10"/>
      <c r="V235" s="12"/>
      <c r="W235" s="12"/>
    </row>
    <row r="236" spans="1:23" x14ac:dyDescent="0.25">
      <c r="A236" s="1">
        <v>234</v>
      </c>
      <c r="B236" s="15">
        <v>495.48063173000003</v>
      </c>
      <c r="C236" s="19">
        <v>372.07245673000006</v>
      </c>
      <c r="D236" s="19">
        <v>123.408175</v>
      </c>
      <c r="E236" s="23">
        <f t="shared" si="6"/>
        <v>0.75093239352441887</v>
      </c>
      <c r="F236" s="23">
        <f t="shared" si="7"/>
        <v>0.24906760647558115</v>
      </c>
      <c r="G236" s="6"/>
      <c r="H236" s="6"/>
      <c r="I236" s="4"/>
      <c r="J236" s="6"/>
      <c r="K236" s="6" t="s">
        <v>13</v>
      </c>
      <c r="L236" s="21"/>
      <c r="M236" s="6"/>
      <c r="N236" s="6" t="s">
        <v>13</v>
      </c>
      <c r="O236" s="6" t="s">
        <v>13</v>
      </c>
      <c r="P236" s="6" t="s">
        <v>10</v>
      </c>
      <c r="Q236" s="10"/>
      <c r="V236" s="12"/>
      <c r="W236" s="12"/>
    </row>
    <row r="237" spans="1:23" x14ac:dyDescent="0.25">
      <c r="A237" s="1">
        <v>235</v>
      </c>
      <c r="B237" s="15">
        <v>4.5377145099999998</v>
      </c>
      <c r="C237" s="19">
        <v>1.6947420500000001</v>
      </c>
      <c r="D237" s="19">
        <v>2.8429724599999999</v>
      </c>
      <c r="E237" s="23">
        <f t="shared" si="6"/>
        <v>0.37347921431928077</v>
      </c>
      <c r="F237" s="23">
        <f t="shared" si="7"/>
        <v>0.62652078568071923</v>
      </c>
      <c r="G237" s="6"/>
      <c r="H237" s="6"/>
      <c r="I237" s="4"/>
      <c r="J237" s="6"/>
      <c r="K237" s="6" t="s">
        <v>13</v>
      </c>
      <c r="L237" s="21"/>
      <c r="M237" s="6"/>
      <c r="N237" s="6" t="s">
        <v>51</v>
      </c>
      <c r="O237" s="6" t="s">
        <v>10</v>
      </c>
      <c r="P237" s="6" t="s">
        <v>10</v>
      </c>
      <c r="Q237" s="10"/>
      <c r="V237" s="12"/>
      <c r="W237" s="12"/>
    </row>
    <row r="238" spans="1:23" x14ac:dyDescent="0.25">
      <c r="A238" s="1">
        <v>236</v>
      </c>
      <c r="B238" s="15">
        <v>127.57570962</v>
      </c>
      <c r="C238" s="19"/>
      <c r="D238" s="19">
        <v>127.57570962</v>
      </c>
      <c r="E238" s="23">
        <f t="shared" si="6"/>
        <v>0</v>
      </c>
      <c r="F238" s="23">
        <f t="shared" si="7"/>
        <v>1</v>
      </c>
      <c r="G238" s="6"/>
      <c r="H238" s="6"/>
      <c r="I238" s="4"/>
      <c r="J238" s="6"/>
      <c r="K238" s="6" t="s">
        <v>13</v>
      </c>
      <c r="L238" s="21"/>
      <c r="M238" s="6"/>
      <c r="N238" s="6" t="s">
        <v>31</v>
      </c>
      <c r="O238" s="6" t="s">
        <v>13</v>
      </c>
      <c r="P238" s="6" t="s">
        <v>10</v>
      </c>
      <c r="Q238" s="10"/>
      <c r="V238" s="12"/>
      <c r="W238" s="12"/>
    </row>
    <row r="239" spans="1:23" x14ac:dyDescent="0.25">
      <c r="A239" s="1">
        <v>237</v>
      </c>
      <c r="B239" s="15">
        <v>12.63075774</v>
      </c>
      <c r="C239" s="19">
        <v>5.1490772499999995</v>
      </c>
      <c r="D239" s="19">
        <v>7.4816804900000005</v>
      </c>
      <c r="E239" s="23">
        <f t="shared" si="6"/>
        <v>0.4076617853015681</v>
      </c>
      <c r="F239" s="23">
        <f t="shared" si="7"/>
        <v>0.59233821469843195</v>
      </c>
      <c r="G239" s="6"/>
      <c r="H239" s="6"/>
      <c r="I239" s="4"/>
      <c r="J239" s="6"/>
      <c r="K239" s="6" t="s">
        <v>13</v>
      </c>
      <c r="L239" s="21"/>
      <c r="M239" s="6"/>
      <c r="N239" s="6" t="s">
        <v>29</v>
      </c>
      <c r="O239" s="6" t="s">
        <v>10</v>
      </c>
      <c r="P239" s="6" t="s">
        <v>10</v>
      </c>
      <c r="Q239" s="10"/>
      <c r="V239" s="12"/>
      <c r="W239" s="12"/>
    </row>
    <row r="240" spans="1:23" x14ac:dyDescent="0.25">
      <c r="A240" s="1">
        <v>238</v>
      </c>
      <c r="B240" s="15">
        <v>116.57856446</v>
      </c>
      <c r="C240" s="19"/>
      <c r="D240" s="19">
        <v>116.57856446</v>
      </c>
      <c r="E240" s="23">
        <f t="shared" si="6"/>
        <v>0</v>
      </c>
      <c r="F240" s="23">
        <f t="shared" si="7"/>
        <v>1</v>
      </c>
      <c r="G240" s="6"/>
      <c r="H240" s="6"/>
      <c r="I240" s="4"/>
      <c r="J240" s="6"/>
      <c r="K240" s="6" t="s">
        <v>13</v>
      </c>
      <c r="L240" s="21"/>
      <c r="M240" s="6"/>
      <c r="N240" s="6" t="s">
        <v>13</v>
      </c>
      <c r="O240" s="6" t="s">
        <v>13</v>
      </c>
      <c r="P240" s="6" t="s">
        <v>10</v>
      </c>
      <c r="Q240" s="10"/>
      <c r="V240" s="12"/>
      <c r="W240" s="12"/>
    </row>
    <row r="241" spans="1:23" x14ac:dyDescent="0.25">
      <c r="A241" s="1">
        <v>239</v>
      </c>
      <c r="B241" s="15">
        <v>111.27877944000001</v>
      </c>
      <c r="C241" s="19"/>
      <c r="D241" s="19">
        <v>111.27877944000001</v>
      </c>
      <c r="E241" s="23">
        <f t="shared" si="6"/>
        <v>0</v>
      </c>
      <c r="F241" s="23">
        <f t="shared" si="7"/>
        <v>1</v>
      </c>
      <c r="G241" s="6"/>
      <c r="H241" s="6"/>
      <c r="I241" s="4"/>
      <c r="J241" s="6"/>
      <c r="K241" s="6" t="s">
        <v>13</v>
      </c>
      <c r="L241" s="21"/>
      <c r="M241" s="6"/>
      <c r="N241" s="6" t="s">
        <v>13</v>
      </c>
      <c r="O241" s="6" t="s">
        <v>13</v>
      </c>
      <c r="P241" s="6" t="s">
        <v>10</v>
      </c>
      <c r="Q241" s="10"/>
      <c r="V241" s="12"/>
      <c r="W241" s="12"/>
    </row>
    <row r="242" spans="1:23" x14ac:dyDescent="0.25">
      <c r="A242" s="1">
        <v>240</v>
      </c>
      <c r="B242" s="15">
        <v>29.096614980000002</v>
      </c>
      <c r="C242" s="19">
        <v>23.39599071</v>
      </c>
      <c r="D242" s="19">
        <v>2.1325378400000004</v>
      </c>
      <c r="E242" s="23">
        <f t="shared" si="6"/>
        <v>0.8040794685595416</v>
      </c>
      <c r="F242" s="23">
        <f t="shared" si="7"/>
        <v>7.3291612837638756E-2</v>
      </c>
      <c r="G242" s="6"/>
      <c r="H242" s="6"/>
      <c r="I242" s="4">
        <v>3.5680864300000001</v>
      </c>
      <c r="J242" s="6" t="s">
        <v>10</v>
      </c>
      <c r="K242" s="6" t="s">
        <v>16</v>
      </c>
      <c r="L242" s="21"/>
      <c r="M242" s="6"/>
      <c r="N242" s="6" t="s">
        <v>33</v>
      </c>
      <c r="O242" s="6" t="s">
        <v>13</v>
      </c>
      <c r="P242" s="6" t="s">
        <v>10</v>
      </c>
      <c r="Q242" s="10"/>
      <c r="V242" s="12"/>
      <c r="W242" s="12"/>
    </row>
    <row r="243" spans="1:23" x14ac:dyDescent="0.25">
      <c r="A243" s="1">
        <v>241</v>
      </c>
      <c r="B243" s="15">
        <v>503.09762620999999</v>
      </c>
      <c r="C243" s="19">
        <v>190.68839921000003</v>
      </c>
      <c r="D243" s="19">
        <v>312.40922699999999</v>
      </c>
      <c r="E243" s="23">
        <f t="shared" si="6"/>
        <v>0.37902862044195779</v>
      </c>
      <c r="F243" s="23">
        <f t="shared" si="7"/>
        <v>0.62097137955804227</v>
      </c>
      <c r="G243" s="6"/>
      <c r="H243" s="6"/>
      <c r="I243" s="4"/>
      <c r="J243" s="6"/>
      <c r="K243" s="6" t="s">
        <v>13</v>
      </c>
      <c r="L243" s="21"/>
      <c r="M243" s="6"/>
      <c r="N243" s="6" t="s">
        <v>33</v>
      </c>
      <c r="O243" s="6" t="s">
        <v>13</v>
      </c>
      <c r="P243" s="6" t="s">
        <v>10</v>
      </c>
      <c r="Q243" s="10"/>
      <c r="V243" s="12"/>
      <c r="W243" s="12"/>
    </row>
    <row r="244" spans="1:23" x14ac:dyDescent="0.25">
      <c r="A244" s="1">
        <v>242</v>
      </c>
      <c r="B244" s="15">
        <v>560.73846634999995</v>
      </c>
      <c r="C244" s="19">
        <v>97.764055849999892</v>
      </c>
      <c r="D244" s="19">
        <v>428.32995300000005</v>
      </c>
      <c r="E244" s="23">
        <f t="shared" si="6"/>
        <v>0.17434875921099702</v>
      </c>
      <c r="F244" s="23">
        <f t="shared" si="7"/>
        <v>0.76386761155894456</v>
      </c>
      <c r="G244" s="6"/>
      <c r="H244" s="6"/>
      <c r="I244" s="4">
        <v>34.644457500000001</v>
      </c>
      <c r="J244" s="6" t="s">
        <v>10</v>
      </c>
      <c r="K244" s="6" t="s">
        <v>16</v>
      </c>
      <c r="L244" s="21"/>
      <c r="M244" s="6"/>
      <c r="N244" s="6" t="s">
        <v>29</v>
      </c>
      <c r="O244" s="6" t="s">
        <v>10</v>
      </c>
      <c r="P244" s="6" t="s">
        <v>10</v>
      </c>
      <c r="Q244" s="10"/>
      <c r="V244" s="12"/>
      <c r="W244" s="12"/>
    </row>
    <row r="245" spans="1:23" x14ac:dyDescent="0.25">
      <c r="A245" s="1">
        <v>243</v>
      </c>
      <c r="B245" s="15">
        <v>90.145094960000009</v>
      </c>
      <c r="C245" s="19">
        <v>46.131397990000004</v>
      </c>
      <c r="D245" s="19">
        <v>44.013696970000005</v>
      </c>
      <c r="E245" s="23">
        <f t="shared" si="6"/>
        <v>0.51174606905089892</v>
      </c>
      <c r="F245" s="23">
        <f t="shared" si="7"/>
        <v>0.48825393094910108</v>
      </c>
      <c r="G245" s="6"/>
      <c r="H245" s="6"/>
      <c r="I245" s="4"/>
      <c r="J245" s="6"/>
      <c r="K245" s="6" t="s">
        <v>13</v>
      </c>
      <c r="L245" s="21"/>
      <c r="M245" s="6"/>
      <c r="N245" s="6" t="s">
        <v>37</v>
      </c>
      <c r="O245" s="6" t="s">
        <v>10</v>
      </c>
      <c r="P245" s="6" t="s">
        <v>10</v>
      </c>
      <c r="Q245" s="10"/>
      <c r="V245" s="12"/>
      <c r="W245" s="12"/>
    </row>
    <row r="246" spans="1:23" x14ac:dyDescent="0.25">
      <c r="A246" s="1">
        <v>244</v>
      </c>
      <c r="B246" s="15">
        <v>50.458371120000002</v>
      </c>
      <c r="C246" s="19">
        <v>50.458371120000002</v>
      </c>
      <c r="D246" s="19"/>
      <c r="E246" s="23">
        <f t="shared" si="6"/>
        <v>1</v>
      </c>
      <c r="F246" s="23">
        <f t="shared" si="7"/>
        <v>0</v>
      </c>
      <c r="G246" s="6"/>
      <c r="H246" s="6"/>
      <c r="I246" s="4"/>
      <c r="J246" s="6"/>
      <c r="K246" s="6" t="s">
        <v>13</v>
      </c>
      <c r="L246" s="21"/>
      <c r="M246" s="6"/>
      <c r="N246" s="6" t="s">
        <v>52</v>
      </c>
      <c r="O246" s="6" t="s">
        <v>13</v>
      </c>
      <c r="P246" s="6" t="s">
        <v>10</v>
      </c>
      <c r="Q246" s="10"/>
      <c r="V246" s="12"/>
      <c r="W246" s="12"/>
    </row>
    <row r="247" spans="1:23" x14ac:dyDescent="0.25">
      <c r="A247" s="1">
        <v>245</v>
      </c>
      <c r="B247" s="15">
        <v>218.55612688000002</v>
      </c>
      <c r="C247" s="19">
        <v>193.06977188000002</v>
      </c>
      <c r="D247" s="19">
        <v>25.486355</v>
      </c>
      <c r="E247" s="23">
        <f t="shared" si="6"/>
        <v>0.88338759766733288</v>
      </c>
      <c r="F247" s="23">
        <f t="shared" si="7"/>
        <v>0.11661240233266709</v>
      </c>
      <c r="G247" s="6"/>
      <c r="H247" s="6"/>
      <c r="I247" s="4"/>
      <c r="J247" s="6"/>
      <c r="K247" s="6" t="s">
        <v>13</v>
      </c>
      <c r="L247" s="21"/>
      <c r="M247" s="6"/>
      <c r="N247" s="6" t="s">
        <v>13</v>
      </c>
      <c r="O247" s="6" t="s">
        <v>13</v>
      </c>
      <c r="P247" s="6" t="s">
        <v>10</v>
      </c>
      <c r="Q247" s="10"/>
      <c r="V247" s="12"/>
      <c r="W247" s="12"/>
    </row>
    <row r="248" spans="1:23" x14ac:dyDescent="0.25">
      <c r="A248" s="1">
        <v>246</v>
      </c>
      <c r="B248" s="15">
        <v>34.837500150000004</v>
      </c>
      <c r="C248" s="19">
        <v>25.486355020000001</v>
      </c>
      <c r="D248" s="19">
        <v>9.3511451300000008</v>
      </c>
      <c r="E248" s="23">
        <f t="shared" si="6"/>
        <v>0.7315781818518341</v>
      </c>
      <c r="F248" s="23">
        <f t="shared" si="7"/>
        <v>0.26842181814816585</v>
      </c>
      <c r="G248" s="6"/>
      <c r="H248" s="6"/>
      <c r="I248" s="4"/>
      <c r="J248" s="6"/>
      <c r="K248" s="6" t="s">
        <v>13</v>
      </c>
      <c r="L248" s="21"/>
      <c r="M248" s="6"/>
      <c r="N248" s="6" t="s">
        <v>13</v>
      </c>
      <c r="O248" s="6" t="s">
        <v>13</v>
      </c>
      <c r="P248" s="6" t="s">
        <v>10</v>
      </c>
      <c r="Q248" s="10"/>
      <c r="V248" s="12"/>
      <c r="W248" s="12"/>
    </row>
    <row r="249" spans="1:23" x14ac:dyDescent="0.25">
      <c r="A249" s="1">
        <v>247</v>
      </c>
      <c r="B249" s="15">
        <v>32.403851099999997</v>
      </c>
      <c r="C249" s="19">
        <v>15.810759750000003</v>
      </c>
      <c r="D249" s="19">
        <v>16.593091349999998</v>
      </c>
      <c r="E249" s="23">
        <f t="shared" si="6"/>
        <v>0.48792841632333028</v>
      </c>
      <c r="F249" s="23">
        <f t="shared" si="7"/>
        <v>0.51207158367666983</v>
      </c>
      <c r="G249" s="6"/>
      <c r="H249" s="6"/>
      <c r="I249" s="4"/>
      <c r="J249" s="6"/>
      <c r="K249" s="6" t="s">
        <v>13</v>
      </c>
      <c r="L249" s="21"/>
      <c r="M249" s="6"/>
      <c r="N249" s="6" t="s">
        <v>34</v>
      </c>
      <c r="O249" s="6" t="s">
        <v>13</v>
      </c>
      <c r="P249" s="6" t="s">
        <v>10</v>
      </c>
      <c r="Q249" s="10"/>
      <c r="V249" s="12"/>
      <c r="W249" s="12"/>
    </row>
    <row r="250" spans="1:23" x14ac:dyDescent="0.25">
      <c r="A250" s="1">
        <v>248</v>
      </c>
      <c r="B250" s="15">
        <v>31.739347889999998</v>
      </c>
      <c r="C250" s="19"/>
      <c r="D250" s="19">
        <v>31.739347889999998</v>
      </c>
      <c r="E250" s="23">
        <f t="shared" si="6"/>
        <v>0</v>
      </c>
      <c r="F250" s="23">
        <f t="shared" si="7"/>
        <v>1</v>
      </c>
      <c r="G250" s="6"/>
      <c r="H250" s="6"/>
      <c r="I250" s="4"/>
      <c r="J250" s="6"/>
      <c r="K250" s="6" t="s">
        <v>13</v>
      </c>
      <c r="L250" s="21"/>
      <c r="M250" s="6"/>
      <c r="N250" s="6" t="s">
        <v>13</v>
      </c>
      <c r="O250" s="6" t="s">
        <v>13</v>
      </c>
      <c r="P250" s="6" t="s">
        <v>10</v>
      </c>
      <c r="Q250" s="10"/>
      <c r="V250" s="12"/>
      <c r="W250" s="12"/>
    </row>
    <row r="251" spans="1:23" x14ac:dyDescent="0.25">
      <c r="A251" s="1">
        <v>249</v>
      </c>
      <c r="B251" s="15">
        <v>30.83728052</v>
      </c>
      <c r="C251" s="19"/>
      <c r="D251" s="19">
        <v>30.83728052</v>
      </c>
      <c r="E251" s="23">
        <f t="shared" si="6"/>
        <v>0</v>
      </c>
      <c r="F251" s="23">
        <f t="shared" si="7"/>
        <v>1</v>
      </c>
      <c r="G251" s="6"/>
      <c r="H251" s="6"/>
      <c r="I251" s="4"/>
      <c r="J251" s="6"/>
      <c r="K251" s="6" t="s">
        <v>13</v>
      </c>
      <c r="L251" s="21"/>
      <c r="M251" s="6"/>
      <c r="N251" s="6" t="s">
        <v>13</v>
      </c>
      <c r="O251" s="6" t="s">
        <v>13</v>
      </c>
      <c r="P251" s="6" t="s">
        <v>10</v>
      </c>
      <c r="Q251" s="10"/>
      <c r="V251" s="12"/>
      <c r="W251" s="12"/>
    </row>
    <row r="252" spans="1:23" x14ac:dyDescent="0.25">
      <c r="A252" s="1">
        <v>250</v>
      </c>
      <c r="B252" s="15">
        <v>32.153673090000005</v>
      </c>
      <c r="C252" s="19"/>
      <c r="D252" s="19">
        <v>32.153673090000005</v>
      </c>
      <c r="E252" s="23">
        <f t="shared" si="6"/>
        <v>0</v>
      </c>
      <c r="F252" s="23">
        <f t="shared" si="7"/>
        <v>1</v>
      </c>
      <c r="G252" s="6"/>
      <c r="H252" s="6"/>
      <c r="I252" s="4"/>
      <c r="J252" s="6"/>
      <c r="K252" s="6" t="s">
        <v>13</v>
      </c>
      <c r="L252" s="21"/>
      <c r="M252" s="6"/>
      <c r="N252" s="6" t="s">
        <v>13</v>
      </c>
      <c r="O252" s="6" t="s">
        <v>13</v>
      </c>
      <c r="P252" s="6" t="s">
        <v>10</v>
      </c>
      <c r="Q252" s="10"/>
      <c r="V252" s="12"/>
      <c r="W252" s="12"/>
    </row>
    <row r="253" spans="1:23" x14ac:dyDescent="0.25">
      <c r="A253" s="1">
        <v>251</v>
      </c>
      <c r="B253" s="15">
        <v>220.26878588999998</v>
      </c>
      <c r="C253" s="19">
        <v>37.65975313000007</v>
      </c>
      <c r="D253" s="19">
        <v>60.046455879999996</v>
      </c>
      <c r="E253" s="23">
        <f t="shared" si="6"/>
        <v>0.17097181054426375</v>
      </c>
      <c r="F253" s="23">
        <f t="shared" si="7"/>
        <v>0.27260537909346172</v>
      </c>
      <c r="G253" s="6"/>
      <c r="H253" s="6"/>
      <c r="I253" s="4">
        <v>122.56257687999999</v>
      </c>
      <c r="J253" s="6" t="s">
        <v>10</v>
      </c>
      <c r="K253" s="6" t="s">
        <v>16</v>
      </c>
      <c r="L253" s="21"/>
      <c r="M253" s="6"/>
      <c r="N253" s="6" t="s">
        <v>34</v>
      </c>
      <c r="O253" s="6" t="s">
        <v>13</v>
      </c>
      <c r="P253" s="6" t="s">
        <v>10</v>
      </c>
      <c r="Q253" s="10"/>
      <c r="V253" s="12"/>
      <c r="W253" s="12"/>
    </row>
    <row r="254" spans="1:23" x14ac:dyDescent="0.25">
      <c r="A254" s="1">
        <v>252</v>
      </c>
      <c r="B254" s="15">
        <v>540.00175540999999</v>
      </c>
      <c r="C254" s="19">
        <v>262.40893740999996</v>
      </c>
      <c r="D254" s="19">
        <v>277.59281800000002</v>
      </c>
      <c r="E254" s="23">
        <f t="shared" si="6"/>
        <v>0.48594089700831472</v>
      </c>
      <c r="F254" s="23">
        <f t="shared" si="7"/>
        <v>0.51405910299168522</v>
      </c>
      <c r="G254" s="6"/>
      <c r="H254" s="6"/>
      <c r="I254" s="4"/>
      <c r="J254" s="6"/>
      <c r="K254" s="6" t="s">
        <v>13</v>
      </c>
      <c r="L254" s="21"/>
      <c r="M254" s="6"/>
      <c r="N254" s="6" t="s">
        <v>13</v>
      </c>
      <c r="O254" s="6" t="s">
        <v>13</v>
      </c>
      <c r="P254" s="6" t="s">
        <v>10</v>
      </c>
      <c r="Q254" s="10"/>
      <c r="V254" s="12"/>
      <c r="W254" s="12"/>
    </row>
    <row r="255" spans="1:23" x14ac:dyDescent="0.25">
      <c r="A255" s="1">
        <v>253</v>
      </c>
      <c r="B255" s="15">
        <v>239.97695827999999</v>
      </c>
      <c r="C255" s="19">
        <v>187.10474911</v>
      </c>
      <c r="D255" s="19">
        <v>52.872209169999998</v>
      </c>
      <c r="E255" s="23">
        <f t="shared" si="6"/>
        <v>0.77967797596505151</v>
      </c>
      <c r="F255" s="23">
        <f t="shared" si="7"/>
        <v>0.22032202403494852</v>
      </c>
      <c r="G255" s="6"/>
      <c r="H255" s="6"/>
      <c r="I255" s="4"/>
      <c r="J255" s="6"/>
      <c r="K255" s="6" t="s">
        <v>13</v>
      </c>
      <c r="L255" s="21"/>
      <c r="M255" s="6"/>
      <c r="N255" s="6" t="s">
        <v>32</v>
      </c>
      <c r="O255" s="6" t="s">
        <v>10</v>
      </c>
      <c r="P255" s="6" t="s">
        <v>10</v>
      </c>
      <c r="Q255" s="10"/>
      <c r="V255" s="12"/>
      <c r="W255" s="12"/>
    </row>
    <row r="256" spans="1:23" x14ac:dyDescent="0.25">
      <c r="A256" s="1">
        <v>254</v>
      </c>
      <c r="B256" s="15">
        <v>153.44418966000001</v>
      </c>
      <c r="C256" s="19">
        <v>34.06500018000002</v>
      </c>
      <c r="D256" s="19">
        <v>119.37918947999999</v>
      </c>
      <c r="E256" s="23">
        <f t="shared" si="6"/>
        <v>0.22200254213262088</v>
      </c>
      <c r="F256" s="23">
        <f t="shared" si="7"/>
        <v>0.77799745786737917</v>
      </c>
      <c r="G256" s="6"/>
      <c r="H256" s="6"/>
      <c r="I256" s="4"/>
      <c r="J256" s="6"/>
      <c r="K256" s="6" t="s">
        <v>13</v>
      </c>
      <c r="L256" s="21"/>
      <c r="M256" s="6"/>
      <c r="N256" s="6" t="s">
        <v>13</v>
      </c>
      <c r="O256" s="6" t="s">
        <v>13</v>
      </c>
      <c r="P256" s="6" t="s">
        <v>10</v>
      </c>
      <c r="Q256" s="10"/>
      <c r="V256" s="12"/>
      <c r="W256" s="12"/>
    </row>
    <row r="257" spans="1:23" x14ac:dyDescent="0.25">
      <c r="A257" s="1">
        <v>255</v>
      </c>
      <c r="B257" s="15">
        <v>85.571177229999989</v>
      </c>
      <c r="C257" s="19">
        <v>80.839056049999982</v>
      </c>
      <c r="D257" s="19">
        <v>4.73212118</v>
      </c>
      <c r="E257" s="23">
        <f t="shared" si="6"/>
        <v>0.94469959005845028</v>
      </c>
      <c r="F257" s="23">
        <f t="shared" si="7"/>
        <v>5.5300409941549666E-2</v>
      </c>
      <c r="G257" s="6"/>
      <c r="H257" s="6"/>
      <c r="I257" s="4"/>
      <c r="J257" s="6"/>
      <c r="K257" s="6" t="s">
        <v>13</v>
      </c>
      <c r="L257" s="21"/>
      <c r="M257" s="6"/>
      <c r="N257" s="6" t="s">
        <v>13</v>
      </c>
      <c r="O257" s="6" t="s">
        <v>13</v>
      </c>
      <c r="P257" s="6" t="s">
        <v>10</v>
      </c>
      <c r="Q257" s="10"/>
      <c r="V257" s="12"/>
      <c r="W257" s="12"/>
    </row>
    <row r="258" spans="1:23" x14ac:dyDescent="0.25">
      <c r="A258" s="1">
        <v>256</v>
      </c>
      <c r="B258" s="15">
        <v>82.717112999999998</v>
      </c>
      <c r="C258" s="19">
        <v>82.717112999999998</v>
      </c>
      <c r="D258" s="19"/>
      <c r="E258" s="23">
        <f t="shared" si="6"/>
        <v>1</v>
      </c>
      <c r="F258" s="23">
        <f t="shared" si="7"/>
        <v>0</v>
      </c>
      <c r="G258" s="6"/>
      <c r="H258" s="6"/>
      <c r="I258" s="4"/>
      <c r="J258" s="6"/>
      <c r="K258" s="6" t="s">
        <v>13</v>
      </c>
      <c r="L258" s="21"/>
      <c r="M258" s="6"/>
      <c r="N258" s="6" t="s">
        <v>13</v>
      </c>
      <c r="O258" s="6" t="s">
        <v>13</v>
      </c>
      <c r="P258" s="6" t="s">
        <v>10</v>
      </c>
      <c r="Q258" s="10"/>
      <c r="V258" s="12"/>
      <c r="W258" s="12"/>
    </row>
    <row r="259" spans="1:23" x14ac:dyDescent="0.25">
      <c r="A259" s="1">
        <v>257</v>
      </c>
      <c r="B259" s="15">
        <v>88.247135380000003</v>
      </c>
      <c r="C259" s="19">
        <v>88.247135380000003</v>
      </c>
      <c r="D259" s="19"/>
      <c r="E259" s="23">
        <f t="shared" ref="E259:E282" si="8">C259/B259</f>
        <v>1</v>
      </c>
      <c r="F259" s="23">
        <f t="shared" ref="F259:F282" si="9">D259/B259</f>
        <v>0</v>
      </c>
      <c r="G259" s="6"/>
      <c r="H259" s="6"/>
      <c r="I259" s="4"/>
      <c r="J259" s="6"/>
      <c r="K259" s="6" t="s">
        <v>13</v>
      </c>
      <c r="L259" s="21"/>
      <c r="M259" s="6"/>
      <c r="N259" s="6" t="s">
        <v>53</v>
      </c>
      <c r="O259" s="6" t="s">
        <v>10</v>
      </c>
      <c r="P259" s="6" t="s">
        <v>10</v>
      </c>
      <c r="Q259" s="10"/>
      <c r="V259" s="12"/>
      <c r="W259" s="12"/>
    </row>
    <row r="260" spans="1:23" x14ac:dyDescent="0.25">
      <c r="A260" s="1">
        <v>258</v>
      </c>
      <c r="B260" s="15">
        <v>91.672970620000001</v>
      </c>
      <c r="C260" s="19">
        <v>35.938831210000004</v>
      </c>
      <c r="D260" s="19">
        <v>49.127149029999998</v>
      </c>
      <c r="E260" s="23">
        <f t="shared" si="8"/>
        <v>0.39203301656900102</v>
      </c>
      <c r="F260" s="23">
        <f t="shared" si="9"/>
        <v>0.53589568111237884</v>
      </c>
      <c r="G260" s="6"/>
      <c r="H260" s="6"/>
      <c r="I260" s="4">
        <v>6.6069903800000001</v>
      </c>
      <c r="J260" s="6" t="s">
        <v>10</v>
      </c>
      <c r="K260" s="6" t="s">
        <v>16</v>
      </c>
      <c r="L260" s="21"/>
      <c r="M260" s="6"/>
      <c r="N260" s="6" t="s">
        <v>29</v>
      </c>
      <c r="O260" s="6" t="s">
        <v>10</v>
      </c>
      <c r="P260" s="6" t="s">
        <v>10</v>
      </c>
      <c r="Q260" s="10"/>
      <c r="V260" s="12"/>
      <c r="W260" s="12"/>
    </row>
    <row r="261" spans="1:23" x14ac:dyDescent="0.25">
      <c r="A261" s="1">
        <v>259</v>
      </c>
      <c r="B261" s="15">
        <v>32.373532109999999</v>
      </c>
      <c r="C261" s="19">
        <v>13.307794719999999</v>
      </c>
      <c r="D261" s="19">
        <v>19.065737389999999</v>
      </c>
      <c r="E261" s="23">
        <f t="shared" si="8"/>
        <v>0.41107021238159236</v>
      </c>
      <c r="F261" s="23">
        <f t="shared" si="9"/>
        <v>0.58892978761840764</v>
      </c>
      <c r="G261" s="6"/>
      <c r="H261" s="6"/>
      <c r="I261" s="4"/>
      <c r="J261" s="6"/>
      <c r="K261" s="6" t="s">
        <v>13</v>
      </c>
      <c r="L261" s="21"/>
      <c r="M261" s="6"/>
      <c r="N261" s="6" t="s">
        <v>31</v>
      </c>
      <c r="O261" s="6" t="s">
        <v>13</v>
      </c>
      <c r="P261" s="6" t="s">
        <v>10</v>
      </c>
      <c r="Q261" s="10"/>
      <c r="V261" s="12"/>
      <c r="W261" s="12"/>
    </row>
    <row r="262" spans="1:23" x14ac:dyDescent="0.25">
      <c r="A262" s="1">
        <v>260</v>
      </c>
      <c r="B262" s="15">
        <v>9.4614896099999992</v>
      </c>
      <c r="C262" s="19">
        <v>3.3313940000000004</v>
      </c>
      <c r="D262" s="19">
        <v>6.1300956100000006</v>
      </c>
      <c r="E262" s="23">
        <f t="shared" si="8"/>
        <v>0.35210037079985768</v>
      </c>
      <c r="F262" s="23">
        <f t="shared" si="9"/>
        <v>0.64789962920014255</v>
      </c>
      <c r="G262" s="6"/>
      <c r="H262" s="6"/>
      <c r="I262" s="4"/>
      <c r="J262" s="6"/>
      <c r="K262" s="6" t="s">
        <v>13</v>
      </c>
      <c r="L262" s="21"/>
      <c r="M262" s="6"/>
      <c r="N262" s="6" t="s">
        <v>31</v>
      </c>
      <c r="O262" s="6" t="s">
        <v>13</v>
      </c>
      <c r="P262" s="6" t="s">
        <v>10</v>
      </c>
      <c r="Q262" s="10"/>
      <c r="V262" s="12"/>
      <c r="W262" s="12"/>
    </row>
    <row r="263" spans="1:23" x14ac:dyDescent="0.25">
      <c r="A263" s="1">
        <v>261</v>
      </c>
      <c r="B263" s="15">
        <v>21.163458540000001</v>
      </c>
      <c r="C263" s="19">
        <v>7.24826865</v>
      </c>
      <c r="D263" s="19">
        <v>9.2506021500000006</v>
      </c>
      <c r="E263" s="23">
        <f t="shared" si="8"/>
        <v>0.34248979845616478</v>
      </c>
      <c r="F263" s="23">
        <f t="shared" si="9"/>
        <v>0.43710257151570464</v>
      </c>
      <c r="G263" s="6"/>
      <c r="H263" s="6"/>
      <c r="I263" s="4">
        <v>4.66458774</v>
      </c>
      <c r="J263" s="6" t="s">
        <v>10</v>
      </c>
      <c r="K263" s="6" t="s">
        <v>22</v>
      </c>
      <c r="L263" s="21"/>
      <c r="M263" s="6"/>
      <c r="N263" s="6" t="s">
        <v>32</v>
      </c>
      <c r="O263" s="6" t="s">
        <v>10</v>
      </c>
      <c r="P263" s="6" t="s">
        <v>10</v>
      </c>
      <c r="Q263" s="10"/>
      <c r="V263" s="12"/>
      <c r="W263" s="12"/>
    </row>
    <row r="264" spans="1:23" x14ac:dyDescent="0.25">
      <c r="A264" s="1">
        <v>262</v>
      </c>
      <c r="B264" s="15">
        <v>645.71525587999997</v>
      </c>
      <c r="C264" s="19">
        <v>172.78121916000001</v>
      </c>
      <c r="D264" s="19">
        <v>472.93403671999999</v>
      </c>
      <c r="E264" s="23">
        <f t="shared" si="8"/>
        <v>0.26758113206498213</v>
      </c>
      <c r="F264" s="23">
        <f t="shared" si="9"/>
        <v>0.73241886793501787</v>
      </c>
      <c r="G264" s="6"/>
      <c r="H264" s="6"/>
      <c r="I264" s="4"/>
      <c r="J264" s="6"/>
      <c r="K264" s="6" t="s">
        <v>13</v>
      </c>
      <c r="L264" s="21"/>
      <c r="M264" s="6"/>
      <c r="N264" s="6" t="s">
        <v>29</v>
      </c>
      <c r="O264" s="6" t="s">
        <v>10</v>
      </c>
      <c r="P264" s="6" t="s">
        <v>10</v>
      </c>
      <c r="Q264" s="10"/>
      <c r="V264" s="12"/>
      <c r="W264" s="12"/>
    </row>
    <row r="265" spans="1:23" x14ac:dyDescent="0.25">
      <c r="A265" s="1">
        <v>263</v>
      </c>
      <c r="B265" s="15">
        <v>226.80635005000002</v>
      </c>
      <c r="C265" s="19">
        <v>226.80635005000002</v>
      </c>
      <c r="D265" s="19"/>
      <c r="E265" s="23">
        <f t="shared" si="8"/>
        <v>1</v>
      </c>
      <c r="F265" s="23">
        <f t="shared" si="9"/>
        <v>0</v>
      </c>
      <c r="G265" s="6"/>
      <c r="H265" s="6"/>
      <c r="I265" s="4"/>
      <c r="J265" s="6"/>
      <c r="K265" s="6" t="s">
        <v>13</v>
      </c>
      <c r="L265" s="21">
        <v>612</v>
      </c>
      <c r="M265" s="6" t="s">
        <v>10</v>
      </c>
      <c r="N265" s="6" t="s">
        <v>37</v>
      </c>
      <c r="O265" s="6" t="s">
        <v>10</v>
      </c>
      <c r="P265" s="6" t="s">
        <v>10</v>
      </c>
      <c r="Q265" s="10"/>
      <c r="V265" s="12"/>
      <c r="W265" s="12"/>
    </row>
    <row r="266" spans="1:23" x14ac:dyDescent="0.25">
      <c r="A266" s="1">
        <v>264</v>
      </c>
      <c r="B266" s="15">
        <v>57.737666059999995</v>
      </c>
      <c r="C266" s="19">
        <v>57.737666059999995</v>
      </c>
      <c r="D266" s="19"/>
      <c r="E266" s="23">
        <f t="shared" si="8"/>
        <v>1</v>
      </c>
      <c r="F266" s="23">
        <f t="shared" si="9"/>
        <v>0</v>
      </c>
      <c r="G266" s="6"/>
      <c r="H266" s="6"/>
      <c r="I266" s="4"/>
      <c r="J266" s="6"/>
      <c r="K266" s="6" t="s">
        <v>13</v>
      </c>
      <c r="L266" s="21"/>
      <c r="M266" s="6"/>
      <c r="N266" s="6" t="s">
        <v>13</v>
      </c>
      <c r="O266" s="6" t="s">
        <v>13</v>
      </c>
      <c r="P266" s="6" t="s">
        <v>10</v>
      </c>
      <c r="Q266" s="10"/>
      <c r="V266" s="12"/>
      <c r="W266" s="12"/>
    </row>
    <row r="267" spans="1:23" x14ac:dyDescent="0.25">
      <c r="A267" s="1">
        <v>265</v>
      </c>
      <c r="B267" s="15">
        <v>30.465656040000002</v>
      </c>
      <c r="C267" s="19">
        <v>27.953620390000001</v>
      </c>
      <c r="D267" s="19">
        <v>2.5120356500000001</v>
      </c>
      <c r="E267" s="23">
        <f t="shared" si="8"/>
        <v>0.91754532885483198</v>
      </c>
      <c r="F267" s="23">
        <f t="shared" si="9"/>
        <v>8.2454671145167954E-2</v>
      </c>
      <c r="G267" s="6"/>
      <c r="H267" s="6"/>
      <c r="I267" s="4"/>
      <c r="J267" s="6"/>
      <c r="K267" s="6" t="s">
        <v>13</v>
      </c>
      <c r="L267" s="21"/>
      <c r="M267" s="6"/>
      <c r="N267" s="6" t="s">
        <v>29</v>
      </c>
      <c r="O267" s="6" t="s">
        <v>10</v>
      </c>
      <c r="P267" s="6" t="s">
        <v>10</v>
      </c>
      <c r="Q267" s="10"/>
      <c r="V267" s="12"/>
      <c r="W267" s="12"/>
    </row>
    <row r="268" spans="1:23" x14ac:dyDescent="0.25">
      <c r="A268" s="1">
        <v>266</v>
      </c>
      <c r="B268" s="15">
        <v>36.009897629999998</v>
      </c>
      <c r="C268" s="19">
        <v>22.865914409999995</v>
      </c>
      <c r="D268" s="19">
        <v>13.143983220000001</v>
      </c>
      <c r="E268" s="23">
        <f t="shared" si="8"/>
        <v>0.63498970880023564</v>
      </c>
      <c r="F268" s="23">
        <f t="shared" si="9"/>
        <v>0.3650102911997643</v>
      </c>
      <c r="G268" s="6"/>
      <c r="H268" s="6"/>
      <c r="I268" s="4"/>
      <c r="J268" s="6"/>
      <c r="K268" s="6" t="s">
        <v>13</v>
      </c>
      <c r="L268" s="21"/>
      <c r="M268" s="6"/>
      <c r="N268" s="6" t="s">
        <v>34</v>
      </c>
      <c r="O268" s="6" t="s">
        <v>13</v>
      </c>
      <c r="P268" s="6" t="s">
        <v>10</v>
      </c>
      <c r="Q268" s="10"/>
      <c r="V268" s="12"/>
      <c r="W268" s="12"/>
    </row>
    <row r="269" spans="1:23" x14ac:dyDescent="0.25">
      <c r="A269" s="1">
        <v>267</v>
      </c>
      <c r="B269" s="15">
        <v>75.001595429999995</v>
      </c>
      <c r="C269" s="19">
        <v>16.472165159999996</v>
      </c>
      <c r="D269" s="19">
        <v>58.529430269999999</v>
      </c>
      <c r="E269" s="23">
        <f t="shared" si="8"/>
        <v>0.21962419686623455</v>
      </c>
      <c r="F269" s="23">
        <f t="shared" si="9"/>
        <v>0.78037580313376542</v>
      </c>
      <c r="G269" s="6"/>
      <c r="H269" s="6"/>
      <c r="I269" s="4"/>
      <c r="J269" s="6"/>
      <c r="K269" s="6" t="s">
        <v>13</v>
      </c>
      <c r="L269" s="21"/>
      <c r="M269" s="6"/>
      <c r="N269" s="6" t="s">
        <v>13</v>
      </c>
      <c r="O269" s="6" t="s">
        <v>13</v>
      </c>
      <c r="P269" s="6" t="s">
        <v>10</v>
      </c>
      <c r="Q269" s="10"/>
      <c r="V269" s="12"/>
      <c r="W269" s="12"/>
    </row>
    <row r="270" spans="1:23" x14ac:dyDescent="0.25">
      <c r="A270" s="1">
        <v>268</v>
      </c>
      <c r="B270" s="15">
        <v>74.611651960000003</v>
      </c>
      <c r="C270" s="19">
        <v>22.055235999999997</v>
      </c>
      <c r="D270" s="19">
        <v>52.556415960000002</v>
      </c>
      <c r="E270" s="23">
        <f t="shared" si="8"/>
        <v>0.29560042460692348</v>
      </c>
      <c r="F270" s="23">
        <f t="shared" si="9"/>
        <v>0.7043995753930764</v>
      </c>
      <c r="G270" s="6"/>
      <c r="H270" s="6"/>
      <c r="I270" s="4"/>
      <c r="J270" s="6"/>
      <c r="K270" s="6" t="s">
        <v>13</v>
      </c>
      <c r="L270" s="21"/>
      <c r="M270" s="6"/>
      <c r="N270" s="6" t="s">
        <v>13</v>
      </c>
      <c r="O270" s="6" t="s">
        <v>13</v>
      </c>
      <c r="P270" s="6" t="s">
        <v>10</v>
      </c>
      <c r="Q270" s="10"/>
      <c r="V270" s="12"/>
      <c r="W270" s="12"/>
    </row>
    <row r="271" spans="1:23" x14ac:dyDescent="0.25">
      <c r="A271" s="1">
        <v>269</v>
      </c>
      <c r="B271" s="15">
        <v>62.012297010000005</v>
      </c>
      <c r="C271" s="19">
        <v>15.472580750000006</v>
      </c>
      <c r="D271" s="19">
        <v>31.573605650000001</v>
      </c>
      <c r="E271" s="23">
        <f t="shared" si="8"/>
        <v>0.24950826684431512</v>
      </c>
      <c r="F271" s="23">
        <f t="shared" si="9"/>
        <v>0.50915071965336955</v>
      </c>
      <c r="G271" s="6"/>
      <c r="H271" s="6"/>
      <c r="I271" s="4">
        <v>14.966110610000001</v>
      </c>
      <c r="J271" s="6" t="s">
        <v>10</v>
      </c>
      <c r="K271" s="6" t="s">
        <v>16</v>
      </c>
      <c r="L271" s="21"/>
      <c r="M271" s="6"/>
      <c r="N271" s="6" t="s">
        <v>32</v>
      </c>
      <c r="O271" s="6" t="s">
        <v>10</v>
      </c>
      <c r="P271" s="6" t="s">
        <v>10</v>
      </c>
      <c r="Q271" s="10"/>
      <c r="V271" s="12"/>
      <c r="W271" s="12"/>
    </row>
    <row r="272" spans="1:23" x14ac:dyDescent="0.25">
      <c r="A272" s="1">
        <v>270</v>
      </c>
      <c r="B272" s="15">
        <v>30.1857623</v>
      </c>
      <c r="C272" s="19">
        <v>3.8768710999999993</v>
      </c>
      <c r="D272" s="19">
        <v>26.308891200000001</v>
      </c>
      <c r="E272" s="23">
        <f t="shared" si="8"/>
        <v>0.12843376494752293</v>
      </c>
      <c r="F272" s="23">
        <f t="shared" si="9"/>
        <v>0.8715662350524771</v>
      </c>
      <c r="G272" s="6"/>
      <c r="H272" s="6"/>
      <c r="I272" s="4"/>
      <c r="J272" s="6"/>
      <c r="K272" s="6" t="s">
        <v>13</v>
      </c>
      <c r="L272" s="21"/>
      <c r="M272" s="6"/>
      <c r="N272" s="6" t="s">
        <v>13</v>
      </c>
      <c r="O272" s="6" t="s">
        <v>13</v>
      </c>
      <c r="P272" s="6" t="s">
        <v>10</v>
      </c>
      <c r="Q272" s="10"/>
      <c r="V272" s="12"/>
      <c r="W272" s="12"/>
    </row>
    <row r="273" spans="1:23" x14ac:dyDescent="0.25">
      <c r="A273" s="1">
        <v>271</v>
      </c>
      <c r="B273" s="15">
        <v>29.881389429999999</v>
      </c>
      <c r="C273" s="19">
        <v>26.732670580000001</v>
      </c>
      <c r="D273" s="19">
        <v>3.1487188499999998</v>
      </c>
      <c r="E273" s="23">
        <f t="shared" si="8"/>
        <v>0.89462608968113178</v>
      </c>
      <c r="F273" s="23">
        <f t="shared" si="9"/>
        <v>0.10537391031886832</v>
      </c>
      <c r="G273" s="6"/>
      <c r="H273" s="6"/>
      <c r="I273" s="4"/>
      <c r="J273" s="6"/>
      <c r="K273" s="6" t="s">
        <v>13</v>
      </c>
      <c r="L273" s="21"/>
      <c r="M273" s="6"/>
      <c r="N273" s="6" t="s">
        <v>53</v>
      </c>
      <c r="O273" s="6" t="s">
        <v>10</v>
      </c>
      <c r="P273" s="6" t="s">
        <v>10</v>
      </c>
      <c r="Q273" s="10"/>
      <c r="V273" s="12"/>
      <c r="W273" s="12"/>
    </row>
    <row r="274" spans="1:23" x14ac:dyDescent="0.25">
      <c r="A274" s="1">
        <v>272</v>
      </c>
      <c r="B274" s="15">
        <v>30.426551319999998</v>
      </c>
      <c r="C274" s="19">
        <v>24.114605789999999</v>
      </c>
      <c r="D274" s="19">
        <v>6.31194553</v>
      </c>
      <c r="E274" s="23">
        <f t="shared" si="8"/>
        <v>0.79255139816483156</v>
      </c>
      <c r="F274" s="23">
        <f t="shared" si="9"/>
        <v>0.2074486018351685</v>
      </c>
      <c r="G274" s="6"/>
      <c r="H274" s="6"/>
      <c r="I274" s="4"/>
      <c r="J274" s="6"/>
      <c r="K274" s="6" t="s">
        <v>13</v>
      </c>
      <c r="L274" s="21"/>
      <c r="M274" s="6"/>
      <c r="N274" s="6" t="s">
        <v>53</v>
      </c>
      <c r="O274" s="6" t="s">
        <v>10</v>
      </c>
      <c r="P274" s="6" t="s">
        <v>10</v>
      </c>
      <c r="Q274" s="10"/>
      <c r="V274" s="12"/>
      <c r="W274" s="12"/>
    </row>
    <row r="275" spans="1:23" x14ac:dyDescent="0.25">
      <c r="A275" s="1">
        <v>273</v>
      </c>
      <c r="B275" s="15">
        <v>40.273282500000001</v>
      </c>
      <c r="C275" s="19">
        <v>4.8083446799999994</v>
      </c>
      <c r="D275" s="19">
        <v>35.464937820000003</v>
      </c>
      <c r="E275" s="23">
        <f t="shared" si="8"/>
        <v>0.11939291712812332</v>
      </c>
      <c r="F275" s="23">
        <f t="shared" si="9"/>
        <v>0.88060708287187672</v>
      </c>
      <c r="G275" s="6"/>
      <c r="H275" s="6"/>
      <c r="I275" s="4"/>
      <c r="J275" s="6"/>
      <c r="K275" s="6" t="s">
        <v>13</v>
      </c>
      <c r="L275" s="21"/>
      <c r="M275" s="6"/>
      <c r="N275" s="6" t="s">
        <v>29</v>
      </c>
      <c r="O275" s="6" t="s">
        <v>10</v>
      </c>
      <c r="P275" s="6" t="s">
        <v>10</v>
      </c>
      <c r="Q275" s="10"/>
      <c r="V275" s="12"/>
      <c r="W275" s="12"/>
    </row>
    <row r="276" spans="1:23" x14ac:dyDescent="0.25">
      <c r="A276" s="1">
        <v>274</v>
      </c>
      <c r="B276" s="15">
        <v>58.660338989999993</v>
      </c>
      <c r="C276" s="19">
        <v>18.032155059999997</v>
      </c>
      <c r="D276" s="19">
        <v>29.017677620000001</v>
      </c>
      <c r="E276" s="23">
        <f t="shared" si="8"/>
        <v>0.30739943495849886</v>
      </c>
      <c r="F276" s="23">
        <f t="shared" si="9"/>
        <v>0.49467285937346411</v>
      </c>
      <c r="G276" s="6"/>
      <c r="H276" s="6"/>
      <c r="I276" s="4">
        <v>11.61050631</v>
      </c>
      <c r="J276" s="6" t="s">
        <v>10</v>
      </c>
      <c r="K276" s="6" t="s">
        <v>16</v>
      </c>
      <c r="L276" s="21"/>
      <c r="M276" s="6"/>
      <c r="N276" s="6" t="s">
        <v>13</v>
      </c>
      <c r="O276" s="6" t="s">
        <v>13</v>
      </c>
      <c r="P276" s="6" t="s">
        <v>10</v>
      </c>
      <c r="Q276" s="10"/>
      <c r="V276" s="12"/>
      <c r="W276" s="12"/>
    </row>
    <row r="277" spans="1:23" x14ac:dyDescent="0.25">
      <c r="A277" s="1">
        <v>275</v>
      </c>
      <c r="B277" s="15">
        <v>1.9141777600000001</v>
      </c>
      <c r="C277" s="19">
        <v>1.9141777600000001</v>
      </c>
      <c r="D277" s="19"/>
      <c r="E277" s="23">
        <f t="shared" si="8"/>
        <v>1</v>
      </c>
      <c r="F277" s="23">
        <f t="shared" si="9"/>
        <v>0</v>
      </c>
      <c r="G277" s="6"/>
      <c r="H277" s="6"/>
      <c r="I277" s="4"/>
      <c r="J277" s="6"/>
      <c r="K277" s="6" t="s">
        <v>13</v>
      </c>
      <c r="L277" s="21"/>
      <c r="M277" s="6"/>
      <c r="N277" s="6" t="s">
        <v>29</v>
      </c>
      <c r="O277" s="6" t="s">
        <v>10</v>
      </c>
      <c r="P277" s="6" t="s">
        <v>10</v>
      </c>
      <c r="Q277" s="10"/>
      <c r="V277" s="12"/>
      <c r="W277" s="12"/>
    </row>
    <row r="278" spans="1:23" x14ac:dyDescent="0.25">
      <c r="A278" s="1">
        <v>276</v>
      </c>
      <c r="B278" s="15">
        <v>16.742218869999999</v>
      </c>
      <c r="C278" s="19">
        <v>16.742218869999999</v>
      </c>
      <c r="D278" s="19"/>
      <c r="E278" s="23">
        <f t="shared" si="8"/>
        <v>1</v>
      </c>
      <c r="F278" s="23">
        <f t="shared" si="9"/>
        <v>0</v>
      </c>
      <c r="G278" s="6"/>
      <c r="H278" s="6"/>
      <c r="I278" s="4"/>
      <c r="J278" s="6"/>
      <c r="K278" s="6" t="s">
        <v>13</v>
      </c>
      <c r="L278" s="21"/>
      <c r="M278" s="6"/>
      <c r="N278" s="6" t="s">
        <v>37</v>
      </c>
      <c r="O278" s="6" t="s">
        <v>10</v>
      </c>
      <c r="P278" s="6" t="s">
        <v>10</v>
      </c>
      <c r="Q278" s="10"/>
      <c r="V278" s="12"/>
      <c r="W278" s="12"/>
    </row>
    <row r="279" spans="1:23" x14ac:dyDescent="0.25">
      <c r="A279" s="1">
        <v>277</v>
      </c>
      <c r="B279" s="15">
        <v>35.176340250000003</v>
      </c>
      <c r="C279" s="19">
        <v>29.589147850000003</v>
      </c>
      <c r="D279" s="19">
        <v>5.5871924000000002</v>
      </c>
      <c r="E279" s="23">
        <f t="shared" si="8"/>
        <v>0.8411661827156679</v>
      </c>
      <c r="F279" s="23">
        <f t="shared" si="9"/>
        <v>0.15883381728433218</v>
      </c>
      <c r="G279" s="6"/>
      <c r="H279" s="6"/>
      <c r="I279" s="4"/>
      <c r="J279" s="6"/>
      <c r="K279" s="6" t="s">
        <v>13</v>
      </c>
      <c r="L279" s="21"/>
      <c r="M279" s="6"/>
      <c r="N279" s="6" t="s">
        <v>37</v>
      </c>
      <c r="O279" s="6" t="s">
        <v>10</v>
      </c>
      <c r="P279" s="6" t="s">
        <v>10</v>
      </c>
      <c r="Q279" s="10"/>
      <c r="V279" s="12"/>
      <c r="W279" s="12"/>
    </row>
    <row r="280" spans="1:23" x14ac:dyDescent="0.25">
      <c r="A280" s="1">
        <v>278</v>
      </c>
      <c r="B280" s="15">
        <v>30.38540982</v>
      </c>
      <c r="C280" s="19">
        <v>15.410230480000001</v>
      </c>
      <c r="D280" s="19">
        <v>14.975179339999999</v>
      </c>
      <c r="E280" s="23">
        <f t="shared" si="8"/>
        <v>0.50715888221645189</v>
      </c>
      <c r="F280" s="23">
        <f t="shared" si="9"/>
        <v>0.49284111778354811</v>
      </c>
      <c r="G280" s="6"/>
      <c r="H280" s="6"/>
      <c r="I280" s="4"/>
      <c r="J280" s="6"/>
      <c r="K280" s="6" t="s">
        <v>13</v>
      </c>
      <c r="L280" s="21"/>
      <c r="M280" s="6"/>
      <c r="N280" s="6" t="s">
        <v>31</v>
      </c>
      <c r="O280" s="6" t="s">
        <v>13</v>
      </c>
      <c r="P280" s="6" t="s">
        <v>10</v>
      </c>
      <c r="Q280" s="10"/>
      <c r="V280" s="12"/>
      <c r="W280" s="12"/>
    </row>
    <row r="281" spans="1:23" x14ac:dyDescent="0.25">
      <c r="A281" s="1">
        <v>279</v>
      </c>
      <c r="B281" s="15">
        <v>59.160645869999996</v>
      </c>
      <c r="C281" s="19">
        <v>42.865678039999999</v>
      </c>
      <c r="D281" s="19">
        <v>5.5445031499999997</v>
      </c>
      <c r="E281" s="23">
        <f t="shared" si="8"/>
        <v>0.72456406466882273</v>
      </c>
      <c r="F281" s="23">
        <f t="shared" si="9"/>
        <v>9.371944928024499E-2</v>
      </c>
      <c r="G281" s="6"/>
      <c r="H281" s="6"/>
      <c r="I281" s="4">
        <v>10.75046468</v>
      </c>
      <c r="J281" s="6" t="s">
        <v>10</v>
      </c>
      <c r="K281" s="6" t="s">
        <v>21</v>
      </c>
      <c r="L281" s="21"/>
      <c r="M281" s="6"/>
      <c r="N281" s="6" t="s">
        <v>37</v>
      </c>
      <c r="O281" s="6" t="s">
        <v>10</v>
      </c>
      <c r="P281" s="6" t="s">
        <v>10</v>
      </c>
      <c r="Q281" s="10"/>
      <c r="V281" s="12"/>
      <c r="W281" s="12"/>
    </row>
    <row r="282" spans="1:23" x14ac:dyDescent="0.25">
      <c r="A282" s="1">
        <v>280</v>
      </c>
      <c r="B282" s="15">
        <v>100.20029996</v>
      </c>
      <c r="C282" s="19">
        <v>41.772462679999997</v>
      </c>
      <c r="D282" s="19">
        <v>58.427837279999999</v>
      </c>
      <c r="E282" s="23">
        <f t="shared" si="8"/>
        <v>0.416889597103757</v>
      </c>
      <c r="F282" s="23">
        <f t="shared" si="9"/>
        <v>0.58311040289624305</v>
      </c>
      <c r="G282" s="6"/>
      <c r="H282" s="6"/>
      <c r="I282" s="4"/>
      <c r="J282" s="6"/>
      <c r="K282" s="6" t="s">
        <v>13</v>
      </c>
      <c r="L282" s="21"/>
      <c r="M282" s="6"/>
      <c r="N282" s="6" t="s">
        <v>13</v>
      </c>
      <c r="O282" s="6" t="s">
        <v>13</v>
      </c>
      <c r="P282" s="6" t="s">
        <v>10</v>
      </c>
      <c r="Q282" s="10"/>
      <c r="V282" s="12"/>
      <c r="W282" s="12"/>
    </row>
    <row r="283" spans="1:23" x14ac:dyDescent="0.25">
      <c r="A283" s="1">
        <v>281</v>
      </c>
      <c r="B283" s="15">
        <v>344.10115501000001</v>
      </c>
      <c r="C283" s="19">
        <v>70.191311740000003</v>
      </c>
      <c r="D283" s="19">
        <v>239.2407843</v>
      </c>
      <c r="E283" s="23">
        <f>C283/B283</f>
        <v>0.20398452814830034</v>
      </c>
      <c r="F283" s="23">
        <f>D283/B283</f>
        <v>0.69526295049212306</v>
      </c>
      <c r="G283" s="6"/>
      <c r="H283" s="6"/>
      <c r="I283" s="4">
        <v>34.669058970000002</v>
      </c>
      <c r="J283" s="6" t="s">
        <v>10</v>
      </c>
      <c r="K283" s="6" t="s">
        <v>16</v>
      </c>
      <c r="L283" s="21"/>
      <c r="M283" s="6"/>
      <c r="N283" s="6" t="s">
        <v>54</v>
      </c>
      <c r="O283" s="6" t="s">
        <v>10</v>
      </c>
      <c r="P283" s="6" t="s">
        <v>10</v>
      </c>
      <c r="Q283" s="10"/>
      <c r="V283" s="12"/>
      <c r="W283" s="12"/>
    </row>
    <row r="284" spans="1:23" x14ac:dyDescent="0.25">
      <c r="A284" s="1">
        <v>282</v>
      </c>
      <c r="B284" s="15">
        <v>24.65410709</v>
      </c>
      <c r="C284" s="19">
        <v>2.4799419900000013</v>
      </c>
      <c r="D284" s="19"/>
      <c r="E284" s="23">
        <f t="shared" ref="E284:E347" si="10">C284/B284</f>
        <v>0.10058940609558296</v>
      </c>
      <c r="F284" s="23">
        <f t="shared" ref="F284:F347" si="11">D284/B284</f>
        <v>0</v>
      </c>
      <c r="G284" s="6"/>
      <c r="H284" s="6"/>
      <c r="I284" s="4">
        <v>22.1741651</v>
      </c>
      <c r="J284" s="6" t="s">
        <v>10</v>
      </c>
      <c r="K284" s="6" t="s">
        <v>16</v>
      </c>
      <c r="L284" s="21"/>
      <c r="M284" s="6"/>
      <c r="N284" s="6" t="s">
        <v>29</v>
      </c>
      <c r="O284" s="6" t="s">
        <v>10</v>
      </c>
      <c r="P284" s="6" t="s">
        <v>10</v>
      </c>
      <c r="Q284" s="10"/>
      <c r="V284" s="12"/>
      <c r="W284" s="12"/>
    </row>
    <row r="285" spans="1:23" x14ac:dyDescent="0.25">
      <c r="A285" s="1">
        <v>283</v>
      </c>
      <c r="B285" s="15">
        <v>51.104756250000001</v>
      </c>
      <c r="C285" s="19"/>
      <c r="D285" s="19"/>
      <c r="E285" s="23">
        <f t="shared" si="10"/>
        <v>0</v>
      </c>
      <c r="F285" s="23">
        <f t="shared" si="11"/>
        <v>0</v>
      </c>
      <c r="G285" s="6"/>
      <c r="H285" s="6"/>
      <c r="I285" s="4">
        <v>51.104756250000001</v>
      </c>
      <c r="J285" s="6" t="s">
        <v>10</v>
      </c>
      <c r="K285" s="6" t="s">
        <v>16</v>
      </c>
      <c r="L285" s="21"/>
      <c r="M285" s="6"/>
      <c r="N285" s="6" t="s">
        <v>54</v>
      </c>
      <c r="O285" s="6" t="s">
        <v>10</v>
      </c>
      <c r="P285" s="6" t="s">
        <v>10</v>
      </c>
      <c r="Q285" s="10"/>
      <c r="V285" s="12"/>
      <c r="W285" s="12"/>
    </row>
    <row r="286" spans="1:23" x14ac:dyDescent="0.25">
      <c r="A286" s="1">
        <v>284</v>
      </c>
      <c r="B286" s="15">
        <v>179.52792991999999</v>
      </c>
      <c r="C286" s="19">
        <v>129.24415649999997</v>
      </c>
      <c r="D286" s="19">
        <v>50.283773420000003</v>
      </c>
      <c r="E286" s="23">
        <f t="shared" si="10"/>
        <v>0.71991113893862013</v>
      </c>
      <c r="F286" s="23">
        <f t="shared" si="11"/>
        <v>0.28008886106137976</v>
      </c>
      <c r="G286" s="6"/>
      <c r="H286" s="6"/>
      <c r="I286" s="4"/>
      <c r="J286" s="6"/>
      <c r="K286" s="6" t="s">
        <v>13</v>
      </c>
      <c r="L286" s="21"/>
      <c r="M286" s="6"/>
      <c r="N286" s="6" t="s">
        <v>34</v>
      </c>
      <c r="O286" s="6" t="s">
        <v>13</v>
      </c>
      <c r="P286" s="6" t="s">
        <v>10</v>
      </c>
      <c r="Q286" s="10"/>
      <c r="V286" s="12"/>
      <c r="W286" s="12"/>
    </row>
    <row r="287" spans="1:23" x14ac:dyDescent="0.25">
      <c r="A287" s="1">
        <v>285</v>
      </c>
      <c r="B287" s="15">
        <v>92.552612479999993</v>
      </c>
      <c r="C287" s="19">
        <v>46.457185689999996</v>
      </c>
      <c r="D287" s="19">
        <v>46.095426789999998</v>
      </c>
      <c r="E287" s="23">
        <f t="shared" si="10"/>
        <v>0.50195434191594634</v>
      </c>
      <c r="F287" s="23">
        <f t="shared" si="11"/>
        <v>0.49804565808405371</v>
      </c>
      <c r="G287" s="6"/>
      <c r="H287" s="6"/>
      <c r="I287" s="4"/>
      <c r="J287" s="6"/>
      <c r="K287" s="6" t="s">
        <v>13</v>
      </c>
      <c r="L287" s="21"/>
      <c r="M287" s="6"/>
      <c r="N287" s="6" t="s">
        <v>13</v>
      </c>
      <c r="O287" s="6" t="s">
        <v>13</v>
      </c>
      <c r="P287" s="6" t="s">
        <v>10</v>
      </c>
      <c r="Q287" s="10"/>
      <c r="V287" s="12"/>
      <c r="W287" s="12"/>
    </row>
    <row r="288" spans="1:23" x14ac:dyDescent="0.25">
      <c r="A288" s="1">
        <v>286</v>
      </c>
      <c r="B288" s="15">
        <v>72.99652051999999</v>
      </c>
      <c r="C288" s="19">
        <v>72.99652051999999</v>
      </c>
      <c r="D288" s="19"/>
      <c r="E288" s="23">
        <f t="shared" si="10"/>
        <v>1</v>
      </c>
      <c r="F288" s="23">
        <f t="shared" si="11"/>
        <v>0</v>
      </c>
      <c r="G288" s="6"/>
      <c r="H288" s="6"/>
      <c r="I288" s="4"/>
      <c r="J288" s="6"/>
      <c r="K288" s="6" t="s">
        <v>13</v>
      </c>
      <c r="L288" s="21"/>
      <c r="M288" s="6"/>
      <c r="N288" s="6" t="s">
        <v>13</v>
      </c>
      <c r="O288" s="6" t="s">
        <v>13</v>
      </c>
      <c r="P288" s="6" t="s">
        <v>10</v>
      </c>
      <c r="Q288" s="10"/>
      <c r="V288" s="12"/>
      <c r="W288" s="12"/>
    </row>
    <row r="289" spans="1:23" x14ac:dyDescent="0.25">
      <c r="A289" s="1">
        <v>287</v>
      </c>
      <c r="B289" s="15">
        <v>34.196073869999999</v>
      </c>
      <c r="C289" s="19">
        <v>18.096264019999996</v>
      </c>
      <c r="D289" s="19">
        <v>16.09980985</v>
      </c>
      <c r="E289" s="23">
        <f t="shared" si="10"/>
        <v>0.52919127759504969</v>
      </c>
      <c r="F289" s="23">
        <f t="shared" si="11"/>
        <v>0.4708087224049502</v>
      </c>
      <c r="G289" s="6"/>
      <c r="H289" s="6"/>
      <c r="I289" s="4"/>
      <c r="J289" s="6"/>
      <c r="K289" s="6" t="s">
        <v>13</v>
      </c>
      <c r="L289" s="21"/>
      <c r="M289" s="6"/>
      <c r="N289" s="6" t="s">
        <v>32</v>
      </c>
      <c r="O289" s="6" t="s">
        <v>10</v>
      </c>
      <c r="P289" s="6" t="s">
        <v>10</v>
      </c>
      <c r="Q289" s="10"/>
      <c r="V289" s="12"/>
      <c r="W289" s="12"/>
    </row>
    <row r="290" spans="1:23" x14ac:dyDescent="0.25">
      <c r="A290" s="1">
        <v>288</v>
      </c>
      <c r="B290" s="15">
        <v>30.478180450000004</v>
      </c>
      <c r="C290" s="19">
        <v>30.478180450000004</v>
      </c>
      <c r="D290" s="19"/>
      <c r="E290" s="23">
        <f t="shared" si="10"/>
        <v>1</v>
      </c>
      <c r="F290" s="23">
        <f t="shared" si="11"/>
        <v>0</v>
      </c>
      <c r="G290" s="6"/>
      <c r="H290" s="6"/>
      <c r="I290" s="4"/>
      <c r="J290" s="6"/>
      <c r="K290" s="6" t="s">
        <v>13</v>
      </c>
      <c r="L290" s="21"/>
      <c r="M290" s="6"/>
      <c r="N290" s="6" t="s">
        <v>13</v>
      </c>
      <c r="O290" s="6" t="s">
        <v>13</v>
      </c>
      <c r="P290" s="6" t="s">
        <v>10</v>
      </c>
      <c r="Q290" s="10"/>
      <c r="V290" s="12"/>
      <c r="W290" s="12"/>
    </row>
    <row r="291" spans="1:23" x14ac:dyDescent="0.25">
      <c r="A291" s="1">
        <v>289</v>
      </c>
      <c r="B291" s="15">
        <v>28.535233439999999</v>
      </c>
      <c r="C291" s="19">
        <v>20.480556459999999</v>
      </c>
      <c r="D291" s="19">
        <v>8.05467698</v>
      </c>
      <c r="E291" s="23">
        <f t="shared" si="10"/>
        <v>0.71772871608230304</v>
      </c>
      <c r="F291" s="23">
        <f t="shared" si="11"/>
        <v>0.28227128391769696</v>
      </c>
      <c r="G291" s="6"/>
      <c r="H291" s="6"/>
      <c r="I291" s="4"/>
      <c r="J291" s="6"/>
      <c r="K291" s="6" t="s">
        <v>13</v>
      </c>
      <c r="L291" s="21"/>
      <c r="M291" s="6"/>
      <c r="N291" s="6" t="s">
        <v>32</v>
      </c>
      <c r="O291" s="6" t="s">
        <v>10</v>
      </c>
      <c r="P291" s="6" t="s">
        <v>10</v>
      </c>
      <c r="Q291" s="10"/>
      <c r="V291" s="12"/>
      <c r="W291" s="12"/>
    </row>
    <row r="292" spans="1:23" x14ac:dyDescent="0.25">
      <c r="A292" s="1">
        <v>290</v>
      </c>
      <c r="B292" s="16">
        <v>88.864176229999998</v>
      </c>
      <c r="C292" s="19">
        <v>77.641343129999996</v>
      </c>
      <c r="D292" s="19">
        <v>11.222833100000001</v>
      </c>
      <c r="E292" s="23">
        <f t="shared" si="10"/>
        <v>0.8737080162544596</v>
      </c>
      <c r="F292" s="23">
        <f t="shared" si="11"/>
        <v>0.12629198374554043</v>
      </c>
      <c r="G292" s="6"/>
      <c r="H292" s="6"/>
      <c r="I292" s="4"/>
      <c r="J292" s="6"/>
      <c r="K292" s="6" t="s">
        <v>13</v>
      </c>
      <c r="L292" s="21"/>
      <c r="M292" s="6"/>
      <c r="N292" s="6" t="s">
        <v>38</v>
      </c>
      <c r="O292" s="6" t="s">
        <v>13</v>
      </c>
      <c r="P292" s="6" t="s">
        <v>10</v>
      </c>
      <c r="Q292" s="10"/>
      <c r="V292" s="12"/>
      <c r="W292" s="12"/>
    </row>
    <row r="293" spans="1:23" x14ac:dyDescent="0.25">
      <c r="A293" s="1">
        <v>291</v>
      </c>
      <c r="B293" s="15">
        <v>119.94597761999999</v>
      </c>
      <c r="C293" s="19">
        <v>94.620937069999997</v>
      </c>
      <c r="D293" s="19">
        <v>25.325040550000001</v>
      </c>
      <c r="E293" s="23">
        <f t="shared" si="10"/>
        <v>0.78886294436456983</v>
      </c>
      <c r="F293" s="23">
        <f t="shared" si="11"/>
        <v>0.21113705563543017</v>
      </c>
      <c r="G293" s="6"/>
      <c r="H293" s="6"/>
      <c r="I293" s="4"/>
      <c r="J293" s="6"/>
      <c r="K293" s="6" t="s">
        <v>13</v>
      </c>
      <c r="L293" s="21"/>
      <c r="M293" s="6"/>
      <c r="N293" s="6" t="s">
        <v>32</v>
      </c>
      <c r="O293" s="6" t="s">
        <v>10</v>
      </c>
      <c r="P293" s="6" t="s">
        <v>10</v>
      </c>
      <c r="Q293" s="10"/>
      <c r="V293" s="12"/>
      <c r="W293" s="12"/>
    </row>
    <row r="294" spans="1:23" x14ac:dyDescent="0.25">
      <c r="A294" s="1">
        <v>292</v>
      </c>
      <c r="B294" s="15">
        <v>66.762884660000012</v>
      </c>
      <c r="C294" s="19">
        <v>65.730064460000008</v>
      </c>
      <c r="D294" s="19">
        <v>1.0328202</v>
      </c>
      <c r="E294" s="23">
        <f t="shared" si="10"/>
        <v>0.98453002435020898</v>
      </c>
      <c r="F294" s="23">
        <f t="shared" si="11"/>
        <v>1.5469975649790921E-2</v>
      </c>
      <c r="G294" s="6"/>
      <c r="H294" s="6"/>
      <c r="I294" s="4"/>
      <c r="J294" s="6"/>
      <c r="K294" s="6" t="s">
        <v>13</v>
      </c>
      <c r="L294" s="21"/>
      <c r="M294" s="6"/>
      <c r="N294" s="6" t="s">
        <v>13</v>
      </c>
      <c r="O294" s="6" t="s">
        <v>13</v>
      </c>
      <c r="P294" s="6" t="s">
        <v>10</v>
      </c>
      <c r="Q294" s="10"/>
      <c r="V294" s="12"/>
      <c r="W294" s="12"/>
    </row>
    <row r="295" spans="1:23" x14ac:dyDescent="0.25">
      <c r="A295" s="1">
        <v>293</v>
      </c>
      <c r="B295" s="15">
        <v>48.935391729999999</v>
      </c>
      <c r="C295" s="19">
        <v>48.935391729999999</v>
      </c>
      <c r="D295" s="19"/>
      <c r="E295" s="23">
        <f t="shared" si="10"/>
        <v>1</v>
      </c>
      <c r="F295" s="23">
        <f t="shared" si="11"/>
        <v>0</v>
      </c>
      <c r="G295" s="6"/>
      <c r="H295" s="6"/>
      <c r="I295" s="4"/>
      <c r="J295" s="6"/>
      <c r="K295" s="6" t="s">
        <v>13</v>
      </c>
      <c r="L295" s="21"/>
      <c r="M295" s="6"/>
      <c r="N295" s="6" t="s">
        <v>29</v>
      </c>
      <c r="O295" s="6" t="s">
        <v>10</v>
      </c>
      <c r="P295" s="6" t="s">
        <v>10</v>
      </c>
      <c r="Q295" s="10"/>
      <c r="V295" s="12"/>
      <c r="W295" s="12"/>
    </row>
    <row r="296" spans="1:23" x14ac:dyDescent="0.25">
      <c r="A296" s="1">
        <v>294</v>
      </c>
      <c r="B296" s="15">
        <v>59.044868319999999</v>
      </c>
      <c r="C296" s="19">
        <v>20.202105240000002</v>
      </c>
      <c r="D296" s="19">
        <v>38.842763079999997</v>
      </c>
      <c r="E296" s="23">
        <f t="shared" si="10"/>
        <v>0.34214836640015056</v>
      </c>
      <c r="F296" s="23">
        <f t="shared" si="11"/>
        <v>0.65785163359984944</v>
      </c>
      <c r="G296" s="6"/>
      <c r="H296" s="6"/>
      <c r="I296" s="4"/>
      <c r="J296" s="6"/>
      <c r="K296" s="6" t="s">
        <v>13</v>
      </c>
      <c r="L296" s="21"/>
      <c r="M296" s="6"/>
      <c r="N296" s="6" t="s">
        <v>13</v>
      </c>
      <c r="O296" s="6" t="s">
        <v>13</v>
      </c>
      <c r="P296" s="6" t="s">
        <v>10</v>
      </c>
      <c r="Q296" s="10"/>
      <c r="V296" s="12"/>
      <c r="W296" s="12"/>
    </row>
    <row r="297" spans="1:23" x14ac:dyDescent="0.25">
      <c r="A297" s="1">
        <v>295</v>
      </c>
      <c r="B297" s="15">
        <v>31.337013240000001</v>
      </c>
      <c r="C297" s="19">
        <v>31.337013240000001</v>
      </c>
      <c r="D297" s="19"/>
      <c r="E297" s="23">
        <f t="shared" si="10"/>
        <v>1</v>
      </c>
      <c r="F297" s="23">
        <f t="shared" si="11"/>
        <v>0</v>
      </c>
      <c r="G297" s="6"/>
      <c r="H297" s="6"/>
      <c r="I297" s="4"/>
      <c r="J297" s="6"/>
      <c r="K297" s="6" t="s">
        <v>13</v>
      </c>
      <c r="L297" s="21"/>
      <c r="M297" s="6"/>
      <c r="N297" s="6" t="s">
        <v>29</v>
      </c>
      <c r="O297" s="6" t="s">
        <v>10</v>
      </c>
      <c r="P297" s="6" t="s">
        <v>10</v>
      </c>
      <c r="Q297" s="10"/>
      <c r="V297" s="12"/>
      <c r="W297" s="12"/>
    </row>
    <row r="298" spans="1:23" x14ac:dyDescent="0.25">
      <c r="A298" s="1">
        <v>296</v>
      </c>
      <c r="B298" s="15">
        <v>32.679107680000001</v>
      </c>
      <c r="C298" s="19">
        <v>13.625242130000002</v>
      </c>
      <c r="D298" s="19">
        <v>19.053865549999998</v>
      </c>
      <c r="E298" s="23">
        <f t="shared" si="10"/>
        <v>0.41694045821021025</v>
      </c>
      <c r="F298" s="23">
        <f t="shared" si="11"/>
        <v>0.58305954178978969</v>
      </c>
      <c r="G298" s="6"/>
      <c r="H298" s="6"/>
      <c r="I298" s="4"/>
      <c r="J298" s="6"/>
      <c r="K298" s="6" t="s">
        <v>13</v>
      </c>
      <c r="L298" s="21"/>
      <c r="M298" s="6"/>
      <c r="N298" s="6" t="s">
        <v>13</v>
      </c>
      <c r="O298" s="6" t="s">
        <v>13</v>
      </c>
      <c r="P298" s="6" t="s">
        <v>10</v>
      </c>
      <c r="Q298" s="10"/>
      <c r="V298" s="12"/>
      <c r="W298" s="12"/>
    </row>
    <row r="299" spans="1:23" x14ac:dyDescent="0.25">
      <c r="A299" s="1">
        <v>297</v>
      </c>
      <c r="B299" s="16">
        <v>58.69044495</v>
      </c>
      <c r="C299" s="19">
        <v>55.838136800000001</v>
      </c>
      <c r="D299" s="19">
        <v>2.8523081499999998</v>
      </c>
      <c r="E299" s="23">
        <f t="shared" si="10"/>
        <v>0.95140080889776935</v>
      </c>
      <c r="F299" s="23">
        <f t="shared" si="11"/>
        <v>4.8599191102230682E-2</v>
      </c>
      <c r="G299" s="6"/>
      <c r="H299" s="6"/>
      <c r="I299" s="4"/>
      <c r="J299" s="6"/>
      <c r="K299" s="6" t="s">
        <v>13</v>
      </c>
      <c r="L299" s="21"/>
      <c r="M299" s="6"/>
      <c r="N299" s="6" t="s">
        <v>55</v>
      </c>
      <c r="O299" s="6" t="s">
        <v>10</v>
      </c>
      <c r="P299" s="6" t="s">
        <v>10</v>
      </c>
      <c r="Q299" s="10"/>
      <c r="V299" s="12"/>
      <c r="W299" s="12"/>
    </row>
    <row r="300" spans="1:23" x14ac:dyDescent="0.25">
      <c r="A300" s="1">
        <v>298</v>
      </c>
      <c r="B300" s="15">
        <v>37.181442249999996</v>
      </c>
      <c r="C300" s="19">
        <v>37.181442249999996</v>
      </c>
      <c r="D300" s="19"/>
      <c r="E300" s="23">
        <f t="shared" si="10"/>
        <v>1</v>
      </c>
      <c r="F300" s="23">
        <f t="shared" si="11"/>
        <v>0</v>
      </c>
      <c r="G300" s="6"/>
      <c r="H300" s="6"/>
      <c r="I300" s="4"/>
      <c r="J300" s="6"/>
      <c r="K300" s="6" t="s">
        <v>13</v>
      </c>
      <c r="L300" s="21"/>
      <c r="M300" s="6"/>
      <c r="N300" s="6" t="s">
        <v>56</v>
      </c>
      <c r="O300" s="6" t="s">
        <v>13</v>
      </c>
      <c r="P300" s="6" t="s">
        <v>10</v>
      </c>
      <c r="Q300" s="10"/>
      <c r="V300" s="12"/>
      <c r="W300" s="12"/>
    </row>
    <row r="301" spans="1:23" x14ac:dyDescent="0.25">
      <c r="A301" s="1">
        <v>299</v>
      </c>
      <c r="B301" s="15">
        <v>58.711681610000007</v>
      </c>
      <c r="C301" s="19">
        <v>58.711681610000007</v>
      </c>
      <c r="D301" s="19"/>
      <c r="E301" s="23">
        <f t="shared" si="10"/>
        <v>1</v>
      </c>
      <c r="F301" s="23">
        <f t="shared" si="11"/>
        <v>0</v>
      </c>
      <c r="G301" s="6"/>
      <c r="H301" s="6"/>
      <c r="I301" s="4"/>
      <c r="J301" s="6"/>
      <c r="K301" s="6" t="s">
        <v>13</v>
      </c>
      <c r="L301" s="21"/>
      <c r="M301" s="6"/>
      <c r="N301" s="6" t="s">
        <v>29</v>
      </c>
      <c r="O301" s="6" t="s">
        <v>10</v>
      </c>
      <c r="P301" s="6" t="s">
        <v>10</v>
      </c>
      <c r="Q301" s="10"/>
      <c r="V301" s="12"/>
      <c r="W301" s="12"/>
    </row>
    <row r="302" spans="1:23" x14ac:dyDescent="0.25">
      <c r="A302" s="1">
        <v>300</v>
      </c>
      <c r="B302" s="15">
        <v>145.52538618999998</v>
      </c>
      <c r="C302" s="19">
        <v>127.14030521999997</v>
      </c>
      <c r="D302" s="19">
        <v>18.385080970000001</v>
      </c>
      <c r="E302" s="23">
        <f t="shared" si="10"/>
        <v>0.87366409771284725</v>
      </c>
      <c r="F302" s="23">
        <f t="shared" si="11"/>
        <v>0.12633590228715272</v>
      </c>
      <c r="G302" s="6"/>
      <c r="H302" s="6"/>
      <c r="I302" s="4"/>
      <c r="J302" s="6"/>
      <c r="K302" s="6" t="s">
        <v>13</v>
      </c>
      <c r="L302" s="21"/>
      <c r="M302" s="6"/>
      <c r="N302" s="6" t="s">
        <v>49</v>
      </c>
      <c r="O302" s="6" t="s">
        <v>10</v>
      </c>
      <c r="P302" s="6" t="s">
        <v>10</v>
      </c>
      <c r="Q302" s="10"/>
      <c r="V302" s="12"/>
      <c r="W302" s="12"/>
    </row>
    <row r="303" spans="1:23" x14ac:dyDescent="0.25">
      <c r="A303" s="1">
        <v>301</v>
      </c>
      <c r="B303" s="15">
        <v>55.410158920000008</v>
      </c>
      <c r="C303" s="19">
        <v>27.299328830000015</v>
      </c>
      <c r="D303" s="19">
        <v>28.110830089999997</v>
      </c>
      <c r="E303" s="23">
        <f t="shared" si="10"/>
        <v>0.49267732419634813</v>
      </c>
      <c r="F303" s="23">
        <f t="shared" si="11"/>
        <v>0.50732267580365198</v>
      </c>
      <c r="G303" s="6"/>
      <c r="H303" s="6"/>
      <c r="I303" s="4"/>
      <c r="J303" s="6"/>
      <c r="K303" s="6" t="s">
        <v>13</v>
      </c>
      <c r="L303" s="21">
        <v>35</v>
      </c>
      <c r="M303" s="6" t="s">
        <v>10</v>
      </c>
      <c r="N303" s="6" t="s">
        <v>29</v>
      </c>
      <c r="O303" s="6" t="s">
        <v>10</v>
      </c>
      <c r="P303" s="6" t="s">
        <v>10</v>
      </c>
      <c r="Q303" s="10"/>
      <c r="V303" s="12"/>
      <c r="W303" s="12"/>
    </row>
    <row r="304" spans="1:23" x14ac:dyDescent="0.25">
      <c r="A304" s="1">
        <v>302</v>
      </c>
      <c r="B304" s="15">
        <v>29.347543920000003</v>
      </c>
      <c r="C304" s="19">
        <v>17.045896130000003</v>
      </c>
      <c r="D304" s="19">
        <v>12.301647790000001</v>
      </c>
      <c r="E304" s="23">
        <f t="shared" si="10"/>
        <v>0.58082871181541795</v>
      </c>
      <c r="F304" s="23">
        <f t="shared" si="11"/>
        <v>0.41917128818458205</v>
      </c>
      <c r="G304" s="6"/>
      <c r="H304" s="6"/>
      <c r="I304" s="4"/>
      <c r="J304" s="6"/>
      <c r="K304" s="6" t="s">
        <v>13</v>
      </c>
      <c r="L304" s="21"/>
      <c r="M304" s="6"/>
      <c r="N304" s="6" t="s">
        <v>37</v>
      </c>
      <c r="O304" s="6" t="s">
        <v>10</v>
      </c>
      <c r="P304" s="6" t="s">
        <v>10</v>
      </c>
      <c r="Q304" s="10"/>
      <c r="V304" s="12"/>
      <c r="W304" s="12"/>
    </row>
    <row r="305" spans="1:23" x14ac:dyDescent="0.25">
      <c r="A305" s="1">
        <v>303</v>
      </c>
      <c r="B305" s="15">
        <v>29.86728557</v>
      </c>
      <c r="C305" s="19">
        <v>23.33749006</v>
      </c>
      <c r="D305" s="19">
        <v>6.5297955099999996</v>
      </c>
      <c r="E305" s="23">
        <f t="shared" si="10"/>
        <v>0.78137298434114111</v>
      </c>
      <c r="F305" s="23">
        <f t="shared" si="11"/>
        <v>0.21862701565885886</v>
      </c>
      <c r="G305" s="6"/>
      <c r="H305" s="6"/>
      <c r="I305" s="4"/>
      <c r="J305" s="6"/>
      <c r="K305" s="6" t="s">
        <v>13</v>
      </c>
      <c r="L305" s="21"/>
      <c r="M305" s="6"/>
      <c r="N305" s="6" t="s">
        <v>32</v>
      </c>
      <c r="O305" s="6" t="s">
        <v>10</v>
      </c>
      <c r="P305" s="6" t="s">
        <v>10</v>
      </c>
      <c r="Q305" s="10"/>
      <c r="V305" s="12"/>
      <c r="W305" s="12"/>
    </row>
    <row r="306" spans="1:23" x14ac:dyDescent="0.25">
      <c r="A306" s="1">
        <v>304</v>
      </c>
      <c r="B306" s="15">
        <v>61.803715800000006</v>
      </c>
      <c r="C306" s="19">
        <v>33.478269780000012</v>
      </c>
      <c r="D306" s="19">
        <v>28.325446019999998</v>
      </c>
      <c r="E306" s="23">
        <f t="shared" si="10"/>
        <v>0.54168700613952425</v>
      </c>
      <c r="F306" s="23">
        <f t="shared" si="11"/>
        <v>0.45831299386047586</v>
      </c>
      <c r="G306" s="6"/>
      <c r="H306" s="6"/>
      <c r="I306" s="4"/>
      <c r="J306" s="6"/>
      <c r="K306" s="6" t="s">
        <v>13</v>
      </c>
      <c r="L306" s="21"/>
      <c r="M306" s="6"/>
      <c r="N306" s="6" t="s">
        <v>32</v>
      </c>
      <c r="O306" s="6" t="s">
        <v>10</v>
      </c>
      <c r="P306" s="6" t="s">
        <v>10</v>
      </c>
      <c r="Q306" s="10"/>
      <c r="V306" s="12"/>
      <c r="W306" s="12"/>
    </row>
    <row r="307" spans="1:23" x14ac:dyDescent="0.25">
      <c r="A307" s="1">
        <v>305</v>
      </c>
      <c r="B307" s="15">
        <v>35.727398290000004</v>
      </c>
      <c r="C307" s="19">
        <v>22.325682420000007</v>
      </c>
      <c r="D307" s="19">
        <v>13.40171587</v>
      </c>
      <c r="E307" s="23">
        <f t="shared" si="10"/>
        <v>0.62488967818988661</v>
      </c>
      <c r="F307" s="23">
        <f t="shared" si="11"/>
        <v>0.3751103218101135</v>
      </c>
      <c r="G307" s="6"/>
      <c r="H307" s="6"/>
      <c r="I307" s="4"/>
      <c r="J307" s="6"/>
      <c r="K307" s="6" t="s">
        <v>13</v>
      </c>
      <c r="L307" s="21"/>
      <c r="M307" s="6"/>
      <c r="N307" s="6" t="s">
        <v>32</v>
      </c>
      <c r="O307" s="6" t="s">
        <v>10</v>
      </c>
      <c r="P307" s="6" t="s">
        <v>10</v>
      </c>
      <c r="Q307" s="10"/>
      <c r="V307" s="12"/>
      <c r="W307" s="12"/>
    </row>
    <row r="308" spans="1:23" x14ac:dyDescent="0.25">
      <c r="A308" s="1">
        <v>306</v>
      </c>
      <c r="B308" s="15">
        <v>49.971321449999998</v>
      </c>
      <c r="C308" s="19">
        <v>37.035512580000002</v>
      </c>
      <c r="D308" s="19">
        <v>12.935808869999999</v>
      </c>
      <c r="E308" s="23">
        <f t="shared" si="10"/>
        <v>0.74113534534116277</v>
      </c>
      <c r="F308" s="23">
        <f t="shared" si="11"/>
        <v>0.25886465465883729</v>
      </c>
      <c r="G308" s="6"/>
      <c r="H308" s="6"/>
      <c r="I308" s="4"/>
      <c r="J308" s="6"/>
      <c r="K308" s="6" t="s">
        <v>13</v>
      </c>
      <c r="L308" s="21"/>
      <c r="M308" s="6"/>
      <c r="N308" s="6" t="s">
        <v>29</v>
      </c>
      <c r="O308" s="6" t="s">
        <v>10</v>
      </c>
      <c r="P308" s="6" t="s">
        <v>10</v>
      </c>
      <c r="Q308" s="10"/>
      <c r="V308" s="12"/>
      <c r="W308" s="12"/>
    </row>
    <row r="309" spans="1:23" x14ac:dyDescent="0.25">
      <c r="A309" s="1">
        <v>307</v>
      </c>
      <c r="B309" s="15">
        <v>38.1925758</v>
      </c>
      <c r="C309" s="19">
        <v>30.649043589999998</v>
      </c>
      <c r="D309" s="19">
        <v>7.5435322100000004</v>
      </c>
      <c r="E309" s="23">
        <f t="shared" si="10"/>
        <v>0.80248694799998266</v>
      </c>
      <c r="F309" s="23">
        <f t="shared" si="11"/>
        <v>0.19751305200001726</v>
      </c>
      <c r="G309" s="6"/>
      <c r="H309" s="6"/>
      <c r="I309" s="4"/>
      <c r="J309" s="6"/>
      <c r="K309" s="6" t="s">
        <v>13</v>
      </c>
      <c r="L309" s="21"/>
      <c r="M309" s="6"/>
      <c r="N309" s="6" t="s">
        <v>32</v>
      </c>
      <c r="O309" s="6" t="s">
        <v>10</v>
      </c>
      <c r="P309" s="6" t="s">
        <v>10</v>
      </c>
      <c r="Q309" s="10"/>
      <c r="V309" s="12"/>
      <c r="W309" s="12"/>
    </row>
    <row r="310" spans="1:23" x14ac:dyDescent="0.25">
      <c r="A310" s="1">
        <v>308</v>
      </c>
      <c r="B310" s="15">
        <v>7.7466154299999994</v>
      </c>
      <c r="C310" s="19">
        <v>7.7466154299999994</v>
      </c>
      <c r="D310" s="19"/>
      <c r="E310" s="23">
        <f t="shared" si="10"/>
        <v>1</v>
      </c>
      <c r="F310" s="23">
        <f t="shared" si="11"/>
        <v>0</v>
      </c>
      <c r="G310" s="6"/>
      <c r="H310" s="6"/>
      <c r="I310" s="4"/>
      <c r="J310" s="6"/>
      <c r="K310" s="6" t="s">
        <v>13</v>
      </c>
      <c r="L310" s="21"/>
      <c r="M310" s="6"/>
      <c r="N310" s="6" t="s">
        <v>32</v>
      </c>
      <c r="O310" s="6" t="s">
        <v>10</v>
      </c>
      <c r="P310" s="6" t="s">
        <v>10</v>
      </c>
      <c r="Q310" s="10"/>
      <c r="V310" s="12"/>
      <c r="W310" s="12"/>
    </row>
    <row r="311" spans="1:23" x14ac:dyDescent="0.25">
      <c r="A311" s="1">
        <v>309</v>
      </c>
      <c r="B311" s="15">
        <v>14.666593950000001</v>
      </c>
      <c r="C311" s="19">
        <v>7.426293470000001</v>
      </c>
      <c r="D311" s="19">
        <v>7.2403004799999993</v>
      </c>
      <c r="E311" s="23">
        <f t="shared" si="10"/>
        <v>0.50634070155054645</v>
      </c>
      <c r="F311" s="23">
        <f t="shared" si="11"/>
        <v>0.4936592984494535</v>
      </c>
      <c r="G311" s="6"/>
      <c r="H311" s="6"/>
      <c r="I311" s="4"/>
      <c r="J311" s="6"/>
      <c r="K311" s="6" t="s">
        <v>13</v>
      </c>
      <c r="L311" s="21"/>
      <c r="M311" s="6"/>
      <c r="N311" s="6" t="s">
        <v>29</v>
      </c>
      <c r="O311" s="6" t="s">
        <v>10</v>
      </c>
      <c r="P311" s="6" t="s">
        <v>10</v>
      </c>
      <c r="Q311" s="10"/>
      <c r="V311" s="12"/>
      <c r="W311" s="12"/>
    </row>
    <row r="312" spans="1:23" x14ac:dyDescent="0.25">
      <c r="A312" s="1">
        <v>310</v>
      </c>
      <c r="B312" s="15">
        <v>33.593703550000001</v>
      </c>
      <c r="C312" s="19">
        <v>16.884782050000002</v>
      </c>
      <c r="D312" s="19">
        <v>16.708921499999999</v>
      </c>
      <c r="E312" s="23">
        <f t="shared" si="10"/>
        <v>0.50261746296799725</v>
      </c>
      <c r="F312" s="23">
        <f t="shared" si="11"/>
        <v>0.4973825370320028</v>
      </c>
      <c r="G312" s="6"/>
      <c r="H312" s="6"/>
      <c r="I312" s="4"/>
      <c r="J312" s="6"/>
      <c r="K312" s="6" t="s">
        <v>13</v>
      </c>
      <c r="L312" s="21"/>
      <c r="M312" s="6"/>
      <c r="N312" s="6" t="s">
        <v>32</v>
      </c>
      <c r="O312" s="6" t="s">
        <v>10</v>
      </c>
      <c r="P312" s="6" t="s">
        <v>10</v>
      </c>
      <c r="Q312" s="10"/>
      <c r="V312" s="12"/>
      <c r="W312" s="12"/>
    </row>
    <row r="313" spans="1:23" x14ac:dyDescent="0.25">
      <c r="A313" s="1">
        <v>311</v>
      </c>
      <c r="B313" s="15">
        <v>10.25406484</v>
      </c>
      <c r="C313" s="19">
        <v>10.25406484</v>
      </c>
      <c r="D313" s="19"/>
      <c r="E313" s="23">
        <f t="shared" si="10"/>
        <v>1</v>
      </c>
      <c r="F313" s="23">
        <f t="shared" si="11"/>
        <v>0</v>
      </c>
      <c r="G313" s="6"/>
      <c r="H313" s="6"/>
      <c r="I313" s="4"/>
      <c r="J313" s="6"/>
      <c r="K313" s="6" t="s">
        <v>13</v>
      </c>
      <c r="L313" s="21"/>
      <c r="M313" s="6"/>
      <c r="N313" s="6" t="s">
        <v>13</v>
      </c>
      <c r="O313" s="6" t="s">
        <v>13</v>
      </c>
      <c r="P313" s="6" t="s">
        <v>10</v>
      </c>
      <c r="Q313" s="10"/>
      <c r="V313" s="12"/>
      <c r="W313" s="12"/>
    </row>
    <row r="314" spans="1:23" x14ac:dyDescent="0.25">
      <c r="A314" s="1">
        <v>312</v>
      </c>
      <c r="B314" s="15">
        <v>28.313071299999997</v>
      </c>
      <c r="C314" s="19">
        <v>28.313071299999997</v>
      </c>
      <c r="D314" s="19"/>
      <c r="E314" s="23">
        <f t="shared" si="10"/>
        <v>1</v>
      </c>
      <c r="F314" s="23">
        <f t="shared" si="11"/>
        <v>0</v>
      </c>
      <c r="G314" s="6"/>
      <c r="H314" s="6"/>
      <c r="I314" s="4"/>
      <c r="J314" s="6"/>
      <c r="K314" s="6" t="s">
        <v>13</v>
      </c>
      <c r="L314" s="21"/>
      <c r="M314" s="6"/>
      <c r="N314" s="6" t="s">
        <v>13</v>
      </c>
      <c r="O314" s="6" t="s">
        <v>13</v>
      </c>
      <c r="P314" s="6" t="s">
        <v>10</v>
      </c>
      <c r="Q314" s="10"/>
      <c r="V314" s="12"/>
      <c r="W314" s="12"/>
    </row>
    <row r="315" spans="1:23" x14ac:dyDescent="0.25">
      <c r="A315" s="1">
        <v>313</v>
      </c>
      <c r="B315" s="15">
        <v>19.36184261</v>
      </c>
      <c r="C315" s="19">
        <v>8.6815381499999997</v>
      </c>
      <c r="D315" s="19">
        <v>10.680304459999999</v>
      </c>
      <c r="E315" s="23">
        <f t="shared" si="10"/>
        <v>0.44838388188922479</v>
      </c>
      <c r="F315" s="23">
        <f t="shared" si="11"/>
        <v>0.55161611811077516</v>
      </c>
      <c r="G315" s="6"/>
      <c r="H315" s="6"/>
      <c r="I315" s="4"/>
      <c r="J315" s="6"/>
      <c r="K315" s="6" t="s">
        <v>13</v>
      </c>
      <c r="L315" s="21"/>
      <c r="M315" s="6"/>
      <c r="N315" s="6" t="s">
        <v>57</v>
      </c>
      <c r="O315" s="6" t="s">
        <v>13</v>
      </c>
      <c r="P315" s="6" t="s">
        <v>10</v>
      </c>
      <c r="Q315" s="10"/>
      <c r="V315" s="12"/>
      <c r="W315" s="12"/>
    </row>
    <row r="316" spans="1:23" x14ac:dyDescent="0.25">
      <c r="A316" s="1">
        <v>314</v>
      </c>
      <c r="B316" s="15">
        <v>331.78038405000001</v>
      </c>
      <c r="C316" s="19">
        <v>130.64157026000004</v>
      </c>
      <c r="D316" s="19"/>
      <c r="E316" s="23">
        <f t="shared" si="10"/>
        <v>0.39375917486523881</v>
      </c>
      <c r="F316" s="23">
        <f t="shared" si="11"/>
        <v>0</v>
      </c>
      <c r="G316" s="6"/>
      <c r="H316" s="6"/>
      <c r="I316" s="4">
        <v>200.89641244999999</v>
      </c>
      <c r="J316" s="6" t="s">
        <v>10</v>
      </c>
      <c r="K316" s="6" t="s">
        <v>16</v>
      </c>
      <c r="L316" s="21">
        <v>2833.6</v>
      </c>
      <c r="M316" s="6" t="s">
        <v>10</v>
      </c>
      <c r="N316" s="6" t="s">
        <v>58</v>
      </c>
      <c r="O316" s="6" t="s">
        <v>10</v>
      </c>
      <c r="P316" s="6" t="s">
        <v>10</v>
      </c>
      <c r="Q316" s="10"/>
      <c r="V316" s="12"/>
      <c r="W316" s="12"/>
    </row>
    <row r="317" spans="1:23" x14ac:dyDescent="0.25">
      <c r="A317" s="1">
        <v>315</v>
      </c>
      <c r="B317" s="15">
        <v>58.739920589999997</v>
      </c>
      <c r="C317" s="19">
        <v>58.739920590000004</v>
      </c>
      <c r="D317" s="19"/>
      <c r="E317" s="23">
        <f t="shared" si="10"/>
        <v>1.0000000000000002</v>
      </c>
      <c r="F317" s="23">
        <f t="shared" si="11"/>
        <v>0</v>
      </c>
      <c r="G317" s="6"/>
      <c r="H317" s="6"/>
      <c r="I317" s="4"/>
      <c r="J317" s="6"/>
      <c r="K317" s="6" t="s">
        <v>13</v>
      </c>
      <c r="L317" s="21"/>
      <c r="M317" s="6"/>
      <c r="N317" s="6" t="s">
        <v>59</v>
      </c>
      <c r="O317" s="6" t="s">
        <v>10</v>
      </c>
      <c r="P317" s="6" t="s">
        <v>10</v>
      </c>
      <c r="Q317" s="10"/>
      <c r="V317" s="12"/>
      <c r="W317" s="12"/>
    </row>
    <row r="318" spans="1:23" x14ac:dyDescent="0.25">
      <c r="A318" s="1">
        <v>316</v>
      </c>
      <c r="B318" s="15">
        <v>92.743262419999994</v>
      </c>
      <c r="C318" s="19">
        <v>89.19128868</v>
      </c>
      <c r="D318" s="19">
        <v>3.5519737400000064</v>
      </c>
      <c r="E318" s="23">
        <f t="shared" si="10"/>
        <v>0.96170100503997347</v>
      </c>
      <c r="F318" s="23">
        <f t="shared" si="11"/>
        <v>3.8298994960026624E-2</v>
      </c>
      <c r="G318" s="6"/>
      <c r="H318" s="6"/>
      <c r="I318" s="4"/>
      <c r="J318" s="6"/>
      <c r="K318" s="6" t="s">
        <v>13</v>
      </c>
      <c r="L318" s="21"/>
      <c r="M318" s="6"/>
      <c r="N318" s="6" t="s">
        <v>60</v>
      </c>
      <c r="O318" s="6" t="s">
        <v>10</v>
      </c>
      <c r="P318" s="6" t="s">
        <v>10</v>
      </c>
      <c r="Q318" s="10"/>
      <c r="V318" s="12"/>
      <c r="W318" s="12"/>
    </row>
    <row r="319" spans="1:23" x14ac:dyDescent="0.25">
      <c r="A319" s="1">
        <v>317</v>
      </c>
      <c r="B319" s="16">
        <v>231.45521617</v>
      </c>
      <c r="C319" s="19">
        <v>133.57542606000001</v>
      </c>
      <c r="D319" s="19">
        <v>11.50672587</v>
      </c>
      <c r="E319" s="23">
        <f t="shared" si="10"/>
        <v>0.57711132317662306</v>
      </c>
      <c r="F319" s="23">
        <f t="shared" si="11"/>
        <v>4.9714696693413475E-2</v>
      </c>
      <c r="G319" s="6"/>
      <c r="H319" s="6"/>
      <c r="I319" s="4">
        <v>86.373064240000005</v>
      </c>
      <c r="J319" s="6" t="s">
        <v>10</v>
      </c>
      <c r="K319" s="6" t="s">
        <v>16</v>
      </c>
      <c r="L319" s="21"/>
      <c r="M319" s="6"/>
      <c r="N319" s="6" t="s">
        <v>61</v>
      </c>
      <c r="O319" s="6" t="s">
        <v>13</v>
      </c>
      <c r="P319" s="6" t="s">
        <v>10</v>
      </c>
      <c r="Q319" s="10"/>
      <c r="V319" s="12"/>
      <c r="W319" s="12"/>
    </row>
    <row r="320" spans="1:23" x14ac:dyDescent="0.25">
      <c r="A320" s="1">
        <v>318</v>
      </c>
      <c r="B320" s="16">
        <v>25.498926539999999</v>
      </c>
      <c r="C320" s="19">
        <v>22.170363049999999</v>
      </c>
      <c r="D320" s="19">
        <v>3.3285634899999996</v>
      </c>
      <c r="E320" s="23">
        <f t="shared" si="10"/>
        <v>0.86946260326769031</v>
      </c>
      <c r="F320" s="23">
        <f t="shared" si="11"/>
        <v>0.13053739673230966</v>
      </c>
      <c r="G320" s="6"/>
      <c r="H320" s="6"/>
      <c r="I320" s="4"/>
      <c r="J320" s="6"/>
      <c r="K320" s="6" t="s">
        <v>13</v>
      </c>
      <c r="L320" s="21"/>
      <c r="M320" s="6"/>
      <c r="N320" s="6" t="s">
        <v>13</v>
      </c>
      <c r="O320" s="6" t="s">
        <v>13</v>
      </c>
      <c r="P320" s="6" t="s">
        <v>10</v>
      </c>
      <c r="Q320" s="10"/>
      <c r="V320" s="12"/>
      <c r="W320" s="12"/>
    </row>
    <row r="321" spans="1:23" x14ac:dyDescent="0.25">
      <c r="A321" s="1">
        <v>319</v>
      </c>
      <c r="B321" s="16">
        <v>35.834308610000001</v>
      </c>
      <c r="C321" s="19">
        <v>35.834308610000001</v>
      </c>
      <c r="D321" s="19"/>
      <c r="E321" s="23">
        <f t="shared" si="10"/>
        <v>1</v>
      </c>
      <c r="F321" s="23">
        <f t="shared" si="11"/>
        <v>0</v>
      </c>
      <c r="G321" s="6"/>
      <c r="H321" s="6"/>
      <c r="I321" s="4"/>
      <c r="J321" s="6"/>
      <c r="K321" s="6" t="s">
        <v>13</v>
      </c>
      <c r="L321" s="21"/>
      <c r="M321" s="6"/>
      <c r="N321" s="6" t="s">
        <v>13</v>
      </c>
      <c r="O321" s="6" t="s">
        <v>13</v>
      </c>
      <c r="P321" s="6" t="s">
        <v>10</v>
      </c>
      <c r="Q321" s="10"/>
      <c r="V321" s="12"/>
      <c r="W321" s="12"/>
    </row>
    <row r="322" spans="1:23" x14ac:dyDescent="0.25">
      <c r="A322" s="1">
        <v>320</v>
      </c>
      <c r="B322" s="16">
        <v>30.320350189999996</v>
      </c>
      <c r="C322" s="19">
        <v>30.320350189999996</v>
      </c>
      <c r="D322" s="19"/>
      <c r="E322" s="23">
        <f t="shared" si="10"/>
        <v>1</v>
      </c>
      <c r="F322" s="23">
        <f t="shared" si="11"/>
        <v>0</v>
      </c>
      <c r="G322" s="6"/>
      <c r="H322" s="6"/>
      <c r="I322" s="4"/>
      <c r="J322" s="6"/>
      <c r="K322" s="6" t="s">
        <v>13</v>
      </c>
      <c r="L322" s="21"/>
      <c r="M322" s="6"/>
      <c r="N322" s="6" t="s">
        <v>13</v>
      </c>
      <c r="O322" s="6" t="s">
        <v>13</v>
      </c>
      <c r="P322" s="6" t="s">
        <v>10</v>
      </c>
      <c r="Q322" s="10"/>
      <c r="V322" s="12"/>
      <c r="W322" s="12"/>
    </row>
    <row r="323" spans="1:23" x14ac:dyDescent="0.25">
      <c r="A323" s="1">
        <v>321</v>
      </c>
      <c r="B323" s="16">
        <v>29.983599599999998</v>
      </c>
      <c r="C323" s="19">
        <v>29.983599599999998</v>
      </c>
      <c r="D323" s="19"/>
      <c r="E323" s="23">
        <f t="shared" si="10"/>
        <v>1</v>
      </c>
      <c r="F323" s="23">
        <f t="shared" si="11"/>
        <v>0</v>
      </c>
      <c r="G323" s="6"/>
      <c r="H323" s="6"/>
      <c r="I323" s="4"/>
      <c r="J323" s="6"/>
      <c r="K323" s="6" t="s">
        <v>13</v>
      </c>
      <c r="L323" s="21"/>
      <c r="M323" s="6"/>
      <c r="N323" s="6" t="s">
        <v>27</v>
      </c>
      <c r="O323" s="6" t="s">
        <v>13</v>
      </c>
      <c r="P323" s="6" t="s">
        <v>10</v>
      </c>
      <c r="Q323" s="10"/>
      <c r="V323" s="12"/>
      <c r="W323" s="12"/>
    </row>
    <row r="324" spans="1:23" x14ac:dyDescent="0.25">
      <c r="A324" s="1">
        <v>322</v>
      </c>
      <c r="B324" s="16">
        <v>29.938334220000002</v>
      </c>
      <c r="C324" s="19">
        <v>29.938334220000002</v>
      </c>
      <c r="D324" s="19"/>
      <c r="E324" s="23">
        <f t="shared" si="10"/>
        <v>1</v>
      </c>
      <c r="F324" s="23">
        <f t="shared" si="11"/>
        <v>0</v>
      </c>
      <c r="G324" s="6"/>
      <c r="H324" s="6"/>
      <c r="I324" s="4"/>
      <c r="J324" s="6"/>
      <c r="K324" s="6" t="s">
        <v>13</v>
      </c>
      <c r="L324" s="21"/>
      <c r="M324" s="6"/>
      <c r="N324" s="6" t="s">
        <v>62</v>
      </c>
      <c r="O324" s="6" t="s">
        <v>10</v>
      </c>
      <c r="P324" s="6" t="s">
        <v>10</v>
      </c>
      <c r="Q324" s="10"/>
      <c r="V324" s="12"/>
      <c r="W324" s="12"/>
    </row>
    <row r="325" spans="1:23" x14ac:dyDescent="0.25">
      <c r="A325" s="1">
        <v>323</v>
      </c>
      <c r="B325" s="15">
        <v>105.82008574000001</v>
      </c>
      <c r="C325" s="19">
        <v>105.82008574000001</v>
      </c>
      <c r="D325" s="19"/>
      <c r="E325" s="23">
        <f t="shared" si="10"/>
        <v>1</v>
      </c>
      <c r="F325" s="23">
        <f t="shared" si="11"/>
        <v>0</v>
      </c>
      <c r="G325" s="6"/>
      <c r="H325" s="6"/>
      <c r="I325" s="4"/>
      <c r="J325" s="6"/>
      <c r="K325" s="6" t="s">
        <v>13</v>
      </c>
      <c r="L325" s="21"/>
      <c r="M325" s="6"/>
      <c r="N325" s="6" t="s">
        <v>13</v>
      </c>
      <c r="O325" s="6" t="s">
        <v>13</v>
      </c>
      <c r="P325" s="6" t="s">
        <v>10</v>
      </c>
      <c r="Q325" s="10"/>
      <c r="V325" s="12"/>
      <c r="W325" s="12"/>
    </row>
    <row r="326" spans="1:23" x14ac:dyDescent="0.25">
      <c r="A326" s="1">
        <v>324</v>
      </c>
      <c r="B326" s="16">
        <v>129.02675475000001</v>
      </c>
      <c r="C326" s="19">
        <v>102.71195385</v>
      </c>
      <c r="D326" s="19">
        <v>5.0319703200000001</v>
      </c>
      <c r="E326" s="23">
        <f t="shared" si="10"/>
        <v>0.79605159448529017</v>
      </c>
      <c r="F326" s="23">
        <f t="shared" si="11"/>
        <v>3.8999433332643746E-2</v>
      </c>
      <c r="G326" s="6"/>
      <c r="H326" s="6"/>
      <c r="I326" s="4">
        <v>21.282830579999999</v>
      </c>
      <c r="J326" s="6" t="s">
        <v>10</v>
      </c>
      <c r="K326" s="6" t="s">
        <v>16</v>
      </c>
      <c r="L326" s="21">
        <v>569.63729999999998</v>
      </c>
      <c r="M326" s="6" t="s">
        <v>10</v>
      </c>
      <c r="N326" s="6" t="s">
        <v>63</v>
      </c>
      <c r="O326" s="6" t="s">
        <v>10</v>
      </c>
      <c r="P326" s="6" t="s">
        <v>10</v>
      </c>
      <c r="Q326" s="10"/>
      <c r="V326" s="12"/>
      <c r="W326" s="12"/>
    </row>
    <row r="327" spans="1:23" x14ac:dyDescent="0.25">
      <c r="A327" s="1">
        <v>325</v>
      </c>
      <c r="B327" s="16">
        <v>41.46763945</v>
      </c>
      <c r="C327" s="19">
        <v>41.46763945</v>
      </c>
      <c r="D327" s="19"/>
      <c r="E327" s="23">
        <f t="shared" si="10"/>
        <v>1</v>
      </c>
      <c r="F327" s="23">
        <f t="shared" si="11"/>
        <v>0</v>
      </c>
      <c r="G327" s="6"/>
      <c r="H327" s="6"/>
      <c r="I327" s="4"/>
      <c r="J327" s="6"/>
      <c r="K327" s="6" t="s">
        <v>13</v>
      </c>
      <c r="L327" s="21"/>
      <c r="M327" s="6"/>
      <c r="N327" s="6" t="s">
        <v>32</v>
      </c>
      <c r="O327" s="6" t="s">
        <v>10</v>
      </c>
      <c r="P327" s="6" t="s">
        <v>10</v>
      </c>
      <c r="Q327" s="10"/>
      <c r="V327" s="12"/>
      <c r="W327" s="12"/>
    </row>
    <row r="328" spans="1:23" x14ac:dyDescent="0.25">
      <c r="A328" s="1">
        <v>326</v>
      </c>
      <c r="B328" s="16">
        <v>26.102616359999999</v>
      </c>
      <c r="C328" s="19">
        <v>13.244886300000001</v>
      </c>
      <c r="D328" s="19"/>
      <c r="E328" s="23">
        <f t="shared" si="10"/>
        <v>0.50741604279548935</v>
      </c>
      <c r="F328" s="23">
        <f t="shared" si="11"/>
        <v>0</v>
      </c>
      <c r="G328" s="6"/>
      <c r="H328" s="6"/>
      <c r="I328" s="4">
        <v>12.85773006</v>
      </c>
      <c r="J328" s="6" t="s">
        <v>10</v>
      </c>
      <c r="K328" s="6" t="s">
        <v>16</v>
      </c>
      <c r="L328" s="21"/>
      <c r="M328" s="6"/>
      <c r="N328" s="6" t="s">
        <v>64</v>
      </c>
      <c r="O328" s="6" t="s">
        <v>13</v>
      </c>
      <c r="P328" s="6" t="s">
        <v>10</v>
      </c>
      <c r="Q328" s="10"/>
      <c r="V328" s="12"/>
      <c r="W328" s="12"/>
    </row>
    <row r="329" spans="1:23" x14ac:dyDescent="0.25">
      <c r="A329" s="1">
        <v>327</v>
      </c>
      <c r="B329" s="16">
        <v>26.773752630000004</v>
      </c>
      <c r="C329" s="19">
        <v>23.868997830000005</v>
      </c>
      <c r="D329" s="19">
        <v>2.9047548000000001</v>
      </c>
      <c r="E329" s="23">
        <f t="shared" si="10"/>
        <v>0.89150737141176017</v>
      </c>
      <c r="F329" s="23">
        <f t="shared" si="11"/>
        <v>0.10849262858823984</v>
      </c>
      <c r="G329" s="6"/>
      <c r="H329" s="6"/>
      <c r="I329" s="4"/>
      <c r="J329" s="6"/>
      <c r="K329" s="6" t="s">
        <v>13</v>
      </c>
      <c r="L329" s="21"/>
      <c r="M329" s="6"/>
      <c r="N329" s="6" t="s">
        <v>27</v>
      </c>
      <c r="O329" s="6" t="s">
        <v>13</v>
      </c>
      <c r="P329" s="6" t="s">
        <v>10</v>
      </c>
      <c r="Q329" s="10"/>
      <c r="V329" s="12"/>
      <c r="W329" s="12"/>
    </row>
    <row r="330" spans="1:23" x14ac:dyDescent="0.25">
      <c r="A330" s="1">
        <v>328</v>
      </c>
      <c r="B330" s="16">
        <v>51.78008415</v>
      </c>
      <c r="C330" s="19">
        <v>51.78008415</v>
      </c>
      <c r="D330" s="19"/>
      <c r="E330" s="23">
        <f t="shared" si="10"/>
        <v>1</v>
      </c>
      <c r="F330" s="23">
        <f t="shared" si="11"/>
        <v>0</v>
      </c>
      <c r="G330" s="6"/>
      <c r="H330" s="6"/>
      <c r="I330" s="4"/>
      <c r="J330" s="6"/>
      <c r="K330" s="6" t="s">
        <v>13</v>
      </c>
      <c r="L330" s="21"/>
      <c r="M330" s="6"/>
      <c r="N330" s="6" t="s">
        <v>27</v>
      </c>
      <c r="O330" s="6" t="s">
        <v>13</v>
      </c>
      <c r="P330" s="6" t="s">
        <v>10</v>
      </c>
      <c r="Q330" s="10"/>
      <c r="V330" s="12"/>
      <c r="W330" s="12"/>
    </row>
    <row r="331" spans="1:23" x14ac:dyDescent="0.25">
      <c r="A331" s="1">
        <v>329</v>
      </c>
      <c r="B331" s="16">
        <v>129.88550339</v>
      </c>
      <c r="C331" s="19">
        <v>120.88116006999999</v>
      </c>
      <c r="D331" s="19"/>
      <c r="E331" s="23">
        <f t="shared" si="10"/>
        <v>0.93067476288740891</v>
      </c>
      <c r="F331" s="23">
        <f t="shared" si="11"/>
        <v>0</v>
      </c>
      <c r="G331" s="6"/>
      <c r="H331" s="6"/>
      <c r="I331" s="4">
        <v>9.0043433200000003</v>
      </c>
      <c r="J331" s="6" t="s">
        <v>10</v>
      </c>
      <c r="K331" s="6" t="s">
        <v>22</v>
      </c>
      <c r="L331" s="21"/>
      <c r="M331" s="6"/>
      <c r="N331" s="6" t="s">
        <v>35</v>
      </c>
      <c r="O331" s="6" t="s">
        <v>13</v>
      </c>
      <c r="P331" s="6" t="s">
        <v>10</v>
      </c>
      <c r="Q331" s="10"/>
      <c r="V331" s="12"/>
      <c r="W331" s="12"/>
    </row>
    <row r="332" spans="1:23" x14ac:dyDescent="0.25">
      <c r="A332" s="1">
        <v>330</v>
      </c>
      <c r="B332" s="15">
        <v>25.999495570000001</v>
      </c>
      <c r="C332" s="19">
        <v>25.999495570000001</v>
      </c>
      <c r="D332" s="19"/>
      <c r="E332" s="23">
        <f t="shared" si="10"/>
        <v>1</v>
      </c>
      <c r="F332" s="23">
        <f t="shared" si="11"/>
        <v>0</v>
      </c>
      <c r="G332" s="6"/>
      <c r="H332" s="6"/>
      <c r="I332" s="4"/>
      <c r="J332" s="6"/>
      <c r="K332" s="6" t="s">
        <v>13</v>
      </c>
      <c r="L332" s="21"/>
      <c r="M332" s="6"/>
      <c r="N332" s="6" t="s">
        <v>13</v>
      </c>
      <c r="O332" s="6" t="s">
        <v>13</v>
      </c>
      <c r="P332" s="6" t="s">
        <v>10</v>
      </c>
      <c r="Q332" s="10"/>
      <c r="V332" s="12"/>
      <c r="W332" s="12"/>
    </row>
    <row r="333" spans="1:23" x14ac:dyDescent="0.25">
      <c r="A333" s="1">
        <v>331</v>
      </c>
      <c r="B333" s="15">
        <v>25.748489320000001</v>
      </c>
      <c r="C333" s="19">
        <v>20.880706350000001</v>
      </c>
      <c r="D333" s="19"/>
      <c r="E333" s="23">
        <f t="shared" si="10"/>
        <v>0.81094879355819227</v>
      </c>
      <c r="F333" s="23">
        <f t="shared" si="11"/>
        <v>0</v>
      </c>
      <c r="G333" s="6"/>
      <c r="H333" s="6"/>
      <c r="I333" s="4">
        <v>4.8677829700000004</v>
      </c>
      <c r="J333" s="6" t="s">
        <v>10</v>
      </c>
      <c r="K333" s="6" t="s">
        <v>16</v>
      </c>
      <c r="L333" s="21"/>
      <c r="M333" s="6"/>
      <c r="N333" s="6" t="s">
        <v>55</v>
      </c>
      <c r="O333" s="6" t="s">
        <v>10</v>
      </c>
      <c r="P333" s="6" t="s">
        <v>10</v>
      </c>
      <c r="Q333" s="10"/>
      <c r="V333" s="12"/>
      <c r="W333" s="12"/>
    </row>
    <row r="334" spans="1:23" x14ac:dyDescent="0.25">
      <c r="A334" s="1">
        <v>332</v>
      </c>
      <c r="B334" s="15">
        <v>26.038185739999999</v>
      </c>
      <c r="C334" s="19">
        <v>24.642422910000001</v>
      </c>
      <c r="D334" s="19"/>
      <c r="E334" s="23">
        <f t="shared" si="10"/>
        <v>0.94639554214962751</v>
      </c>
      <c r="F334" s="23">
        <f t="shared" si="11"/>
        <v>0</v>
      </c>
      <c r="G334" s="6"/>
      <c r="H334" s="6"/>
      <c r="I334" s="4">
        <v>1.39576283</v>
      </c>
      <c r="J334" s="6" t="s">
        <v>10</v>
      </c>
      <c r="K334" s="6" t="s">
        <v>16</v>
      </c>
      <c r="L334" s="21"/>
      <c r="M334" s="6"/>
      <c r="N334" s="6" t="s">
        <v>13</v>
      </c>
      <c r="O334" s="6" t="s">
        <v>13</v>
      </c>
      <c r="P334" s="6" t="s">
        <v>10</v>
      </c>
      <c r="Q334" s="10"/>
      <c r="V334" s="12"/>
      <c r="W334" s="12"/>
    </row>
    <row r="335" spans="1:23" x14ac:dyDescent="0.25">
      <c r="A335" s="1">
        <v>333</v>
      </c>
      <c r="B335" s="15">
        <v>25.710211210000001</v>
      </c>
      <c r="C335" s="19">
        <v>25.710211210000001</v>
      </c>
      <c r="D335" s="19"/>
      <c r="E335" s="23">
        <f t="shared" si="10"/>
        <v>1</v>
      </c>
      <c r="F335" s="23">
        <f t="shared" si="11"/>
        <v>0</v>
      </c>
      <c r="G335" s="6"/>
      <c r="H335" s="6"/>
      <c r="I335" s="4"/>
      <c r="J335" s="6"/>
      <c r="K335" s="6" t="s">
        <v>13</v>
      </c>
      <c r="L335" s="21">
        <v>19.551600000000001</v>
      </c>
      <c r="M335" s="6" t="s">
        <v>10</v>
      </c>
      <c r="N335" s="6" t="s">
        <v>65</v>
      </c>
      <c r="O335" s="6" t="s">
        <v>10</v>
      </c>
      <c r="P335" s="6" t="s">
        <v>10</v>
      </c>
      <c r="Q335" s="10"/>
      <c r="V335" s="12"/>
      <c r="W335" s="12"/>
    </row>
    <row r="336" spans="1:23" x14ac:dyDescent="0.25">
      <c r="A336" s="1">
        <v>334</v>
      </c>
      <c r="B336" s="15">
        <v>51.943089110000003</v>
      </c>
      <c r="C336" s="19">
        <v>42.354403189999999</v>
      </c>
      <c r="D336" s="19"/>
      <c r="E336" s="23">
        <f t="shared" si="10"/>
        <v>0.81540016036216056</v>
      </c>
      <c r="F336" s="23">
        <f t="shared" si="11"/>
        <v>0</v>
      </c>
      <c r="G336" s="6"/>
      <c r="H336" s="6"/>
      <c r="I336" s="4">
        <v>9.5886859200000014</v>
      </c>
      <c r="J336" s="6" t="s">
        <v>10</v>
      </c>
      <c r="K336" s="6" t="s">
        <v>16</v>
      </c>
      <c r="L336" s="21"/>
      <c r="M336" s="6"/>
      <c r="N336" s="6" t="s">
        <v>38</v>
      </c>
      <c r="O336" s="6" t="s">
        <v>13</v>
      </c>
      <c r="P336" s="6" t="s">
        <v>10</v>
      </c>
      <c r="Q336" s="10"/>
      <c r="V336" s="12"/>
      <c r="W336" s="12"/>
    </row>
    <row r="337" spans="1:23" x14ac:dyDescent="0.25">
      <c r="A337" s="1">
        <v>335</v>
      </c>
      <c r="B337" s="15">
        <v>66.09562579</v>
      </c>
      <c r="C337" s="19">
        <v>66.09562579</v>
      </c>
      <c r="D337" s="19"/>
      <c r="E337" s="23">
        <f t="shared" si="10"/>
        <v>1</v>
      </c>
      <c r="F337" s="23">
        <f t="shared" si="11"/>
        <v>0</v>
      </c>
      <c r="G337" s="6"/>
      <c r="H337" s="6"/>
      <c r="I337" s="4"/>
      <c r="J337" s="6"/>
      <c r="K337" s="6" t="s">
        <v>13</v>
      </c>
      <c r="L337" s="21"/>
      <c r="M337" s="6"/>
      <c r="N337" s="6" t="s">
        <v>13</v>
      </c>
      <c r="O337" s="6" t="s">
        <v>13</v>
      </c>
      <c r="P337" s="6" t="s">
        <v>10</v>
      </c>
      <c r="Q337" s="10"/>
      <c r="V337" s="12"/>
      <c r="W337" s="12"/>
    </row>
    <row r="338" spans="1:23" x14ac:dyDescent="0.25">
      <c r="A338" s="1">
        <v>336</v>
      </c>
      <c r="B338" s="16">
        <v>25.619788719999999</v>
      </c>
      <c r="C338" s="19">
        <v>20.36776253</v>
      </c>
      <c r="D338" s="19"/>
      <c r="E338" s="23">
        <f t="shared" si="10"/>
        <v>0.79500119039233053</v>
      </c>
      <c r="F338" s="23">
        <f t="shared" si="11"/>
        <v>0</v>
      </c>
      <c r="G338" s="6"/>
      <c r="H338" s="6"/>
      <c r="I338" s="4">
        <v>5.2520261899999996</v>
      </c>
      <c r="J338" s="6" t="s">
        <v>10</v>
      </c>
      <c r="K338" s="6" t="s">
        <v>16</v>
      </c>
      <c r="L338" s="21">
        <v>175.0993</v>
      </c>
      <c r="M338" s="6" t="s">
        <v>10</v>
      </c>
      <c r="N338" s="6" t="s">
        <v>66</v>
      </c>
      <c r="O338" s="6" t="s">
        <v>10</v>
      </c>
      <c r="P338" s="6" t="s">
        <v>10</v>
      </c>
      <c r="Q338" s="10"/>
      <c r="V338" s="12"/>
      <c r="W338" s="12"/>
    </row>
    <row r="339" spans="1:23" x14ac:dyDescent="0.25">
      <c r="A339" s="1">
        <v>337</v>
      </c>
      <c r="B339" s="16">
        <v>26.163943659999997</v>
      </c>
      <c r="C339" s="19">
        <v>26.163943659999997</v>
      </c>
      <c r="D339" s="19"/>
      <c r="E339" s="23">
        <f t="shared" si="10"/>
        <v>1</v>
      </c>
      <c r="F339" s="23">
        <f t="shared" si="11"/>
        <v>0</v>
      </c>
      <c r="G339" s="6"/>
      <c r="H339" s="6"/>
      <c r="I339" s="4"/>
      <c r="J339" s="6"/>
      <c r="K339" s="6" t="s">
        <v>13</v>
      </c>
      <c r="L339" s="21"/>
      <c r="M339" s="6"/>
      <c r="N339" s="6" t="s">
        <v>13</v>
      </c>
      <c r="O339" s="6" t="s">
        <v>13</v>
      </c>
      <c r="P339" s="6" t="s">
        <v>10</v>
      </c>
      <c r="Q339" s="10"/>
      <c r="V339" s="12"/>
      <c r="W339" s="12"/>
    </row>
    <row r="340" spans="1:23" x14ac:dyDescent="0.25">
      <c r="A340" s="1">
        <v>338</v>
      </c>
      <c r="B340" s="16">
        <v>25.646507719999999</v>
      </c>
      <c r="C340" s="19">
        <v>19.913414759999998</v>
      </c>
      <c r="D340" s="19">
        <v>5.7330929600000005</v>
      </c>
      <c r="E340" s="23">
        <f t="shared" si="10"/>
        <v>0.77645716825885247</v>
      </c>
      <c r="F340" s="23">
        <f t="shared" si="11"/>
        <v>0.2235428317411475</v>
      </c>
      <c r="G340" s="6"/>
      <c r="H340" s="6"/>
      <c r="I340" s="4"/>
      <c r="J340" s="6"/>
      <c r="K340" s="6" t="s">
        <v>13</v>
      </c>
      <c r="L340" s="21"/>
      <c r="M340" s="6"/>
      <c r="N340" s="6" t="s">
        <v>13</v>
      </c>
      <c r="O340" s="6" t="s">
        <v>13</v>
      </c>
      <c r="P340" s="6" t="s">
        <v>10</v>
      </c>
      <c r="Q340" s="10"/>
      <c r="V340" s="12"/>
      <c r="W340" s="12"/>
    </row>
    <row r="341" spans="1:23" x14ac:dyDescent="0.25">
      <c r="A341" s="1">
        <v>339</v>
      </c>
      <c r="B341" s="16">
        <v>53.557711750000003</v>
      </c>
      <c r="C341" s="19">
        <v>33.841541919999997</v>
      </c>
      <c r="D341" s="19"/>
      <c r="E341" s="23">
        <f t="shared" si="10"/>
        <v>0.63187057128145496</v>
      </c>
      <c r="F341" s="23">
        <f t="shared" si="11"/>
        <v>0</v>
      </c>
      <c r="G341" s="6"/>
      <c r="H341" s="6"/>
      <c r="I341" s="4">
        <v>19.66123292</v>
      </c>
      <c r="J341" s="6" t="s">
        <v>10</v>
      </c>
      <c r="K341" s="6" t="s">
        <v>16</v>
      </c>
      <c r="L341" s="21">
        <v>549.3691</v>
      </c>
      <c r="M341" s="6" t="s">
        <v>10</v>
      </c>
      <c r="N341" s="6" t="s">
        <v>67</v>
      </c>
      <c r="O341" s="6" t="s">
        <v>10</v>
      </c>
      <c r="P341" s="6" t="s">
        <v>10</v>
      </c>
      <c r="Q341" s="10"/>
      <c r="V341" s="12"/>
      <c r="W341" s="12"/>
    </row>
    <row r="342" spans="1:23" x14ac:dyDescent="0.25">
      <c r="A342" s="1">
        <v>340</v>
      </c>
      <c r="B342" s="15">
        <v>271.86423994999996</v>
      </c>
      <c r="C342" s="19">
        <v>271.86423994999996</v>
      </c>
      <c r="D342" s="19"/>
      <c r="E342" s="23">
        <f t="shared" si="10"/>
        <v>1</v>
      </c>
      <c r="F342" s="23">
        <f t="shared" si="11"/>
        <v>0</v>
      </c>
      <c r="G342" s="6"/>
      <c r="H342" s="6"/>
      <c r="I342" s="4"/>
      <c r="J342" s="6"/>
      <c r="K342" s="6" t="s">
        <v>13</v>
      </c>
      <c r="L342" s="21"/>
      <c r="M342" s="6"/>
      <c r="N342" s="6" t="s">
        <v>65</v>
      </c>
      <c r="O342" s="6" t="s">
        <v>10</v>
      </c>
      <c r="P342" s="6" t="s">
        <v>10</v>
      </c>
      <c r="Q342" s="10"/>
      <c r="V342" s="12"/>
      <c r="W342" s="12"/>
    </row>
    <row r="343" spans="1:23" x14ac:dyDescent="0.25">
      <c r="A343" s="1">
        <v>341</v>
      </c>
      <c r="B343" s="15">
        <v>25.62799674</v>
      </c>
      <c r="C343" s="19">
        <v>24.611990590000001</v>
      </c>
      <c r="D343" s="19"/>
      <c r="E343" s="23">
        <f t="shared" si="10"/>
        <v>0.96035561576242034</v>
      </c>
      <c r="F343" s="23">
        <f t="shared" si="11"/>
        <v>0</v>
      </c>
      <c r="G343" s="6"/>
      <c r="H343" s="6"/>
      <c r="I343" s="4">
        <v>1.0160061499999999</v>
      </c>
      <c r="J343" s="6" t="s">
        <v>10</v>
      </c>
      <c r="K343" s="6" t="s">
        <v>22</v>
      </c>
      <c r="L343" s="21">
        <v>45.692900000000002</v>
      </c>
      <c r="M343" s="6" t="s">
        <v>10</v>
      </c>
      <c r="N343" s="6" t="s">
        <v>68</v>
      </c>
      <c r="O343" s="6" t="s">
        <v>13</v>
      </c>
      <c r="P343" s="6" t="s">
        <v>10</v>
      </c>
      <c r="Q343" s="10"/>
      <c r="V343" s="12"/>
      <c r="W343" s="12"/>
    </row>
    <row r="344" spans="1:23" x14ac:dyDescent="0.25">
      <c r="A344" s="1">
        <v>342</v>
      </c>
      <c r="B344" s="15">
        <v>25.754781619999999</v>
      </c>
      <c r="C344" s="19">
        <v>25.754781619999999</v>
      </c>
      <c r="D344" s="19"/>
      <c r="E344" s="23">
        <f t="shared" si="10"/>
        <v>1</v>
      </c>
      <c r="F344" s="23">
        <f t="shared" si="11"/>
        <v>0</v>
      </c>
      <c r="G344" s="6"/>
      <c r="H344" s="6"/>
      <c r="I344" s="4"/>
      <c r="J344" s="6"/>
      <c r="K344" s="6" t="s">
        <v>13</v>
      </c>
      <c r="L344" s="21"/>
      <c r="M344" s="6"/>
      <c r="N344" s="6" t="s">
        <v>27</v>
      </c>
      <c r="O344" s="6" t="s">
        <v>13</v>
      </c>
      <c r="P344" s="6" t="s">
        <v>10</v>
      </c>
      <c r="Q344" s="10"/>
      <c r="V344" s="12"/>
      <c r="W344" s="12"/>
    </row>
    <row r="345" spans="1:23" x14ac:dyDescent="0.25">
      <c r="A345" s="1">
        <v>343</v>
      </c>
      <c r="B345" s="15">
        <v>102.14580649999999</v>
      </c>
      <c r="C345" s="19">
        <v>102.14580649999999</v>
      </c>
      <c r="D345" s="19"/>
      <c r="E345" s="23">
        <f t="shared" si="10"/>
        <v>1</v>
      </c>
      <c r="F345" s="23">
        <f t="shared" si="11"/>
        <v>0</v>
      </c>
      <c r="G345" s="6"/>
      <c r="H345" s="6"/>
      <c r="I345" s="4"/>
      <c r="J345" s="6"/>
      <c r="K345" s="6" t="s">
        <v>13</v>
      </c>
      <c r="L345" s="21"/>
      <c r="M345" s="6"/>
      <c r="N345" s="6" t="s">
        <v>65</v>
      </c>
      <c r="O345" s="6" t="s">
        <v>10</v>
      </c>
      <c r="P345" s="6" t="s">
        <v>10</v>
      </c>
      <c r="Q345" s="10"/>
      <c r="V345" s="12"/>
      <c r="W345" s="12"/>
    </row>
    <row r="346" spans="1:23" x14ac:dyDescent="0.25">
      <c r="A346" s="1">
        <v>344</v>
      </c>
      <c r="B346" s="15">
        <v>33.684595620000003</v>
      </c>
      <c r="C346" s="19">
        <v>33.684595620000003</v>
      </c>
      <c r="D346" s="19"/>
      <c r="E346" s="23">
        <f t="shared" si="10"/>
        <v>1</v>
      </c>
      <c r="F346" s="23">
        <f t="shared" si="11"/>
        <v>0</v>
      </c>
      <c r="G346" s="6"/>
      <c r="H346" s="6"/>
      <c r="I346" s="4"/>
      <c r="J346" s="6"/>
      <c r="K346" s="6" t="s">
        <v>13</v>
      </c>
      <c r="L346" s="21"/>
      <c r="M346" s="6"/>
      <c r="N346" s="6" t="s">
        <v>62</v>
      </c>
      <c r="O346" s="6" t="s">
        <v>10</v>
      </c>
      <c r="P346" s="6" t="s">
        <v>10</v>
      </c>
      <c r="Q346" s="10"/>
      <c r="V346" s="12"/>
      <c r="W346" s="12"/>
    </row>
    <row r="347" spans="1:23" x14ac:dyDescent="0.25">
      <c r="A347" s="1">
        <v>345</v>
      </c>
      <c r="B347" s="16">
        <v>10.18030514</v>
      </c>
      <c r="C347" s="19">
        <v>10.18030514</v>
      </c>
      <c r="D347" s="19"/>
      <c r="E347" s="23">
        <f t="shared" si="10"/>
        <v>1</v>
      </c>
      <c r="F347" s="23">
        <f t="shared" si="11"/>
        <v>0</v>
      </c>
      <c r="G347" s="6"/>
      <c r="H347" s="6"/>
      <c r="I347" s="4"/>
      <c r="J347" s="6"/>
      <c r="K347" s="6" t="s">
        <v>13</v>
      </c>
      <c r="L347" s="21"/>
      <c r="M347" s="6"/>
      <c r="N347" s="6" t="s">
        <v>60</v>
      </c>
      <c r="O347" s="6" t="s">
        <v>10</v>
      </c>
      <c r="P347" s="6" t="s">
        <v>10</v>
      </c>
      <c r="Q347" s="10"/>
      <c r="V347" s="12"/>
      <c r="W347" s="12"/>
    </row>
    <row r="348" spans="1:23" x14ac:dyDescent="0.25">
      <c r="A348" s="1">
        <v>346</v>
      </c>
      <c r="B348" s="16">
        <v>10.63602122</v>
      </c>
      <c r="C348" s="19">
        <v>10.63602122</v>
      </c>
      <c r="D348" s="19"/>
      <c r="E348" s="23">
        <f t="shared" ref="E348:E383" si="12">C348/B348</f>
        <v>1</v>
      </c>
      <c r="F348" s="23">
        <f t="shared" ref="F348:F383" si="13">D348/B348</f>
        <v>0</v>
      </c>
      <c r="G348" s="6"/>
      <c r="H348" s="6"/>
      <c r="I348" s="4"/>
      <c r="J348" s="6"/>
      <c r="K348" s="6" t="s">
        <v>13</v>
      </c>
      <c r="L348" s="21">
        <v>6.9222000000000001</v>
      </c>
      <c r="M348" s="6" t="s">
        <v>10</v>
      </c>
      <c r="N348" s="6" t="s">
        <v>69</v>
      </c>
      <c r="O348" s="6" t="s">
        <v>10</v>
      </c>
      <c r="P348" s="6" t="s">
        <v>10</v>
      </c>
      <c r="Q348" s="10"/>
      <c r="V348" s="12"/>
      <c r="W348" s="12"/>
    </row>
    <row r="349" spans="1:23" x14ac:dyDescent="0.25">
      <c r="A349" s="1">
        <v>347</v>
      </c>
      <c r="B349" s="16">
        <v>16.408809609999999</v>
      </c>
      <c r="C349" s="19">
        <v>11.7814201</v>
      </c>
      <c r="D349" s="19">
        <v>4.0058297899999999</v>
      </c>
      <c r="E349" s="23">
        <f t="shared" si="12"/>
        <v>0.71799358881098019</v>
      </c>
      <c r="F349" s="23">
        <f t="shared" si="13"/>
        <v>0.24412677611657657</v>
      </c>
      <c r="G349" s="6"/>
      <c r="H349" s="6"/>
      <c r="I349" s="4">
        <v>0.62155972000000004</v>
      </c>
      <c r="J349" s="6" t="s">
        <v>10</v>
      </c>
      <c r="K349" s="6" t="s">
        <v>16</v>
      </c>
      <c r="L349" s="21"/>
      <c r="M349" s="6"/>
      <c r="N349" s="6" t="s">
        <v>70</v>
      </c>
      <c r="O349" s="6" t="s">
        <v>13</v>
      </c>
      <c r="P349" s="6" t="s">
        <v>10</v>
      </c>
      <c r="Q349" s="10"/>
      <c r="V349" s="12"/>
      <c r="W349" s="12"/>
    </row>
    <row r="350" spans="1:23" x14ac:dyDescent="0.25">
      <c r="A350" s="1">
        <v>348</v>
      </c>
      <c r="B350" s="14">
        <v>195.75877496999999</v>
      </c>
      <c r="C350" s="19">
        <v>195.75877496999999</v>
      </c>
      <c r="D350" s="19"/>
      <c r="E350" s="23">
        <f t="shared" si="12"/>
        <v>1</v>
      </c>
      <c r="F350" s="23">
        <f t="shared" si="13"/>
        <v>0</v>
      </c>
      <c r="G350" s="6"/>
      <c r="H350" s="6"/>
      <c r="I350" s="4"/>
      <c r="J350" s="6"/>
      <c r="K350" s="6" t="s">
        <v>13</v>
      </c>
      <c r="L350" s="21"/>
      <c r="M350" s="6"/>
      <c r="N350" s="6" t="s">
        <v>71</v>
      </c>
      <c r="O350" s="6" t="s">
        <v>13</v>
      </c>
      <c r="P350" s="6" t="s">
        <v>10</v>
      </c>
      <c r="Q350" s="10"/>
      <c r="R350" s="27"/>
      <c r="V350" s="12"/>
      <c r="W350" s="12"/>
    </row>
    <row r="351" spans="1:23" x14ac:dyDescent="0.25">
      <c r="A351" s="1">
        <v>349</v>
      </c>
      <c r="B351" s="16">
        <v>43.938320860000005</v>
      </c>
      <c r="C351" s="19"/>
      <c r="D351" s="19"/>
      <c r="E351" s="23">
        <f t="shared" si="12"/>
        <v>0</v>
      </c>
      <c r="F351" s="23">
        <f t="shared" si="13"/>
        <v>0</v>
      </c>
      <c r="G351" s="6"/>
      <c r="H351" s="6"/>
      <c r="I351" s="4">
        <v>43.938320860000005</v>
      </c>
      <c r="J351" s="6" t="s">
        <v>10</v>
      </c>
      <c r="K351" s="6" t="s">
        <v>16</v>
      </c>
      <c r="L351" s="21"/>
      <c r="M351" s="6"/>
      <c r="N351" s="6" t="s">
        <v>29</v>
      </c>
      <c r="O351" s="6" t="s">
        <v>10</v>
      </c>
      <c r="P351" s="6" t="s">
        <v>10</v>
      </c>
      <c r="Q351" s="10"/>
      <c r="V351" s="12"/>
      <c r="W351" s="12"/>
    </row>
    <row r="352" spans="1:23" x14ac:dyDescent="0.25">
      <c r="A352" s="1">
        <v>350</v>
      </c>
      <c r="B352" s="16">
        <v>25.741207800000002</v>
      </c>
      <c r="C352" s="19">
        <v>25.741207800000002</v>
      </c>
      <c r="D352" s="19"/>
      <c r="E352" s="23">
        <f t="shared" si="12"/>
        <v>1</v>
      </c>
      <c r="F352" s="23">
        <f t="shared" si="13"/>
        <v>0</v>
      </c>
      <c r="G352" s="6"/>
      <c r="H352" s="6"/>
      <c r="I352" s="4"/>
      <c r="J352" s="6"/>
      <c r="K352" s="6" t="s">
        <v>13</v>
      </c>
      <c r="L352" s="21"/>
      <c r="M352" s="6"/>
      <c r="N352" s="6" t="s">
        <v>32</v>
      </c>
      <c r="O352" s="6" t="s">
        <v>10</v>
      </c>
      <c r="P352" s="6" t="s">
        <v>10</v>
      </c>
      <c r="Q352" s="10"/>
      <c r="V352" s="12"/>
      <c r="W352" s="12"/>
    </row>
    <row r="353" spans="1:23" x14ac:dyDescent="0.25">
      <c r="A353" s="1">
        <v>351</v>
      </c>
      <c r="B353" s="16">
        <v>25.775568229999998</v>
      </c>
      <c r="C353" s="19">
        <v>25.775568229999998</v>
      </c>
      <c r="D353" s="19"/>
      <c r="E353" s="23">
        <f t="shared" si="12"/>
        <v>1</v>
      </c>
      <c r="F353" s="23">
        <f t="shared" si="13"/>
        <v>0</v>
      </c>
      <c r="G353" s="6"/>
      <c r="H353" s="6"/>
      <c r="I353" s="4"/>
      <c r="J353" s="6"/>
      <c r="K353" s="6" t="s">
        <v>13</v>
      </c>
      <c r="L353" s="21"/>
      <c r="M353" s="6"/>
      <c r="N353" s="6" t="s">
        <v>68</v>
      </c>
      <c r="O353" s="6" t="s">
        <v>13</v>
      </c>
      <c r="P353" s="6" t="s">
        <v>10</v>
      </c>
      <c r="Q353" s="10"/>
      <c r="V353" s="12"/>
      <c r="W353" s="12"/>
    </row>
    <row r="354" spans="1:23" x14ac:dyDescent="0.25">
      <c r="A354" s="1">
        <v>352</v>
      </c>
      <c r="B354" s="16">
        <v>66.459447569999995</v>
      </c>
      <c r="C354" s="19">
        <v>50.313335559999999</v>
      </c>
      <c r="D354" s="19">
        <v>16.14611201</v>
      </c>
      <c r="E354" s="23">
        <f t="shared" si="12"/>
        <v>0.75705317151494944</v>
      </c>
      <c r="F354" s="23">
        <f t="shared" si="13"/>
        <v>0.24294682848505056</v>
      </c>
      <c r="G354" s="6"/>
      <c r="H354" s="6"/>
      <c r="I354" s="4"/>
      <c r="J354" s="6"/>
      <c r="K354" s="6" t="s">
        <v>13</v>
      </c>
      <c r="L354" s="21">
        <v>5.4821999999999997</v>
      </c>
      <c r="M354" s="6" t="s">
        <v>10</v>
      </c>
      <c r="N354" s="6" t="s">
        <v>27</v>
      </c>
      <c r="O354" s="6" t="s">
        <v>13</v>
      </c>
      <c r="P354" s="6" t="s">
        <v>10</v>
      </c>
      <c r="Q354" s="10"/>
      <c r="V354" s="12"/>
      <c r="W354" s="12"/>
    </row>
    <row r="355" spans="1:23" x14ac:dyDescent="0.25">
      <c r="A355" s="1">
        <v>353</v>
      </c>
      <c r="B355" s="14">
        <v>0.91971119000000001</v>
      </c>
      <c r="C355" s="19">
        <v>0.91971119000000001</v>
      </c>
      <c r="D355" s="19"/>
      <c r="E355" s="23">
        <f t="shared" si="12"/>
        <v>1</v>
      </c>
      <c r="F355" s="23">
        <f t="shared" si="13"/>
        <v>0</v>
      </c>
      <c r="G355" s="6"/>
      <c r="H355" s="6"/>
      <c r="I355" s="4"/>
      <c r="J355" s="6"/>
      <c r="K355" s="6" t="s">
        <v>13</v>
      </c>
      <c r="L355" s="21"/>
      <c r="M355" s="6"/>
      <c r="N355" s="6" t="s">
        <v>34</v>
      </c>
      <c r="O355" s="6" t="s">
        <v>13</v>
      </c>
      <c r="P355" s="6" t="s">
        <v>10</v>
      </c>
      <c r="Q355" s="10"/>
      <c r="V355" s="12"/>
      <c r="W355" s="12"/>
    </row>
    <row r="356" spans="1:23" x14ac:dyDescent="0.25">
      <c r="A356" s="1">
        <v>354</v>
      </c>
      <c r="B356" s="14">
        <v>39.468569819999999</v>
      </c>
      <c r="C356" s="19">
        <v>24.369598740000001</v>
      </c>
      <c r="D356" s="19">
        <v>0.47865814000000001</v>
      </c>
      <c r="E356" s="23">
        <f t="shared" si="12"/>
        <v>0.61744316683223566</v>
      </c>
      <c r="F356" s="23">
        <f t="shared" si="13"/>
        <v>1.2127577517578265E-2</v>
      </c>
      <c r="G356" s="6"/>
      <c r="H356" s="6"/>
      <c r="I356" s="4">
        <v>14.62031294</v>
      </c>
      <c r="J356" s="6" t="s">
        <v>10</v>
      </c>
      <c r="K356" s="6" t="s">
        <v>22</v>
      </c>
      <c r="L356" s="21"/>
      <c r="M356" s="6"/>
      <c r="N356" s="6" t="s">
        <v>29</v>
      </c>
      <c r="O356" s="6" t="s">
        <v>10</v>
      </c>
      <c r="P356" s="6" t="s">
        <v>10</v>
      </c>
      <c r="Q356" s="10"/>
      <c r="R356" s="27"/>
      <c r="V356" s="12"/>
      <c r="W356" s="12"/>
    </row>
    <row r="357" spans="1:23" x14ac:dyDescent="0.25">
      <c r="A357" s="1">
        <v>355</v>
      </c>
      <c r="B357" s="16">
        <v>7.9068793399999997</v>
      </c>
      <c r="C357" s="19">
        <v>0.14992397000000057</v>
      </c>
      <c r="D357" s="19">
        <v>1.9135898899999999</v>
      </c>
      <c r="E357" s="23">
        <f t="shared" si="12"/>
        <v>1.8961206255109057E-2</v>
      </c>
      <c r="F357" s="23">
        <f t="shared" si="13"/>
        <v>0.24201582036535793</v>
      </c>
      <c r="G357" s="6"/>
      <c r="H357" s="6"/>
      <c r="I357" s="4">
        <v>5.8433654799999992</v>
      </c>
      <c r="J357" s="6" t="s">
        <v>10</v>
      </c>
      <c r="K357" s="6" t="s">
        <v>16</v>
      </c>
      <c r="L357" s="21"/>
      <c r="M357" s="6"/>
      <c r="N357" s="6" t="s">
        <v>31</v>
      </c>
      <c r="O357" s="6" t="s">
        <v>13</v>
      </c>
      <c r="P357" s="6" t="s">
        <v>10</v>
      </c>
      <c r="Q357" s="10"/>
      <c r="V357" s="12"/>
      <c r="W357" s="12"/>
    </row>
    <row r="358" spans="1:23" x14ac:dyDescent="0.25">
      <c r="A358" s="1">
        <v>356</v>
      </c>
      <c r="B358" s="16">
        <v>6.2796003999999996</v>
      </c>
      <c r="C358" s="19"/>
      <c r="D358" s="19">
        <v>6.2796003999999996</v>
      </c>
      <c r="E358" s="23">
        <f t="shared" si="12"/>
        <v>0</v>
      </c>
      <c r="F358" s="23">
        <f t="shared" si="13"/>
        <v>1</v>
      </c>
      <c r="G358" s="6"/>
      <c r="H358" s="6"/>
      <c r="I358" s="4"/>
      <c r="J358" s="6"/>
      <c r="K358" s="6" t="s">
        <v>13</v>
      </c>
      <c r="L358" s="21"/>
      <c r="M358" s="6"/>
      <c r="N358" s="6" t="s">
        <v>59</v>
      </c>
      <c r="O358" s="6" t="s">
        <v>10</v>
      </c>
      <c r="P358" s="6" t="s">
        <v>10</v>
      </c>
      <c r="Q358" s="10"/>
      <c r="V358" s="12"/>
      <c r="W358" s="12"/>
    </row>
    <row r="359" spans="1:23" x14ac:dyDescent="0.25">
      <c r="A359" s="1">
        <v>357</v>
      </c>
      <c r="B359" s="16">
        <v>4.75679505</v>
      </c>
      <c r="C359" s="19">
        <v>0.12091414999999996</v>
      </c>
      <c r="D359" s="19">
        <v>1.3228514999999998</v>
      </c>
      <c r="E359" s="23">
        <f t="shared" si="12"/>
        <v>2.5419247356473759E-2</v>
      </c>
      <c r="F359" s="23">
        <f t="shared" si="13"/>
        <v>0.27809722430652123</v>
      </c>
      <c r="G359" s="6"/>
      <c r="H359" s="6"/>
      <c r="I359" s="4">
        <v>3.3130294</v>
      </c>
      <c r="J359" s="6" t="s">
        <v>10</v>
      </c>
      <c r="K359" s="6" t="s">
        <v>16</v>
      </c>
      <c r="L359" s="21">
        <v>30.999600000000001</v>
      </c>
      <c r="M359" s="6" t="s">
        <v>10</v>
      </c>
      <c r="N359" s="6" t="s">
        <v>53</v>
      </c>
      <c r="O359" s="6" t="s">
        <v>10</v>
      </c>
      <c r="P359" s="6" t="s">
        <v>10</v>
      </c>
      <c r="Q359" s="10"/>
      <c r="V359" s="12"/>
      <c r="W359" s="12"/>
    </row>
    <row r="360" spans="1:23" x14ac:dyDescent="0.25">
      <c r="A360" s="1">
        <v>358</v>
      </c>
      <c r="B360" s="16">
        <v>33.576460749999995</v>
      </c>
      <c r="C360" s="19">
        <v>0.58860744000000009</v>
      </c>
      <c r="D360" s="19">
        <v>32.987853309999998</v>
      </c>
      <c r="E360" s="23">
        <f t="shared" si="12"/>
        <v>1.7530359866770658E-2</v>
      </c>
      <c r="F360" s="23">
        <f t="shared" si="13"/>
        <v>0.98246964013322946</v>
      </c>
      <c r="G360" s="6"/>
      <c r="H360" s="6"/>
      <c r="I360" s="4"/>
      <c r="J360" s="6"/>
      <c r="K360" s="6" t="s">
        <v>13</v>
      </c>
      <c r="L360" s="21"/>
      <c r="M360" s="6"/>
      <c r="N360" s="6" t="s">
        <v>68</v>
      </c>
      <c r="O360" s="6" t="s">
        <v>13</v>
      </c>
      <c r="P360" s="6" t="s">
        <v>10</v>
      </c>
      <c r="Q360" s="10"/>
      <c r="V360" s="12"/>
      <c r="W360" s="12"/>
    </row>
    <row r="361" spans="1:23" x14ac:dyDescent="0.25">
      <c r="A361" s="1">
        <v>359</v>
      </c>
      <c r="B361" s="16">
        <v>89.000706249999993</v>
      </c>
      <c r="C361" s="19">
        <v>26.062506010000007</v>
      </c>
      <c r="D361" s="19">
        <v>50.530624629999998</v>
      </c>
      <c r="E361" s="23">
        <f t="shared" si="12"/>
        <v>0.29283482242029973</v>
      </c>
      <c r="F361" s="23">
        <f t="shared" si="13"/>
        <v>0.5677553219416166</v>
      </c>
      <c r="G361" s="6"/>
      <c r="H361" s="6"/>
      <c r="I361" s="4">
        <v>12.40757561</v>
      </c>
      <c r="J361" s="6" t="s">
        <v>10</v>
      </c>
      <c r="K361" s="6" t="s">
        <v>16</v>
      </c>
      <c r="L361" s="21"/>
      <c r="M361" s="6"/>
      <c r="N361" s="6" t="s">
        <v>72</v>
      </c>
      <c r="O361" s="6" t="s">
        <v>10</v>
      </c>
      <c r="P361" s="6" t="s">
        <v>10</v>
      </c>
      <c r="Q361" s="10"/>
      <c r="V361" s="12"/>
      <c r="W361" s="12"/>
    </row>
    <row r="362" spans="1:23" x14ac:dyDescent="0.25">
      <c r="A362" s="1">
        <v>360</v>
      </c>
      <c r="B362" s="16">
        <v>182.76120936000001</v>
      </c>
      <c r="C362" s="19">
        <v>46.920087920000014</v>
      </c>
      <c r="D362" s="19">
        <v>31.67933343</v>
      </c>
      <c r="E362" s="23">
        <f t="shared" si="12"/>
        <v>0.25672892012646731</v>
      </c>
      <c r="F362" s="23">
        <f t="shared" si="13"/>
        <v>0.17333729373391579</v>
      </c>
      <c r="G362" s="6">
        <v>99.869755380000001</v>
      </c>
      <c r="H362" s="6" t="s">
        <v>10</v>
      </c>
      <c r="I362" s="4">
        <v>4.2920326300000005</v>
      </c>
      <c r="J362" s="6" t="s">
        <v>10</v>
      </c>
      <c r="K362" s="6" t="s">
        <v>16</v>
      </c>
      <c r="L362" s="21">
        <v>449.23700000000002</v>
      </c>
      <c r="M362" s="6" t="s">
        <v>10</v>
      </c>
      <c r="N362" s="6" t="s">
        <v>73</v>
      </c>
      <c r="O362" s="6" t="s">
        <v>10</v>
      </c>
      <c r="P362" s="6" t="s">
        <v>10</v>
      </c>
      <c r="Q362" s="10"/>
      <c r="U362" s="9"/>
      <c r="V362" s="12"/>
      <c r="W362" s="12"/>
    </row>
    <row r="363" spans="1:23" x14ac:dyDescent="0.25">
      <c r="A363" s="1">
        <v>361</v>
      </c>
      <c r="B363" s="16">
        <v>102.74195252999999</v>
      </c>
      <c r="C363" s="19">
        <v>80.981171529999997</v>
      </c>
      <c r="D363" s="19">
        <v>21.760781000000001</v>
      </c>
      <c r="E363" s="23">
        <f t="shared" si="12"/>
        <v>0.78819965492045729</v>
      </c>
      <c r="F363" s="23">
        <f t="shared" si="13"/>
        <v>0.21180034507954279</v>
      </c>
      <c r="G363" s="6"/>
      <c r="H363" s="6"/>
      <c r="I363" s="4"/>
      <c r="J363" s="6"/>
      <c r="K363" s="6" t="s">
        <v>13</v>
      </c>
      <c r="L363" s="21"/>
      <c r="M363" s="6"/>
      <c r="N363" s="6" t="s">
        <v>32</v>
      </c>
      <c r="O363" s="6" t="s">
        <v>10</v>
      </c>
      <c r="P363" s="6" t="s">
        <v>10</v>
      </c>
      <c r="Q363" s="10"/>
      <c r="U363" s="9"/>
      <c r="V363" s="12"/>
      <c r="W363" s="12"/>
    </row>
    <row r="364" spans="1:23" x14ac:dyDescent="0.25">
      <c r="A364" s="1">
        <v>362</v>
      </c>
      <c r="B364" s="16">
        <v>12.319909540000001</v>
      </c>
      <c r="C364" s="19"/>
      <c r="D364" s="19">
        <v>12.319909540000001</v>
      </c>
      <c r="E364" s="23">
        <f t="shared" si="12"/>
        <v>0</v>
      </c>
      <c r="F364" s="23">
        <f t="shared" si="13"/>
        <v>1</v>
      </c>
      <c r="G364" s="6"/>
      <c r="H364" s="6"/>
      <c r="I364" s="4"/>
      <c r="J364" s="6"/>
      <c r="K364" s="6" t="s">
        <v>13</v>
      </c>
      <c r="L364" s="21"/>
      <c r="M364" s="6"/>
      <c r="N364" s="6" t="s">
        <v>13</v>
      </c>
      <c r="O364" s="6" t="s">
        <v>13</v>
      </c>
      <c r="P364" s="6" t="s">
        <v>10</v>
      </c>
      <c r="Q364" s="10"/>
      <c r="U364" s="9"/>
      <c r="V364" s="12"/>
      <c r="W364" s="12"/>
    </row>
    <row r="365" spans="1:23" x14ac:dyDescent="0.25">
      <c r="A365" s="1">
        <v>363</v>
      </c>
      <c r="B365" s="16">
        <v>9.9269207099999992</v>
      </c>
      <c r="C365" s="19">
        <v>9.9269207099999992</v>
      </c>
      <c r="D365" s="19"/>
      <c r="E365" s="23">
        <f t="shared" si="12"/>
        <v>1</v>
      </c>
      <c r="F365" s="23">
        <f t="shared" si="13"/>
        <v>0</v>
      </c>
      <c r="G365" s="6"/>
      <c r="H365" s="6"/>
      <c r="I365" s="4"/>
      <c r="J365" s="6"/>
      <c r="K365" s="6" t="s">
        <v>13</v>
      </c>
      <c r="L365" s="21">
        <v>5.8266</v>
      </c>
      <c r="M365" s="6" t="s">
        <v>10</v>
      </c>
      <c r="N365" s="6" t="s">
        <v>29</v>
      </c>
      <c r="O365" s="6" t="s">
        <v>10</v>
      </c>
      <c r="P365" s="6" t="s">
        <v>10</v>
      </c>
      <c r="Q365" s="10"/>
      <c r="U365" s="9"/>
      <c r="V365" s="12"/>
      <c r="W365" s="12"/>
    </row>
    <row r="366" spans="1:23" x14ac:dyDescent="0.25">
      <c r="A366" s="1">
        <v>364</v>
      </c>
      <c r="B366" s="16">
        <v>29.100635590000003</v>
      </c>
      <c r="C366" s="19">
        <v>29.100635590000003</v>
      </c>
      <c r="D366" s="19"/>
      <c r="E366" s="23">
        <f t="shared" si="12"/>
        <v>1</v>
      </c>
      <c r="F366" s="23">
        <f t="shared" si="13"/>
        <v>0</v>
      </c>
      <c r="G366" s="6"/>
      <c r="H366" s="6"/>
      <c r="I366" s="4"/>
      <c r="J366" s="6"/>
      <c r="K366" s="6" t="s">
        <v>13</v>
      </c>
      <c r="L366" s="21"/>
      <c r="M366" s="6"/>
      <c r="N366" s="6" t="s">
        <v>36</v>
      </c>
      <c r="O366" s="6" t="s">
        <v>10</v>
      </c>
      <c r="P366" s="6" t="s">
        <v>10</v>
      </c>
      <c r="Q366" s="10"/>
      <c r="U366" s="9"/>
      <c r="V366" s="12"/>
      <c r="W366" s="12"/>
    </row>
    <row r="367" spans="1:23" x14ac:dyDescent="0.25">
      <c r="A367" s="1">
        <v>365</v>
      </c>
      <c r="B367" s="16">
        <v>117.51390131999999</v>
      </c>
      <c r="C367" s="19">
        <v>69.255496780000001</v>
      </c>
      <c r="D367" s="19">
        <v>17.988755269999999</v>
      </c>
      <c r="E367" s="23">
        <f t="shared" si="12"/>
        <v>0.58933875909209754</v>
      </c>
      <c r="F367" s="23">
        <f t="shared" si="13"/>
        <v>0.15307767904849948</v>
      </c>
      <c r="G367" s="6">
        <v>29.778056109999998</v>
      </c>
      <c r="H367" s="6" t="s">
        <v>10</v>
      </c>
      <c r="I367" s="4">
        <v>0.49159315999999997</v>
      </c>
      <c r="J367" s="6" t="s">
        <v>10</v>
      </c>
      <c r="K367" s="6" t="s">
        <v>16</v>
      </c>
      <c r="L367" s="21">
        <v>482.9674</v>
      </c>
      <c r="M367" s="6" t="s">
        <v>10</v>
      </c>
      <c r="N367" s="6" t="s">
        <v>74</v>
      </c>
      <c r="O367" s="6" t="s">
        <v>13</v>
      </c>
      <c r="P367" s="6" t="s">
        <v>10</v>
      </c>
      <c r="Q367" s="10"/>
      <c r="U367" s="9"/>
      <c r="V367" s="12"/>
      <c r="W367" s="12"/>
    </row>
    <row r="368" spans="1:23" x14ac:dyDescent="0.25">
      <c r="A368" s="1">
        <v>366</v>
      </c>
      <c r="B368" s="16">
        <v>18.9899895</v>
      </c>
      <c r="C368" s="19">
        <v>11.21760521</v>
      </c>
      <c r="D368" s="19"/>
      <c r="E368" s="23">
        <f t="shared" si="12"/>
        <v>0.59071150144659113</v>
      </c>
      <c r="F368" s="23">
        <f t="shared" si="13"/>
        <v>0</v>
      </c>
      <c r="G368" s="6"/>
      <c r="H368" s="6"/>
      <c r="I368" s="4">
        <v>7.7723842900000006</v>
      </c>
      <c r="J368" s="6" t="s">
        <v>10</v>
      </c>
      <c r="K368" s="6" t="s">
        <v>16</v>
      </c>
      <c r="L368" s="21"/>
      <c r="M368" s="6"/>
      <c r="N368" s="6" t="s">
        <v>36</v>
      </c>
      <c r="O368" s="6" t="s">
        <v>10</v>
      </c>
      <c r="P368" s="6" t="s">
        <v>10</v>
      </c>
      <c r="Q368" s="10"/>
      <c r="U368" s="9"/>
      <c r="V368" s="12"/>
      <c r="W368" s="12"/>
    </row>
    <row r="369" spans="1:23" x14ac:dyDescent="0.25">
      <c r="A369" s="1">
        <v>367</v>
      </c>
      <c r="B369" s="16">
        <v>7.7710035999999993</v>
      </c>
      <c r="C369" s="19">
        <v>7.7710035999999993</v>
      </c>
      <c r="D369" s="19"/>
      <c r="E369" s="23">
        <f t="shared" si="12"/>
        <v>1</v>
      </c>
      <c r="F369" s="23">
        <f t="shared" si="13"/>
        <v>0</v>
      </c>
      <c r="G369" s="6"/>
      <c r="H369" s="6"/>
      <c r="I369" s="4"/>
      <c r="J369" s="6"/>
      <c r="K369" s="6" t="s">
        <v>13</v>
      </c>
      <c r="L369" s="21"/>
      <c r="M369" s="6"/>
      <c r="N369" s="6" t="s">
        <v>32</v>
      </c>
      <c r="O369" s="6" t="s">
        <v>10</v>
      </c>
      <c r="P369" s="6" t="s">
        <v>10</v>
      </c>
      <c r="Q369" s="10"/>
      <c r="U369" s="9"/>
      <c r="V369" s="12"/>
      <c r="W369" s="12"/>
    </row>
    <row r="370" spans="1:23" x14ac:dyDescent="0.25">
      <c r="A370" s="1">
        <v>368</v>
      </c>
      <c r="B370" s="16">
        <v>26.02502432</v>
      </c>
      <c r="C370" s="19"/>
      <c r="D370" s="19"/>
      <c r="E370" s="23">
        <f t="shared" si="12"/>
        <v>0</v>
      </c>
      <c r="F370" s="23">
        <f t="shared" si="13"/>
        <v>0</v>
      </c>
      <c r="G370" s="6"/>
      <c r="H370" s="6"/>
      <c r="I370" s="4">
        <v>26.02502432</v>
      </c>
      <c r="J370" s="6" t="s">
        <v>10</v>
      </c>
      <c r="K370" s="6" t="s">
        <v>20</v>
      </c>
      <c r="L370" s="21">
        <v>217.42189999999999</v>
      </c>
      <c r="M370" s="6" t="s">
        <v>10</v>
      </c>
      <c r="N370" s="6" t="s">
        <v>32</v>
      </c>
      <c r="O370" s="6" t="s">
        <v>10</v>
      </c>
      <c r="P370" s="6" t="s">
        <v>10</v>
      </c>
      <c r="Q370" s="10"/>
      <c r="U370" s="9"/>
      <c r="V370" s="12"/>
      <c r="W370" s="12"/>
    </row>
    <row r="371" spans="1:23" x14ac:dyDescent="0.25">
      <c r="A371" s="1">
        <v>369</v>
      </c>
      <c r="B371" s="16">
        <v>25.97671064</v>
      </c>
      <c r="C371" s="19">
        <v>25.97671064</v>
      </c>
      <c r="D371" s="19"/>
      <c r="E371" s="23">
        <f t="shared" si="12"/>
        <v>1</v>
      </c>
      <c r="F371" s="23">
        <f t="shared" si="13"/>
        <v>0</v>
      </c>
      <c r="G371" s="6"/>
      <c r="H371" s="6"/>
      <c r="I371" s="4"/>
      <c r="J371" s="6"/>
      <c r="K371" s="6" t="s">
        <v>13</v>
      </c>
      <c r="L371" s="21"/>
      <c r="M371" s="6"/>
      <c r="N371" s="6" t="s">
        <v>50</v>
      </c>
      <c r="O371" s="6" t="s">
        <v>13</v>
      </c>
      <c r="P371" s="6" t="s">
        <v>10</v>
      </c>
      <c r="Q371" s="10"/>
      <c r="U371" s="9"/>
      <c r="V371" s="12"/>
      <c r="W371" s="12"/>
    </row>
    <row r="372" spans="1:23" x14ac:dyDescent="0.25">
      <c r="A372" s="1">
        <v>370</v>
      </c>
      <c r="B372" s="16">
        <v>28.728938429999996</v>
      </c>
      <c r="C372" s="19">
        <v>18.486164679999998</v>
      </c>
      <c r="D372" s="19">
        <v>10.24277375</v>
      </c>
      <c r="E372" s="23">
        <f t="shared" si="12"/>
        <v>0.64346842209442545</v>
      </c>
      <c r="F372" s="23">
        <f t="shared" si="13"/>
        <v>0.3565315779055746</v>
      </c>
      <c r="G372" s="6"/>
      <c r="H372" s="6"/>
      <c r="I372" s="4"/>
      <c r="J372" s="6"/>
      <c r="K372" s="6" t="s">
        <v>13</v>
      </c>
      <c r="L372" s="21"/>
      <c r="M372" s="6"/>
      <c r="N372" s="6" t="s">
        <v>59</v>
      </c>
      <c r="O372" s="6" t="s">
        <v>10</v>
      </c>
      <c r="P372" s="6" t="s">
        <v>10</v>
      </c>
      <c r="Q372" s="10"/>
      <c r="U372" s="9"/>
      <c r="V372" s="12"/>
      <c r="W372" s="12"/>
    </row>
    <row r="373" spans="1:23" x14ac:dyDescent="0.25">
      <c r="A373" s="1">
        <v>371</v>
      </c>
      <c r="B373" s="16">
        <v>6.2159744799999999</v>
      </c>
      <c r="C373" s="19">
        <v>6.2159744799999999</v>
      </c>
      <c r="D373" s="19"/>
      <c r="E373" s="23">
        <f t="shared" si="12"/>
        <v>1</v>
      </c>
      <c r="F373" s="23">
        <f t="shared" si="13"/>
        <v>0</v>
      </c>
      <c r="G373" s="6"/>
      <c r="H373" s="6"/>
      <c r="I373" s="4"/>
      <c r="J373" s="6"/>
      <c r="K373" s="6" t="s">
        <v>13</v>
      </c>
      <c r="L373" s="21"/>
      <c r="M373" s="6"/>
      <c r="N373" s="6" t="s">
        <v>75</v>
      </c>
      <c r="O373" s="6" t="s">
        <v>10</v>
      </c>
      <c r="P373" s="6" t="s">
        <v>10</v>
      </c>
      <c r="Q373" s="10"/>
      <c r="U373" s="9"/>
      <c r="V373" s="12"/>
      <c r="W373" s="12"/>
    </row>
    <row r="374" spans="1:23" x14ac:dyDescent="0.25">
      <c r="A374" s="1">
        <v>372</v>
      </c>
      <c r="B374" s="16">
        <v>19.467843429999999</v>
      </c>
      <c r="C374" s="19">
        <v>19.467843429999999</v>
      </c>
      <c r="D374" s="19"/>
      <c r="E374" s="23">
        <f t="shared" si="12"/>
        <v>1</v>
      </c>
      <c r="F374" s="23">
        <f t="shared" si="13"/>
        <v>0</v>
      </c>
      <c r="G374" s="6"/>
      <c r="H374" s="6"/>
      <c r="I374" s="4"/>
      <c r="J374" s="6"/>
      <c r="K374" s="6" t="s">
        <v>13</v>
      </c>
      <c r="L374" s="21"/>
      <c r="M374" s="6"/>
      <c r="N374" s="6" t="s">
        <v>68</v>
      </c>
      <c r="O374" s="6" t="s">
        <v>13</v>
      </c>
      <c r="P374" s="6" t="s">
        <v>10</v>
      </c>
      <c r="Q374" s="10"/>
      <c r="U374" s="9"/>
      <c r="V374" s="12"/>
      <c r="W374" s="12"/>
    </row>
    <row r="375" spans="1:23" x14ac:dyDescent="0.25">
      <c r="A375" s="1">
        <v>373</v>
      </c>
      <c r="B375" s="16">
        <v>56.392204779999993</v>
      </c>
      <c r="C375" s="19">
        <v>52.650149859999992</v>
      </c>
      <c r="D375" s="19">
        <v>3.7420549200000002</v>
      </c>
      <c r="E375" s="23">
        <f t="shared" si="12"/>
        <v>0.933642337010963</v>
      </c>
      <c r="F375" s="23">
        <f t="shared" si="13"/>
        <v>6.6357662989036989E-2</v>
      </c>
      <c r="G375" s="6"/>
      <c r="H375" s="6"/>
      <c r="I375" s="4"/>
      <c r="J375" s="6"/>
      <c r="K375" s="6" t="s">
        <v>13</v>
      </c>
      <c r="L375" s="21"/>
      <c r="M375" s="6"/>
      <c r="N375" s="6" t="s">
        <v>70</v>
      </c>
      <c r="O375" s="6" t="s">
        <v>13</v>
      </c>
      <c r="P375" s="6" t="s">
        <v>10</v>
      </c>
      <c r="Q375" s="10"/>
      <c r="U375" s="9"/>
      <c r="V375" s="12"/>
      <c r="W375" s="12"/>
    </row>
    <row r="376" spans="1:23" x14ac:dyDescent="0.25">
      <c r="A376" s="1">
        <v>374</v>
      </c>
      <c r="B376" s="16">
        <v>16.181214350000001</v>
      </c>
      <c r="C376" s="19"/>
      <c r="D376" s="19">
        <v>16.181214350000001</v>
      </c>
      <c r="E376" s="23">
        <f t="shared" si="12"/>
        <v>0</v>
      </c>
      <c r="F376" s="23">
        <f t="shared" si="13"/>
        <v>1</v>
      </c>
      <c r="G376" s="6"/>
      <c r="H376" s="6"/>
      <c r="I376" s="4"/>
      <c r="J376" s="6"/>
      <c r="K376" s="6" t="s">
        <v>13</v>
      </c>
      <c r="L376" s="21"/>
      <c r="M376" s="6"/>
      <c r="N376" s="6" t="s">
        <v>34</v>
      </c>
      <c r="O376" s="6" t="s">
        <v>13</v>
      </c>
      <c r="P376" s="6" t="s">
        <v>10</v>
      </c>
      <c r="Q376" s="10"/>
      <c r="U376" s="9"/>
      <c r="V376" s="12"/>
      <c r="W376" s="12"/>
    </row>
    <row r="377" spans="1:23" x14ac:dyDescent="0.25">
      <c r="A377" s="1">
        <v>375</v>
      </c>
      <c r="B377" s="16">
        <v>9.3014928900000005</v>
      </c>
      <c r="C377" s="19"/>
      <c r="D377" s="19">
        <v>8.62212289</v>
      </c>
      <c r="E377" s="23">
        <f t="shared" si="12"/>
        <v>0</v>
      </c>
      <c r="F377" s="23">
        <f t="shared" si="13"/>
        <v>0.92696118697995367</v>
      </c>
      <c r="G377" s="6"/>
      <c r="H377" s="6"/>
      <c r="I377" s="4">
        <f>6793.7/10000</f>
        <v>0.67937000000000003</v>
      </c>
      <c r="J377" s="6" t="s">
        <v>10</v>
      </c>
      <c r="K377" s="6" t="s">
        <v>20</v>
      </c>
      <c r="L377" s="21">
        <v>12.2172</v>
      </c>
      <c r="M377" s="6" t="s">
        <v>10</v>
      </c>
      <c r="N377" s="6" t="s">
        <v>34</v>
      </c>
      <c r="O377" s="6" t="s">
        <v>13</v>
      </c>
      <c r="P377" s="6" t="s">
        <v>10</v>
      </c>
      <c r="Q377" s="10"/>
      <c r="U377" s="9"/>
      <c r="V377" s="12"/>
      <c r="W377" s="12"/>
    </row>
    <row r="378" spans="1:23" x14ac:dyDescent="0.25">
      <c r="A378" s="1">
        <v>376</v>
      </c>
      <c r="B378" s="16">
        <v>70.596107619999998</v>
      </c>
      <c r="C378" s="19"/>
      <c r="D378" s="19">
        <v>70.596107619999998</v>
      </c>
      <c r="E378" s="23">
        <f t="shared" si="12"/>
        <v>0</v>
      </c>
      <c r="F378" s="23">
        <f t="shared" si="13"/>
        <v>1</v>
      </c>
      <c r="G378" s="6"/>
      <c r="H378" s="6"/>
      <c r="I378" s="4"/>
      <c r="J378" s="6"/>
      <c r="K378" s="6" t="s">
        <v>13</v>
      </c>
      <c r="L378" s="21"/>
      <c r="M378" s="6"/>
      <c r="N378" s="6" t="s">
        <v>13</v>
      </c>
      <c r="O378" s="6" t="s">
        <v>13</v>
      </c>
      <c r="P378" s="6" t="s">
        <v>10</v>
      </c>
      <c r="Q378" s="10"/>
      <c r="U378" s="9"/>
      <c r="V378" s="12"/>
      <c r="W378" s="12"/>
    </row>
    <row r="379" spans="1:23" x14ac:dyDescent="0.25">
      <c r="A379" s="1">
        <v>377</v>
      </c>
      <c r="B379" s="16">
        <v>21.515279639999999</v>
      </c>
      <c r="C379" s="19">
        <v>15.416566229999999</v>
      </c>
      <c r="D379" s="19">
        <v>6.0987134100000002</v>
      </c>
      <c r="E379" s="23">
        <f t="shared" si="12"/>
        <v>0.71654036052305758</v>
      </c>
      <c r="F379" s="23">
        <f t="shared" si="13"/>
        <v>0.28345963947694247</v>
      </c>
      <c r="G379" s="6"/>
      <c r="H379" s="6"/>
      <c r="I379" s="4"/>
      <c r="J379" s="6"/>
      <c r="K379" s="6" t="s">
        <v>13</v>
      </c>
      <c r="L379" s="21"/>
      <c r="M379" s="6"/>
      <c r="N379" s="6" t="s">
        <v>60</v>
      </c>
      <c r="O379" s="6" t="s">
        <v>10</v>
      </c>
      <c r="P379" s="6" t="s">
        <v>10</v>
      </c>
      <c r="Q379" s="10"/>
      <c r="U379" s="9"/>
      <c r="V379" s="12"/>
      <c r="W379" s="12"/>
    </row>
    <row r="380" spans="1:23" x14ac:dyDescent="0.25">
      <c r="A380" s="1">
        <v>378</v>
      </c>
      <c r="B380" s="16">
        <v>80.369595920000009</v>
      </c>
      <c r="C380" s="19"/>
      <c r="D380" s="19">
        <v>80.369595920000009</v>
      </c>
      <c r="E380" s="23">
        <f t="shared" si="12"/>
        <v>0</v>
      </c>
      <c r="F380" s="23">
        <f t="shared" si="13"/>
        <v>1</v>
      </c>
      <c r="G380" s="6"/>
      <c r="H380" s="6"/>
      <c r="I380" s="4"/>
      <c r="J380" s="6"/>
      <c r="K380" s="6" t="s">
        <v>13</v>
      </c>
      <c r="L380" s="21"/>
      <c r="M380" s="6"/>
      <c r="N380" s="6"/>
      <c r="O380" s="6" t="s">
        <v>13</v>
      </c>
      <c r="P380" s="6" t="s">
        <v>10</v>
      </c>
      <c r="Q380" s="10"/>
      <c r="U380" s="9"/>
      <c r="V380" s="12"/>
      <c r="W380" s="12"/>
    </row>
    <row r="381" spans="1:23" x14ac:dyDescent="0.25">
      <c r="A381" s="1">
        <v>379</v>
      </c>
      <c r="B381" s="16">
        <v>25.568465109999998</v>
      </c>
      <c r="C381" s="19"/>
      <c r="D381" s="19">
        <v>2.0417137599999999</v>
      </c>
      <c r="E381" s="23">
        <f t="shared" si="12"/>
        <v>0</v>
      </c>
      <c r="F381" s="23">
        <f t="shared" si="13"/>
        <v>7.9852808966677943E-2</v>
      </c>
      <c r="G381" s="6"/>
      <c r="H381" s="6"/>
      <c r="I381" s="4">
        <v>23.526751349999998</v>
      </c>
      <c r="J381" s="6" t="s">
        <v>10</v>
      </c>
      <c r="K381" s="6" t="s">
        <v>16</v>
      </c>
      <c r="L381" s="21"/>
      <c r="M381" s="6"/>
      <c r="N381" s="6" t="s">
        <v>76</v>
      </c>
      <c r="O381" s="6" t="s">
        <v>13</v>
      </c>
      <c r="P381" s="6" t="s">
        <v>10</v>
      </c>
      <c r="Q381" s="10"/>
      <c r="U381" s="9"/>
      <c r="V381" s="12"/>
      <c r="W381" s="12"/>
    </row>
    <row r="382" spans="1:23" x14ac:dyDescent="0.25">
      <c r="A382" s="1">
        <v>380</v>
      </c>
      <c r="B382" s="16">
        <v>54.493970050000001</v>
      </c>
      <c r="C382" s="19">
        <v>54.493970050000001</v>
      </c>
      <c r="D382" s="19"/>
      <c r="E382" s="23">
        <f t="shared" si="12"/>
        <v>1</v>
      </c>
      <c r="F382" s="23">
        <f t="shared" si="13"/>
        <v>0</v>
      </c>
      <c r="G382" s="6"/>
      <c r="H382" s="6"/>
      <c r="I382" s="4"/>
      <c r="J382" s="6"/>
      <c r="K382" s="6" t="s">
        <v>13</v>
      </c>
      <c r="L382" s="21"/>
      <c r="M382" s="6"/>
      <c r="N382" s="6" t="s">
        <v>52</v>
      </c>
      <c r="O382" s="6" t="s">
        <v>13</v>
      </c>
      <c r="P382" s="6" t="s">
        <v>10</v>
      </c>
      <c r="Q382" s="10"/>
      <c r="V382" s="12"/>
      <c r="W382" s="12"/>
    </row>
    <row r="383" spans="1:23" x14ac:dyDescent="0.25">
      <c r="A383" s="1">
        <v>381</v>
      </c>
      <c r="B383" s="14">
        <v>42.666039769999998</v>
      </c>
      <c r="C383" s="19">
        <v>31.967900559999997</v>
      </c>
      <c r="D383" s="19">
        <v>10.698139209999999</v>
      </c>
      <c r="E383" s="23">
        <f t="shared" si="12"/>
        <v>0.74925867815080782</v>
      </c>
      <c r="F383" s="23">
        <f t="shared" si="13"/>
        <v>0.25074132184919207</v>
      </c>
      <c r="G383" s="6"/>
      <c r="H383" s="6"/>
      <c r="I383" s="4"/>
      <c r="J383" s="6"/>
      <c r="K383" s="6" t="s">
        <v>13</v>
      </c>
      <c r="L383" s="21"/>
      <c r="M383" s="6"/>
      <c r="N383" s="6" t="s">
        <v>34</v>
      </c>
      <c r="O383" s="6" t="s">
        <v>13</v>
      </c>
      <c r="P383" s="6" t="s">
        <v>10</v>
      </c>
      <c r="Q383" s="10"/>
      <c r="V383" s="12"/>
      <c r="W383" s="12"/>
    </row>
    <row r="384" spans="1:23" x14ac:dyDescent="0.25">
      <c r="A384" s="29" t="s">
        <v>80</v>
      </c>
      <c r="B384" s="30" t="s">
        <v>81</v>
      </c>
      <c r="C384" s="30" t="s">
        <v>81</v>
      </c>
      <c r="D384" s="31"/>
      <c r="E384" s="32"/>
      <c r="F384" s="32"/>
      <c r="G384" s="30" t="s">
        <v>81</v>
      </c>
      <c r="H384" s="33" t="s">
        <v>80</v>
      </c>
      <c r="I384" s="30" t="s">
        <v>81</v>
      </c>
      <c r="J384" s="33" t="s">
        <v>80</v>
      </c>
      <c r="K384" s="31"/>
      <c r="L384" s="34"/>
      <c r="M384" s="35" t="s">
        <v>80</v>
      </c>
    </row>
    <row r="385" spans="1:26" ht="15.75" thickBot="1" x14ac:dyDescent="0.3">
      <c r="A385" s="37">
        <f>SUBTOTAL(103,A3:A383)</f>
        <v>381</v>
      </c>
      <c r="B385" s="38">
        <f>SUBTOTAL(9,B3:B383)</f>
        <v>29404.51481470999</v>
      </c>
      <c r="C385" s="38">
        <f>SUBTOTAL(9,C3:C383)</f>
        <v>16746.730910450002</v>
      </c>
      <c r="D385" s="36"/>
      <c r="E385" s="39"/>
      <c r="F385" s="39"/>
      <c r="G385" s="38">
        <f>SUBTOTAL(9,G3:G383)</f>
        <v>165.01503135999999</v>
      </c>
      <c r="H385" s="38">
        <f>SUBTOTAL(103,H3:H383)</f>
        <v>6</v>
      </c>
      <c r="I385" s="38">
        <f>SUBTOTAL(9,I3:I383)</f>
        <v>1127.6229151000005</v>
      </c>
      <c r="J385" s="38">
        <f>SUBTOTAL(103,J3:J383)</f>
        <v>72</v>
      </c>
      <c r="K385" s="36"/>
      <c r="L385" s="36"/>
      <c r="M385" s="40">
        <f>SUBTOTAL(103,M3:M383)</f>
        <v>22</v>
      </c>
    </row>
    <row r="386" spans="1:26" x14ac:dyDescent="0.25">
      <c r="B386" s="17"/>
    </row>
    <row r="387" spans="1:26" x14ac:dyDescent="0.25">
      <c r="B387" s="17"/>
    </row>
    <row r="388" spans="1:26" x14ac:dyDescent="0.25">
      <c r="B388" s="17"/>
    </row>
    <row r="389" spans="1:26" x14ac:dyDescent="0.25">
      <c r="B389" s="17"/>
    </row>
    <row r="390" spans="1:26" x14ac:dyDescent="0.25">
      <c r="B390" s="17"/>
    </row>
    <row r="391" spans="1:26" x14ac:dyDescent="0.25">
      <c r="B391" s="17"/>
    </row>
    <row r="392" spans="1:26" x14ac:dyDescent="0.25">
      <c r="B392" s="17"/>
    </row>
    <row r="393" spans="1:26" x14ac:dyDescent="0.25">
      <c r="B393" s="17"/>
    </row>
    <row r="394" spans="1:26" x14ac:dyDescent="0.25">
      <c r="B394" s="17"/>
    </row>
    <row r="395" spans="1:26" s="5" customFormat="1" x14ac:dyDescent="0.25">
      <c r="A395" s="2"/>
      <c r="B395" s="17"/>
      <c r="C395" s="17"/>
      <c r="D395" s="17"/>
      <c r="E395" s="24"/>
      <c r="F395" s="24"/>
      <c r="I395" s="3"/>
      <c r="J395" s="3"/>
      <c r="K395" s="17"/>
      <c r="L395" s="20"/>
      <c r="M395" s="20"/>
      <c r="S395" s="7"/>
      <c r="T395" s="7"/>
      <c r="U395" s="8"/>
      <c r="V395" s="8"/>
      <c r="W395" s="8"/>
      <c r="X395" s="8"/>
      <c r="Y395" s="8"/>
      <c r="Z395" s="9"/>
    </row>
  </sheetData>
  <autoFilter ref="A1:P383" xr:uid="{081AADC7-8E35-4F74-98C5-A368CB5DFA0E}">
    <filterColumn colId="4" showButton="0"/>
  </autoFilter>
  <mergeCells count="16">
    <mergeCell ref="B1:B2"/>
    <mergeCell ref="A1:A2"/>
    <mergeCell ref="I1:I2"/>
    <mergeCell ref="G1:G2"/>
    <mergeCell ref="E1:F1"/>
    <mergeCell ref="H1:H2"/>
    <mergeCell ref="D1:D2"/>
    <mergeCell ref="N1:N2"/>
    <mergeCell ref="O1:O2"/>
    <mergeCell ref="P1:P2"/>
    <mergeCell ref="Q1:Q2"/>
    <mergeCell ref="C1:C2"/>
    <mergeCell ref="L1:L2"/>
    <mergeCell ref="J1:J2"/>
    <mergeCell ref="K1:K2"/>
    <mergeCell ref="M1:M2"/>
  </mergeCells>
  <conditionalFormatting sqref="K1:K1048576">
    <cfRule type="containsText" dxfId="57" priority="1" operator="containsText" text="digitar">
      <formula>NOT(ISERROR(SEARCH("digitar",K1)))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5BAE-4742-4226-817C-2F40AF39332D}">
  <dimension ref="A1:B8"/>
  <sheetViews>
    <sheetView showGridLines="0" workbookViewId="0">
      <selection activeCell="B17" sqref="B17"/>
    </sheetView>
  </sheetViews>
  <sheetFormatPr defaultColWidth="9.140625" defaultRowHeight="15" x14ac:dyDescent="0.25"/>
  <cols>
    <col min="1" max="1" width="35.42578125" style="9" customWidth="1"/>
    <col min="2" max="2" width="60.140625" style="9" customWidth="1"/>
    <col min="3" max="16384" width="9.140625" style="9"/>
  </cols>
  <sheetData>
    <row r="1" spans="1:2" ht="27" customHeight="1" x14ac:dyDescent="0.25">
      <c r="A1" s="307" t="s">
        <v>265</v>
      </c>
      <c r="B1" s="308"/>
    </row>
    <row r="2" spans="1:2" ht="23.1" customHeight="1" x14ac:dyDescent="0.25">
      <c r="A2" s="51" t="s">
        <v>266</v>
      </c>
      <c r="B2" s="52" t="s">
        <v>274</v>
      </c>
    </row>
    <row r="3" spans="1:2" ht="38.1" customHeight="1" x14ac:dyDescent="0.25">
      <c r="A3" s="53" t="s">
        <v>267</v>
      </c>
      <c r="B3" s="52" t="s">
        <v>279</v>
      </c>
    </row>
    <row r="4" spans="1:2" ht="23.1" customHeight="1" x14ac:dyDescent="0.25">
      <c r="A4" s="53" t="s">
        <v>268</v>
      </c>
      <c r="B4" s="52" t="s">
        <v>273</v>
      </c>
    </row>
    <row r="5" spans="1:2" ht="38.1" customHeight="1" x14ac:dyDescent="0.25">
      <c r="A5" s="53" t="s">
        <v>269</v>
      </c>
      <c r="B5" s="52" t="s">
        <v>271</v>
      </c>
    </row>
    <row r="6" spans="1:2" ht="23.1" customHeight="1" x14ac:dyDescent="0.25">
      <c r="A6" s="54" t="s">
        <v>270</v>
      </c>
      <c r="B6" s="52" t="s">
        <v>272</v>
      </c>
    </row>
    <row r="7" spans="1:2" ht="23.1" customHeight="1" x14ac:dyDescent="0.25">
      <c r="A7" s="291" t="s">
        <v>295</v>
      </c>
      <c r="B7" s="52" t="s">
        <v>298</v>
      </c>
    </row>
    <row r="8" spans="1:2" ht="30.75" thickBot="1" x14ac:dyDescent="0.3">
      <c r="A8" s="289" t="s">
        <v>296</v>
      </c>
      <c r="B8" s="290" t="s">
        <v>297</v>
      </c>
    </row>
  </sheetData>
  <sheetProtection algorithmName="SHA-512" hashValue="/72d4WlOcCtt9IS01ZBANK6J3fN3iBDTyajqV6TBg/VjbByGWYRKUmX5Sxu695mTbN0p37wv/maRZFRq3bnp+w==" saltValue="cOxldgA+l4mtkGkxtukDwg==" spinCount="100000" sheet="1" formatCells="0" formatColumns="0" formatRows="0" insertColumns="0" insertRows="0" insertHyperlinks="0" deleteColumns="0" deleteRows="0" sort="0" autoFilter="0" pivotTables="0"/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AD3-1EA0-40FF-9F99-26B13252C9C4}">
  <sheetPr>
    <tabColor theme="1"/>
  </sheetPr>
  <dimension ref="A1:P63"/>
  <sheetViews>
    <sheetView showGridLines="0" tabSelected="1" zoomScale="90" zoomScaleNormal="90" workbookViewId="0">
      <selection activeCell="Q25" sqref="Q25"/>
    </sheetView>
  </sheetViews>
  <sheetFormatPr defaultRowHeight="15" x14ac:dyDescent="0.25"/>
  <cols>
    <col min="1" max="1" width="2.42578125" customWidth="1"/>
    <col min="2" max="13" width="9.5703125" customWidth="1"/>
    <col min="14" max="14" width="2" customWidth="1"/>
    <col min="257" max="257" width="2.42578125" customWidth="1"/>
    <col min="258" max="269" width="9.5703125" customWidth="1"/>
    <col min="270" max="270" width="2" customWidth="1"/>
    <col min="513" max="513" width="2.42578125" customWidth="1"/>
    <col min="514" max="525" width="9.5703125" customWidth="1"/>
    <col min="526" max="526" width="2" customWidth="1"/>
    <col min="769" max="769" width="2.42578125" customWidth="1"/>
    <col min="770" max="781" width="9.5703125" customWidth="1"/>
    <col min="782" max="782" width="2" customWidth="1"/>
    <col min="1025" max="1025" width="2.42578125" customWidth="1"/>
    <col min="1026" max="1037" width="9.5703125" customWidth="1"/>
    <col min="1038" max="1038" width="2" customWidth="1"/>
    <col min="1281" max="1281" width="2.42578125" customWidth="1"/>
    <col min="1282" max="1293" width="9.5703125" customWidth="1"/>
    <col min="1294" max="1294" width="2" customWidth="1"/>
    <col min="1537" max="1537" width="2.42578125" customWidth="1"/>
    <col min="1538" max="1549" width="9.5703125" customWidth="1"/>
    <col min="1550" max="1550" width="2" customWidth="1"/>
    <col min="1793" max="1793" width="2.42578125" customWidth="1"/>
    <col min="1794" max="1805" width="9.5703125" customWidth="1"/>
    <col min="1806" max="1806" width="2" customWidth="1"/>
    <col min="2049" max="2049" width="2.42578125" customWidth="1"/>
    <col min="2050" max="2061" width="9.5703125" customWidth="1"/>
    <col min="2062" max="2062" width="2" customWidth="1"/>
    <col min="2305" max="2305" width="2.42578125" customWidth="1"/>
    <col min="2306" max="2317" width="9.5703125" customWidth="1"/>
    <col min="2318" max="2318" width="2" customWidth="1"/>
    <col min="2561" max="2561" width="2.42578125" customWidth="1"/>
    <col min="2562" max="2573" width="9.5703125" customWidth="1"/>
    <col min="2574" max="2574" width="2" customWidth="1"/>
    <col min="2817" max="2817" width="2.42578125" customWidth="1"/>
    <col min="2818" max="2829" width="9.5703125" customWidth="1"/>
    <col min="2830" max="2830" width="2" customWidth="1"/>
    <col min="3073" max="3073" width="2.42578125" customWidth="1"/>
    <col min="3074" max="3085" width="9.5703125" customWidth="1"/>
    <col min="3086" max="3086" width="2" customWidth="1"/>
    <col min="3329" max="3329" width="2.42578125" customWidth="1"/>
    <col min="3330" max="3341" width="9.5703125" customWidth="1"/>
    <col min="3342" max="3342" width="2" customWidth="1"/>
    <col min="3585" max="3585" width="2.42578125" customWidth="1"/>
    <col min="3586" max="3597" width="9.5703125" customWidth="1"/>
    <col min="3598" max="3598" width="2" customWidth="1"/>
    <col min="3841" max="3841" width="2.42578125" customWidth="1"/>
    <col min="3842" max="3853" width="9.5703125" customWidth="1"/>
    <col min="3854" max="3854" width="2" customWidth="1"/>
    <col min="4097" max="4097" width="2.42578125" customWidth="1"/>
    <col min="4098" max="4109" width="9.5703125" customWidth="1"/>
    <col min="4110" max="4110" width="2" customWidth="1"/>
    <col min="4353" max="4353" width="2.42578125" customWidth="1"/>
    <col min="4354" max="4365" width="9.5703125" customWidth="1"/>
    <col min="4366" max="4366" width="2" customWidth="1"/>
    <col min="4609" max="4609" width="2.42578125" customWidth="1"/>
    <col min="4610" max="4621" width="9.5703125" customWidth="1"/>
    <col min="4622" max="4622" width="2" customWidth="1"/>
    <col min="4865" max="4865" width="2.42578125" customWidth="1"/>
    <col min="4866" max="4877" width="9.5703125" customWidth="1"/>
    <col min="4878" max="4878" width="2" customWidth="1"/>
    <col min="5121" max="5121" width="2.42578125" customWidth="1"/>
    <col min="5122" max="5133" width="9.5703125" customWidth="1"/>
    <col min="5134" max="5134" width="2" customWidth="1"/>
    <col min="5377" max="5377" width="2.42578125" customWidth="1"/>
    <col min="5378" max="5389" width="9.5703125" customWidth="1"/>
    <col min="5390" max="5390" width="2" customWidth="1"/>
    <col min="5633" max="5633" width="2.42578125" customWidth="1"/>
    <col min="5634" max="5645" width="9.5703125" customWidth="1"/>
    <col min="5646" max="5646" width="2" customWidth="1"/>
    <col min="5889" max="5889" width="2.42578125" customWidth="1"/>
    <col min="5890" max="5901" width="9.5703125" customWidth="1"/>
    <col min="5902" max="5902" width="2" customWidth="1"/>
    <col min="6145" max="6145" width="2.42578125" customWidth="1"/>
    <col min="6146" max="6157" width="9.5703125" customWidth="1"/>
    <col min="6158" max="6158" width="2" customWidth="1"/>
    <col min="6401" max="6401" width="2.42578125" customWidth="1"/>
    <col min="6402" max="6413" width="9.5703125" customWidth="1"/>
    <col min="6414" max="6414" width="2" customWidth="1"/>
    <col min="6657" max="6657" width="2.42578125" customWidth="1"/>
    <col min="6658" max="6669" width="9.5703125" customWidth="1"/>
    <col min="6670" max="6670" width="2" customWidth="1"/>
    <col min="6913" max="6913" width="2.42578125" customWidth="1"/>
    <col min="6914" max="6925" width="9.5703125" customWidth="1"/>
    <col min="6926" max="6926" width="2" customWidth="1"/>
    <col min="7169" max="7169" width="2.42578125" customWidth="1"/>
    <col min="7170" max="7181" width="9.5703125" customWidth="1"/>
    <col min="7182" max="7182" width="2" customWidth="1"/>
    <col min="7425" max="7425" width="2.42578125" customWidth="1"/>
    <col min="7426" max="7437" width="9.5703125" customWidth="1"/>
    <col min="7438" max="7438" width="2" customWidth="1"/>
    <col min="7681" max="7681" width="2.42578125" customWidth="1"/>
    <col min="7682" max="7693" width="9.5703125" customWidth="1"/>
    <col min="7694" max="7694" width="2" customWidth="1"/>
    <col min="7937" max="7937" width="2.42578125" customWidth="1"/>
    <col min="7938" max="7949" width="9.5703125" customWidth="1"/>
    <col min="7950" max="7950" width="2" customWidth="1"/>
    <col min="8193" max="8193" width="2.42578125" customWidth="1"/>
    <col min="8194" max="8205" width="9.5703125" customWidth="1"/>
    <col min="8206" max="8206" width="2" customWidth="1"/>
    <col min="8449" max="8449" width="2.42578125" customWidth="1"/>
    <col min="8450" max="8461" width="9.5703125" customWidth="1"/>
    <col min="8462" max="8462" width="2" customWidth="1"/>
    <col min="8705" max="8705" width="2.42578125" customWidth="1"/>
    <col min="8706" max="8717" width="9.5703125" customWidth="1"/>
    <col min="8718" max="8718" width="2" customWidth="1"/>
    <col min="8961" max="8961" width="2.42578125" customWidth="1"/>
    <col min="8962" max="8973" width="9.5703125" customWidth="1"/>
    <col min="8974" max="8974" width="2" customWidth="1"/>
    <col min="9217" max="9217" width="2.42578125" customWidth="1"/>
    <col min="9218" max="9229" width="9.5703125" customWidth="1"/>
    <col min="9230" max="9230" width="2" customWidth="1"/>
    <col min="9473" max="9473" width="2.42578125" customWidth="1"/>
    <col min="9474" max="9485" width="9.5703125" customWidth="1"/>
    <col min="9486" max="9486" width="2" customWidth="1"/>
    <col min="9729" max="9729" width="2.42578125" customWidth="1"/>
    <col min="9730" max="9741" width="9.5703125" customWidth="1"/>
    <col min="9742" max="9742" width="2" customWidth="1"/>
    <col min="9985" max="9985" width="2.42578125" customWidth="1"/>
    <col min="9986" max="9997" width="9.5703125" customWidth="1"/>
    <col min="9998" max="9998" width="2" customWidth="1"/>
    <col min="10241" max="10241" width="2.42578125" customWidth="1"/>
    <col min="10242" max="10253" width="9.5703125" customWidth="1"/>
    <col min="10254" max="10254" width="2" customWidth="1"/>
    <col min="10497" max="10497" width="2.42578125" customWidth="1"/>
    <col min="10498" max="10509" width="9.5703125" customWidth="1"/>
    <col min="10510" max="10510" width="2" customWidth="1"/>
    <col min="10753" max="10753" width="2.42578125" customWidth="1"/>
    <col min="10754" max="10765" width="9.5703125" customWidth="1"/>
    <col min="10766" max="10766" width="2" customWidth="1"/>
    <col min="11009" max="11009" width="2.42578125" customWidth="1"/>
    <col min="11010" max="11021" width="9.5703125" customWidth="1"/>
    <col min="11022" max="11022" width="2" customWidth="1"/>
    <col min="11265" max="11265" width="2.42578125" customWidth="1"/>
    <col min="11266" max="11277" width="9.5703125" customWidth="1"/>
    <col min="11278" max="11278" width="2" customWidth="1"/>
    <col min="11521" max="11521" width="2.42578125" customWidth="1"/>
    <col min="11522" max="11533" width="9.5703125" customWidth="1"/>
    <col min="11534" max="11534" width="2" customWidth="1"/>
    <col min="11777" max="11777" width="2.42578125" customWidth="1"/>
    <col min="11778" max="11789" width="9.5703125" customWidth="1"/>
    <col min="11790" max="11790" width="2" customWidth="1"/>
    <col min="12033" max="12033" width="2.42578125" customWidth="1"/>
    <col min="12034" max="12045" width="9.5703125" customWidth="1"/>
    <col min="12046" max="12046" width="2" customWidth="1"/>
    <col min="12289" max="12289" width="2.42578125" customWidth="1"/>
    <col min="12290" max="12301" width="9.5703125" customWidth="1"/>
    <col min="12302" max="12302" width="2" customWidth="1"/>
    <col min="12545" max="12545" width="2.42578125" customWidth="1"/>
    <col min="12546" max="12557" width="9.5703125" customWidth="1"/>
    <col min="12558" max="12558" width="2" customWidth="1"/>
    <col min="12801" max="12801" width="2.42578125" customWidth="1"/>
    <col min="12802" max="12813" width="9.5703125" customWidth="1"/>
    <col min="12814" max="12814" width="2" customWidth="1"/>
    <col min="13057" max="13057" width="2.42578125" customWidth="1"/>
    <col min="13058" max="13069" width="9.5703125" customWidth="1"/>
    <col min="13070" max="13070" width="2" customWidth="1"/>
    <col min="13313" max="13313" width="2.42578125" customWidth="1"/>
    <col min="13314" max="13325" width="9.5703125" customWidth="1"/>
    <col min="13326" max="13326" width="2" customWidth="1"/>
    <col min="13569" max="13569" width="2.42578125" customWidth="1"/>
    <col min="13570" max="13581" width="9.5703125" customWidth="1"/>
    <col min="13582" max="13582" width="2" customWidth="1"/>
    <col min="13825" max="13825" width="2.42578125" customWidth="1"/>
    <col min="13826" max="13837" width="9.5703125" customWidth="1"/>
    <col min="13838" max="13838" width="2" customWidth="1"/>
    <col min="14081" max="14081" width="2.42578125" customWidth="1"/>
    <col min="14082" max="14093" width="9.5703125" customWidth="1"/>
    <col min="14094" max="14094" width="2" customWidth="1"/>
    <col min="14337" max="14337" width="2.42578125" customWidth="1"/>
    <col min="14338" max="14349" width="9.5703125" customWidth="1"/>
    <col min="14350" max="14350" width="2" customWidth="1"/>
    <col min="14593" max="14593" width="2.42578125" customWidth="1"/>
    <col min="14594" max="14605" width="9.5703125" customWidth="1"/>
    <col min="14606" max="14606" width="2" customWidth="1"/>
    <col min="14849" max="14849" width="2.42578125" customWidth="1"/>
    <col min="14850" max="14861" width="9.5703125" customWidth="1"/>
    <col min="14862" max="14862" width="2" customWidth="1"/>
    <col min="15105" max="15105" width="2.42578125" customWidth="1"/>
    <col min="15106" max="15117" width="9.5703125" customWidth="1"/>
    <col min="15118" max="15118" width="2" customWidth="1"/>
    <col min="15361" max="15361" width="2.42578125" customWidth="1"/>
    <col min="15362" max="15373" width="9.5703125" customWidth="1"/>
    <col min="15374" max="15374" width="2" customWidth="1"/>
    <col min="15617" max="15617" width="2.42578125" customWidth="1"/>
    <col min="15618" max="15629" width="9.5703125" customWidth="1"/>
    <col min="15630" max="15630" width="2" customWidth="1"/>
    <col min="15873" max="15873" width="2.42578125" customWidth="1"/>
    <col min="15874" max="15885" width="9.5703125" customWidth="1"/>
    <col min="15886" max="15886" width="2" customWidth="1"/>
    <col min="16129" max="16129" width="2.42578125" customWidth="1"/>
    <col min="16130" max="16141" width="9.5703125" customWidth="1"/>
    <col min="16142" max="16142" width="2" customWidth="1"/>
  </cols>
  <sheetData>
    <row r="1" spans="1:14" x14ac:dyDescent="0.25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x14ac:dyDescent="0.2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x14ac:dyDescent="0.25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</row>
    <row r="5" spans="1:14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</row>
    <row r="6" spans="1:14" x14ac:dyDescent="0.25">
      <c r="A6" s="44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</row>
    <row r="7" spans="1:14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/>
    </row>
    <row r="8" spans="1:14" x14ac:dyDescent="0.25">
      <c r="A8" s="44"/>
      <c r="B8" s="316" t="s">
        <v>89</v>
      </c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  <c r="N8" s="46"/>
    </row>
    <row r="9" spans="1:14" x14ac:dyDescent="0.25">
      <c r="A9" s="44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46"/>
    </row>
    <row r="10" spans="1:14" ht="21" hidden="1" x14ac:dyDescent="0.25">
      <c r="A10" s="44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6"/>
    </row>
    <row r="11" spans="1:14" hidden="1" x14ac:dyDescent="0.2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6"/>
    </row>
    <row r="12" spans="1:14" hidden="1" x14ac:dyDescent="0.25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/>
    </row>
    <row r="13" spans="1:14" hidden="1" x14ac:dyDescent="0.25">
      <c r="A13" s="4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6"/>
    </row>
    <row r="14" spans="1:14" ht="12" customHeight="1" x14ac:dyDescent="0.25">
      <c r="A14" s="44"/>
      <c r="B14" s="318" t="s">
        <v>90</v>
      </c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46"/>
    </row>
    <row r="15" spans="1:14" ht="25.9" customHeight="1" x14ac:dyDescent="0.25">
      <c r="A15" s="44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46"/>
    </row>
    <row r="16" spans="1:14" ht="25.9" customHeight="1" x14ac:dyDescent="0.25">
      <c r="A16" s="44"/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46"/>
    </row>
    <row r="17" spans="1:16" ht="21" customHeight="1" x14ac:dyDescent="0.25">
      <c r="A17" s="44"/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46"/>
    </row>
    <row r="18" spans="1:16" ht="21" customHeight="1" x14ac:dyDescent="0.25">
      <c r="A18" s="44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6"/>
    </row>
    <row r="19" spans="1:16" ht="21" customHeight="1" x14ac:dyDescent="0.25">
      <c r="A19" s="44"/>
      <c r="B19" s="317" t="s">
        <v>91</v>
      </c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46"/>
    </row>
    <row r="20" spans="1:16" ht="21.75" hidden="1" customHeight="1" x14ac:dyDescent="0.25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/>
    </row>
    <row r="21" spans="1:16" ht="12.75" hidden="1" customHeight="1" x14ac:dyDescent="0.25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</row>
    <row r="22" spans="1:16" hidden="1" x14ac:dyDescent="0.25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/>
    </row>
    <row r="23" spans="1:16" hidden="1" x14ac:dyDescent="0.25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6"/>
      <c r="P23" s="49"/>
    </row>
    <row r="24" spans="1:16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  <c r="P24" s="49"/>
    </row>
    <row r="25" spans="1:16" x14ac:dyDescent="0.25">
      <c r="A25" s="44"/>
      <c r="B25" s="319" t="s">
        <v>97</v>
      </c>
      <c r="C25" s="319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N25" s="46"/>
      <c r="P25" s="49"/>
    </row>
    <row r="26" spans="1:16" x14ac:dyDescent="0.25">
      <c r="A26" s="44"/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46"/>
      <c r="P26" s="49"/>
    </row>
    <row r="27" spans="1:16" ht="12.75" customHeight="1" x14ac:dyDescent="0.25">
      <c r="A27" s="44"/>
      <c r="B27" s="319"/>
      <c r="C27" s="319"/>
      <c r="D27" s="319"/>
      <c r="E27" s="319"/>
      <c r="F27" s="319"/>
      <c r="G27" s="319"/>
      <c r="H27" s="319"/>
      <c r="I27" s="319"/>
      <c r="J27" s="319"/>
      <c r="K27" s="319"/>
      <c r="L27" s="319"/>
      <c r="M27" s="319"/>
      <c r="N27" s="46"/>
      <c r="P27" s="49"/>
    </row>
    <row r="28" spans="1:16" ht="8.25" customHeight="1" x14ac:dyDescent="0.25">
      <c r="A28" s="44"/>
      <c r="B28" s="319"/>
      <c r="C28" s="319"/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46"/>
    </row>
    <row r="29" spans="1:16" ht="12.75" customHeight="1" x14ac:dyDescent="0.25">
      <c r="A29" s="44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46"/>
    </row>
    <row r="30" spans="1:16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/>
    </row>
    <row r="31" spans="1:16" x14ac:dyDescent="0.25">
      <c r="A31" s="44"/>
      <c r="B31" s="320" t="s">
        <v>98</v>
      </c>
      <c r="C31" s="320"/>
      <c r="D31" s="320"/>
      <c r="E31" s="320"/>
      <c r="F31" s="320"/>
      <c r="G31" s="320"/>
      <c r="H31" s="320"/>
      <c r="I31" s="320"/>
      <c r="J31" s="320"/>
      <c r="K31" s="320"/>
      <c r="L31" s="320"/>
      <c r="M31" s="320"/>
      <c r="N31" s="46"/>
    </row>
    <row r="32" spans="1:16" x14ac:dyDescent="0.25">
      <c r="A32" s="44"/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46"/>
    </row>
    <row r="33" spans="1:14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6"/>
    </row>
    <row r="34" spans="1:14" ht="23.25" x14ac:dyDescent="0.35">
      <c r="A34" s="44"/>
      <c r="B34" s="45"/>
      <c r="C34" s="45"/>
      <c r="D34" s="45"/>
      <c r="E34" s="45"/>
      <c r="F34" s="50"/>
      <c r="G34" s="50"/>
      <c r="H34" s="50"/>
      <c r="I34" s="50"/>
      <c r="K34" s="45"/>
      <c r="L34" s="45"/>
      <c r="M34" s="45"/>
      <c r="N34" s="46"/>
    </row>
    <row r="35" spans="1:14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6"/>
    </row>
    <row r="36" spans="1:14" hidden="1" x14ac:dyDescent="0.25">
      <c r="A36" s="4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/>
    </row>
    <row r="37" spans="1:14" hidden="1" x14ac:dyDescent="0.25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/>
    </row>
    <row r="38" spans="1:14" hidden="1" x14ac:dyDescent="0.25">
      <c r="A38" s="44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</row>
    <row r="39" spans="1:14" hidden="1" x14ac:dyDescent="0.25">
      <c r="A39" s="44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6"/>
    </row>
    <row r="40" spans="1:14" hidden="1" x14ac:dyDescent="0.25">
      <c r="A40" s="44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6"/>
    </row>
    <row r="41" spans="1:14" hidden="1" x14ac:dyDescent="0.25">
      <c r="A41" s="44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6"/>
    </row>
    <row r="42" spans="1:14" hidden="1" x14ac:dyDescent="0.25">
      <c r="A42" s="44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/>
    </row>
    <row r="43" spans="1:14" hidden="1" x14ac:dyDescent="0.25">
      <c r="A43" s="4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6"/>
    </row>
    <row r="44" spans="1:14" hidden="1" x14ac:dyDescent="0.25">
      <c r="A44" s="4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/>
    </row>
    <row r="45" spans="1:14" ht="23.25" x14ac:dyDescent="0.25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312">
        <v>46204</v>
      </c>
      <c r="L45" s="312"/>
      <c r="M45" s="312"/>
      <c r="N45" s="46"/>
    </row>
    <row r="46" spans="1:14" x14ac:dyDescent="0.25">
      <c r="A46" s="4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6"/>
    </row>
    <row r="47" spans="1:14" hidden="1" x14ac:dyDescent="0.25">
      <c r="A47" s="44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6"/>
    </row>
    <row r="48" spans="1:14" hidden="1" x14ac:dyDescent="0.25">
      <c r="A48" s="44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6"/>
    </row>
    <row r="49" spans="1:14" ht="12.75" hidden="1" customHeight="1" x14ac:dyDescent="0.25">
      <c r="A49" s="44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6"/>
    </row>
    <row r="50" spans="1:14" x14ac:dyDescent="0.25">
      <c r="A50" s="44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/>
    </row>
    <row r="51" spans="1:14" ht="21" x14ac:dyDescent="0.25">
      <c r="A51" s="313" t="s">
        <v>92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5"/>
    </row>
    <row r="52" spans="1:14" x14ac:dyDescent="0.25">
      <c r="A52" s="44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6"/>
    </row>
    <row r="53" spans="1:14" x14ac:dyDescent="0.25">
      <c r="A53" s="44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6"/>
    </row>
    <row r="54" spans="1:14" x14ac:dyDescent="0.25">
      <c r="A54" s="44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  <row r="55" spans="1:14" x14ac:dyDescent="0.2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6"/>
    </row>
    <row r="56" spans="1:14" x14ac:dyDescent="0.25">
      <c r="A56" s="44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6"/>
    </row>
    <row r="57" spans="1:14" x14ac:dyDescent="0.25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6"/>
    </row>
    <row r="58" spans="1:14" x14ac:dyDescent="0.25">
      <c r="A58" s="44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6"/>
    </row>
    <row r="59" spans="1:14" x14ac:dyDescent="0.25">
      <c r="A59" s="44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6"/>
    </row>
    <row r="60" spans="1:14" hidden="1" x14ac:dyDescent="0.25">
      <c r="A60" s="44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6"/>
    </row>
    <row r="61" spans="1:14" hidden="1" x14ac:dyDescent="0.25">
      <c r="A61" s="44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6"/>
    </row>
    <row r="62" spans="1:14" x14ac:dyDescent="0.25">
      <c r="A62" s="44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6"/>
    </row>
    <row r="63" spans="1:14" x14ac:dyDescent="0.25">
      <c r="A63" s="309" t="s">
        <v>300</v>
      </c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1"/>
    </row>
  </sheetData>
  <sheetProtection algorithmName="SHA-512" hashValue="TsuGuHz7XWilfJlxIGXcLULMs5NnjVgYhHE4EJGItZaRjhlcWNG7Vcts/APT7MNhlx+D/PLsuWM/cqSCnirFzw==" saltValue="0Cn/+haEW25fyxpJwbITNg==" spinCount="100000" sheet="1" formatCells="0" formatColumns="0" formatRows="0" insertColumns="0" insertRows="0" insertHyperlinks="0" deleteColumns="0" deleteRows="0" sort="0" autoFilter="0" pivotTables="0"/>
  <mergeCells count="8">
    <mergeCell ref="A63:N63"/>
    <mergeCell ref="K45:M45"/>
    <mergeCell ref="A51:N51"/>
    <mergeCell ref="B8:M9"/>
    <mergeCell ref="B14:M17"/>
    <mergeCell ref="B19:M19"/>
    <mergeCell ref="B25:M29"/>
    <mergeCell ref="B31:M3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C8E2-6E1F-4344-9244-B014A5F1C945}">
  <sheetPr>
    <tabColor theme="2" tint="-9.9978637043366805E-2"/>
  </sheetPr>
  <dimension ref="B1:R26"/>
  <sheetViews>
    <sheetView showGridLines="0" workbookViewId="0">
      <selection activeCell="E28" sqref="E28"/>
    </sheetView>
  </sheetViews>
  <sheetFormatPr defaultColWidth="9.140625" defaultRowHeight="15" x14ac:dyDescent="0.25"/>
  <cols>
    <col min="1" max="1" width="2.7109375" customWidth="1"/>
    <col min="5" max="5" width="36.7109375" customWidth="1"/>
    <col min="6" max="6" width="9.42578125" customWidth="1"/>
    <col min="7" max="7" width="15.140625" customWidth="1"/>
    <col min="11" max="11" width="10.140625" bestFit="1" customWidth="1"/>
    <col min="13" max="13" width="10.7109375" customWidth="1"/>
    <col min="16" max="16" width="10.140625" bestFit="1" customWidth="1"/>
  </cols>
  <sheetData>
    <row r="1" spans="2:18" ht="15.75" thickBot="1" x14ac:dyDescent="0.3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2:18" ht="56.25" x14ac:dyDescent="0.25">
      <c r="B2" s="56"/>
      <c r="C2" s="57"/>
      <c r="D2" s="56"/>
      <c r="E2" s="58" t="s">
        <v>99</v>
      </c>
      <c r="F2" s="59" t="s">
        <v>136</v>
      </c>
      <c r="G2" s="59" t="s">
        <v>137</v>
      </c>
      <c r="H2" s="59" t="s">
        <v>100</v>
      </c>
      <c r="I2" s="59" t="s">
        <v>101</v>
      </c>
      <c r="J2" s="59" t="s">
        <v>102</v>
      </c>
      <c r="K2" s="59" t="s">
        <v>103</v>
      </c>
      <c r="L2" s="59" t="s">
        <v>104</v>
      </c>
      <c r="M2" s="59" t="s">
        <v>105</v>
      </c>
      <c r="N2" s="59" t="s">
        <v>106</v>
      </c>
      <c r="O2" s="59" t="s">
        <v>107</v>
      </c>
      <c r="P2" s="59" t="s">
        <v>108</v>
      </c>
      <c r="Q2" s="59" t="s">
        <v>109</v>
      </c>
      <c r="R2" s="60" t="s">
        <v>110</v>
      </c>
    </row>
    <row r="3" spans="2:18" x14ac:dyDescent="0.25">
      <c r="B3" s="61"/>
      <c r="C3" s="62"/>
      <c r="D3" s="61"/>
      <c r="E3" s="63" t="s">
        <v>134</v>
      </c>
      <c r="F3" s="64">
        <v>12</v>
      </c>
      <c r="G3" s="65">
        <v>25</v>
      </c>
      <c r="H3" s="64">
        <v>10</v>
      </c>
      <c r="I3" s="64">
        <v>10</v>
      </c>
      <c r="J3" s="64">
        <v>0</v>
      </c>
      <c r="K3" s="66"/>
      <c r="L3" s="66">
        <f>L20</f>
        <v>24000</v>
      </c>
      <c r="M3" s="66">
        <f>((1-J3/100)*1.347961431/(1+0.347961431*EXP(3.579760093*(F3/G3)*0.85308171*EXP(0.067348748*I3-0.041679277*H3-0.00102286*I3*H3)))+J3/100)*L3</f>
        <v>11060.230389672752</v>
      </c>
      <c r="N3" s="65">
        <v>0.7</v>
      </c>
      <c r="O3" s="66">
        <f>M3*N3</f>
        <v>7742.1612727709253</v>
      </c>
      <c r="P3" s="67">
        <f>+ROUND(O3,-2)</f>
        <v>7700</v>
      </c>
      <c r="Q3" s="66"/>
      <c r="R3" s="68">
        <f>P3*D3</f>
        <v>0</v>
      </c>
    </row>
    <row r="4" spans="2:18" ht="15.75" thickBot="1" x14ac:dyDescent="0.3">
      <c r="B4" s="61"/>
      <c r="C4" s="62"/>
      <c r="D4" s="61"/>
      <c r="E4" s="69" t="s">
        <v>135</v>
      </c>
      <c r="F4" s="70">
        <v>12</v>
      </c>
      <c r="G4" s="71">
        <v>25</v>
      </c>
      <c r="H4" s="70">
        <v>10</v>
      </c>
      <c r="I4" s="70">
        <v>10</v>
      </c>
      <c r="J4" s="70">
        <v>0</v>
      </c>
      <c r="K4" s="72"/>
      <c r="L4" s="72">
        <f>H22</f>
        <v>21000</v>
      </c>
      <c r="M4" s="72">
        <f>((1-J4/100)*1.347961431/(1+0.347961431*EXP(3.579760093*(F4/G4)*0.85308171*EXP(0.067348748*I4-0.041679277*H4-0.00102286*I4*H4)))+J4/100)*L4</f>
        <v>9677.7015909636593</v>
      </c>
      <c r="N4" s="71">
        <v>0.7</v>
      </c>
      <c r="O4" s="72">
        <f>M4*N4</f>
        <v>6774.391113674561</v>
      </c>
      <c r="P4" s="73">
        <f>+ROUND(O4,-2)</f>
        <v>6800</v>
      </c>
      <c r="Q4" s="72"/>
      <c r="R4" s="74">
        <f>P4*D4</f>
        <v>0</v>
      </c>
    </row>
    <row r="5" spans="2:18" ht="15.75" thickBot="1" x14ac:dyDescent="0.3">
      <c r="B5" s="61"/>
      <c r="C5" s="62"/>
      <c r="D5" s="61"/>
      <c r="E5" s="75"/>
      <c r="F5" s="61"/>
      <c r="G5" s="76"/>
      <c r="H5" s="61"/>
      <c r="I5" s="61"/>
      <c r="J5" s="61"/>
      <c r="K5" s="77"/>
      <c r="L5" s="77"/>
      <c r="M5" s="77"/>
      <c r="N5" s="76"/>
      <c r="O5" s="77"/>
      <c r="P5" s="78"/>
      <c r="Q5" s="77"/>
      <c r="R5" s="77"/>
    </row>
    <row r="6" spans="2:18" x14ac:dyDescent="0.25">
      <c r="B6" s="321" t="s">
        <v>111</v>
      </c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3"/>
    </row>
    <row r="7" spans="2:18" x14ac:dyDescent="0.25">
      <c r="B7" s="324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6"/>
    </row>
    <row r="8" spans="2:18" x14ac:dyDescent="0.25">
      <c r="B8" s="79" t="s">
        <v>276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/>
    </row>
    <row r="9" spans="2:18" x14ac:dyDescent="0.25">
      <c r="B9" s="82" t="s">
        <v>112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77"/>
      <c r="N9" s="61"/>
      <c r="O9" s="77"/>
      <c r="P9" s="77"/>
      <c r="Q9" s="77"/>
      <c r="R9" s="83"/>
    </row>
    <row r="10" spans="2:18" x14ac:dyDescent="0.25">
      <c r="B10" s="84"/>
      <c r="C10" s="85"/>
      <c r="D10" s="55"/>
      <c r="E10" s="55"/>
      <c r="F10" s="55"/>
      <c r="G10" s="55"/>
      <c r="H10" s="55"/>
      <c r="I10" s="55"/>
      <c r="J10" s="55"/>
      <c r="K10" s="55"/>
      <c r="L10" s="55"/>
      <c r="M10" s="77"/>
      <c r="N10" s="61"/>
      <c r="O10" s="77"/>
      <c r="P10" s="77"/>
      <c r="Q10" s="77"/>
      <c r="R10" s="83"/>
    </row>
    <row r="11" spans="2:18" x14ac:dyDescent="0.25">
      <c r="B11" s="84"/>
      <c r="C11" s="85" t="s">
        <v>277</v>
      </c>
      <c r="D11" s="55"/>
      <c r="E11" s="85" t="s">
        <v>113</v>
      </c>
      <c r="F11" s="55"/>
      <c r="G11" s="86" t="s">
        <v>114</v>
      </c>
      <c r="H11" s="87"/>
      <c r="I11" s="55"/>
      <c r="J11" s="88" t="s">
        <v>115</v>
      </c>
      <c r="K11" s="89"/>
      <c r="L11" s="55"/>
      <c r="M11" s="55" t="s">
        <v>278</v>
      </c>
      <c r="N11" s="55"/>
      <c r="R11" s="90"/>
    </row>
    <row r="12" spans="2:18" x14ac:dyDescent="0.25">
      <c r="B12" s="84"/>
      <c r="C12" s="55"/>
      <c r="D12" s="55"/>
      <c r="E12" s="85" t="s">
        <v>116</v>
      </c>
      <c r="F12" s="55"/>
      <c r="G12" s="61">
        <v>0</v>
      </c>
      <c r="H12" s="89" t="s">
        <v>117</v>
      </c>
      <c r="I12" s="55"/>
      <c r="J12" s="61">
        <v>0</v>
      </c>
      <c r="K12" s="89" t="s">
        <v>118</v>
      </c>
      <c r="L12" s="55"/>
      <c r="M12" s="91">
        <v>90</v>
      </c>
      <c r="N12" s="92" t="s">
        <v>119</v>
      </c>
      <c r="R12" s="93"/>
    </row>
    <row r="13" spans="2:18" x14ac:dyDescent="0.25">
      <c r="B13" s="84"/>
      <c r="C13" s="55"/>
      <c r="D13" s="55"/>
      <c r="E13" s="85" t="s">
        <v>120</v>
      </c>
      <c r="F13" s="55"/>
      <c r="G13" s="61">
        <v>5</v>
      </c>
      <c r="H13" s="89" t="s">
        <v>121</v>
      </c>
      <c r="I13" s="55"/>
      <c r="J13" s="61">
        <v>5</v>
      </c>
      <c r="K13" s="89" t="s">
        <v>122</v>
      </c>
      <c r="L13" s="55"/>
      <c r="M13" s="91">
        <v>80</v>
      </c>
      <c r="N13" s="92" t="s">
        <v>123</v>
      </c>
      <c r="R13" s="93"/>
    </row>
    <row r="14" spans="2:18" x14ac:dyDescent="0.25">
      <c r="B14" s="94"/>
      <c r="C14" s="55"/>
      <c r="D14" s="55"/>
      <c r="E14" s="95" t="s">
        <v>124</v>
      </c>
      <c r="F14" s="61"/>
      <c r="G14" s="61">
        <v>10</v>
      </c>
      <c r="H14" s="89" t="s">
        <v>125</v>
      </c>
      <c r="I14" s="55"/>
      <c r="J14" s="61">
        <v>10</v>
      </c>
      <c r="K14" s="89" t="s">
        <v>125</v>
      </c>
      <c r="L14" s="55"/>
      <c r="M14" s="91">
        <v>70</v>
      </c>
      <c r="N14" s="92" t="s">
        <v>126</v>
      </c>
      <c r="R14" s="93"/>
    </row>
    <row r="15" spans="2:18" x14ac:dyDescent="0.25">
      <c r="B15" s="94"/>
      <c r="C15" s="55"/>
      <c r="D15" s="55"/>
      <c r="E15" s="95" t="s">
        <v>127</v>
      </c>
      <c r="F15" s="61"/>
      <c r="G15" s="61">
        <v>15</v>
      </c>
      <c r="H15" s="89" t="s">
        <v>128</v>
      </c>
      <c r="I15" s="55"/>
      <c r="J15" s="61">
        <v>15</v>
      </c>
      <c r="K15" s="89" t="s">
        <v>129</v>
      </c>
      <c r="L15" s="55"/>
      <c r="M15" s="55"/>
      <c r="N15" s="55"/>
      <c r="R15" s="93"/>
    </row>
    <row r="16" spans="2:18" x14ac:dyDescent="0.25">
      <c r="B16" s="94"/>
      <c r="C16" s="55"/>
      <c r="D16" s="55"/>
      <c r="E16" s="95" t="s">
        <v>130</v>
      </c>
      <c r="F16" s="61"/>
      <c r="G16" s="61">
        <v>20</v>
      </c>
      <c r="H16" s="89" t="s">
        <v>131</v>
      </c>
      <c r="I16" s="55"/>
      <c r="J16" s="61">
        <v>20</v>
      </c>
      <c r="K16" s="89" t="s">
        <v>132</v>
      </c>
      <c r="L16" s="55"/>
      <c r="M16" s="55"/>
      <c r="N16" s="55"/>
      <c r="R16" s="93"/>
    </row>
    <row r="17" spans="2:18" ht="15.75" thickBot="1" x14ac:dyDescent="0.3">
      <c r="B17" s="96"/>
      <c r="C17" s="97"/>
      <c r="D17" s="97"/>
      <c r="E17" s="98" t="s">
        <v>133</v>
      </c>
      <c r="F17" s="99"/>
      <c r="G17" s="100"/>
      <c r="H17" s="99"/>
      <c r="I17" s="99"/>
      <c r="J17" s="99"/>
      <c r="K17" s="101"/>
      <c r="L17" s="97"/>
      <c r="M17" s="101"/>
      <c r="N17" s="99"/>
      <c r="O17" s="101"/>
      <c r="P17" s="101"/>
      <c r="Q17" s="101"/>
      <c r="R17" s="102"/>
    </row>
    <row r="20" spans="2:18" s="103" customFormat="1" ht="12.75" x14ac:dyDescent="0.2">
      <c r="B20" s="103" t="s">
        <v>280</v>
      </c>
      <c r="L20" s="104">
        <v>24000</v>
      </c>
    </row>
    <row r="21" spans="2:18" s="103" customFormat="1" ht="12.75" x14ac:dyDescent="0.2"/>
    <row r="22" spans="2:18" s="103" customFormat="1" ht="12.75" x14ac:dyDescent="0.2">
      <c r="B22" s="103" t="s">
        <v>264</v>
      </c>
      <c r="H22" s="104">
        <v>21000</v>
      </c>
    </row>
    <row r="23" spans="2:18" s="103" customFormat="1" ht="12.75" x14ac:dyDescent="0.2"/>
    <row r="24" spans="2:18" s="103" customFormat="1" ht="12.75" x14ac:dyDescent="0.2">
      <c r="B24" s="105" t="s">
        <v>299</v>
      </c>
      <c r="C24" s="105"/>
      <c r="D24" s="105"/>
      <c r="E24" s="105"/>
      <c r="F24" s="105"/>
      <c r="G24" s="105"/>
    </row>
    <row r="25" spans="2:18" s="103" customFormat="1" ht="12.75" x14ac:dyDescent="0.2"/>
    <row r="26" spans="2:18" s="103" customFormat="1" ht="12.75" x14ac:dyDescent="0.2"/>
  </sheetData>
  <sheetProtection algorithmName="SHA-512" hashValue="Ltrr36Pwzr27CdreuHpVchhN1DgF0G1lEn7f5QS6y1VsjQ0a6vU40mg5DriJDoaS+w/y4tzaZ85GxK0Q5Fh2rw==" saltValue="LC5RI0OMXSauJJ0bceiBgw==" spinCount="100000" sheet="1" formatCells="0" formatColumns="0" formatRows="0" insertColumns="0" insertRows="0" insertHyperlinks="0" deleteColumns="0" deleteRows="0" sort="0" autoFilter="0" pivotTables="0"/>
  <mergeCells count="1">
    <mergeCell ref="B6:R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B928-5B31-4BCA-9A5A-01FC95C448A4}">
  <sheetPr>
    <tabColor theme="2" tint="-9.9978637043366805E-2"/>
  </sheetPr>
  <dimension ref="B1:N26"/>
  <sheetViews>
    <sheetView showGridLines="0" zoomScale="110" zoomScaleNormal="110" workbookViewId="0">
      <selection activeCell="I24" sqref="I24"/>
    </sheetView>
  </sheetViews>
  <sheetFormatPr defaultColWidth="9.140625" defaultRowHeight="12.75" x14ac:dyDescent="0.25"/>
  <cols>
    <col min="1" max="1" width="2.7109375" style="106" customWidth="1"/>
    <col min="2" max="2" width="14.7109375" style="106" customWidth="1"/>
    <col min="3" max="3" width="10.7109375" style="106" customWidth="1"/>
    <col min="4" max="4" width="14.7109375" style="106" customWidth="1"/>
    <col min="5" max="5" width="10.85546875" style="106" customWidth="1"/>
    <col min="6" max="8" width="9.140625" style="106"/>
    <col min="9" max="9" width="8.7109375" style="106" customWidth="1"/>
    <col min="10" max="10" width="10.85546875" style="106" bestFit="1" customWidth="1"/>
    <col min="11" max="11" width="8.28515625" style="106" bestFit="1" customWidth="1"/>
    <col min="12" max="12" width="12.28515625" style="106" bestFit="1" customWidth="1"/>
    <col min="13" max="13" width="9" style="106" bestFit="1" customWidth="1"/>
    <col min="14" max="14" width="32.28515625" style="106" customWidth="1"/>
    <col min="15" max="16384" width="9.140625" style="106"/>
  </cols>
  <sheetData>
    <row r="1" spans="2:5" ht="13.5" thickBot="1" x14ac:dyDescent="0.3"/>
    <row r="2" spans="2:5" ht="27.75" customHeight="1" x14ac:dyDescent="0.25">
      <c r="B2" s="328" t="s">
        <v>142</v>
      </c>
      <c r="C2" s="329"/>
      <c r="D2" s="329"/>
      <c r="E2" s="330"/>
    </row>
    <row r="3" spans="2:5" x14ac:dyDescent="0.25">
      <c r="B3" s="107" t="s">
        <v>138</v>
      </c>
      <c r="C3" s="108" t="s">
        <v>139</v>
      </c>
      <c r="D3" s="108" t="s">
        <v>140</v>
      </c>
      <c r="E3" s="109" t="s">
        <v>141</v>
      </c>
    </row>
    <row r="4" spans="2:5" x14ac:dyDescent="0.25">
      <c r="B4" s="110">
        <v>2</v>
      </c>
      <c r="C4" s="128">
        <v>511.72309999999999</v>
      </c>
      <c r="D4" s="111">
        <v>72000</v>
      </c>
      <c r="E4" s="112">
        <f>D4/C4</f>
        <v>140.70109400963139</v>
      </c>
    </row>
    <row r="5" spans="2:5" x14ac:dyDescent="0.25">
      <c r="B5" s="110">
        <v>50</v>
      </c>
      <c r="C5" s="128">
        <v>112549.3747</v>
      </c>
      <c r="D5" s="111">
        <v>10200000</v>
      </c>
      <c r="E5" s="112">
        <f t="shared" ref="E5:E24" si="0">D5/C5</f>
        <v>90.626891772504891</v>
      </c>
    </row>
    <row r="6" spans="2:5" x14ac:dyDescent="0.25">
      <c r="B6" s="110">
        <v>52</v>
      </c>
      <c r="C6" s="128">
        <v>25.589400000000001</v>
      </c>
      <c r="D6" s="111">
        <v>6600</v>
      </c>
      <c r="E6" s="112">
        <f t="shared" si="0"/>
        <v>257.91929470796498</v>
      </c>
    </row>
    <row r="7" spans="2:5" x14ac:dyDescent="0.25">
      <c r="B7" s="110">
        <v>172</v>
      </c>
      <c r="C7" s="128">
        <v>330.65769999999992</v>
      </c>
      <c r="D7" s="111">
        <v>68000</v>
      </c>
      <c r="E7" s="112">
        <f t="shared" si="0"/>
        <v>205.65073790811471</v>
      </c>
    </row>
    <row r="8" spans="2:5" x14ac:dyDescent="0.25">
      <c r="B8" s="110">
        <v>194</v>
      </c>
      <c r="C8" s="128">
        <v>20.602</v>
      </c>
      <c r="D8" s="111">
        <v>5300</v>
      </c>
      <c r="E8" s="112">
        <f t="shared" si="0"/>
        <v>257.25657703135619</v>
      </c>
    </row>
    <row r="9" spans="2:5" x14ac:dyDescent="0.25">
      <c r="B9" s="110">
        <v>263</v>
      </c>
      <c r="C9" s="128">
        <v>612</v>
      </c>
      <c r="D9" s="111">
        <v>87000</v>
      </c>
      <c r="E9" s="112">
        <f t="shared" si="0"/>
        <v>142.15686274509804</v>
      </c>
    </row>
    <row r="10" spans="2:5" x14ac:dyDescent="0.25">
      <c r="B10" s="110">
        <v>301</v>
      </c>
      <c r="C10" s="128">
        <v>35</v>
      </c>
      <c r="D10" s="111">
        <v>9000</v>
      </c>
      <c r="E10" s="112">
        <f t="shared" si="0"/>
        <v>257.14285714285717</v>
      </c>
    </row>
    <row r="11" spans="2:5" x14ac:dyDescent="0.25">
      <c r="B11" s="110">
        <v>314</v>
      </c>
      <c r="C11" s="128">
        <v>2833.6</v>
      </c>
      <c r="D11" s="111">
        <v>348000</v>
      </c>
      <c r="E11" s="112">
        <f t="shared" si="0"/>
        <v>122.8119706380576</v>
      </c>
    </row>
    <row r="12" spans="2:5" x14ac:dyDescent="0.25">
      <c r="B12" s="110">
        <v>324</v>
      </c>
      <c r="C12" s="128">
        <v>569.63729999999998</v>
      </c>
      <c r="D12" s="111">
        <v>81000</v>
      </c>
      <c r="E12" s="112">
        <f t="shared" si="0"/>
        <v>142.19574455535127</v>
      </c>
    </row>
    <row r="13" spans="2:5" x14ac:dyDescent="0.25">
      <c r="B13" s="110">
        <v>333</v>
      </c>
      <c r="C13" s="128">
        <v>19.551600000000001</v>
      </c>
      <c r="D13" s="111">
        <v>7300</v>
      </c>
      <c r="E13" s="112">
        <f t="shared" si="0"/>
        <v>373.37097731131979</v>
      </c>
    </row>
    <row r="14" spans="2:5" x14ac:dyDescent="0.25">
      <c r="B14" s="110">
        <v>336</v>
      </c>
      <c r="C14" s="128">
        <v>175.0993</v>
      </c>
      <c r="D14" s="111">
        <v>36000</v>
      </c>
      <c r="E14" s="112">
        <f t="shared" si="0"/>
        <v>205.59762374835307</v>
      </c>
    </row>
    <row r="15" spans="2:5" x14ac:dyDescent="0.25">
      <c r="B15" s="110">
        <v>339</v>
      </c>
      <c r="C15" s="128">
        <v>549.3691</v>
      </c>
      <c r="D15" s="111">
        <v>78000</v>
      </c>
      <c r="E15" s="112">
        <f t="shared" si="0"/>
        <v>141.98104698644318</v>
      </c>
    </row>
    <row r="16" spans="2:5" x14ac:dyDescent="0.25">
      <c r="B16" s="110">
        <v>341</v>
      </c>
      <c r="C16" s="128">
        <v>45.692900000000002</v>
      </c>
      <c r="D16" s="111">
        <v>9300</v>
      </c>
      <c r="E16" s="112">
        <f t="shared" si="0"/>
        <v>203.5327151483053</v>
      </c>
    </row>
    <row r="17" spans="2:14" x14ac:dyDescent="0.25">
      <c r="B17" s="110">
        <v>346</v>
      </c>
      <c r="C17" s="128">
        <v>6.9222000000000001</v>
      </c>
      <c r="D17" s="111">
        <v>2700</v>
      </c>
      <c r="E17" s="112">
        <f t="shared" si="0"/>
        <v>390.049406258126</v>
      </c>
    </row>
    <row r="18" spans="2:14" x14ac:dyDescent="0.25">
      <c r="B18" s="110">
        <v>352</v>
      </c>
      <c r="C18" s="128">
        <v>5.4821999999999997</v>
      </c>
      <c r="D18" s="111">
        <v>2100</v>
      </c>
      <c r="E18" s="112">
        <f t="shared" si="0"/>
        <v>383.05789646492286</v>
      </c>
    </row>
    <row r="19" spans="2:14" x14ac:dyDescent="0.25">
      <c r="B19" s="110">
        <v>357</v>
      </c>
      <c r="C19" s="128">
        <v>30.999600000000001</v>
      </c>
      <c r="D19" s="111">
        <v>8000</v>
      </c>
      <c r="E19" s="112">
        <f t="shared" si="0"/>
        <v>258.06784603672304</v>
      </c>
    </row>
    <row r="20" spans="2:14" x14ac:dyDescent="0.25">
      <c r="B20" s="110">
        <v>360</v>
      </c>
      <c r="C20" s="128">
        <v>449.23700000000002</v>
      </c>
      <c r="D20" s="111">
        <v>63000</v>
      </c>
      <c r="E20" s="112">
        <f t="shared" si="0"/>
        <v>140.23778094858616</v>
      </c>
    </row>
    <row r="21" spans="2:14" x14ac:dyDescent="0.25">
      <c r="B21" s="110">
        <v>363</v>
      </c>
      <c r="C21" s="128">
        <v>5.8266</v>
      </c>
      <c r="D21" s="111">
        <v>2300</v>
      </c>
      <c r="E21" s="112">
        <f t="shared" si="0"/>
        <v>394.74135859678029</v>
      </c>
    </row>
    <row r="22" spans="2:14" x14ac:dyDescent="0.25">
      <c r="B22" s="110">
        <v>365</v>
      </c>
      <c r="C22" s="128">
        <v>482.9674</v>
      </c>
      <c r="D22" s="111">
        <v>63000</v>
      </c>
      <c r="E22" s="112">
        <f t="shared" si="0"/>
        <v>130.4435868756359</v>
      </c>
    </row>
    <row r="23" spans="2:14" x14ac:dyDescent="0.25">
      <c r="B23" s="110">
        <v>368</v>
      </c>
      <c r="C23" s="128">
        <v>217.42189999999999</v>
      </c>
      <c r="D23" s="111">
        <v>45000</v>
      </c>
      <c r="E23" s="112">
        <f t="shared" si="0"/>
        <v>206.97087091962678</v>
      </c>
    </row>
    <row r="24" spans="2:14" ht="13.5" thickBot="1" x14ac:dyDescent="0.3">
      <c r="B24" s="113">
        <v>375</v>
      </c>
      <c r="C24" s="138">
        <v>12.2172</v>
      </c>
      <c r="D24" s="277">
        <v>4500</v>
      </c>
      <c r="E24" s="114">
        <f t="shared" si="0"/>
        <v>368.33316962970241</v>
      </c>
    </row>
    <row r="26" spans="2:14" ht="14.45" customHeight="1" x14ac:dyDescent="0.25">
      <c r="B26" s="327" t="s">
        <v>263</v>
      </c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  <c r="N26" s="327"/>
    </row>
  </sheetData>
  <sheetProtection algorithmName="SHA-512" hashValue="qSSWgsNXSIQGdyHLNoyc/Ug6wZOZIgtqoZ1kqHVevyQ7CopxdeUDQVrNVvP4r5ydcIfbHvSbiXkjKW3xFs+pGA==" saltValue="KMgmUlg4r+Aqr9KkiGQb/w==" spinCount="100000" sheet="1" formatCells="0" formatColumns="0" formatRows="0" insertColumns="0" insertRows="0" insertHyperlinks="0" deleteColumns="0" deleteRows="0" sort="0" autoFilter="0" pivotTables="0"/>
  <mergeCells count="2">
    <mergeCell ref="B26:N26"/>
    <mergeCell ref="B2:E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EB05-1630-4537-8D7B-ED3F7F28B71C}">
  <sheetPr>
    <tabColor theme="2" tint="-9.9978637043366805E-2"/>
  </sheetPr>
  <dimension ref="A1:U79"/>
  <sheetViews>
    <sheetView showGridLines="0" zoomScale="75" zoomScaleNormal="75" workbookViewId="0">
      <pane ySplit="1" topLeftCell="A62" activePane="bottomLeft" state="frozen"/>
      <selection activeCell="D14" sqref="D14"/>
      <selection pane="bottomLeft" activeCell="D14" sqref="D14"/>
    </sheetView>
  </sheetViews>
  <sheetFormatPr defaultColWidth="9.140625" defaultRowHeight="15" x14ac:dyDescent="0.25"/>
  <cols>
    <col min="1" max="1" width="36.7109375" style="9" customWidth="1"/>
    <col min="2" max="2" width="12.28515625" style="9" bestFit="1" customWidth="1"/>
    <col min="3" max="3" width="13.28515625" style="9" bestFit="1" customWidth="1"/>
    <col min="4" max="4" width="21.7109375" style="179" bestFit="1" customWidth="1"/>
    <col min="5" max="5" width="21.85546875" style="179" bestFit="1" customWidth="1"/>
    <col min="6" max="6" width="9.140625" style="9" customWidth="1"/>
    <col min="7" max="7" width="36.7109375" style="151" customWidth="1"/>
    <col min="8" max="8" width="12.28515625" style="150" bestFit="1" customWidth="1"/>
    <col min="9" max="9" width="13.28515625" style="151" bestFit="1" customWidth="1" collapsed="1"/>
    <col min="10" max="11" width="15.140625" style="150" customWidth="1"/>
    <col min="12" max="12" width="12.5703125" style="150" bestFit="1" customWidth="1"/>
    <col min="13" max="13" width="11.140625" style="150" bestFit="1" customWidth="1"/>
    <col min="14" max="14" width="9.140625" style="9" customWidth="1"/>
    <col min="15" max="15" width="36.7109375" customWidth="1"/>
    <col min="16" max="16" width="12.28515625" style="179" bestFit="1" customWidth="1"/>
    <col min="17" max="17" width="13.28515625" bestFit="1" customWidth="1"/>
    <col min="18" max="19" width="11.42578125" customWidth="1"/>
    <col min="20" max="20" width="13.28515625" customWidth="1"/>
    <col min="21" max="21" width="12.7109375" bestFit="1" customWidth="1"/>
    <col min="22" max="16384" width="9.140625" style="9"/>
  </cols>
  <sheetData>
    <row r="1" spans="1:21" ht="56.25" customHeight="1" thickBot="1" x14ac:dyDescent="0.3">
      <c r="A1" s="333" t="s">
        <v>154</v>
      </c>
      <c r="B1" s="334"/>
      <c r="C1" s="334"/>
      <c r="D1" s="334"/>
      <c r="E1" s="335"/>
      <c r="G1" s="333" t="s">
        <v>247</v>
      </c>
      <c r="H1" s="334"/>
      <c r="I1" s="334"/>
      <c r="J1" s="334"/>
      <c r="K1" s="334"/>
      <c r="L1" s="334"/>
      <c r="M1" s="335"/>
      <c r="O1" s="333" t="s">
        <v>250</v>
      </c>
      <c r="P1" s="334"/>
      <c r="Q1" s="334"/>
      <c r="R1" s="334"/>
      <c r="S1" s="334"/>
      <c r="T1" s="334"/>
      <c r="U1" s="335"/>
    </row>
    <row r="2" spans="1:21" s="115" customFormat="1" ht="27" customHeight="1" thickBot="1" x14ac:dyDescent="0.3">
      <c r="A2" s="336" t="s">
        <v>155</v>
      </c>
      <c r="B2" s="337"/>
      <c r="C2" s="337"/>
      <c r="D2" s="337"/>
      <c r="E2" s="338"/>
      <c r="G2" s="336" t="s">
        <v>155</v>
      </c>
      <c r="H2" s="337"/>
      <c r="I2" s="337"/>
      <c r="J2" s="337"/>
      <c r="K2" s="337"/>
      <c r="L2" s="337"/>
      <c r="M2" s="338"/>
      <c r="O2" s="336" t="s">
        <v>155</v>
      </c>
      <c r="P2" s="337"/>
      <c r="Q2" s="337"/>
      <c r="R2" s="337"/>
      <c r="S2" s="337"/>
      <c r="T2" s="337"/>
      <c r="U2" s="338"/>
    </row>
    <row r="3" spans="1:21" s="115" customFormat="1" ht="18" customHeight="1" x14ac:dyDescent="0.25">
      <c r="A3" s="339" t="s">
        <v>156</v>
      </c>
      <c r="B3" s="341" t="s">
        <v>157</v>
      </c>
      <c r="C3" s="341" t="s">
        <v>158</v>
      </c>
      <c r="D3" s="116" t="s">
        <v>159</v>
      </c>
      <c r="E3" s="117" t="s">
        <v>160</v>
      </c>
      <c r="G3" s="359" t="s">
        <v>156</v>
      </c>
      <c r="H3" s="356" t="s">
        <v>157</v>
      </c>
      <c r="I3" s="356" t="s">
        <v>158</v>
      </c>
      <c r="J3" s="356" t="s">
        <v>235</v>
      </c>
      <c r="K3" s="356"/>
      <c r="L3" s="356" t="s">
        <v>160</v>
      </c>
      <c r="M3" s="362"/>
      <c r="O3" s="359" t="s">
        <v>156</v>
      </c>
      <c r="P3" s="356" t="s">
        <v>157</v>
      </c>
      <c r="Q3" s="356" t="s">
        <v>158</v>
      </c>
      <c r="R3" s="356" t="s">
        <v>159</v>
      </c>
      <c r="S3" s="356"/>
      <c r="T3" s="356" t="s">
        <v>160</v>
      </c>
      <c r="U3" s="362"/>
    </row>
    <row r="4" spans="1:21" s="115" customFormat="1" ht="18" customHeight="1" x14ac:dyDescent="0.25">
      <c r="A4" s="340"/>
      <c r="B4" s="342"/>
      <c r="C4" s="342"/>
      <c r="D4" s="118">
        <v>1</v>
      </c>
      <c r="E4" s="119">
        <v>1</v>
      </c>
      <c r="G4" s="360"/>
      <c r="H4" s="361"/>
      <c r="I4" s="361"/>
      <c r="J4" s="120">
        <v>1</v>
      </c>
      <c r="K4" s="120">
        <v>2</v>
      </c>
      <c r="L4" s="120">
        <v>1</v>
      </c>
      <c r="M4" s="121">
        <v>2</v>
      </c>
      <c r="O4" s="360"/>
      <c r="P4" s="361"/>
      <c r="Q4" s="361"/>
      <c r="R4" s="120">
        <v>1</v>
      </c>
      <c r="S4" s="120">
        <v>2</v>
      </c>
      <c r="T4" s="120">
        <v>1</v>
      </c>
      <c r="U4" s="121">
        <v>2</v>
      </c>
    </row>
    <row r="5" spans="1:21" s="115" customFormat="1" ht="20.100000000000001" customHeight="1" x14ac:dyDescent="0.25">
      <c r="A5" s="122" t="s">
        <v>161</v>
      </c>
      <c r="B5" s="123" t="s">
        <v>162</v>
      </c>
      <c r="C5" s="124">
        <v>7.5</v>
      </c>
      <c r="D5" s="124">
        <v>133.30000000000001</v>
      </c>
      <c r="E5" s="125">
        <f>C5*D5</f>
        <v>999.75000000000011</v>
      </c>
      <c r="G5" s="126" t="s">
        <v>161</v>
      </c>
      <c r="H5" s="127" t="s">
        <v>162</v>
      </c>
      <c r="I5" s="128">
        <v>7.5</v>
      </c>
      <c r="J5" s="128">
        <v>15.52</v>
      </c>
      <c r="K5" s="128">
        <v>46.56</v>
      </c>
      <c r="L5" s="128">
        <f t="shared" ref="L5:L19" si="0">I5*J5</f>
        <v>116.39999999999999</v>
      </c>
      <c r="M5" s="129">
        <f t="shared" ref="M5:M19" si="1">I5*K5</f>
        <v>349.20000000000005</v>
      </c>
      <c r="O5" s="126" t="s">
        <v>161</v>
      </c>
      <c r="P5" s="127" t="s">
        <v>162</v>
      </c>
      <c r="Q5" s="128">
        <v>7.5</v>
      </c>
      <c r="R5" s="128">
        <v>5.25</v>
      </c>
      <c r="S5" s="128">
        <v>21</v>
      </c>
      <c r="T5" s="130">
        <f t="shared" ref="T5:T20" si="2">$Q5*R5</f>
        <v>39.375</v>
      </c>
      <c r="U5" s="131">
        <f t="shared" ref="U5:U20" si="3">$Q5*S5</f>
        <v>157.5</v>
      </c>
    </row>
    <row r="6" spans="1:21" s="115" customFormat="1" ht="20.100000000000001" customHeight="1" x14ac:dyDescent="0.25">
      <c r="A6" s="122" t="s">
        <v>163</v>
      </c>
      <c r="B6" s="123" t="s">
        <v>164</v>
      </c>
      <c r="C6" s="124">
        <v>450</v>
      </c>
      <c r="D6" s="124">
        <v>1.3</v>
      </c>
      <c r="E6" s="125">
        <f t="shared" ref="E6:E19" si="4">C6*D6</f>
        <v>585</v>
      </c>
      <c r="G6" s="126" t="s">
        <v>163</v>
      </c>
      <c r="H6" s="127" t="s">
        <v>164</v>
      </c>
      <c r="I6" s="128">
        <v>450</v>
      </c>
      <c r="J6" s="128">
        <v>1</v>
      </c>
      <c r="K6" s="128">
        <v>1</v>
      </c>
      <c r="L6" s="128">
        <f t="shared" si="0"/>
        <v>450</v>
      </c>
      <c r="M6" s="129">
        <f t="shared" si="1"/>
        <v>450</v>
      </c>
      <c r="O6" s="126" t="s">
        <v>163</v>
      </c>
      <c r="P6" s="127" t="s">
        <v>164</v>
      </c>
      <c r="Q6" s="128">
        <v>450</v>
      </c>
      <c r="R6" s="128">
        <v>1</v>
      </c>
      <c r="S6" s="128">
        <v>1</v>
      </c>
      <c r="T6" s="130">
        <f t="shared" si="2"/>
        <v>450</v>
      </c>
      <c r="U6" s="131">
        <f t="shared" si="3"/>
        <v>450</v>
      </c>
    </row>
    <row r="7" spans="1:21" s="115" customFormat="1" ht="20.100000000000001" customHeight="1" x14ac:dyDescent="0.25">
      <c r="A7" s="122" t="s">
        <v>165</v>
      </c>
      <c r="B7" s="123" t="s">
        <v>164</v>
      </c>
      <c r="C7" s="124">
        <v>2650</v>
      </c>
      <c r="D7" s="124">
        <v>1</v>
      </c>
      <c r="E7" s="125">
        <f t="shared" si="4"/>
        <v>2650</v>
      </c>
      <c r="G7" s="126" t="s">
        <v>165</v>
      </c>
      <c r="H7" s="127" t="s">
        <v>164</v>
      </c>
      <c r="I7" s="128">
        <v>2650</v>
      </c>
      <c r="J7" s="128">
        <v>1</v>
      </c>
      <c r="K7" s="128">
        <v>1</v>
      </c>
      <c r="L7" s="128">
        <f t="shared" si="0"/>
        <v>2650</v>
      </c>
      <c r="M7" s="129">
        <f t="shared" si="1"/>
        <v>2650</v>
      </c>
      <c r="O7" s="126" t="s">
        <v>165</v>
      </c>
      <c r="P7" s="127" t="s">
        <v>164</v>
      </c>
      <c r="Q7" s="128">
        <v>2650</v>
      </c>
      <c r="R7" s="128">
        <v>1</v>
      </c>
      <c r="S7" s="128">
        <v>1</v>
      </c>
      <c r="T7" s="130">
        <f t="shared" si="2"/>
        <v>2650</v>
      </c>
      <c r="U7" s="131">
        <f t="shared" si="3"/>
        <v>2650</v>
      </c>
    </row>
    <row r="8" spans="1:21" s="115" customFormat="1" ht="20.100000000000001" customHeight="1" x14ac:dyDescent="0.25">
      <c r="A8" s="122" t="s">
        <v>166</v>
      </c>
      <c r="B8" s="123" t="s">
        <v>167</v>
      </c>
      <c r="C8" s="124">
        <v>25</v>
      </c>
      <c r="D8" s="124">
        <v>2</v>
      </c>
      <c r="E8" s="125">
        <f t="shared" si="4"/>
        <v>50</v>
      </c>
      <c r="G8" s="126" t="s">
        <v>166</v>
      </c>
      <c r="H8" s="127" t="s">
        <v>167</v>
      </c>
      <c r="I8" s="128">
        <v>25</v>
      </c>
      <c r="J8" s="128">
        <v>3</v>
      </c>
      <c r="K8" s="128">
        <v>12</v>
      </c>
      <c r="L8" s="128">
        <f t="shared" si="0"/>
        <v>75</v>
      </c>
      <c r="M8" s="129">
        <f t="shared" si="1"/>
        <v>300</v>
      </c>
      <c r="O8" s="126" t="s">
        <v>166</v>
      </c>
      <c r="P8" s="127" t="s">
        <v>167</v>
      </c>
      <c r="Q8" s="128">
        <v>25</v>
      </c>
      <c r="R8" s="128">
        <v>3</v>
      </c>
      <c r="S8" s="128">
        <v>12</v>
      </c>
      <c r="T8" s="130">
        <f t="shared" si="2"/>
        <v>75</v>
      </c>
      <c r="U8" s="131">
        <f t="shared" si="3"/>
        <v>300</v>
      </c>
    </row>
    <row r="9" spans="1:21" s="115" customFormat="1" ht="20.100000000000001" customHeight="1" x14ac:dyDescent="0.25">
      <c r="A9" s="122" t="s">
        <v>168</v>
      </c>
      <c r="B9" s="123" t="s">
        <v>164</v>
      </c>
      <c r="C9" s="124">
        <v>2700</v>
      </c>
      <c r="D9" s="124">
        <v>1.2796799999999999</v>
      </c>
      <c r="E9" s="125">
        <f t="shared" si="4"/>
        <v>3455.136</v>
      </c>
      <c r="G9" s="126" t="s">
        <v>168</v>
      </c>
      <c r="H9" s="127" t="s">
        <v>164</v>
      </c>
      <c r="I9" s="128">
        <v>2700</v>
      </c>
      <c r="J9" s="128">
        <v>0.19400000000000001</v>
      </c>
      <c r="K9" s="128">
        <v>0.27936</v>
      </c>
      <c r="L9" s="128">
        <f t="shared" si="0"/>
        <v>523.80000000000007</v>
      </c>
      <c r="M9" s="129">
        <f t="shared" si="1"/>
        <v>754.27200000000005</v>
      </c>
      <c r="O9" s="126" t="s">
        <v>168</v>
      </c>
      <c r="P9" s="127" t="s">
        <v>164</v>
      </c>
      <c r="Q9" s="128">
        <v>2700</v>
      </c>
      <c r="R9" s="128">
        <v>6.3E-2</v>
      </c>
      <c r="S9" s="128">
        <v>0.126</v>
      </c>
      <c r="T9" s="130">
        <f t="shared" si="2"/>
        <v>170.1</v>
      </c>
      <c r="U9" s="131">
        <f t="shared" si="3"/>
        <v>340.2</v>
      </c>
    </row>
    <row r="10" spans="1:21" s="115" customFormat="1" ht="20.100000000000001" customHeight="1" x14ac:dyDescent="0.25">
      <c r="A10" s="122" t="s">
        <v>169</v>
      </c>
      <c r="B10" s="123" t="s">
        <v>162</v>
      </c>
      <c r="C10" s="124">
        <v>1.5</v>
      </c>
      <c r="D10" s="124">
        <v>199.95000000000002</v>
      </c>
      <c r="E10" s="125">
        <f t="shared" si="4"/>
        <v>299.92500000000001</v>
      </c>
      <c r="G10" s="126" t="s">
        <v>169</v>
      </c>
      <c r="H10" s="127" t="s">
        <v>162</v>
      </c>
      <c r="I10" s="128">
        <v>1.5</v>
      </c>
      <c r="J10" s="128">
        <v>116.4</v>
      </c>
      <c r="K10" s="128">
        <v>186.24</v>
      </c>
      <c r="L10" s="128">
        <f t="shared" si="0"/>
        <v>174.60000000000002</v>
      </c>
      <c r="M10" s="129">
        <f t="shared" si="1"/>
        <v>279.36</v>
      </c>
      <c r="O10" s="126" t="s">
        <v>242</v>
      </c>
      <c r="P10" s="127" t="s">
        <v>162</v>
      </c>
      <c r="Q10" s="128">
        <v>8.9</v>
      </c>
      <c r="R10" s="128">
        <v>0</v>
      </c>
      <c r="S10" s="128">
        <v>0</v>
      </c>
      <c r="T10" s="130">
        <f t="shared" si="2"/>
        <v>0</v>
      </c>
      <c r="U10" s="131">
        <f t="shared" si="3"/>
        <v>0</v>
      </c>
    </row>
    <row r="11" spans="1:21" s="115" customFormat="1" ht="20.100000000000001" customHeight="1" x14ac:dyDescent="0.25">
      <c r="A11" s="122" t="s">
        <v>170</v>
      </c>
      <c r="B11" s="123" t="s">
        <v>162</v>
      </c>
      <c r="C11" s="124">
        <v>6</v>
      </c>
      <c r="D11" s="124">
        <v>99.975000000000009</v>
      </c>
      <c r="E11" s="125">
        <f t="shared" si="4"/>
        <v>599.85</v>
      </c>
      <c r="G11" s="126" t="s">
        <v>170</v>
      </c>
      <c r="H11" s="127" t="s">
        <v>162</v>
      </c>
      <c r="I11" s="128">
        <v>6</v>
      </c>
      <c r="J11" s="128">
        <v>77.599999999999994</v>
      </c>
      <c r="K11" s="128">
        <v>93.12</v>
      </c>
      <c r="L11" s="128">
        <f t="shared" si="0"/>
        <v>465.59999999999997</v>
      </c>
      <c r="M11" s="129">
        <f t="shared" si="1"/>
        <v>558.72</v>
      </c>
      <c r="O11" s="126" t="s">
        <v>169</v>
      </c>
      <c r="P11" s="127" t="s">
        <v>162</v>
      </c>
      <c r="Q11" s="128">
        <v>1.5</v>
      </c>
      <c r="R11" s="128">
        <v>31.5</v>
      </c>
      <c r="S11" s="128">
        <v>84</v>
      </c>
      <c r="T11" s="130">
        <f t="shared" si="2"/>
        <v>47.25</v>
      </c>
      <c r="U11" s="131">
        <f t="shared" si="3"/>
        <v>126</v>
      </c>
    </row>
    <row r="12" spans="1:21" s="115" customFormat="1" ht="20.100000000000001" customHeight="1" x14ac:dyDescent="0.25">
      <c r="A12" s="122" t="s">
        <v>171</v>
      </c>
      <c r="B12" s="123" t="s">
        <v>172</v>
      </c>
      <c r="C12" s="124">
        <v>80</v>
      </c>
      <c r="D12" s="124">
        <v>39.99</v>
      </c>
      <c r="E12" s="125">
        <f t="shared" si="4"/>
        <v>3199.2000000000003</v>
      </c>
      <c r="G12" s="126" t="s">
        <v>171</v>
      </c>
      <c r="H12" s="127" t="s">
        <v>172</v>
      </c>
      <c r="I12" s="128">
        <v>80</v>
      </c>
      <c r="J12" s="128">
        <v>7.76</v>
      </c>
      <c r="K12" s="128">
        <v>7.76</v>
      </c>
      <c r="L12" s="128">
        <f t="shared" si="0"/>
        <v>620.79999999999995</v>
      </c>
      <c r="M12" s="129">
        <f t="shared" si="1"/>
        <v>620.79999999999995</v>
      </c>
      <c r="O12" s="126" t="s">
        <v>170</v>
      </c>
      <c r="P12" s="127" t="s">
        <v>162</v>
      </c>
      <c r="Q12" s="128">
        <v>6</v>
      </c>
      <c r="R12" s="128">
        <v>10.5</v>
      </c>
      <c r="S12" s="128">
        <v>42</v>
      </c>
      <c r="T12" s="130">
        <f t="shared" si="2"/>
        <v>63</v>
      </c>
      <c r="U12" s="131">
        <f t="shared" si="3"/>
        <v>252</v>
      </c>
    </row>
    <row r="13" spans="1:21" s="115" customFormat="1" ht="20.100000000000001" customHeight="1" x14ac:dyDescent="0.25">
      <c r="A13" s="122" t="s">
        <v>173</v>
      </c>
      <c r="B13" s="123" t="s">
        <v>164</v>
      </c>
      <c r="C13" s="124">
        <v>2200</v>
      </c>
      <c r="D13" s="124">
        <v>1.023744</v>
      </c>
      <c r="E13" s="125">
        <f t="shared" si="4"/>
        <v>2252.2368000000001</v>
      </c>
      <c r="G13" s="126" t="s">
        <v>173</v>
      </c>
      <c r="H13" s="127" t="s">
        <v>164</v>
      </c>
      <c r="I13" s="128">
        <v>2200</v>
      </c>
      <c r="J13" s="128">
        <v>0.19400000000000001</v>
      </c>
      <c r="K13" s="128">
        <v>0.19400000000000001</v>
      </c>
      <c r="L13" s="128">
        <f t="shared" si="0"/>
        <v>426.8</v>
      </c>
      <c r="M13" s="129">
        <f t="shared" si="1"/>
        <v>426.8</v>
      </c>
      <c r="O13" s="126" t="s">
        <v>171</v>
      </c>
      <c r="P13" s="127" t="s">
        <v>172</v>
      </c>
      <c r="Q13" s="128">
        <v>80</v>
      </c>
      <c r="R13" s="128">
        <v>7</v>
      </c>
      <c r="S13" s="128">
        <v>7</v>
      </c>
      <c r="T13" s="130">
        <f t="shared" si="2"/>
        <v>560</v>
      </c>
      <c r="U13" s="131">
        <f t="shared" si="3"/>
        <v>560</v>
      </c>
    </row>
    <row r="14" spans="1:21" s="115" customFormat="1" ht="20.100000000000001" customHeight="1" x14ac:dyDescent="0.25">
      <c r="A14" s="122" t="s">
        <v>174</v>
      </c>
      <c r="B14" s="123" t="s">
        <v>167</v>
      </c>
      <c r="C14" s="124">
        <v>85</v>
      </c>
      <c r="D14" s="124">
        <v>0.5</v>
      </c>
      <c r="E14" s="125">
        <f t="shared" si="4"/>
        <v>42.5</v>
      </c>
      <c r="G14" s="126" t="s">
        <v>174</v>
      </c>
      <c r="H14" s="127" t="s">
        <v>167</v>
      </c>
      <c r="I14" s="128">
        <v>85</v>
      </c>
      <c r="J14" s="128">
        <v>3</v>
      </c>
      <c r="K14" s="128">
        <v>8</v>
      </c>
      <c r="L14" s="128">
        <f t="shared" si="0"/>
        <v>255</v>
      </c>
      <c r="M14" s="129">
        <f t="shared" si="1"/>
        <v>680</v>
      </c>
      <c r="O14" s="126" t="s">
        <v>173</v>
      </c>
      <c r="P14" s="127" t="s">
        <v>164</v>
      </c>
      <c r="Q14" s="128">
        <v>2200</v>
      </c>
      <c r="R14" s="128">
        <v>1.0500000000000001E-2</v>
      </c>
      <c r="S14" s="128">
        <v>6.3E-2</v>
      </c>
      <c r="T14" s="130">
        <f t="shared" si="2"/>
        <v>23.1</v>
      </c>
      <c r="U14" s="131">
        <f t="shared" si="3"/>
        <v>138.6</v>
      </c>
    </row>
    <row r="15" spans="1:21" s="115" customFormat="1" ht="20.100000000000001" customHeight="1" x14ac:dyDescent="0.25">
      <c r="A15" s="122" t="s">
        <v>175</v>
      </c>
      <c r="B15" s="123" t="s">
        <v>167</v>
      </c>
      <c r="C15" s="124">
        <v>40</v>
      </c>
      <c r="D15" s="124">
        <v>1</v>
      </c>
      <c r="E15" s="125">
        <f t="shared" si="4"/>
        <v>40</v>
      </c>
      <c r="G15" s="126" t="s">
        <v>175</v>
      </c>
      <c r="H15" s="127" t="s">
        <v>167</v>
      </c>
      <c r="I15" s="128">
        <v>40</v>
      </c>
      <c r="J15" s="128">
        <v>3</v>
      </c>
      <c r="K15" s="128">
        <v>4</v>
      </c>
      <c r="L15" s="128">
        <f t="shared" si="0"/>
        <v>120</v>
      </c>
      <c r="M15" s="129">
        <f t="shared" si="1"/>
        <v>160</v>
      </c>
      <c r="O15" s="126" t="s">
        <v>174</v>
      </c>
      <c r="P15" s="127" t="s">
        <v>167</v>
      </c>
      <c r="Q15" s="128">
        <v>85</v>
      </c>
      <c r="R15" s="128">
        <v>3</v>
      </c>
      <c r="S15" s="128">
        <v>12</v>
      </c>
      <c r="T15" s="130">
        <f t="shared" si="2"/>
        <v>255</v>
      </c>
      <c r="U15" s="131">
        <f t="shared" si="3"/>
        <v>1020</v>
      </c>
    </row>
    <row r="16" spans="1:21" s="115" customFormat="1" ht="20.100000000000001" customHeight="1" x14ac:dyDescent="0.25">
      <c r="A16" s="122" t="s">
        <v>176</v>
      </c>
      <c r="B16" s="123" t="s">
        <v>167</v>
      </c>
      <c r="C16" s="124">
        <v>15</v>
      </c>
      <c r="D16" s="124">
        <v>0.25</v>
      </c>
      <c r="E16" s="125">
        <f t="shared" si="4"/>
        <v>3.75</v>
      </c>
      <c r="G16" s="126" t="s">
        <v>176</v>
      </c>
      <c r="H16" s="127" t="s">
        <v>167</v>
      </c>
      <c r="I16" s="128">
        <v>15</v>
      </c>
      <c r="J16" s="128">
        <v>0.36</v>
      </c>
      <c r="K16" s="128">
        <v>0.4</v>
      </c>
      <c r="L16" s="128">
        <f t="shared" si="0"/>
        <v>5.3999999999999995</v>
      </c>
      <c r="M16" s="129">
        <f t="shared" si="1"/>
        <v>6</v>
      </c>
      <c r="O16" s="126" t="s">
        <v>175</v>
      </c>
      <c r="P16" s="127" t="s">
        <v>167</v>
      </c>
      <c r="Q16" s="128">
        <v>40</v>
      </c>
      <c r="R16" s="128">
        <v>6</v>
      </c>
      <c r="S16" s="128">
        <v>6</v>
      </c>
      <c r="T16" s="130">
        <f t="shared" si="2"/>
        <v>240</v>
      </c>
      <c r="U16" s="131">
        <f t="shared" si="3"/>
        <v>240</v>
      </c>
    </row>
    <row r="17" spans="1:21" s="115" customFormat="1" ht="20.100000000000001" customHeight="1" x14ac:dyDescent="0.25">
      <c r="A17" s="122" t="s">
        <v>177</v>
      </c>
      <c r="B17" s="123" t="s">
        <v>167</v>
      </c>
      <c r="C17" s="124">
        <v>85</v>
      </c>
      <c r="D17" s="124">
        <v>1.5</v>
      </c>
      <c r="E17" s="125">
        <f t="shared" si="4"/>
        <v>127.5</v>
      </c>
      <c r="G17" s="126" t="s">
        <v>177</v>
      </c>
      <c r="H17" s="127" t="s">
        <v>167</v>
      </c>
      <c r="I17" s="128">
        <v>85</v>
      </c>
      <c r="J17" s="128">
        <v>2</v>
      </c>
      <c r="K17" s="128">
        <v>2</v>
      </c>
      <c r="L17" s="128">
        <f t="shared" si="0"/>
        <v>170</v>
      </c>
      <c r="M17" s="129">
        <f t="shared" si="1"/>
        <v>170</v>
      </c>
      <c r="O17" s="126" t="s">
        <v>176</v>
      </c>
      <c r="P17" s="127" t="s">
        <v>167</v>
      </c>
      <c r="Q17" s="128">
        <v>15</v>
      </c>
      <c r="R17" s="128">
        <v>0.36</v>
      </c>
      <c r="S17" s="128">
        <v>0.48</v>
      </c>
      <c r="T17" s="130">
        <f t="shared" si="2"/>
        <v>5.3999999999999995</v>
      </c>
      <c r="U17" s="131">
        <f t="shared" si="3"/>
        <v>7.1999999999999993</v>
      </c>
    </row>
    <row r="18" spans="1:21" s="115" customFormat="1" ht="20.100000000000001" customHeight="1" x14ac:dyDescent="0.25">
      <c r="A18" s="122" t="s">
        <v>178</v>
      </c>
      <c r="B18" s="123" t="s">
        <v>167</v>
      </c>
      <c r="C18" s="124">
        <v>10</v>
      </c>
      <c r="D18" s="124">
        <v>6</v>
      </c>
      <c r="E18" s="125">
        <f t="shared" si="4"/>
        <v>60</v>
      </c>
      <c r="G18" s="126" t="s">
        <v>178</v>
      </c>
      <c r="H18" s="127" t="s">
        <v>167</v>
      </c>
      <c r="I18" s="128">
        <v>10</v>
      </c>
      <c r="J18" s="128">
        <v>3</v>
      </c>
      <c r="K18" s="128">
        <v>18</v>
      </c>
      <c r="L18" s="128">
        <f t="shared" si="0"/>
        <v>30</v>
      </c>
      <c r="M18" s="129">
        <f t="shared" si="1"/>
        <v>180</v>
      </c>
      <c r="O18" s="126" t="s">
        <v>177</v>
      </c>
      <c r="P18" s="127" t="s">
        <v>167</v>
      </c>
      <c r="Q18" s="128">
        <v>85</v>
      </c>
      <c r="R18" s="128">
        <v>2</v>
      </c>
      <c r="S18" s="128">
        <v>2</v>
      </c>
      <c r="T18" s="130">
        <f t="shared" si="2"/>
        <v>170</v>
      </c>
      <c r="U18" s="131">
        <f t="shared" si="3"/>
        <v>170</v>
      </c>
    </row>
    <row r="19" spans="1:21" s="115" customFormat="1" ht="20.100000000000001" customHeight="1" thickBot="1" x14ac:dyDescent="0.3">
      <c r="A19" s="132" t="s">
        <v>179</v>
      </c>
      <c r="B19" s="133" t="s">
        <v>180</v>
      </c>
      <c r="C19" s="134">
        <v>4</v>
      </c>
      <c r="D19" s="134">
        <v>2000</v>
      </c>
      <c r="E19" s="135">
        <f t="shared" si="4"/>
        <v>8000</v>
      </c>
      <c r="G19" s="136" t="s">
        <v>236</v>
      </c>
      <c r="H19" s="137" t="s">
        <v>180</v>
      </c>
      <c r="I19" s="138">
        <v>21</v>
      </c>
      <c r="J19" s="138">
        <v>776</v>
      </c>
      <c r="K19" s="138">
        <v>0</v>
      </c>
      <c r="L19" s="138">
        <f t="shared" si="0"/>
        <v>16296</v>
      </c>
      <c r="M19" s="139">
        <f t="shared" si="1"/>
        <v>0</v>
      </c>
      <c r="O19" s="126" t="s">
        <v>178</v>
      </c>
      <c r="P19" s="127" t="s">
        <v>167</v>
      </c>
      <c r="Q19" s="128">
        <v>10</v>
      </c>
      <c r="R19" s="128">
        <v>3</v>
      </c>
      <c r="S19" s="128">
        <v>24</v>
      </c>
      <c r="T19" s="130">
        <f t="shared" si="2"/>
        <v>30</v>
      </c>
      <c r="U19" s="131">
        <f t="shared" si="3"/>
        <v>240</v>
      </c>
    </row>
    <row r="20" spans="1:21" s="141" customFormat="1" ht="20.100000000000001" customHeight="1" thickBot="1" x14ac:dyDescent="0.3">
      <c r="A20" s="331" t="s">
        <v>181</v>
      </c>
      <c r="B20" s="332"/>
      <c r="C20" s="332"/>
      <c r="D20" s="332"/>
      <c r="E20" s="140">
        <f>SUM(E5:E19)</f>
        <v>22364.847800000003</v>
      </c>
      <c r="G20" s="346" t="s">
        <v>181</v>
      </c>
      <c r="H20" s="347"/>
      <c r="I20" s="347"/>
      <c r="J20" s="347"/>
      <c r="K20" s="347"/>
      <c r="L20" s="142">
        <f>SUM(L5:L19)</f>
        <v>22379.4</v>
      </c>
      <c r="M20" s="143">
        <f>SUM(M5:M19)</f>
        <v>7585.152</v>
      </c>
      <c r="O20" s="136" t="s">
        <v>243</v>
      </c>
      <c r="P20" s="137" t="s">
        <v>180</v>
      </c>
      <c r="Q20" s="138">
        <v>20</v>
      </c>
      <c r="R20" s="138">
        <v>350</v>
      </c>
      <c r="S20" s="138">
        <v>0</v>
      </c>
      <c r="T20" s="144">
        <f t="shared" si="2"/>
        <v>7000</v>
      </c>
      <c r="U20" s="145">
        <f t="shared" si="3"/>
        <v>0</v>
      </c>
    </row>
    <row r="21" spans="1:21" s="115" customFormat="1" ht="13.5" thickBot="1" x14ac:dyDescent="0.3">
      <c r="A21" s="146"/>
      <c r="D21" s="147"/>
      <c r="E21" s="148"/>
      <c r="G21" s="149"/>
      <c r="H21" s="150"/>
      <c r="I21" s="151"/>
      <c r="J21" s="152"/>
      <c r="K21" s="152"/>
      <c r="L21" s="151"/>
      <c r="M21" s="153"/>
      <c r="O21" s="346" t="s">
        <v>181</v>
      </c>
      <c r="P21" s="347"/>
      <c r="Q21" s="347"/>
      <c r="R21" s="347"/>
      <c r="S21" s="347"/>
      <c r="T21" s="154">
        <f>SUM(T5:T20)</f>
        <v>11778.224999999999</v>
      </c>
      <c r="U21" s="155">
        <f>SUM(U5:U20)</f>
        <v>6651.5</v>
      </c>
    </row>
    <row r="22" spans="1:21" s="115" customFormat="1" ht="27" customHeight="1" thickBot="1" x14ac:dyDescent="0.3">
      <c r="A22" s="146"/>
      <c r="D22" s="147"/>
      <c r="E22" s="148"/>
      <c r="G22" s="149"/>
      <c r="H22" s="150"/>
      <c r="I22" s="151"/>
      <c r="J22" s="152"/>
      <c r="K22" s="152"/>
      <c r="L22" s="151"/>
      <c r="M22" s="153"/>
      <c r="O22" s="149"/>
      <c r="P22" s="150"/>
      <c r="Q22" s="151"/>
      <c r="R22" s="152"/>
      <c r="S22" s="152"/>
      <c r="T22" s="151"/>
      <c r="U22" s="153"/>
    </row>
    <row r="23" spans="1:21" ht="27" customHeight="1" thickBot="1" x14ac:dyDescent="0.3">
      <c r="A23" s="336" t="s">
        <v>182</v>
      </c>
      <c r="B23" s="337"/>
      <c r="C23" s="337"/>
      <c r="D23" s="337"/>
      <c r="E23" s="338"/>
      <c r="G23" s="336" t="s">
        <v>237</v>
      </c>
      <c r="H23" s="337"/>
      <c r="I23" s="337"/>
      <c r="J23" s="337"/>
      <c r="K23" s="337"/>
      <c r="L23" s="337"/>
      <c r="M23" s="338"/>
      <c r="O23" s="336" t="s">
        <v>182</v>
      </c>
      <c r="P23" s="337"/>
      <c r="Q23" s="337"/>
      <c r="R23" s="337"/>
      <c r="S23" s="337"/>
      <c r="T23" s="337"/>
      <c r="U23" s="338"/>
    </row>
    <row r="24" spans="1:21" s="115" customFormat="1" ht="18" customHeight="1" x14ac:dyDescent="0.25">
      <c r="A24" s="339" t="s">
        <v>156</v>
      </c>
      <c r="B24" s="341" t="s">
        <v>157</v>
      </c>
      <c r="C24" s="341" t="s">
        <v>158</v>
      </c>
      <c r="D24" s="116" t="s">
        <v>159</v>
      </c>
      <c r="E24" s="117" t="s">
        <v>160</v>
      </c>
      <c r="G24" s="359" t="s">
        <v>156</v>
      </c>
      <c r="H24" s="356" t="s">
        <v>157</v>
      </c>
      <c r="I24" s="356" t="s">
        <v>158</v>
      </c>
      <c r="J24" s="356" t="s">
        <v>159</v>
      </c>
      <c r="K24" s="356"/>
      <c r="L24" s="356" t="s">
        <v>160</v>
      </c>
      <c r="M24" s="362"/>
      <c r="O24" s="359" t="s">
        <v>156</v>
      </c>
      <c r="P24" s="356" t="s">
        <v>157</v>
      </c>
      <c r="Q24" s="356" t="s">
        <v>158</v>
      </c>
      <c r="R24" s="356" t="s">
        <v>159</v>
      </c>
      <c r="S24" s="356"/>
      <c r="T24" s="356" t="s">
        <v>160</v>
      </c>
      <c r="U24" s="362"/>
    </row>
    <row r="25" spans="1:21" s="115" customFormat="1" ht="20.100000000000001" customHeight="1" x14ac:dyDescent="0.25">
      <c r="A25" s="340"/>
      <c r="B25" s="342"/>
      <c r="C25" s="342"/>
      <c r="D25" s="118">
        <v>1</v>
      </c>
      <c r="E25" s="119">
        <v>1</v>
      </c>
      <c r="G25" s="360"/>
      <c r="H25" s="361"/>
      <c r="I25" s="361"/>
      <c r="J25" s="120">
        <v>1</v>
      </c>
      <c r="K25" s="120">
        <v>2</v>
      </c>
      <c r="L25" s="120">
        <v>1</v>
      </c>
      <c r="M25" s="121">
        <v>2</v>
      </c>
      <c r="O25" s="360"/>
      <c r="P25" s="361"/>
      <c r="Q25" s="361"/>
      <c r="R25" s="120">
        <v>1</v>
      </c>
      <c r="S25" s="120">
        <v>2</v>
      </c>
      <c r="T25" s="120">
        <v>1</v>
      </c>
      <c r="U25" s="121">
        <v>2</v>
      </c>
    </row>
    <row r="26" spans="1:21" s="115" customFormat="1" ht="20.100000000000001" customHeight="1" x14ac:dyDescent="0.25">
      <c r="A26" s="126" t="s">
        <v>183</v>
      </c>
      <c r="B26" s="127" t="s">
        <v>184</v>
      </c>
      <c r="C26" s="124">
        <v>145</v>
      </c>
      <c r="D26" s="124">
        <v>15</v>
      </c>
      <c r="E26" s="125">
        <f>C26*D26</f>
        <v>2175</v>
      </c>
      <c r="G26" s="126" t="s">
        <v>183</v>
      </c>
      <c r="H26" s="127" t="s">
        <v>184</v>
      </c>
      <c r="I26" s="128">
        <v>136</v>
      </c>
      <c r="J26" s="128">
        <v>8</v>
      </c>
      <c r="K26" s="128"/>
      <c r="L26" s="128">
        <f t="shared" ref="L26:L34" si="5">I26*J26</f>
        <v>1088</v>
      </c>
      <c r="M26" s="129">
        <f t="shared" ref="M26:M34" si="6">I26*K26</f>
        <v>0</v>
      </c>
      <c r="O26" s="126" t="s">
        <v>183</v>
      </c>
      <c r="P26" s="127" t="s">
        <v>184</v>
      </c>
      <c r="Q26" s="128">
        <v>136</v>
      </c>
      <c r="R26" s="128">
        <v>8</v>
      </c>
      <c r="S26" s="128"/>
      <c r="T26" s="130">
        <f t="shared" ref="T26:T36" si="7">$Q26*R26</f>
        <v>1088</v>
      </c>
      <c r="U26" s="131">
        <f t="shared" ref="U26:U36" si="8">$Q26*S26</f>
        <v>0</v>
      </c>
    </row>
    <row r="27" spans="1:21" s="115" customFormat="1" ht="20.100000000000001" customHeight="1" x14ac:dyDescent="0.25">
      <c r="A27" s="122" t="s">
        <v>185</v>
      </c>
      <c r="B27" s="123" t="s">
        <v>184</v>
      </c>
      <c r="C27" s="124">
        <v>145</v>
      </c>
      <c r="D27" s="124">
        <v>12</v>
      </c>
      <c r="E27" s="125">
        <f t="shared" ref="E27:E39" si="9">C27*D27</f>
        <v>1740</v>
      </c>
      <c r="G27" s="126" t="s">
        <v>185</v>
      </c>
      <c r="H27" s="127" t="s">
        <v>184</v>
      </c>
      <c r="I27" s="128">
        <v>136</v>
      </c>
      <c r="J27" s="128">
        <v>8</v>
      </c>
      <c r="K27" s="128"/>
      <c r="L27" s="128">
        <f t="shared" si="5"/>
        <v>1088</v>
      </c>
      <c r="M27" s="129">
        <f t="shared" si="6"/>
        <v>0</v>
      </c>
      <c r="O27" s="126" t="s">
        <v>185</v>
      </c>
      <c r="P27" s="127" t="s">
        <v>184</v>
      </c>
      <c r="Q27" s="128">
        <v>136</v>
      </c>
      <c r="R27" s="128">
        <v>8</v>
      </c>
      <c r="S27" s="128"/>
      <c r="T27" s="130">
        <f t="shared" si="7"/>
        <v>1088</v>
      </c>
      <c r="U27" s="131">
        <f t="shared" si="8"/>
        <v>0</v>
      </c>
    </row>
    <row r="28" spans="1:21" s="115" customFormat="1" ht="20.100000000000001" customHeight="1" x14ac:dyDescent="0.25">
      <c r="A28" s="122" t="s">
        <v>186</v>
      </c>
      <c r="B28" s="123" t="s">
        <v>184</v>
      </c>
      <c r="C28" s="124">
        <v>145</v>
      </c>
      <c r="D28" s="124">
        <v>8</v>
      </c>
      <c r="E28" s="125">
        <f t="shared" si="9"/>
        <v>1160</v>
      </c>
      <c r="G28" s="126" t="s">
        <v>186</v>
      </c>
      <c r="H28" s="127" t="s">
        <v>184</v>
      </c>
      <c r="I28" s="128">
        <v>136</v>
      </c>
      <c r="J28" s="128">
        <v>4</v>
      </c>
      <c r="K28" s="128"/>
      <c r="L28" s="128">
        <f t="shared" si="5"/>
        <v>544</v>
      </c>
      <c r="M28" s="129">
        <f t="shared" si="6"/>
        <v>0</v>
      </c>
      <c r="O28" s="126" t="s">
        <v>186</v>
      </c>
      <c r="P28" s="127" t="s">
        <v>184</v>
      </c>
      <c r="Q28" s="128">
        <v>136</v>
      </c>
      <c r="R28" s="128">
        <v>4</v>
      </c>
      <c r="S28" s="128"/>
      <c r="T28" s="130">
        <f t="shared" si="7"/>
        <v>544</v>
      </c>
      <c r="U28" s="131">
        <f t="shared" si="8"/>
        <v>0</v>
      </c>
    </row>
    <row r="29" spans="1:21" s="115" customFormat="1" ht="20.100000000000001" customHeight="1" x14ac:dyDescent="0.25">
      <c r="A29" s="122" t="s">
        <v>187</v>
      </c>
      <c r="B29" s="123" t="s">
        <v>184</v>
      </c>
      <c r="C29" s="124">
        <v>145</v>
      </c>
      <c r="D29" s="124">
        <v>0.5</v>
      </c>
      <c r="E29" s="125">
        <f t="shared" si="9"/>
        <v>72.5</v>
      </c>
      <c r="G29" s="126" t="s">
        <v>187</v>
      </c>
      <c r="H29" s="127" t="s">
        <v>184</v>
      </c>
      <c r="I29" s="128">
        <v>136</v>
      </c>
      <c r="J29" s="128">
        <v>0.5</v>
      </c>
      <c r="K29" s="128">
        <v>0.5</v>
      </c>
      <c r="L29" s="128">
        <f t="shared" si="5"/>
        <v>68</v>
      </c>
      <c r="M29" s="129">
        <f t="shared" si="6"/>
        <v>68</v>
      </c>
      <c r="O29" s="126" t="s">
        <v>187</v>
      </c>
      <c r="P29" s="127" t="s">
        <v>184</v>
      </c>
      <c r="Q29" s="128">
        <v>136</v>
      </c>
      <c r="R29" s="128">
        <v>0.5</v>
      </c>
      <c r="S29" s="128">
        <v>0.5</v>
      </c>
      <c r="T29" s="130">
        <f t="shared" si="7"/>
        <v>68</v>
      </c>
      <c r="U29" s="131">
        <f t="shared" si="8"/>
        <v>68</v>
      </c>
    </row>
    <row r="30" spans="1:21" s="115" customFormat="1" ht="20.100000000000001" customHeight="1" x14ac:dyDescent="0.25">
      <c r="A30" s="122" t="s">
        <v>188</v>
      </c>
      <c r="B30" s="123" t="s">
        <v>184</v>
      </c>
      <c r="C30" s="124">
        <v>145</v>
      </c>
      <c r="D30" s="124">
        <v>0.1</v>
      </c>
      <c r="E30" s="125">
        <f t="shared" si="9"/>
        <v>14.5</v>
      </c>
      <c r="G30" s="126" t="s">
        <v>238</v>
      </c>
      <c r="H30" s="127" t="s">
        <v>184</v>
      </c>
      <c r="I30" s="128">
        <v>136</v>
      </c>
      <c r="J30" s="128">
        <v>1</v>
      </c>
      <c r="K30" s="128">
        <v>1.5</v>
      </c>
      <c r="L30" s="128">
        <f t="shared" si="5"/>
        <v>136</v>
      </c>
      <c r="M30" s="129">
        <f t="shared" si="6"/>
        <v>204</v>
      </c>
      <c r="O30" s="126" t="s">
        <v>238</v>
      </c>
      <c r="P30" s="127" t="s">
        <v>184</v>
      </c>
      <c r="Q30" s="128">
        <v>136</v>
      </c>
      <c r="R30" s="128">
        <v>1</v>
      </c>
      <c r="S30" s="128">
        <v>1.5</v>
      </c>
      <c r="T30" s="130">
        <f t="shared" si="7"/>
        <v>136</v>
      </c>
      <c r="U30" s="131">
        <f t="shared" si="8"/>
        <v>204</v>
      </c>
    </row>
    <row r="31" spans="1:21" s="115" customFormat="1" ht="20.100000000000001" customHeight="1" x14ac:dyDescent="0.25">
      <c r="A31" s="126" t="s">
        <v>189</v>
      </c>
      <c r="B31" s="123" t="s">
        <v>184</v>
      </c>
      <c r="C31" s="124">
        <v>145</v>
      </c>
      <c r="D31" s="124">
        <v>0.5</v>
      </c>
      <c r="E31" s="125">
        <f t="shared" si="9"/>
        <v>72.5</v>
      </c>
      <c r="G31" s="126" t="s">
        <v>190</v>
      </c>
      <c r="H31" s="127" t="s">
        <v>184</v>
      </c>
      <c r="I31" s="128">
        <v>136</v>
      </c>
      <c r="J31" s="128">
        <v>1</v>
      </c>
      <c r="K31" s="128">
        <v>0.25</v>
      </c>
      <c r="L31" s="128">
        <f t="shared" si="5"/>
        <v>136</v>
      </c>
      <c r="M31" s="129">
        <f t="shared" si="6"/>
        <v>34</v>
      </c>
      <c r="O31" s="126" t="s">
        <v>190</v>
      </c>
      <c r="P31" s="127" t="s">
        <v>184</v>
      </c>
      <c r="Q31" s="128">
        <v>136</v>
      </c>
      <c r="R31" s="128">
        <v>1</v>
      </c>
      <c r="S31" s="128">
        <v>0.25</v>
      </c>
      <c r="T31" s="130">
        <f t="shared" si="7"/>
        <v>136</v>
      </c>
      <c r="U31" s="131">
        <f t="shared" si="8"/>
        <v>34</v>
      </c>
    </row>
    <row r="32" spans="1:21" s="115" customFormat="1" ht="20.100000000000001" customHeight="1" x14ac:dyDescent="0.25">
      <c r="A32" s="126" t="s">
        <v>190</v>
      </c>
      <c r="B32" s="123" t="s">
        <v>184</v>
      </c>
      <c r="C32" s="124">
        <v>145</v>
      </c>
      <c r="D32" s="124">
        <v>1</v>
      </c>
      <c r="E32" s="125">
        <f t="shared" si="9"/>
        <v>145</v>
      </c>
      <c r="G32" s="126" t="s">
        <v>195</v>
      </c>
      <c r="H32" s="127" t="s">
        <v>184</v>
      </c>
      <c r="I32" s="128">
        <v>136</v>
      </c>
      <c r="J32" s="128">
        <v>3</v>
      </c>
      <c r="K32" s="128">
        <v>0.25</v>
      </c>
      <c r="L32" s="128">
        <f t="shared" si="5"/>
        <v>408</v>
      </c>
      <c r="M32" s="129">
        <f t="shared" si="6"/>
        <v>34</v>
      </c>
      <c r="O32" s="126" t="s">
        <v>192</v>
      </c>
      <c r="P32" s="127" t="s">
        <v>184</v>
      </c>
      <c r="Q32" s="128">
        <v>136</v>
      </c>
      <c r="R32" s="128">
        <v>3</v>
      </c>
      <c r="S32" s="128">
        <v>3</v>
      </c>
      <c r="T32" s="130">
        <f t="shared" si="7"/>
        <v>408</v>
      </c>
      <c r="U32" s="131">
        <f t="shared" si="8"/>
        <v>408</v>
      </c>
    </row>
    <row r="33" spans="1:21" s="115" customFormat="1" ht="20.100000000000001" customHeight="1" x14ac:dyDescent="0.25">
      <c r="A33" s="122" t="s">
        <v>191</v>
      </c>
      <c r="B33" s="123" t="s">
        <v>184</v>
      </c>
      <c r="C33" s="124">
        <v>145</v>
      </c>
      <c r="D33" s="124">
        <v>5</v>
      </c>
      <c r="E33" s="125">
        <f t="shared" si="9"/>
        <v>725</v>
      </c>
      <c r="G33" s="126" t="s">
        <v>196</v>
      </c>
      <c r="H33" s="127" t="s">
        <v>184</v>
      </c>
      <c r="I33" s="128">
        <v>136</v>
      </c>
      <c r="J33" s="128">
        <v>4</v>
      </c>
      <c r="K33" s="128">
        <v>6</v>
      </c>
      <c r="L33" s="128">
        <f t="shared" si="5"/>
        <v>544</v>
      </c>
      <c r="M33" s="129">
        <f t="shared" si="6"/>
        <v>816</v>
      </c>
      <c r="O33" s="126" t="s">
        <v>244</v>
      </c>
      <c r="P33" s="127" t="s">
        <v>184</v>
      </c>
      <c r="Q33" s="128">
        <v>145</v>
      </c>
      <c r="R33" s="128">
        <v>0</v>
      </c>
      <c r="S33" s="128">
        <v>15</v>
      </c>
      <c r="T33" s="130">
        <f t="shared" si="7"/>
        <v>0</v>
      </c>
      <c r="U33" s="131">
        <f t="shared" si="8"/>
        <v>2175</v>
      </c>
    </row>
    <row r="34" spans="1:21" s="115" customFormat="1" ht="20.100000000000001" customHeight="1" thickBot="1" x14ac:dyDescent="0.3">
      <c r="A34" s="122" t="s">
        <v>192</v>
      </c>
      <c r="B34" s="123" t="s">
        <v>184</v>
      </c>
      <c r="C34" s="124">
        <v>145</v>
      </c>
      <c r="D34" s="124">
        <v>3</v>
      </c>
      <c r="E34" s="125">
        <f t="shared" si="9"/>
        <v>435</v>
      </c>
      <c r="G34" s="136" t="s">
        <v>197</v>
      </c>
      <c r="H34" s="137" t="s">
        <v>184</v>
      </c>
      <c r="I34" s="138">
        <v>136</v>
      </c>
      <c r="J34" s="138">
        <v>3</v>
      </c>
      <c r="K34" s="138">
        <v>5</v>
      </c>
      <c r="L34" s="138">
        <f t="shared" si="5"/>
        <v>408</v>
      </c>
      <c r="M34" s="139">
        <f t="shared" si="6"/>
        <v>680</v>
      </c>
      <c r="O34" s="126" t="s">
        <v>195</v>
      </c>
      <c r="P34" s="127" t="s">
        <v>184</v>
      </c>
      <c r="Q34" s="128">
        <v>136</v>
      </c>
      <c r="R34" s="128">
        <v>3</v>
      </c>
      <c r="S34" s="128">
        <v>0.25</v>
      </c>
      <c r="T34" s="130">
        <f t="shared" si="7"/>
        <v>408</v>
      </c>
      <c r="U34" s="131">
        <f t="shared" si="8"/>
        <v>34</v>
      </c>
    </row>
    <row r="35" spans="1:21" s="115" customFormat="1" ht="20.100000000000001" customHeight="1" thickBot="1" x14ac:dyDescent="0.3">
      <c r="A35" s="122" t="s">
        <v>193</v>
      </c>
      <c r="B35" s="123" t="s">
        <v>184</v>
      </c>
      <c r="C35" s="124">
        <v>145</v>
      </c>
      <c r="D35" s="124">
        <v>3</v>
      </c>
      <c r="E35" s="125">
        <f t="shared" si="9"/>
        <v>435</v>
      </c>
      <c r="G35" s="346" t="s">
        <v>198</v>
      </c>
      <c r="H35" s="347"/>
      <c r="I35" s="347"/>
      <c r="J35" s="347"/>
      <c r="K35" s="347"/>
      <c r="L35" s="142">
        <f>SUM(L26:L34)</f>
        <v>4420</v>
      </c>
      <c r="M35" s="143">
        <f>SUM(M26:M34)</f>
        <v>1836</v>
      </c>
      <c r="O35" s="126" t="s">
        <v>196</v>
      </c>
      <c r="P35" s="127" t="s">
        <v>184</v>
      </c>
      <c r="Q35" s="128">
        <v>136</v>
      </c>
      <c r="R35" s="128">
        <v>4</v>
      </c>
      <c r="S35" s="128">
        <v>6</v>
      </c>
      <c r="T35" s="130">
        <f t="shared" si="7"/>
        <v>544</v>
      </c>
      <c r="U35" s="131">
        <f t="shared" si="8"/>
        <v>816</v>
      </c>
    </row>
    <row r="36" spans="1:21" s="115" customFormat="1" ht="20.100000000000001" customHeight="1" thickBot="1" x14ac:dyDescent="0.3">
      <c r="A36" s="126" t="s">
        <v>194</v>
      </c>
      <c r="B36" s="123" t="s">
        <v>184</v>
      </c>
      <c r="C36" s="124">
        <v>145</v>
      </c>
      <c r="D36" s="124">
        <v>1.5</v>
      </c>
      <c r="E36" s="125">
        <f t="shared" si="9"/>
        <v>217.5</v>
      </c>
      <c r="G36" s="149"/>
      <c r="H36" s="150"/>
      <c r="I36" s="151"/>
      <c r="J36" s="150"/>
      <c r="K36" s="150"/>
      <c r="L36" s="150"/>
      <c r="M36" s="156"/>
      <c r="O36" s="136" t="s">
        <v>197</v>
      </c>
      <c r="P36" s="137" t="s">
        <v>184</v>
      </c>
      <c r="Q36" s="138">
        <v>136</v>
      </c>
      <c r="R36" s="138">
        <v>3</v>
      </c>
      <c r="S36" s="138">
        <v>5</v>
      </c>
      <c r="T36" s="144">
        <f t="shared" si="7"/>
        <v>408</v>
      </c>
      <c r="U36" s="145">
        <f t="shared" si="8"/>
        <v>680</v>
      </c>
    </row>
    <row r="37" spans="1:21" s="115" customFormat="1" ht="20.100000000000001" customHeight="1" thickBot="1" x14ac:dyDescent="0.3">
      <c r="A37" s="126" t="s">
        <v>195</v>
      </c>
      <c r="B37" s="123" t="s">
        <v>184</v>
      </c>
      <c r="C37" s="124">
        <v>145</v>
      </c>
      <c r="D37" s="124">
        <v>3</v>
      </c>
      <c r="E37" s="125">
        <f t="shared" si="9"/>
        <v>435</v>
      </c>
      <c r="G37" s="149"/>
      <c r="H37" s="150"/>
      <c r="I37" s="151"/>
      <c r="J37" s="150"/>
      <c r="K37" s="150"/>
      <c r="L37" s="150"/>
      <c r="M37" s="156"/>
      <c r="O37" s="346" t="s">
        <v>198</v>
      </c>
      <c r="P37" s="347"/>
      <c r="Q37" s="347"/>
      <c r="R37" s="347"/>
      <c r="S37" s="347"/>
      <c r="T37" s="154">
        <f>SUM(T26:T36)</f>
        <v>4828</v>
      </c>
      <c r="U37" s="155">
        <f>SUM(U26:U36)</f>
        <v>4419</v>
      </c>
    </row>
    <row r="38" spans="1:21" s="115" customFormat="1" ht="20.100000000000001" customHeight="1" x14ac:dyDescent="0.25">
      <c r="A38" s="126" t="s">
        <v>196</v>
      </c>
      <c r="B38" s="123" t="s">
        <v>184</v>
      </c>
      <c r="C38" s="124">
        <v>145</v>
      </c>
      <c r="D38" s="124">
        <v>5</v>
      </c>
      <c r="E38" s="125">
        <f t="shared" si="9"/>
        <v>725</v>
      </c>
      <c r="G38" s="149"/>
      <c r="H38" s="150"/>
      <c r="I38" s="151"/>
      <c r="J38" s="150"/>
      <c r="K38" s="150"/>
      <c r="L38" s="150"/>
      <c r="M38" s="156"/>
      <c r="O38" s="157"/>
      <c r="P38" s="158"/>
      <c r="Q38" s="159"/>
      <c r="R38" s="159"/>
      <c r="S38" s="159"/>
      <c r="T38" s="160"/>
      <c r="U38" s="161"/>
    </row>
    <row r="39" spans="1:21" s="141" customFormat="1" ht="20.100000000000001" customHeight="1" thickBot="1" x14ac:dyDescent="0.3">
      <c r="A39" s="136" t="s">
        <v>197</v>
      </c>
      <c r="B39" s="133" t="s">
        <v>184</v>
      </c>
      <c r="C39" s="134">
        <v>145</v>
      </c>
      <c r="D39" s="134">
        <v>3</v>
      </c>
      <c r="E39" s="135">
        <f t="shared" si="9"/>
        <v>435</v>
      </c>
      <c r="F39" s="115"/>
      <c r="G39" s="149"/>
      <c r="H39" s="150"/>
      <c r="I39" s="151"/>
      <c r="J39" s="150"/>
      <c r="K39" s="150"/>
      <c r="L39" s="150"/>
      <c r="M39" s="156"/>
      <c r="N39" s="115"/>
      <c r="O39" s="157"/>
      <c r="P39" s="158"/>
      <c r="Q39" s="159"/>
      <c r="R39" s="159"/>
      <c r="S39" s="159"/>
      <c r="T39" s="160"/>
      <c r="U39" s="161"/>
    </row>
    <row r="40" spans="1:21" s="115" customFormat="1" ht="13.5" thickBot="1" x14ac:dyDescent="0.3">
      <c r="A40" s="331" t="s">
        <v>198</v>
      </c>
      <c r="B40" s="332"/>
      <c r="C40" s="332"/>
      <c r="D40" s="332"/>
      <c r="E40" s="162">
        <f>SUM(E26:E39)</f>
        <v>8787</v>
      </c>
      <c r="F40" s="141"/>
      <c r="G40" s="149"/>
      <c r="H40" s="150"/>
      <c r="I40" s="151"/>
      <c r="J40" s="150"/>
      <c r="K40" s="150"/>
      <c r="L40" s="150"/>
      <c r="M40" s="156"/>
      <c r="O40" s="149"/>
      <c r="P40" s="150"/>
      <c r="Q40" s="151"/>
      <c r="R40" s="150"/>
      <c r="S40" s="150"/>
      <c r="T40" s="150"/>
      <c r="U40" s="156"/>
    </row>
    <row r="41" spans="1:21" s="115" customFormat="1" ht="27" customHeight="1" thickBot="1" x14ac:dyDescent="0.3">
      <c r="A41" s="146"/>
      <c r="D41" s="106"/>
      <c r="E41" s="163"/>
      <c r="G41" s="149"/>
      <c r="H41" s="150"/>
      <c r="I41" s="151"/>
      <c r="J41" s="150"/>
      <c r="K41" s="150"/>
      <c r="L41" s="150"/>
      <c r="M41" s="156"/>
      <c r="O41" s="149"/>
      <c r="P41" s="150"/>
      <c r="Q41" s="151"/>
      <c r="R41" s="150"/>
      <c r="S41" s="150"/>
      <c r="T41" s="150"/>
      <c r="U41" s="156"/>
    </row>
    <row r="42" spans="1:21" ht="27" customHeight="1" thickBot="1" x14ac:dyDescent="0.3">
      <c r="A42" s="336" t="s">
        <v>199</v>
      </c>
      <c r="B42" s="337"/>
      <c r="C42" s="337"/>
      <c r="D42" s="337"/>
      <c r="E42" s="338"/>
      <c r="G42" s="336" t="s">
        <v>199</v>
      </c>
      <c r="H42" s="337"/>
      <c r="I42" s="337"/>
      <c r="J42" s="337"/>
      <c r="K42" s="337"/>
      <c r="L42" s="337"/>
      <c r="M42" s="338"/>
      <c r="O42" s="336" t="s">
        <v>199</v>
      </c>
      <c r="P42" s="337"/>
      <c r="Q42" s="337"/>
      <c r="R42" s="337"/>
      <c r="S42" s="337"/>
      <c r="T42" s="337"/>
      <c r="U42" s="338"/>
    </row>
    <row r="43" spans="1:21" s="115" customFormat="1" ht="18" customHeight="1" x14ac:dyDescent="0.25">
      <c r="A43" s="339" t="s">
        <v>156</v>
      </c>
      <c r="B43" s="341" t="s">
        <v>157</v>
      </c>
      <c r="C43" s="341" t="s">
        <v>158</v>
      </c>
      <c r="D43" s="116" t="s">
        <v>159</v>
      </c>
      <c r="E43" s="117" t="s">
        <v>160</v>
      </c>
      <c r="G43" s="359" t="s">
        <v>156</v>
      </c>
      <c r="H43" s="356" t="s">
        <v>157</v>
      </c>
      <c r="I43" s="356" t="s">
        <v>158</v>
      </c>
      <c r="J43" s="356" t="s">
        <v>159</v>
      </c>
      <c r="K43" s="356"/>
      <c r="L43" s="356" t="s">
        <v>160</v>
      </c>
      <c r="M43" s="362"/>
      <c r="O43" s="359" t="s">
        <v>156</v>
      </c>
      <c r="P43" s="356" t="s">
        <v>157</v>
      </c>
      <c r="Q43" s="356" t="s">
        <v>158</v>
      </c>
      <c r="R43" s="356" t="s">
        <v>159</v>
      </c>
      <c r="S43" s="356"/>
      <c r="T43" s="356" t="s">
        <v>160</v>
      </c>
      <c r="U43" s="362"/>
    </row>
    <row r="44" spans="1:21" s="115" customFormat="1" ht="20.100000000000001" customHeight="1" x14ac:dyDescent="0.25">
      <c r="A44" s="340"/>
      <c r="B44" s="342"/>
      <c r="C44" s="342"/>
      <c r="D44" s="118">
        <v>1</v>
      </c>
      <c r="E44" s="119">
        <v>1</v>
      </c>
      <c r="G44" s="360"/>
      <c r="H44" s="361"/>
      <c r="I44" s="361"/>
      <c r="J44" s="120">
        <v>1</v>
      </c>
      <c r="K44" s="120">
        <v>2</v>
      </c>
      <c r="L44" s="120">
        <v>1</v>
      </c>
      <c r="M44" s="121">
        <v>2</v>
      </c>
      <c r="O44" s="360"/>
      <c r="P44" s="361"/>
      <c r="Q44" s="361"/>
      <c r="R44" s="120">
        <v>1</v>
      </c>
      <c r="S44" s="120">
        <v>2</v>
      </c>
      <c r="T44" s="120">
        <v>1</v>
      </c>
      <c r="U44" s="121">
        <v>2</v>
      </c>
    </row>
    <row r="45" spans="1:21" s="115" customFormat="1" ht="20.100000000000001" customHeight="1" x14ac:dyDescent="0.25">
      <c r="A45" s="126" t="s">
        <v>200</v>
      </c>
      <c r="B45" s="123" t="s">
        <v>201</v>
      </c>
      <c r="C45" s="124">
        <v>400</v>
      </c>
      <c r="D45" s="124">
        <v>4</v>
      </c>
      <c r="E45" s="125">
        <f>C45*D45</f>
        <v>1600</v>
      </c>
      <c r="G45" s="126" t="s">
        <v>200</v>
      </c>
      <c r="H45" s="127" t="s">
        <v>201</v>
      </c>
      <c r="I45" s="128">
        <v>400</v>
      </c>
      <c r="J45" s="128">
        <v>4</v>
      </c>
      <c r="K45" s="128"/>
      <c r="L45" s="128">
        <f t="shared" ref="L45:L53" si="10">I45*J45</f>
        <v>1600</v>
      </c>
      <c r="M45" s="129">
        <f t="shared" ref="M45:M53" si="11">I45*K45</f>
        <v>0</v>
      </c>
      <c r="N45" s="141"/>
      <c r="O45" s="126" t="s">
        <v>200</v>
      </c>
      <c r="P45" s="127" t="s">
        <v>201</v>
      </c>
      <c r="Q45" s="128">
        <v>400</v>
      </c>
      <c r="R45" s="128">
        <v>4</v>
      </c>
      <c r="S45" s="128"/>
      <c r="T45" s="130">
        <f t="shared" ref="T45:T53" si="12">$Q45*R45</f>
        <v>1600</v>
      </c>
      <c r="U45" s="131">
        <f t="shared" ref="U45:U53" si="13">$Q45*S45</f>
        <v>0</v>
      </c>
    </row>
    <row r="46" spans="1:21" s="115" customFormat="1" ht="20.100000000000001" customHeight="1" x14ac:dyDescent="0.25">
      <c r="A46" s="126" t="s">
        <v>202</v>
      </c>
      <c r="B46" s="127" t="s">
        <v>203</v>
      </c>
      <c r="C46" s="124">
        <v>250</v>
      </c>
      <c r="D46" s="124">
        <v>2</v>
      </c>
      <c r="E46" s="125">
        <f t="shared" ref="E46:E54" si="14">C46*D46</f>
        <v>500</v>
      </c>
      <c r="G46" s="126" t="s">
        <v>202</v>
      </c>
      <c r="H46" s="127" t="s">
        <v>203</v>
      </c>
      <c r="I46" s="128">
        <v>250</v>
      </c>
      <c r="J46" s="128">
        <v>2</v>
      </c>
      <c r="K46" s="128">
        <v>2</v>
      </c>
      <c r="L46" s="128">
        <f t="shared" si="10"/>
        <v>500</v>
      </c>
      <c r="M46" s="129">
        <f t="shared" si="11"/>
        <v>500</v>
      </c>
      <c r="O46" s="126" t="s">
        <v>202</v>
      </c>
      <c r="P46" s="127" t="s">
        <v>203</v>
      </c>
      <c r="Q46" s="128">
        <v>250</v>
      </c>
      <c r="R46" s="128">
        <v>2</v>
      </c>
      <c r="S46" s="128">
        <v>2</v>
      </c>
      <c r="T46" s="130">
        <f t="shared" si="12"/>
        <v>500</v>
      </c>
      <c r="U46" s="131">
        <f t="shared" si="13"/>
        <v>500</v>
      </c>
    </row>
    <row r="47" spans="1:21" s="115" customFormat="1" ht="20.100000000000001" customHeight="1" x14ac:dyDescent="0.25">
      <c r="A47" s="126" t="s">
        <v>204</v>
      </c>
      <c r="B47" s="127" t="s">
        <v>203</v>
      </c>
      <c r="C47" s="124">
        <v>250</v>
      </c>
      <c r="D47" s="124">
        <v>2</v>
      </c>
      <c r="E47" s="125">
        <f t="shared" si="14"/>
        <v>500</v>
      </c>
      <c r="G47" s="126" t="s">
        <v>204</v>
      </c>
      <c r="H47" s="127" t="s">
        <v>203</v>
      </c>
      <c r="I47" s="128">
        <v>250</v>
      </c>
      <c r="J47" s="128">
        <v>2</v>
      </c>
      <c r="K47" s="128">
        <v>2</v>
      </c>
      <c r="L47" s="128">
        <f t="shared" si="10"/>
        <v>500</v>
      </c>
      <c r="M47" s="129">
        <f t="shared" si="11"/>
        <v>500</v>
      </c>
      <c r="O47" s="126" t="s">
        <v>204</v>
      </c>
      <c r="P47" s="127" t="s">
        <v>203</v>
      </c>
      <c r="Q47" s="128">
        <v>250</v>
      </c>
      <c r="R47" s="128">
        <v>2</v>
      </c>
      <c r="S47" s="128">
        <v>2</v>
      </c>
      <c r="T47" s="130">
        <f t="shared" si="12"/>
        <v>500</v>
      </c>
      <c r="U47" s="131">
        <f t="shared" si="13"/>
        <v>500</v>
      </c>
    </row>
    <row r="48" spans="1:21" s="115" customFormat="1" ht="20.100000000000001" customHeight="1" x14ac:dyDescent="0.25">
      <c r="A48" s="126" t="s">
        <v>205</v>
      </c>
      <c r="B48" s="123" t="s">
        <v>201</v>
      </c>
      <c r="C48" s="124">
        <v>400</v>
      </c>
      <c r="D48" s="124">
        <v>3</v>
      </c>
      <c r="E48" s="125">
        <f t="shared" si="14"/>
        <v>1200</v>
      </c>
      <c r="G48" s="126" t="s">
        <v>205</v>
      </c>
      <c r="H48" s="127" t="s">
        <v>201</v>
      </c>
      <c r="I48" s="128">
        <v>400</v>
      </c>
      <c r="J48" s="128">
        <v>3</v>
      </c>
      <c r="K48" s="128"/>
      <c r="L48" s="128">
        <f t="shared" si="10"/>
        <v>1200</v>
      </c>
      <c r="M48" s="129">
        <f t="shared" si="11"/>
        <v>0</v>
      </c>
      <c r="O48" s="126" t="s">
        <v>205</v>
      </c>
      <c r="P48" s="127" t="s">
        <v>201</v>
      </c>
      <c r="Q48" s="128">
        <v>400</v>
      </c>
      <c r="R48" s="128">
        <v>3</v>
      </c>
      <c r="S48" s="128"/>
      <c r="T48" s="130">
        <f t="shared" si="12"/>
        <v>1200</v>
      </c>
      <c r="U48" s="131">
        <f t="shared" si="13"/>
        <v>0</v>
      </c>
    </row>
    <row r="49" spans="1:21" s="115" customFormat="1" ht="20.100000000000001" customHeight="1" x14ac:dyDescent="0.25">
      <c r="A49" s="126" t="s">
        <v>206</v>
      </c>
      <c r="B49" s="127" t="s">
        <v>203</v>
      </c>
      <c r="C49" s="124">
        <v>250</v>
      </c>
      <c r="D49" s="124">
        <v>3</v>
      </c>
      <c r="E49" s="125">
        <f t="shared" si="14"/>
        <v>750</v>
      </c>
      <c r="G49" s="126" t="s">
        <v>206</v>
      </c>
      <c r="H49" s="127" t="s">
        <v>203</v>
      </c>
      <c r="I49" s="128">
        <v>250</v>
      </c>
      <c r="J49" s="128">
        <v>3</v>
      </c>
      <c r="K49" s="128"/>
      <c r="L49" s="128">
        <f t="shared" si="10"/>
        <v>750</v>
      </c>
      <c r="M49" s="129">
        <f t="shared" si="11"/>
        <v>0</v>
      </c>
      <c r="O49" s="126" t="s">
        <v>206</v>
      </c>
      <c r="P49" s="127" t="s">
        <v>203</v>
      </c>
      <c r="Q49" s="128">
        <v>250</v>
      </c>
      <c r="R49" s="128">
        <v>3</v>
      </c>
      <c r="S49" s="128"/>
      <c r="T49" s="130">
        <f t="shared" si="12"/>
        <v>750</v>
      </c>
      <c r="U49" s="131">
        <f t="shared" si="13"/>
        <v>0</v>
      </c>
    </row>
    <row r="50" spans="1:21" s="115" customFormat="1" ht="20.100000000000001" customHeight="1" x14ac:dyDescent="0.25">
      <c r="A50" s="126" t="s">
        <v>207</v>
      </c>
      <c r="B50" s="127" t="s">
        <v>203</v>
      </c>
      <c r="C50" s="124">
        <v>250</v>
      </c>
      <c r="D50" s="124">
        <v>4</v>
      </c>
      <c r="E50" s="125">
        <f t="shared" si="14"/>
        <v>1000</v>
      </c>
      <c r="G50" s="126" t="s">
        <v>207</v>
      </c>
      <c r="H50" s="127" t="s">
        <v>203</v>
      </c>
      <c r="I50" s="128">
        <v>250</v>
      </c>
      <c r="J50" s="128">
        <v>4</v>
      </c>
      <c r="K50" s="128">
        <v>10</v>
      </c>
      <c r="L50" s="128">
        <f t="shared" si="10"/>
        <v>1000</v>
      </c>
      <c r="M50" s="129">
        <f t="shared" si="11"/>
        <v>2500</v>
      </c>
      <c r="O50" s="126" t="s">
        <v>207</v>
      </c>
      <c r="P50" s="127" t="s">
        <v>203</v>
      </c>
      <c r="Q50" s="128">
        <v>250</v>
      </c>
      <c r="R50" s="128">
        <v>4</v>
      </c>
      <c r="S50" s="128">
        <v>10</v>
      </c>
      <c r="T50" s="130">
        <f t="shared" si="12"/>
        <v>1000</v>
      </c>
      <c r="U50" s="131">
        <f t="shared" si="13"/>
        <v>2500</v>
      </c>
    </row>
    <row r="51" spans="1:21" s="115" customFormat="1" ht="20.100000000000001" customHeight="1" x14ac:dyDescent="0.25">
      <c r="A51" s="126" t="s">
        <v>208</v>
      </c>
      <c r="B51" s="127" t="s">
        <v>203</v>
      </c>
      <c r="C51" s="124">
        <v>250</v>
      </c>
      <c r="D51" s="124">
        <v>1.5</v>
      </c>
      <c r="E51" s="125">
        <f t="shared" si="14"/>
        <v>375</v>
      </c>
      <c r="G51" s="126" t="s">
        <v>208</v>
      </c>
      <c r="H51" s="127" t="s">
        <v>203</v>
      </c>
      <c r="I51" s="128">
        <v>250</v>
      </c>
      <c r="J51" s="128">
        <v>1.5</v>
      </c>
      <c r="K51" s="128"/>
      <c r="L51" s="128">
        <f t="shared" si="10"/>
        <v>375</v>
      </c>
      <c r="M51" s="129">
        <f t="shared" si="11"/>
        <v>0</v>
      </c>
      <c r="O51" s="126" t="s">
        <v>208</v>
      </c>
      <c r="P51" s="127" t="s">
        <v>203</v>
      </c>
      <c r="Q51" s="128">
        <v>250</v>
      </c>
      <c r="R51" s="128">
        <v>1.5</v>
      </c>
      <c r="S51" s="128"/>
      <c r="T51" s="130">
        <f t="shared" si="12"/>
        <v>375</v>
      </c>
      <c r="U51" s="131">
        <f t="shared" si="13"/>
        <v>0</v>
      </c>
    </row>
    <row r="52" spans="1:21" s="115" customFormat="1" ht="20.100000000000001" customHeight="1" x14ac:dyDescent="0.25">
      <c r="A52" s="126" t="s">
        <v>209</v>
      </c>
      <c r="B52" s="127" t="s">
        <v>203</v>
      </c>
      <c r="C52" s="124">
        <v>250</v>
      </c>
      <c r="D52" s="124">
        <v>6</v>
      </c>
      <c r="E52" s="125">
        <f t="shared" si="14"/>
        <v>1500</v>
      </c>
      <c r="G52" s="126" t="s">
        <v>209</v>
      </c>
      <c r="H52" s="127" t="s">
        <v>203</v>
      </c>
      <c r="I52" s="128">
        <v>250</v>
      </c>
      <c r="J52" s="128">
        <v>6</v>
      </c>
      <c r="K52" s="128">
        <v>3</v>
      </c>
      <c r="L52" s="128">
        <f t="shared" si="10"/>
        <v>1500</v>
      </c>
      <c r="M52" s="129">
        <f t="shared" si="11"/>
        <v>750</v>
      </c>
      <c r="O52" s="126" t="s">
        <v>209</v>
      </c>
      <c r="P52" s="127" t="s">
        <v>203</v>
      </c>
      <c r="Q52" s="128">
        <v>250</v>
      </c>
      <c r="R52" s="128">
        <v>6</v>
      </c>
      <c r="S52" s="128">
        <v>3</v>
      </c>
      <c r="T52" s="130">
        <f t="shared" si="12"/>
        <v>1500</v>
      </c>
      <c r="U52" s="131">
        <f t="shared" si="13"/>
        <v>750</v>
      </c>
    </row>
    <row r="53" spans="1:21" s="115" customFormat="1" ht="19.5" customHeight="1" thickBot="1" x14ac:dyDescent="0.3">
      <c r="A53" s="126" t="s">
        <v>210</v>
      </c>
      <c r="B53" s="127" t="s">
        <v>211</v>
      </c>
      <c r="C53" s="124">
        <v>90</v>
      </c>
      <c r="D53" s="124">
        <v>1</v>
      </c>
      <c r="E53" s="125">
        <f t="shared" si="14"/>
        <v>90</v>
      </c>
      <c r="G53" s="136" t="s">
        <v>212</v>
      </c>
      <c r="H53" s="137" t="s">
        <v>213</v>
      </c>
      <c r="I53" s="138">
        <v>250</v>
      </c>
      <c r="J53" s="138">
        <v>0.5</v>
      </c>
      <c r="K53" s="138"/>
      <c r="L53" s="138">
        <f t="shared" si="10"/>
        <v>125</v>
      </c>
      <c r="M53" s="139">
        <f t="shared" si="11"/>
        <v>0</v>
      </c>
      <c r="O53" s="136" t="s">
        <v>212</v>
      </c>
      <c r="P53" s="137" t="s">
        <v>213</v>
      </c>
      <c r="Q53" s="138">
        <v>250</v>
      </c>
      <c r="R53" s="138">
        <v>0.5</v>
      </c>
      <c r="S53" s="138"/>
      <c r="T53" s="144">
        <f t="shared" si="12"/>
        <v>125</v>
      </c>
      <c r="U53" s="145">
        <f t="shared" si="13"/>
        <v>0</v>
      </c>
    </row>
    <row r="54" spans="1:21" s="141" customFormat="1" ht="20.100000000000001" customHeight="1" thickBot="1" x14ac:dyDescent="0.3">
      <c r="A54" s="136" t="s">
        <v>212</v>
      </c>
      <c r="B54" s="137" t="s">
        <v>213</v>
      </c>
      <c r="C54" s="134">
        <v>250</v>
      </c>
      <c r="D54" s="134">
        <v>0.5</v>
      </c>
      <c r="E54" s="135">
        <f t="shared" si="14"/>
        <v>125</v>
      </c>
      <c r="F54" s="115"/>
      <c r="G54" s="346" t="s">
        <v>239</v>
      </c>
      <c r="H54" s="347"/>
      <c r="I54" s="347"/>
      <c r="J54" s="347"/>
      <c r="K54" s="347"/>
      <c r="L54" s="142">
        <f>SUM(L45:L53)</f>
        <v>7550</v>
      </c>
      <c r="M54" s="143">
        <f>SUM(M45:M53)</f>
        <v>4250</v>
      </c>
      <c r="N54" s="115"/>
      <c r="O54" s="346" t="s">
        <v>239</v>
      </c>
      <c r="P54" s="347"/>
      <c r="Q54" s="347"/>
      <c r="R54" s="347"/>
      <c r="S54" s="347"/>
      <c r="T54" s="154">
        <f>SUM(T45:T53)</f>
        <v>7550</v>
      </c>
      <c r="U54" s="155">
        <f>SUM(U45:U53)</f>
        <v>4250</v>
      </c>
    </row>
    <row r="55" spans="1:21" s="115" customFormat="1" ht="13.5" thickBot="1" x14ac:dyDescent="0.3">
      <c r="A55" s="331" t="s">
        <v>214</v>
      </c>
      <c r="B55" s="332"/>
      <c r="C55" s="332"/>
      <c r="D55" s="332"/>
      <c r="E55" s="162">
        <f>SUM(E45:E54)</f>
        <v>7640</v>
      </c>
      <c r="F55" s="141"/>
      <c r="G55" s="164"/>
      <c r="H55" s="150"/>
      <c r="I55" s="151"/>
      <c r="J55" s="150"/>
      <c r="K55" s="150"/>
      <c r="L55" s="150"/>
      <c r="M55" s="156"/>
      <c r="O55" s="157"/>
      <c r="P55" s="158"/>
      <c r="Q55" s="159"/>
      <c r="R55" s="159"/>
      <c r="S55" s="159"/>
      <c r="T55" s="160"/>
      <c r="U55" s="161"/>
    </row>
    <row r="56" spans="1:21" s="115" customFormat="1" ht="27" customHeight="1" thickBot="1" x14ac:dyDescent="0.3">
      <c r="A56" s="146"/>
      <c r="D56" s="106"/>
      <c r="E56" s="163"/>
      <c r="G56" s="149"/>
      <c r="H56" s="150"/>
      <c r="I56" s="151"/>
      <c r="J56" s="150"/>
      <c r="K56" s="150"/>
      <c r="L56" s="150"/>
      <c r="M56" s="156"/>
      <c r="O56" s="149"/>
      <c r="P56" s="150"/>
      <c r="Q56" s="151"/>
      <c r="R56" s="150"/>
      <c r="S56" s="150"/>
      <c r="T56" s="150"/>
      <c r="U56" s="156"/>
    </row>
    <row r="57" spans="1:21" ht="27" customHeight="1" thickBot="1" x14ac:dyDescent="0.3">
      <c r="A57" s="336" t="s">
        <v>215</v>
      </c>
      <c r="B57" s="337"/>
      <c r="C57" s="337"/>
      <c r="D57" s="337"/>
      <c r="E57" s="338"/>
      <c r="G57" s="336" t="s">
        <v>215</v>
      </c>
      <c r="H57" s="337"/>
      <c r="I57" s="337"/>
      <c r="J57" s="337"/>
      <c r="K57" s="337"/>
      <c r="L57" s="337"/>
      <c r="M57" s="338"/>
      <c r="O57" s="336" t="s">
        <v>215</v>
      </c>
      <c r="P57" s="337"/>
      <c r="Q57" s="337"/>
      <c r="R57" s="337"/>
      <c r="S57" s="337"/>
      <c r="T57" s="337"/>
      <c r="U57" s="338"/>
    </row>
    <row r="58" spans="1:21" s="115" customFormat="1" ht="18" customHeight="1" x14ac:dyDescent="0.25">
      <c r="A58" s="339" t="s">
        <v>156</v>
      </c>
      <c r="B58" s="341" t="s">
        <v>157</v>
      </c>
      <c r="C58" s="341" t="s">
        <v>158</v>
      </c>
      <c r="D58" s="116" t="s">
        <v>159</v>
      </c>
      <c r="E58" s="117" t="s">
        <v>160</v>
      </c>
      <c r="G58" s="359" t="s">
        <v>156</v>
      </c>
      <c r="H58" s="356" t="s">
        <v>157</v>
      </c>
      <c r="I58" s="356" t="s">
        <v>158</v>
      </c>
      <c r="J58" s="356" t="s">
        <v>159</v>
      </c>
      <c r="K58" s="356"/>
      <c r="L58" s="357" t="s">
        <v>160</v>
      </c>
      <c r="M58" s="358"/>
      <c r="O58" s="359" t="s">
        <v>156</v>
      </c>
      <c r="P58" s="356" t="s">
        <v>157</v>
      </c>
      <c r="Q58" s="356" t="s">
        <v>158</v>
      </c>
      <c r="R58" s="356" t="s">
        <v>159</v>
      </c>
      <c r="S58" s="356"/>
      <c r="T58" s="357" t="s">
        <v>160</v>
      </c>
      <c r="U58" s="358"/>
    </row>
    <row r="59" spans="1:21" s="115" customFormat="1" ht="20.100000000000001" customHeight="1" x14ac:dyDescent="0.25">
      <c r="A59" s="340"/>
      <c r="B59" s="342"/>
      <c r="C59" s="342"/>
      <c r="D59" s="118">
        <v>1</v>
      </c>
      <c r="E59" s="119">
        <v>1</v>
      </c>
      <c r="G59" s="360"/>
      <c r="H59" s="361"/>
      <c r="I59" s="361"/>
      <c r="J59" s="120">
        <v>1</v>
      </c>
      <c r="K59" s="120">
        <v>2</v>
      </c>
      <c r="L59" s="120">
        <v>1</v>
      </c>
      <c r="M59" s="121">
        <v>2</v>
      </c>
      <c r="O59" s="360"/>
      <c r="P59" s="361"/>
      <c r="Q59" s="361"/>
      <c r="R59" s="120">
        <v>1</v>
      </c>
      <c r="S59" s="120">
        <v>2</v>
      </c>
      <c r="T59" s="120">
        <v>1</v>
      </c>
      <c r="U59" s="121">
        <v>2</v>
      </c>
    </row>
    <row r="60" spans="1:21" s="115" customFormat="1" ht="20.100000000000001" customHeight="1" x14ac:dyDescent="0.25">
      <c r="A60" s="165" t="s">
        <v>216</v>
      </c>
      <c r="B60" s="123" t="s">
        <v>217</v>
      </c>
      <c r="C60" s="124">
        <v>850</v>
      </c>
      <c r="D60" s="124">
        <v>1</v>
      </c>
      <c r="E60" s="125">
        <f>C60*D60</f>
        <v>850</v>
      </c>
      <c r="G60" s="166" t="s">
        <v>216</v>
      </c>
      <c r="H60" s="127" t="s">
        <v>217</v>
      </c>
      <c r="I60" s="167">
        <v>680</v>
      </c>
      <c r="J60" s="128">
        <v>1</v>
      </c>
      <c r="K60" s="128">
        <v>1</v>
      </c>
      <c r="L60" s="128">
        <v>580</v>
      </c>
      <c r="M60" s="129">
        <v>580</v>
      </c>
      <c r="N60" s="141"/>
      <c r="O60" s="166" t="s">
        <v>216</v>
      </c>
      <c r="P60" s="127" t="s">
        <v>217</v>
      </c>
      <c r="Q60" s="167">
        <v>650</v>
      </c>
      <c r="R60" s="128">
        <v>1</v>
      </c>
      <c r="S60" s="128">
        <v>1</v>
      </c>
      <c r="T60" s="128">
        <f t="shared" ref="T60:U66" si="15">$Q60*R60</f>
        <v>650</v>
      </c>
      <c r="U60" s="129">
        <f t="shared" si="15"/>
        <v>650</v>
      </c>
    </row>
    <row r="61" spans="1:21" s="115" customFormat="1" ht="20.100000000000001" customHeight="1" x14ac:dyDescent="0.25">
      <c r="A61" s="165" t="s">
        <v>218</v>
      </c>
      <c r="B61" s="123" t="s">
        <v>219</v>
      </c>
      <c r="C61" s="124">
        <v>225</v>
      </c>
      <c r="D61" s="124">
        <v>1</v>
      </c>
      <c r="E61" s="125">
        <f t="shared" ref="E61:E66" si="16">C61*D61</f>
        <v>225</v>
      </c>
      <c r="G61" s="166" t="s">
        <v>218</v>
      </c>
      <c r="H61" s="127" t="s">
        <v>219</v>
      </c>
      <c r="I61" s="167">
        <v>220</v>
      </c>
      <c r="J61" s="128">
        <v>0.5</v>
      </c>
      <c r="K61" s="128">
        <v>1</v>
      </c>
      <c r="L61" s="128">
        <f t="shared" ref="L61:L66" si="17">I61*J61</f>
        <v>110</v>
      </c>
      <c r="M61" s="129">
        <f t="shared" ref="M61:M66" si="18">I61*K61</f>
        <v>220</v>
      </c>
      <c r="O61" s="166" t="s">
        <v>218</v>
      </c>
      <c r="P61" s="127" t="s">
        <v>219</v>
      </c>
      <c r="Q61" s="167">
        <v>42.634</v>
      </c>
      <c r="R61" s="128">
        <v>0.5</v>
      </c>
      <c r="S61" s="128">
        <v>1</v>
      </c>
      <c r="T61" s="128">
        <f t="shared" si="15"/>
        <v>21.317</v>
      </c>
      <c r="U61" s="129">
        <f t="shared" si="15"/>
        <v>42.634</v>
      </c>
    </row>
    <row r="62" spans="1:21" s="115" customFormat="1" ht="20.100000000000001" customHeight="1" x14ac:dyDescent="0.25">
      <c r="A62" s="165" t="s">
        <v>220</v>
      </c>
      <c r="B62" s="123" t="s">
        <v>219</v>
      </c>
      <c r="C62" s="124">
        <v>234.38400000000001</v>
      </c>
      <c r="D62" s="124">
        <v>1</v>
      </c>
      <c r="E62" s="125">
        <f t="shared" si="16"/>
        <v>234.38400000000001</v>
      </c>
      <c r="G62" s="166" t="s">
        <v>220</v>
      </c>
      <c r="H62" s="127" t="s">
        <v>219</v>
      </c>
      <c r="I62" s="167">
        <v>127.634</v>
      </c>
      <c r="J62" s="128">
        <v>0.5</v>
      </c>
      <c r="K62" s="128">
        <v>1</v>
      </c>
      <c r="L62" s="128">
        <f t="shared" si="17"/>
        <v>63.817</v>
      </c>
      <c r="M62" s="129">
        <f t="shared" si="18"/>
        <v>127.634</v>
      </c>
      <c r="O62" s="166" t="s">
        <v>220</v>
      </c>
      <c r="P62" s="127" t="s">
        <v>219</v>
      </c>
      <c r="Q62" s="167">
        <v>1100</v>
      </c>
      <c r="R62" s="128">
        <v>1</v>
      </c>
      <c r="S62" s="128">
        <v>1</v>
      </c>
      <c r="T62" s="128">
        <f t="shared" si="15"/>
        <v>1100</v>
      </c>
      <c r="U62" s="129">
        <f t="shared" si="15"/>
        <v>1100</v>
      </c>
    </row>
    <row r="63" spans="1:21" s="115" customFormat="1" ht="20.100000000000001" customHeight="1" x14ac:dyDescent="0.25">
      <c r="A63" s="165" t="s">
        <v>221</v>
      </c>
      <c r="B63" s="123" t="s">
        <v>219</v>
      </c>
      <c r="C63" s="124">
        <v>600</v>
      </c>
      <c r="D63" s="124">
        <v>1</v>
      </c>
      <c r="E63" s="125">
        <f t="shared" si="16"/>
        <v>600</v>
      </c>
      <c r="G63" s="166" t="s">
        <v>221</v>
      </c>
      <c r="H63" s="127" t="s">
        <v>219</v>
      </c>
      <c r="I63" s="167">
        <v>1100</v>
      </c>
      <c r="J63" s="128">
        <v>1</v>
      </c>
      <c r="K63" s="128">
        <v>1</v>
      </c>
      <c r="L63" s="128">
        <f t="shared" si="17"/>
        <v>1100</v>
      </c>
      <c r="M63" s="129">
        <f t="shared" si="18"/>
        <v>1100</v>
      </c>
      <c r="O63" s="166" t="s">
        <v>221</v>
      </c>
      <c r="P63" s="127" t="s">
        <v>219</v>
      </c>
      <c r="Q63" s="167">
        <v>580</v>
      </c>
      <c r="R63" s="128">
        <v>1</v>
      </c>
      <c r="S63" s="128">
        <v>1</v>
      </c>
      <c r="T63" s="128">
        <f t="shared" si="15"/>
        <v>580</v>
      </c>
      <c r="U63" s="129">
        <f t="shared" si="15"/>
        <v>580</v>
      </c>
    </row>
    <row r="64" spans="1:21" s="115" customFormat="1" ht="20.100000000000001" customHeight="1" x14ac:dyDescent="0.25">
      <c r="A64" s="165" t="s">
        <v>222</v>
      </c>
      <c r="B64" s="123" t="s">
        <v>219</v>
      </c>
      <c r="C64" s="124">
        <v>580</v>
      </c>
      <c r="D64" s="124">
        <v>1</v>
      </c>
      <c r="E64" s="125">
        <f t="shared" si="16"/>
        <v>580</v>
      </c>
      <c r="G64" s="166" t="s">
        <v>222</v>
      </c>
      <c r="H64" s="127" t="s">
        <v>219</v>
      </c>
      <c r="I64" s="167">
        <v>580</v>
      </c>
      <c r="J64" s="128">
        <v>1</v>
      </c>
      <c r="K64" s="128">
        <v>1</v>
      </c>
      <c r="L64" s="128">
        <f t="shared" si="17"/>
        <v>580</v>
      </c>
      <c r="M64" s="129">
        <f t="shared" si="18"/>
        <v>580</v>
      </c>
      <c r="O64" s="166" t="s">
        <v>222</v>
      </c>
      <c r="P64" s="127" t="s">
        <v>219</v>
      </c>
      <c r="Q64" s="167">
        <v>300</v>
      </c>
      <c r="R64" s="128">
        <v>1</v>
      </c>
      <c r="S64" s="128">
        <v>1</v>
      </c>
      <c r="T64" s="128">
        <f t="shared" si="15"/>
        <v>300</v>
      </c>
      <c r="U64" s="129">
        <f t="shared" si="15"/>
        <v>300</v>
      </c>
    </row>
    <row r="65" spans="1:21" s="115" customFormat="1" ht="20.100000000000001" customHeight="1" x14ac:dyDescent="0.25">
      <c r="A65" s="165" t="s">
        <v>223</v>
      </c>
      <c r="B65" s="123" t="s">
        <v>219</v>
      </c>
      <c r="C65" s="124">
        <v>300</v>
      </c>
      <c r="D65" s="124">
        <v>1</v>
      </c>
      <c r="E65" s="125">
        <f t="shared" si="16"/>
        <v>300</v>
      </c>
      <c r="G65" s="166" t="s">
        <v>223</v>
      </c>
      <c r="H65" s="127" t="s">
        <v>219</v>
      </c>
      <c r="I65" s="167">
        <v>300</v>
      </c>
      <c r="J65" s="128">
        <v>1</v>
      </c>
      <c r="K65" s="128">
        <v>1</v>
      </c>
      <c r="L65" s="128">
        <f t="shared" si="17"/>
        <v>300</v>
      </c>
      <c r="M65" s="129">
        <f t="shared" si="18"/>
        <v>300</v>
      </c>
      <c r="O65" s="166" t="s">
        <v>223</v>
      </c>
      <c r="P65" s="127" t="s">
        <v>219</v>
      </c>
      <c r="Q65" s="167">
        <v>1636.5088214399998</v>
      </c>
      <c r="R65" s="128">
        <v>1</v>
      </c>
      <c r="S65" s="128">
        <v>1</v>
      </c>
      <c r="T65" s="128">
        <f t="shared" si="15"/>
        <v>1636.5088214399998</v>
      </c>
      <c r="U65" s="129">
        <f t="shared" si="15"/>
        <v>1636.5088214399998</v>
      </c>
    </row>
    <row r="66" spans="1:21" s="141" customFormat="1" ht="20.100000000000001" customHeight="1" thickBot="1" x14ac:dyDescent="0.3">
      <c r="A66" s="168" t="s">
        <v>224</v>
      </c>
      <c r="B66" s="133" t="s">
        <v>219</v>
      </c>
      <c r="C66" s="134">
        <v>1600</v>
      </c>
      <c r="D66" s="134">
        <v>1</v>
      </c>
      <c r="E66" s="135">
        <f t="shared" si="16"/>
        <v>1600</v>
      </c>
      <c r="F66" s="115"/>
      <c r="G66" s="168" t="s">
        <v>224</v>
      </c>
      <c r="H66" s="133" t="s">
        <v>219</v>
      </c>
      <c r="I66" s="134">
        <v>1600</v>
      </c>
      <c r="J66" s="138">
        <v>1</v>
      </c>
      <c r="K66" s="138">
        <v>1</v>
      </c>
      <c r="L66" s="138">
        <f t="shared" si="17"/>
        <v>1600</v>
      </c>
      <c r="M66" s="139">
        <f t="shared" si="18"/>
        <v>1600</v>
      </c>
      <c r="N66" s="115"/>
      <c r="O66" s="168" t="s">
        <v>224</v>
      </c>
      <c r="P66" s="133" t="s">
        <v>219</v>
      </c>
      <c r="Q66" s="134">
        <v>1600</v>
      </c>
      <c r="R66" s="138">
        <v>1</v>
      </c>
      <c r="S66" s="138">
        <v>1</v>
      </c>
      <c r="T66" s="138">
        <f t="shared" si="15"/>
        <v>1600</v>
      </c>
      <c r="U66" s="139">
        <f t="shared" si="15"/>
        <v>1600</v>
      </c>
    </row>
    <row r="67" spans="1:21" s="141" customFormat="1" ht="32.25" customHeight="1" thickBot="1" x14ac:dyDescent="0.3">
      <c r="A67" s="331" t="s">
        <v>225</v>
      </c>
      <c r="B67" s="332"/>
      <c r="C67" s="332"/>
      <c r="D67" s="332"/>
      <c r="E67" s="162">
        <f>SUM(E60:E66)</f>
        <v>4389.384</v>
      </c>
      <c r="G67" s="346" t="s">
        <v>225</v>
      </c>
      <c r="H67" s="347"/>
      <c r="I67" s="347"/>
      <c r="J67" s="347"/>
      <c r="K67" s="348"/>
      <c r="L67" s="142">
        <f>SUM(L60:L66)</f>
        <v>4333.817</v>
      </c>
      <c r="M67" s="143">
        <f>SUM(M60:M66)</f>
        <v>4507.634</v>
      </c>
      <c r="N67" s="115"/>
      <c r="O67" s="346" t="s">
        <v>225</v>
      </c>
      <c r="P67" s="347"/>
      <c r="Q67" s="347"/>
      <c r="R67" s="347"/>
      <c r="S67" s="348"/>
      <c r="T67" s="142">
        <v>5452.8258214399993</v>
      </c>
      <c r="U67" s="143">
        <v>5574.1428214400003</v>
      </c>
    </row>
    <row r="68" spans="1:21" s="115" customFormat="1" ht="27" customHeight="1" x14ac:dyDescent="0.25">
      <c r="A68" s="353" t="s">
        <v>227</v>
      </c>
      <c r="B68" s="354"/>
      <c r="C68" s="354"/>
      <c r="D68" s="354"/>
      <c r="E68" s="355"/>
      <c r="F68" s="141"/>
      <c r="G68" s="353" t="s">
        <v>248</v>
      </c>
      <c r="H68" s="354"/>
      <c r="I68" s="354"/>
      <c r="J68" s="354"/>
      <c r="K68" s="354"/>
      <c r="L68" s="354"/>
      <c r="M68" s="355"/>
      <c r="O68" s="353" t="s">
        <v>249</v>
      </c>
      <c r="P68" s="354"/>
      <c r="Q68" s="354"/>
      <c r="R68" s="354"/>
      <c r="S68" s="354"/>
      <c r="T68" s="354"/>
      <c r="U68" s="355"/>
    </row>
    <row r="69" spans="1:21" s="115" customFormat="1" ht="13.5" thickBot="1" x14ac:dyDescent="0.25">
      <c r="A69" s="169"/>
      <c r="B69" s="170"/>
      <c r="C69" s="170"/>
      <c r="D69" s="170"/>
      <c r="E69" s="171"/>
      <c r="G69" s="149"/>
      <c r="H69" s="150"/>
      <c r="I69" s="151"/>
      <c r="J69" s="172"/>
      <c r="K69" s="172"/>
      <c r="L69" s="151"/>
      <c r="M69" s="153"/>
      <c r="O69" s="173"/>
      <c r="P69" s="106"/>
      <c r="Q69" s="103"/>
      <c r="R69" s="103"/>
      <c r="S69" s="103"/>
      <c r="T69" s="103"/>
      <c r="U69" s="174"/>
    </row>
    <row r="70" spans="1:21" ht="15.75" thickBot="1" x14ac:dyDescent="0.3">
      <c r="A70" s="343" t="s">
        <v>226</v>
      </c>
      <c r="B70" s="344"/>
      <c r="C70" s="344"/>
      <c r="D70" s="345"/>
      <c r="E70" s="175">
        <f>E20+E40+E55+E67</f>
        <v>43181.231800000001</v>
      </c>
      <c r="G70" s="349" t="s">
        <v>226</v>
      </c>
      <c r="H70" s="350"/>
      <c r="I70" s="350"/>
      <c r="J70" s="350"/>
      <c r="K70" s="350"/>
      <c r="L70" s="176">
        <f>L20+L35+L54+L67</f>
        <v>38683.217000000004</v>
      </c>
      <c r="M70" s="177">
        <f>M20+M35+M54+M67</f>
        <v>18178.786</v>
      </c>
      <c r="O70" s="349" t="s">
        <v>226</v>
      </c>
      <c r="P70" s="350"/>
      <c r="Q70" s="350"/>
      <c r="R70" s="350"/>
      <c r="S70" s="350"/>
      <c r="T70" s="176">
        <f>T21+T37+T54+T67</f>
        <v>29609.050821439996</v>
      </c>
      <c r="U70" s="177">
        <f>U21+U37+U54+U67</f>
        <v>20894.64282144</v>
      </c>
    </row>
    <row r="71" spans="1:21" ht="15" customHeight="1" thickBot="1" x14ac:dyDescent="0.3">
      <c r="A71" s="178"/>
      <c r="C71" s="179"/>
      <c r="E71" s="180"/>
      <c r="G71" s="181"/>
      <c r="H71" s="182"/>
      <c r="I71" s="182"/>
      <c r="J71" s="182"/>
      <c r="K71" s="182"/>
      <c r="L71" s="182"/>
      <c r="M71" s="183"/>
      <c r="O71" s="184"/>
      <c r="U71" s="185"/>
    </row>
    <row r="72" spans="1:21" ht="15.75" thickBot="1" x14ac:dyDescent="0.3">
      <c r="A72" s="178"/>
      <c r="B72" s="186"/>
      <c r="C72" s="186"/>
      <c r="D72" s="186"/>
      <c r="E72" s="187"/>
      <c r="G72" s="351" t="s">
        <v>240</v>
      </c>
      <c r="H72" s="352"/>
      <c r="I72" s="352"/>
      <c r="J72" s="352"/>
      <c r="K72" s="352"/>
      <c r="L72" s="188">
        <f>L70+M70</f>
        <v>56862.003000000004</v>
      </c>
      <c r="M72" s="183"/>
      <c r="O72" s="351" t="s">
        <v>246</v>
      </c>
      <c r="P72" s="352"/>
      <c r="Q72" s="352"/>
      <c r="R72" s="352"/>
      <c r="S72" s="352"/>
      <c r="T72" s="188">
        <f>T70+U70</f>
        <v>50503.693642879996</v>
      </c>
      <c r="U72" s="185"/>
    </row>
    <row r="73" spans="1:21" x14ac:dyDescent="0.25">
      <c r="A73" s="189"/>
      <c r="B73" s="186"/>
      <c r="C73" s="186"/>
      <c r="D73" s="186"/>
      <c r="E73" s="187"/>
      <c r="G73" s="181"/>
      <c r="H73" s="182"/>
      <c r="I73" s="182"/>
      <c r="J73" s="182"/>
      <c r="K73" s="182"/>
      <c r="L73" s="182"/>
      <c r="M73" s="183"/>
      <c r="N73" s="190"/>
      <c r="O73" s="184"/>
      <c r="U73" s="185"/>
    </row>
    <row r="74" spans="1:21" x14ac:dyDescent="0.25">
      <c r="A74" s="178" t="s">
        <v>228</v>
      </c>
      <c r="C74" s="179"/>
      <c r="E74" s="180"/>
      <c r="G74" s="178" t="s">
        <v>241</v>
      </c>
      <c r="H74" s="179"/>
      <c r="I74" s="179"/>
      <c r="J74" s="179"/>
      <c r="K74" s="182"/>
      <c r="L74" s="182"/>
      <c r="M74" s="183"/>
      <c r="N74" s="190"/>
      <c r="O74" s="178" t="s">
        <v>245</v>
      </c>
      <c r="Q74" s="179"/>
      <c r="R74" s="179"/>
      <c r="U74" s="185"/>
    </row>
    <row r="75" spans="1:21" x14ac:dyDescent="0.25">
      <c r="A75" s="178" t="s">
        <v>229</v>
      </c>
      <c r="B75" s="9">
        <v>8</v>
      </c>
      <c r="C75" s="179"/>
      <c r="E75" s="180"/>
      <c r="G75" s="178" t="s">
        <v>229</v>
      </c>
      <c r="H75" s="179">
        <v>14</v>
      </c>
      <c r="I75" s="179"/>
      <c r="J75" s="179"/>
      <c r="K75" s="182"/>
      <c r="L75" s="182"/>
      <c r="M75" s="183"/>
      <c r="O75" s="178" t="s">
        <v>229</v>
      </c>
      <c r="P75" s="179">
        <v>8</v>
      </c>
      <c r="Q75" s="179"/>
      <c r="R75" s="179"/>
      <c r="U75" s="185"/>
    </row>
    <row r="76" spans="1:21" x14ac:dyDescent="0.25">
      <c r="A76" s="178" t="s">
        <v>230</v>
      </c>
      <c r="B76" s="9" t="s">
        <v>231</v>
      </c>
      <c r="C76" s="179"/>
      <c r="E76" s="180"/>
      <c r="G76" s="178" t="s">
        <v>230</v>
      </c>
      <c r="H76" s="179" t="s">
        <v>231</v>
      </c>
      <c r="I76" s="179"/>
      <c r="J76" s="179"/>
      <c r="K76" s="182"/>
      <c r="L76" s="182"/>
      <c r="M76" s="183"/>
      <c r="O76" s="178" t="s">
        <v>230</v>
      </c>
      <c r="P76" s="179" t="s">
        <v>231</v>
      </c>
      <c r="Q76" s="179"/>
      <c r="R76" s="179"/>
      <c r="U76" s="185"/>
    </row>
    <row r="77" spans="1:21" x14ac:dyDescent="0.25">
      <c r="A77" s="178" t="s">
        <v>232</v>
      </c>
      <c r="B77" s="9">
        <v>12</v>
      </c>
      <c r="C77" s="179"/>
      <c r="E77" s="180"/>
      <c r="G77" s="178" t="s">
        <v>232</v>
      </c>
      <c r="H77" s="179">
        <v>18</v>
      </c>
      <c r="I77" s="179"/>
      <c r="J77" s="179"/>
      <c r="K77" s="182"/>
      <c r="L77" s="182"/>
      <c r="M77" s="183"/>
      <c r="O77" s="178" t="s">
        <v>232</v>
      </c>
      <c r="P77" s="179">
        <v>15</v>
      </c>
      <c r="Q77" s="179"/>
      <c r="R77" s="179"/>
      <c r="U77" s="185"/>
    </row>
    <row r="78" spans="1:21" x14ac:dyDescent="0.25">
      <c r="A78" s="181" t="s">
        <v>233</v>
      </c>
      <c r="B78" s="191">
        <f>1-(B75/B77)</f>
        <v>0.33333333333333337</v>
      </c>
      <c r="C78" s="179"/>
      <c r="E78" s="180"/>
      <c r="G78" s="181" t="s">
        <v>233</v>
      </c>
      <c r="H78" s="191">
        <f>1-(H75/H77)</f>
        <v>0.22222222222222221</v>
      </c>
      <c r="I78" s="179"/>
      <c r="J78" s="179"/>
      <c r="K78" s="182"/>
      <c r="L78" s="182"/>
      <c r="M78" s="183"/>
      <c r="O78" s="181" t="s">
        <v>233</v>
      </c>
      <c r="P78" s="191">
        <f>1-(P75/P77)</f>
        <v>0.46666666666666667</v>
      </c>
      <c r="Q78" s="179"/>
      <c r="R78" s="179"/>
      <c r="U78" s="185"/>
    </row>
    <row r="79" spans="1:21" ht="15.75" thickBot="1" x14ac:dyDescent="0.3">
      <c r="A79" s="192" t="s">
        <v>234</v>
      </c>
      <c r="B79" s="193">
        <f>B78*E70</f>
        <v>14393.743933333335</v>
      </c>
      <c r="C79" s="194"/>
      <c r="D79" s="195"/>
      <c r="E79" s="196"/>
      <c r="G79" s="192" t="s">
        <v>234</v>
      </c>
      <c r="H79" s="197">
        <f>H78*L72</f>
        <v>12636.000666666667</v>
      </c>
      <c r="I79" s="194"/>
      <c r="J79" s="195"/>
      <c r="K79" s="198"/>
      <c r="L79" s="198"/>
      <c r="M79" s="199"/>
      <c r="O79" s="192" t="s">
        <v>234</v>
      </c>
      <c r="P79" s="197">
        <f>P78*T72</f>
        <v>23568.390366677333</v>
      </c>
      <c r="Q79" s="194"/>
      <c r="R79" s="195"/>
      <c r="S79" s="200"/>
      <c r="T79" s="200"/>
      <c r="U79" s="201"/>
    </row>
  </sheetData>
  <sheetProtection algorithmName="SHA-512" hashValue="dT1bpzaufYl7YHkvjIsUSiFem20ndibUfL8NCqhI0qJU+WybQT9zR0HC16/leYJVig4JEC0yht1IctbgFPb2cQ==" saltValue="6d1/yrV1qb6V+orUQTLpGA==" spinCount="100000" sheet="1" formatCells="0" formatColumns="0" formatRows="0" insertColumns="0" insertRows="0" insertHyperlinks="0" deleteColumns="0" deleteRows="0" sort="0" autoFilter="0" pivotTables="0"/>
  <mergeCells count="87">
    <mergeCell ref="O21:S21"/>
    <mergeCell ref="O23:U23"/>
    <mergeCell ref="O24:O25"/>
    <mergeCell ref="P24:P25"/>
    <mergeCell ref="Q24:Q25"/>
    <mergeCell ref="R24:S24"/>
    <mergeCell ref="T24:U24"/>
    <mergeCell ref="O1:U1"/>
    <mergeCell ref="O2:U2"/>
    <mergeCell ref="O3:O4"/>
    <mergeCell ref="P3:P4"/>
    <mergeCell ref="Q3:Q4"/>
    <mergeCell ref="R3:S3"/>
    <mergeCell ref="T3:U3"/>
    <mergeCell ref="O37:S37"/>
    <mergeCell ref="O42:U42"/>
    <mergeCell ref="O43:O44"/>
    <mergeCell ref="P43:P44"/>
    <mergeCell ref="Q43:Q44"/>
    <mergeCell ref="R43:S43"/>
    <mergeCell ref="T43:U43"/>
    <mergeCell ref="O67:S67"/>
    <mergeCell ref="O70:S70"/>
    <mergeCell ref="O72:S72"/>
    <mergeCell ref="O54:S54"/>
    <mergeCell ref="O57:U57"/>
    <mergeCell ref="O58:O59"/>
    <mergeCell ref="P58:P59"/>
    <mergeCell ref="Q58:Q59"/>
    <mergeCell ref="R58:S58"/>
    <mergeCell ref="O68:U68"/>
    <mergeCell ref="T58:U58"/>
    <mergeCell ref="G1:M1"/>
    <mergeCell ref="G2:M2"/>
    <mergeCell ref="G3:G4"/>
    <mergeCell ref="H3:H4"/>
    <mergeCell ref="I3:I4"/>
    <mergeCell ref="J3:K3"/>
    <mergeCell ref="L3:M3"/>
    <mergeCell ref="G20:K20"/>
    <mergeCell ref="G23:M23"/>
    <mergeCell ref="G24:G25"/>
    <mergeCell ref="H24:H25"/>
    <mergeCell ref="I24:I25"/>
    <mergeCell ref="J24:K24"/>
    <mergeCell ref="L24:M24"/>
    <mergeCell ref="J58:K58"/>
    <mergeCell ref="L58:M58"/>
    <mergeCell ref="G35:K35"/>
    <mergeCell ref="G42:M42"/>
    <mergeCell ref="G43:G44"/>
    <mergeCell ref="H43:H44"/>
    <mergeCell ref="I43:I44"/>
    <mergeCell ref="J43:K43"/>
    <mergeCell ref="L43:M43"/>
    <mergeCell ref="G54:K54"/>
    <mergeCell ref="G57:M57"/>
    <mergeCell ref="G58:G59"/>
    <mergeCell ref="H58:H59"/>
    <mergeCell ref="I58:I59"/>
    <mergeCell ref="A67:D67"/>
    <mergeCell ref="A70:D70"/>
    <mergeCell ref="G67:K67"/>
    <mergeCell ref="G70:K70"/>
    <mergeCell ref="G72:K72"/>
    <mergeCell ref="G68:M68"/>
    <mergeCell ref="A68:E68"/>
    <mergeCell ref="A58:A59"/>
    <mergeCell ref="B58:B59"/>
    <mergeCell ref="C58:C59"/>
    <mergeCell ref="A23:E23"/>
    <mergeCell ref="A24:A25"/>
    <mergeCell ref="B24:B25"/>
    <mergeCell ref="C24:C25"/>
    <mergeCell ref="A40:D40"/>
    <mergeCell ref="A42:E42"/>
    <mergeCell ref="A43:A44"/>
    <mergeCell ref="B43:B44"/>
    <mergeCell ref="C43:C44"/>
    <mergeCell ref="A55:D55"/>
    <mergeCell ref="A57:E57"/>
    <mergeCell ref="A20:D20"/>
    <mergeCell ref="A1:E1"/>
    <mergeCell ref="A2:E2"/>
    <mergeCell ref="A3:A4"/>
    <mergeCell ref="B3:B4"/>
    <mergeCell ref="C3:C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2448-C891-4F89-A90B-C9BA140201F2}">
  <sheetPr>
    <tabColor theme="1" tint="0.34998626667073579"/>
  </sheetPr>
  <dimension ref="A1:AI335"/>
  <sheetViews>
    <sheetView showGridLines="0" topLeftCell="I1" zoomScale="80" zoomScaleNormal="80" workbookViewId="0">
      <pane ySplit="2" topLeftCell="A297" activePane="bottomLeft" state="frozen"/>
      <selection activeCell="D14" sqref="D14"/>
      <selection pane="bottomLeft" activeCell="X315" sqref="X315"/>
    </sheetView>
  </sheetViews>
  <sheetFormatPr defaultColWidth="9.140625" defaultRowHeight="12.75" x14ac:dyDescent="0.25"/>
  <cols>
    <col min="1" max="1" width="37.85546875" style="252" customWidth="1"/>
    <col min="2" max="2" width="10.85546875" style="253" customWidth="1"/>
    <col min="3" max="3" width="13.7109375" style="254" customWidth="1"/>
    <col min="4" max="4" width="10.5703125" style="205" customWidth="1"/>
    <col min="5" max="5" width="9.140625" style="205" customWidth="1"/>
    <col min="6" max="7" width="13.7109375" style="255" customWidth="1"/>
    <col min="8" max="11" width="13.7109375" style="254" customWidth="1"/>
    <col min="12" max="12" width="17.28515625" style="254" customWidth="1"/>
    <col min="13" max="13" width="18.7109375" style="254" customWidth="1"/>
    <col min="14" max="14" width="15.5703125" style="254" customWidth="1"/>
    <col min="15" max="15" width="9.7109375" style="205" customWidth="1"/>
    <col min="16" max="16" width="12.7109375" style="205" customWidth="1"/>
    <col min="17" max="18" width="13.7109375" style="256" customWidth="1"/>
    <col min="19" max="19" width="14.42578125" style="255" customWidth="1"/>
    <col min="20" max="20" width="13.7109375" style="255" customWidth="1"/>
    <col min="21" max="21" width="15.5703125" style="255" bestFit="1" customWidth="1"/>
    <col min="22" max="22" width="13.7109375" style="257" customWidth="1"/>
    <col min="23" max="23" width="16.7109375" style="257" bestFit="1" customWidth="1"/>
    <col min="24" max="24" width="15.85546875" style="257" customWidth="1"/>
    <col min="25" max="25" width="91.140625" style="205" bestFit="1" customWidth="1"/>
    <col min="26" max="26" width="22.42578125" style="205" customWidth="1"/>
    <col min="27" max="27" width="16" style="205" bestFit="1" customWidth="1"/>
    <col min="28" max="28" width="15" style="207" bestFit="1" customWidth="1"/>
    <col min="29" max="29" width="12.5703125" style="207" bestFit="1" customWidth="1"/>
    <col min="30" max="30" width="13.85546875" style="208" bestFit="1" customWidth="1"/>
    <col min="31" max="31" width="9.5703125" style="208" bestFit="1" customWidth="1"/>
    <col min="32" max="32" width="12.5703125" style="208" bestFit="1" customWidth="1"/>
    <col min="33" max="34" width="9.140625" style="208"/>
    <col min="35" max="16384" width="9.140625" style="115"/>
  </cols>
  <sheetData>
    <row r="1" spans="1:35" ht="45.75" customHeight="1" x14ac:dyDescent="0.25">
      <c r="A1" s="363" t="s">
        <v>15</v>
      </c>
      <c r="B1" s="365" t="s">
        <v>0</v>
      </c>
      <c r="C1" s="202" t="s">
        <v>260</v>
      </c>
      <c r="D1" s="370" t="s">
        <v>6</v>
      </c>
      <c r="E1" s="370" t="s">
        <v>7</v>
      </c>
      <c r="F1" s="367" t="s">
        <v>3</v>
      </c>
      <c r="G1" s="367" t="s">
        <v>1</v>
      </c>
      <c r="H1" s="369" t="s">
        <v>8</v>
      </c>
      <c r="I1" s="369"/>
      <c r="J1" s="202" t="s">
        <v>82</v>
      </c>
      <c r="K1" s="365" t="s">
        <v>144</v>
      </c>
      <c r="L1" s="365" t="s">
        <v>283</v>
      </c>
      <c r="M1" s="202" t="s">
        <v>84</v>
      </c>
      <c r="N1" s="370" t="s">
        <v>150</v>
      </c>
      <c r="O1" s="370" t="s">
        <v>4</v>
      </c>
      <c r="P1" s="202" t="s">
        <v>82</v>
      </c>
      <c r="Q1" s="370" t="s">
        <v>2</v>
      </c>
      <c r="R1" s="202" t="s">
        <v>82</v>
      </c>
      <c r="S1" s="367" t="s">
        <v>12</v>
      </c>
      <c r="T1" s="367" t="s">
        <v>88</v>
      </c>
      <c r="U1" s="203" t="s">
        <v>85</v>
      </c>
      <c r="V1" s="373" t="s">
        <v>11</v>
      </c>
      <c r="W1" s="204" t="s">
        <v>85</v>
      </c>
      <c r="X1" s="203" t="s">
        <v>82</v>
      </c>
      <c r="Y1" s="370" t="s">
        <v>5</v>
      </c>
      <c r="Z1" s="372"/>
      <c r="AB1" s="206"/>
    </row>
    <row r="2" spans="1:35" ht="45.75" customHeight="1" x14ac:dyDescent="0.25">
      <c r="A2" s="364"/>
      <c r="B2" s="366"/>
      <c r="C2" s="209" t="s">
        <v>83</v>
      </c>
      <c r="D2" s="371"/>
      <c r="E2" s="371"/>
      <c r="F2" s="368"/>
      <c r="G2" s="368"/>
      <c r="H2" s="210" t="s">
        <v>9</v>
      </c>
      <c r="I2" s="210" t="s">
        <v>14</v>
      </c>
      <c r="J2" s="209" t="s">
        <v>143</v>
      </c>
      <c r="K2" s="366"/>
      <c r="L2" s="366"/>
      <c r="M2" s="209" t="s">
        <v>148</v>
      </c>
      <c r="N2" s="371"/>
      <c r="O2" s="371"/>
      <c r="P2" s="209" t="s">
        <v>151</v>
      </c>
      <c r="Q2" s="371"/>
      <c r="R2" s="209" t="s">
        <v>152</v>
      </c>
      <c r="S2" s="368"/>
      <c r="T2" s="368"/>
      <c r="U2" s="211" t="s">
        <v>253</v>
      </c>
      <c r="V2" s="374"/>
      <c r="W2" s="212" t="s">
        <v>254</v>
      </c>
      <c r="X2" s="211" t="s">
        <v>255</v>
      </c>
      <c r="Y2" s="371"/>
      <c r="Z2" s="372"/>
      <c r="AB2" s="206"/>
    </row>
    <row r="3" spans="1:35" s="205" customFormat="1" x14ac:dyDescent="0.25">
      <c r="A3" s="213">
        <v>1</v>
      </c>
      <c r="B3" s="130">
        <v>984.90049999999997</v>
      </c>
      <c r="C3" s="111">
        <v>1</v>
      </c>
      <c r="D3" s="214" t="s">
        <v>13</v>
      </c>
      <c r="E3" s="214" t="s">
        <v>10</v>
      </c>
      <c r="F3" s="128">
        <v>351.09316173999991</v>
      </c>
      <c r="G3" s="128">
        <v>633.80733826000005</v>
      </c>
      <c r="H3" s="215">
        <f t="shared" ref="H3:H31" si="0">F3/B3</f>
        <v>0.35647576759276689</v>
      </c>
      <c r="I3" s="215">
        <f>G3/B3</f>
        <v>0.64352423240723311</v>
      </c>
      <c r="J3" s="111">
        <v>6534.5</v>
      </c>
      <c r="K3" s="216">
        <f t="shared" ref="K3:K9" si="1">$B$318</f>
        <v>0.95</v>
      </c>
      <c r="L3" s="111">
        <f>$B$320</f>
        <v>1.1499999999999999</v>
      </c>
      <c r="M3" s="111">
        <f t="shared" ref="M3:M31" si="2">J3*K3*L3</f>
        <v>7138.9412499999989</v>
      </c>
      <c r="N3" s="111">
        <f t="shared" ref="N3:N8" si="3">B3*M3</f>
        <v>7031146.8065956235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f t="shared" ref="X3:X31" si="4">N3+P3+R3+U3+W3</f>
        <v>7031146.8065956235</v>
      </c>
      <c r="Y3" s="217"/>
      <c r="Z3" s="218"/>
      <c r="AB3" s="207"/>
      <c r="AC3" s="207"/>
      <c r="AD3" s="208"/>
      <c r="AE3" s="208"/>
      <c r="AF3" s="208"/>
      <c r="AG3" s="208"/>
      <c r="AH3" s="208"/>
      <c r="AI3" s="115"/>
    </row>
    <row r="4" spans="1:35" s="208" customFormat="1" x14ac:dyDescent="0.25">
      <c r="A4" s="213">
        <v>2</v>
      </c>
      <c r="B4" s="130">
        <v>3666.8487748800003</v>
      </c>
      <c r="C4" s="111">
        <v>3</v>
      </c>
      <c r="D4" s="214" t="s">
        <v>10</v>
      </c>
      <c r="E4" s="214" t="s">
        <v>10</v>
      </c>
      <c r="F4" s="128">
        <v>2600.6799079100006</v>
      </c>
      <c r="G4" s="128">
        <v>1066.16886697</v>
      </c>
      <c r="H4" s="215">
        <f t="shared" si="0"/>
        <v>0.70924111343945706</v>
      </c>
      <c r="I4" s="215">
        <f>G4/B4</f>
        <v>0.29075888656054294</v>
      </c>
      <c r="J4" s="111">
        <v>8354.59</v>
      </c>
      <c r="K4" s="216">
        <f t="shared" si="1"/>
        <v>0.95</v>
      </c>
      <c r="L4" s="111">
        <f>$B$320</f>
        <v>1.1499999999999999</v>
      </c>
      <c r="M4" s="111">
        <f t="shared" si="2"/>
        <v>9127.3895749999992</v>
      </c>
      <c r="N4" s="111">
        <f t="shared" si="3"/>
        <v>33468757.280941233</v>
      </c>
      <c r="O4" s="111"/>
      <c r="P4" s="111"/>
      <c r="Q4" s="111"/>
      <c r="R4" s="111"/>
      <c r="S4" s="111"/>
      <c r="T4" s="111"/>
      <c r="U4" s="111"/>
      <c r="V4" s="111">
        <v>511.72309999999999</v>
      </c>
      <c r="W4" s="111">
        <f>VLOOKUP(V4,'Estimativa Valores-Painéis Sol.'!$C$4:$D$24,2,FALSE)</f>
        <v>72000</v>
      </c>
      <c r="X4" s="111">
        <f t="shared" si="4"/>
        <v>33540757.280941233</v>
      </c>
      <c r="Y4" s="217" t="s">
        <v>26</v>
      </c>
      <c r="Z4" s="218"/>
      <c r="AA4" s="205"/>
      <c r="AB4" s="207"/>
      <c r="AC4" s="207"/>
      <c r="AI4" s="115"/>
    </row>
    <row r="5" spans="1:35" s="205" customFormat="1" x14ac:dyDescent="0.25">
      <c r="A5" s="221">
        <v>22</v>
      </c>
      <c r="B5" s="130">
        <v>33.659596700000002</v>
      </c>
      <c r="C5" s="111">
        <v>2</v>
      </c>
      <c r="D5" s="214" t="s">
        <v>13</v>
      </c>
      <c r="E5" s="214" t="s">
        <v>10</v>
      </c>
      <c r="F5" s="128">
        <v>9.4253461500000011</v>
      </c>
      <c r="G5" s="128">
        <v>24.234250549999999</v>
      </c>
      <c r="H5" s="215">
        <f t="shared" si="0"/>
        <v>0.28001958056734533</v>
      </c>
      <c r="I5" s="215">
        <f t="shared" ref="I5:I11" si="5">G5/B5</f>
        <v>0.71998041943265467</v>
      </c>
      <c r="J5" s="111">
        <v>14989.84</v>
      </c>
      <c r="K5" s="216">
        <f t="shared" si="1"/>
        <v>0.95</v>
      </c>
      <c r="L5" s="216">
        <f t="shared" ref="L5:L10" si="6">$B$321</f>
        <v>1</v>
      </c>
      <c r="M5" s="111">
        <f t="shared" si="2"/>
        <v>14240.348</v>
      </c>
      <c r="N5" s="111">
        <f t="shared" si="3"/>
        <v>479324.3705476516</v>
      </c>
      <c r="O5" s="111"/>
      <c r="P5" s="111"/>
      <c r="Q5" s="111"/>
      <c r="R5" s="111"/>
      <c r="S5" s="111"/>
      <c r="T5" s="111"/>
      <c r="U5" s="111"/>
      <c r="V5" s="111"/>
      <c r="W5" s="111"/>
      <c r="X5" s="111">
        <f t="shared" si="4"/>
        <v>479324.3705476516</v>
      </c>
      <c r="Y5" s="219" t="s">
        <v>31</v>
      </c>
      <c r="Z5" s="218"/>
      <c r="AB5" s="207"/>
      <c r="AC5" s="207"/>
      <c r="AD5" s="208"/>
      <c r="AE5" s="208"/>
      <c r="AF5" s="208"/>
      <c r="AG5" s="208"/>
      <c r="AH5" s="208"/>
      <c r="AI5" s="115"/>
    </row>
    <row r="6" spans="1:35" s="205" customFormat="1" x14ac:dyDescent="0.25">
      <c r="A6" s="221">
        <v>23</v>
      </c>
      <c r="B6" s="130">
        <v>148.72491886</v>
      </c>
      <c r="C6" s="111">
        <v>2</v>
      </c>
      <c r="D6" s="214" t="s">
        <v>13</v>
      </c>
      <c r="E6" s="214" t="s">
        <v>10</v>
      </c>
      <c r="F6" s="128">
        <v>5.3437990400000013</v>
      </c>
      <c r="G6" s="128">
        <v>143.38111982000001</v>
      </c>
      <c r="H6" s="215">
        <f t="shared" si="0"/>
        <v>3.593075781087033E-2</v>
      </c>
      <c r="I6" s="215">
        <f t="shared" si="5"/>
        <v>0.9640692421891297</v>
      </c>
      <c r="J6" s="111">
        <v>14768.69</v>
      </c>
      <c r="K6" s="216">
        <f t="shared" si="1"/>
        <v>0.95</v>
      </c>
      <c r="L6" s="216">
        <f t="shared" si="6"/>
        <v>1</v>
      </c>
      <c r="M6" s="111">
        <f t="shared" si="2"/>
        <v>14030.255499999999</v>
      </c>
      <c r="N6" s="111">
        <f t="shared" si="3"/>
        <v>2086648.6108225686</v>
      </c>
      <c r="O6" s="111"/>
      <c r="P6" s="111"/>
      <c r="Q6" s="111"/>
      <c r="R6" s="111"/>
      <c r="S6" s="111"/>
      <c r="T6" s="111"/>
      <c r="U6" s="111"/>
      <c r="V6" s="111"/>
      <c r="W6" s="111"/>
      <c r="X6" s="111">
        <f t="shared" si="4"/>
        <v>2086648.6108225686</v>
      </c>
      <c r="Y6" s="219" t="s">
        <v>31</v>
      </c>
      <c r="Z6" s="218"/>
      <c r="AB6" s="207"/>
      <c r="AC6" s="207"/>
      <c r="AD6" s="208"/>
      <c r="AE6" s="208"/>
      <c r="AF6" s="208"/>
      <c r="AG6" s="208"/>
      <c r="AH6" s="208"/>
      <c r="AI6" s="115"/>
    </row>
    <row r="7" spans="1:35" s="205" customFormat="1" x14ac:dyDescent="0.25">
      <c r="A7" s="221">
        <v>24</v>
      </c>
      <c r="B7" s="130">
        <v>146.25719663999999</v>
      </c>
      <c r="C7" s="111">
        <v>2</v>
      </c>
      <c r="D7" s="214" t="s">
        <v>13</v>
      </c>
      <c r="E7" s="214" t="s">
        <v>10</v>
      </c>
      <c r="F7" s="128">
        <v>129.50176328000001</v>
      </c>
      <c r="G7" s="128">
        <v>16.755433360000001</v>
      </c>
      <c r="H7" s="215">
        <f t="shared" si="0"/>
        <v>0.88543857160586703</v>
      </c>
      <c r="I7" s="215">
        <f t="shared" si="5"/>
        <v>0.11456142839413309</v>
      </c>
      <c r="J7" s="111">
        <v>16272.19</v>
      </c>
      <c r="K7" s="216">
        <f t="shared" si="1"/>
        <v>0.95</v>
      </c>
      <c r="L7" s="216">
        <f t="shared" si="6"/>
        <v>1</v>
      </c>
      <c r="M7" s="111">
        <f t="shared" si="2"/>
        <v>15458.5805</v>
      </c>
      <c r="N7" s="111">
        <f t="shared" si="3"/>
        <v>2260928.6479637693</v>
      </c>
      <c r="O7" s="111"/>
      <c r="P7" s="111"/>
      <c r="Q7" s="111"/>
      <c r="R7" s="111"/>
      <c r="S7" s="111"/>
      <c r="T7" s="111"/>
      <c r="U7" s="111"/>
      <c r="V7" s="111"/>
      <c r="W7" s="111"/>
      <c r="X7" s="111">
        <f t="shared" si="4"/>
        <v>2260928.6479637693</v>
      </c>
      <c r="Y7" s="219" t="s">
        <v>31</v>
      </c>
      <c r="Z7" s="218"/>
      <c r="AB7" s="207"/>
      <c r="AC7" s="207"/>
      <c r="AD7" s="208"/>
      <c r="AE7" s="208"/>
      <c r="AF7" s="208"/>
      <c r="AG7" s="208"/>
      <c r="AH7" s="208"/>
      <c r="AI7" s="115"/>
    </row>
    <row r="8" spans="1:35" s="205" customFormat="1" x14ac:dyDescent="0.25">
      <c r="A8" s="221">
        <v>25</v>
      </c>
      <c r="B8" s="130">
        <v>45.43599047</v>
      </c>
      <c r="C8" s="111">
        <v>1</v>
      </c>
      <c r="D8" s="214" t="s">
        <v>13</v>
      </c>
      <c r="E8" s="214" t="s">
        <v>10</v>
      </c>
      <c r="F8" s="128">
        <v>28.228487019999999</v>
      </c>
      <c r="G8" s="128">
        <v>17.207503450000001</v>
      </c>
      <c r="H8" s="215">
        <f t="shared" si="0"/>
        <v>0.62128032707107839</v>
      </c>
      <c r="I8" s="215">
        <f t="shared" si="5"/>
        <v>0.37871967292892167</v>
      </c>
      <c r="J8" s="111">
        <v>8960.41</v>
      </c>
      <c r="K8" s="216">
        <f t="shared" si="1"/>
        <v>0.95</v>
      </c>
      <c r="L8" s="216">
        <f t="shared" si="6"/>
        <v>1</v>
      </c>
      <c r="M8" s="111">
        <f t="shared" si="2"/>
        <v>8512.3894999999993</v>
      </c>
      <c r="N8" s="111">
        <f t="shared" si="3"/>
        <v>386768.84819892806</v>
      </c>
      <c r="O8" s="111"/>
      <c r="P8" s="111"/>
      <c r="Q8" s="111"/>
      <c r="R8" s="111"/>
      <c r="S8" s="111"/>
      <c r="T8" s="111"/>
      <c r="U8" s="111"/>
      <c r="V8" s="111"/>
      <c r="W8" s="111"/>
      <c r="X8" s="111">
        <f t="shared" si="4"/>
        <v>386768.84819892806</v>
      </c>
      <c r="Y8" s="219"/>
      <c r="Z8" s="218"/>
      <c r="AB8" s="207"/>
      <c r="AC8" s="207"/>
      <c r="AD8" s="208"/>
      <c r="AE8" s="208"/>
      <c r="AF8" s="208"/>
      <c r="AG8" s="208"/>
      <c r="AH8" s="208"/>
      <c r="AI8" s="115"/>
    </row>
    <row r="9" spans="1:35" s="205" customFormat="1" x14ac:dyDescent="0.25">
      <c r="A9" s="221">
        <v>26</v>
      </c>
      <c r="B9" s="130">
        <v>662.64007963999995</v>
      </c>
      <c r="C9" s="216">
        <v>2</v>
      </c>
      <c r="D9" s="214" t="s">
        <v>10</v>
      </c>
      <c r="E9" s="214" t="s">
        <v>10</v>
      </c>
      <c r="F9" s="128">
        <v>271.83674027999996</v>
      </c>
      <c r="G9" s="128">
        <v>390.80333936</v>
      </c>
      <c r="H9" s="215">
        <f t="shared" si="0"/>
        <v>0.41023286793591446</v>
      </c>
      <c r="I9" s="215">
        <f t="shared" si="5"/>
        <v>0.58976713206408549</v>
      </c>
      <c r="J9" s="111">
        <v>13750.15</v>
      </c>
      <c r="K9" s="216">
        <f t="shared" si="1"/>
        <v>0.95</v>
      </c>
      <c r="L9" s="216">
        <f t="shared" si="6"/>
        <v>1</v>
      </c>
      <c r="M9" s="111">
        <f t="shared" si="2"/>
        <v>13062.6425</v>
      </c>
      <c r="N9" s="216">
        <f>M9*B9</f>
        <v>8655830.4665088486</v>
      </c>
      <c r="O9" s="216"/>
      <c r="P9" s="216"/>
      <c r="Q9" s="111">
        <v>19.206314129999999</v>
      </c>
      <c r="R9" s="111">
        <f>'Cálculo Depre.-Sist. Irrig.'!$P$3*Q9</f>
        <v>147888.618801</v>
      </c>
      <c r="S9" s="214" t="s">
        <v>17</v>
      </c>
      <c r="T9" s="111">
        <f>Q9</f>
        <v>19.206314129999999</v>
      </c>
      <c r="U9" s="111">
        <f>'Cálculo Valor Avaliação-Cultura'!$P$79*T9</f>
        <v>452661.90892087074</v>
      </c>
      <c r="V9" s="220"/>
      <c r="W9" s="220"/>
      <c r="X9" s="111">
        <f t="shared" si="4"/>
        <v>9256380.9942307193</v>
      </c>
      <c r="Y9" s="219" t="s">
        <v>32</v>
      </c>
      <c r="Z9" s="218"/>
      <c r="AB9" s="207"/>
      <c r="AC9" s="207"/>
      <c r="AD9" s="208"/>
      <c r="AE9" s="208"/>
      <c r="AF9" s="208"/>
      <c r="AG9" s="208"/>
      <c r="AH9" s="208"/>
      <c r="AI9" s="115"/>
    </row>
    <row r="10" spans="1:35" s="205" customFormat="1" x14ac:dyDescent="0.25">
      <c r="A10" s="221">
        <v>27</v>
      </c>
      <c r="B10" s="130">
        <v>81.972571160000001</v>
      </c>
      <c r="C10" s="216">
        <v>2</v>
      </c>
      <c r="D10" s="214" t="s">
        <v>10</v>
      </c>
      <c r="E10" s="214" t="s">
        <v>10</v>
      </c>
      <c r="F10" s="128"/>
      <c r="G10" s="128">
        <v>81.972571160000001</v>
      </c>
      <c r="H10" s="215">
        <f t="shared" si="0"/>
        <v>0</v>
      </c>
      <c r="I10" s="215">
        <f t="shared" si="5"/>
        <v>1</v>
      </c>
      <c r="J10" s="216">
        <v>15717.96</v>
      </c>
      <c r="K10" s="216">
        <f>$B$319</f>
        <v>0.9</v>
      </c>
      <c r="L10" s="216">
        <f t="shared" si="6"/>
        <v>1</v>
      </c>
      <c r="M10" s="216">
        <f t="shared" si="2"/>
        <v>14146.163999999999</v>
      </c>
      <c r="N10" s="216">
        <f>M10*B10</f>
        <v>1159597.4351310302</v>
      </c>
      <c r="O10" s="216"/>
      <c r="P10" s="216"/>
      <c r="Q10" s="216"/>
      <c r="R10" s="216"/>
      <c r="S10" s="216"/>
      <c r="T10" s="216"/>
      <c r="U10" s="216"/>
      <c r="V10" s="216"/>
      <c r="W10" s="216"/>
      <c r="X10" s="111">
        <f t="shared" si="4"/>
        <v>1159597.4351310302</v>
      </c>
      <c r="Y10" s="214" t="s">
        <v>32</v>
      </c>
      <c r="Z10" s="218"/>
      <c r="AB10" s="207"/>
      <c r="AC10" s="207"/>
      <c r="AD10" s="208"/>
      <c r="AE10" s="208"/>
      <c r="AF10" s="208"/>
      <c r="AG10" s="208"/>
      <c r="AH10" s="208"/>
      <c r="AI10" s="115"/>
    </row>
    <row r="11" spans="1:35" s="205" customFormat="1" x14ac:dyDescent="0.25">
      <c r="A11" s="213">
        <v>28</v>
      </c>
      <c r="B11" s="130">
        <v>244.45630684000002</v>
      </c>
      <c r="C11" s="111">
        <v>1</v>
      </c>
      <c r="D11" s="214" t="s">
        <v>13</v>
      </c>
      <c r="E11" s="214" t="s">
        <v>10</v>
      </c>
      <c r="F11" s="128">
        <v>5.90941852</v>
      </c>
      <c r="G11" s="128">
        <v>238.54688831999999</v>
      </c>
      <c r="H11" s="215">
        <f t="shared" si="0"/>
        <v>2.4173720843568967E-2</v>
      </c>
      <c r="I11" s="215">
        <f t="shared" si="5"/>
        <v>0.97582627915643094</v>
      </c>
      <c r="J11" s="111">
        <v>6475.63</v>
      </c>
      <c r="K11" s="216">
        <f t="shared" ref="K11:K40" si="7">$B$318</f>
        <v>0.95</v>
      </c>
      <c r="L11" s="111">
        <f t="shared" ref="L11:L17" si="8">$B$320</f>
        <v>1.1499999999999999</v>
      </c>
      <c r="M11" s="111">
        <f t="shared" si="2"/>
        <v>7074.6257749999995</v>
      </c>
      <c r="N11" s="111">
        <f>B11*M11</f>
        <v>1729436.8892315729</v>
      </c>
      <c r="O11" s="111"/>
      <c r="P11" s="111"/>
      <c r="Q11" s="111"/>
      <c r="R11" s="111"/>
      <c r="S11" s="111"/>
      <c r="T11" s="111"/>
      <c r="U11" s="111"/>
      <c r="V11" s="111"/>
      <c r="W11" s="111"/>
      <c r="X11" s="111">
        <f t="shared" si="4"/>
        <v>1729436.8892315729</v>
      </c>
      <c r="Y11" s="219"/>
      <c r="Z11" s="218"/>
      <c r="AB11" s="207"/>
      <c r="AC11" s="207"/>
      <c r="AD11" s="208"/>
      <c r="AE11" s="208"/>
      <c r="AF11" s="208"/>
      <c r="AG11" s="208"/>
      <c r="AH11" s="208"/>
      <c r="AI11" s="115"/>
    </row>
    <row r="12" spans="1:35" s="205" customFormat="1" x14ac:dyDescent="0.25">
      <c r="A12" s="213">
        <v>29</v>
      </c>
      <c r="B12" s="130">
        <v>40.615095020000005</v>
      </c>
      <c r="C12" s="216">
        <v>2</v>
      </c>
      <c r="D12" s="214" t="s">
        <v>13</v>
      </c>
      <c r="E12" s="214" t="s">
        <v>10</v>
      </c>
      <c r="F12" s="128">
        <v>40.615095020000005</v>
      </c>
      <c r="G12" s="128"/>
      <c r="H12" s="215">
        <f t="shared" si="0"/>
        <v>1</v>
      </c>
      <c r="I12" s="215">
        <f>G12/F12</f>
        <v>0</v>
      </c>
      <c r="J12" s="216">
        <v>9684.66</v>
      </c>
      <c r="K12" s="216">
        <f t="shared" si="7"/>
        <v>0.95</v>
      </c>
      <c r="L12" s="111">
        <f t="shared" si="8"/>
        <v>1.1499999999999999</v>
      </c>
      <c r="M12" s="216">
        <f t="shared" si="2"/>
        <v>10580.491049999999</v>
      </c>
      <c r="N12" s="216">
        <f>M12*F12</f>
        <v>429727.6493540096</v>
      </c>
      <c r="O12" s="216"/>
      <c r="P12" s="216"/>
      <c r="Q12" s="216"/>
      <c r="R12" s="216"/>
      <c r="S12" s="216"/>
      <c r="T12" s="216"/>
      <c r="U12" s="216"/>
      <c r="V12" s="220"/>
      <c r="W12" s="220"/>
      <c r="X12" s="111">
        <f t="shared" si="4"/>
        <v>429727.6493540096</v>
      </c>
      <c r="Y12" s="219" t="s">
        <v>33</v>
      </c>
      <c r="Z12" s="218"/>
      <c r="AB12" s="207"/>
      <c r="AC12" s="207"/>
      <c r="AD12" s="208"/>
      <c r="AE12" s="208"/>
      <c r="AF12" s="208"/>
      <c r="AG12" s="208"/>
      <c r="AH12" s="208"/>
      <c r="AI12" s="115"/>
    </row>
    <row r="13" spans="1:35" s="205" customFormat="1" x14ac:dyDescent="0.25">
      <c r="A13" s="213">
        <v>30</v>
      </c>
      <c r="B13" s="130">
        <v>40.576268380000002</v>
      </c>
      <c r="C13" s="111">
        <v>2</v>
      </c>
      <c r="D13" s="214" t="s">
        <v>13</v>
      </c>
      <c r="E13" s="214" t="s">
        <v>10</v>
      </c>
      <c r="F13" s="128">
        <v>18.4688363</v>
      </c>
      <c r="G13" s="128">
        <v>22.107432079999999</v>
      </c>
      <c r="H13" s="215">
        <f t="shared" si="0"/>
        <v>0.45516349919213539</v>
      </c>
      <c r="I13" s="215">
        <f t="shared" ref="I13:I17" si="9">G13/B13</f>
        <v>0.5448365008078645</v>
      </c>
      <c r="J13" s="111">
        <v>8998.5300000000007</v>
      </c>
      <c r="K13" s="216">
        <f t="shared" si="7"/>
        <v>0.95</v>
      </c>
      <c r="L13" s="111">
        <f t="shared" si="8"/>
        <v>1.1499999999999999</v>
      </c>
      <c r="M13" s="111">
        <f t="shared" si="2"/>
        <v>9830.8940249999996</v>
      </c>
      <c r="N13" s="111">
        <f t="shared" ref="N13:N17" si="10">B13*M13</f>
        <v>398900.99437373842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>
        <f t="shared" si="4"/>
        <v>398900.99437373842</v>
      </c>
      <c r="Y13" s="219" t="s">
        <v>34</v>
      </c>
      <c r="Z13" s="218"/>
      <c r="AB13" s="207"/>
      <c r="AC13" s="207"/>
      <c r="AD13" s="208"/>
      <c r="AE13" s="208"/>
      <c r="AF13" s="208"/>
      <c r="AG13" s="208"/>
      <c r="AH13" s="208"/>
      <c r="AI13" s="115"/>
    </row>
    <row r="14" spans="1:35" s="205" customFormat="1" x14ac:dyDescent="0.25">
      <c r="A14" s="213">
        <v>31</v>
      </c>
      <c r="B14" s="130">
        <v>82.712953650000003</v>
      </c>
      <c r="C14" s="111">
        <v>1</v>
      </c>
      <c r="D14" s="214" t="s">
        <v>13</v>
      </c>
      <c r="E14" s="214" t="s">
        <v>10</v>
      </c>
      <c r="F14" s="128">
        <v>22.779881620000001</v>
      </c>
      <c r="G14" s="128">
        <v>59.933072030000005</v>
      </c>
      <c r="H14" s="215">
        <f t="shared" si="0"/>
        <v>0.27540887629757616</v>
      </c>
      <c r="I14" s="215">
        <f t="shared" si="9"/>
        <v>0.72459112370242384</v>
      </c>
      <c r="J14" s="111">
        <v>6539.07</v>
      </c>
      <c r="K14" s="216">
        <f t="shared" si="7"/>
        <v>0.95</v>
      </c>
      <c r="L14" s="111">
        <f t="shared" si="8"/>
        <v>1.1499999999999999</v>
      </c>
      <c r="M14" s="111">
        <f t="shared" si="2"/>
        <v>7143.9339749999981</v>
      </c>
      <c r="N14" s="111">
        <f t="shared" si="10"/>
        <v>590895.87975283514</v>
      </c>
      <c r="O14" s="111"/>
      <c r="P14" s="111"/>
      <c r="Q14" s="111"/>
      <c r="R14" s="111"/>
      <c r="S14" s="111"/>
      <c r="T14" s="111"/>
      <c r="U14" s="111"/>
      <c r="V14" s="111"/>
      <c r="W14" s="111"/>
      <c r="X14" s="111">
        <f t="shared" si="4"/>
        <v>590895.87975283514</v>
      </c>
      <c r="Y14" s="219"/>
      <c r="Z14" s="218"/>
      <c r="AB14" s="207"/>
      <c r="AC14" s="207"/>
      <c r="AD14" s="208"/>
      <c r="AE14" s="208"/>
      <c r="AF14" s="208"/>
      <c r="AG14" s="208"/>
      <c r="AH14" s="208"/>
      <c r="AI14" s="115"/>
    </row>
    <row r="15" spans="1:35" s="205" customFormat="1" x14ac:dyDescent="0.25">
      <c r="A15" s="213">
        <v>32</v>
      </c>
      <c r="B15" s="130">
        <v>44.620108080000001</v>
      </c>
      <c r="C15" s="111">
        <v>1</v>
      </c>
      <c r="D15" s="214" t="s">
        <v>13</v>
      </c>
      <c r="E15" s="214" t="s">
        <v>10</v>
      </c>
      <c r="F15" s="128">
        <v>26.202261869999997</v>
      </c>
      <c r="G15" s="128">
        <v>18.41784621</v>
      </c>
      <c r="H15" s="215">
        <f t="shared" si="0"/>
        <v>0.58722990592092705</v>
      </c>
      <c r="I15" s="215">
        <f t="shared" si="9"/>
        <v>0.41277009407907289</v>
      </c>
      <c r="J15" s="111">
        <v>6554.19</v>
      </c>
      <c r="K15" s="216">
        <f t="shared" si="7"/>
        <v>0.95</v>
      </c>
      <c r="L15" s="111">
        <f t="shared" si="8"/>
        <v>1.1499999999999999</v>
      </c>
      <c r="M15" s="111">
        <f t="shared" si="2"/>
        <v>7160.4525749999993</v>
      </c>
      <c r="N15" s="111">
        <f t="shared" si="10"/>
        <v>319500.1677982143</v>
      </c>
      <c r="O15" s="111"/>
      <c r="P15" s="111"/>
      <c r="Q15" s="111"/>
      <c r="R15" s="111"/>
      <c r="S15" s="111"/>
      <c r="T15" s="111"/>
      <c r="U15" s="111"/>
      <c r="V15" s="111"/>
      <c r="W15" s="111"/>
      <c r="X15" s="111">
        <f t="shared" si="4"/>
        <v>319500.1677982143</v>
      </c>
      <c r="Y15" s="219"/>
      <c r="Z15" s="218"/>
      <c r="AB15" s="207"/>
      <c r="AC15" s="207"/>
      <c r="AD15" s="208"/>
      <c r="AE15" s="208"/>
      <c r="AF15" s="208"/>
      <c r="AG15" s="208"/>
      <c r="AH15" s="208"/>
      <c r="AI15" s="115"/>
    </row>
    <row r="16" spans="1:35" s="205" customFormat="1" x14ac:dyDescent="0.25">
      <c r="A16" s="213">
        <v>33</v>
      </c>
      <c r="B16" s="130">
        <v>80.644454789999998</v>
      </c>
      <c r="C16" s="111">
        <v>2</v>
      </c>
      <c r="D16" s="214" t="s">
        <v>10</v>
      </c>
      <c r="E16" s="214" t="s">
        <v>10</v>
      </c>
      <c r="F16" s="128">
        <v>6.4966871500000005</v>
      </c>
      <c r="G16" s="128">
        <v>74.147767639999998</v>
      </c>
      <c r="H16" s="215">
        <f t="shared" si="0"/>
        <v>8.055962641098538E-2</v>
      </c>
      <c r="I16" s="215">
        <f t="shared" si="9"/>
        <v>0.91944037358901465</v>
      </c>
      <c r="J16" s="111">
        <v>9645.4500000000007</v>
      </c>
      <c r="K16" s="216">
        <f t="shared" si="7"/>
        <v>0.95</v>
      </c>
      <c r="L16" s="111">
        <f t="shared" si="8"/>
        <v>1.1499999999999999</v>
      </c>
      <c r="M16" s="111">
        <f t="shared" si="2"/>
        <v>10537.654124999999</v>
      </c>
      <c r="N16" s="111">
        <f t="shared" si="10"/>
        <v>849803.37167621939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>
        <f t="shared" si="4"/>
        <v>849803.37167621939</v>
      </c>
      <c r="Y16" s="219" t="s">
        <v>32</v>
      </c>
      <c r="Z16" s="218"/>
      <c r="AB16" s="207"/>
      <c r="AC16" s="207"/>
      <c r="AD16" s="208"/>
      <c r="AE16" s="208"/>
      <c r="AF16" s="208"/>
      <c r="AG16" s="208"/>
      <c r="AH16" s="208"/>
      <c r="AI16" s="115"/>
    </row>
    <row r="17" spans="1:35" s="207" customFormat="1" x14ac:dyDescent="0.25">
      <c r="A17" s="213">
        <v>34</v>
      </c>
      <c r="B17" s="130">
        <v>1369.7731192799999</v>
      </c>
      <c r="C17" s="111">
        <v>2</v>
      </c>
      <c r="D17" s="214" t="s">
        <v>13</v>
      </c>
      <c r="E17" s="214" t="s">
        <v>10</v>
      </c>
      <c r="F17" s="128">
        <v>1222.9324531299999</v>
      </c>
      <c r="G17" s="128">
        <v>146.84066615</v>
      </c>
      <c r="H17" s="215">
        <f t="shared" si="0"/>
        <v>0.89279927888555399</v>
      </c>
      <c r="I17" s="215">
        <f t="shared" si="9"/>
        <v>0.10720072111444597</v>
      </c>
      <c r="J17" s="111">
        <v>8101.33</v>
      </c>
      <c r="K17" s="216">
        <f t="shared" si="7"/>
        <v>0.95</v>
      </c>
      <c r="L17" s="111">
        <f t="shared" si="8"/>
        <v>1.1499999999999999</v>
      </c>
      <c r="M17" s="111">
        <f t="shared" si="2"/>
        <v>8850.7030249999989</v>
      </c>
      <c r="N17" s="111">
        <f t="shared" si="10"/>
        <v>12123455.090375179</v>
      </c>
      <c r="O17" s="111"/>
      <c r="P17" s="111"/>
      <c r="Q17" s="111"/>
      <c r="R17" s="111"/>
      <c r="S17" s="111"/>
      <c r="T17" s="111"/>
      <c r="U17" s="111"/>
      <c r="V17" s="111"/>
      <c r="W17" s="111"/>
      <c r="X17" s="111">
        <f t="shared" si="4"/>
        <v>12123455.090375179</v>
      </c>
      <c r="Y17" s="219" t="s">
        <v>35</v>
      </c>
      <c r="Z17" s="218"/>
      <c r="AA17" s="205"/>
      <c r="AD17" s="208"/>
      <c r="AE17" s="208"/>
      <c r="AF17" s="208"/>
      <c r="AG17" s="208"/>
      <c r="AH17" s="208"/>
      <c r="AI17" s="115"/>
    </row>
    <row r="18" spans="1:35" s="208" customFormat="1" x14ac:dyDescent="0.25">
      <c r="A18" s="221">
        <v>45</v>
      </c>
      <c r="B18" s="130">
        <v>27.410206849999998</v>
      </c>
      <c r="C18" s="111">
        <v>2</v>
      </c>
      <c r="D18" s="214" t="s">
        <v>13</v>
      </c>
      <c r="E18" s="214" t="s">
        <v>10</v>
      </c>
      <c r="F18" s="128">
        <v>19.740561839999998</v>
      </c>
      <c r="G18" s="128">
        <v>7.66964501</v>
      </c>
      <c r="H18" s="215">
        <f t="shared" si="0"/>
        <v>0.72019018127183521</v>
      </c>
      <c r="I18" s="215">
        <f>G18/B18</f>
        <v>0.27980981872816479</v>
      </c>
      <c r="J18" s="111">
        <v>16569.009999999998</v>
      </c>
      <c r="K18" s="216">
        <f t="shared" si="7"/>
        <v>0.95</v>
      </c>
      <c r="L18" s="216">
        <f t="shared" ref="L18:L27" si="11">$B$321</f>
        <v>1</v>
      </c>
      <c r="M18" s="111">
        <f t="shared" si="2"/>
        <v>15740.559499999998</v>
      </c>
      <c r="N18" s="111">
        <f>B18*M18</f>
        <v>431451.99182973249</v>
      </c>
      <c r="O18" s="111"/>
      <c r="P18" s="111"/>
      <c r="Q18" s="111"/>
      <c r="R18" s="111"/>
      <c r="S18" s="111"/>
      <c r="T18" s="111"/>
      <c r="U18" s="111"/>
      <c r="V18" s="111"/>
      <c r="W18" s="111"/>
      <c r="X18" s="111">
        <f t="shared" si="4"/>
        <v>431451.99182973249</v>
      </c>
      <c r="Y18" s="219" t="s">
        <v>31</v>
      </c>
      <c r="Z18" s="218"/>
      <c r="AA18" s="205"/>
      <c r="AB18" s="207"/>
      <c r="AC18" s="207"/>
      <c r="AE18" s="222"/>
      <c r="AF18" s="222"/>
      <c r="AI18" s="115"/>
    </row>
    <row r="19" spans="1:35" s="208" customFormat="1" x14ac:dyDescent="0.25">
      <c r="A19" s="221">
        <v>46</v>
      </c>
      <c r="B19" s="130">
        <v>29.865446039999998</v>
      </c>
      <c r="C19" s="216">
        <v>2</v>
      </c>
      <c r="D19" s="214" t="s">
        <v>13</v>
      </c>
      <c r="E19" s="214" t="s">
        <v>10</v>
      </c>
      <c r="F19" s="128">
        <v>29.865446039999998</v>
      </c>
      <c r="G19" s="128"/>
      <c r="H19" s="215">
        <f t="shared" si="0"/>
        <v>1</v>
      </c>
      <c r="I19" s="215">
        <f>G19/F19</f>
        <v>0</v>
      </c>
      <c r="J19" s="216">
        <v>16562.66</v>
      </c>
      <c r="K19" s="216">
        <f t="shared" si="7"/>
        <v>0.95</v>
      </c>
      <c r="L19" s="216">
        <f t="shared" si="11"/>
        <v>1</v>
      </c>
      <c r="M19" s="216">
        <f t="shared" si="2"/>
        <v>15734.526999999998</v>
      </c>
      <c r="N19" s="216">
        <f>M19*F19</f>
        <v>469918.667083423</v>
      </c>
      <c r="O19" s="216"/>
      <c r="P19" s="216"/>
      <c r="Q19" s="216"/>
      <c r="R19" s="216"/>
      <c r="S19" s="216"/>
      <c r="T19" s="216"/>
      <c r="U19" s="216"/>
      <c r="V19" s="220"/>
      <c r="W19" s="220"/>
      <c r="X19" s="111">
        <f t="shared" si="4"/>
        <v>469918.667083423</v>
      </c>
      <c r="Y19" s="219" t="s">
        <v>30</v>
      </c>
      <c r="Z19" s="218"/>
      <c r="AA19" s="205"/>
      <c r="AB19" s="207"/>
      <c r="AC19" s="207"/>
      <c r="AE19" s="222"/>
      <c r="AF19" s="222"/>
      <c r="AI19" s="115"/>
    </row>
    <row r="20" spans="1:35" s="208" customFormat="1" x14ac:dyDescent="0.25">
      <c r="A20" s="221">
        <v>47</v>
      </c>
      <c r="B20" s="130">
        <v>153.33062662</v>
      </c>
      <c r="C20" s="111">
        <v>1</v>
      </c>
      <c r="D20" s="214" t="s">
        <v>13</v>
      </c>
      <c r="E20" s="214" t="s">
        <v>10</v>
      </c>
      <c r="F20" s="128">
        <v>20.293230059999996</v>
      </c>
      <c r="G20" s="128">
        <v>133.03739655999999</v>
      </c>
      <c r="H20" s="215">
        <f t="shared" si="0"/>
        <v>0.13234948886169232</v>
      </c>
      <c r="I20" s="215">
        <f>G20/B20</f>
        <v>0.8676505111383076</v>
      </c>
      <c r="J20" s="111">
        <v>8875.93</v>
      </c>
      <c r="K20" s="216">
        <f t="shared" si="7"/>
        <v>0.95</v>
      </c>
      <c r="L20" s="216">
        <f t="shared" si="11"/>
        <v>1</v>
      </c>
      <c r="M20" s="111">
        <f t="shared" si="2"/>
        <v>8432.1334999999999</v>
      </c>
      <c r="N20" s="111">
        <f>B20*M20</f>
        <v>1292904.3132984939</v>
      </c>
      <c r="O20" s="111"/>
      <c r="P20" s="111"/>
      <c r="Q20" s="111"/>
      <c r="R20" s="111"/>
      <c r="S20" s="111"/>
      <c r="T20" s="111"/>
      <c r="U20" s="111"/>
      <c r="V20" s="111"/>
      <c r="W20" s="111"/>
      <c r="X20" s="111">
        <f t="shared" si="4"/>
        <v>1292904.3132984939</v>
      </c>
      <c r="Y20" s="219"/>
      <c r="Z20" s="218"/>
      <c r="AA20" s="205"/>
      <c r="AB20" s="207"/>
      <c r="AC20" s="207"/>
      <c r="AE20" s="222"/>
      <c r="AF20" s="222"/>
      <c r="AI20" s="115"/>
    </row>
    <row r="21" spans="1:35" s="208" customFormat="1" x14ac:dyDescent="0.25">
      <c r="A21" s="221">
        <v>48</v>
      </c>
      <c r="B21" s="130">
        <v>10.84011664</v>
      </c>
      <c r="C21" s="216">
        <v>2</v>
      </c>
      <c r="D21" s="214" t="s">
        <v>13</v>
      </c>
      <c r="E21" s="214" t="s">
        <v>10</v>
      </c>
      <c r="F21" s="128">
        <v>10.84011664</v>
      </c>
      <c r="G21" s="128"/>
      <c r="H21" s="215">
        <f t="shared" si="0"/>
        <v>1</v>
      </c>
      <c r="I21" s="215">
        <f>G21/F21</f>
        <v>0</v>
      </c>
      <c r="J21" s="216">
        <v>15034.13</v>
      </c>
      <c r="K21" s="216">
        <f t="shared" si="7"/>
        <v>0.95</v>
      </c>
      <c r="L21" s="216">
        <f t="shared" si="11"/>
        <v>1</v>
      </c>
      <c r="M21" s="216">
        <f t="shared" si="2"/>
        <v>14282.423499999999</v>
      </c>
      <c r="N21" s="216">
        <f>M21*F21</f>
        <v>154823.13664187703</v>
      </c>
      <c r="O21" s="216"/>
      <c r="P21" s="216"/>
      <c r="Q21" s="216"/>
      <c r="R21" s="216"/>
      <c r="S21" s="216"/>
      <c r="T21" s="216"/>
      <c r="U21" s="216"/>
      <c r="V21" s="220"/>
      <c r="W21" s="220"/>
      <c r="X21" s="111">
        <f t="shared" si="4"/>
        <v>154823.13664187703</v>
      </c>
      <c r="Y21" s="219" t="s">
        <v>13</v>
      </c>
      <c r="Z21" s="218"/>
      <c r="AA21" s="205"/>
      <c r="AB21" s="207"/>
      <c r="AC21" s="207"/>
      <c r="AE21" s="222"/>
      <c r="AF21" s="222"/>
      <c r="AI21" s="115"/>
    </row>
    <row r="22" spans="1:35" s="208" customFormat="1" x14ac:dyDescent="0.25">
      <c r="A22" s="221">
        <v>49</v>
      </c>
      <c r="B22" s="130">
        <v>20.45324184</v>
      </c>
      <c r="C22" s="216">
        <v>2</v>
      </c>
      <c r="D22" s="214" t="s">
        <v>13</v>
      </c>
      <c r="E22" s="214" t="s">
        <v>10</v>
      </c>
      <c r="F22" s="128">
        <v>20.45324184</v>
      </c>
      <c r="G22" s="128"/>
      <c r="H22" s="215">
        <f t="shared" si="0"/>
        <v>1</v>
      </c>
      <c r="I22" s="215">
        <f>G22/F22</f>
        <v>0</v>
      </c>
      <c r="J22" s="216">
        <v>16586.57</v>
      </c>
      <c r="K22" s="216">
        <f t="shared" si="7"/>
        <v>0.95</v>
      </c>
      <c r="L22" s="216">
        <f t="shared" si="11"/>
        <v>1</v>
      </c>
      <c r="M22" s="216">
        <f t="shared" si="2"/>
        <v>15757.241499999998</v>
      </c>
      <c r="N22" s="216">
        <f>M22*F22</f>
        <v>322286.67113078432</v>
      </c>
      <c r="O22" s="216"/>
      <c r="P22" s="216"/>
      <c r="Q22" s="216"/>
      <c r="R22" s="216"/>
      <c r="S22" s="216"/>
      <c r="T22" s="216"/>
      <c r="U22" s="216"/>
      <c r="V22" s="220"/>
      <c r="W22" s="220"/>
      <c r="X22" s="111">
        <f t="shared" si="4"/>
        <v>322286.67113078432</v>
      </c>
      <c r="Y22" s="219" t="s">
        <v>38</v>
      </c>
      <c r="Z22" s="218"/>
      <c r="AA22" s="205"/>
      <c r="AB22" s="207"/>
      <c r="AC22" s="207"/>
      <c r="AE22" s="222"/>
      <c r="AF22" s="222"/>
      <c r="AI22" s="115"/>
    </row>
    <row r="23" spans="1:35" s="208" customFormat="1" x14ac:dyDescent="0.25">
      <c r="A23" s="221">
        <v>50</v>
      </c>
      <c r="B23" s="130">
        <v>41.573141249999999</v>
      </c>
      <c r="C23" s="111">
        <v>1</v>
      </c>
      <c r="D23" s="214" t="s">
        <v>13</v>
      </c>
      <c r="E23" s="214" t="s">
        <v>10</v>
      </c>
      <c r="F23" s="128">
        <v>2.6753900000000002</v>
      </c>
      <c r="G23" s="128">
        <v>27.642813779999997</v>
      </c>
      <c r="H23" s="215">
        <f t="shared" si="0"/>
        <v>6.4353809203676671E-2</v>
      </c>
      <c r="I23" s="215">
        <f t="shared" ref="I23:I31" si="12">G23/B23</f>
        <v>0.66492001683899693</v>
      </c>
      <c r="J23" s="111">
        <v>8963.4</v>
      </c>
      <c r="K23" s="216">
        <f t="shared" si="7"/>
        <v>0.95</v>
      </c>
      <c r="L23" s="216">
        <f t="shared" si="11"/>
        <v>1</v>
      </c>
      <c r="M23" s="111">
        <f t="shared" si="2"/>
        <v>8515.23</v>
      </c>
      <c r="N23" s="111">
        <f t="shared" ref="N23:N31" si="13">B23*M23</f>
        <v>354004.85956623749</v>
      </c>
      <c r="O23" s="111"/>
      <c r="P23" s="111"/>
      <c r="Q23" s="111"/>
      <c r="R23" s="111"/>
      <c r="S23" s="111"/>
      <c r="T23" s="111"/>
      <c r="U23" s="111"/>
      <c r="V23" s="111">
        <v>112549.3747</v>
      </c>
      <c r="W23" s="111">
        <f>VLOOKUP(V23,'Estimativa Valores-Painéis Sol.'!$C$4:$D$24,2,FALSE)</f>
        <v>10200000</v>
      </c>
      <c r="X23" s="111">
        <f t="shared" si="4"/>
        <v>10554004.859566238</v>
      </c>
      <c r="Y23" s="219"/>
      <c r="Z23" s="218"/>
      <c r="AA23" s="205"/>
      <c r="AB23" s="207"/>
      <c r="AC23" s="207"/>
      <c r="AE23" s="222"/>
      <c r="AF23" s="222"/>
      <c r="AI23" s="115"/>
    </row>
    <row r="24" spans="1:35" s="208" customFormat="1" x14ac:dyDescent="0.25">
      <c r="A24" s="221">
        <v>51</v>
      </c>
      <c r="B24" s="130">
        <v>31.415907750000002</v>
      </c>
      <c r="C24" s="111">
        <v>2</v>
      </c>
      <c r="D24" s="214" t="s">
        <v>10</v>
      </c>
      <c r="E24" s="214" t="s">
        <v>10</v>
      </c>
      <c r="F24" s="128">
        <v>13.972914870000002</v>
      </c>
      <c r="G24" s="128">
        <v>17.442992879999998</v>
      </c>
      <c r="H24" s="215">
        <f t="shared" si="0"/>
        <v>0.44477196015448578</v>
      </c>
      <c r="I24" s="215">
        <f t="shared" si="12"/>
        <v>0.55522803984551417</v>
      </c>
      <c r="J24" s="111">
        <v>14994.28</v>
      </c>
      <c r="K24" s="216">
        <f t="shared" si="7"/>
        <v>0.95</v>
      </c>
      <c r="L24" s="216">
        <f t="shared" si="11"/>
        <v>1</v>
      </c>
      <c r="M24" s="111">
        <f t="shared" si="2"/>
        <v>14244.566000000001</v>
      </c>
      <c r="N24" s="111">
        <f t="shared" si="13"/>
        <v>447505.97139478655</v>
      </c>
      <c r="O24" s="111"/>
      <c r="P24" s="111"/>
      <c r="Q24" s="111"/>
      <c r="R24" s="111"/>
      <c r="S24" s="111"/>
      <c r="T24" s="111"/>
      <c r="U24" s="111"/>
      <c r="V24" s="111"/>
      <c r="W24" s="111"/>
      <c r="X24" s="111">
        <f t="shared" si="4"/>
        <v>447505.97139478655</v>
      </c>
      <c r="Y24" s="219" t="s">
        <v>29</v>
      </c>
      <c r="Z24" s="218"/>
      <c r="AA24" s="205"/>
      <c r="AB24" s="207"/>
      <c r="AC24" s="207"/>
      <c r="AE24" s="222"/>
      <c r="AF24" s="222"/>
      <c r="AI24" s="115"/>
    </row>
    <row r="25" spans="1:35" s="208" customFormat="1" x14ac:dyDescent="0.25">
      <c r="A25" s="221">
        <v>52</v>
      </c>
      <c r="B25" s="130">
        <v>10.693703170000001</v>
      </c>
      <c r="C25" s="111">
        <v>2</v>
      </c>
      <c r="D25" s="214" t="s">
        <v>10</v>
      </c>
      <c r="E25" s="214" t="s">
        <v>10</v>
      </c>
      <c r="F25" s="128">
        <v>6.4317115200000003</v>
      </c>
      <c r="G25" s="128">
        <v>4.2619916499999997</v>
      </c>
      <c r="H25" s="215">
        <f t="shared" si="0"/>
        <v>0.60144848026485853</v>
      </c>
      <c r="I25" s="215">
        <f t="shared" si="12"/>
        <v>0.39855151973514141</v>
      </c>
      <c r="J25" s="111">
        <v>18558.54</v>
      </c>
      <c r="K25" s="216">
        <f t="shared" si="7"/>
        <v>0.95</v>
      </c>
      <c r="L25" s="216">
        <f t="shared" si="11"/>
        <v>1</v>
      </c>
      <c r="M25" s="111">
        <f t="shared" si="2"/>
        <v>17630.613000000001</v>
      </c>
      <c r="N25" s="111">
        <f t="shared" si="13"/>
        <v>188536.54212714324</v>
      </c>
      <c r="O25" s="111"/>
      <c r="P25" s="111"/>
      <c r="Q25" s="111"/>
      <c r="R25" s="111"/>
      <c r="S25" s="111"/>
      <c r="T25" s="111"/>
      <c r="U25" s="111"/>
      <c r="V25" s="111">
        <v>25.589400000000001</v>
      </c>
      <c r="W25" s="111">
        <f>VLOOKUP(V25,'Estimativa Valores-Painéis Sol.'!$C$4:$D$24,2,FALSE)</f>
        <v>6600</v>
      </c>
      <c r="X25" s="111">
        <f t="shared" si="4"/>
        <v>195136.54212714324</v>
      </c>
      <c r="Y25" s="219" t="s">
        <v>37</v>
      </c>
      <c r="Z25" s="218"/>
      <c r="AA25" s="205"/>
      <c r="AB25" s="207"/>
      <c r="AC25" s="207"/>
      <c r="AE25" s="222"/>
      <c r="AF25" s="222"/>
      <c r="AI25" s="115"/>
    </row>
    <row r="26" spans="1:35" s="208" customFormat="1" x14ac:dyDescent="0.25">
      <c r="A26" s="221">
        <v>53</v>
      </c>
      <c r="B26" s="130">
        <v>80.856749120000003</v>
      </c>
      <c r="C26" s="111">
        <v>2</v>
      </c>
      <c r="D26" s="214" t="s">
        <v>13</v>
      </c>
      <c r="E26" s="214" t="s">
        <v>10</v>
      </c>
      <c r="F26" s="128">
        <v>71.987820690000007</v>
      </c>
      <c r="G26" s="128">
        <v>8.8689284300000004</v>
      </c>
      <c r="H26" s="215">
        <f t="shared" si="0"/>
        <v>0.89031307186444553</v>
      </c>
      <c r="I26" s="215">
        <f t="shared" si="12"/>
        <v>0.1096869281355545</v>
      </c>
      <c r="J26" s="111">
        <v>16434.13</v>
      </c>
      <c r="K26" s="216">
        <f t="shared" si="7"/>
        <v>0.95</v>
      </c>
      <c r="L26" s="216">
        <f t="shared" si="11"/>
        <v>1</v>
      </c>
      <c r="M26" s="111">
        <f t="shared" si="2"/>
        <v>15612.423500000001</v>
      </c>
      <c r="N26" s="111">
        <f t="shared" si="13"/>
        <v>1262369.8100946925</v>
      </c>
      <c r="O26" s="111"/>
      <c r="P26" s="111"/>
      <c r="Q26" s="111"/>
      <c r="R26" s="111"/>
      <c r="S26" s="111"/>
      <c r="T26" s="111"/>
      <c r="U26" s="111"/>
      <c r="V26" s="111"/>
      <c r="W26" s="111"/>
      <c r="X26" s="111">
        <f t="shared" si="4"/>
        <v>1262369.8100946925</v>
      </c>
      <c r="Y26" s="219" t="s">
        <v>33</v>
      </c>
      <c r="Z26" s="218"/>
      <c r="AA26" s="205"/>
      <c r="AB26" s="207"/>
      <c r="AC26" s="207"/>
      <c r="AE26" s="222"/>
      <c r="AF26" s="222"/>
      <c r="AI26" s="115"/>
    </row>
    <row r="27" spans="1:35" s="208" customFormat="1" x14ac:dyDescent="0.25">
      <c r="A27" s="221">
        <v>54</v>
      </c>
      <c r="B27" s="130">
        <v>80.335977009999993</v>
      </c>
      <c r="C27" s="111">
        <v>1</v>
      </c>
      <c r="D27" s="214" t="s">
        <v>13</v>
      </c>
      <c r="E27" s="214" t="s">
        <v>10</v>
      </c>
      <c r="F27" s="128">
        <v>70.614148919999991</v>
      </c>
      <c r="G27" s="128">
        <v>9.7218280899999989</v>
      </c>
      <c r="H27" s="215">
        <f t="shared" si="0"/>
        <v>0.87898537552123313</v>
      </c>
      <c r="I27" s="215">
        <f t="shared" si="12"/>
        <v>0.12101462447876689</v>
      </c>
      <c r="J27" s="111">
        <v>9779.83</v>
      </c>
      <c r="K27" s="216">
        <f t="shared" si="7"/>
        <v>0.95</v>
      </c>
      <c r="L27" s="216">
        <f t="shared" si="11"/>
        <v>1</v>
      </c>
      <c r="M27" s="111">
        <f t="shared" si="2"/>
        <v>9290.8384999999998</v>
      </c>
      <c r="N27" s="111">
        <f t="shared" si="13"/>
        <v>746388.58813962282</v>
      </c>
      <c r="O27" s="111"/>
      <c r="P27" s="111"/>
      <c r="Q27" s="111"/>
      <c r="R27" s="111"/>
      <c r="S27" s="111"/>
      <c r="T27" s="111"/>
      <c r="U27" s="111"/>
      <c r="V27" s="111"/>
      <c r="W27" s="111"/>
      <c r="X27" s="111">
        <f t="shared" si="4"/>
        <v>746388.58813962282</v>
      </c>
      <c r="Y27" s="219"/>
      <c r="Z27" s="218"/>
      <c r="AA27" s="205"/>
      <c r="AB27" s="207"/>
      <c r="AC27" s="207"/>
      <c r="AE27" s="222"/>
      <c r="AF27" s="222"/>
      <c r="AI27" s="115"/>
    </row>
    <row r="28" spans="1:35" s="208" customFormat="1" x14ac:dyDescent="0.25">
      <c r="A28" s="213">
        <v>55</v>
      </c>
      <c r="B28" s="130">
        <v>72.790069380000006</v>
      </c>
      <c r="C28" s="111">
        <v>1</v>
      </c>
      <c r="D28" s="214" t="s">
        <v>13</v>
      </c>
      <c r="E28" s="214" t="s">
        <v>10</v>
      </c>
      <c r="F28" s="128">
        <v>68.134161860000006</v>
      </c>
      <c r="G28" s="128">
        <v>4.6559075199999995</v>
      </c>
      <c r="H28" s="215">
        <f t="shared" si="0"/>
        <v>0.93603650113734793</v>
      </c>
      <c r="I28" s="215">
        <f t="shared" si="12"/>
        <v>6.3963498862652124E-2</v>
      </c>
      <c r="J28" s="111">
        <v>6893.61</v>
      </c>
      <c r="K28" s="216">
        <f t="shared" si="7"/>
        <v>0.95</v>
      </c>
      <c r="L28" s="111">
        <f>$B$320</f>
        <v>1.1499999999999999</v>
      </c>
      <c r="M28" s="111">
        <f t="shared" si="2"/>
        <v>7531.2689249999985</v>
      </c>
      <c r="N28" s="111">
        <f t="shared" si="13"/>
        <v>548201.58757018798</v>
      </c>
      <c r="O28" s="111"/>
      <c r="P28" s="111"/>
      <c r="Q28" s="111"/>
      <c r="R28" s="111"/>
      <c r="S28" s="111"/>
      <c r="T28" s="111"/>
      <c r="U28" s="111"/>
      <c r="V28" s="111"/>
      <c r="W28" s="111"/>
      <c r="X28" s="111">
        <f t="shared" si="4"/>
        <v>548201.58757018798</v>
      </c>
      <c r="Y28" s="219"/>
      <c r="Z28" s="218"/>
      <c r="AA28" s="205"/>
      <c r="AB28" s="207"/>
      <c r="AC28" s="207"/>
      <c r="AE28" s="222"/>
      <c r="AF28" s="222"/>
      <c r="AI28" s="115"/>
    </row>
    <row r="29" spans="1:35" s="208" customFormat="1" x14ac:dyDescent="0.25">
      <c r="A29" s="213">
        <v>56</v>
      </c>
      <c r="B29" s="130">
        <v>80.064317099999997</v>
      </c>
      <c r="C29" s="111">
        <v>2</v>
      </c>
      <c r="D29" s="214" t="s">
        <v>13</v>
      </c>
      <c r="E29" s="214" t="s">
        <v>10</v>
      </c>
      <c r="F29" s="128">
        <v>48.388840399999999</v>
      </c>
      <c r="G29" s="128">
        <v>31.675476700000001</v>
      </c>
      <c r="H29" s="215">
        <f t="shared" si="0"/>
        <v>0.60437460972236279</v>
      </c>
      <c r="I29" s="215">
        <f t="shared" si="12"/>
        <v>0.39562539027763721</v>
      </c>
      <c r="J29" s="111">
        <v>9645.94</v>
      </c>
      <c r="K29" s="216">
        <f t="shared" si="7"/>
        <v>0.95</v>
      </c>
      <c r="L29" s="111">
        <f>$B$320</f>
        <v>1.1499999999999999</v>
      </c>
      <c r="M29" s="111">
        <f t="shared" si="2"/>
        <v>10538.18945</v>
      </c>
      <c r="N29" s="111">
        <f t="shared" si="13"/>
        <v>843732.94178467453</v>
      </c>
      <c r="O29" s="111"/>
      <c r="P29" s="111"/>
      <c r="Q29" s="111"/>
      <c r="R29" s="111"/>
      <c r="S29" s="111"/>
      <c r="T29" s="111"/>
      <c r="U29" s="111"/>
      <c r="V29" s="111"/>
      <c r="W29" s="111"/>
      <c r="X29" s="111">
        <f t="shared" si="4"/>
        <v>843732.94178467453</v>
      </c>
      <c r="Y29" s="219" t="s">
        <v>39</v>
      </c>
      <c r="Z29" s="218"/>
      <c r="AA29" s="205"/>
      <c r="AB29" s="207"/>
      <c r="AC29" s="207"/>
      <c r="AE29" s="222"/>
      <c r="AF29" s="222"/>
      <c r="AI29" s="115"/>
    </row>
    <row r="30" spans="1:35" s="208" customFormat="1" x14ac:dyDescent="0.25">
      <c r="A30" s="213">
        <v>57</v>
      </c>
      <c r="B30" s="130">
        <v>91.414956579999995</v>
      </c>
      <c r="C30" s="111">
        <v>1</v>
      </c>
      <c r="D30" s="214" t="s">
        <v>13</v>
      </c>
      <c r="E30" s="214" t="s">
        <v>10</v>
      </c>
      <c r="F30" s="128">
        <v>4.1386030800000002</v>
      </c>
      <c r="G30" s="128">
        <v>87.276353499999999</v>
      </c>
      <c r="H30" s="215">
        <f t="shared" si="0"/>
        <v>4.5272712856108871E-2</v>
      </c>
      <c r="I30" s="215">
        <f t="shared" si="12"/>
        <v>0.95472728714389121</v>
      </c>
      <c r="J30" s="111">
        <v>6451.16</v>
      </c>
      <c r="K30" s="216">
        <f t="shared" si="7"/>
        <v>0.95</v>
      </c>
      <c r="L30" s="111">
        <f>$B$320</f>
        <v>1.1499999999999999</v>
      </c>
      <c r="M30" s="111">
        <f t="shared" si="2"/>
        <v>7047.8922999999995</v>
      </c>
      <c r="N30" s="111">
        <f t="shared" si="13"/>
        <v>644282.76858501625</v>
      </c>
      <c r="O30" s="111"/>
      <c r="P30" s="111"/>
      <c r="Q30" s="111"/>
      <c r="R30" s="111"/>
      <c r="S30" s="111"/>
      <c r="T30" s="111"/>
      <c r="U30" s="111"/>
      <c r="V30" s="111"/>
      <c r="W30" s="111"/>
      <c r="X30" s="111">
        <f t="shared" si="4"/>
        <v>644282.76858501625</v>
      </c>
      <c r="Y30" s="219"/>
      <c r="Z30" s="218"/>
      <c r="AA30" s="205"/>
      <c r="AB30" s="207"/>
      <c r="AC30" s="207"/>
      <c r="AE30" s="222"/>
      <c r="AF30" s="222"/>
      <c r="AI30" s="115"/>
    </row>
    <row r="31" spans="1:35" s="208" customFormat="1" x14ac:dyDescent="0.25">
      <c r="A31" s="213">
        <v>58</v>
      </c>
      <c r="B31" s="130">
        <v>331.19827921000001</v>
      </c>
      <c r="C31" s="111">
        <v>2</v>
      </c>
      <c r="D31" s="214" t="s">
        <v>13</v>
      </c>
      <c r="E31" s="214" t="s">
        <v>10</v>
      </c>
      <c r="F31" s="128">
        <v>160.0387054</v>
      </c>
      <c r="G31" s="128">
        <v>171.15957381000001</v>
      </c>
      <c r="H31" s="215">
        <f t="shared" si="0"/>
        <v>0.4832111621525837</v>
      </c>
      <c r="I31" s="215">
        <f t="shared" si="12"/>
        <v>0.51678883784741636</v>
      </c>
      <c r="J31" s="111">
        <v>8238.9</v>
      </c>
      <c r="K31" s="216">
        <f t="shared" si="7"/>
        <v>0.95</v>
      </c>
      <c r="L31" s="111">
        <f>$B$320</f>
        <v>1.1499999999999999</v>
      </c>
      <c r="M31" s="111">
        <f t="shared" si="2"/>
        <v>9000.9982499999987</v>
      </c>
      <c r="N31" s="111">
        <f t="shared" si="13"/>
        <v>2981115.1315722209</v>
      </c>
      <c r="O31" s="111"/>
      <c r="P31" s="111"/>
      <c r="Q31" s="111"/>
      <c r="R31" s="111"/>
      <c r="S31" s="111"/>
      <c r="T31" s="111"/>
      <c r="U31" s="111"/>
      <c r="V31" s="111"/>
      <c r="W31" s="111"/>
      <c r="X31" s="111">
        <f t="shared" si="4"/>
        <v>2981115.1315722209</v>
      </c>
      <c r="Y31" s="219" t="s">
        <v>34</v>
      </c>
      <c r="Z31" s="218"/>
      <c r="AA31" s="205"/>
      <c r="AB31" s="207"/>
      <c r="AC31" s="207"/>
      <c r="AE31" s="222"/>
      <c r="AF31" s="222"/>
      <c r="AI31" s="115"/>
    </row>
    <row r="32" spans="1:35" s="205" customFormat="1" x14ac:dyDescent="0.25">
      <c r="A32" s="221">
        <v>81</v>
      </c>
      <c r="B32" s="130">
        <v>25.169105399999999</v>
      </c>
      <c r="C32" s="216">
        <v>2</v>
      </c>
      <c r="D32" s="214" t="s">
        <v>13</v>
      </c>
      <c r="E32" s="214" t="s">
        <v>10</v>
      </c>
      <c r="F32" s="128">
        <v>18.593632420000002</v>
      </c>
      <c r="G32" s="128">
        <v>3.9698468299999998</v>
      </c>
      <c r="H32" s="215">
        <f t="shared" ref="H32:H60" si="14">F32/B32</f>
        <v>0.73874824410723805</v>
      </c>
      <c r="I32" s="215">
        <f>G32/B32</f>
        <v>0.15772697387965168</v>
      </c>
      <c r="J32" s="111">
        <v>16574.599999999999</v>
      </c>
      <c r="K32" s="216">
        <f t="shared" si="7"/>
        <v>0.95</v>
      </c>
      <c r="L32" s="216">
        <f t="shared" ref="L32:L40" si="15">$B$321</f>
        <v>1</v>
      </c>
      <c r="M32" s="111">
        <f t="shared" ref="M32:M60" si="16">J32*K32*L32</f>
        <v>15745.869999999997</v>
      </c>
      <c r="N32" s="216">
        <f>M32*B32</f>
        <v>396309.46164469793</v>
      </c>
      <c r="O32" s="216"/>
      <c r="P32" s="216"/>
      <c r="Q32" s="111">
        <v>2.60562615</v>
      </c>
      <c r="R32" s="111">
        <f>'Cálculo Depre.-Sist. Irrig.'!$P$3*Q32</f>
        <v>20063.321355</v>
      </c>
      <c r="S32" s="214" t="s">
        <v>16</v>
      </c>
      <c r="T32" s="111">
        <f>Q32</f>
        <v>2.60562615</v>
      </c>
      <c r="U32" s="111">
        <f>'Cálculo Valor Avaliação-Cultura'!$B$79*T32</f>
        <v>37504.715589097192</v>
      </c>
      <c r="V32" s="220"/>
      <c r="W32" s="220"/>
      <c r="X32" s="111">
        <f t="shared" ref="X32:X60" si="17">N32+P32+R32+U32+W32</f>
        <v>453877.49858879513</v>
      </c>
      <c r="Y32" s="219" t="s">
        <v>34</v>
      </c>
      <c r="Z32" s="218"/>
      <c r="AB32" s="207"/>
      <c r="AC32" s="207"/>
      <c r="AD32" s="208"/>
      <c r="AE32" s="208"/>
      <c r="AF32" s="208"/>
      <c r="AG32" s="208"/>
      <c r="AH32" s="208"/>
      <c r="AI32" s="115"/>
    </row>
    <row r="33" spans="1:35" s="205" customFormat="1" x14ac:dyDescent="0.25">
      <c r="A33" s="221">
        <v>82</v>
      </c>
      <c r="B33" s="130">
        <v>85.282297809999989</v>
      </c>
      <c r="C33" s="216">
        <v>2</v>
      </c>
      <c r="D33" s="214" t="s">
        <v>13</v>
      </c>
      <c r="E33" s="214" t="s">
        <v>10</v>
      </c>
      <c r="F33" s="128">
        <v>85.282297809999989</v>
      </c>
      <c r="G33" s="128"/>
      <c r="H33" s="215">
        <f t="shared" si="14"/>
        <v>1</v>
      </c>
      <c r="I33" s="215">
        <f>G33/F33</f>
        <v>0</v>
      </c>
      <c r="J33" s="216">
        <v>14890.35</v>
      </c>
      <c r="K33" s="216">
        <f t="shared" si="7"/>
        <v>0.95</v>
      </c>
      <c r="L33" s="216">
        <f t="shared" si="15"/>
        <v>1</v>
      </c>
      <c r="M33" s="216">
        <f t="shared" si="16"/>
        <v>14145.8325</v>
      </c>
      <c r="N33" s="216">
        <f>M33*F33</f>
        <v>1206389.1000353766</v>
      </c>
      <c r="O33" s="216"/>
      <c r="P33" s="216"/>
      <c r="Q33" s="216"/>
      <c r="R33" s="216"/>
      <c r="S33" s="216"/>
      <c r="T33" s="216"/>
      <c r="U33" s="216"/>
      <c r="V33" s="220"/>
      <c r="W33" s="220"/>
      <c r="X33" s="111">
        <f t="shared" si="17"/>
        <v>1206389.1000353766</v>
      </c>
      <c r="Y33" s="219" t="s">
        <v>13</v>
      </c>
      <c r="Z33" s="218"/>
      <c r="AB33" s="207"/>
      <c r="AC33" s="207"/>
      <c r="AD33" s="208"/>
      <c r="AE33" s="208"/>
      <c r="AF33" s="208"/>
      <c r="AG33" s="208"/>
      <c r="AH33" s="208"/>
      <c r="AI33" s="115"/>
    </row>
    <row r="34" spans="1:35" s="205" customFormat="1" x14ac:dyDescent="0.25">
      <c r="A34" s="221">
        <v>83</v>
      </c>
      <c r="B34" s="130">
        <v>152.22302418999999</v>
      </c>
      <c r="C34" s="111">
        <v>1</v>
      </c>
      <c r="D34" s="214" t="s">
        <v>13</v>
      </c>
      <c r="E34" s="214" t="s">
        <v>10</v>
      </c>
      <c r="F34" s="128">
        <v>121.15451641999999</v>
      </c>
      <c r="G34" s="128">
        <v>31.068507770000004</v>
      </c>
      <c r="H34" s="215">
        <f t="shared" si="14"/>
        <v>0.79590138919312714</v>
      </c>
      <c r="I34" s="215">
        <f>G34/B34</f>
        <v>0.20409861080687289</v>
      </c>
      <c r="J34" s="111">
        <v>9716.57</v>
      </c>
      <c r="K34" s="216">
        <f t="shared" si="7"/>
        <v>0.95</v>
      </c>
      <c r="L34" s="216">
        <f t="shared" si="15"/>
        <v>1</v>
      </c>
      <c r="M34" s="111">
        <f t="shared" si="16"/>
        <v>9230.7415000000001</v>
      </c>
      <c r="N34" s="111">
        <f>B34*M34</f>
        <v>1405131.3866461369</v>
      </c>
      <c r="O34" s="111"/>
      <c r="P34" s="111"/>
      <c r="Q34" s="111"/>
      <c r="R34" s="111"/>
      <c r="S34" s="111"/>
      <c r="T34" s="111"/>
      <c r="U34" s="111"/>
      <c r="V34" s="111"/>
      <c r="W34" s="111"/>
      <c r="X34" s="111">
        <f t="shared" si="17"/>
        <v>1405131.3866461369</v>
      </c>
      <c r="Y34" s="219"/>
      <c r="Z34" s="218"/>
      <c r="AB34" s="207"/>
      <c r="AC34" s="207"/>
      <c r="AD34" s="208"/>
      <c r="AE34" s="208"/>
      <c r="AF34" s="208"/>
      <c r="AG34" s="208"/>
      <c r="AH34" s="208"/>
      <c r="AI34" s="115"/>
    </row>
    <row r="35" spans="1:35" s="205" customFormat="1" x14ac:dyDescent="0.25">
      <c r="A35" s="221">
        <v>84</v>
      </c>
      <c r="B35" s="130">
        <v>31.113299910000002</v>
      </c>
      <c r="C35" s="216">
        <v>2</v>
      </c>
      <c r="D35" s="214" t="s">
        <v>13</v>
      </c>
      <c r="E35" s="214" t="s">
        <v>10</v>
      </c>
      <c r="F35" s="128">
        <v>31.113299910000002</v>
      </c>
      <c r="G35" s="128"/>
      <c r="H35" s="215">
        <f t="shared" si="14"/>
        <v>1</v>
      </c>
      <c r="I35" s="215">
        <f>G35/F35</f>
        <v>0</v>
      </c>
      <c r="J35" s="216">
        <v>14994.86</v>
      </c>
      <c r="K35" s="216">
        <f t="shared" si="7"/>
        <v>0.95</v>
      </c>
      <c r="L35" s="216">
        <f t="shared" si="15"/>
        <v>1</v>
      </c>
      <c r="M35" s="216">
        <f t="shared" si="16"/>
        <v>14245.117</v>
      </c>
      <c r="N35" s="216">
        <f>M35*F35</f>
        <v>443212.59747403953</v>
      </c>
      <c r="O35" s="216"/>
      <c r="P35" s="216"/>
      <c r="Q35" s="216"/>
      <c r="R35" s="216"/>
      <c r="S35" s="216"/>
      <c r="T35" s="216"/>
      <c r="U35" s="216"/>
      <c r="V35" s="220"/>
      <c r="W35" s="220"/>
      <c r="X35" s="111">
        <f t="shared" si="17"/>
        <v>443212.59747403953</v>
      </c>
      <c r="Y35" s="219" t="s">
        <v>13</v>
      </c>
      <c r="Z35" s="218"/>
      <c r="AB35" s="207"/>
      <c r="AC35" s="207"/>
      <c r="AD35" s="208"/>
      <c r="AE35" s="208"/>
      <c r="AF35" s="208"/>
      <c r="AG35" s="208"/>
      <c r="AH35" s="208"/>
      <c r="AI35" s="115"/>
    </row>
    <row r="36" spans="1:35" s="205" customFormat="1" x14ac:dyDescent="0.25">
      <c r="A36" s="221">
        <v>85</v>
      </c>
      <c r="B36" s="130">
        <v>87.209039160000003</v>
      </c>
      <c r="C36" s="111">
        <v>2</v>
      </c>
      <c r="D36" s="214" t="s">
        <v>10</v>
      </c>
      <c r="E36" s="214" t="s">
        <v>10</v>
      </c>
      <c r="F36" s="128">
        <v>20.824199249999992</v>
      </c>
      <c r="G36" s="128">
        <v>66.384839910000011</v>
      </c>
      <c r="H36" s="215">
        <f t="shared" si="14"/>
        <v>0.23878487196487067</v>
      </c>
      <c r="I36" s="215">
        <f>G36/B36</f>
        <v>0.76121512803512936</v>
      </c>
      <c r="J36" s="111">
        <v>14886.69</v>
      </c>
      <c r="K36" s="216">
        <f t="shared" si="7"/>
        <v>0.95</v>
      </c>
      <c r="L36" s="216">
        <f t="shared" si="15"/>
        <v>1</v>
      </c>
      <c r="M36" s="111">
        <f t="shared" si="16"/>
        <v>14142.3555</v>
      </c>
      <c r="N36" s="111">
        <f>B36*M36</f>
        <v>1233341.2346141413</v>
      </c>
      <c r="O36" s="111"/>
      <c r="P36" s="111"/>
      <c r="Q36" s="111"/>
      <c r="R36" s="111"/>
      <c r="S36" s="111"/>
      <c r="T36" s="111"/>
      <c r="U36" s="111"/>
      <c r="V36" s="111"/>
      <c r="W36" s="111"/>
      <c r="X36" s="111">
        <f t="shared" si="17"/>
        <v>1233341.2346141413</v>
      </c>
      <c r="Y36" s="219" t="s">
        <v>43</v>
      </c>
      <c r="Z36" s="218"/>
      <c r="AB36" s="207"/>
      <c r="AC36" s="207"/>
      <c r="AD36" s="208"/>
      <c r="AE36" s="208"/>
      <c r="AF36" s="208"/>
      <c r="AG36" s="208"/>
      <c r="AH36" s="208"/>
      <c r="AI36" s="115"/>
    </row>
    <row r="37" spans="1:35" s="205" customFormat="1" x14ac:dyDescent="0.25">
      <c r="A37" s="221">
        <v>86</v>
      </c>
      <c r="B37" s="130">
        <v>90.685412720000002</v>
      </c>
      <c r="C37" s="111">
        <v>2</v>
      </c>
      <c r="D37" s="214" t="s">
        <v>10</v>
      </c>
      <c r="E37" s="214" t="s">
        <v>10</v>
      </c>
      <c r="F37" s="128">
        <v>64.247784319999994</v>
      </c>
      <c r="G37" s="128">
        <v>26.437628399999998</v>
      </c>
      <c r="H37" s="215">
        <f t="shared" si="14"/>
        <v>0.70846878668757074</v>
      </c>
      <c r="I37" s="215">
        <f>G37/B37</f>
        <v>0.29153121331242915</v>
      </c>
      <c r="J37" s="111">
        <v>16409.650000000001</v>
      </c>
      <c r="K37" s="216">
        <f t="shared" si="7"/>
        <v>0.95</v>
      </c>
      <c r="L37" s="216">
        <f t="shared" si="15"/>
        <v>1</v>
      </c>
      <c r="M37" s="111">
        <f t="shared" si="16"/>
        <v>15589.167500000001</v>
      </c>
      <c r="N37" s="111">
        <f>B37*M37</f>
        <v>1413710.0886987108</v>
      </c>
      <c r="O37" s="111"/>
      <c r="P37" s="111"/>
      <c r="Q37" s="111"/>
      <c r="R37" s="111"/>
      <c r="S37" s="111"/>
      <c r="T37" s="111"/>
      <c r="U37" s="111"/>
      <c r="V37" s="111"/>
      <c r="W37" s="111"/>
      <c r="X37" s="111">
        <f t="shared" si="17"/>
        <v>1413710.0886987108</v>
      </c>
      <c r="Y37" s="219" t="s">
        <v>29</v>
      </c>
      <c r="Z37" s="218"/>
      <c r="AB37" s="207"/>
      <c r="AC37" s="207"/>
      <c r="AD37" s="208"/>
      <c r="AE37" s="208"/>
      <c r="AF37" s="208"/>
      <c r="AG37" s="208"/>
      <c r="AH37" s="208"/>
      <c r="AI37" s="115"/>
    </row>
    <row r="38" spans="1:35" s="205" customFormat="1" x14ac:dyDescent="0.25">
      <c r="A38" s="221">
        <v>87</v>
      </c>
      <c r="B38" s="130">
        <v>200.28119021000001</v>
      </c>
      <c r="C38" s="111">
        <v>2</v>
      </c>
      <c r="D38" s="214" t="s">
        <v>13</v>
      </c>
      <c r="E38" s="214" t="s">
        <v>10</v>
      </c>
      <c r="F38" s="128">
        <v>166.72913378000001</v>
      </c>
      <c r="G38" s="128">
        <v>33.55205643</v>
      </c>
      <c r="H38" s="215">
        <f t="shared" si="14"/>
        <v>0.83247524944893825</v>
      </c>
      <c r="I38" s="215">
        <f>G38/B38</f>
        <v>0.16752475055106175</v>
      </c>
      <c r="J38" s="111">
        <v>16140.87</v>
      </c>
      <c r="K38" s="216">
        <f t="shared" si="7"/>
        <v>0.95</v>
      </c>
      <c r="L38" s="216">
        <f t="shared" si="15"/>
        <v>1</v>
      </c>
      <c r="M38" s="111">
        <f t="shared" si="16"/>
        <v>15333.826499999999</v>
      </c>
      <c r="N38" s="111">
        <f>B38*M38</f>
        <v>3071077.0218936387</v>
      </c>
      <c r="O38" s="111"/>
      <c r="P38" s="111"/>
      <c r="Q38" s="111"/>
      <c r="R38" s="111"/>
      <c r="S38" s="111"/>
      <c r="T38" s="111"/>
      <c r="U38" s="111"/>
      <c r="V38" s="111"/>
      <c r="W38" s="111"/>
      <c r="X38" s="111">
        <f t="shared" si="17"/>
        <v>3071077.0218936387</v>
      </c>
      <c r="Y38" s="219" t="s">
        <v>34</v>
      </c>
      <c r="Z38" s="218"/>
      <c r="AB38" s="207"/>
      <c r="AC38" s="207"/>
      <c r="AD38" s="208"/>
      <c r="AE38" s="208"/>
      <c r="AF38" s="208"/>
      <c r="AG38" s="208"/>
      <c r="AH38" s="208"/>
      <c r="AI38" s="115"/>
    </row>
    <row r="39" spans="1:35" s="205" customFormat="1" x14ac:dyDescent="0.25">
      <c r="A39" s="221">
        <v>88</v>
      </c>
      <c r="B39" s="130">
        <v>120.59786499999998</v>
      </c>
      <c r="C39" s="216">
        <v>2</v>
      </c>
      <c r="D39" s="214" t="s">
        <v>13</v>
      </c>
      <c r="E39" s="214" t="s">
        <v>10</v>
      </c>
      <c r="F39" s="128">
        <v>120.59786499999998</v>
      </c>
      <c r="G39" s="128"/>
      <c r="H39" s="215">
        <f t="shared" si="14"/>
        <v>1</v>
      </c>
      <c r="I39" s="215">
        <f>G39/F39</f>
        <v>0</v>
      </c>
      <c r="J39" s="216">
        <v>16335.44</v>
      </c>
      <c r="K39" s="216">
        <f t="shared" si="7"/>
        <v>0.95</v>
      </c>
      <c r="L39" s="216">
        <f t="shared" si="15"/>
        <v>1</v>
      </c>
      <c r="M39" s="216">
        <f t="shared" si="16"/>
        <v>15518.668</v>
      </c>
      <c r="N39" s="216">
        <f>M39*F39</f>
        <v>1871518.2284438198</v>
      </c>
      <c r="O39" s="216"/>
      <c r="P39" s="216"/>
      <c r="Q39" s="216"/>
      <c r="R39" s="216"/>
      <c r="S39" s="216"/>
      <c r="T39" s="216"/>
      <c r="U39" s="216"/>
      <c r="V39" s="220"/>
      <c r="W39" s="220"/>
      <c r="X39" s="111">
        <f t="shared" si="17"/>
        <v>1871518.2284438198</v>
      </c>
      <c r="Y39" s="219" t="s">
        <v>44</v>
      </c>
      <c r="Z39" s="218"/>
      <c r="AB39" s="207"/>
      <c r="AC39" s="207"/>
      <c r="AD39" s="208"/>
      <c r="AE39" s="208"/>
      <c r="AF39" s="208"/>
      <c r="AG39" s="208"/>
      <c r="AH39" s="208"/>
      <c r="AI39" s="115"/>
    </row>
    <row r="40" spans="1:35" s="205" customFormat="1" x14ac:dyDescent="0.25">
      <c r="A40" s="221">
        <v>89</v>
      </c>
      <c r="B40" s="130">
        <v>119.61510068000001</v>
      </c>
      <c r="C40" s="111">
        <v>2</v>
      </c>
      <c r="D40" s="214" t="s">
        <v>13</v>
      </c>
      <c r="E40" s="214" t="s">
        <v>10</v>
      </c>
      <c r="F40" s="128">
        <v>19.615774160000008</v>
      </c>
      <c r="G40" s="128">
        <v>99.999326519999997</v>
      </c>
      <c r="H40" s="215">
        <f t="shared" si="14"/>
        <v>0.16399078417763538</v>
      </c>
      <c r="I40" s="215">
        <f>G40/B40</f>
        <v>0.83600921582236454</v>
      </c>
      <c r="J40" s="111">
        <v>14824.45</v>
      </c>
      <c r="K40" s="216">
        <f t="shared" si="7"/>
        <v>0.95</v>
      </c>
      <c r="L40" s="216">
        <f t="shared" si="15"/>
        <v>1</v>
      </c>
      <c r="M40" s="111">
        <f t="shared" si="16"/>
        <v>14083.227500000001</v>
      </c>
      <c r="N40" s="111">
        <f>B40*M40</f>
        <v>1684566.675311845</v>
      </c>
      <c r="O40" s="111"/>
      <c r="P40" s="111"/>
      <c r="Q40" s="111"/>
      <c r="R40" s="111"/>
      <c r="S40" s="111"/>
      <c r="T40" s="111"/>
      <c r="U40" s="111"/>
      <c r="V40" s="111"/>
      <c r="W40" s="111"/>
      <c r="X40" s="111">
        <f t="shared" si="17"/>
        <v>1684566.675311845</v>
      </c>
      <c r="Y40" s="219" t="s">
        <v>34</v>
      </c>
      <c r="Z40" s="218"/>
      <c r="AB40" s="207"/>
      <c r="AC40" s="207"/>
      <c r="AD40" s="208"/>
      <c r="AE40" s="208"/>
      <c r="AF40" s="208"/>
      <c r="AG40" s="208"/>
      <c r="AH40" s="208"/>
      <c r="AI40" s="115"/>
    </row>
    <row r="41" spans="1:35" s="205" customFormat="1" x14ac:dyDescent="0.25">
      <c r="A41" s="213">
        <v>90</v>
      </c>
      <c r="B41" s="130">
        <v>161.8665264</v>
      </c>
      <c r="C41" s="216">
        <v>0.3</v>
      </c>
      <c r="D41" s="214" t="s">
        <v>13</v>
      </c>
      <c r="E41" s="214" t="s">
        <v>10</v>
      </c>
      <c r="F41" s="128"/>
      <c r="G41" s="128">
        <v>161.8665264</v>
      </c>
      <c r="H41" s="215">
        <f t="shared" si="14"/>
        <v>0</v>
      </c>
      <c r="I41" s="215">
        <f>G41/B41</f>
        <v>1</v>
      </c>
      <c r="J41" s="216">
        <v>4314.71</v>
      </c>
      <c r="K41" s="216">
        <f>$B$319</f>
        <v>0.9</v>
      </c>
      <c r="L41" s="111">
        <f>$B$320</f>
        <v>1.1499999999999999</v>
      </c>
      <c r="M41" s="216">
        <f t="shared" si="16"/>
        <v>4465.7248499999996</v>
      </c>
      <c r="N41" s="216">
        <f>M41*B41</f>
        <v>722851.369327661</v>
      </c>
      <c r="O41" s="216"/>
      <c r="P41" s="216"/>
      <c r="Q41" s="216"/>
      <c r="R41" s="216"/>
      <c r="S41" s="216"/>
      <c r="T41" s="216"/>
      <c r="U41" s="216"/>
      <c r="V41" s="216"/>
      <c r="W41" s="216"/>
      <c r="X41" s="111">
        <f t="shared" si="17"/>
        <v>722851.369327661</v>
      </c>
      <c r="Y41" s="214" t="s">
        <v>13</v>
      </c>
      <c r="Z41" s="218"/>
      <c r="AB41" s="207"/>
      <c r="AC41" s="207"/>
      <c r="AD41" s="208"/>
      <c r="AE41" s="208"/>
      <c r="AF41" s="208"/>
      <c r="AG41" s="208"/>
      <c r="AH41" s="208"/>
      <c r="AI41" s="115"/>
    </row>
    <row r="42" spans="1:35" s="205" customFormat="1" x14ac:dyDescent="0.25">
      <c r="A42" s="221">
        <v>98</v>
      </c>
      <c r="B42" s="130">
        <v>27.705579879999998</v>
      </c>
      <c r="C42" s="111">
        <v>2</v>
      </c>
      <c r="D42" s="214" t="s">
        <v>13</v>
      </c>
      <c r="E42" s="214" t="s">
        <v>10</v>
      </c>
      <c r="F42" s="128">
        <v>18.691002189999999</v>
      </c>
      <c r="G42" s="128">
        <v>9.0145776899999994</v>
      </c>
      <c r="H42" s="215">
        <f t="shared" si="14"/>
        <v>0.67462952484501471</v>
      </c>
      <c r="I42" s="215">
        <f t="shared" ref="I42:I45" si="18">G42/B42</f>
        <v>0.32537047515498529</v>
      </c>
      <c r="J42" s="111">
        <v>16568.25</v>
      </c>
      <c r="K42" s="216">
        <f t="shared" ref="K42:K47" si="19">$B$318</f>
        <v>0.95</v>
      </c>
      <c r="L42" s="216">
        <f t="shared" ref="L42:L48" si="20">$B$321</f>
        <v>1</v>
      </c>
      <c r="M42" s="111">
        <f t="shared" si="16"/>
        <v>15739.8375</v>
      </c>
      <c r="N42" s="111">
        <f>B42*M42</f>
        <v>436081.32515446946</v>
      </c>
      <c r="O42" s="111"/>
      <c r="P42" s="111"/>
      <c r="Q42" s="111"/>
      <c r="R42" s="111"/>
      <c r="S42" s="111"/>
      <c r="T42" s="111"/>
      <c r="U42" s="111"/>
      <c r="V42" s="111"/>
      <c r="W42" s="111"/>
      <c r="X42" s="111">
        <f t="shared" si="17"/>
        <v>436081.32515446946</v>
      </c>
      <c r="Y42" s="219" t="s">
        <v>31</v>
      </c>
      <c r="Z42" s="218"/>
      <c r="AB42" s="207"/>
      <c r="AC42" s="207"/>
      <c r="AD42" s="208"/>
      <c r="AE42" s="208"/>
      <c r="AF42" s="208"/>
      <c r="AG42" s="208"/>
      <c r="AH42" s="208"/>
      <c r="AI42" s="115"/>
    </row>
    <row r="43" spans="1:35" s="205" customFormat="1" x14ac:dyDescent="0.25">
      <c r="A43" s="221">
        <v>99</v>
      </c>
      <c r="B43" s="130">
        <v>29.488914350000002</v>
      </c>
      <c r="C43" s="111">
        <v>2</v>
      </c>
      <c r="D43" s="214" t="s">
        <v>13</v>
      </c>
      <c r="E43" s="214" t="s">
        <v>10</v>
      </c>
      <c r="F43" s="128">
        <v>21.692619520000001</v>
      </c>
      <c r="G43" s="128">
        <v>7.7962948300000008</v>
      </c>
      <c r="H43" s="215">
        <f t="shared" si="14"/>
        <v>0.73561946915146437</v>
      </c>
      <c r="I43" s="215">
        <f t="shared" si="18"/>
        <v>0.26438053084853563</v>
      </c>
      <c r="J43" s="111">
        <v>16563.669999999998</v>
      </c>
      <c r="K43" s="216">
        <f t="shared" si="19"/>
        <v>0.95</v>
      </c>
      <c r="L43" s="216">
        <f t="shared" si="20"/>
        <v>1</v>
      </c>
      <c r="M43" s="111">
        <f t="shared" si="16"/>
        <v>15735.486499999997</v>
      </c>
      <c r="N43" s="111">
        <f>B43*M43</f>
        <v>464022.41365408123</v>
      </c>
      <c r="O43" s="111"/>
      <c r="P43" s="111"/>
      <c r="Q43" s="111"/>
      <c r="R43" s="111"/>
      <c r="S43" s="111"/>
      <c r="T43" s="111"/>
      <c r="U43" s="111"/>
      <c r="V43" s="111"/>
      <c r="W43" s="111"/>
      <c r="X43" s="111">
        <f t="shared" si="17"/>
        <v>464022.41365408123</v>
      </c>
      <c r="Y43" s="219" t="s">
        <v>44</v>
      </c>
      <c r="Z43" s="218"/>
      <c r="AB43" s="207"/>
      <c r="AC43" s="207"/>
      <c r="AD43" s="208"/>
      <c r="AE43" s="208"/>
      <c r="AF43" s="208"/>
      <c r="AG43" s="208"/>
      <c r="AH43" s="208"/>
      <c r="AI43" s="115"/>
    </row>
    <row r="44" spans="1:35" s="205" customFormat="1" x14ac:dyDescent="0.25">
      <c r="A44" s="221">
        <v>100</v>
      </c>
      <c r="B44" s="130">
        <v>14.790567709999999</v>
      </c>
      <c r="C44" s="216">
        <v>2</v>
      </c>
      <c r="D44" s="214" t="s">
        <v>13</v>
      </c>
      <c r="E44" s="214" t="s">
        <v>10</v>
      </c>
      <c r="F44" s="128">
        <v>6.7123877099999998</v>
      </c>
      <c r="G44" s="128"/>
      <c r="H44" s="215">
        <f t="shared" si="14"/>
        <v>0.45382894298652987</v>
      </c>
      <c r="I44" s="215">
        <f t="shared" si="18"/>
        <v>0</v>
      </c>
      <c r="J44" s="111">
        <v>15026.39</v>
      </c>
      <c r="K44" s="216">
        <f t="shared" si="19"/>
        <v>0.95</v>
      </c>
      <c r="L44" s="216">
        <f t="shared" si="20"/>
        <v>1</v>
      </c>
      <c r="M44" s="111">
        <f t="shared" si="16"/>
        <v>14275.070499999998</v>
      </c>
      <c r="N44" s="216">
        <f>M44*B44</f>
        <v>211136.39679527353</v>
      </c>
      <c r="O44" s="216"/>
      <c r="P44" s="216"/>
      <c r="Q44" s="111">
        <v>8.0781799999999997</v>
      </c>
      <c r="R44" s="111">
        <f>'Cálculo Depre.-Sist. Irrig.'!$P$3*Q44</f>
        <v>62201.985999999997</v>
      </c>
      <c r="S44" s="214" t="s">
        <v>16</v>
      </c>
      <c r="T44" s="111">
        <f>Q44</f>
        <v>8.0781799999999997</v>
      </c>
      <c r="U44" s="111">
        <f>'Cálculo Valor Avaliação-Cultura'!$B$79*T44</f>
        <v>116275.25436737467</v>
      </c>
      <c r="V44" s="220"/>
      <c r="W44" s="220"/>
      <c r="X44" s="111">
        <f t="shared" si="17"/>
        <v>389613.63716264814</v>
      </c>
      <c r="Y44" s="219" t="s">
        <v>45</v>
      </c>
      <c r="Z44" s="218"/>
      <c r="AB44" s="207"/>
      <c r="AC44" s="207"/>
      <c r="AD44" s="208"/>
      <c r="AE44" s="208"/>
      <c r="AF44" s="208"/>
      <c r="AG44" s="208"/>
      <c r="AH44" s="208"/>
      <c r="AI44" s="115"/>
    </row>
    <row r="45" spans="1:35" s="205" customFormat="1" x14ac:dyDescent="0.25">
      <c r="A45" s="221">
        <v>101</v>
      </c>
      <c r="B45" s="130">
        <v>30.498453909999999</v>
      </c>
      <c r="C45" s="111">
        <v>2</v>
      </c>
      <c r="D45" s="214" t="s">
        <v>10</v>
      </c>
      <c r="E45" s="214" t="s">
        <v>10</v>
      </c>
      <c r="F45" s="128">
        <v>10.467775339999999</v>
      </c>
      <c r="G45" s="128">
        <v>20.030678569999999</v>
      </c>
      <c r="H45" s="215">
        <f t="shared" si="14"/>
        <v>0.34322314734019249</v>
      </c>
      <c r="I45" s="215">
        <f t="shared" si="18"/>
        <v>0.65677685265980745</v>
      </c>
      <c r="J45" s="111">
        <v>14996.02</v>
      </c>
      <c r="K45" s="216">
        <f t="shared" si="19"/>
        <v>0.95</v>
      </c>
      <c r="L45" s="216">
        <f t="shared" si="20"/>
        <v>1</v>
      </c>
      <c r="M45" s="111">
        <f t="shared" si="16"/>
        <v>14246.218999999999</v>
      </c>
      <c r="N45" s="111">
        <f>B45*M45</f>
        <v>434487.65356326627</v>
      </c>
      <c r="O45" s="111"/>
      <c r="P45" s="111"/>
      <c r="Q45" s="111"/>
      <c r="R45" s="111"/>
      <c r="S45" s="111"/>
      <c r="T45" s="111"/>
      <c r="U45" s="111"/>
      <c r="V45" s="111"/>
      <c r="W45" s="111"/>
      <c r="X45" s="111">
        <f t="shared" si="17"/>
        <v>434487.65356326627</v>
      </c>
      <c r="Y45" s="219" t="s">
        <v>29</v>
      </c>
      <c r="Z45" s="218"/>
      <c r="AB45" s="207"/>
      <c r="AC45" s="207"/>
      <c r="AD45" s="208"/>
      <c r="AE45" s="208"/>
      <c r="AF45" s="208"/>
      <c r="AG45" s="208"/>
      <c r="AH45" s="208"/>
      <c r="AI45" s="115"/>
    </row>
    <row r="46" spans="1:35" s="205" customFormat="1" x14ac:dyDescent="0.25">
      <c r="A46" s="221">
        <v>102</v>
      </c>
      <c r="B46" s="130">
        <v>121.09812038</v>
      </c>
      <c r="C46" s="216">
        <v>2</v>
      </c>
      <c r="D46" s="214" t="s">
        <v>13</v>
      </c>
      <c r="E46" s="214" t="s">
        <v>10</v>
      </c>
      <c r="F46" s="128">
        <v>121.09812038</v>
      </c>
      <c r="G46" s="128"/>
      <c r="H46" s="215">
        <f t="shared" si="14"/>
        <v>1</v>
      </c>
      <c r="I46" s="215">
        <f>G46/F46</f>
        <v>0</v>
      </c>
      <c r="J46" s="216">
        <v>14821.57</v>
      </c>
      <c r="K46" s="216">
        <f t="shared" si="19"/>
        <v>0.95</v>
      </c>
      <c r="L46" s="216">
        <f t="shared" si="20"/>
        <v>1</v>
      </c>
      <c r="M46" s="216">
        <f t="shared" si="16"/>
        <v>14080.491499999998</v>
      </c>
      <c r="N46" s="216">
        <f>M46*F46</f>
        <v>1705121.0546765665</v>
      </c>
      <c r="O46" s="216"/>
      <c r="P46" s="216"/>
      <c r="Q46" s="216"/>
      <c r="R46" s="216"/>
      <c r="S46" s="216"/>
      <c r="T46" s="216"/>
      <c r="U46" s="216"/>
      <c r="V46" s="220"/>
      <c r="W46" s="220"/>
      <c r="X46" s="111">
        <f t="shared" si="17"/>
        <v>1705121.0546765665</v>
      </c>
      <c r="Y46" s="219" t="s">
        <v>13</v>
      </c>
      <c r="Z46" s="218"/>
      <c r="AB46" s="207"/>
      <c r="AC46" s="207"/>
      <c r="AD46" s="208"/>
      <c r="AE46" s="208"/>
      <c r="AF46" s="208"/>
      <c r="AG46" s="208"/>
      <c r="AH46" s="208"/>
      <c r="AI46" s="115"/>
    </row>
    <row r="47" spans="1:35" s="205" customFormat="1" x14ac:dyDescent="0.25">
      <c r="A47" s="221">
        <v>103</v>
      </c>
      <c r="B47" s="130">
        <v>40.121761169999999</v>
      </c>
      <c r="C47" s="111">
        <v>1</v>
      </c>
      <c r="D47" s="214" t="s">
        <v>13</v>
      </c>
      <c r="E47" s="214" t="s">
        <v>10</v>
      </c>
      <c r="F47" s="128">
        <v>13.463064730000001</v>
      </c>
      <c r="G47" s="128">
        <v>26.65869644</v>
      </c>
      <c r="H47" s="215">
        <f t="shared" si="14"/>
        <v>0.3355551784717431</v>
      </c>
      <c r="I47" s="215">
        <f>G47/B47</f>
        <v>0.66444482152825701</v>
      </c>
      <c r="J47" s="111">
        <v>8964.58</v>
      </c>
      <c r="K47" s="216">
        <f t="shared" si="19"/>
        <v>0.95</v>
      </c>
      <c r="L47" s="216">
        <f t="shared" si="20"/>
        <v>1</v>
      </c>
      <c r="M47" s="111">
        <f t="shared" si="16"/>
        <v>8516.3509999999987</v>
      </c>
      <c r="N47" s="111">
        <f>B47*M47</f>
        <v>341691.00086189061</v>
      </c>
      <c r="O47" s="111"/>
      <c r="P47" s="111"/>
      <c r="Q47" s="111"/>
      <c r="R47" s="111"/>
      <c r="S47" s="111"/>
      <c r="T47" s="111"/>
      <c r="U47" s="111"/>
      <c r="V47" s="111"/>
      <c r="W47" s="111"/>
      <c r="X47" s="111">
        <f t="shared" si="17"/>
        <v>341691.00086189061</v>
      </c>
      <c r="Y47" s="219"/>
      <c r="Z47" s="218"/>
      <c r="AB47" s="207"/>
      <c r="AC47" s="207"/>
      <c r="AD47" s="208"/>
      <c r="AE47" s="208"/>
      <c r="AF47" s="208"/>
      <c r="AG47" s="208"/>
      <c r="AH47" s="208"/>
      <c r="AI47" s="115"/>
    </row>
    <row r="48" spans="1:35" s="205" customFormat="1" x14ac:dyDescent="0.25">
      <c r="A48" s="221">
        <v>104</v>
      </c>
      <c r="B48" s="130">
        <v>38.289849629999999</v>
      </c>
      <c r="C48" s="216">
        <v>0.3</v>
      </c>
      <c r="D48" s="214" t="s">
        <v>13</v>
      </c>
      <c r="E48" s="214" t="s">
        <v>10</v>
      </c>
      <c r="F48" s="128"/>
      <c r="G48" s="128">
        <v>38.289849629999999</v>
      </c>
      <c r="H48" s="215">
        <f t="shared" si="14"/>
        <v>0</v>
      </c>
      <c r="I48" s="215">
        <f>G48/B48</f>
        <v>1</v>
      </c>
      <c r="J48" s="216">
        <v>5491.23</v>
      </c>
      <c r="K48" s="216">
        <f>$B$319</f>
        <v>0.9</v>
      </c>
      <c r="L48" s="216">
        <f t="shared" si="20"/>
        <v>1</v>
      </c>
      <c r="M48" s="216">
        <f t="shared" si="16"/>
        <v>4942.107</v>
      </c>
      <c r="N48" s="216">
        <f>M48*B48</f>
        <v>189232.53388537042</v>
      </c>
      <c r="O48" s="216"/>
      <c r="P48" s="216"/>
      <c r="Q48" s="216"/>
      <c r="R48" s="216"/>
      <c r="S48" s="216"/>
      <c r="T48" s="216"/>
      <c r="U48" s="216"/>
      <c r="V48" s="216"/>
      <c r="W48" s="216"/>
      <c r="X48" s="111">
        <f t="shared" si="17"/>
        <v>189232.53388537042</v>
      </c>
      <c r="Y48" s="214" t="s">
        <v>13</v>
      </c>
      <c r="Z48" s="218"/>
      <c r="AB48" s="207"/>
      <c r="AC48" s="207"/>
      <c r="AD48" s="208"/>
      <c r="AE48" s="208"/>
      <c r="AF48" s="208"/>
      <c r="AG48" s="208"/>
      <c r="AH48" s="208"/>
      <c r="AI48" s="115"/>
    </row>
    <row r="49" spans="1:35" s="205" customFormat="1" x14ac:dyDescent="0.25">
      <c r="A49" s="213">
        <v>105</v>
      </c>
      <c r="B49" s="130">
        <v>40.456105600000001</v>
      </c>
      <c r="C49" s="216">
        <v>0.3</v>
      </c>
      <c r="D49" s="214" t="s">
        <v>13</v>
      </c>
      <c r="E49" s="214" t="s">
        <v>10</v>
      </c>
      <c r="F49" s="128"/>
      <c r="G49" s="128">
        <v>40.456105600000001</v>
      </c>
      <c r="H49" s="215">
        <f t="shared" si="14"/>
        <v>0</v>
      </c>
      <c r="I49" s="215">
        <f>G49/B49</f>
        <v>1</v>
      </c>
      <c r="J49" s="216">
        <v>4339.74</v>
      </c>
      <c r="K49" s="216">
        <f>$B$319</f>
        <v>0.9</v>
      </c>
      <c r="L49" s="111">
        <f>$B$320</f>
        <v>1.1499999999999999</v>
      </c>
      <c r="M49" s="216">
        <f t="shared" si="16"/>
        <v>4491.6309000000001</v>
      </c>
      <c r="N49" s="216">
        <f>M49*B49</f>
        <v>181713.89400662304</v>
      </c>
      <c r="O49" s="216"/>
      <c r="P49" s="216"/>
      <c r="Q49" s="216"/>
      <c r="R49" s="216"/>
      <c r="S49" s="216"/>
      <c r="T49" s="216"/>
      <c r="U49" s="216"/>
      <c r="V49" s="216"/>
      <c r="W49" s="216"/>
      <c r="X49" s="111">
        <f t="shared" si="17"/>
        <v>181713.89400662304</v>
      </c>
      <c r="Y49" s="214" t="s">
        <v>13</v>
      </c>
      <c r="Z49" s="218"/>
      <c r="AB49" s="207"/>
      <c r="AC49" s="207"/>
      <c r="AD49" s="208"/>
      <c r="AE49" s="208"/>
      <c r="AF49" s="208"/>
      <c r="AG49" s="208"/>
      <c r="AH49" s="208"/>
      <c r="AI49" s="115"/>
    </row>
    <row r="50" spans="1:35" s="205" customFormat="1" x14ac:dyDescent="0.25">
      <c r="A50" s="213">
        <v>106</v>
      </c>
      <c r="B50" s="130">
        <v>40.774436810000005</v>
      </c>
      <c r="C50" s="111">
        <v>2</v>
      </c>
      <c r="D50" s="214" t="s">
        <v>13</v>
      </c>
      <c r="E50" s="214" t="s">
        <v>10</v>
      </c>
      <c r="F50" s="128">
        <v>12.37456489</v>
      </c>
      <c r="G50" s="128">
        <v>28.399871920000006</v>
      </c>
      <c r="H50" s="215">
        <f t="shared" si="14"/>
        <v>0.30348830929689546</v>
      </c>
      <c r="I50" s="215">
        <f>G50/B50</f>
        <v>0.69651169070310459</v>
      </c>
      <c r="J50" s="111">
        <v>8403.08</v>
      </c>
      <c r="K50" s="216">
        <f>$B$318</f>
        <v>0.95</v>
      </c>
      <c r="L50" s="111">
        <f>$B$320</f>
        <v>1.1499999999999999</v>
      </c>
      <c r="M50" s="111">
        <f t="shared" si="16"/>
        <v>9180.3648999999987</v>
      </c>
      <c r="N50" s="111">
        <f>B50*M50</f>
        <v>374324.20850779198</v>
      </c>
      <c r="O50" s="111"/>
      <c r="P50" s="111"/>
      <c r="Q50" s="111"/>
      <c r="R50" s="111"/>
      <c r="S50" s="111"/>
      <c r="T50" s="111"/>
      <c r="U50" s="111"/>
      <c r="V50" s="111"/>
      <c r="W50" s="111"/>
      <c r="X50" s="111">
        <f t="shared" si="17"/>
        <v>374324.20850779198</v>
      </c>
      <c r="Y50" s="219" t="s">
        <v>34</v>
      </c>
      <c r="Z50" s="218"/>
      <c r="AB50" s="207"/>
      <c r="AC50" s="207"/>
      <c r="AD50" s="208"/>
      <c r="AE50" s="208"/>
      <c r="AF50" s="208"/>
      <c r="AG50" s="208"/>
      <c r="AH50" s="208"/>
      <c r="AI50" s="115"/>
    </row>
    <row r="51" spans="1:35" s="208" customFormat="1" x14ac:dyDescent="0.25">
      <c r="A51" s="221">
        <v>119</v>
      </c>
      <c r="B51" s="130">
        <v>26.876677039999997</v>
      </c>
      <c r="C51" s="111">
        <v>2</v>
      </c>
      <c r="D51" s="214" t="s">
        <v>13</v>
      </c>
      <c r="E51" s="214" t="s">
        <v>10</v>
      </c>
      <c r="F51" s="128">
        <v>19.507994159999996</v>
      </c>
      <c r="G51" s="128">
        <v>7.3686828800000006</v>
      </c>
      <c r="H51" s="215">
        <f t="shared" si="14"/>
        <v>0.72583355937070104</v>
      </c>
      <c r="I51" s="215">
        <f>G51/B51</f>
        <v>0.2741664406292989</v>
      </c>
      <c r="J51" s="111">
        <v>16570.28</v>
      </c>
      <c r="K51" s="216">
        <f>$B$318</f>
        <v>0.95</v>
      </c>
      <c r="L51" s="216">
        <f>$B$321</f>
        <v>1</v>
      </c>
      <c r="M51" s="111">
        <f t="shared" si="16"/>
        <v>15741.765999999998</v>
      </c>
      <c r="N51" s="111">
        <f>B51*M51</f>
        <v>423086.36082125251</v>
      </c>
      <c r="O51" s="111"/>
      <c r="P51" s="111"/>
      <c r="Q51" s="111"/>
      <c r="R51" s="111"/>
      <c r="S51" s="111"/>
      <c r="T51" s="111"/>
      <c r="U51" s="111"/>
      <c r="V51" s="111"/>
      <c r="W51" s="111"/>
      <c r="X51" s="111">
        <f t="shared" si="17"/>
        <v>423086.36082125251</v>
      </c>
      <c r="Y51" s="219" t="s">
        <v>31</v>
      </c>
      <c r="Z51" s="218"/>
      <c r="AA51" s="205"/>
      <c r="AB51" s="207"/>
      <c r="AC51" s="207"/>
      <c r="AI51" s="115"/>
    </row>
    <row r="52" spans="1:35" s="208" customFormat="1" x14ac:dyDescent="0.25">
      <c r="A52" s="221">
        <v>120</v>
      </c>
      <c r="B52" s="130">
        <v>4.9629928000000003</v>
      </c>
      <c r="C52" s="216">
        <v>2</v>
      </c>
      <c r="D52" s="214" t="s">
        <v>13</v>
      </c>
      <c r="E52" s="214" t="s">
        <v>10</v>
      </c>
      <c r="F52" s="128">
        <v>4.9629928000000003</v>
      </c>
      <c r="G52" s="128"/>
      <c r="H52" s="215">
        <f t="shared" si="14"/>
        <v>1</v>
      </c>
      <c r="I52" s="215">
        <f>G52/F52</f>
        <v>0</v>
      </c>
      <c r="J52" s="216">
        <v>15045.36</v>
      </c>
      <c r="K52" s="216">
        <f>$B$318</f>
        <v>0.95</v>
      </c>
      <c r="L52" s="216">
        <f>$B$321</f>
        <v>1</v>
      </c>
      <c r="M52" s="216">
        <f t="shared" si="16"/>
        <v>14293.092000000001</v>
      </c>
      <c r="N52" s="216">
        <f>M52*F52</f>
        <v>70936.512685737602</v>
      </c>
      <c r="O52" s="216"/>
      <c r="P52" s="216"/>
      <c r="Q52" s="216"/>
      <c r="R52" s="216"/>
      <c r="S52" s="216"/>
      <c r="T52" s="216"/>
      <c r="U52" s="216"/>
      <c r="V52" s="220"/>
      <c r="W52" s="220"/>
      <c r="X52" s="111">
        <f t="shared" si="17"/>
        <v>70936.512685737602</v>
      </c>
      <c r="Y52" s="219" t="s">
        <v>13</v>
      </c>
      <c r="Z52" s="218"/>
      <c r="AA52" s="205"/>
      <c r="AB52" s="207"/>
      <c r="AC52" s="207"/>
      <c r="AI52" s="115"/>
    </row>
    <row r="53" spans="1:35" s="208" customFormat="1" x14ac:dyDescent="0.25">
      <c r="A53" s="221">
        <v>121</v>
      </c>
      <c r="B53" s="130">
        <v>900.65542162999998</v>
      </c>
      <c r="C53" s="111">
        <v>2</v>
      </c>
      <c r="D53" s="214" t="s">
        <v>13</v>
      </c>
      <c r="E53" s="214" t="s">
        <v>10</v>
      </c>
      <c r="F53" s="128">
        <v>369.14508463999994</v>
      </c>
      <c r="G53" s="128">
        <v>531.51033699000004</v>
      </c>
      <c r="H53" s="215">
        <f t="shared" si="14"/>
        <v>0.40986272416139319</v>
      </c>
      <c r="I53" s="215">
        <f>G53/B53</f>
        <v>0.59013727583860687</v>
      </c>
      <c r="J53" s="111">
        <v>14597.6</v>
      </c>
      <c r="K53" s="216">
        <f>$B$318</f>
        <v>0.95</v>
      </c>
      <c r="L53" s="216">
        <f>$B$321</f>
        <v>1</v>
      </c>
      <c r="M53" s="111">
        <f t="shared" si="16"/>
        <v>13867.72</v>
      </c>
      <c r="N53" s="111">
        <f>B53*M53</f>
        <v>12490037.203646783</v>
      </c>
      <c r="O53" s="111"/>
      <c r="P53" s="111"/>
      <c r="Q53" s="111"/>
      <c r="R53" s="111"/>
      <c r="S53" s="111"/>
      <c r="T53" s="111"/>
      <c r="U53" s="111"/>
      <c r="V53" s="111"/>
      <c r="W53" s="111"/>
      <c r="X53" s="111">
        <f t="shared" si="17"/>
        <v>12490037.203646783</v>
      </c>
      <c r="Y53" s="219" t="s">
        <v>34</v>
      </c>
      <c r="Z53" s="218"/>
      <c r="AA53" s="205"/>
      <c r="AB53" s="207"/>
      <c r="AC53" s="207"/>
      <c r="AE53" s="222"/>
      <c r="AF53" s="222"/>
      <c r="AI53" s="115"/>
    </row>
    <row r="54" spans="1:35" s="208" customFormat="1" x14ac:dyDescent="0.25">
      <c r="A54" s="221">
        <v>122</v>
      </c>
      <c r="B54" s="130">
        <v>20.163496119999998</v>
      </c>
      <c r="C54" s="216">
        <v>0.3</v>
      </c>
      <c r="D54" s="214" t="s">
        <v>13</v>
      </c>
      <c r="E54" s="214" t="s">
        <v>10</v>
      </c>
      <c r="F54" s="128"/>
      <c r="G54" s="128">
        <v>20.163496119999998</v>
      </c>
      <c r="H54" s="215">
        <f t="shared" si="14"/>
        <v>0</v>
      </c>
      <c r="I54" s="215">
        <f>G54/B54</f>
        <v>1</v>
      </c>
      <c r="J54" s="216">
        <v>5497.31</v>
      </c>
      <c r="K54" s="216">
        <f>$B$319</f>
        <v>0.9</v>
      </c>
      <c r="L54" s="216">
        <f>$B$321</f>
        <v>1</v>
      </c>
      <c r="M54" s="216">
        <f t="shared" si="16"/>
        <v>4947.5790000000006</v>
      </c>
      <c r="N54" s="216">
        <f>M54*B54</f>
        <v>99760.489969893475</v>
      </c>
      <c r="O54" s="216"/>
      <c r="P54" s="216"/>
      <c r="Q54" s="216"/>
      <c r="R54" s="216"/>
      <c r="S54" s="216"/>
      <c r="T54" s="216"/>
      <c r="U54" s="216"/>
      <c r="V54" s="216"/>
      <c r="W54" s="216"/>
      <c r="X54" s="111">
        <f t="shared" si="17"/>
        <v>99760.489969893475</v>
      </c>
      <c r="Y54" s="214" t="s">
        <v>13</v>
      </c>
      <c r="Z54" s="218"/>
      <c r="AA54" s="205"/>
      <c r="AB54" s="207"/>
      <c r="AC54" s="207"/>
      <c r="AE54" s="222"/>
      <c r="AF54" s="222"/>
      <c r="AI54" s="115"/>
    </row>
    <row r="55" spans="1:35" s="208" customFormat="1" x14ac:dyDescent="0.25">
      <c r="A55" s="221">
        <v>123</v>
      </c>
      <c r="B55" s="130">
        <v>39.840794949999996</v>
      </c>
      <c r="C55" s="216">
        <v>2</v>
      </c>
      <c r="D55" s="214" t="s">
        <v>13</v>
      </c>
      <c r="E55" s="214" t="s">
        <v>10</v>
      </c>
      <c r="F55" s="128">
        <v>39.840794949999996</v>
      </c>
      <c r="G55" s="128"/>
      <c r="H55" s="215">
        <f t="shared" si="14"/>
        <v>1</v>
      </c>
      <c r="I55" s="215">
        <f>G55/F55</f>
        <v>0</v>
      </c>
      <c r="J55" s="216">
        <v>4978.0600000000004</v>
      </c>
      <c r="K55" s="216">
        <f>$B$318</f>
        <v>0.95</v>
      </c>
      <c r="L55" s="216">
        <f>$B$321</f>
        <v>1</v>
      </c>
      <c r="M55" s="216">
        <f t="shared" si="16"/>
        <v>4729.1570000000002</v>
      </c>
      <c r="N55" s="216">
        <f>M55*F55</f>
        <v>188413.37432335713</v>
      </c>
      <c r="O55" s="216"/>
      <c r="P55" s="216"/>
      <c r="Q55" s="216"/>
      <c r="R55" s="216"/>
      <c r="S55" s="216"/>
      <c r="T55" s="216"/>
      <c r="U55" s="216"/>
      <c r="V55" s="220"/>
      <c r="W55" s="220"/>
      <c r="X55" s="111">
        <f t="shared" si="17"/>
        <v>188413.37432335713</v>
      </c>
      <c r="Y55" s="219" t="s">
        <v>13</v>
      </c>
      <c r="Z55" s="218"/>
      <c r="AA55" s="205"/>
      <c r="AB55" s="207"/>
      <c r="AC55" s="207"/>
      <c r="AE55" s="222"/>
      <c r="AF55" s="222"/>
      <c r="AI55" s="115"/>
    </row>
    <row r="56" spans="1:35" s="208" customFormat="1" x14ac:dyDescent="0.25">
      <c r="A56" s="213">
        <v>124</v>
      </c>
      <c r="B56" s="130">
        <v>208.99011077</v>
      </c>
      <c r="C56" s="111">
        <v>1</v>
      </c>
      <c r="D56" s="214" t="s">
        <v>13</v>
      </c>
      <c r="E56" s="214" t="s">
        <v>10</v>
      </c>
      <c r="F56" s="128">
        <v>64.348891070000008</v>
      </c>
      <c r="G56" s="128">
        <v>144.64121969999999</v>
      </c>
      <c r="H56" s="215">
        <f t="shared" si="14"/>
        <v>0.30790400001662244</v>
      </c>
      <c r="I56" s="215">
        <f>G56/B56</f>
        <v>0.69209599998337756</v>
      </c>
      <c r="J56" s="111">
        <v>6489.45</v>
      </c>
      <c r="K56" s="216">
        <f>$B$318</f>
        <v>0.95</v>
      </c>
      <c r="L56" s="111">
        <f>$B$320</f>
        <v>1.1499999999999999</v>
      </c>
      <c r="M56" s="111">
        <f t="shared" si="16"/>
        <v>7089.7241249999997</v>
      </c>
      <c r="N56" s="111">
        <f>B56*M56</f>
        <v>1481682.2302124912</v>
      </c>
      <c r="O56" s="111"/>
      <c r="P56" s="111"/>
      <c r="Q56" s="111"/>
      <c r="R56" s="111"/>
      <c r="S56" s="111"/>
      <c r="T56" s="111"/>
      <c r="U56" s="111"/>
      <c r="V56" s="111"/>
      <c r="W56" s="111"/>
      <c r="X56" s="111">
        <f t="shared" si="17"/>
        <v>1481682.2302124912</v>
      </c>
      <c r="Y56" s="219"/>
      <c r="Z56" s="218"/>
      <c r="AA56" s="205"/>
      <c r="AB56" s="207"/>
      <c r="AC56" s="207"/>
      <c r="AE56" s="222"/>
      <c r="AF56" s="222"/>
      <c r="AI56" s="115"/>
    </row>
    <row r="57" spans="1:35" s="208" customFormat="1" x14ac:dyDescent="0.25">
      <c r="A57" s="213">
        <v>125</v>
      </c>
      <c r="B57" s="130">
        <v>34.184194359999999</v>
      </c>
      <c r="C57" s="216">
        <v>0.3</v>
      </c>
      <c r="D57" s="214" t="s">
        <v>13</v>
      </c>
      <c r="E57" s="214" t="s">
        <v>10</v>
      </c>
      <c r="F57" s="128"/>
      <c r="G57" s="128">
        <v>34.184194359999999</v>
      </c>
      <c r="H57" s="215">
        <f t="shared" si="14"/>
        <v>0</v>
      </c>
      <c r="I57" s="215">
        <f>G57/B57</f>
        <v>1</v>
      </c>
      <c r="J57" s="216">
        <v>4341.04</v>
      </c>
      <c r="K57" s="216">
        <f>$B$319</f>
        <v>0.9</v>
      </c>
      <c r="L57" s="111">
        <f>$B$320</f>
        <v>1.1499999999999999</v>
      </c>
      <c r="M57" s="216">
        <f t="shared" si="16"/>
        <v>4492.9763999999996</v>
      </c>
      <c r="N57" s="216">
        <f>M57*B57</f>
        <v>153588.7785124931</v>
      </c>
      <c r="O57" s="216"/>
      <c r="P57" s="216"/>
      <c r="Q57" s="216"/>
      <c r="R57" s="216"/>
      <c r="S57" s="216"/>
      <c r="T57" s="216"/>
      <c r="U57" s="216"/>
      <c r="V57" s="216"/>
      <c r="W57" s="216"/>
      <c r="X57" s="111">
        <f t="shared" si="17"/>
        <v>153588.7785124931</v>
      </c>
      <c r="Y57" s="214"/>
      <c r="Z57" s="218"/>
      <c r="AA57" s="205"/>
      <c r="AB57" s="207"/>
      <c r="AC57" s="207"/>
      <c r="AE57" s="222"/>
      <c r="AF57" s="222"/>
      <c r="AI57" s="115"/>
    </row>
    <row r="58" spans="1:35" s="208" customFormat="1" x14ac:dyDescent="0.25">
      <c r="A58" s="221">
        <v>126</v>
      </c>
      <c r="B58" s="130">
        <v>41.365694730000001</v>
      </c>
      <c r="C58" s="216">
        <v>2</v>
      </c>
      <c r="D58" s="214" t="s">
        <v>13</v>
      </c>
      <c r="E58" s="214" t="s">
        <v>10</v>
      </c>
      <c r="F58" s="128">
        <v>41.365694730000001</v>
      </c>
      <c r="G58" s="128"/>
      <c r="H58" s="215">
        <f t="shared" si="14"/>
        <v>1</v>
      </c>
      <c r="I58" s="215">
        <f>G58/F58</f>
        <v>0</v>
      </c>
      <c r="J58" s="216">
        <v>16533.5</v>
      </c>
      <c r="K58" s="216">
        <f t="shared" ref="K58:K64" si="21">$B$318</f>
        <v>0.95</v>
      </c>
      <c r="L58" s="216">
        <f t="shared" ref="L58:L76" si="22">$B$321</f>
        <v>1</v>
      </c>
      <c r="M58" s="216">
        <f t="shared" si="16"/>
        <v>15706.824999999999</v>
      </c>
      <c r="N58" s="216">
        <f>M58*F58</f>
        <v>649723.72812753217</v>
      </c>
      <c r="O58" s="216"/>
      <c r="P58" s="216"/>
      <c r="Q58" s="216"/>
      <c r="R58" s="216"/>
      <c r="S58" s="216"/>
      <c r="T58" s="216"/>
      <c r="U58" s="216"/>
      <c r="V58" s="220"/>
      <c r="W58" s="220"/>
      <c r="X58" s="111">
        <f t="shared" si="17"/>
        <v>649723.72812753217</v>
      </c>
      <c r="Y58" s="219" t="s">
        <v>34</v>
      </c>
      <c r="Z58" s="218"/>
      <c r="AA58" s="205"/>
      <c r="AB58" s="207"/>
      <c r="AC58" s="207"/>
      <c r="AE58" s="222"/>
      <c r="AF58" s="222"/>
      <c r="AI58" s="115"/>
    </row>
    <row r="59" spans="1:35" s="208" customFormat="1" x14ac:dyDescent="0.25">
      <c r="A59" s="221">
        <v>127</v>
      </c>
      <c r="B59" s="130">
        <v>3.1505760199999999</v>
      </c>
      <c r="C59" s="216">
        <v>2</v>
      </c>
      <c r="D59" s="214" t="s">
        <v>13</v>
      </c>
      <c r="E59" s="214" t="s">
        <v>10</v>
      </c>
      <c r="F59" s="128">
        <v>3.1505760199999999</v>
      </c>
      <c r="G59" s="128"/>
      <c r="H59" s="215">
        <f t="shared" si="14"/>
        <v>1</v>
      </c>
      <c r="I59" s="215">
        <f>G59/F59</f>
        <v>0</v>
      </c>
      <c r="J59" s="216">
        <v>16630.75</v>
      </c>
      <c r="K59" s="216">
        <f t="shared" si="21"/>
        <v>0.95</v>
      </c>
      <c r="L59" s="216">
        <f t="shared" si="22"/>
        <v>1</v>
      </c>
      <c r="M59" s="216">
        <f t="shared" si="16"/>
        <v>15799.2125</v>
      </c>
      <c r="N59" s="216">
        <f>M59*F59</f>
        <v>49776.620037384251</v>
      </c>
      <c r="O59" s="216"/>
      <c r="P59" s="216"/>
      <c r="Q59" s="216"/>
      <c r="R59" s="216"/>
      <c r="S59" s="216"/>
      <c r="T59" s="216"/>
      <c r="U59" s="216"/>
      <c r="V59" s="220"/>
      <c r="W59" s="220"/>
      <c r="X59" s="111">
        <f t="shared" si="17"/>
        <v>49776.620037384251</v>
      </c>
      <c r="Y59" s="219" t="s">
        <v>34</v>
      </c>
      <c r="Z59" s="218"/>
      <c r="AA59" s="205"/>
      <c r="AB59" s="207"/>
      <c r="AC59" s="207"/>
      <c r="AE59" s="222"/>
      <c r="AF59" s="222"/>
      <c r="AI59" s="115"/>
    </row>
    <row r="60" spans="1:35" s="208" customFormat="1" x14ac:dyDescent="0.25">
      <c r="A60" s="221">
        <v>128</v>
      </c>
      <c r="B60" s="130">
        <v>3.0386007099999999</v>
      </c>
      <c r="C60" s="111">
        <v>1</v>
      </c>
      <c r="D60" s="214" t="s">
        <v>13</v>
      </c>
      <c r="E60" s="214" t="s">
        <v>10</v>
      </c>
      <c r="F60" s="128">
        <v>2.6303057699999997</v>
      </c>
      <c r="G60" s="128">
        <v>0.40829494000000022</v>
      </c>
      <c r="H60" s="215">
        <f t="shared" si="14"/>
        <v>0.86563060468711595</v>
      </c>
      <c r="I60" s="215">
        <f t="shared" ref="I60:I74" si="23">G60/B60</f>
        <v>0.13436939531288408</v>
      </c>
      <c r="J60" s="111">
        <v>9848.77</v>
      </c>
      <c r="K60" s="216">
        <f t="shared" si="21"/>
        <v>0.95</v>
      </c>
      <c r="L60" s="216">
        <f t="shared" si="22"/>
        <v>1</v>
      </c>
      <c r="M60" s="111">
        <f t="shared" si="16"/>
        <v>9356.3315000000002</v>
      </c>
      <c r="N60" s="111">
        <f>B60*M60</f>
        <v>28430.155538895364</v>
      </c>
      <c r="O60" s="111"/>
      <c r="P60" s="111"/>
      <c r="Q60" s="111"/>
      <c r="R60" s="111"/>
      <c r="S60" s="111"/>
      <c r="T60" s="111"/>
      <c r="U60" s="111"/>
      <c r="V60" s="111"/>
      <c r="W60" s="111"/>
      <c r="X60" s="111">
        <f t="shared" si="17"/>
        <v>28430.155538895364</v>
      </c>
      <c r="Y60" s="219"/>
      <c r="Z60" s="218"/>
      <c r="AA60" s="205"/>
      <c r="AB60" s="207"/>
      <c r="AC60" s="207"/>
      <c r="AE60" s="222"/>
      <c r="AF60" s="222"/>
      <c r="AI60" s="115"/>
    </row>
    <row r="61" spans="1:35" s="208" customFormat="1" x14ac:dyDescent="0.25">
      <c r="A61" s="221">
        <v>129</v>
      </c>
      <c r="B61" s="130">
        <v>3.0334601299999999</v>
      </c>
      <c r="C61" s="111">
        <v>1</v>
      </c>
      <c r="D61" s="214" t="s">
        <v>13</v>
      </c>
      <c r="E61" s="214" t="s">
        <v>10</v>
      </c>
      <c r="F61" s="128">
        <v>2.1616602500000002</v>
      </c>
      <c r="G61" s="128">
        <v>0.87179987999999997</v>
      </c>
      <c r="H61" s="215">
        <f t="shared" ref="H61:H124" si="24">F61/B61</f>
        <v>0.71260545956145471</v>
      </c>
      <c r="I61" s="215">
        <f t="shared" si="23"/>
        <v>0.28739454043854534</v>
      </c>
      <c r="J61" s="111">
        <v>9848.77</v>
      </c>
      <c r="K61" s="216">
        <f t="shared" si="21"/>
        <v>0.95</v>
      </c>
      <c r="L61" s="216">
        <f t="shared" si="22"/>
        <v>1</v>
      </c>
      <c r="M61" s="111">
        <f t="shared" ref="M61:M124" si="25">J61*K61*L61</f>
        <v>9356.3315000000002</v>
      </c>
      <c r="N61" s="111">
        <f>B61*M61</f>
        <v>28382.058568313096</v>
      </c>
      <c r="O61" s="111"/>
      <c r="P61" s="111"/>
      <c r="Q61" s="111"/>
      <c r="R61" s="111"/>
      <c r="S61" s="111"/>
      <c r="T61" s="111"/>
      <c r="U61" s="111"/>
      <c r="V61" s="111"/>
      <c r="W61" s="111"/>
      <c r="X61" s="111">
        <f t="shared" ref="X61:X124" si="26">N61+P61+R61+U61+W61</f>
        <v>28382.058568313096</v>
      </c>
      <c r="Y61" s="219"/>
      <c r="Z61" s="218"/>
      <c r="AA61" s="205"/>
      <c r="AB61" s="207"/>
      <c r="AC61" s="207"/>
      <c r="AE61" s="222"/>
      <c r="AF61" s="222"/>
      <c r="AI61" s="115"/>
    </row>
    <row r="62" spans="1:35" s="208" customFormat="1" x14ac:dyDescent="0.25">
      <c r="A62" s="221">
        <v>130</v>
      </c>
      <c r="B62" s="130">
        <v>3.0334601299999999</v>
      </c>
      <c r="C62" s="111">
        <v>1</v>
      </c>
      <c r="D62" s="214" t="s">
        <v>13</v>
      </c>
      <c r="E62" s="214" t="s">
        <v>10</v>
      </c>
      <c r="F62" s="128">
        <v>1.2018139400000001</v>
      </c>
      <c r="G62" s="128">
        <v>1.8316461899999998</v>
      </c>
      <c r="H62" s="215">
        <f t="shared" si="24"/>
        <v>0.39618583679885061</v>
      </c>
      <c r="I62" s="215">
        <f t="shared" si="23"/>
        <v>0.60381416320114945</v>
      </c>
      <c r="J62" s="111">
        <v>8993.7999999999993</v>
      </c>
      <c r="K62" s="216">
        <f t="shared" si="21"/>
        <v>0.95</v>
      </c>
      <c r="L62" s="216">
        <f t="shared" si="22"/>
        <v>1</v>
      </c>
      <c r="M62" s="111">
        <f t="shared" si="25"/>
        <v>8544.1099999999988</v>
      </c>
      <c r="N62" s="111">
        <f>B62*M62</f>
        <v>25918.217031334294</v>
      </c>
      <c r="O62" s="111"/>
      <c r="P62" s="111"/>
      <c r="Q62" s="111"/>
      <c r="R62" s="111"/>
      <c r="S62" s="111"/>
      <c r="T62" s="111"/>
      <c r="U62" s="111"/>
      <c r="V62" s="111"/>
      <c r="W62" s="111"/>
      <c r="X62" s="111">
        <f t="shared" si="26"/>
        <v>25918.217031334294</v>
      </c>
      <c r="Y62" s="219"/>
      <c r="Z62" s="218"/>
      <c r="AA62" s="205"/>
      <c r="AB62" s="207"/>
      <c r="AC62" s="207"/>
      <c r="AE62" s="222"/>
      <c r="AF62" s="222"/>
      <c r="AI62" s="115"/>
    </row>
    <row r="63" spans="1:35" s="208" customFormat="1" x14ac:dyDescent="0.25">
      <c r="A63" s="221">
        <v>131</v>
      </c>
      <c r="B63" s="130">
        <v>3.0358712699999999</v>
      </c>
      <c r="C63" s="111">
        <v>1</v>
      </c>
      <c r="D63" s="214" t="s">
        <v>13</v>
      </c>
      <c r="E63" s="214" t="s">
        <v>10</v>
      </c>
      <c r="F63" s="128">
        <v>2.7867700599999998</v>
      </c>
      <c r="G63" s="128">
        <v>0.24910121000000007</v>
      </c>
      <c r="H63" s="215">
        <f t="shared" si="24"/>
        <v>0.91794737396753978</v>
      </c>
      <c r="I63" s="215">
        <f t="shared" si="23"/>
        <v>8.2052626032460219E-2</v>
      </c>
      <c r="J63" s="111">
        <v>9848.77</v>
      </c>
      <c r="K63" s="216">
        <f t="shared" si="21"/>
        <v>0.95</v>
      </c>
      <c r="L63" s="216">
        <f t="shared" si="22"/>
        <v>1</v>
      </c>
      <c r="M63" s="111">
        <f t="shared" si="25"/>
        <v>9356.3315000000002</v>
      </c>
      <c r="N63" s="111">
        <f>B63*M63</f>
        <v>28404.617993446005</v>
      </c>
      <c r="O63" s="111"/>
      <c r="P63" s="111"/>
      <c r="Q63" s="111"/>
      <c r="R63" s="111"/>
      <c r="S63" s="111"/>
      <c r="T63" s="111"/>
      <c r="U63" s="111"/>
      <c r="V63" s="111"/>
      <c r="W63" s="111"/>
      <c r="X63" s="111">
        <f t="shared" si="26"/>
        <v>28404.617993446005</v>
      </c>
      <c r="Y63" s="219"/>
      <c r="Z63" s="218"/>
      <c r="AA63" s="205"/>
      <c r="AB63" s="207"/>
      <c r="AC63" s="207"/>
      <c r="AE63" s="222"/>
      <c r="AF63" s="222"/>
      <c r="AI63" s="115"/>
    </row>
    <row r="64" spans="1:35" s="208" customFormat="1" x14ac:dyDescent="0.25">
      <c r="A64" s="221">
        <v>132</v>
      </c>
      <c r="B64" s="130">
        <v>3.0393746400000001</v>
      </c>
      <c r="C64" s="111">
        <v>1</v>
      </c>
      <c r="D64" s="214" t="s">
        <v>13</v>
      </c>
      <c r="E64" s="214" t="s">
        <v>10</v>
      </c>
      <c r="F64" s="128">
        <v>2.9492057099999998</v>
      </c>
      <c r="G64" s="128">
        <v>9.0168930000000369E-2</v>
      </c>
      <c r="H64" s="215">
        <f t="shared" si="24"/>
        <v>0.97033306496233696</v>
      </c>
      <c r="I64" s="215">
        <f t="shared" si="23"/>
        <v>2.9666935037663E-2</v>
      </c>
      <c r="J64" s="111">
        <v>9848.77</v>
      </c>
      <c r="K64" s="216">
        <f t="shared" si="21"/>
        <v>0.95</v>
      </c>
      <c r="L64" s="216">
        <f t="shared" si="22"/>
        <v>1</v>
      </c>
      <c r="M64" s="111">
        <f t="shared" si="25"/>
        <v>9356.3315000000002</v>
      </c>
      <c r="N64" s="111">
        <f>B64*M64</f>
        <v>28437.396684533163</v>
      </c>
      <c r="O64" s="111"/>
      <c r="P64" s="111"/>
      <c r="Q64" s="111"/>
      <c r="R64" s="111"/>
      <c r="S64" s="111"/>
      <c r="T64" s="111"/>
      <c r="U64" s="111"/>
      <c r="V64" s="111"/>
      <c r="W64" s="111"/>
      <c r="X64" s="111">
        <f t="shared" si="26"/>
        <v>28437.396684533163</v>
      </c>
      <c r="Y64" s="219"/>
      <c r="Z64" s="218"/>
      <c r="AA64" s="205"/>
      <c r="AB64" s="207"/>
      <c r="AC64" s="207"/>
      <c r="AE64" s="222"/>
      <c r="AF64" s="222"/>
      <c r="AI64" s="115"/>
    </row>
    <row r="65" spans="1:35" s="208" customFormat="1" x14ac:dyDescent="0.25">
      <c r="A65" s="221">
        <v>133</v>
      </c>
      <c r="B65" s="130">
        <v>3.7630201099999998</v>
      </c>
      <c r="C65" s="216">
        <v>0.3</v>
      </c>
      <c r="D65" s="214" t="s">
        <v>13</v>
      </c>
      <c r="E65" s="214" t="s">
        <v>10</v>
      </c>
      <c r="F65" s="128"/>
      <c r="G65" s="128">
        <v>3.7630201099999998</v>
      </c>
      <c r="H65" s="215">
        <f t="shared" si="24"/>
        <v>0</v>
      </c>
      <c r="I65" s="215">
        <f t="shared" si="23"/>
        <v>1</v>
      </c>
      <c r="J65" s="216">
        <v>5502.82</v>
      </c>
      <c r="K65" s="216">
        <f>$B$319</f>
        <v>0.9</v>
      </c>
      <c r="L65" s="216">
        <f t="shared" si="22"/>
        <v>1</v>
      </c>
      <c r="M65" s="216">
        <f t="shared" si="25"/>
        <v>4952.5379999999996</v>
      </c>
      <c r="N65" s="216">
        <f>M65*B65</f>
        <v>18636.500089539179</v>
      </c>
      <c r="O65" s="216"/>
      <c r="P65" s="216"/>
      <c r="Q65" s="216"/>
      <c r="R65" s="216"/>
      <c r="S65" s="216"/>
      <c r="T65" s="216"/>
      <c r="U65" s="216"/>
      <c r="V65" s="216"/>
      <c r="W65" s="216"/>
      <c r="X65" s="111">
        <f t="shared" si="26"/>
        <v>18636.500089539179</v>
      </c>
      <c r="Y65" s="214" t="s">
        <v>13</v>
      </c>
      <c r="Z65" s="218"/>
      <c r="AA65" s="205"/>
      <c r="AB65" s="207"/>
      <c r="AC65" s="207"/>
      <c r="AE65" s="222"/>
      <c r="AF65" s="222"/>
      <c r="AI65" s="115"/>
    </row>
    <row r="66" spans="1:35" s="208" customFormat="1" x14ac:dyDescent="0.25">
      <c r="A66" s="221">
        <v>134</v>
      </c>
      <c r="B66" s="130">
        <v>4.0574915499999999</v>
      </c>
      <c r="C66" s="111">
        <v>1</v>
      </c>
      <c r="D66" s="214" t="s">
        <v>13</v>
      </c>
      <c r="E66" s="214" t="s">
        <v>10</v>
      </c>
      <c r="F66" s="128">
        <v>0.26814533999999934</v>
      </c>
      <c r="G66" s="128">
        <v>3.7893462100000006</v>
      </c>
      <c r="H66" s="215">
        <f t="shared" si="24"/>
        <v>6.6086481437034508E-2</v>
      </c>
      <c r="I66" s="215">
        <f t="shared" si="23"/>
        <v>0.93391351856296545</v>
      </c>
      <c r="J66" s="111">
        <v>8992.93</v>
      </c>
      <c r="K66" s="216">
        <f t="shared" ref="K66:K95" si="27">$B$318</f>
        <v>0.95</v>
      </c>
      <c r="L66" s="216">
        <f t="shared" si="22"/>
        <v>1</v>
      </c>
      <c r="M66" s="111">
        <f t="shared" si="25"/>
        <v>8543.2834999999995</v>
      </c>
      <c r="N66" s="111">
        <f t="shared" ref="N66:N73" si="28">B66*M66</f>
        <v>34664.300610504426</v>
      </c>
      <c r="O66" s="111"/>
      <c r="P66" s="111"/>
      <c r="Q66" s="111"/>
      <c r="R66" s="111"/>
      <c r="S66" s="111"/>
      <c r="T66" s="111"/>
      <c r="U66" s="111"/>
      <c r="V66" s="111"/>
      <c r="W66" s="111"/>
      <c r="X66" s="111">
        <f t="shared" si="26"/>
        <v>34664.300610504426</v>
      </c>
      <c r="Y66" s="219"/>
      <c r="Z66" s="218"/>
      <c r="AA66" s="205"/>
      <c r="AB66" s="207"/>
      <c r="AC66" s="207"/>
      <c r="AE66" s="222"/>
      <c r="AF66" s="222"/>
      <c r="AI66" s="115"/>
    </row>
    <row r="67" spans="1:35" s="208" customFormat="1" x14ac:dyDescent="0.25">
      <c r="A67" s="221">
        <v>135</v>
      </c>
      <c r="B67" s="130">
        <v>30.008529830000004</v>
      </c>
      <c r="C67" s="111">
        <v>2</v>
      </c>
      <c r="D67" s="214" t="s">
        <v>10</v>
      </c>
      <c r="E67" s="214" t="s">
        <v>10</v>
      </c>
      <c r="F67" s="128">
        <v>5.96478661</v>
      </c>
      <c r="G67" s="128">
        <v>24.043743220000003</v>
      </c>
      <c r="H67" s="215">
        <f t="shared" si="24"/>
        <v>0.19876970460701837</v>
      </c>
      <c r="I67" s="215">
        <f t="shared" si="23"/>
        <v>0.80123029539298163</v>
      </c>
      <c r="J67" s="111">
        <v>14996.99</v>
      </c>
      <c r="K67" s="216">
        <f t="shared" si="27"/>
        <v>0.95</v>
      </c>
      <c r="L67" s="216">
        <f t="shared" si="22"/>
        <v>1</v>
      </c>
      <c r="M67" s="111">
        <f t="shared" si="25"/>
        <v>14247.1405</v>
      </c>
      <c r="N67" s="111">
        <f t="shared" si="28"/>
        <v>427535.74068645114</v>
      </c>
      <c r="O67" s="111"/>
      <c r="P67" s="111"/>
      <c r="Q67" s="111"/>
      <c r="R67" s="111"/>
      <c r="S67" s="111"/>
      <c r="T67" s="111"/>
      <c r="U67" s="111"/>
      <c r="V67" s="111"/>
      <c r="W67" s="111"/>
      <c r="X67" s="111">
        <f t="shared" si="26"/>
        <v>427535.74068645114</v>
      </c>
      <c r="Y67" s="219" t="s">
        <v>43</v>
      </c>
      <c r="Z67" s="218"/>
      <c r="AA67" s="205"/>
      <c r="AB67" s="207"/>
      <c r="AC67" s="207"/>
      <c r="AE67" s="222"/>
      <c r="AF67" s="222"/>
      <c r="AI67" s="115"/>
    </row>
    <row r="68" spans="1:35" s="208" customFormat="1" x14ac:dyDescent="0.25">
      <c r="A68" s="221">
        <v>136</v>
      </c>
      <c r="B68" s="130">
        <v>15.246781179999999</v>
      </c>
      <c r="C68" s="111">
        <v>2</v>
      </c>
      <c r="D68" s="214" t="s">
        <v>13</v>
      </c>
      <c r="E68" s="214" t="s">
        <v>10</v>
      </c>
      <c r="F68" s="128">
        <v>6.0689073799999997</v>
      </c>
      <c r="G68" s="128">
        <v>9.1778738000000004</v>
      </c>
      <c r="H68" s="215">
        <f t="shared" si="24"/>
        <v>0.39804515512827737</v>
      </c>
      <c r="I68" s="215">
        <f t="shared" si="23"/>
        <v>0.60195484487172268</v>
      </c>
      <c r="J68" s="111">
        <v>15025.61</v>
      </c>
      <c r="K68" s="216">
        <f t="shared" si="27"/>
        <v>0.95</v>
      </c>
      <c r="L68" s="216">
        <f t="shared" si="22"/>
        <v>1</v>
      </c>
      <c r="M68" s="111">
        <f t="shared" si="25"/>
        <v>14274.3295</v>
      </c>
      <c r="N68" s="111">
        <f t="shared" si="28"/>
        <v>217637.5783777188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>
        <f t="shared" si="26"/>
        <v>217637.5783777188</v>
      </c>
      <c r="Y68" s="219" t="s">
        <v>31</v>
      </c>
      <c r="Z68" s="218"/>
      <c r="AA68" s="205"/>
      <c r="AB68" s="207"/>
      <c r="AC68" s="207"/>
      <c r="AE68" s="222"/>
      <c r="AF68" s="222"/>
      <c r="AI68" s="115"/>
    </row>
    <row r="69" spans="1:35" s="208" customFormat="1" x14ac:dyDescent="0.25">
      <c r="A69" s="221">
        <v>137</v>
      </c>
      <c r="B69" s="130">
        <v>14.782297089999998</v>
      </c>
      <c r="C69" s="111">
        <v>2</v>
      </c>
      <c r="D69" s="214" t="s">
        <v>13</v>
      </c>
      <c r="E69" s="214" t="s">
        <v>10</v>
      </c>
      <c r="F69" s="128">
        <v>4.9916899699999968</v>
      </c>
      <c r="G69" s="128">
        <v>9.7906071200000007</v>
      </c>
      <c r="H69" s="215">
        <f t="shared" si="24"/>
        <v>0.33768026306119908</v>
      </c>
      <c r="I69" s="215">
        <f t="shared" si="23"/>
        <v>0.66231973693880086</v>
      </c>
      <c r="J69" s="111">
        <v>15026.39</v>
      </c>
      <c r="K69" s="216">
        <f t="shared" si="27"/>
        <v>0.95</v>
      </c>
      <c r="L69" s="216">
        <f t="shared" si="22"/>
        <v>1</v>
      </c>
      <c r="M69" s="111">
        <f t="shared" si="25"/>
        <v>14275.070499999998</v>
      </c>
      <c r="N69" s="111">
        <f t="shared" si="28"/>
        <v>211018.33311169478</v>
      </c>
      <c r="O69" s="111"/>
      <c r="P69" s="111"/>
      <c r="Q69" s="111"/>
      <c r="R69" s="111"/>
      <c r="S69" s="111"/>
      <c r="T69" s="111"/>
      <c r="U69" s="111"/>
      <c r="V69" s="111"/>
      <c r="W69" s="111"/>
      <c r="X69" s="111">
        <f t="shared" si="26"/>
        <v>211018.33311169478</v>
      </c>
      <c r="Y69" s="219" t="s">
        <v>31</v>
      </c>
      <c r="Z69" s="218"/>
      <c r="AA69" s="205"/>
      <c r="AB69" s="207"/>
      <c r="AC69" s="207"/>
      <c r="AE69" s="222"/>
      <c r="AF69" s="222"/>
      <c r="AI69" s="115"/>
    </row>
    <row r="70" spans="1:35" s="208" customFormat="1" x14ac:dyDescent="0.25">
      <c r="A70" s="221">
        <v>138</v>
      </c>
      <c r="B70" s="130">
        <v>6.4309966000000003</v>
      </c>
      <c r="C70" s="111">
        <v>2</v>
      </c>
      <c r="D70" s="214" t="s">
        <v>13</v>
      </c>
      <c r="E70" s="214" t="s">
        <v>10</v>
      </c>
      <c r="F70" s="128">
        <v>4.5616150800000002</v>
      </c>
      <c r="G70" s="128">
        <v>1.8693815200000001</v>
      </c>
      <c r="H70" s="215">
        <f t="shared" si="24"/>
        <v>0.70931697895781809</v>
      </c>
      <c r="I70" s="215">
        <f t="shared" si="23"/>
        <v>0.29068302104218185</v>
      </c>
      <c r="J70" s="111">
        <v>16622.560000000001</v>
      </c>
      <c r="K70" s="216">
        <f t="shared" si="27"/>
        <v>0.95</v>
      </c>
      <c r="L70" s="216">
        <f t="shared" si="22"/>
        <v>1</v>
      </c>
      <c r="M70" s="111">
        <f t="shared" si="25"/>
        <v>15791.432000000001</v>
      </c>
      <c r="N70" s="111">
        <f t="shared" si="28"/>
        <v>101554.64550113121</v>
      </c>
      <c r="O70" s="111"/>
      <c r="P70" s="111"/>
      <c r="Q70" s="111"/>
      <c r="R70" s="111"/>
      <c r="S70" s="111"/>
      <c r="T70" s="111"/>
      <c r="U70" s="111"/>
      <c r="V70" s="111"/>
      <c r="W70" s="111"/>
      <c r="X70" s="111">
        <f t="shared" si="26"/>
        <v>101554.64550113121</v>
      </c>
      <c r="Y70" s="219" t="s">
        <v>33</v>
      </c>
      <c r="Z70" s="218"/>
      <c r="AA70" s="205"/>
      <c r="AB70" s="207"/>
      <c r="AC70" s="207"/>
      <c r="AE70" s="222"/>
      <c r="AF70" s="222"/>
      <c r="AI70" s="115"/>
    </row>
    <row r="71" spans="1:35" s="208" customFormat="1" x14ac:dyDescent="0.25">
      <c r="A71" s="221">
        <v>139</v>
      </c>
      <c r="B71" s="130">
        <v>4.0596772999999997</v>
      </c>
      <c r="C71" s="111">
        <v>2</v>
      </c>
      <c r="D71" s="214" t="s">
        <v>13</v>
      </c>
      <c r="E71" s="214" t="s">
        <v>10</v>
      </c>
      <c r="F71" s="128">
        <v>2.7020671600000004</v>
      </c>
      <c r="G71" s="128">
        <v>1.35761014</v>
      </c>
      <c r="H71" s="215">
        <f t="shared" si="24"/>
        <v>0.66558668591712955</v>
      </c>
      <c r="I71" s="215">
        <f t="shared" si="23"/>
        <v>0.33441331408287062</v>
      </c>
      <c r="J71" s="111">
        <v>16628.45</v>
      </c>
      <c r="K71" s="216">
        <f t="shared" si="27"/>
        <v>0.95</v>
      </c>
      <c r="L71" s="216">
        <f t="shared" si="22"/>
        <v>1</v>
      </c>
      <c r="M71" s="111">
        <f t="shared" si="25"/>
        <v>15797.0275</v>
      </c>
      <c r="N71" s="111">
        <f t="shared" si="28"/>
        <v>64130.833949225744</v>
      </c>
      <c r="O71" s="111"/>
      <c r="P71" s="111"/>
      <c r="Q71" s="111"/>
      <c r="R71" s="111"/>
      <c r="S71" s="111"/>
      <c r="T71" s="111"/>
      <c r="U71" s="111"/>
      <c r="V71" s="111"/>
      <c r="W71" s="111"/>
      <c r="X71" s="111">
        <f t="shared" si="26"/>
        <v>64130.833949225744</v>
      </c>
      <c r="Y71" s="219" t="s">
        <v>34</v>
      </c>
      <c r="Z71" s="218"/>
      <c r="AA71" s="205"/>
      <c r="AB71" s="207"/>
      <c r="AC71" s="207"/>
      <c r="AE71" s="222"/>
      <c r="AF71" s="222"/>
      <c r="AI71" s="115"/>
    </row>
    <row r="72" spans="1:35" s="208" customFormat="1" x14ac:dyDescent="0.25">
      <c r="A72" s="221">
        <v>140</v>
      </c>
      <c r="B72" s="130">
        <v>7.5719372399999996</v>
      </c>
      <c r="C72" s="111">
        <v>2</v>
      </c>
      <c r="D72" s="214" t="s">
        <v>13</v>
      </c>
      <c r="E72" s="214" t="s">
        <v>10</v>
      </c>
      <c r="F72" s="128">
        <v>3.2525227899999991</v>
      </c>
      <c r="G72" s="128">
        <v>4.31941445</v>
      </c>
      <c r="H72" s="215">
        <f t="shared" si="24"/>
        <v>0.42954962341975239</v>
      </c>
      <c r="I72" s="215">
        <f t="shared" si="23"/>
        <v>0.57045037658024755</v>
      </c>
      <c r="J72" s="111">
        <v>15040.32</v>
      </c>
      <c r="K72" s="216">
        <f t="shared" si="27"/>
        <v>0.95</v>
      </c>
      <c r="L72" s="216">
        <f t="shared" si="22"/>
        <v>1</v>
      </c>
      <c r="M72" s="111">
        <f t="shared" si="25"/>
        <v>14288.303999999998</v>
      </c>
      <c r="N72" s="111">
        <f t="shared" si="28"/>
        <v>108190.14115404095</v>
      </c>
      <c r="O72" s="111"/>
      <c r="P72" s="111"/>
      <c r="Q72" s="111"/>
      <c r="R72" s="111"/>
      <c r="S72" s="111"/>
      <c r="T72" s="111"/>
      <c r="U72" s="111"/>
      <c r="V72" s="111"/>
      <c r="W72" s="111"/>
      <c r="X72" s="111">
        <f t="shared" si="26"/>
        <v>108190.14115404095</v>
      </c>
      <c r="Y72" s="219" t="s">
        <v>38</v>
      </c>
      <c r="Z72" s="218"/>
      <c r="AA72" s="205"/>
      <c r="AB72" s="207"/>
      <c r="AC72" s="207"/>
      <c r="AE72" s="222"/>
      <c r="AF72" s="222"/>
      <c r="AI72" s="115"/>
    </row>
    <row r="73" spans="1:35" s="208" customFormat="1" x14ac:dyDescent="0.25">
      <c r="A73" s="221">
        <v>141</v>
      </c>
      <c r="B73" s="130">
        <v>21.7517426</v>
      </c>
      <c r="C73" s="111">
        <v>2</v>
      </c>
      <c r="D73" s="214" t="s">
        <v>13</v>
      </c>
      <c r="E73" s="214" t="s">
        <v>10</v>
      </c>
      <c r="F73" s="128">
        <v>11.613183480000002</v>
      </c>
      <c r="G73" s="128">
        <v>10.13855912</v>
      </c>
      <c r="H73" s="215">
        <f t="shared" si="24"/>
        <v>0.5338966947871111</v>
      </c>
      <c r="I73" s="215">
        <f t="shared" si="23"/>
        <v>0.46610330521288901</v>
      </c>
      <c r="J73" s="111">
        <v>15012.84</v>
      </c>
      <c r="K73" s="216">
        <f t="shared" si="27"/>
        <v>0.95</v>
      </c>
      <c r="L73" s="216">
        <f t="shared" si="22"/>
        <v>1</v>
      </c>
      <c r="M73" s="111">
        <f t="shared" si="25"/>
        <v>14262.198</v>
      </c>
      <c r="N73" s="111">
        <f t="shared" si="28"/>
        <v>310227.65980623482</v>
      </c>
      <c r="O73" s="111"/>
      <c r="P73" s="111"/>
      <c r="Q73" s="111"/>
      <c r="R73" s="111"/>
      <c r="S73" s="111"/>
      <c r="T73" s="111"/>
      <c r="U73" s="111"/>
      <c r="V73" s="111"/>
      <c r="W73" s="111"/>
      <c r="X73" s="111">
        <f t="shared" si="26"/>
        <v>310227.65980623482</v>
      </c>
      <c r="Y73" s="219" t="s">
        <v>34</v>
      </c>
      <c r="Z73" s="218"/>
      <c r="AA73" s="205"/>
      <c r="AB73" s="207"/>
      <c r="AC73" s="207"/>
      <c r="AE73" s="222"/>
      <c r="AF73" s="222"/>
      <c r="AI73" s="115"/>
    </row>
    <row r="74" spans="1:35" s="208" customFormat="1" x14ac:dyDescent="0.25">
      <c r="A74" s="221">
        <v>142</v>
      </c>
      <c r="B74" s="130">
        <v>23.24426618</v>
      </c>
      <c r="C74" s="216">
        <v>1</v>
      </c>
      <c r="D74" s="214" t="s">
        <v>13</v>
      </c>
      <c r="E74" s="214" t="s">
        <v>10</v>
      </c>
      <c r="F74" s="128">
        <v>15.043471159999998</v>
      </c>
      <c r="G74" s="128">
        <v>5.3351169199999999</v>
      </c>
      <c r="H74" s="215">
        <f t="shared" si="24"/>
        <v>0.64719062514194614</v>
      </c>
      <c r="I74" s="215">
        <f t="shared" si="23"/>
        <v>0.22952399867931644</v>
      </c>
      <c r="J74" s="111">
        <v>16579.689999999999</v>
      </c>
      <c r="K74" s="216">
        <f t="shared" si="27"/>
        <v>0.95</v>
      </c>
      <c r="L74" s="216">
        <f t="shared" si="22"/>
        <v>1</v>
      </c>
      <c r="M74" s="111">
        <f t="shared" si="25"/>
        <v>15750.705499999998</v>
      </c>
      <c r="N74" s="216">
        <f>M74*B74</f>
        <v>366113.59116478998</v>
      </c>
      <c r="O74" s="216"/>
      <c r="P74" s="216"/>
      <c r="Q74" s="111">
        <v>2.8656780999999998</v>
      </c>
      <c r="R74" s="111">
        <f>'Cálculo Depre.-Sist. Irrig.'!$P$3*Q74</f>
        <v>22065.721369999999</v>
      </c>
      <c r="S74" s="214" t="s">
        <v>17</v>
      </c>
      <c r="T74" s="111">
        <f>Q74</f>
        <v>2.8656780999999998</v>
      </c>
      <c r="U74" s="111">
        <f>'Cálculo Valor Avaliação-Cultura'!$P$79*T74</f>
        <v>67539.420126038196</v>
      </c>
      <c r="V74" s="220"/>
      <c r="W74" s="220"/>
      <c r="X74" s="111">
        <f t="shared" si="26"/>
        <v>455718.73266082816</v>
      </c>
      <c r="Y74" s="219" t="s">
        <v>13</v>
      </c>
      <c r="Z74" s="218"/>
      <c r="AA74" s="205"/>
      <c r="AB74" s="207"/>
      <c r="AC74" s="207"/>
      <c r="AE74" s="222"/>
      <c r="AF74" s="222"/>
      <c r="AI74" s="115"/>
    </row>
    <row r="75" spans="1:35" s="208" customFormat="1" x14ac:dyDescent="0.25">
      <c r="A75" s="221">
        <v>143</v>
      </c>
      <c r="B75" s="130">
        <v>30.267353269999997</v>
      </c>
      <c r="C75" s="216">
        <v>2</v>
      </c>
      <c r="D75" s="214" t="s">
        <v>13</v>
      </c>
      <c r="E75" s="214" t="s">
        <v>10</v>
      </c>
      <c r="F75" s="128">
        <v>30.267353269999997</v>
      </c>
      <c r="G75" s="128"/>
      <c r="H75" s="215">
        <f t="shared" si="24"/>
        <v>1</v>
      </c>
      <c r="I75" s="215">
        <f>G75/F75</f>
        <v>0</v>
      </c>
      <c r="J75" s="216">
        <v>14996.41</v>
      </c>
      <c r="K75" s="216">
        <f t="shared" si="27"/>
        <v>0.95</v>
      </c>
      <c r="L75" s="216">
        <f t="shared" si="22"/>
        <v>1</v>
      </c>
      <c r="M75" s="216">
        <f t="shared" si="25"/>
        <v>14246.5895</v>
      </c>
      <c r="N75" s="216">
        <f>M75*F75</f>
        <v>431206.5572891726</v>
      </c>
      <c r="O75" s="216"/>
      <c r="P75" s="216"/>
      <c r="Q75" s="216"/>
      <c r="R75" s="216"/>
      <c r="S75" s="216"/>
      <c r="T75" s="216"/>
      <c r="U75" s="216"/>
      <c r="V75" s="220"/>
      <c r="W75" s="220"/>
      <c r="X75" s="111">
        <f t="shared" si="26"/>
        <v>431206.5572891726</v>
      </c>
      <c r="Y75" s="219" t="s">
        <v>13</v>
      </c>
      <c r="Z75" s="218"/>
      <c r="AA75" s="205"/>
      <c r="AB75" s="207"/>
      <c r="AC75" s="207"/>
      <c r="AE75" s="222"/>
      <c r="AF75" s="222"/>
      <c r="AI75" s="115"/>
    </row>
    <row r="76" spans="1:35" s="208" customFormat="1" x14ac:dyDescent="0.25">
      <c r="A76" s="221">
        <v>144</v>
      </c>
      <c r="B76" s="130">
        <v>39.98538576</v>
      </c>
      <c r="C76" s="216">
        <v>2</v>
      </c>
      <c r="D76" s="214" t="s">
        <v>13</v>
      </c>
      <c r="E76" s="214" t="s">
        <v>10</v>
      </c>
      <c r="F76" s="128">
        <v>11.042046320000001</v>
      </c>
      <c r="G76" s="128">
        <v>26.602158419999999</v>
      </c>
      <c r="H76" s="215">
        <f t="shared" si="24"/>
        <v>0.27615205180904079</v>
      </c>
      <c r="I76" s="215">
        <f>G76/B76</f>
        <v>0.665297030761971</v>
      </c>
      <c r="J76" s="111">
        <v>14977.67</v>
      </c>
      <c r="K76" s="216">
        <f t="shared" si="27"/>
        <v>0.95</v>
      </c>
      <c r="L76" s="216">
        <f t="shared" si="22"/>
        <v>1</v>
      </c>
      <c r="M76" s="111">
        <f t="shared" si="25"/>
        <v>14228.7865</v>
      </c>
      <c r="N76" s="216">
        <f>M76*B76</f>
        <v>568943.51709918026</v>
      </c>
      <c r="O76" s="216"/>
      <c r="P76" s="216"/>
      <c r="Q76" s="111">
        <v>2.3411810200000001</v>
      </c>
      <c r="R76" s="111">
        <f>'Cálculo Depre.-Sist. Irrig.'!$P$3*Q76</f>
        <v>18027.093853999999</v>
      </c>
      <c r="S76" s="214" t="s">
        <v>16</v>
      </c>
      <c r="T76" s="111">
        <f>Q76</f>
        <v>2.3411810200000001</v>
      </c>
      <c r="U76" s="111">
        <f>'Cálculo Valor Avaliação-Cultura'!$B$79*T76</f>
        <v>33698.360103460152</v>
      </c>
      <c r="V76" s="220"/>
      <c r="W76" s="220"/>
      <c r="X76" s="111">
        <f t="shared" si="26"/>
        <v>620668.97105664038</v>
      </c>
      <c r="Y76" s="219" t="s">
        <v>34</v>
      </c>
      <c r="Z76" s="218"/>
      <c r="AA76" s="205"/>
      <c r="AB76" s="207"/>
      <c r="AC76" s="207"/>
      <c r="AE76" s="222"/>
      <c r="AF76" s="222"/>
      <c r="AI76" s="115"/>
    </row>
    <row r="77" spans="1:35" s="208" customFormat="1" x14ac:dyDescent="0.25">
      <c r="A77" s="213">
        <v>145</v>
      </c>
      <c r="B77" s="130">
        <v>41.616622300000003</v>
      </c>
      <c r="C77" s="216">
        <v>2</v>
      </c>
      <c r="D77" s="214" t="s">
        <v>13</v>
      </c>
      <c r="E77" s="214" t="s">
        <v>10</v>
      </c>
      <c r="F77" s="128">
        <v>41.616622300000003</v>
      </c>
      <c r="G77" s="128"/>
      <c r="H77" s="215">
        <f t="shared" si="24"/>
        <v>1</v>
      </c>
      <c r="I77" s="215">
        <f>G77/F77</f>
        <v>0</v>
      </c>
      <c r="J77" s="216">
        <v>8402.6200000000008</v>
      </c>
      <c r="K77" s="216">
        <f t="shared" si="27"/>
        <v>0.95</v>
      </c>
      <c r="L77" s="111">
        <f>$B$320</f>
        <v>1.1499999999999999</v>
      </c>
      <c r="M77" s="216">
        <f t="shared" si="25"/>
        <v>9179.8623499999994</v>
      </c>
      <c r="N77" s="216">
        <f>M77*F77</f>
        <v>382034.86418594042</v>
      </c>
      <c r="O77" s="216"/>
      <c r="P77" s="216"/>
      <c r="Q77" s="216"/>
      <c r="R77" s="216"/>
      <c r="S77" s="216"/>
      <c r="T77" s="216"/>
      <c r="U77" s="216"/>
      <c r="V77" s="220"/>
      <c r="W77" s="220"/>
      <c r="X77" s="111">
        <f t="shared" si="26"/>
        <v>382034.86418594042</v>
      </c>
      <c r="Y77" s="219" t="s">
        <v>13</v>
      </c>
      <c r="Z77" s="218"/>
      <c r="AA77" s="205"/>
      <c r="AB77" s="207"/>
      <c r="AC77" s="207"/>
      <c r="AE77" s="222"/>
      <c r="AF77" s="222"/>
      <c r="AI77" s="115"/>
    </row>
    <row r="78" spans="1:35" s="208" customFormat="1" x14ac:dyDescent="0.25">
      <c r="A78" s="221">
        <v>146</v>
      </c>
      <c r="B78" s="130">
        <v>41.810683969999999</v>
      </c>
      <c r="C78" s="111">
        <v>2</v>
      </c>
      <c r="D78" s="214" t="s">
        <v>13</v>
      </c>
      <c r="E78" s="214" t="s">
        <v>10</v>
      </c>
      <c r="F78" s="128">
        <v>35.44715575</v>
      </c>
      <c r="G78" s="128">
        <v>6.3635282200000001</v>
      </c>
      <c r="H78" s="215">
        <f t="shared" si="24"/>
        <v>0.84780138434075947</v>
      </c>
      <c r="I78" s="215">
        <f>G78/B78</f>
        <v>0.15219861565924056</v>
      </c>
      <c r="J78" s="111">
        <v>16532.490000000002</v>
      </c>
      <c r="K78" s="216">
        <f t="shared" si="27"/>
        <v>0.95</v>
      </c>
      <c r="L78" s="216">
        <f>$B$321</f>
        <v>1</v>
      </c>
      <c r="M78" s="111">
        <f t="shared" si="25"/>
        <v>15705.8655</v>
      </c>
      <c r="N78" s="111">
        <f>B78*M78</f>
        <v>656672.97889582603</v>
      </c>
      <c r="O78" s="111"/>
      <c r="P78" s="111"/>
      <c r="Q78" s="111"/>
      <c r="R78" s="111"/>
      <c r="S78" s="111"/>
      <c r="T78" s="111"/>
      <c r="U78" s="111"/>
      <c r="V78" s="111"/>
      <c r="W78" s="111"/>
      <c r="X78" s="111">
        <f t="shared" si="26"/>
        <v>656672.97889582603</v>
      </c>
      <c r="Y78" s="219" t="s">
        <v>34</v>
      </c>
      <c r="Z78" s="218"/>
      <c r="AA78" s="205"/>
      <c r="AB78" s="207"/>
      <c r="AC78" s="207"/>
      <c r="AE78" s="222"/>
      <c r="AF78" s="222"/>
      <c r="AI78" s="115"/>
    </row>
    <row r="79" spans="1:35" s="208" customFormat="1" x14ac:dyDescent="0.25">
      <c r="A79" s="213">
        <v>147</v>
      </c>
      <c r="B79" s="130">
        <v>14.27766928</v>
      </c>
      <c r="C79" s="216">
        <v>2</v>
      </c>
      <c r="D79" s="214" t="s">
        <v>13</v>
      </c>
      <c r="E79" s="214" t="s">
        <v>10</v>
      </c>
      <c r="F79" s="128">
        <v>14.27766928</v>
      </c>
      <c r="G79" s="128"/>
      <c r="H79" s="215">
        <f t="shared" si="24"/>
        <v>1</v>
      </c>
      <c r="I79" s="215">
        <f>G79/F79</f>
        <v>0</v>
      </c>
      <c r="J79" s="216">
        <v>9710.7000000000007</v>
      </c>
      <c r="K79" s="216">
        <f t="shared" si="27"/>
        <v>0.95</v>
      </c>
      <c r="L79" s="111">
        <f>$B$320</f>
        <v>1.1499999999999999</v>
      </c>
      <c r="M79" s="216">
        <f t="shared" si="25"/>
        <v>10608.93975</v>
      </c>
      <c r="N79" s="216">
        <f>M79*F79</f>
        <v>151470.93316194587</v>
      </c>
      <c r="O79" s="216"/>
      <c r="P79" s="216"/>
      <c r="Q79" s="216"/>
      <c r="R79" s="216"/>
      <c r="S79" s="216"/>
      <c r="T79" s="216"/>
      <c r="U79" s="216"/>
      <c r="V79" s="220"/>
      <c r="W79" s="220"/>
      <c r="X79" s="111">
        <f t="shared" si="26"/>
        <v>151470.93316194587</v>
      </c>
      <c r="Y79" s="219" t="s">
        <v>31</v>
      </c>
      <c r="Z79" s="218"/>
      <c r="AA79" s="205"/>
      <c r="AB79" s="207"/>
      <c r="AC79" s="207"/>
      <c r="AE79" s="222"/>
      <c r="AF79" s="222"/>
      <c r="AI79" s="115"/>
    </row>
    <row r="80" spans="1:35" s="208" customFormat="1" x14ac:dyDescent="0.25">
      <c r="A80" s="213">
        <v>148</v>
      </c>
      <c r="B80" s="130">
        <v>26.276416529999999</v>
      </c>
      <c r="C80" s="111">
        <v>2</v>
      </c>
      <c r="D80" s="214" t="s">
        <v>13</v>
      </c>
      <c r="E80" s="214" t="s">
        <v>10</v>
      </c>
      <c r="F80" s="128">
        <v>10.204236059999998</v>
      </c>
      <c r="G80" s="128">
        <v>16.072180469999999</v>
      </c>
      <c r="H80" s="215">
        <f t="shared" si="24"/>
        <v>0.38834199664744007</v>
      </c>
      <c r="I80" s="215">
        <f>G80/B80</f>
        <v>0.61165800335255993</v>
      </c>
      <c r="J80" s="111">
        <v>8308</v>
      </c>
      <c r="K80" s="216">
        <f t="shared" si="27"/>
        <v>0.95</v>
      </c>
      <c r="L80" s="111">
        <f>$B$320</f>
        <v>1.1499999999999999</v>
      </c>
      <c r="M80" s="111">
        <f t="shared" si="25"/>
        <v>9076.489999999998</v>
      </c>
      <c r="N80" s="111">
        <f>B80*M80</f>
        <v>238497.63187037964</v>
      </c>
      <c r="O80" s="111"/>
      <c r="P80" s="111"/>
      <c r="Q80" s="111"/>
      <c r="R80" s="111"/>
      <c r="S80" s="111"/>
      <c r="T80" s="111"/>
      <c r="U80" s="111"/>
      <c r="V80" s="111"/>
      <c r="W80" s="111"/>
      <c r="X80" s="111">
        <f t="shared" si="26"/>
        <v>238497.63187037964</v>
      </c>
      <c r="Y80" s="219" t="s">
        <v>34</v>
      </c>
      <c r="Z80" s="218"/>
      <c r="AA80" s="205"/>
      <c r="AB80" s="207"/>
      <c r="AC80" s="207"/>
      <c r="AE80" s="222"/>
      <c r="AF80" s="222"/>
      <c r="AI80" s="115"/>
    </row>
    <row r="81" spans="1:35" s="208" customFormat="1" x14ac:dyDescent="0.25">
      <c r="A81" s="221">
        <v>149</v>
      </c>
      <c r="B81" s="130">
        <v>29.44904094</v>
      </c>
      <c r="C81" s="111">
        <v>2</v>
      </c>
      <c r="D81" s="214" t="s">
        <v>13</v>
      </c>
      <c r="E81" s="214" t="s">
        <v>10</v>
      </c>
      <c r="F81" s="128">
        <v>19.68218259</v>
      </c>
      <c r="G81" s="128">
        <v>9.7668583499999997</v>
      </c>
      <c r="H81" s="215">
        <f t="shared" si="24"/>
        <v>0.66834715025527758</v>
      </c>
      <c r="I81" s="215">
        <f>G81/B81</f>
        <v>0.33165284974472242</v>
      </c>
      <c r="J81" s="111">
        <v>16563.93</v>
      </c>
      <c r="K81" s="216">
        <f t="shared" si="27"/>
        <v>0.95</v>
      </c>
      <c r="L81" s="216">
        <f t="shared" ref="L81:L88" si="29">$B$321</f>
        <v>1</v>
      </c>
      <c r="M81" s="111">
        <f t="shared" si="25"/>
        <v>15735.7335</v>
      </c>
      <c r="N81" s="111">
        <f>B81*M81</f>
        <v>463402.26006242947</v>
      </c>
      <c r="O81" s="111"/>
      <c r="P81" s="111"/>
      <c r="Q81" s="111"/>
      <c r="R81" s="111"/>
      <c r="S81" s="111"/>
      <c r="T81" s="111"/>
      <c r="U81" s="111"/>
      <c r="V81" s="111"/>
      <c r="W81" s="111"/>
      <c r="X81" s="111">
        <f t="shared" si="26"/>
        <v>463402.26006242947</v>
      </c>
      <c r="Y81" s="219" t="s">
        <v>31</v>
      </c>
      <c r="Z81" s="218"/>
      <c r="AA81" s="205"/>
      <c r="AB81" s="207"/>
      <c r="AC81" s="207"/>
      <c r="AE81" s="222"/>
      <c r="AF81" s="222"/>
      <c r="AI81" s="115"/>
    </row>
    <row r="82" spans="1:35" s="208" customFormat="1" x14ac:dyDescent="0.25">
      <c r="A82" s="221">
        <v>150</v>
      </c>
      <c r="B82" s="130">
        <v>7.17376624</v>
      </c>
      <c r="C82" s="216">
        <v>2</v>
      </c>
      <c r="D82" s="214" t="s">
        <v>13</v>
      </c>
      <c r="E82" s="214" t="s">
        <v>10</v>
      </c>
      <c r="F82" s="128">
        <v>7.17376624</v>
      </c>
      <c r="G82" s="128"/>
      <c r="H82" s="215">
        <f t="shared" si="24"/>
        <v>1</v>
      </c>
      <c r="I82" s="215">
        <f>G82/F82</f>
        <v>0</v>
      </c>
      <c r="J82" s="216">
        <v>15041.1</v>
      </c>
      <c r="K82" s="216">
        <f t="shared" si="27"/>
        <v>0.95</v>
      </c>
      <c r="L82" s="216">
        <f t="shared" si="29"/>
        <v>1</v>
      </c>
      <c r="M82" s="216">
        <f t="shared" si="25"/>
        <v>14289.045</v>
      </c>
      <c r="N82" s="216">
        <f>M82*F82</f>
        <v>102506.2686228408</v>
      </c>
      <c r="O82" s="216"/>
      <c r="P82" s="216"/>
      <c r="Q82" s="216"/>
      <c r="R82" s="216"/>
      <c r="S82" s="216"/>
      <c r="T82" s="216"/>
      <c r="U82" s="216"/>
      <c r="V82" s="220"/>
      <c r="W82" s="220"/>
      <c r="X82" s="111">
        <f t="shared" si="26"/>
        <v>102506.2686228408</v>
      </c>
      <c r="Y82" s="219" t="s">
        <v>13</v>
      </c>
      <c r="Z82" s="218"/>
      <c r="AA82" s="205"/>
      <c r="AB82" s="207"/>
      <c r="AC82" s="207"/>
      <c r="AE82" s="222"/>
      <c r="AF82" s="222"/>
      <c r="AI82" s="115"/>
    </row>
    <row r="83" spans="1:35" s="208" customFormat="1" x14ac:dyDescent="0.25">
      <c r="A83" s="221">
        <v>151</v>
      </c>
      <c r="B83" s="130">
        <v>1.7829999999999999</v>
      </c>
      <c r="C83" s="216">
        <v>2</v>
      </c>
      <c r="D83" s="214" t="s">
        <v>13</v>
      </c>
      <c r="E83" s="214" t="s">
        <v>10</v>
      </c>
      <c r="F83" s="128">
        <v>1.7829999999999999</v>
      </c>
      <c r="G83" s="128"/>
      <c r="H83" s="215">
        <f t="shared" si="24"/>
        <v>1</v>
      </c>
      <c r="I83" s="215">
        <f>G83/F83</f>
        <v>0</v>
      </c>
      <c r="J83" s="216">
        <v>16634.34</v>
      </c>
      <c r="K83" s="216">
        <f t="shared" si="27"/>
        <v>0.95</v>
      </c>
      <c r="L83" s="216">
        <f t="shared" si="29"/>
        <v>1</v>
      </c>
      <c r="M83" s="216">
        <f t="shared" si="25"/>
        <v>15802.623</v>
      </c>
      <c r="N83" s="216">
        <f>M83*F83</f>
        <v>28176.076808999998</v>
      </c>
      <c r="O83" s="216"/>
      <c r="P83" s="216"/>
      <c r="Q83" s="216"/>
      <c r="R83" s="216"/>
      <c r="S83" s="216"/>
      <c r="T83" s="216"/>
      <c r="U83" s="216"/>
      <c r="V83" s="220"/>
      <c r="W83" s="220"/>
      <c r="X83" s="111">
        <f t="shared" si="26"/>
        <v>28176.076808999998</v>
      </c>
      <c r="Y83" s="219" t="s">
        <v>34</v>
      </c>
      <c r="Z83" s="218"/>
      <c r="AA83" s="205"/>
      <c r="AB83" s="207"/>
      <c r="AC83" s="207"/>
      <c r="AE83" s="222"/>
      <c r="AF83" s="222"/>
      <c r="AI83" s="115"/>
    </row>
    <row r="84" spans="1:35" s="208" customFormat="1" x14ac:dyDescent="0.25">
      <c r="A84" s="221">
        <v>152</v>
      </c>
      <c r="B84" s="130">
        <v>19.644972020000001</v>
      </c>
      <c r="C84" s="216">
        <v>2</v>
      </c>
      <c r="D84" s="214" t="s">
        <v>10</v>
      </c>
      <c r="E84" s="214" t="s">
        <v>10</v>
      </c>
      <c r="F84" s="128">
        <v>19.644972020000001</v>
      </c>
      <c r="G84" s="128"/>
      <c r="H84" s="215">
        <f t="shared" si="24"/>
        <v>1</v>
      </c>
      <c r="I84" s="215">
        <f>G84/F84</f>
        <v>0</v>
      </c>
      <c r="J84" s="216">
        <v>18528.099999999999</v>
      </c>
      <c r="K84" s="216">
        <f t="shared" si="27"/>
        <v>0.95</v>
      </c>
      <c r="L84" s="216">
        <f t="shared" si="29"/>
        <v>1</v>
      </c>
      <c r="M84" s="216">
        <f t="shared" si="25"/>
        <v>17601.694999999996</v>
      </c>
      <c r="N84" s="216">
        <f>M84*F84</f>
        <v>345784.80577957386</v>
      </c>
      <c r="O84" s="216"/>
      <c r="P84" s="216"/>
      <c r="Q84" s="216"/>
      <c r="R84" s="216"/>
      <c r="S84" s="216"/>
      <c r="T84" s="216"/>
      <c r="U84" s="216"/>
      <c r="V84" s="220"/>
      <c r="W84" s="220"/>
      <c r="X84" s="111">
        <f t="shared" si="26"/>
        <v>345784.80577957386</v>
      </c>
      <c r="Y84" s="219" t="s">
        <v>29</v>
      </c>
      <c r="Z84" s="218"/>
      <c r="AA84" s="205"/>
      <c r="AB84" s="207"/>
      <c r="AC84" s="207"/>
      <c r="AE84" s="222"/>
      <c r="AF84" s="222"/>
      <c r="AI84" s="115"/>
    </row>
    <row r="85" spans="1:35" s="208" customFormat="1" x14ac:dyDescent="0.25">
      <c r="A85" s="221">
        <v>153</v>
      </c>
      <c r="B85" s="130">
        <v>91.252374159999988</v>
      </c>
      <c r="C85" s="111">
        <v>1</v>
      </c>
      <c r="D85" s="214" t="s">
        <v>13</v>
      </c>
      <c r="E85" s="214" t="s">
        <v>10</v>
      </c>
      <c r="F85" s="128">
        <v>88.41409419</v>
      </c>
      <c r="G85" s="128">
        <v>2.8382799699999999</v>
      </c>
      <c r="H85" s="215">
        <f t="shared" si="24"/>
        <v>0.96889637123278116</v>
      </c>
      <c r="I85" s="215">
        <f t="shared" ref="I85:I108" si="30">G85/B85</f>
        <v>3.1103628767218918E-2</v>
      </c>
      <c r="J85" s="111">
        <v>9770.1</v>
      </c>
      <c r="K85" s="216">
        <f t="shared" si="27"/>
        <v>0.95</v>
      </c>
      <c r="L85" s="216">
        <f t="shared" si="29"/>
        <v>1</v>
      </c>
      <c r="M85" s="111">
        <f t="shared" si="25"/>
        <v>9281.5949999999993</v>
      </c>
      <c r="N85" s="111">
        <f t="shared" ref="N85:N91" si="31">B85*M85</f>
        <v>846967.57974158507</v>
      </c>
      <c r="O85" s="111"/>
      <c r="P85" s="111"/>
      <c r="Q85" s="111"/>
      <c r="R85" s="111"/>
      <c r="S85" s="111"/>
      <c r="T85" s="111"/>
      <c r="U85" s="111"/>
      <c r="V85" s="111"/>
      <c r="W85" s="111"/>
      <c r="X85" s="111">
        <f t="shared" si="26"/>
        <v>846967.57974158507</v>
      </c>
      <c r="Y85" s="219"/>
      <c r="Z85" s="218"/>
      <c r="AA85" s="205"/>
      <c r="AB85" s="207"/>
      <c r="AC85" s="207"/>
      <c r="AE85" s="222"/>
      <c r="AF85" s="222"/>
      <c r="AI85" s="115"/>
    </row>
    <row r="86" spans="1:35" s="208" customFormat="1" x14ac:dyDescent="0.25">
      <c r="A86" s="221">
        <v>154</v>
      </c>
      <c r="B86" s="130">
        <v>52.52530943</v>
      </c>
      <c r="C86" s="111">
        <v>1</v>
      </c>
      <c r="D86" s="214" t="s">
        <v>13</v>
      </c>
      <c r="E86" s="214" t="s">
        <v>10</v>
      </c>
      <c r="F86" s="128">
        <v>35.90876059</v>
      </c>
      <c r="G86" s="128">
        <v>16.61654884</v>
      </c>
      <c r="H86" s="215">
        <f t="shared" si="24"/>
        <v>0.68364681673803895</v>
      </c>
      <c r="I86" s="215">
        <f t="shared" si="30"/>
        <v>0.31635318326196105</v>
      </c>
      <c r="J86" s="111">
        <v>9804.51</v>
      </c>
      <c r="K86" s="216">
        <f t="shared" si="27"/>
        <v>0.95</v>
      </c>
      <c r="L86" s="216">
        <f t="shared" si="29"/>
        <v>1</v>
      </c>
      <c r="M86" s="111">
        <f t="shared" si="25"/>
        <v>9314.2844999999998</v>
      </c>
      <c r="N86" s="111">
        <f t="shared" si="31"/>
        <v>489235.67548155284</v>
      </c>
      <c r="O86" s="111"/>
      <c r="P86" s="111"/>
      <c r="Q86" s="111"/>
      <c r="R86" s="111"/>
      <c r="S86" s="111"/>
      <c r="T86" s="111"/>
      <c r="U86" s="111"/>
      <c r="V86" s="111"/>
      <c r="W86" s="111"/>
      <c r="X86" s="111">
        <f t="shared" si="26"/>
        <v>489235.67548155284</v>
      </c>
      <c r="Y86" s="219"/>
      <c r="Z86" s="218"/>
      <c r="AA86" s="205"/>
      <c r="AB86" s="207"/>
      <c r="AC86" s="207"/>
      <c r="AE86" s="222"/>
      <c r="AF86" s="222"/>
      <c r="AI86" s="115"/>
    </row>
    <row r="87" spans="1:35" s="208" customFormat="1" x14ac:dyDescent="0.25">
      <c r="A87" s="221">
        <v>155</v>
      </c>
      <c r="B87" s="130">
        <v>39.455231859999998</v>
      </c>
      <c r="C87" s="111">
        <v>2</v>
      </c>
      <c r="D87" s="214" t="s">
        <v>13</v>
      </c>
      <c r="E87" s="214" t="s">
        <v>10</v>
      </c>
      <c r="F87" s="128">
        <v>20.877180450000001</v>
      </c>
      <c r="G87" s="128">
        <v>18.57805141</v>
      </c>
      <c r="H87" s="215">
        <f t="shared" si="24"/>
        <v>0.5291359210377734</v>
      </c>
      <c r="I87" s="215">
        <f t="shared" si="30"/>
        <v>0.47086407896222665</v>
      </c>
      <c r="J87" s="111">
        <v>14978.64</v>
      </c>
      <c r="K87" s="216">
        <f t="shared" si="27"/>
        <v>0.95</v>
      </c>
      <c r="L87" s="216">
        <f t="shared" si="29"/>
        <v>1</v>
      </c>
      <c r="M87" s="111">
        <f t="shared" si="25"/>
        <v>14229.707999999999</v>
      </c>
      <c r="N87" s="111">
        <f t="shared" si="31"/>
        <v>561436.42844009679</v>
      </c>
      <c r="O87" s="111"/>
      <c r="P87" s="111"/>
      <c r="Q87" s="111"/>
      <c r="R87" s="111"/>
      <c r="S87" s="111"/>
      <c r="T87" s="111"/>
      <c r="U87" s="111"/>
      <c r="V87" s="111"/>
      <c r="W87" s="111"/>
      <c r="X87" s="111">
        <f t="shared" si="26"/>
        <v>561436.42844009679</v>
      </c>
      <c r="Y87" s="219" t="s">
        <v>31</v>
      </c>
      <c r="Z87" s="218"/>
      <c r="AA87" s="205"/>
      <c r="AB87" s="207"/>
      <c r="AC87" s="207"/>
      <c r="AE87" s="222"/>
      <c r="AF87" s="222"/>
      <c r="AI87" s="115"/>
    </row>
    <row r="88" spans="1:35" s="208" customFormat="1" x14ac:dyDescent="0.25">
      <c r="A88" s="221">
        <v>156</v>
      </c>
      <c r="B88" s="130">
        <v>13.8786153</v>
      </c>
      <c r="C88" s="111">
        <v>1</v>
      </c>
      <c r="D88" s="214" t="s">
        <v>13</v>
      </c>
      <c r="E88" s="214" t="s">
        <v>10</v>
      </c>
      <c r="F88" s="128">
        <v>4.300809319999999</v>
      </c>
      <c r="G88" s="128">
        <v>9.5778059800000008</v>
      </c>
      <c r="H88" s="215">
        <f t="shared" si="24"/>
        <v>0.30988749432373119</v>
      </c>
      <c r="I88" s="215">
        <f t="shared" si="30"/>
        <v>0.69011250567626881</v>
      </c>
      <c r="J88" s="111">
        <v>9838.99</v>
      </c>
      <c r="K88" s="216">
        <f t="shared" si="27"/>
        <v>0.95</v>
      </c>
      <c r="L88" s="216">
        <f t="shared" si="29"/>
        <v>1</v>
      </c>
      <c r="M88" s="111">
        <f t="shared" si="25"/>
        <v>9347.0404999999992</v>
      </c>
      <c r="N88" s="111">
        <f t="shared" si="31"/>
        <v>129723.97929301964</v>
      </c>
      <c r="O88" s="111"/>
      <c r="P88" s="111"/>
      <c r="Q88" s="111"/>
      <c r="R88" s="111"/>
      <c r="S88" s="111"/>
      <c r="T88" s="111"/>
      <c r="U88" s="111"/>
      <c r="V88" s="111"/>
      <c r="W88" s="111"/>
      <c r="X88" s="111">
        <f t="shared" si="26"/>
        <v>129723.97929301964</v>
      </c>
      <c r="Y88" s="219"/>
      <c r="Z88" s="218"/>
      <c r="AA88" s="205"/>
      <c r="AB88" s="207"/>
      <c r="AC88" s="207"/>
      <c r="AE88" s="222"/>
      <c r="AF88" s="222"/>
      <c r="AI88" s="115"/>
    </row>
    <row r="89" spans="1:35" s="208" customFormat="1" x14ac:dyDescent="0.25">
      <c r="A89" s="213">
        <v>157</v>
      </c>
      <c r="B89" s="130">
        <v>19.95216615</v>
      </c>
      <c r="C89" s="111">
        <v>2</v>
      </c>
      <c r="D89" s="214" t="s">
        <v>13</v>
      </c>
      <c r="E89" s="214" t="s">
        <v>10</v>
      </c>
      <c r="F89" s="128">
        <v>11.049110199999998</v>
      </c>
      <c r="G89" s="128">
        <v>8.9030559500000006</v>
      </c>
      <c r="H89" s="215">
        <f t="shared" si="24"/>
        <v>0.55377998142823193</v>
      </c>
      <c r="I89" s="215">
        <f t="shared" si="30"/>
        <v>0.44622001857176796</v>
      </c>
      <c r="J89" s="111">
        <v>8414.83</v>
      </c>
      <c r="K89" s="216">
        <f t="shared" si="27"/>
        <v>0.95</v>
      </c>
      <c r="L89" s="111">
        <f>$B$320</f>
        <v>1.1499999999999999</v>
      </c>
      <c r="M89" s="111">
        <f t="shared" si="25"/>
        <v>9193.2017749999995</v>
      </c>
      <c r="N89" s="111">
        <f t="shared" si="31"/>
        <v>183424.28926527491</v>
      </c>
      <c r="O89" s="111"/>
      <c r="P89" s="111"/>
      <c r="Q89" s="111"/>
      <c r="R89" s="111"/>
      <c r="S89" s="111"/>
      <c r="T89" s="111"/>
      <c r="U89" s="111"/>
      <c r="V89" s="111"/>
      <c r="W89" s="111"/>
      <c r="X89" s="111">
        <f t="shared" si="26"/>
        <v>183424.28926527491</v>
      </c>
      <c r="Y89" s="219" t="s">
        <v>34</v>
      </c>
      <c r="Z89" s="218"/>
      <c r="AA89" s="223"/>
      <c r="AB89" s="207"/>
      <c r="AC89" s="207"/>
      <c r="AE89" s="222"/>
      <c r="AF89" s="222"/>
      <c r="AI89" s="115"/>
    </row>
    <row r="90" spans="1:35" s="208" customFormat="1" x14ac:dyDescent="0.25">
      <c r="A90" s="213">
        <v>158</v>
      </c>
      <c r="B90" s="130">
        <v>5.96867357</v>
      </c>
      <c r="C90" s="111">
        <v>2</v>
      </c>
      <c r="D90" s="214" t="s">
        <v>13</v>
      </c>
      <c r="E90" s="214" t="s">
        <v>10</v>
      </c>
      <c r="F90" s="128">
        <v>3.1194497099999996</v>
      </c>
      <c r="G90" s="128">
        <v>2.8492238599999999</v>
      </c>
      <c r="H90" s="215">
        <f t="shared" si="24"/>
        <v>0.52263701028635745</v>
      </c>
      <c r="I90" s="215">
        <f t="shared" si="30"/>
        <v>0.47736298971364249</v>
      </c>
      <c r="J90" s="111">
        <v>9542.3700000000008</v>
      </c>
      <c r="K90" s="216">
        <f t="shared" si="27"/>
        <v>0.95</v>
      </c>
      <c r="L90" s="111">
        <f>$B$320</f>
        <v>1.1499999999999999</v>
      </c>
      <c r="M90" s="111">
        <f t="shared" si="25"/>
        <v>10425.039225</v>
      </c>
      <c r="N90" s="111">
        <f t="shared" si="31"/>
        <v>62223.656088470787</v>
      </c>
      <c r="O90" s="111"/>
      <c r="P90" s="111"/>
      <c r="Q90" s="111"/>
      <c r="R90" s="111"/>
      <c r="S90" s="111"/>
      <c r="T90" s="111"/>
      <c r="U90" s="111"/>
      <c r="V90" s="111"/>
      <c r="W90" s="111"/>
      <c r="X90" s="111">
        <f t="shared" si="26"/>
        <v>62223.656088470787</v>
      </c>
      <c r="Y90" s="219" t="s">
        <v>38</v>
      </c>
      <c r="Z90" s="218"/>
      <c r="AA90" s="205"/>
      <c r="AB90" s="207"/>
      <c r="AC90" s="207"/>
      <c r="AE90" s="222"/>
      <c r="AF90" s="222"/>
      <c r="AI90" s="115"/>
    </row>
    <row r="91" spans="1:35" s="208" customFormat="1" x14ac:dyDescent="0.25">
      <c r="A91" s="213">
        <v>159</v>
      </c>
      <c r="B91" s="130">
        <v>37.094693759999998</v>
      </c>
      <c r="C91" s="111">
        <v>1</v>
      </c>
      <c r="D91" s="214" t="s">
        <v>13</v>
      </c>
      <c r="E91" s="214" t="s">
        <v>10</v>
      </c>
      <c r="F91" s="128">
        <v>29.887090300000001</v>
      </c>
      <c r="G91" s="128">
        <v>7.2076034599999996</v>
      </c>
      <c r="H91" s="215">
        <f t="shared" si="24"/>
        <v>0.8056971838982504</v>
      </c>
      <c r="I91" s="215">
        <f t="shared" si="30"/>
        <v>0.19430281610174965</v>
      </c>
      <c r="J91" s="111">
        <v>6909.48</v>
      </c>
      <c r="K91" s="216">
        <f t="shared" si="27"/>
        <v>0.95</v>
      </c>
      <c r="L91" s="111">
        <f>$B$320</f>
        <v>1.1499999999999999</v>
      </c>
      <c r="M91" s="111">
        <f t="shared" si="25"/>
        <v>7548.6068999999989</v>
      </c>
      <c r="N91" s="111">
        <f t="shared" si="31"/>
        <v>280013.26127012289</v>
      </c>
      <c r="O91" s="111"/>
      <c r="P91" s="111"/>
      <c r="Q91" s="111"/>
      <c r="R91" s="111"/>
      <c r="S91" s="111"/>
      <c r="T91" s="111"/>
      <c r="U91" s="111"/>
      <c r="V91" s="111"/>
      <c r="W91" s="111"/>
      <c r="X91" s="111">
        <f t="shared" si="26"/>
        <v>280013.26127012289</v>
      </c>
      <c r="Y91" s="219"/>
      <c r="Z91" s="218"/>
      <c r="AA91" s="205"/>
      <c r="AB91" s="207"/>
      <c r="AC91" s="207"/>
      <c r="AE91" s="222"/>
      <c r="AF91" s="222"/>
      <c r="AI91" s="115"/>
    </row>
    <row r="92" spans="1:35" s="208" customFormat="1" x14ac:dyDescent="0.25">
      <c r="A92" s="221">
        <v>160</v>
      </c>
      <c r="B92" s="130">
        <v>26.711122889999999</v>
      </c>
      <c r="C92" s="216">
        <v>2</v>
      </c>
      <c r="D92" s="214" t="s">
        <v>13</v>
      </c>
      <c r="E92" s="214" t="s">
        <v>10</v>
      </c>
      <c r="F92" s="128"/>
      <c r="G92" s="128"/>
      <c r="H92" s="215">
        <f t="shared" si="24"/>
        <v>0</v>
      </c>
      <c r="I92" s="215">
        <f t="shared" si="30"/>
        <v>0</v>
      </c>
      <c r="J92" s="111">
        <v>15003.37</v>
      </c>
      <c r="K92" s="216">
        <f t="shared" si="27"/>
        <v>0.95</v>
      </c>
      <c r="L92" s="216">
        <f>$B$321</f>
        <v>1</v>
      </c>
      <c r="M92" s="111">
        <f t="shared" si="25"/>
        <v>14253.201499999999</v>
      </c>
      <c r="N92" s="216">
        <f>M92*B92</f>
        <v>380719.01684243232</v>
      </c>
      <c r="O92" s="216"/>
      <c r="P92" s="216"/>
      <c r="Q92" s="111">
        <v>26.711122889999999</v>
      </c>
      <c r="R92" s="111">
        <f>'Cálculo Depre.-Sist. Irrig.'!$P$3*Q92</f>
        <v>205675.64625299998</v>
      </c>
      <c r="S92" s="214" t="s">
        <v>17</v>
      </c>
      <c r="T92" s="111">
        <f>Q92</f>
        <v>26.711122889999999</v>
      </c>
      <c r="U92" s="111">
        <f>'Cálculo Valor Avaliação-Cultura'!$P$79*T92</f>
        <v>629538.17140381038</v>
      </c>
      <c r="V92" s="220"/>
      <c r="W92" s="220"/>
      <c r="X92" s="111">
        <f t="shared" si="26"/>
        <v>1215932.8344992427</v>
      </c>
      <c r="Y92" s="219" t="s">
        <v>31</v>
      </c>
      <c r="Z92" s="218"/>
      <c r="AA92" s="205"/>
      <c r="AB92" s="207"/>
      <c r="AC92" s="207"/>
      <c r="AE92" s="222"/>
      <c r="AF92" s="222"/>
      <c r="AI92" s="115"/>
    </row>
    <row r="93" spans="1:35" s="208" customFormat="1" x14ac:dyDescent="0.25">
      <c r="A93" s="221">
        <v>161</v>
      </c>
      <c r="B93" s="130">
        <v>28.839177360000001</v>
      </c>
      <c r="C93" s="216">
        <v>2</v>
      </c>
      <c r="D93" s="214" t="s">
        <v>13</v>
      </c>
      <c r="E93" s="214" t="s">
        <v>10</v>
      </c>
      <c r="F93" s="128">
        <v>5.7681253800000007</v>
      </c>
      <c r="G93" s="128">
        <v>4.2730476199999998</v>
      </c>
      <c r="H93" s="215">
        <f t="shared" si="24"/>
        <v>0.20001005257523061</v>
      </c>
      <c r="I93" s="215">
        <f t="shared" si="30"/>
        <v>0.14816815218615514</v>
      </c>
      <c r="J93" s="111">
        <v>14999.31</v>
      </c>
      <c r="K93" s="216">
        <f t="shared" si="27"/>
        <v>0.95</v>
      </c>
      <c r="L93" s="216">
        <f>$B$321</f>
        <v>1</v>
      </c>
      <c r="M93" s="111">
        <f t="shared" si="25"/>
        <v>14249.344499999999</v>
      </c>
      <c r="N93" s="216">
        <f>M93*B93</f>
        <v>410939.37329924048</v>
      </c>
      <c r="O93" s="216"/>
      <c r="P93" s="216"/>
      <c r="Q93" s="111">
        <v>18.79800436</v>
      </c>
      <c r="R93" s="111">
        <f>'Cálculo Depre.-Sist. Irrig.'!$P$3*Q93</f>
        <v>144744.63357199999</v>
      </c>
      <c r="S93" s="214" t="s">
        <v>16</v>
      </c>
      <c r="T93" s="111">
        <f>Q93</f>
        <v>18.79800436</v>
      </c>
      <c r="U93" s="111">
        <f>'Cálculo Valor Avaliação-Cultura'!$B$79*T93</f>
        <v>270573.66121552361</v>
      </c>
      <c r="V93" s="220"/>
      <c r="W93" s="220"/>
      <c r="X93" s="111">
        <f t="shared" si="26"/>
        <v>826257.66808676405</v>
      </c>
      <c r="Y93" s="219" t="s">
        <v>44</v>
      </c>
      <c r="Z93" s="218"/>
      <c r="AA93" s="205"/>
      <c r="AB93" s="207"/>
      <c r="AC93" s="207"/>
      <c r="AD93" s="115"/>
      <c r="AE93" s="222"/>
      <c r="AF93" s="222"/>
      <c r="AI93" s="115"/>
    </row>
    <row r="94" spans="1:35" s="208" customFormat="1" x14ac:dyDescent="0.25">
      <c r="A94" s="221">
        <v>162</v>
      </c>
      <c r="B94" s="130">
        <v>29.6821485</v>
      </c>
      <c r="C94" s="111">
        <v>1</v>
      </c>
      <c r="D94" s="214" t="s">
        <v>13</v>
      </c>
      <c r="E94" s="214" t="s">
        <v>10</v>
      </c>
      <c r="F94" s="128">
        <v>5.2610400799999972</v>
      </c>
      <c r="G94" s="128">
        <v>24.421108419999999</v>
      </c>
      <c r="H94" s="215">
        <f t="shared" si="24"/>
        <v>0.17724593218041468</v>
      </c>
      <c r="I94" s="215">
        <f t="shared" si="30"/>
        <v>0.82275406781958516</v>
      </c>
      <c r="J94" s="111">
        <v>9824.84</v>
      </c>
      <c r="K94" s="216">
        <f t="shared" si="27"/>
        <v>0.95</v>
      </c>
      <c r="L94" s="216">
        <f>$B$321</f>
        <v>1</v>
      </c>
      <c r="M94" s="111">
        <f t="shared" si="25"/>
        <v>9333.598</v>
      </c>
      <c r="N94" s="111">
        <f>B94*M94</f>
        <v>277041.24187530298</v>
      </c>
      <c r="O94" s="111"/>
      <c r="P94" s="111"/>
      <c r="Q94" s="111"/>
      <c r="R94" s="111"/>
      <c r="S94" s="111"/>
      <c r="T94" s="111"/>
      <c r="U94" s="111"/>
      <c r="V94" s="111"/>
      <c r="W94" s="111"/>
      <c r="X94" s="111">
        <f t="shared" si="26"/>
        <v>277041.24187530298</v>
      </c>
      <c r="Y94" s="219"/>
      <c r="Z94" s="218"/>
      <c r="AA94" s="205"/>
      <c r="AB94" s="207"/>
      <c r="AC94" s="207"/>
      <c r="AD94" s="115"/>
      <c r="AE94" s="222"/>
      <c r="AF94" s="222"/>
      <c r="AI94" s="115"/>
    </row>
    <row r="95" spans="1:35" s="208" customFormat="1" x14ac:dyDescent="0.25">
      <c r="A95" s="221">
        <v>163</v>
      </c>
      <c r="B95" s="130">
        <v>40.858197189999998</v>
      </c>
      <c r="C95" s="111">
        <v>2</v>
      </c>
      <c r="D95" s="214" t="s">
        <v>13</v>
      </c>
      <c r="E95" s="214" t="s">
        <v>10</v>
      </c>
      <c r="F95" s="128">
        <v>26.51741681</v>
      </c>
      <c r="G95" s="128">
        <v>14.34078038</v>
      </c>
      <c r="H95" s="215">
        <f t="shared" si="24"/>
        <v>0.64901093620670347</v>
      </c>
      <c r="I95" s="215">
        <f t="shared" si="30"/>
        <v>0.35098906379329659</v>
      </c>
      <c r="J95" s="111">
        <v>16534.77</v>
      </c>
      <c r="K95" s="216">
        <f t="shared" si="27"/>
        <v>0.95</v>
      </c>
      <c r="L95" s="216">
        <f>$B$321</f>
        <v>1</v>
      </c>
      <c r="M95" s="111">
        <f t="shared" si="25"/>
        <v>15708.031499999999</v>
      </c>
      <c r="N95" s="111">
        <f>B95*M95</f>
        <v>641801.84849373146</v>
      </c>
      <c r="O95" s="111"/>
      <c r="P95" s="111"/>
      <c r="Q95" s="111"/>
      <c r="R95" s="111"/>
      <c r="S95" s="111"/>
      <c r="T95" s="111"/>
      <c r="U95" s="111"/>
      <c r="V95" s="111"/>
      <c r="W95" s="111"/>
      <c r="X95" s="111">
        <f t="shared" si="26"/>
        <v>641801.84849373146</v>
      </c>
      <c r="Y95" s="219" t="s">
        <v>31</v>
      </c>
      <c r="Z95" s="218"/>
      <c r="AA95" s="205"/>
      <c r="AB95" s="207"/>
      <c r="AC95" s="207"/>
      <c r="AD95" s="115"/>
      <c r="AE95" s="222"/>
      <c r="AF95" s="222"/>
      <c r="AI95" s="115"/>
    </row>
    <row r="96" spans="1:35" s="208" customFormat="1" x14ac:dyDescent="0.25">
      <c r="A96" s="213">
        <v>164</v>
      </c>
      <c r="B96" s="130">
        <v>41.465655509999998</v>
      </c>
      <c r="C96" s="216">
        <v>0.3</v>
      </c>
      <c r="D96" s="214" t="s">
        <v>13</v>
      </c>
      <c r="E96" s="214" t="s">
        <v>10</v>
      </c>
      <c r="F96" s="128"/>
      <c r="G96" s="128">
        <v>41.465655509999998</v>
      </c>
      <c r="H96" s="215">
        <f t="shared" si="24"/>
        <v>0</v>
      </c>
      <c r="I96" s="215">
        <f t="shared" si="30"/>
        <v>1</v>
      </c>
      <c r="J96" s="216">
        <v>4339.53</v>
      </c>
      <c r="K96" s="216">
        <f>$B$319</f>
        <v>0.9</v>
      </c>
      <c r="L96" s="111">
        <f>$B$320</f>
        <v>1.1499999999999999</v>
      </c>
      <c r="M96" s="216">
        <f t="shared" si="25"/>
        <v>4491.4135499999993</v>
      </c>
      <c r="N96" s="216">
        <f>M96*B96</f>
        <v>186239.40701724612</v>
      </c>
      <c r="O96" s="216"/>
      <c r="P96" s="216"/>
      <c r="Q96" s="216"/>
      <c r="R96" s="216"/>
      <c r="S96" s="216"/>
      <c r="T96" s="216"/>
      <c r="U96" s="216"/>
      <c r="V96" s="216"/>
      <c r="W96" s="216"/>
      <c r="X96" s="111">
        <f t="shared" si="26"/>
        <v>186239.40701724612</v>
      </c>
      <c r="Y96" s="214" t="s">
        <v>13</v>
      </c>
      <c r="Z96" s="218"/>
      <c r="AA96" s="205"/>
      <c r="AB96" s="207"/>
      <c r="AC96" s="207"/>
      <c r="AD96" s="115"/>
      <c r="AE96" s="222"/>
      <c r="AF96" s="222"/>
      <c r="AI96" s="115"/>
    </row>
    <row r="97" spans="1:35" s="208" customFormat="1" x14ac:dyDescent="0.25">
      <c r="A97" s="213">
        <v>165</v>
      </c>
      <c r="B97" s="130">
        <v>44.299641569999999</v>
      </c>
      <c r="C97" s="111">
        <v>2</v>
      </c>
      <c r="D97" s="214" t="s">
        <v>13</v>
      </c>
      <c r="E97" s="214" t="s">
        <v>10</v>
      </c>
      <c r="F97" s="128">
        <v>14.855146510000003</v>
      </c>
      <c r="G97" s="128">
        <v>29.444495059999998</v>
      </c>
      <c r="H97" s="215">
        <f t="shared" si="24"/>
        <v>0.33533333416539429</v>
      </c>
      <c r="I97" s="215">
        <f t="shared" si="30"/>
        <v>0.66466666583460576</v>
      </c>
      <c r="J97" s="111">
        <v>8466.84</v>
      </c>
      <c r="K97" s="216">
        <f>$B$318</f>
        <v>0.95</v>
      </c>
      <c r="L97" s="111">
        <f>$B$320</f>
        <v>1.1499999999999999</v>
      </c>
      <c r="M97" s="111">
        <f t="shared" si="25"/>
        <v>9250.0226999999995</v>
      </c>
      <c r="N97" s="111">
        <f>B97*M97</f>
        <v>409772.69012436358</v>
      </c>
      <c r="O97" s="111"/>
      <c r="P97" s="111"/>
      <c r="Q97" s="111"/>
      <c r="R97" s="111"/>
      <c r="S97" s="111"/>
      <c r="T97" s="111"/>
      <c r="U97" s="111"/>
      <c r="V97" s="111"/>
      <c r="W97" s="111"/>
      <c r="X97" s="111">
        <f t="shared" si="26"/>
        <v>409772.69012436358</v>
      </c>
      <c r="Y97" s="219" t="s">
        <v>31</v>
      </c>
      <c r="Z97" s="218"/>
      <c r="AA97" s="205"/>
      <c r="AB97" s="207"/>
      <c r="AC97" s="207"/>
      <c r="AD97" s="115"/>
      <c r="AE97" s="222"/>
      <c r="AF97" s="222"/>
      <c r="AI97" s="115"/>
    </row>
    <row r="98" spans="1:35" s="208" customFormat="1" x14ac:dyDescent="0.25">
      <c r="A98" s="213">
        <v>166</v>
      </c>
      <c r="B98" s="130">
        <v>35.027603810000002</v>
      </c>
      <c r="C98" s="111">
        <v>2</v>
      </c>
      <c r="D98" s="214" t="s">
        <v>13</v>
      </c>
      <c r="E98" s="214" t="s">
        <v>10</v>
      </c>
      <c r="F98" s="128">
        <v>19.311347260000002</v>
      </c>
      <c r="G98" s="128">
        <v>15.716256549999999</v>
      </c>
      <c r="H98" s="215">
        <f t="shared" si="24"/>
        <v>0.55131796524679266</v>
      </c>
      <c r="I98" s="215">
        <f t="shared" si="30"/>
        <v>0.44868203475320734</v>
      </c>
      <c r="J98" s="111">
        <v>9512.6</v>
      </c>
      <c r="K98" s="216">
        <f>$B$318</f>
        <v>0.95</v>
      </c>
      <c r="L98" s="111">
        <f>$B$320</f>
        <v>1.1499999999999999</v>
      </c>
      <c r="M98" s="111">
        <f t="shared" si="25"/>
        <v>10392.515499999998</v>
      </c>
      <c r="N98" s="111">
        <f>B98*M98</f>
        <v>364024.915523284</v>
      </c>
      <c r="O98" s="111"/>
      <c r="P98" s="111"/>
      <c r="Q98" s="111"/>
      <c r="R98" s="111"/>
      <c r="S98" s="111"/>
      <c r="T98" s="111"/>
      <c r="U98" s="111"/>
      <c r="V98" s="111"/>
      <c r="W98" s="111"/>
      <c r="X98" s="111">
        <f t="shared" si="26"/>
        <v>364024.915523284</v>
      </c>
      <c r="Y98" s="219" t="s">
        <v>44</v>
      </c>
      <c r="Z98" s="218"/>
      <c r="AA98" s="205"/>
      <c r="AB98" s="207"/>
      <c r="AC98" s="207"/>
      <c r="AD98" s="115"/>
      <c r="AE98" s="222"/>
      <c r="AF98" s="222"/>
      <c r="AI98" s="115"/>
    </row>
    <row r="99" spans="1:35" s="208" customFormat="1" x14ac:dyDescent="0.25">
      <c r="A99" s="221">
        <v>167</v>
      </c>
      <c r="B99" s="130">
        <v>53.993946440000002</v>
      </c>
      <c r="C99" s="224">
        <v>2</v>
      </c>
      <c r="D99" s="214" t="s">
        <v>13</v>
      </c>
      <c r="E99" s="214" t="s">
        <v>10</v>
      </c>
      <c r="F99" s="128">
        <v>47.123611280000006</v>
      </c>
      <c r="G99" s="128">
        <v>0.93435941</v>
      </c>
      <c r="H99" s="215">
        <f t="shared" si="24"/>
        <v>0.87275730682819119</v>
      </c>
      <c r="I99" s="215">
        <f t="shared" si="30"/>
        <v>1.7304891966700257E-2</v>
      </c>
      <c r="J99" s="216">
        <v>16501.669999999998</v>
      </c>
      <c r="K99" s="216">
        <f>$B$318</f>
        <v>0.95</v>
      </c>
      <c r="L99" s="216">
        <f t="shared" ref="L99:L119" si="32">$B$321</f>
        <v>1</v>
      </c>
      <c r="M99" s="224">
        <f t="shared" si="25"/>
        <v>15676.586499999998</v>
      </c>
      <c r="N99" s="216">
        <f>M99*B99</f>
        <v>846440.77184302697</v>
      </c>
      <c r="O99" s="214">
        <v>5.9359757499999999</v>
      </c>
      <c r="P99" s="111">
        <f>'Cálculo Depre.-Sist. Irrig.'!$P$4 *O99</f>
        <v>40364.6351</v>
      </c>
      <c r="Q99" s="111"/>
      <c r="R99" s="111"/>
      <c r="S99" s="214" t="s">
        <v>20</v>
      </c>
      <c r="T99" s="214">
        <f>O99</f>
        <v>5.9359757499999999</v>
      </c>
      <c r="U99" s="214"/>
      <c r="V99" s="220"/>
      <c r="W99" s="220"/>
      <c r="X99" s="111">
        <f t="shared" si="26"/>
        <v>886805.40694302693</v>
      </c>
      <c r="Y99" s="214" t="s">
        <v>13</v>
      </c>
      <c r="Z99" s="218"/>
      <c r="AA99" s="205"/>
      <c r="AB99" s="207"/>
      <c r="AC99" s="207"/>
      <c r="AE99" s="222"/>
      <c r="AF99" s="222"/>
      <c r="AI99" s="115"/>
    </row>
    <row r="100" spans="1:35" s="208" customFormat="1" x14ac:dyDescent="0.25">
      <c r="A100" s="221">
        <v>168</v>
      </c>
      <c r="B100" s="130">
        <v>29.844953820000001</v>
      </c>
      <c r="C100" s="111">
        <v>2</v>
      </c>
      <c r="D100" s="214" t="s">
        <v>13</v>
      </c>
      <c r="E100" s="214" t="s">
        <v>10</v>
      </c>
      <c r="F100" s="128">
        <v>23.875423099999999</v>
      </c>
      <c r="G100" s="128">
        <v>5.9695307200000007</v>
      </c>
      <c r="H100" s="215">
        <f t="shared" si="24"/>
        <v>0.79998190796329394</v>
      </c>
      <c r="I100" s="215">
        <f t="shared" si="30"/>
        <v>0.20001809203670601</v>
      </c>
      <c r="J100" s="111">
        <v>16562.91</v>
      </c>
      <c r="K100" s="216">
        <f>$B$318</f>
        <v>0.95</v>
      </c>
      <c r="L100" s="216">
        <f t="shared" si="32"/>
        <v>1</v>
      </c>
      <c r="M100" s="111">
        <f t="shared" si="25"/>
        <v>15734.764499999999</v>
      </c>
      <c r="N100" s="111">
        <f>B100*M100</f>
        <v>469603.31987107539</v>
      </c>
      <c r="O100" s="111"/>
      <c r="P100" s="111"/>
      <c r="Q100" s="111"/>
      <c r="R100" s="111"/>
      <c r="S100" s="111"/>
      <c r="T100" s="111"/>
      <c r="U100" s="111"/>
      <c r="V100" s="111"/>
      <c r="W100" s="111"/>
      <c r="X100" s="111">
        <f t="shared" si="26"/>
        <v>469603.31987107539</v>
      </c>
      <c r="Y100" s="219" t="s">
        <v>33</v>
      </c>
      <c r="Z100" s="218"/>
      <c r="AA100" s="205">
        <v>138976.10548643745</v>
      </c>
      <c r="AB100" s="207" t="b">
        <f t="shared" ref="AB100:AB129" si="33">AA100=X100</f>
        <v>0</v>
      </c>
      <c r="AC100" s="207"/>
      <c r="AI100" s="115"/>
    </row>
    <row r="101" spans="1:35" s="205" customFormat="1" x14ac:dyDescent="0.25">
      <c r="A101" s="221">
        <v>169</v>
      </c>
      <c r="B101" s="130">
        <v>22.339072850000001</v>
      </c>
      <c r="C101" s="216">
        <v>0.3</v>
      </c>
      <c r="D101" s="214" t="s">
        <v>13</v>
      </c>
      <c r="E101" s="214" t="s">
        <v>10</v>
      </c>
      <c r="F101" s="128"/>
      <c r="G101" s="128">
        <v>22.339072850000001</v>
      </c>
      <c r="H101" s="215">
        <f t="shared" si="24"/>
        <v>0</v>
      </c>
      <c r="I101" s="215">
        <f t="shared" si="30"/>
        <v>1</v>
      </c>
      <c r="J101" s="216">
        <v>5496.6</v>
      </c>
      <c r="K101" s="216">
        <f>$B$319</f>
        <v>0.9</v>
      </c>
      <c r="L101" s="216">
        <f t="shared" si="32"/>
        <v>1</v>
      </c>
      <c r="M101" s="216">
        <f t="shared" si="25"/>
        <v>4946.9400000000005</v>
      </c>
      <c r="N101" s="216">
        <f>M101*B101</f>
        <v>110510.05304457902</v>
      </c>
      <c r="O101" s="216"/>
      <c r="P101" s="216"/>
      <c r="Q101" s="216"/>
      <c r="R101" s="216"/>
      <c r="S101" s="216"/>
      <c r="T101" s="216"/>
      <c r="U101" s="216"/>
      <c r="V101" s="216"/>
      <c r="W101" s="216"/>
      <c r="X101" s="111">
        <f t="shared" si="26"/>
        <v>110510.05304457902</v>
      </c>
      <c r="Y101" s="214" t="s">
        <v>13</v>
      </c>
      <c r="Z101" s="218"/>
      <c r="AA101" s="205">
        <v>215452.51793172001</v>
      </c>
      <c r="AB101" s="207" t="b">
        <f t="shared" si="33"/>
        <v>0</v>
      </c>
      <c r="AC101" s="207"/>
      <c r="AD101" s="208"/>
      <c r="AE101" s="208"/>
      <c r="AF101" s="208"/>
      <c r="AG101" s="208"/>
      <c r="AH101" s="208"/>
      <c r="AI101" s="115"/>
    </row>
    <row r="102" spans="1:35" s="205" customFormat="1" x14ac:dyDescent="0.25">
      <c r="A102" s="221">
        <v>170</v>
      </c>
      <c r="B102" s="130">
        <v>28.128572090000002</v>
      </c>
      <c r="C102" s="111">
        <v>2</v>
      </c>
      <c r="D102" s="214" t="s">
        <v>13</v>
      </c>
      <c r="E102" s="214" t="s">
        <v>10</v>
      </c>
      <c r="F102" s="128">
        <v>19.08382181</v>
      </c>
      <c r="G102" s="128">
        <v>9.0447502800000006</v>
      </c>
      <c r="H102" s="215">
        <f t="shared" si="24"/>
        <v>0.67844971827718537</v>
      </c>
      <c r="I102" s="215">
        <f t="shared" si="30"/>
        <v>0.32155028172281458</v>
      </c>
      <c r="J102" s="111">
        <v>16567.23</v>
      </c>
      <c r="K102" s="216">
        <f t="shared" ref="K102:K121" si="34">$B$318</f>
        <v>0.95</v>
      </c>
      <c r="L102" s="216">
        <f t="shared" si="32"/>
        <v>1</v>
      </c>
      <c r="M102" s="111">
        <f t="shared" si="25"/>
        <v>15738.868499999999</v>
      </c>
      <c r="N102" s="111">
        <f>B102*M102</f>
        <v>442711.89721728017</v>
      </c>
      <c r="O102" s="111"/>
      <c r="P102" s="111"/>
      <c r="Q102" s="111"/>
      <c r="R102" s="111"/>
      <c r="S102" s="111"/>
      <c r="T102" s="111"/>
      <c r="U102" s="111"/>
      <c r="V102" s="111"/>
      <c r="W102" s="111"/>
      <c r="X102" s="111">
        <f t="shared" si="26"/>
        <v>442711.89721728017</v>
      </c>
      <c r="Y102" s="219" t="s">
        <v>31</v>
      </c>
      <c r="Z102" s="218"/>
      <c r="AA102" s="205">
        <v>1159597.4351310302</v>
      </c>
      <c r="AB102" s="207" t="b">
        <f t="shared" si="33"/>
        <v>0</v>
      </c>
      <c r="AC102" s="207"/>
      <c r="AD102" s="208"/>
      <c r="AE102" s="208"/>
      <c r="AF102" s="208"/>
      <c r="AG102" s="208"/>
      <c r="AH102" s="208"/>
      <c r="AI102" s="115"/>
    </row>
    <row r="103" spans="1:35" s="205" customFormat="1" x14ac:dyDescent="0.25">
      <c r="A103" s="221">
        <v>171</v>
      </c>
      <c r="B103" s="130">
        <v>29.592412939999999</v>
      </c>
      <c r="C103" s="216">
        <v>2</v>
      </c>
      <c r="D103" s="214" t="s">
        <v>13</v>
      </c>
      <c r="E103" s="214" t="s">
        <v>10</v>
      </c>
      <c r="F103" s="128">
        <v>23.801467070000001</v>
      </c>
      <c r="G103" s="128">
        <v>4.1856158700000003</v>
      </c>
      <c r="H103" s="215">
        <f t="shared" si="24"/>
        <v>0.80430977758584909</v>
      </c>
      <c r="I103" s="215">
        <f t="shared" si="30"/>
        <v>0.14144219596038121</v>
      </c>
      <c r="J103" s="111">
        <v>16563.419999999998</v>
      </c>
      <c r="K103" s="216">
        <f t="shared" si="34"/>
        <v>0.95</v>
      </c>
      <c r="L103" s="216">
        <f t="shared" si="32"/>
        <v>1</v>
      </c>
      <c r="M103" s="111">
        <f t="shared" si="25"/>
        <v>15735.248999999998</v>
      </c>
      <c r="N103" s="216">
        <f>M103*B103</f>
        <v>465643.98612172197</v>
      </c>
      <c r="O103" s="216"/>
      <c r="P103" s="216"/>
      <c r="Q103" s="111">
        <v>1.6053299999999999</v>
      </c>
      <c r="R103" s="111">
        <f>'Cálculo Depre.-Sist. Irrig.'!$P$3*Q103</f>
        <v>12361.040999999999</v>
      </c>
      <c r="S103" s="214" t="s">
        <v>16</v>
      </c>
      <c r="T103" s="111">
        <f>Q103</f>
        <v>1.6053299999999999</v>
      </c>
      <c r="U103" s="111">
        <f>'Cálculo Valor Avaliação-Cultura'!$B$79*T103</f>
        <v>23106.708948498002</v>
      </c>
      <c r="V103" s="220"/>
      <c r="W103" s="220"/>
      <c r="X103" s="111">
        <f t="shared" si="26"/>
        <v>501111.73607022001</v>
      </c>
      <c r="Y103" s="219" t="s">
        <v>34</v>
      </c>
      <c r="Z103" s="218"/>
      <c r="AA103" s="205">
        <v>294825.85870486323</v>
      </c>
      <c r="AB103" s="207" t="b">
        <f t="shared" si="33"/>
        <v>0</v>
      </c>
      <c r="AC103" s="207"/>
      <c r="AD103" s="208"/>
      <c r="AE103" s="208"/>
      <c r="AF103" s="208"/>
      <c r="AG103" s="208"/>
      <c r="AH103" s="208"/>
      <c r="AI103" s="115"/>
    </row>
    <row r="104" spans="1:35" s="205" customFormat="1" x14ac:dyDescent="0.25">
      <c r="A104" s="221">
        <v>172</v>
      </c>
      <c r="B104" s="130">
        <v>30.346801789999997</v>
      </c>
      <c r="C104" s="216">
        <v>2</v>
      </c>
      <c r="D104" s="214" t="s">
        <v>13</v>
      </c>
      <c r="E104" s="214" t="s">
        <v>10</v>
      </c>
      <c r="F104" s="128">
        <v>3.4449526599999967</v>
      </c>
      <c r="G104" s="128">
        <v>3.4578844299999996</v>
      </c>
      <c r="H104" s="215">
        <f t="shared" si="24"/>
        <v>0.11351946356123734</v>
      </c>
      <c r="I104" s="215">
        <f t="shared" si="30"/>
        <v>0.11394559643973606</v>
      </c>
      <c r="J104" s="111">
        <v>14996.41</v>
      </c>
      <c r="K104" s="216">
        <f t="shared" si="34"/>
        <v>0.95</v>
      </c>
      <c r="L104" s="216">
        <f t="shared" si="32"/>
        <v>1</v>
      </c>
      <c r="M104" s="111">
        <f t="shared" si="25"/>
        <v>14246.5895</v>
      </c>
      <c r="N104" s="216">
        <f>M104*B104</f>
        <v>432338.42773999518</v>
      </c>
      <c r="O104" s="216"/>
      <c r="P104" s="216"/>
      <c r="Q104" s="111">
        <v>23.443964699999999</v>
      </c>
      <c r="R104" s="111">
        <f>'Cálculo Depre.-Sist. Irrig.'!$P$3*Q104</f>
        <v>180518.52818999998</v>
      </c>
      <c r="S104" s="214" t="s">
        <v>16</v>
      </c>
      <c r="T104" s="111">
        <f>Q104</f>
        <v>23.443964699999999</v>
      </c>
      <c r="U104" s="111">
        <f>'Cálculo Valor Avaliação-Cultura'!$B$79*T104</f>
        <v>337446.42467390583</v>
      </c>
      <c r="V104" s="220">
        <v>330.65769999999992</v>
      </c>
      <c r="W104" s="111">
        <f>VLOOKUP(V104,'Estimativa Valores-Painéis Sol.'!$C$4:$D$24,2,FALSE)</f>
        <v>68000</v>
      </c>
      <c r="X104" s="111">
        <f t="shared" si="26"/>
        <v>1018303.380603901</v>
      </c>
      <c r="Y104" s="219" t="s">
        <v>47</v>
      </c>
      <c r="Z104" s="218"/>
      <c r="AA104" s="205">
        <v>722851.369327661</v>
      </c>
      <c r="AB104" s="207" t="b">
        <f t="shared" si="33"/>
        <v>0</v>
      </c>
      <c r="AC104" s="207"/>
      <c r="AD104" s="208"/>
      <c r="AE104" s="208"/>
      <c r="AF104" s="208"/>
      <c r="AG104" s="208"/>
      <c r="AH104" s="208"/>
      <c r="AI104" s="115"/>
    </row>
    <row r="105" spans="1:35" s="205" customFormat="1" x14ac:dyDescent="0.25">
      <c r="A105" s="221">
        <v>173</v>
      </c>
      <c r="B105" s="130">
        <v>28.87071705</v>
      </c>
      <c r="C105" s="111">
        <v>2</v>
      </c>
      <c r="D105" s="214" t="s">
        <v>13</v>
      </c>
      <c r="E105" s="214" t="s">
        <v>10</v>
      </c>
      <c r="F105" s="128">
        <v>11.6194959</v>
      </c>
      <c r="G105" s="128">
        <v>17.251221149999999</v>
      </c>
      <c r="H105" s="215">
        <f t="shared" si="24"/>
        <v>0.40246648117110068</v>
      </c>
      <c r="I105" s="215">
        <f t="shared" si="30"/>
        <v>0.59753351882889927</v>
      </c>
      <c r="J105" s="111">
        <v>14999.12</v>
      </c>
      <c r="K105" s="216">
        <f t="shared" si="34"/>
        <v>0.95</v>
      </c>
      <c r="L105" s="216">
        <f t="shared" si="32"/>
        <v>1</v>
      </c>
      <c r="M105" s="111">
        <f t="shared" si="25"/>
        <v>14249.164000000001</v>
      </c>
      <c r="N105" s="111">
        <f>B105*M105</f>
        <v>411383.58204304619</v>
      </c>
      <c r="O105" s="111"/>
      <c r="P105" s="111"/>
      <c r="Q105" s="111"/>
      <c r="R105" s="111"/>
      <c r="S105" s="111"/>
      <c r="T105" s="111"/>
      <c r="U105" s="111"/>
      <c r="V105" s="111"/>
      <c r="W105" s="111"/>
      <c r="X105" s="111">
        <f t="shared" si="26"/>
        <v>411383.58204304619</v>
      </c>
      <c r="Y105" s="219" t="s">
        <v>34</v>
      </c>
      <c r="Z105" s="218"/>
      <c r="AA105" s="205">
        <v>189232.53388537042</v>
      </c>
      <c r="AB105" s="207" t="b">
        <f t="shared" si="33"/>
        <v>0</v>
      </c>
      <c r="AC105" s="207"/>
      <c r="AD105" s="208"/>
      <c r="AE105" s="208"/>
      <c r="AF105" s="208"/>
      <c r="AG105" s="208"/>
      <c r="AH105" s="208"/>
      <c r="AI105" s="115"/>
    </row>
    <row r="106" spans="1:35" s="205" customFormat="1" x14ac:dyDescent="0.25">
      <c r="A106" s="221">
        <v>174</v>
      </c>
      <c r="B106" s="130">
        <v>14.4315546</v>
      </c>
      <c r="C106" s="111">
        <v>1</v>
      </c>
      <c r="D106" s="214" t="s">
        <v>13</v>
      </c>
      <c r="E106" s="214" t="s">
        <v>10</v>
      </c>
      <c r="F106" s="128">
        <v>9.00165638</v>
      </c>
      <c r="G106" s="128">
        <v>5.4298982200000001</v>
      </c>
      <c r="H106" s="215">
        <f t="shared" si="24"/>
        <v>0.62374821212955112</v>
      </c>
      <c r="I106" s="215">
        <f t="shared" si="30"/>
        <v>0.37625178787044883</v>
      </c>
      <c r="J106" s="111">
        <v>10871.54</v>
      </c>
      <c r="K106" s="216">
        <f t="shared" si="34"/>
        <v>0.95</v>
      </c>
      <c r="L106" s="216">
        <f t="shared" si="32"/>
        <v>1</v>
      </c>
      <c r="M106" s="111">
        <f t="shared" si="25"/>
        <v>10327.963</v>
      </c>
      <c r="N106" s="111">
        <f>B106*M106</f>
        <v>149048.5619412798</v>
      </c>
      <c r="O106" s="111"/>
      <c r="P106" s="111"/>
      <c r="Q106" s="111"/>
      <c r="R106" s="111"/>
      <c r="S106" s="111"/>
      <c r="T106" s="111"/>
      <c r="U106" s="111"/>
      <c r="V106" s="111"/>
      <c r="W106" s="111"/>
      <c r="X106" s="111">
        <f t="shared" si="26"/>
        <v>149048.5619412798</v>
      </c>
      <c r="Y106" s="219"/>
      <c r="Z106" s="218"/>
      <c r="AA106" s="205">
        <v>181713.89400662304</v>
      </c>
      <c r="AB106" s="207" t="b">
        <f t="shared" si="33"/>
        <v>0</v>
      </c>
      <c r="AC106" s="207"/>
      <c r="AD106" s="208"/>
      <c r="AE106" s="208"/>
      <c r="AF106" s="208"/>
      <c r="AG106" s="208"/>
      <c r="AH106" s="208"/>
      <c r="AI106" s="115"/>
    </row>
    <row r="107" spans="1:35" s="205" customFormat="1" x14ac:dyDescent="0.25">
      <c r="A107" s="221">
        <v>175</v>
      </c>
      <c r="B107" s="130">
        <v>36.455525600000001</v>
      </c>
      <c r="C107" s="216">
        <v>2</v>
      </c>
      <c r="D107" s="214" t="s">
        <v>13</v>
      </c>
      <c r="E107" s="214" t="s">
        <v>10</v>
      </c>
      <c r="F107" s="128">
        <v>19.06148108</v>
      </c>
      <c r="G107" s="128">
        <v>3.8278960500000001</v>
      </c>
      <c r="H107" s="215">
        <f t="shared" si="24"/>
        <v>0.52286946261995459</v>
      </c>
      <c r="I107" s="215">
        <f t="shared" si="30"/>
        <v>0.10500180663970457</v>
      </c>
      <c r="J107" s="111">
        <v>14984.43</v>
      </c>
      <c r="K107" s="216">
        <f t="shared" si="34"/>
        <v>0.95</v>
      </c>
      <c r="L107" s="216">
        <f t="shared" si="32"/>
        <v>1</v>
      </c>
      <c r="M107" s="111">
        <f t="shared" si="25"/>
        <v>14235.208499999999</v>
      </c>
      <c r="N107" s="216">
        <f>M107*B107</f>
        <v>518952.00789308758</v>
      </c>
      <c r="O107" s="216"/>
      <c r="P107" s="216"/>
      <c r="Q107" s="111">
        <v>13.56614847</v>
      </c>
      <c r="R107" s="111">
        <f>'Cálculo Depre.-Sist. Irrig.'!$P$3*Q107</f>
        <v>104459.343219</v>
      </c>
      <c r="S107" s="214" t="s">
        <v>16</v>
      </c>
      <c r="T107" s="111">
        <f>Q107</f>
        <v>13.56614847</v>
      </c>
      <c r="U107" s="111">
        <f>'Cálculo Valor Avaliação-Cultura'!$B$79*T107</f>
        <v>195267.66723876182</v>
      </c>
      <c r="V107" s="220"/>
      <c r="W107" s="220"/>
      <c r="X107" s="111">
        <f t="shared" si="26"/>
        <v>818679.01835084939</v>
      </c>
      <c r="Y107" s="219" t="s">
        <v>47</v>
      </c>
      <c r="Z107" s="218"/>
      <c r="AA107" s="205">
        <v>65548.556374947162</v>
      </c>
      <c r="AB107" s="207" t="b">
        <f t="shared" si="33"/>
        <v>0</v>
      </c>
      <c r="AC107" s="207"/>
      <c r="AD107" s="208"/>
      <c r="AE107" s="208"/>
      <c r="AF107" s="208"/>
      <c r="AG107" s="208"/>
      <c r="AH107" s="208"/>
      <c r="AI107" s="115"/>
    </row>
    <row r="108" spans="1:35" s="205" customFormat="1" x14ac:dyDescent="0.25">
      <c r="A108" s="221">
        <v>176</v>
      </c>
      <c r="B108" s="130">
        <v>5.4394944299999999</v>
      </c>
      <c r="C108" s="216">
        <v>2</v>
      </c>
      <c r="D108" s="214" t="s">
        <v>13</v>
      </c>
      <c r="E108" s="214" t="s">
        <v>10</v>
      </c>
      <c r="F108" s="128">
        <v>2.1371933900000002</v>
      </c>
      <c r="G108" s="128">
        <v>0.83992330000000004</v>
      </c>
      <c r="H108" s="215">
        <f t="shared" si="24"/>
        <v>0.39290294668065323</v>
      </c>
      <c r="I108" s="215">
        <f t="shared" si="30"/>
        <v>0.15441201582405151</v>
      </c>
      <c r="J108" s="111">
        <v>15044.59</v>
      </c>
      <c r="K108" s="216">
        <f t="shared" si="34"/>
        <v>0.95</v>
      </c>
      <c r="L108" s="216">
        <f t="shared" si="32"/>
        <v>1</v>
      </c>
      <c r="M108" s="111">
        <f t="shared" si="25"/>
        <v>14292.360499999999</v>
      </c>
      <c r="N108" s="216">
        <f>M108*B108</f>
        <v>77743.21533130201</v>
      </c>
      <c r="O108" s="216"/>
      <c r="P108" s="216"/>
      <c r="Q108" s="111">
        <v>2.46237774</v>
      </c>
      <c r="R108" s="111">
        <f>'Cálculo Depre.-Sist. Irrig.'!$P$3*Q108</f>
        <v>18960.308598</v>
      </c>
      <c r="S108" s="214" t="s">
        <v>16</v>
      </c>
      <c r="T108" s="111">
        <f>Q108</f>
        <v>2.46237774</v>
      </c>
      <c r="U108" s="111">
        <f>'Cálculo Valor Avaliação-Cultura'!$B$79*T108</f>
        <v>35442.834656700048</v>
      </c>
      <c r="V108" s="220"/>
      <c r="W108" s="220"/>
      <c r="X108" s="111">
        <f t="shared" si="26"/>
        <v>132146.35858600205</v>
      </c>
      <c r="Y108" s="219" t="s">
        <v>34</v>
      </c>
      <c r="Z108" s="218"/>
      <c r="AA108" s="205">
        <v>99760.489969893475</v>
      </c>
      <c r="AB108" s="207" t="b">
        <f t="shared" si="33"/>
        <v>0</v>
      </c>
      <c r="AC108" s="207"/>
      <c r="AD108" s="208"/>
      <c r="AE108" s="208"/>
      <c r="AF108" s="208"/>
      <c r="AG108" s="208"/>
      <c r="AH108" s="208"/>
      <c r="AI108" s="115"/>
    </row>
    <row r="109" spans="1:35" s="205" customFormat="1" x14ac:dyDescent="0.25">
      <c r="A109" s="221">
        <v>177</v>
      </c>
      <c r="B109" s="130">
        <v>4.7189431800000001</v>
      </c>
      <c r="C109" s="216">
        <v>2</v>
      </c>
      <c r="D109" s="214" t="s">
        <v>13</v>
      </c>
      <c r="E109" s="214" t="s">
        <v>10</v>
      </c>
      <c r="F109" s="128">
        <v>4.7189431800000001</v>
      </c>
      <c r="G109" s="128"/>
      <c r="H109" s="215">
        <f t="shared" si="24"/>
        <v>1</v>
      </c>
      <c r="I109" s="215">
        <f>G109/F109</f>
        <v>0</v>
      </c>
      <c r="J109" s="216">
        <v>16626.91</v>
      </c>
      <c r="K109" s="216">
        <f t="shared" si="34"/>
        <v>0.95</v>
      </c>
      <c r="L109" s="216">
        <f t="shared" si="32"/>
        <v>1</v>
      </c>
      <c r="M109" s="216">
        <f t="shared" si="25"/>
        <v>15795.564499999999</v>
      </c>
      <c r="N109" s="216">
        <f>M109*F109</f>
        <v>74538.371371525107</v>
      </c>
      <c r="O109" s="216"/>
      <c r="P109" s="216"/>
      <c r="Q109" s="216"/>
      <c r="R109" s="216"/>
      <c r="S109" s="216"/>
      <c r="T109" s="216"/>
      <c r="U109" s="216"/>
      <c r="V109" s="220"/>
      <c r="W109" s="220"/>
      <c r="X109" s="111">
        <f t="shared" si="26"/>
        <v>74538.371371525107</v>
      </c>
      <c r="Y109" s="219" t="s">
        <v>47</v>
      </c>
      <c r="Z109" s="218"/>
      <c r="AA109" s="205">
        <v>153588.7785124931</v>
      </c>
      <c r="AB109" s="207" t="b">
        <f t="shared" si="33"/>
        <v>0</v>
      </c>
      <c r="AC109" s="207"/>
      <c r="AD109" s="208"/>
      <c r="AE109" s="208"/>
      <c r="AF109" s="208"/>
      <c r="AG109" s="208"/>
      <c r="AH109" s="208"/>
      <c r="AI109" s="115"/>
    </row>
    <row r="110" spans="1:35" s="205" customFormat="1" x14ac:dyDescent="0.25">
      <c r="A110" s="221">
        <v>178</v>
      </c>
      <c r="B110" s="130">
        <v>4.57426815</v>
      </c>
      <c r="C110" s="216">
        <v>2</v>
      </c>
      <c r="D110" s="214" t="s">
        <v>13</v>
      </c>
      <c r="E110" s="214" t="s">
        <v>10</v>
      </c>
      <c r="F110" s="128">
        <v>4.57426815</v>
      </c>
      <c r="G110" s="128"/>
      <c r="H110" s="215">
        <f t="shared" si="24"/>
        <v>1</v>
      </c>
      <c r="I110" s="215">
        <f>G110/F110</f>
        <v>0</v>
      </c>
      <c r="J110" s="216">
        <v>16627.169999999998</v>
      </c>
      <c r="K110" s="216">
        <f t="shared" si="34"/>
        <v>0.95</v>
      </c>
      <c r="L110" s="216">
        <f t="shared" si="32"/>
        <v>1</v>
      </c>
      <c r="M110" s="216">
        <f t="shared" si="25"/>
        <v>15795.811499999998</v>
      </c>
      <c r="N110" s="216">
        <f>M110*F110</f>
        <v>72254.277447853718</v>
      </c>
      <c r="O110" s="216"/>
      <c r="P110" s="216"/>
      <c r="Q110" s="216"/>
      <c r="R110" s="216"/>
      <c r="S110" s="216"/>
      <c r="T110" s="216"/>
      <c r="U110" s="216"/>
      <c r="V110" s="220"/>
      <c r="W110" s="220"/>
      <c r="X110" s="111">
        <f t="shared" si="26"/>
        <v>72254.277447853718</v>
      </c>
      <c r="Y110" s="219" t="s">
        <v>34</v>
      </c>
      <c r="Z110" s="218"/>
      <c r="AA110" s="205">
        <v>18636.500089539179</v>
      </c>
      <c r="AB110" s="207" t="b">
        <f t="shared" si="33"/>
        <v>0</v>
      </c>
      <c r="AC110" s="207"/>
      <c r="AD110" s="208"/>
      <c r="AE110" s="208"/>
      <c r="AF110" s="208"/>
      <c r="AG110" s="208"/>
      <c r="AH110" s="208"/>
      <c r="AI110" s="115"/>
    </row>
    <row r="111" spans="1:35" s="205" customFormat="1" x14ac:dyDescent="0.25">
      <c r="A111" s="221">
        <v>179</v>
      </c>
      <c r="B111" s="130">
        <v>7.4999231199999992</v>
      </c>
      <c r="C111" s="111">
        <v>1</v>
      </c>
      <c r="D111" s="214" t="s">
        <v>13</v>
      </c>
      <c r="E111" s="214" t="s">
        <v>10</v>
      </c>
      <c r="F111" s="128">
        <v>5.6040587599999991</v>
      </c>
      <c r="G111" s="111">
        <v>1.89586436</v>
      </c>
      <c r="H111" s="215">
        <f t="shared" si="24"/>
        <v>0.74721549412362509</v>
      </c>
      <c r="I111" s="215">
        <f>G111/B111</f>
        <v>0.25278450587637491</v>
      </c>
      <c r="J111" s="111">
        <v>10878.69</v>
      </c>
      <c r="K111" s="216">
        <f t="shared" si="34"/>
        <v>0.95</v>
      </c>
      <c r="L111" s="216">
        <f t="shared" si="32"/>
        <v>1</v>
      </c>
      <c r="M111" s="111">
        <f t="shared" si="25"/>
        <v>10334.755499999999</v>
      </c>
      <c r="N111" s="111">
        <f>B111*M111</f>
        <v>77509.871713997141</v>
      </c>
      <c r="O111" s="111"/>
      <c r="P111" s="111"/>
      <c r="Q111" s="111"/>
      <c r="R111" s="111"/>
      <c r="S111" s="111"/>
      <c r="T111" s="111"/>
      <c r="U111" s="111"/>
      <c r="V111" s="111"/>
      <c r="W111" s="111"/>
      <c r="X111" s="111">
        <f t="shared" si="26"/>
        <v>77509.871713997141</v>
      </c>
      <c r="Y111" s="219"/>
      <c r="Z111" s="218"/>
      <c r="AA111" s="205">
        <v>186239.40701724612</v>
      </c>
      <c r="AB111" s="207" t="b">
        <f t="shared" si="33"/>
        <v>0</v>
      </c>
      <c r="AC111" s="207"/>
      <c r="AD111" s="208"/>
      <c r="AE111" s="208"/>
      <c r="AF111" s="208"/>
      <c r="AG111" s="208"/>
      <c r="AH111" s="208"/>
      <c r="AI111" s="115"/>
    </row>
    <row r="112" spans="1:35" s="205" customFormat="1" x14ac:dyDescent="0.25">
      <c r="A112" s="221">
        <v>180</v>
      </c>
      <c r="B112" s="130">
        <v>7.53674249</v>
      </c>
      <c r="C112" s="216">
        <v>2</v>
      </c>
      <c r="D112" s="214" t="s">
        <v>13</v>
      </c>
      <c r="E112" s="214" t="s">
        <v>10</v>
      </c>
      <c r="F112" s="128">
        <v>3.0477294099999988</v>
      </c>
      <c r="G112" s="128"/>
      <c r="H112" s="215">
        <f t="shared" si="24"/>
        <v>0.40438285028894477</v>
      </c>
      <c r="I112" s="215">
        <f>G112/B112</f>
        <v>0</v>
      </c>
      <c r="J112" s="111">
        <v>15040.52</v>
      </c>
      <c r="K112" s="216">
        <f t="shared" si="34"/>
        <v>0.95</v>
      </c>
      <c r="L112" s="216">
        <f t="shared" si="32"/>
        <v>1</v>
      </c>
      <c r="M112" s="111">
        <f t="shared" si="25"/>
        <v>14288.494000000001</v>
      </c>
      <c r="N112" s="216">
        <f>M112*B112</f>
        <v>107688.69984791006</v>
      </c>
      <c r="O112" s="216"/>
      <c r="P112" s="216"/>
      <c r="Q112" s="111">
        <v>4.4890130800000003</v>
      </c>
      <c r="R112" s="111">
        <f>'Cálculo Depre.-Sist. Irrig.'!$P$3*Q112</f>
        <v>34565.400716000004</v>
      </c>
      <c r="S112" s="214" t="s">
        <v>16</v>
      </c>
      <c r="T112" s="111">
        <f>Q112</f>
        <v>4.4890130800000003</v>
      </c>
      <c r="U112" s="111">
        <f>'Cálculo Valor Avaliação-Cultura'!$B$79*T112</f>
        <v>64613.704786903996</v>
      </c>
      <c r="V112" s="220"/>
      <c r="W112" s="220"/>
      <c r="X112" s="111">
        <f t="shared" si="26"/>
        <v>206867.80535081407</v>
      </c>
      <c r="Y112" s="219" t="s">
        <v>47</v>
      </c>
      <c r="Z112" s="218"/>
      <c r="AA112" s="205">
        <v>110510.05304457902</v>
      </c>
      <c r="AB112" s="207" t="b">
        <f t="shared" si="33"/>
        <v>0</v>
      </c>
      <c r="AC112" s="207"/>
      <c r="AD112" s="208"/>
      <c r="AE112" s="208"/>
      <c r="AF112" s="208"/>
      <c r="AG112" s="208"/>
      <c r="AH112" s="208"/>
      <c r="AI112" s="115"/>
    </row>
    <row r="113" spans="1:35" s="205" customFormat="1" x14ac:dyDescent="0.25">
      <c r="A113" s="221">
        <v>181</v>
      </c>
      <c r="B113" s="130">
        <v>15.086199789999998</v>
      </c>
      <c r="C113" s="111">
        <v>2</v>
      </c>
      <c r="D113" s="214" t="s">
        <v>13</v>
      </c>
      <c r="E113" s="214" t="s">
        <v>10</v>
      </c>
      <c r="F113" s="128">
        <v>8.1236900599999995</v>
      </c>
      <c r="G113" s="128">
        <v>6.9625097299999998</v>
      </c>
      <c r="H113" s="215">
        <f t="shared" si="24"/>
        <v>0.53848485192307005</v>
      </c>
      <c r="I113" s="215">
        <f>G113/B113</f>
        <v>0.46151514807693</v>
      </c>
      <c r="J113" s="111">
        <v>15025.81</v>
      </c>
      <c r="K113" s="216">
        <f t="shared" si="34"/>
        <v>0.95</v>
      </c>
      <c r="L113" s="216">
        <f t="shared" si="32"/>
        <v>1</v>
      </c>
      <c r="M113" s="111">
        <f t="shared" si="25"/>
        <v>14274.519499999999</v>
      </c>
      <c r="N113" s="111">
        <f>B113*M113</f>
        <v>215348.25308325086</v>
      </c>
      <c r="O113" s="111"/>
      <c r="P113" s="111"/>
      <c r="Q113" s="111"/>
      <c r="R113" s="111"/>
      <c r="S113" s="111"/>
      <c r="T113" s="111"/>
      <c r="U113" s="111"/>
      <c r="V113" s="111"/>
      <c r="W113" s="111"/>
      <c r="X113" s="111">
        <f t="shared" si="26"/>
        <v>215348.25308325086</v>
      </c>
      <c r="Y113" s="219" t="s">
        <v>48</v>
      </c>
      <c r="Z113" s="218"/>
      <c r="AA113" s="205">
        <v>80108.377497630325</v>
      </c>
      <c r="AB113" s="207" t="b">
        <f t="shared" si="33"/>
        <v>0</v>
      </c>
      <c r="AC113" s="207"/>
      <c r="AD113" s="208"/>
      <c r="AE113" s="208"/>
      <c r="AF113" s="208"/>
      <c r="AG113" s="208"/>
      <c r="AH113" s="208"/>
      <c r="AI113" s="115"/>
    </row>
    <row r="114" spans="1:35" s="205" customFormat="1" x14ac:dyDescent="0.25">
      <c r="A114" s="221">
        <v>182</v>
      </c>
      <c r="B114" s="130">
        <v>14.84870868</v>
      </c>
      <c r="C114" s="216">
        <v>2</v>
      </c>
      <c r="D114" s="214" t="s">
        <v>13</v>
      </c>
      <c r="E114" s="214" t="s">
        <v>10</v>
      </c>
      <c r="F114" s="128">
        <v>9.4884786000000005</v>
      </c>
      <c r="G114" s="128">
        <v>1.7694462399999999</v>
      </c>
      <c r="H114" s="215">
        <f t="shared" si="24"/>
        <v>0.63901035467011402</v>
      </c>
      <c r="I114" s="215">
        <f>G114/B114</f>
        <v>0.11916499125498366</v>
      </c>
      <c r="J114" s="111">
        <v>16601.099999999999</v>
      </c>
      <c r="K114" s="216">
        <f t="shared" si="34"/>
        <v>0.95</v>
      </c>
      <c r="L114" s="216">
        <f t="shared" si="32"/>
        <v>1</v>
      </c>
      <c r="M114" s="111">
        <f t="shared" si="25"/>
        <v>15771.044999999998</v>
      </c>
      <c r="N114" s="216">
        <f>M114*B114</f>
        <v>234179.65278417058</v>
      </c>
      <c r="O114" s="216"/>
      <c r="P114" s="216"/>
      <c r="Q114" s="111">
        <v>3.5907838399999998</v>
      </c>
      <c r="R114" s="111">
        <f>'Cálculo Depre.-Sist. Irrig.'!$P$3*Q114</f>
        <v>27649.035567999999</v>
      </c>
      <c r="S114" s="214" t="s">
        <v>16</v>
      </c>
      <c r="T114" s="111">
        <f>Q114</f>
        <v>3.5907838399999998</v>
      </c>
      <c r="U114" s="111">
        <f>'Cálculo Valor Avaliação-Cultura'!$B$79*T114</f>
        <v>51684.823112911377</v>
      </c>
      <c r="V114" s="220"/>
      <c r="W114" s="220"/>
      <c r="X114" s="111">
        <f t="shared" si="26"/>
        <v>313513.51146508195</v>
      </c>
      <c r="Y114" s="219" t="s">
        <v>34</v>
      </c>
      <c r="Z114" s="218"/>
      <c r="AA114" s="205">
        <v>367939.44546999998</v>
      </c>
      <c r="AB114" s="207" t="b">
        <f t="shared" si="33"/>
        <v>0</v>
      </c>
      <c r="AC114" s="207"/>
      <c r="AD114" s="208"/>
      <c r="AE114" s="208"/>
      <c r="AF114" s="208"/>
      <c r="AG114" s="208"/>
      <c r="AH114" s="208"/>
      <c r="AI114" s="115"/>
    </row>
    <row r="115" spans="1:35" s="205" customFormat="1" x14ac:dyDescent="0.25">
      <c r="A115" s="221">
        <v>183</v>
      </c>
      <c r="B115" s="130">
        <v>14.673117110000002</v>
      </c>
      <c r="C115" s="216">
        <v>2</v>
      </c>
      <c r="D115" s="214" t="s">
        <v>10</v>
      </c>
      <c r="E115" s="214" t="s">
        <v>10</v>
      </c>
      <c r="F115" s="128">
        <v>2.4115685600000036</v>
      </c>
      <c r="G115" s="128">
        <v>8.8568374599999995</v>
      </c>
      <c r="H115" s="215">
        <f t="shared" si="24"/>
        <v>0.16435284622355226</v>
      </c>
      <c r="I115" s="215">
        <f>G115/B115</f>
        <v>0.60360981198493269</v>
      </c>
      <c r="J115" s="111">
        <v>15026.58</v>
      </c>
      <c r="K115" s="216">
        <f t="shared" si="34"/>
        <v>0.95</v>
      </c>
      <c r="L115" s="216">
        <f t="shared" si="32"/>
        <v>1</v>
      </c>
      <c r="M115" s="111">
        <f t="shared" si="25"/>
        <v>14275.250999999998</v>
      </c>
      <c r="N115" s="216">
        <f>M115*B115</f>
        <v>209462.42969764461</v>
      </c>
      <c r="O115" s="216"/>
      <c r="P115" s="216"/>
      <c r="Q115" s="111">
        <v>3.4047110900000002</v>
      </c>
      <c r="R115" s="111">
        <f>'Cálculo Depre.-Sist. Irrig.'!$P$3*Q115</f>
        <v>26216.275393</v>
      </c>
      <c r="S115" s="214" t="s">
        <v>16</v>
      </c>
      <c r="T115" s="111">
        <f>Q115</f>
        <v>3.4047110900000002</v>
      </c>
      <c r="U115" s="111">
        <f>'Cálculo Valor Avaliação-Cultura'!$B$79*T115</f>
        <v>49006.539596440227</v>
      </c>
      <c r="V115" s="220"/>
      <c r="W115" s="220"/>
      <c r="X115" s="111">
        <f t="shared" si="26"/>
        <v>284685.24468708481</v>
      </c>
      <c r="Y115" s="219" t="s">
        <v>49</v>
      </c>
      <c r="Z115" s="218"/>
      <c r="AA115" s="205">
        <v>16475.440766220003</v>
      </c>
      <c r="AB115" s="207" t="b">
        <f t="shared" si="33"/>
        <v>0</v>
      </c>
      <c r="AC115" s="207"/>
      <c r="AD115" s="208"/>
      <c r="AE115" s="208"/>
      <c r="AF115" s="208"/>
      <c r="AG115" s="208"/>
      <c r="AH115" s="208"/>
      <c r="AI115" s="115"/>
    </row>
    <row r="116" spans="1:35" s="205" customFormat="1" x14ac:dyDescent="0.25">
      <c r="A116" s="221">
        <v>184</v>
      </c>
      <c r="B116" s="130">
        <v>14.40390189</v>
      </c>
      <c r="C116" s="216">
        <v>2</v>
      </c>
      <c r="D116" s="214" t="s">
        <v>13</v>
      </c>
      <c r="E116" s="214" t="s">
        <v>10</v>
      </c>
      <c r="F116" s="128">
        <v>14.40390189</v>
      </c>
      <c r="G116" s="128"/>
      <c r="H116" s="215">
        <f t="shared" si="24"/>
        <v>1</v>
      </c>
      <c r="I116" s="215">
        <f>G116/F116</f>
        <v>0</v>
      </c>
      <c r="J116" s="216">
        <v>15027.16</v>
      </c>
      <c r="K116" s="216">
        <f t="shared" si="34"/>
        <v>0.95</v>
      </c>
      <c r="L116" s="216">
        <f t="shared" si="32"/>
        <v>1</v>
      </c>
      <c r="M116" s="216">
        <f t="shared" si="25"/>
        <v>14275.802</v>
      </c>
      <c r="N116" s="216">
        <f>M116*F116</f>
        <v>205627.25140906576</v>
      </c>
      <c r="O116" s="216"/>
      <c r="P116" s="216"/>
      <c r="Q116" s="216"/>
      <c r="R116" s="216"/>
      <c r="S116" s="216"/>
      <c r="T116" s="216"/>
      <c r="U116" s="216"/>
      <c r="V116" s="220"/>
      <c r="W116" s="220"/>
      <c r="X116" s="111">
        <f t="shared" si="26"/>
        <v>205627.25140906576</v>
      </c>
      <c r="Y116" s="219" t="s">
        <v>13</v>
      </c>
      <c r="Z116" s="218"/>
      <c r="AA116" s="205">
        <v>16418.961490353839</v>
      </c>
      <c r="AB116" s="207" t="b">
        <f t="shared" si="33"/>
        <v>0</v>
      </c>
      <c r="AC116" s="207"/>
      <c r="AD116" s="208"/>
      <c r="AE116" s="208"/>
      <c r="AF116" s="208"/>
      <c r="AG116" s="208"/>
      <c r="AH116" s="208"/>
      <c r="AI116" s="115"/>
    </row>
    <row r="117" spans="1:35" s="205" customFormat="1" x14ac:dyDescent="0.25">
      <c r="A117" s="221">
        <v>185</v>
      </c>
      <c r="B117" s="130">
        <v>15.146574789999999</v>
      </c>
      <c r="C117" s="216">
        <v>2</v>
      </c>
      <c r="D117" s="214" t="s">
        <v>13</v>
      </c>
      <c r="E117" s="214" t="s">
        <v>10</v>
      </c>
      <c r="F117" s="128">
        <v>15.146574789999999</v>
      </c>
      <c r="G117" s="128"/>
      <c r="H117" s="215">
        <f t="shared" si="24"/>
        <v>1</v>
      </c>
      <c r="I117" s="215">
        <f>G117/F117</f>
        <v>0</v>
      </c>
      <c r="J117" s="216">
        <v>15025.81</v>
      </c>
      <c r="K117" s="216">
        <f t="shared" si="34"/>
        <v>0.95</v>
      </c>
      <c r="L117" s="216">
        <f t="shared" si="32"/>
        <v>1</v>
      </c>
      <c r="M117" s="216">
        <f t="shared" si="25"/>
        <v>14274.519499999999</v>
      </c>
      <c r="N117" s="216">
        <f>M117*F117</f>
        <v>216210.07719806337</v>
      </c>
      <c r="O117" s="216"/>
      <c r="P117" s="216"/>
      <c r="Q117" s="216"/>
      <c r="R117" s="216"/>
      <c r="S117" s="216"/>
      <c r="T117" s="216"/>
      <c r="U117" s="216"/>
      <c r="V117" s="220"/>
      <c r="W117" s="220"/>
      <c r="X117" s="111">
        <f t="shared" si="26"/>
        <v>216210.07719806337</v>
      </c>
      <c r="Y117" s="219" t="s">
        <v>13</v>
      </c>
      <c r="Z117" s="218"/>
      <c r="AA117" s="205">
        <v>44024.909423482262</v>
      </c>
      <c r="AB117" s="207" t="b">
        <f t="shared" si="33"/>
        <v>0</v>
      </c>
      <c r="AC117" s="207"/>
      <c r="AD117" s="208"/>
      <c r="AE117" s="208"/>
      <c r="AF117" s="208"/>
      <c r="AG117" s="208"/>
      <c r="AH117" s="208"/>
      <c r="AI117" s="115"/>
    </row>
    <row r="118" spans="1:35" s="207" customFormat="1" x14ac:dyDescent="0.25">
      <c r="A118" s="221">
        <v>186</v>
      </c>
      <c r="B118" s="130">
        <v>41.284985230000004</v>
      </c>
      <c r="C118" s="111">
        <v>2</v>
      </c>
      <c r="D118" s="214" t="s">
        <v>13</v>
      </c>
      <c r="E118" s="214" t="s">
        <v>10</v>
      </c>
      <c r="F118" s="128">
        <v>30.691794270000003</v>
      </c>
      <c r="G118" s="128">
        <v>10.593190959999999</v>
      </c>
      <c r="H118" s="215">
        <f t="shared" si="24"/>
        <v>0.743412988984131</v>
      </c>
      <c r="I118" s="215">
        <f t="shared" ref="I118:I126" si="35">G118/B118</f>
        <v>0.256587011015869</v>
      </c>
      <c r="J118" s="111">
        <v>16533.75</v>
      </c>
      <c r="K118" s="216">
        <f t="shared" si="34"/>
        <v>0.95</v>
      </c>
      <c r="L118" s="216">
        <f t="shared" si="32"/>
        <v>1</v>
      </c>
      <c r="M118" s="111">
        <f t="shared" si="25"/>
        <v>15707.0625</v>
      </c>
      <c r="N118" s="111">
        <f>B118*M118</f>
        <v>648465.84331918694</v>
      </c>
      <c r="O118" s="111"/>
      <c r="P118" s="111"/>
      <c r="Q118" s="111"/>
      <c r="R118" s="111"/>
      <c r="S118" s="111"/>
      <c r="T118" s="111"/>
      <c r="U118" s="111"/>
      <c r="V118" s="111"/>
      <c r="W118" s="111"/>
      <c r="X118" s="111">
        <f t="shared" si="26"/>
        <v>648465.84331918694</v>
      </c>
      <c r="Y118" s="219" t="s">
        <v>31</v>
      </c>
      <c r="Z118" s="218"/>
      <c r="AA118" s="205">
        <v>16456.175356311363</v>
      </c>
      <c r="AB118" s="207" t="b">
        <f t="shared" si="33"/>
        <v>0</v>
      </c>
      <c r="AD118" s="208"/>
      <c r="AE118" s="208"/>
      <c r="AF118" s="208"/>
      <c r="AG118" s="208"/>
      <c r="AH118" s="208"/>
      <c r="AI118" s="115"/>
    </row>
    <row r="119" spans="1:35" s="208" customFormat="1" x14ac:dyDescent="0.25">
      <c r="A119" s="221">
        <v>187</v>
      </c>
      <c r="B119" s="130">
        <v>120.81320391</v>
      </c>
      <c r="C119" s="111">
        <v>2</v>
      </c>
      <c r="D119" s="214" t="s">
        <v>10</v>
      </c>
      <c r="E119" s="214" t="s">
        <v>10</v>
      </c>
      <c r="F119" s="128">
        <v>62.155881600000001</v>
      </c>
      <c r="G119" s="128">
        <v>58.657322309999998</v>
      </c>
      <c r="H119" s="215">
        <f t="shared" si="24"/>
        <v>0.51447920912935252</v>
      </c>
      <c r="I119" s="215">
        <f t="shared" si="35"/>
        <v>0.48552079087064748</v>
      </c>
      <c r="J119" s="111">
        <v>14822.15</v>
      </c>
      <c r="K119" s="216">
        <f t="shared" si="34"/>
        <v>0.95</v>
      </c>
      <c r="L119" s="216">
        <f t="shared" si="32"/>
        <v>1</v>
      </c>
      <c r="M119" s="111">
        <f t="shared" si="25"/>
        <v>14081.0425</v>
      </c>
      <c r="N119" s="111">
        <f>B119*M119</f>
        <v>1701175.8588178761</v>
      </c>
      <c r="O119" s="111"/>
      <c r="P119" s="111"/>
      <c r="Q119" s="111"/>
      <c r="R119" s="111"/>
      <c r="S119" s="111"/>
      <c r="T119" s="111"/>
      <c r="U119" s="111"/>
      <c r="V119" s="111"/>
      <c r="W119" s="111"/>
      <c r="X119" s="111">
        <f t="shared" si="26"/>
        <v>1701175.8588178761</v>
      </c>
      <c r="Y119" s="219" t="s">
        <v>32</v>
      </c>
      <c r="Z119" s="218"/>
      <c r="AA119" s="205">
        <v>1654392.744476777</v>
      </c>
      <c r="AB119" s="207" t="b">
        <f t="shared" si="33"/>
        <v>0</v>
      </c>
      <c r="AC119" s="207"/>
      <c r="AE119" s="222"/>
      <c r="AF119" s="222"/>
      <c r="AI119" s="115"/>
    </row>
    <row r="120" spans="1:35" s="208" customFormat="1" x14ac:dyDescent="0.25">
      <c r="A120" s="213">
        <v>188</v>
      </c>
      <c r="B120" s="130">
        <v>39.82796888</v>
      </c>
      <c r="C120" s="111">
        <v>2</v>
      </c>
      <c r="D120" s="214" t="s">
        <v>13</v>
      </c>
      <c r="E120" s="214" t="s">
        <v>10</v>
      </c>
      <c r="F120" s="128">
        <v>23.213229639999998</v>
      </c>
      <c r="G120" s="128">
        <v>16.614739240000002</v>
      </c>
      <c r="H120" s="215">
        <f t="shared" si="24"/>
        <v>0.5828373952470558</v>
      </c>
      <c r="I120" s="215">
        <f t="shared" si="35"/>
        <v>0.4171626047529442</v>
      </c>
      <c r="J120" s="111">
        <v>9507.7000000000007</v>
      </c>
      <c r="K120" s="216">
        <f t="shared" si="34"/>
        <v>0.95</v>
      </c>
      <c r="L120" s="111">
        <f>$B$320</f>
        <v>1.1499999999999999</v>
      </c>
      <c r="M120" s="111">
        <f t="shared" si="25"/>
        <v>10387.162249999999</v>
      </c>
      <c r="N120" s="111">
        <f>B120*M120</f>
        <v>413699.57484451076</v>
      </c>
      <c r="O120" s="111"/>
      <c r="P120" s="111"/>
      <c r="Q120" s="111"/>
      <c r="R120" s="111"/>
      <c r="S120" s="111"/>
      <c r="T120" s="111"/>
      <c r="U120" s="111"/>
      <c r="V120" s="111"/>
      <c r="W120" s="111"/>
      <c r="X120" s="111">
        <f t="shared" si="26"/>
        <v>413699.57484451076</v>
      </c>
      <c r="Y120" s="219" t="s">
        <v>34</v>
      </c>
      <c r="Z120" s="218"/>
      <c r="AA120" s="205">
        <v>573395.86612483056</v>
      </c>
      <c r="AB120" s="207" t="b">
        <f t="shared" si="33"/>
        <v>0</v>
      </c>
      <c r="AC120" s="207"/>
      <c r="AE120" s="222"/>
      <c r="AF120" s="222"/>
      <c r="AI120" s="115"/>
    </row>
    <row r="121" spans="1:35" s="208" customFormat="1" x14ac:dyDescent="0.25">
      <c r="A121" s="213">
        <v>189</v>
      </c>
      <c r="B121" s="130">
        <v>39.782550870000001</v>
      </c>
      <c r="C121" s="216">
        <v>2</v>
      </c>
      <c r="D121" s="214" t="s">
        <v>13</v>
      </c>
      <c r="E121" s="214" t="s">
        <v>10</v>
      </c>
      <c r="F121" s="128">
        <v>29.427494039999996</v>
      </c>
      <c r="G121" s="128"/>
      <c r="H121" s="215">
        <f t="shared" si="24"/>
        <v>0.73970857565574688</v>
      </c>
      <c r="I121" s="215">
        <f t="shared" si="35"/>
        <v>0</v>
      </c>
      <c r="J121" s="111">
        <v>9685.4500000000007</v>
      </c>
      <c r="K121" s="216">
        <f t="shared" si="34"/>
        <v>0.95</v>
      </c>
      <c r="L121" s="111">
        <f>$B$320</f>
        <v>1.1499999999999999</v>
      </c>
      <c r="M121" s="111">
        <f t="shared" si="25"/>
        <v>10581.354125</v>
      </c>
      <c r="N121" s="216">
        <f>M121*B121</f>
        <v>420953.25875129685</v>
      </c>
      <c r="O121" s="216"/>
      <c r="P121" s="216"/>
      <c r="Q121" s="111">
        <v>10.355056830000001</v>
      </c>
      <c r="R121" s="111">
        <f>'Cálculo Depre.-Sist. Irrig.'!$P$3*Q121</f>
        <v>79733.937591000009</v>
      </c>
      <c r="S121" s="214" t="s">
        <v>16</v>
      </c>
      <c r="T121" s="111">
        <f>Q121</f>
        <v>10.355056830000001</v>
      </c>
      <c r="U121" s="111">
        <f>'Cálculo Valor Avaliação-Cultura'!$B$79*T121</f>
        <v>149048.03642613444</v>
      </c>
      <c r="V121" s="220"/>
      <c r="W121" s="220"/>
      <c r="X121" s="111">
        <f t="shared" si="26"/>
        <v>649735.23276843131</v>
      </c>
      <c r="Y121" s="219" t="s">
        <v>38</v>
      </c>
      <c r="Z121" s="218"/>
      <c r="AA121" s="205">
        <v>547505.94980734785</v>
      </c>
      <c r="AB121" s="207" t="b">
        <f t="shared" si="33"/>
        <v>0</v>
      </c>
      <c r="AC121" s="207"/>
      <c r="AE121" s="222"/>
      <c r="AF121" s="222"/>
      <c r="AI121" s="115"/>
    </row>
    <row r="122" spans="1:35" s="208" customFormat="1" x14ac:dyDescent="0.25">
      <c r="A122" s="213">
        <v>190</v>
      </c>
      <c r="B122" s="130">
        <v>17.815777569999998</v>
      </c>
      <c r="C122" s="216">
        <v>0.3</v>
      </c>
      <c r="D122" s="214" t="s">
        <v>13</v>
      </c>
      <c r="E122" s="214" t="s">
        <v>10</v>
      </c>
      <c r="F122" s="128"/>
      <c r="G122" s="128">
        <v>17.815777569999998</v>
      </c>
      <c r="H122" s="215">
        <f t="shared" si="24"/>
        <v>0</v>
      </c>
      <c r="I122" s="215">
        <f t="shared" si="35"/>
        <v>1</v>
      </c>
      <c r="J122" s="216">
        <v>4344.43</v>
      </c>
      <c r="K122" s="216">
        <f>$B$319</f>
        <v>0.9</v>
      </c>
      <c r="L122" s="111">
        <f>$B$320</f>
        <v>1.1499999999999999</v>
      </c>
      <c r="M122" s="216">
        <f t="shared" si="25"/>
        <v>4496.4850500000002</v>
      </c>
      <c r="N122" s="216">
        <f>M122*B122</f>
        <v>80108.377497630325</v>
      </c>
      <c r="O122" s="216"/>
      <c r="P122" s="216"/>
      <c r="Q122" s="216"/>
      <c r="R122" s="216"/>
      <c r="S122" s="216"/>
      <c r="T122" s="216"/>
      <c r="U122" s="216"/>
      <c r="V122" s="216"/>
      <c r="W122" s="216"/>
      <c r="X122" s="111">
        <f t="shared" si="26"/>
        <v>80108.377497630325</v>
      </c>
      <c r="Y122" s="214" t="s">
        <v>13</v>
      </c>
      <c r="Z122" s="218"/>
      <c r="AA122" s="205">
        <v>156922.38294555742</v>
      </c>
      <c r="AB122" s="207" t="b">
        <f t="shared" si="33"/>
        <v>0</v>
      </c>
      <c r="AC122" s="207"/>
      <c r="AE122" s="222"/>
      <c r="AF122" s="222"/>
      <c r="AI122" s="115"/>
    </row>
    <row r="123" spans="1:35" s="208" customFormat="1" x14ac:dyDescent="0.25">
      <c r="A123" s="213">
        <v>191</v>
      </c>
      <c r="B123" s="130">
        <v>82.079325249999997</v>
      </c>
      <c r="C123" s="216">
        <v>0.3</v>
      </c>
      <c r="D123" s="214" t="s">
        <v>13</v>
      </c>
      <c r="E123" s="214" t="s">
        <v>10</v>
      </c>
      <c r="F123" s="128"/>
      <c r="G123" s="128">
        <v>82.079325249999997</v>
      </c>
      <c r="H123" s="215">
        <f t="shared" si="24"/>
        <v>0</v>
      </c>
      <c r="I123" s="215">
        <f t="shared" si="35"/>
        <v>1</v>
      </c>
      <c r="J123" s="216">
        <v>4331.1400000000003</v>
      </c>
      <c r="K123" s="216">
        <f>$B$319</f>
        <v>0.9</v>
      </c>
      <c r="L123" s="111">
        <f>$B$320</f>
        <v>1.1499999999999999</v>
      </c>
      <c r="M123" s="216">
        <f t="shared" si="25"/>
        <v>4482.7299000000003</v>
      </c>
      <c r="N123" s="216">
        <f>M123*B123</f>
        <v>367939.44546999998</v>
      </c>
      <c r="O123" s="216"/>
      <c r="P123" s="216"/>
      <c r="Q123" s="216"/>
      <c r="R123" s="216"/>
      <c r="S123" s="216"/>
      <c r="T123" s="216"/>
      <c r="U123" s="216"/>
      <c r="V123" s="216"/>
      <c r="W123" s="216"/>
      <c r="X123" s="111">
        <f t="shared" si="26"/>
        <v>367939.44546999998</v>
      </c>
      <c r="Y123" s="214" t="s">
        <v>13</v>
      </c>
      <c r="Z123" s="218"/>
      <c r="AA123" s="205">
        <v>152471.07887107501</v>
      </c>
      <c r="AB123" s="207" t="b">
        <f t="shared" si="33"/>
        <v>0</v>
      </c>
      <c r="AC123" s="207"/>
      <c r="AE123" s="222"/>
      <c r="AF123" s="222"/>
      <c r="AI123" s="115"/>
    </row>
    <row r="124" spans="1:35" s="208" customFormat="1" x14ac:dyDescent="0.25">
      <c r="A124" s="221">
        <v>192</v>
      </c>
      <c r="B124" s="130">
        <v>15.290032</v>
      </c>
      <c r="C124" s="216">
        <v>2</v>
      </c>
      <c r="D124" s="214" t="s">
        <v>13</v>
      </c>
      <c r="E124" s="214" t="s">
        <v>10</v>
      </c>
      <c r="F124" s="128">
        <v>12.541211200000001</v>
      </c>
      <c r="G124" s="128">
        <v>1.6398331300000002</v>
      </c>
      <c r="H124" s="215">
        <f t="shared" si="24"/>
        <v>0.82022138344772599</v>
      </c>
      <c r="I124" s="215">
        <f t="shared" si="35"/>
        <v>0.10724850870161685</v>
      </c>
      <c r="J124" s="111">
        <v>16599.830000000002</v>
      </c>
      <c r="K124" s="216">
        <f t="shared" ref="K124:K135" si="36">$B$318</f>
        <v>0.95</v>
      </c>
      <c r="L124" s="216">
        <f t="shared" ref="L124:L143" si="37">$B$321</f>
        <v>1</v>
      </c>
      <c r="M124" s="111">
        <f t="shared" si="25"/>
        <v>15769.838500000002</v>
      </c>
      <c r="N124" s="216">
        <f>M124*B124</f>
        <v>241121.33529983202</v>
      </c>
      <c r="O124" s="216"/>
      <c r="P124" s="216"/>
      <c r="Q124" s="111">
        <v>1.1089876700000001</v>
      </c>
      <c r="R124" s="111">
        <f>'Cálculo Depre.-Sist. Irrig.'!$P$3*Q124</f>
        <v>8539.2050589999999</v>
      </c>
      <c r="S124" s="214" t="s">
        <v>21</v>
      </c>
      <c r="T124" s="111">
        <f>Q124</f>
        <v>1.1089876700000001</v>
      </c>
      <c r="U124" s="111">
        <f>'Cálculo Valor Avaliação-Cultura'!$H$79*T124</f>
        <v>14013.168937445114</v>
      </c>
      <c r="V124" s="220"/>
      <c r="W124" s="220"/>
      <c r="X124" s="111">
        <f t="shared" si="26"/>
        <v>263673.70929627714</v>
      </c>
      <c r="Y124" s="219" t="s">
        <v>31</v>
      </c>
      <c r="Z124" s="218"/>
      <c r="AA124" s="205">
        <v>158966.21638065172</v>
      </c>
      <c r="AB124" s="207" t="b">
        <f t="shared" si="33"/>
        <v>0</v>
      </c>
      <c r="AC124" s="207"/>
      <c r="AE124" s="222"/>
      <c r="AF124" s="222"/>
      <c r="AI124" s="115"/>
    </row>
    <row r="125" spans="1:35" s="208" customFormat="1" x14ac:dyDescent="0.25">
      <c r="A125" s="221">
        <v>193</v>
      </c>
      <c r="B125" s="130">
        <v>4.4668088300000006</v>
      </c>
      <c r="C125" s="216">
        <v>2</v>
      </c>
      <c r="D125" s="214" t="s">
        <v>13</v>
      </c>
      <c r="E125" s="214" t="s">
        <v>10</v>
      </c>
      <c r="F125" s="128">
        <v>2.4446896799999998</v>
      </c>
      <c r="G125" s="128"/>
      <c r="H125" s="215">
        <f t="shared" ref="H125:H188" si="38">F125/B125</f>
        <v>0.54730116578550769</v>
      </c>
      <c r="I125" s="215">
        <f t="shared" si="35"/>
        <v>0</v>
      </c>
      <c r="J125" s="111">
        <v>15046.33</v>
      </c>
      <c r="K125" s="216">
        <f t="shared" si="36"/>
        <v>0.95</v>
      </c>
      <c r="L125" s="216">
        <f t="shared" si="37"/>
        <v>1</v>
      </c>
      <c r="M125" s="111">
        <f t="shared" ref="M125:M188" si="39">J125*K125*L125</f>
        <v>14294.013499999999</v>
      </c>
      <c r="N125" s="216">
        <f>M125*B125</f>
        <v>63848.625717939212</v>
      </c>
      <c r="O125" s="216"/>
      <c r="P125" s="216"/>
      <c r="Q125" s="111">
        <v>2.02211915</v>
      </c>
      <c r="R125" s="111">
        <f>'Cálculo Depre.-Sist. Irrig.'!$P$3*Q125</f>
        <v>15570.317455</v>
      </c>
      <c r="S125" s="214" t="s">
        <v>16</v>
      </c>
      <c r="T125" s="111">
        <f>Q125</f>
        <v>2.02211915</v>
      </c>
      <c r="U125" s="111">
        <f>'Cálculo Valor Avaliação-Cultura'!$B$79*T125</f>
        <v>29105.865247789661</v>
      </c>
      <c r="V125" s="220"/>
      <c r="W125" s="220"/>
      <c r="X125" s="111">
        <f t="shared" ref="X125:X188" si="40">N125+P125+R125+U125+W125</f>
        <v>108524.80842072886</v>
      </c>
      <c r="Y125" s="219" t="s">
        <v>31</v>
      </c>
      <c r="Z125" s="218"/>
      <c r="AA125" s="205">
        <v>89930.709933235194</v>
      </c>
      <c r="AB125" s="207" t="b">
        <f t="shared" si="33"/>
        <v>0</v>
      </c>
      <c r="AC125" s="207"/>
      <c r="AE125" s="222"/>
      <c r="AF125" s="222"/>
      <c r="AI125" s="115"/>
    </row>
    <row r="126" spans="1:35" s="208" customFormat="1" x14ac:dyDescent="0.25">
      <c r="A126" s="221">
        <v>194</v>
      </c>
      <c r="B126" s="130">
        <v>9.4026816399999991</v>
      </c>
      <c r="C126" s="111">
        <v>2</v>
      </c>
      <c r="D126" s="214" t="s">
        <v>10</v>
      </c>
      <c r="E126" s="214" t="s">
        <v>10</v>
      </c>
      <c r="F126" s="128">
        <v>6.5409840300000006</v>
      </c>
      <c r="G126" s="128">
        <v>2.8616976099999998</v>
      </c>
      <c r="H126" s="215">
        <f t="shared" si="38"/>
        <v>0.69565090901025139</v>
      </c>
      <c r="I126" s="215">
        <f t="shared" si="35"/>
        <v>0.30434909098974877</v>
      </c>
      <c r="J126" s="111">
        <v>16614.89</v>
      </c>
      <c r="K126" s="216">
        <f t="shared" si="36"/>
        <v>0.95</v>
      </c>
      <c r="L126" s="216">
        <f t="shared" si="37"/>
        <v>1</v>
      </c>
      <c r="M126" s="111">
        <f t="shared" si="39"/>
        <v>15784.145499999999</v>
      </c>
      <c r="N126" s="111">
        <f>B126*M126</f>
        <v>148413.29509593861</v>
      </c>
      <c r="O126" s="111"/>
      <c r="P126" s="111"/>
      <c r="Q126" s="111"/>
      <c r="R126" s="111"/>
      <c r="S126" s="111"/>
      <c r="T126" s="111"/>
      <c r="U126" s="111"/>
      <c r="V126" s="111">
        <v>20.602</v>
      </c>
      <c r="W126" s="111">
        <f>VLOOKUP(V126,'Estimativa Valores-Painéis Sol.'!$C$4:$D$24,2,FALSE)</f>
        <v>5300</v>
      </c>
      <c r="X126" s="111">
        <f t="shared" si="40"/>
        <v>153713.29509593861</v>
      </c>
      <c r="Y126" s="219" t="s">
        <v>32</v>
      </c>
      <c r="Z126" s="218"/>
      <c r="AA126" s="205">
        <v>61006.282456101311</v>
      </c>
      <c r="AB126" s="207" t="b">
        <f t="shared" si="33"/>
        <v>0</v>
      </c>
      <c r="AC126" s="207"/>
      <c r="AD126" s="115"/>
      <c r="AE126" s="222"/>
      <c r="AF126" s="222"/>
      <c r="AI126" s="115"/>
    </row>
    <row r="127" spans="1:35" s="208" customFormat="1" x14ac:dyDescent="0.25">
      <c r="A127" s="221">
        <v>195</v>
      </c>
      <c r="B127" s="130">
        <v>3.4919309900000002</v>
      </c>
      <c r="C127" s="216">
        <v>2</v>
      </c>
      <c r="D127" s="214" t="s">
        <v>13</v>
      </c>
      <c r="E127" s="214" t="s">
        <v>10</v>
      </c>
      <c r="F127" s="128">
        <v>3.4919309900000002</v>
      </c>
      <c r="G127" s="128"/>
      <c r="H127" s="215">
        <f t="shared" si="38"/>
        <v>1</v>
      </c>
      <c r="I127" s="215">
        <f>G127/F127</f>
        <v>0</v>
      </c>
      <c r="J127" s="216">
        <v>16629.990000000002</v>
      </c>
      <c r="K127" s="216">
        <f t="shared" si="36"/>
        <v>0.95</v>
      </c>
      <c r="L127" s="216">
        <f t="shared" si="37"/>
        <v>1</v>
      </c>
      <c r="M127" s="216">
        <f t="shared" si="39"/>
        <v>15798.4905</v>
      </c>
      <c r="N127" s="216">
        <f>M127*F127</f>
        <v>55167.238572170594</v>
      </c>
      <c r="O127" s="216"/>
      <c r="P127" s="216"/>
      <c r="Q127" s="216"/>
      <c r="R127" s="216"/>
      <c r="S127" s="216"/>
      <c r="T127" s="216"/>
      <c r="U127" s="216"/>
      <c r="V127" s="220"/>
      <c r="W127" s="220"/>
      <c r="X127" s="111">
        <f t="shared" si="40"/>
        <v>55167.238572170594</v>
      </c>
      <c r="Y127" s="219" t="s">
        <v>31</v>
      </c>
      <c r="Z127" s="218"/>
      <c r="AA127" s="205">
        <v>134557.29892836319</v>
      </c>
      <c r="AB127" s="207" t="b">
        <f t="shared" si="33"/>
        <v>0</v>
      </c>
      <c r="AC127" s="207"/>
      <c r="AD127" s="115"/>
      <c r="AE127" s="222"/>
      <c r="AF127" s="222"/>
      <c r="AI127" s="115"/>
    </row>
    <row r="128" spans="1:35" s="208" customFormat="1" x14ac:dyDescent="0.25">
      <c r="A128" s="221">
        <v>196</v>
      </c>
      <c r="B128" s="130">
        <v>5.4930742500000003</v>
      </c>
      <c r="C128" s="216">
        <v>2</v>
      </c>
      <c r="D128" s="214" t="s">
        <v>13</v>
      </c>
      <c r="E128" s="214" t="s">
        <v>10</v>
      </c>
      <c r="F128" s="128">
        <v>5.4930742500000003</v>
      </c>
      <c r="G128" s="128"/>
      <c r="H128" s="215">
        <f t="shared" si="38"/>
        <v>1</v>
      </c>
      <c r="I128" s="215">
        <f>G128/F128</f>
        <v>0</v>
      </c>
      <c r="J128" s="216">
        <v>16624.87</v>
      </c>
      <c r="K128" s="216">
        <f t="shared" si="36"/>
        <v>0.95</v>
      </c>
      <c r="L128" s="216">
        <f t="shared" si="37"/>
        <v>1</v>
      </c>
      <c r="M128" s="216">
        <f t="shared" si="39"/>
        <v>15793.626499999998</v>
      </c>
      <c r="N128" s="216">
        <f>M128*F128</f>
        <v>86755.563041267626</v>
      </c>
      <c r="O128" s="216"/>
      <c r="P128" s="216"/>
      <c r="Q128" s="216"/>
      <c r="R128" s="216"/>
      <c r="S128" s="216"/>
      <c r="T128" s="216"/>
      <c r="U128" s="216"/>
      <c r="V128" s="220"/>
      <c r="W128" s="220"/>
      <c r="X128" s="111">
        <f t="shared" si="40"/>
        <v>86755.563041267626</v>
      </c>
      <c r="Y128" s="219" t="s">
        <v>38</v>
      </c>
      <c r="Z128" s="218"/>
      <c r="AA128" s="205">
        <v>348206.05274555174</v>
      </c>
      <c r="AB128" s="207" t="b">
        <f t="shared" si="33"/>
        <v>0</v>
      </c>
      <c r="AC128" s="207"/>
      <c r="AD128" s="115"/>
      <c r="AE128" s="222"/>
      <c r="AF128" s="222"/>
      <c r="AI128" s="115"/>
    </row>
    <row r="129" spans="1:35" s="208" customFormat="1" x14ac:dyDescent="0.25">
      <c r="A129" s="221">
        <v>197</v>
      </c>
      <c r="B129" s="130">
        <v>15.023865220000001</v>
      </c>
      <c r="C129" s="111">
        <v>2</v>
      </c>
      <c r="D129" s="214" t="s">
        <v>13</v>
      </c>
      <c r="E129" s="214" t="s">
        <v>10</v>
      </c>
      <c r="F129" s="128">
        <v>2.1078836200000004</v>
      </c>
      <c r="G129" s="128">
        <v>12.9159816</v>
      </c>
      <c r="H129" s="215">
        <f t="shared" si="38"/>
        <v>0.14030235156755488</v>
      </c>
      <c r="I129" s="215">
        <f>G129/B129</f>
        <v>0.85969764843244512</v>
      </c>
      <c r="J129" s="111">
        <v>15026</v>
      </c>
      <c r="K129" s="216">
        <f t="shared" si="36"/>
        <v>0.95</v>
      </c>
      <c r="L129" s="216">
        <f t="shared" si="37"/>
        <v>1</v>
      </c>
      <c r="M129" s="111">
        <f t="shared" si="39"/>
        <v>14274.699999999999</v>
      </c>
      <c r="N129" s="111">
        <f>B129*M129</f>
        <v>214461.168855934</v>
      </c>
      <c r="O129" s="111"/>
      <c r="P129" s="111"/>
      <c r="Q129" s="111"/>
      <c r="R129" s="111"/>
      <c r="S129" s="111"/>
      <c r="T129" s="111"/>
      <c r="U129" s="111"/>
      <c r="V129" s="111"/>
      <c r="W129" s="111"/>
      <c r="X129" s="111">
        <f t="shared" si="40"/>
        <v>214461.168855934</v>
      </c>
      <c r="Y129" s="219" t="s">
        <v>34</v>
      </c>
      <c r="Z129" s="218"/>
      <c r="AA129" s="205">
        <v>396175.25241117872</v>
      </c>
      <c r="AB129" s="207" t="b">
        <f t="shared" si="33"/>
        <v>0</v>
      </c>
      <c r="AC129" s="207"/>
      <c r="AD129" s="115"/>
      <c r="AE129" s="222"/>
      <c r="AF129" s="222"/>
      <c r="AI129" s="115"/>
    </row>
    <row r="130" spans="1:35" x14ac:dyDescent="0.25">
      <c r="A130" s="221">
        <v>198</v>
      </c>
      <c r="B130" s="130">
        <v>15.243709330000002</v>
      </c>
      <c r="C130" s="216">
        <v>2</v>
      </c>
      <c r="D130" s="214" t="s">
        <v>13</v>
      </c>
      <c r="E130" s="214" t="s">
        <v>10</v>
      </c>
      <c r="F130" s="128">
        <v>15.243709330000002</v>
      </c>
      <c r="G130" s="128"/>
      <c r="H130" s="215">
        <f t="shared" si="38"/>
        <v>1</v>
      </c>
      <c r="I130" s="215">
        <f>G130/F130</f>
        <v>0</v>
      </c>
      <c r="J130" s="216">
        <v>16600.080000000002</v>
      </c>
      <c r="K130" s="216">
        <f t="shared" si="36"/>
        <v>0.95</v>
      </c>
      <c r="L130" s="216">
        <f t="shared" si="37"/>
        <v>1</v>
      </c>
      <c r="M130" s="216">
        <f t="shared" si="39"/>
        <v>15770.076000000001</v>
      </c>
      <c r="N130" s="216">
        <f>M130*F130</f>
        <v>240394.45465600913</v>
      </c>
      <c r="O130" s="216"/>
      <c r="P130" s="216"/>
      <c r="Q130" s="216"/>
      <c r="R130" s="216"/>
      <c r="S130" s="216"/>
      <c r="T130" s="216"/>
      <c r="U130" s="216"/>
      <c r="V130" s="220"/>
      <c r="W130" s="220"/>
      <c r="X130" s="111">
        <f t="shared" si="40"/>
        <v>240394.45465600913</v>
      </c>
      <c r="Y130" s="219" t="s">
        <v>34</v>
      </c>
      <c r="Z130" s="218"/>
    </row>
    <row r="131" spans="1:35" x14ac:dyDescent="0.25">
      <c r="A131" s="221">
        <v>199</v>
      </c>
      <c r="B131" s="130">
        <v>14.898038159999999</v>
      </c>
      <c r="C131" s="111">
        <v>2</v>
      </c>
      <c r="D131" s="214" t="s">
        <v>13</v>
      </c>
      <c r="E131" s="214" t="s">
        <v>10</v>
      </c>
      <c r="F131" s="128">
        <v>9.9706746199999987</v>
      </c>
      <c r="G131" s="128">
        <v>4.92736354</v>
      </c>
      <c r="H131" s="215">
        <f t="shared" si="38"/>
        <v>0.66926091294157353</v>
      </c>
      <c r="I131" s="215">
        <f>G131/B131</f>
        <v>0.33073908705842653</v>
      </c>
      <c r="J131" s="111">
        <v>15026.19</v>
      </c>
      <c r="K131" s="216">
        <f t="shared" si="36"/>
        <v>0.95</v>
      </c>
      <c r="L131" s="216">
        <f t="shared" si="37"/>
        <v>1</v>
      </c>
      <c r="M131" s="111">
        <f t="shared" si="39"/>
        <v>14274.880499999999</v>
      </c>
      <c r="N131" s="111">
        <f>B131*M131</f>
        <v>212667.71441843986</v>
      </c>
      <c r="O131" s="111"/>
      <c r="P131" s="111"/>
      <c r="Q131" s="111"/>
      <c r="R131" s="111"/>
      <c r="S131" s="111"/>
      <c r="T131" s="111"/>
      <c r="U131" s="111"/>
      <c r="V131" s="111"/>
      <c r="W131" s="111"/>
      <c r="X131" s="111">
        <f t="shared" si="40"/>
        <v>212667.71441843986</v>
      </c>
      <c r="Y131" s="219" t="s">
        <v>34</v>
      </c>
      <c r="Z131" s="218"/>
      <c r="AD131" s="222"/>
      <c r="AE131" s="225"/>
    </row>
    <row r="132" spans="1:35" x14ac:dyDescent="0.25">
      <c r="A132" s="221">
        <v>200</v>
      </c>
      <c r="B132" s="130">
        <v>18.067900599999998</v>
      </c>
      <c r="C132" s="216">
        <v>2</v>
      </c>
      <c r="D132" s="214" t="s">
        <v>13</v>
      </c>
      <c r="E132" s="214" t="s">
        <v>10</v>
      </c>
      <c r="F132" s="128">
        <v>18.067900599999998</v>
      </c>
      <c r="G132" s="128"/>
      <c r="H132" s="215">
        <f t="shared" si="38"/>
        <v>1</v>
      </c>
      <c r="I132" s="215">
        <f>G132/F132</f>
        <v>0</v>
      </c>
      <c r="J132" s="216">
        <v>16592.68</v>
      </c>
      <c r="K132" s="216">
        <f t="shared" si="36"/>
        <v>0.95</v>
      </c>
      <c r="L132" s="216">
        <f t="shared" si="37"/>
        <v>1</v>
      </c>
      <c r="M132" s="216">
        <f t="shared" si="39"/>
        <v>15763.046</v>
      </c>
      <c r="N132" s="216">
        <f>M132*F132</f>
        <v>284805.14828122756</v>
      </c>
      <c r="O132" s="216"/>
      <c r="P132" s="216"/>
      <c r="Q132" s="216"/>
      <c r="R132" s="216"/>
      <c r="S132" s="216"/>
      <c r="T132" s="216"/>
      <c r="U132" s="216"/>
      <c r="V132" s="220"/>
      <c r="W132" s="220"/>
      <c r="X132" s="111">
        <f t="shared" si="40"/>
        <v>284805.14828122756</v>
      </c>
      <c r="Y132" s="219" t="s">
        <v>34</v>
      </c>
      <c r="Z132" s="218"/>
    </row>
    <row r="133" spans="1:35" x14ac:dyDescent="0.25">
      <c r="A133" s="221">
        <v>201</v>
      </c>
      <c r="B133" s="130">
        <v>29.683980219999999</v>
      </c>
      <c r="C133" s="216">
        <v>2</v>
      </c>
      <c r="D133" s="214" t="s">
        <v>10</v>
      </c>
      <c r="E133" s="214" t="s">
        <v>10</v>
      </c>
      <c r="F133" s="128">
        <v>9.516180219999999</v>
      </c>
      <c r="G133" s="128">
        <v>13.09742</v>
      </c>
      <c r="H133" s="215">
        <f t="shared" si="38"/>
        <v>0.3205830265844315</v>
      </c>
      <c r="I133" s="215">
        <f t="shared" ref="I133:I148" si="41">G133/B133</f>
        <v>0.44122856513613457</v>
      </c>
      <c r="J133" s="111">
        <v>14997.57</v>
      </c>
      <c r="K133" s="216">
        <f t="shared" si="36"/>
        <v>0.95</v>
      </c>
      <c r="L133" s="216">
        <f t="shared" si="37"/>
        <v>1</v>
      </c>
      <c r="M133" s="111">
        <f t="shared" si="39"/>
        <v>14247.691499999999</v>
      </c>
      <c r="N133" s="216">
        <f>M133*B133</f>
        <v>422928.1926666621</v>
      </c>
      <c r="O133" s="216"/>
      <c r="P133" s="216"/>
      <c r="Q133" s="111">
        <v>7.0703800000000001</v>
      </c>
      <c r="R133" s="111">
        <f>'Cálculo Depre.-Sist. Irrig.'!$P$3*Q133</f>
        <v>54441.925999999999</v>
      </c>
      <c r="S133" s="214" t="s">
        <v>16</v>
      </c>
      <c r="T133" s="111">
        <f>Q133</f>
        <v>7.0703800000000001</v>
      </c>
      <c r="U133" s="111">
        <f>'Cálculo Valor Avaliação-Cultura'!$B$79*T133</f>
        <v>101769.23923136135</v>
      </c>
      <c r="V133" s="220"/>
      <c r="W133" s="220"/>
      <c r="X133" s="111">
        <f t="shared" si="40"/>
        <v>579139.35789802345</v>
      </c>
      <c r="Y133" s="219" t="s">
        <v>32</v>
      </c>
      <c r="Z133" s="218"/>
    </row>
    <row r="134" spans="1:35" s="208" customFormat="1" x14ac:dyDescent="0.25">
      <c r="A134" s="221">
        <v>202</v>
      </c>
      <c r="B134" s="130">
        <v>7.1097184200000001</v>
      </c>
      <c r="C134" s="216">
        <v>2</v>
      </c>
      <c r="D134" s="214" t="s">
        <v>13</v>
      </c>
      <c r="E134" s="214" t="s">
        <v>10</v>
      </c>
      <c r="F134" s="128">
        <v>3.7175920600000003</v>
      </c>
      <c r="G134" s="128"/>
      <c r="H134" s="215">
        <f t="shared" si="38"/>
        <v>0.52288878973634523</v>
      </c>
      <c r="I134" s="215">
        <f t="shared" si="41"/>
        <v>0</v>
      </c>
      <c r="J134" s="111">
        <v>15041.29</v>
      </c>
      <c r="K134" s="216">
        <f t="shared" si="36"/>
        <v>0.95</v>
      </c>
      <c r="L134" s="216">
        <f t="shared" si="37"/>
        <v>1</v>
      </c>
      <c r="M134" s="111">
        <f t="shared" si="39"/>
        <v>14289.2255</v>
      </c>
      <c r="N134" s="216">
        <f>M134*B134</f>
        <v>101592.36974488372</v>
      </c>
      <c r="O134" s="216"/>
      <c r="P134" s="216"/>
      <c r="Q134" s="111">
        <v>3.3921263599999998</v>
      </c>
      <c r="R134" s="111">
        <f>'Cálculo Depre.-Sist. Irrig.'!$P$3*Q134</f>
        <v>26119.372971999997</v>
      </c>
      <c r="S134" s="214" t="s">
        <v>16</v>
      </c>
      <c r="T134" s="111">
        <f>Q134</f>
        <v>3.3921263599999998</v>
      </c>
      <c r="U134" s="111">
        <f>'Cálculo Valor Avaliação-Cultura'!$B$79*T134</f>
        <v>48825.398215350084</v>
      </c>
      <c r="V134" s="220"/>
      <c r="W134" s="220"/>
      <c r="X134" s="111">
        <f t="shared" si="40"/>
        <v>176537.1409322338</v>
      </c>
      <c r="Y134" s="219" t="s">
        <v>50</v>
      </c>
      <c r="Z134" s="218"/>
      <c r="AA134" s="207"/>
      <c r="AB134" s="207"/>
      <c r="AC134" s="207"/>
      <c r="AI134" s="115"/>
    </row>
    <row r="135" spans="1:35" s="208" customFormat="1" x14ac:dyDescent="0.25">
      <c r="A135" s="221">
        <v>203</v>
      </c>
      <c r="B135" s="130">
        <v>22.862441350000001</v>
      </c>
      <c r="C135" s="111">
        <v>2</v>
      </c>
      <c r="D135" s="214" t="s">
        <v>10</v>
      </c>
      <c r="E135" s="214" t="s">
        <v>10</v>
      </c>
      <c r="F135" s="128">
        <v>1.0161457499999984</v>
      </c>
      <c r="G135" s="128">
        <v>21.846295600000001</v>
      </c>
      <c r="H135" s="215">
        <f t="shared" si="38"/>
        <v>4.4446073559856213E-2</v>
      </c>
      <c r="I135" s="215">
        <f t="shared" si="41"/>
        <v>0.9555539264401437</v>
      </c>
      <c r="J135" s="111">
        <v>15010.72</v>
      </c>
      <c r="K135" s="216">
        <f t="shared" si="36"/>
        <v>0.95</v>
      </c>
      <c r="L135" s="216">
        <f t="shared" si="37"/>
        <v>1</v>
      </c>
      <c r="M135" s="111">
        <f t="shared" si="39"/>
        <v>14260.183999999999</v>
      </c>
      <c r="N135" s="111">
        <f>B135*M135</f>
        <v>326022.62034020841</v>
      </c>
      <c r="O135" s="111"/>
      <c r="P135" s="111"/>
      <c r="Q135" s="111"/>
      <c r="R135" s="111"/>
      <c r="S135" s="111"/>
      <c r="T135" s="111"/>
      <c r="U135" s="111"/>
      <c r="V135" s="111"/>
      <c r="W135" s="111"/>
      <c r="X135" s="111">
        <f t="shared" si="40"/>
        <v>326022.62034020841</v>
      </c>
      <c r="Y135" s="219" t="s">
        <v>32</v>
      </c>
      <c r="Z135" s="218"/>
      <c r="AA135" s="205"/>
      <c r="AB135" s="207"/>
      <c r="AC135" s="207"/>
      <c r="AI135" s="115"/>
    </row>
    <row r="136" spans="1:35" s="208" customFormat="1" x14ac:dyDescent="0.25">
      <c r="A136" s="221">
        <v>204</v>
      </c>
      <c r="B136" s="130">
        <v>3.3426175000000002</v>
      </c>
      <c r="C136" s="216">
        <v>0.3</v>
      </c>
      <c r="D136" s="214" t="s">
        <v>13</v>
      </c>
      <c r="E136" s="214" t="s">
        <v>10</v>
      </c>
      <c r="F136" s="128"/>
      <c r="G136" s="128">
        <v>3.3426175000000002</v>
      </c>
      <c r="H136" s="215">
        <f t="shared" si="38"/>
        <v>0</v>
      </c>
      <c r="I136" s="215">
        <f t="shared" si="41"/>
        <v>1</v>
      </c>
      <c r="J136" s="216">
        <v>5476.56</v>
      </c>
      <c r="K136" s="216">
        <f>$B$319</f>
        <v>0.9</v>
      </c>
      <c r="L136" s="216">
        <f t="shared" si="37"/>
        <v>1</v>
      </c>
      <c r="M136" s="216">
        <f t="shared" si="39"/>
        <v>4928.9040000000005</v>
      </c>
      <c r="N136" s="216">
        <f>M136*B136</f>
        <v>16475.440766220003</v>
      </c>
      <c r="O136" s="216"/>
      <c r="P136" s="216"/>
      <c r="Q136" s="216"/>
      <c r="R136" s="216"/>
      <c r="S136" s="216"/>
      <c r="T136" s="216"/>
      <c r="U136" s="216"/>
      <c r="V136" s="216"/>
      <c r="W136" s="216"/>
      <c r="X136" s="111">
        <f t="shared" si="40"/>
        <v>16475.440766220003</v>
      </c>
      <c r="Y136" s="214" t="s">
        <v>13</v>
      </c>
      <c r="Z136" s="218"/>
      <c r="AA136" s="205"/>
      <c r="AB136" s="207"/>
      <c r="AC136" s="207"/>
      <c r="AI136" s="115"/>
    </row>
    <row r="137" spans="1:35" s="208" customFormat="1" x14ac:dyDescent="0.25">
      <c r="A137" s="221">
        <v>205</v>
      </c>
      <c r="B137" s="130">
        <v>3.3311587099999995</v>
      </c>
      <c r="C137" s="216">
        <v>0.3</v>
      </c>
      <c r="D137" s="214" t="s">
        <v>13</v>
      </c>
      <c r="E137" s="214" t="s">
        <v>10</v>
      </c>
      <c r="F137" s="128"/>
      <c r="G137" s="128">
        <v>3.3311587099999995</v>
      </c>
      <c r="H137" s="215">
        <f t="shared" si="38"/>
        <v>0</v>
      </c>
      <c r="I137" s="215">
        <f t="shared" si="41"/>
        <v>1</v>
      </c>
      <c r="J137" s="216">
        <v>5476.56</v>
      </c>
      <c r="K137" s="216">
        <f>$B$319</f>
        <v>0.9</v>
      </c>
      <c r="L137" s="216">
        <f t="shared" si="37"/>
        <v>1</v>
      </c>
      <c r="M137" s="216">
        <f t="shared" si="39"/>
        <v>4928.9040000000005</v>
      </c>
      <c r="N137" s="216">
        <f>M137*B137</f>
        <v>16418.961490353839</v>
      </c>
      <c r="O137" s="216"/>
      <c r="P137" s="216"/>
      <c r="Q137" s="216"/>
      <c r="R137" s="216"/>
      <c r="S137" s="216"/>
      <c r="T137" s="216"/>
      <c r="U137" s="216"/>
      <c r="V137" s="216"/>
      <c r="W137" s="216"/>
      <c r="X137" s="111">
        <f t="shared" si="40"/>
        <v>16418.961490353839</v>
      </c>
      <c r="Y137" s="214" t="s">
        <v>13</v>
      </c>
      <c r="Z137" s="218"/>
      <c r="AA137" s="205"/>
      <c r="AB137" s="207"/>
      <c r="AC137" s="207"/>
      <c r="AI137" s="115"/>
    </row>
    <row r="138" spans="1:35" s="208" customFormat="1" x14ac:dyDescent="0.25">
      <c r="A138" s="221">
        <v>206</v>
      </c>
      <c r="B138" s="130">
        <v>3.3353128900000004</v>
      </c>
      <c r="C138" s="216">
        <v>2</v>
      </c>
      <c r="D138" s="214" t="s">
        <v>10</v>
      </c>
      <c r="E138" s="214" t="s">
        <v>10</v>
      </c>
      <c r="F138" s="128"/>
      <c r="G138" s="128">
        <v>3.3353128900000004</v>
      </c>
      <c r="H138" s="215">
        <f t="shared" si="38"/>
        <v>0</v>
      </c>
      <c r="I138" s="215">
        <f t="shared" si="41"/>
        <v>1</v>
      </c>
      <c r="J138" s="216">
        <v>14666.26</v>
      </c>
      <c r="K138" s="216">
        <f>$B$319</f>
        <v>0.9</v>
      </c>
      <c r="L138" s="216">
        <f t="shared" si="37"/>
        <v>1</v>
      </c>
      <c r="M138" s="216">
        <f t="shared" si="39"/>
        <v>13199.634</v>
      </c>
      <c r="N138" s="216">
        <f>M138*B138</f>
        <v>44024.909423482262</v>
      </c>
      <c r="O138" s="216"/>
      <c r="P138" s="216"/>
      <c r="Q138" s="216"/>
      <c r="R138" s="216"/>
      <c r="S138" s="216"/>
      <c r="T138" s="216"/>
      <c r="U138" s="216"/>
      <c r="V138" s="216"/>
      <c r="W138" s="216"/>
      <c r="X138" s="111">
        <f t="shared" si="40"/>
        <v>44024.909423482262</v>
      </c>
      <c r="Y138" s="214" t="s">
        <v>32</v>
      </c>
      <c r="Z138" s="218"/>
      <c r="AA138" s="205"/>
      <c r="AB138" s="207"/>
      <c r="AC138" s="207"/>
      <c r="AI138" s="115"/>
    </row>
    <row r="139" spans="1:35" s="208" customFormat="1" x14ac:dyDescent="0.25">
      <c r="A139" s="221">
        <v>207</v>
      </c>
      <c r="B139" s="130">
        <v>3.3387088400000002</v>
      </c>
      <c r="C139" s="216">
        <v>0.3</v>
      </c>
      <c r="D139" s="214" t="s">
        <v>13</v>
      </c>
      <c r="E139" s="214" t="s">
        <v>10</v>
      </c>
      <c r="F139" s="128"/>
      <c r="G139" s="128">
        <v>3.3387088400000002</v>
      </c>
      <c r="H139" s="215">
        <f t="shared" si="38"/>
        <v>0</v>
      </c>
      <c r="I139" s="215">
        <f t="shared" si="41"/>
        <v>1</v>
      </c>
      <c r="J139" s="216">
        <v>5476.56</v>
      </c>
      <c r="K139" s="216">
        <f>$B$319</f>
        <v>0.9</v>
      </c>
      <c r="L139" s="216">
        <f t="shared" si="37"/>
        <v>1</v>
      </c>
      <c r="M139" s="216">
        <f t="shared" si="39"/>
        <v>4928.9040000000005</v>
      </c>
      <c r="N139" s="216">
        <f>M139*B139</f>
        <v>16456.175356311363</v>
      </c>
      <c r="O139" s="216"/>
      <c r="P139" s="216"/>
      <c r="Q139" s="216"/>
      <c r="R139" s="216"/>
      <c r="S139" s="216"/>
      <c r="T139" s="216"/>
      <c r="U139" s="216"/>
      <c r="V139" s="216"/>
      <c r="W139" s="216"/>
      <c r="X139" s="111">
        <f t="shared" si="40"/>
        <v>16456.175356311363</v>
      </c>
      <c r="Y139" s="214" t="s">
        <v>13</v>
      </c>
      <c r="Z139" s="218"/>
      <c r="AA139" s="205"/>
      <c r="AB139" s="207"/>
      <c r="AC139" s="207"/>
      <c r="AI139" s="115"/>
    </row>
    <row r="140" spans="1:35" s="205" customFormat="1" x14ac:dyDescent="0.25">
      <c r="A140" s="221">
        <v>208</v>
      </c>
      <c r="B140" s="130">
        <v>3.3434642099999996</v>
      </c>
      <c r="C140" s="111">
        <v>2</v>
      </c>
      <c r="D140" s="214" t="s">
        <v>10</v>
      </c>
      <c r="E140" s="214" t="s">
        <v>10</v>
      </c>
      <c r="F140" s="128">
        <v>0.79440946000000001</v>
      </c>
      <c r="G140" s="128">
        <v>2.5490547500000003</v>
      </c>
      <c r="H140" s="215">
        <f t="shared" si="38"/>
        <v>0.23760070696255489</v>
      </c>
      <c r="I140" s="215">
        <f t="shared" si="41"/>
        <v>0.76239929303744536</v>
      </c>
      <c r="J140" s="111">
        <v>15048.65</v>
      </c>
      <c r="K140" s="216">
        <f t="shared" ref="K140:K167" si="42">$B$318</f>
        <v>0.95</v>
      </c>
      <c r="L140" s="216">
        <f t="shared" si="37"/>
        <v>1</v>
      </c>
      <c r="M140" s="111">
        <f t="shared" si="39"/>
        <v>14296.217499999999</v>
      </c>
      <c r="N140" s="111">
        <f>B140*M140</f>
        <v>47798.891549625667</v>
      </c>
      <c r="O140" s="111"/>
      <c r="P140" s="111"/>
      <c r="Q140" s="111"/>
      <c r="R140" s="111"/>
      <c r="S140" s="111"/>
      <c r="T140" s="111"/>
      <c r="U140" s="111"/>
      <c r="V140" s="111"/>
      <c r="W140" s="111"/>
      <c r="X140" s="111">
        <f t="shared" si="40"/>
        <v>47798.891549625667</v>
      </c>
      <c r="Y140" s="219" t="s">
        <v>32</v>
      </c>
      <c r="Z140" s="218"/>
      <c r="AB140" s="207"/>
      <c r="AC140" s="207"/>
      <c r="AD140" s="208"/>
      <c r="AE140" s="208"/>
      <c r="AF140" s="208"/>
      <c r="AG140" s="208"/>
      <c r="AH140" s="208"/>
      <c r="AI140" s="115"/>
    </row>
    <row r="141" spans="1:35" s="205" customFormat="1" x14ac:dyDescent="0.25">
      <c r="A141" s="221">
        <v>209</v>
      </c>
      <c r="B141" s="130">
        <v>3.3481877299999998</v>
      </c>
      <c r="C141" s="111">
        <v>2</v>
      </c>
      <c r="D141" s="214" t="s">
        <v>13</v>
      </c>
      <c r="E141" s="214" t="s">
        <v>10</v>
      </c>
      <c r="F141" s="128">
        <v>2.43167307</v>
      </c>
      <c r="G141" s="128">
        <v>0.91651466000000004</v>
      </c>
      <c r="H141" s="215">
        <f t="shared" si="38"/>
        <v>0.72626545047400914</v>
      </c>
      <c r="I141" s="215">
        <f t="shared" si="41"/>
        <v>0.27373454952599091</v>
      </c>
      <c r="J141" s="111">
        <v>16630.5</v>
      </c>
      <c r="K141" s="216">
        <f t="shared" si="42"/>
        <v>0.95</v>
      </c>
      <c r="L141" s="216">
        <f t="shared" si="37"/>
        <v>1</v>
      </c>
      <c r="M141" s="111">
        <f t="shared" si="39"/>
        <v>15798.974999999999</v>
      </c>
      <c r="N141" s="111">
        <f>B141*M141</f>
        <v>52897.934241576739</v>
      </c>
      <c r="O141" s="111"/>
      <c r="P141" s="111"/>
      <c r="Q141" s="111"/>
      <c r="R141" s="111"/>
      <c r="S141" s="111"/>
      <c r="T141" s="111"/>
      <c r="U141" s="111"/>
      <c r="V141" s="111"/>
      <c r="W141" s="111"/>
      <c r="X141" s="111">
        <f t="shared" si="40"/>
        <v>52897.934241576739</v>
      </c>
      <c r="Y141" s="219" t="s">
        <v>31</v>
      </c>
      <c r="Z141" s="218"/>
      <c r="AB141" s="207"/>
      <c r="AC141" s="207"/>
      <c r="AD141" s="208"/>
      <c r="AE141" s="208"/>
      <c r="AF141" s="208"/>
      <c r="AG141" s="208"/>
      <c r="AH141" s="208"/>
      <c r="AI141" s="115"/>
    </row>
    <row r="142" spans="1:35" s="205" customFormat="1" x14ac:dyDescent="0.25">
      <c r="A142" s="221">
        <v>210</v>
      </c>
      <c r="B142" s="130">
        <v>29.827088750000001</v>
      </c>
      <c r="C142" s="216">
        <v>2</v>
      </c>
      <c r="D142" s="214" t="s">
        <v>10</v>
      </c>
      <c r="E142" s="214" t="s">
        <v>10</v>
      </c>
      <c r="F142" s="128">
        <v>28.678632500000003</v>
      </c>
      <c r="G142" s="128"/>
      <c r="H142" s="215">
        <f t="shared" si="38"/>
        <v>0.9614962003289711</v>
      </c>
      <c r="I142" s="215">
        <f t="shared" si="41"/>
        <v>0</v>
      </c>
      <c r="J142" s="111">
        <v>16562.91</v>
      </c>
      <c r="K142" s="216">
        <f t="shared" si="42"/>
        <v>0.95</v>
      </c>
      <c r="L142" s="216">
        <f t="shared" si="37"/>
        <v>1</v>
      </c>
      <c r="M142" s="111">
        <f t="shared" si="39"/>
        <v>15734.764499999999</v>
      </c>
      <c r="N142" s="216">
        <f>M142*B142</f>
        <v>469322.21720184939</v>
      </c>
      <c r="O142" s="216"/>
      <c r="P142" s="216"/>
      <c r="Q142" s="111">
        <v>1.14845625</v>
      </c>
      <c r="R142" s="111">
        <f>'Cálculo Depre.-Sist. Irrig.'!$P$3*Q142</f>
        <v>8843.1131249999999</v>
      </c>
      <c r="S142" s="214" t="s">
        <v>16</v>
      </c>
      <c r="T142" s="111">
        <f>Q142</f>
        <v>1.14845625</v>
      </c>
      <c r="U142" s="111">
        <f>'Cálculo Valor Avaliação-Cultura'!$B$79*T142</f>
        <v>16530.585181136252</v>
      </c>
      <c r="V142" s="220"/>
      <c r="W142" s="220"/>
      <c r="X142" s="111">
        <f t="shared" si="40"/>
        <v>494695.91550798563</v>
      </c>
      <c r="Y142" s="219" t="s">
        <v>32</v>
      </c>
      <c r="Z142" s="218"/>
      <c r="AB142" s="207"/>
      <c r="AC142" s="207"/>
      <c r="AD142" s="208"/>
      <c r="AE142" s="208"/>
      <c r="AF142" s="208"/>
      <c r="AG142" s="208"/>
      <c r="AH142" s="208"/>
      <c r="AI142" s="115"/>
    </row>
    <row r="143" spans="1:35" s="205" customFormat="1" x14ac:dyDescent="0.25">
      <c r="A143" s="221">
        <v>211</v>
      </c>
      <c r="B143" s="130">
        <v>23.176762349999997</v>
      </c>
      <c r="C143" s="111">
        <v>2</v>
      </c>
      <c r="D143" s="214" t="s">
        <v>10</v>
      </c>
      <c r="E143" s="214" t="s">
        <v>10</v>
      </c>
      <c r="F143" s="128">
        <v>9.2274292499999984</v>
      </c>
      <c r="G143" s="128">
        <v>13.9493331</v>
      </c>
      <c r="H143" s="215">
        <f t="shared" si="38"/>
        <v>0.39813279830260673</v>
      </c>
      <c r="I143" s="215">
        <f t="shared" si="41"/>
        <v>0.60186720169739338</v>
      </c>
      <c r="J143" s="111">
        <v>15010.14</v>
      </c>
      <c r="K143" s="216">
        <f t="shared" si="42"/>
        <v>0.95</v>
      </c>
      <c r="L143" s="216">
        <f t="shared" si="37"/>
        <v>1</v>
      </c>
      <c r="M143" s="111">
        <f t="shared" si="39"/>
        <v>14259.632999999998</v>
      </c>
      <c r="N143" s="111">
        <f>B143*M143</f>
        <v>330492.12523921748</v>
      </c>
      <c r="O143" s="111"/>
      <c r="P143" s="111"/>
      <c r="Q143" s="111"/>
      <c r="R143" s="111"/>
      <c r="S143" s="111"/>
      <c r="T143" s="111"/>
      <c r="U143" s="111"/>
      <c r="V143" s="111"/>
      <c r="W143" s="111"/>
      <c r="X143" s="111">
        <f t="shared" si="40"/>
        <v>330492.12523921748</v>
      </c>
      <c r="Y143" s="219" t="s">
        <v>29</v>
      </c>
      <c r="Z143" s="218"/>
      <c r="AB143" s="207"/>
      <c r="AC143" s="207"/>
      <c r="AD143" s="208"/>
      <c r="AE143" s="208"/>
      <c r="AF143" s="208"/>
      <c r="AG143" s="208"/>
      <c r="AH143" s="208"/>
      <c r="AI143" s="115"/>
    </row>
    <row r="144" spans="1:35" s="205" customFormat="1" x14ac:dyDescent="0.25">
      <c r="A144" s="213">
        <v>212</v>
      </c>
      <c r="B144" s="130">
        <v>5.2076791499999997</v>
      </c>
      <c r="C144" s="111">
        <v>1</v>
      </c>
      <c r="D144" s="214" t="s">
        <v>13</v>
      </c>
      <c r="E144" s="214" t="s">
        <v>10</v>
      </c>
      <c r="F144" s="128">
        <v>2.2844170200000002</v>
      </c>
      <c r="G144" s="128">
        <v>2.9232621299999999</v>
      </c>
      <c r="H144" s="215">
        <f t="shared" si="38"/>
        <v>0.43866316533728855</v>
      </c>
      <c r="I144" s="215">
        <f t="shared" si="41"/>
        <v>0.56133683466271156</v>
      </c>
      <c r="J144" s="111">
        <v>6569.9</v>
      </c>
      <c r="K144" s="216">
        <f t="shared" si="42"/>
        <v>0.95</v>
      </c>
      <c r="L144" s="111">
        <f>$B$320</f>
        <v>1.1499999999999999</v>
      </c>
      <c r="M144" s="111">
        <f t="shared" si="39"/>
        <v>7177.615749999999</v>
      </c>
      <c r="N144" s="111">
        <f>B144*M144</f>
        <v>37378.719887986605</v>
      </c>
      <c r="O144" s="111"/>
      <c r="P144" s="111"/>
      <c r="Q144" s="111"/>
      <c r="R144" s="111"/>
      <c r="S144" s="111"/>
      <c r="T144" s="111"/>
      <c r="U144" s="111"/>
      <c r="V144" s="111"/>
      <c r="W144" s="111"/>
      <c r="X144" s="111">
        <f t="shared" si="40"/>
        <v>37378.719887986605</v>
      </c>
      <c r="Y144" s="219"/>
      <c r="Z144" s="218"/>
      <c r="AB144" s="207"/>
      <c r="AC144" s="207"/>
      <c r="AD144" s="208"/>
      <c r="AE144" s="208"/>
      <c r="AF144" s="208"/>
      <c r="AG144" s="208"/>
      <c r="AH144" s="208"/>
      <c r="AI144" s="115"/>
    </row>
    <row r="145" spans="1:35" s="205" customFormat="1" x14ac:dyDescent="0.25">
      <c r="A145" s="213">
        <v>213</v>
      </c>
      <c r="B145" s="130">
        <v>29.922539</v>
      </c>
      <c r="C145" s="111">
        <v>1</v>
      </c>
      <c r="D145" s="214" t="s">
        <v>13</v>
      </c>
      <c r="E145" s="214" t="s">
        <v>10</v>
      </c>
      <c r="F145" s="128">
        <v>8.644810399999999</v>
      </c>
      <c r="G145" s="128">
        <v>21.2777286</v>
      </c>
      <c r="H145" s="215">
        <f t="shared" si="38"/>
        <v>0.2889063123954822</v>
      </c>
      <c r="I145" s="215">
        <f t="shared" si="41"/>
        <v>0.71109368760451774</v>
      </c>
      <c r="J145" s="111">
        <v>6560.04</v>
      </c>
      <c r="K145" s="216">
        <f t="shared" si="42"/>
        <v>0.95</v>
      </c>
      <c r="L145" s="111">
        <f>$B$320</f>
        <v>1.1499999999999999</v>
      </c>
      <c r="M145" s="111">
        <f t="shared" si="39"/>
        <v>7166.8436999999985</v>
      </c>
      <c r="N145" s="111">
        <f>B145*M145</f>
        <v>214450.16012015427</v>
      </c>
      <c r="O145" s="111"/>
      <c r="P145" s="111"/>
      <c r="Q145" s="111"/>
      <c r="R145" s="111"/>
      <c r="S145" s="111"/>
      <c r="T145" s="111"/>
      <c r="U145" s="111"/>
      <c r="V145" s="111"/>
      <c r="W145" s="111"/>
      <c r="X145" s="111">
        <f t="shared" si="40"/>
        <v>214450.16012015427</v>
      </c>
      <c r="Y145" s="219"/>
      <c r="Z145" s="218"/>
      <c r="AB145" s="207"/>
      <c r="AC145" s="207"/>
      <c r="AD145" s="208"/>
      <c r="AE145" s="208"/>
      <c r="AF145" s="208"/>
      <c r="AG145" s="208"/>
      <c r="AH145" s="208"/>
      <c r="AI145" s="115"/>
    </row>
    <row r="146" spans="1:35" s="205" customFormat="1" x14ac:dyDescent="0.25">
      <c r="A146" s="221">
        <v>214</v>
      </c>
      <c r="B146" s="130">
        <v>9.69233616</v>
      </c>
      <c r="C146" s="111">
        <v>2</v>
      </c>
      <c r="D146" s="214" t="s">
        <v>10</v>
      </c>
      <c r="E146" s="214" t="s">
        <v>10</v>
      </c>
      <c r="F146" s="128">
        <v>5.823328870000001</v>
      </c>
      <c r="G146" s="128">
        <v>3.8690072899999999</v>
      </c>
      <c r="H146" s="215">
        <f t="shared" si="38"/>
        <v>0.60081788062951391</v>
      </c>
      <c r="I146" s="215">
        <f t="shared" si="41"/>
        <v>0.3991821193704862</v>
      </c>
      <c r="J146" s="111">
        <v>16614.13</v>
      </c>
      <c r="K146" s="216">
        <f t="shared" si="42"/>
        <v>0.95</v>
      </c>
      <c r="L146" s="216">
        <f t="shared" ref="L146:L177" si="43">$B$321</f>
        <v>1</v>
      </c>
      <c r="M146" s="111">
        <f t="shared" si="39"/>
        <v>15783.423500000001</v>
      </c>
      <c r="N146" s="111">
        <f>B146*M146</f>
        <v>152978.24631764376</v>
      </c>
      <c r="O146" s="111"/>
      <c r="P146" s="111"/>
      <c r="Q146" s="111"/>
      <c r="R146" s="111"/>
      <c r="S146" s="111"/>
      <c r="T146" s="111"/>
      <c r="U146" s="111"/>
      <c r="V146" s="111"/>
      <c r="W146" s="111"/>
      <c r="X146" s="111">
        <f t="shared" si="40"/>
        <v>152978.24631764376</v>
      </c>
      <c r="Y146" s="219" t="s">
        <v>29</v>
      </c>
      <c r="Z146" s="218"/>
      <c r="AB146" s="207"/>
      <c r="AC146" s="207"/>
      <c r="AD146" s="208"/>
      <c r="AE146" s="208"/>
      <c r="AF146" s="208"/>
      <c r="AG146" s="208"/>
      <c r="AH146" s="208"/>
      <c r="AI146" s="115"/>
    </row>
    <row r="147" spans="1:35" s="205" customFormat="1" x14ac:dyDescent="0.25">
      <c r="A147" s="221">
        <v>215</v>
      </c>
      <c r="B147" s="130">
        <v>5.4421375799999998</v>
      </c>
      <c r="C147" s="216">
        <v>2</v>
      </c>
      <c r="D147" s="214" t="s">
        <v>10</v>
      </c>
      <c r="E147" s="214" t="s">
        <v>10</v>
      </c>
      <c r="F147" s="128">
        <v>4.5974888999999983</v>
      </c>
      <c r="G147" s="128"/>
      <c r="H147" s="215">
        <f t="shared" si="38"/>
        <v>0.84479468451806372</v>
      </c>
      <c r="I147" s="215">
        <f t="shared" si="41"/>
        <v>0</v>
      </c>
      <c r="J147" s="111">
        <v>16625.12</v>
      </c>
      <c r="K147" s="216">
        <f t="shared" si="42"/>
        <v>0.95</v>
      </c>
      <c r="L147" s="216">
        <f t="shared" si="43"/>
        <v>1</v>
      </c>
      <c r="M147" s="111">
        <f t="shared" si="39"/>
        <v>15793.863999999998</v>
      </c>
      <c r="N147" s="216">
        <f>M147*B147</f>
        <v>85952.38080780911</v>
      </c>
      <c r="O147" s="216"/>
      <c r="P147" s="216"/>
      <c r="Q147" s="111">
        <v>0.84464868000000004</v>
      </c>
      <c r="R147" s="111">
        <f>'Cálculo Depre.-Sist. Irrig.'!$P$3*Q147</f>
        <v>6503.794836</v>
      </c>
      <c r="S147" s="214" t="s">
        <v>16</v>
      </c>
      <c r="T147" s="111">
        <f>Q147</f>
        <v>0.84464868000000004</v>
      </c>
      <c r="U147" s="111">
        <f>'Cálculo Valor Avaliação-Cultura'!$B$79*T147</f>
        <v>12157.65681354801</v>
      </c>
      <c r="V147" s="220"/>
      <c r="W147" s="220"/>
      <c r="X147" s="111">
        <f t="shared" si="40"/>
        <v>104613.83245735712</v>
      </c>
      <c r="Y147" s="219" t="s">
        <v>29</v>
      </c>
      <c r="Z147" s="218"/>
      <c r="AB147" s="207"/>
      <c r="AC147" s="207"/>
      <c r="AD147" s="208"/>
      <c r="AE147" s="208"/>
      <c r="AF147" s="208"/>
      <c r="AG147" s="208"/>
      <c r="AH147" s="208"/>
      <c r="AI147" s="115"/>
    </row>
    <row r="148" spans="1:35" s="205" customFormat="1" x14ac:dyDescent="0.25">
      <c r="A148" s="221">
        <v>216</v>
      </c>
      <c r="B148" s="130">
        <v>14.845693129999999</v>
      </c>
      <c r="C148" s="216">
        <v>2</v>
      </c>
      <c r="D148" s="214" t="s">
        <v>10</v>
      </c>
      <c r="E148" s="214" t="s">
        <v>10</v>
      </c>
      <c r="F148" s="128">
        <v>6.1092372199999998</v>
      </c>
      <c r="G148" s="128"/>
      <c r="H148" s="215">
        <f t="shared" si="38"/>
        <v>0.41151579562523266</v>
      </c>
      <c r="I148" s="215">
        <f t="shared" si="41"/>
        <v>0</v>
      </c>
      <c r="J148" s="111">
        <v>15026.39</v>
      </c>
      <c r="K148" s="216">
        <f t="shared" si="42"/>
        <v>0.95</v>
      </c>
      <c r="L148" s="216">
        <f t="shared" si="43"/>
        <v>1</v>
      </c>
      <c r="M148" s="111">
        <f t="shared" si="39"/>
        <v>14275.070499999998</v>
      </c>
      <c r="N148" s="216">
        <f>M148*B148</f>
        <v>211923.31605211561</v>
      </c>
      <c r="O148" s="216"/>
      <c r="P148" s="216"/>
      <c r="Q148" s="111">
        <v>8.7364559100000001</v>
      </c>
      <c r="R148" s="111">
        <f>'Cálculo Depre.-Sist. Irrig.'!$P$3*Q148</f>
        <v>67270.710506999996</v>
      </c>
      <c r="S148" s="214" t="s">
        <v>16</v>
      </c>
      <c r="T148" s="111">
        <f>Q148</f>
        <v>8.7364559100000001</v>
      </c>
      <c r="U148" s="111">
        <f>'Cálculo Valor Avaliação-Cultura'!$B$79*T148</f>
        <v>125750.30925339666</v>
      </c>
      <c r="V148" s="220"/>
      <c r="W148" s="220"/>
      <c r="X148" s="111">
        <f t="shared" si="40"/>
        <v>404944.33581251226</v>
      </c>
      <c r="Y148" s="219" t="s">
        <v>37</v>
      </c>
      <c r="Z148" s="218"/>
      <c r="AB148" s="207"/>
      <c r="AC148" s="207"/>
      <c r="AD148" s="208"/>
      <c r="AE148" s="208"/>
      <c r="AF148" s="208"/>
      <c r="AG148" s="208"/>
      <c r="AH148" s="208"/>
      <c r="AI148" s="115"/>
    </row>
    <row r="149" spans="1:35" s="205" customFormat="1" x14ac:dyDescent="0.25">
      <c r="A149" s="221">
        <v>217</v>
      </c>
      <c r="B149" s="130">
        <v>14.636511950000001</v>
      </c>
      <c r="C149" s="216">
        <v>2</v>
      </c>
      <c r="D149" s="214" t="s">
        <v>10</v>
      </c>
      <c r="E149" s="214" t="s">
        <v>10</v>
      </c>
      <c r="F149" s="128">
        <v>14.636511950000001</v>
      </c>
      <c r="G149" s="128"/>
      <c r="H149" s="215">
        <f t="shared" si="38"/>
        <v>1</v>
      </c>
      <c r="I149" s="215">
        <f>G149/F149</f>
        <v>0</v>
      </c>
      <c r="J149" s="216">
        <v>18545.189999999999</v>
      </c>
      <c r="K149" s="216">
        <f t="shared" si="42"/>
        <v>0.95</v>
      </c>
      <c r="L149" s="216">
        <f t="shared" si="43"/>
        <v>1</v>
      </c>
      <c r="M149" s="216">
        <f t="shared" si="39"/>
        <v>17617.930499999999</v>
      </c>
      <c r="N149" s="216">
        <f>M149*F149</f>
        <v>257865.05029751948</v>
      </c>
      <c r="O149" s="216"/>
      <c r="P149" s="216"/>
      <c r="Q149" s="216"/>
      <c r="R149" s="216"/>
      <c r="S149" s="216"/>
      <c r="T149" s="216"/>
      <c r="U149" s="216"/>
      <c r="V149" s="220"/>
      <c r="W149" s="220"/>
      <c r="X149" s="111">
        <f t="shared" si="40"/>
        <v>257865.05029751948</v>
      </c>
      <c r="Y149" s="219" t="s">
        <v>32</v>
      </c>
      <c r="Z149" s="218"/>
      <c r="AB149" s="207"/>
      <c r="AC149" s="207"/>
      <c r="AD149" s="208"/>
      <c r="AE149" s="208"/>
      <c r="AF149" s="208"/>
      <c r="AG149" s="208"/>
      <c r="AH149" s="208"/>
      <c r="AI149" s="115"/>
    </row>
    <row r="150" spans="1:35" s="205" customFormat="1" x14ac:dyDescent="0.25">
      <c r="A150" s="221">
        <v>218</v>
      </c>
      <c r="B150" s="130">
        <v>15.244172709999999</v>
      </c>
      <c r="C150" s="111">
        <v>2</v>
      </c>
      <c r="D150" s="214" t="s">
        <v>10</v>
      </c>
      <c r="E150" s="214" t="s">
        <v>10</v>
      </c>
      <c r="F150" s="128">
        <v>13.695845819999999</v>
      </c>
      <c r="G150" s="128">
        <v>1.54832689</v>
      </c>
      <c r="H150" s="215">
        <f t="shared" si="38"/>
        <v>0.89843155680174658</v>
      </c>
      <c r="I150" s="215">
        <f>G150/B150</f>
        <v>0.10156844319825344</v>
      </c>
      <c r="J150" s="111">
        <v>16600.080000000002</v>
      </c>
      <c r="K150" s="216">
        <f t="shared" si="42"/>
        <v>0.95</v>
      </c>
      <c r="L150" s="216">
        <f t="shared" si="43"/>
        <v>1</v>
      </c>
      <c r="M150" s="111">
        <f t="shared" si="39"/>
        <v>15770.076000000001</v>
      </c>
      <c r="N150" s="111">
        <f>B150*M150</f>
        <v>240401.76219382597</v>
      </c>
      <c r="O150" s="111"/>
      <c r="P150" s="111"/>
      <c r="Q150" s="111"/>
      <c r="R150" s="111"/>
      <c r="S150" s="111"/>
      <c r="T150" s="111"/>
      <c r="U150" s="111"/>
      <c r="V150" s="111"/>
      <c r="W150" s="111"/>
      <c r="X150" s="111">
        <f t="shared" si="40"/>
        <v>240401.76219382597</v>
      </c>
      <c r="Y150" s="219" t="s">
        <v>29</v>
      </c>
      <c r="Z150" s="218"/>
      <c r="AB150" s="207"/>
      <c r="AC150" s="207"/>
      <c r="AD150" s="208"/>
      <c r="AE150" s="208"/>
      <c r="AF150" s="208"/>
      <c r="AG150" s="208"/>
      <c r="AH150" s="208"/>
      <c r="AI150" s="115"/>
    </row>
    <row r="151" spans="1:35" s="205" customFormat="1" x14ac:dyDescent="0.25">
      <c r="A151" s="221">
        <v>219</v>
      </c>
      <c r="B151" s="130">
        <v>446.78058468000006</v>
      </c>
      <c r="C151" s="111">
        <v>2</v>
      </c>
      <c r="D151" s="214" t="s">
        <v>10</v>
      </c>
      <c r="E151" s="214" t="s">
        <v>10</v>
      </c>
      <c r="F151" s="128">
        <v>191.53865896000008</v>
      </c>
      <c r="G151" s="128">
        <v>255.24192571999998</v>
      </c>
      <c r="H151" s="215">
        <f t="shared" si="38"/>
        <v>0.42870855522333584</v>
      </c>
      <c r="I151" s="215">
        <f>G151/B151</f>
        <v>0.57129144477666416</v>
      </c>
      <c r="J151" s="111">
        <v>14205.17</v>
      </c>
      <c r="K151" s="216">
        <f t="shared" si="42"/>
        <v>0.95</v>
      </c>
      <c r="L151" s="216">
        <f t="shared" si="43"/>
        <v>1</v>
      </c>
      <c r="M151" s="111">
        <f t="shared" si="39"/>
        <v>13494.9115</v>
      </c>
      <c r="N151" s="111">
        <f>B151*M151</f>
        <v>6029264.4501748569</v>
      </c>
      <c r="O151" s="111"/>
      <c r="P151" s="111"/>
      <c r="Q151" s="111"/>
      <c r="R151" s="111"/>
      <c r="S151" s="111"/>
      <c r="T151" s="111"/>
      <c r="U151" s="111"/>
      <c r="V151" s="111"/>
      <c r="W151" s="111"/>
      <c r="X151" s="111">
        <f t="shared" si="40"/>
        <v>6029264.4501748569</v>
      </c>
      <c r="Y151" s="219" t="s">
        <v>29</v>
      </c>
      <c r="Z151" s="218"/>
      <c r="AB151" s="207"/>
      <c r="AC151" s="207"/>
      <c r="AD151" s="208"/>
      <c r="AE151" s="208"/>
      <c r="AF151" s="208"/>
      <c r="AG151" s="208"/>
      <c r="AH151" s="208"/>
      <c r="AI151" s="115"/>
    </row>
    <row r="152" spans="1:35" s="205" customFormat="1" x14ac:dyDescent="0.25">
      <c r="A152" s="221">
        <v>220</v>
      </c>
      <c r="B152" s="130">
        <v>26.375169770000003</v>
      </c>
      <c r="C152" s="111">
        <v>1</v>
      </c>
      <c r="D152" s="214" t="s">
        <v>13</v>
      </c>
      <c r="E152" s="214" t="s">
        <v>10</v>
      </c>
      <c r="F152" s="128">
        <v>2.5504354700000018</v>
      </c>
      <c r="G152" s="128">
        <v>23.824734299999999</v>
      </c>
      <c r="H152" s="215">
        <f t="shared" si="38"/>
        <v>9.6698352740119689E-2</v>
      </c>
      <c r="I152" s="215">
        <f>G152/B152</f>
        <v>0.90330164725988027</v>
      </c>
      <c r="J152" s="111">
        <v>9827.7900000000009</v>
      </c>
      <c r="K152" s="216">
        <f t="shared" si="42"/>
        <v>0.95</v>
      </c>
      <c r="L152" s="216">
        <f t="shared" si="43"/>
        <v>1</v>
      </c>
      <c r="M152" s="111">
        <f t="shared" si="39"/>
        <v>9336.4004999999997</v>
      </c>
      <c r="N152" s="111">
        <f>B152*M152</f>
        <v>246249.1482282129</v>
      </c>
      <c r="O152" s="111"/>
      <c r="P152" s="111"/>
      <c r="Q152" s="111"/>
      <c r="R152" s="111"/>
      <c r="S152" s="111"/>
      <c r="T152" s="111"/>
      <c r="U152" s="111"/>
      <c r="V152" s="111"/>
      <c r="W152" s="111"/>
      <c r="X152" s="111">
        <f t="shared" si="40"/>
        <v>246249.1482282129</v>
      </c>
      <c r="Y152" s="219"/>
      <c r="Z152" s="218"/>
      <c r="AB152" s="207"/>
      <c r="AC152" s="207"/>
      <c r="AD152" s="208"/>
      <c r="AE152" s="208"/>
      <c r="AF152" s="208"/>
      <c r="AG152" s="208"/>
      <c r="AH152" s="208"/>
      <c r="AI152" s="115"/>
    </row>
    <row r="153" spans="1:35" s="205" customFormat="1" x14ac:dyDescent="0.25">
      <c r="A153" s="221">
        <v>221</v>
      </c>
      <c r="B153" s="130">
        <v>24.24128344</v>
      </c>
      <c r="C153" s="216">
        <v>2</v>
      </c>
      <c r="D153" s="214" t="s">
        <v>13</v>
      </c>
      <c r="E153" s="214" t="s">
        <v>10</v>
      </c>
      <c r="F153" s="128">
        <v>0.92037752000000039</v>
      </c>
      <c r="G153" s="128"/>
      <c r="H153" s="215">
        <f t="shared" si="38"/>
        <v>3.7967359371794067E-2</v>
      </c>
      <c r="I153" s="215">
        <f>G153/B153</f>
        <v>0</v>
      </c>
      <c r="J153" s="111">
        <v>15008.2</v>
      </c>
      <c r="K153" s="216">
        <f t="shared" si="42"/>
        <v>0.95</v>
      </c>
      <c r="L153" s="216">
        <f t="shared" si="43"/>
        <v>1</v>
      </c>
      <c r="M153" s="111">
        <f t="shared" si="39"/>
        <v>14257.79</v>
      </c>
      <c r="N153" s="216">
        <f>M153*B153</f>
        <v>345627.12861799763</v>
      </c>
      <c r="O153" s="216"/>
      <c r="P153" s="216"/>
      <c r="Q153" s="111">
        <v>23.320905919999998</v>
      </c>
      <c r="R153" s="111">
        <f>'Cálculo Depre.-Sist. Irrig.'!$P$3*Q153</f>
        <v>179570.97558399997</v>
      </c>
      <c r="S153" s="214" t="s">
        <v>16</v>
      </c>
      <c r="T153" s="111">
        <f>Q153</f>
        <v>23.320905919999998</v>
      </c>
      <c r="U153" s="111">
        <f>'Cálculo Valor Avaliação-Cultura'!$B$79*T153</f>
        <v>335675.1481058374</v>
      </c>
      <c r="V153" s="220"/>
      <c r="W153" s="220"/>
      <c r="X153" s="111">
        <f t="shared" si="40"/>
        <v>860873.25230783504</v>
      </c>
      <c r="Y153" s="219" t="s">
        <v>34</v>
      </c>
      <c r="Z153" s="218"/>
      <c r="AB153" s="207"/>
      <c r="AC153" s="207"/>
      <c r="AD153" s="208"/>
      <c r="AE153" s="208"/>
      <c r="AF153" s="208"/>
      <c r="AG153" s="208"/>
      <c r="AH153" s="208"/>
      <c r="AI153" s="115"/>
    </row>
    <row r="154" spans="1:35" s="205" customFormat="1" x14ac:dyDescent="0.25">
      <c r="A154" s="221">
        <v>222</v>
      </c>
      <c r="B154" s="130">
        <v>30.017528600000002</v>
      </c>
      <c r="C154" s="111">
        <v>2</v>
      </c>
      <c r="D154" s="214" t="s">
        <v>13</v>
      </c>
      <c r="E154" s="214" t="s">
        <v>10</v>
      </c>
      <c r="F154" s="128">
        <v>28.027212989999999</v>
      </c>
      <c r="G154" s="128">
        <v>1.9903156100000001</v>
      </c>
      <c r="H154" s="215">
        <f t="shared" si="38"/>
        <v>0.93369488752648333</v>
      </c>
      <c r="I154" s="215">
        <f>G154/B154</f>
        <v>6.6305112473516559E-2</v>
      </c>
      <c r="J154" s="111">
        <v>16562.400000000001</v>
      </c>
      <c r="K154" s="216">
        <f t="shared" si="42"/>
        <v>0.95</v>
      </c>
      <c r="L154" s="216">
        <f t="shared" si="43"/>
        <v>1</v>
      </c>
      <c r="M154" s="111">
        <f t="shared" si="39"/>
        <v>15734.28</v>
      </c>
      <c r="N154" s="111">
        <f>B154*M154</f>
        <v>472304.19990040804</v>
      </c>
      <c r="O154" s="111"/>
      <c r="P154" s="111"/>
      <c r="Q154" s="111"/>
      <c r="R154" s="111"/>
      <c r="S154" s="111"/>
      <c r="T154" s="111"/>
      <c r="U154" s="111"/>
      <c r="V154" s="111"/>
      <c r="W154" s="111"/>
      <c r="X154" s="111">
        <f t="shared" si="40"/>
        <v>472304.19990040804</v>
      </c>
      <c r="Y154" s="219" t="s">
        <v>34</v>
      </c>
      <c r="Z154" s="218"/>
      <c r="AB154" s="207"/>
      <c r="AC154" s="207"/>
      <c r="AD154" s="208"/>
      <c r="AE154" s="208"/>
      <c r="AF154" s="208"/>
      <c r="AG154" s="208"/>
      <c r="AH154" s="208"/>
      <c r="AI154" s="115"/>
    </row>
    <row r="155" spans="1:35" s="205" customFormat="1" x14ac:dyDescent="0.25">
      <c r="A155" s="221">
        <v>223</v>
      </c>
      <c r="B155" s="130">
        <v>2.0059136799999999</v>
      </c>
      <c r="C155" s="216">
        <v>2</v>
      </c>
      <c r="D155" s="214" t="s">
        <v>10</v>
      </c>
      <c r="E155" s="214" t="s">
        <v>10</v>
      </c>
      <c r="F155" s="128">
        <v>2.0059136799999999</v>
      </c>
      <c r="G155" s="128"/>
      <c r="H155" s="215">
        <f t="shared" si="38"/>
        <v>1</v>
      </c>
      <c r="I155" s="215">
        <f>G155/F155</f>
        <v>0</v>
      </c>
      <c r="J155" s="216">
        <v>18588.43</v>
      </c>
      <c r="K155" s="216">
        <f t="shared" si="42"/>
        <v>0.95</v>
      </c>
      <c r="L155" s="216">
        <f t="shared" si="43"/>
        <v>1</v>
      </c>
      <c r="M155" s="216">
        <f t="shared" si="39"/>
        <v>17659.0085</v>
      </c>
      <c r="N155" s="216">
        <f>M155*F155</f>
        <v>35422.446725386275</v>
      </c>
      <c r="O155" s="216"/>
      <c r="P155" s="216"/>
      <c r="Q155" s="216"/>
      <c r="R155" s="216"/>
      <c r="S155" s="216"/>
      <c r="T155" s="216"/>
      <c r="U155" s="216"/>
      <c r="V155" s="220"/>
      <c r="W155" s="220"/>
      <c r="X155" s="111">
        <f t="shared" si="40"/>
        <v>35422.446725386275</v>
      </c>
      <c r="Y155" s="219" t="s">
        <v>32</v>
      </c>
      <c r="Z155" s="218"/>
      <c r="AB155" s="207"/>
      <c r="AC155" s="207"/>
      <c r="AD155" s="208"/>
      <c r="AE155" s="208"/>
      <c r="AF155" s="208"/>
      <c r="AG155" s="208"/>
      <c r="AH155" s="208"/>
      <c r="AI155" s="115"/>
    </row>
    <row r="156" spans="1:35" s="205" customFormat="1" x14ac:dyDescent="0.25">
      <c r="A156" s="221">
        <v>224</v>
      </c>
      <c r="B156" s="130">
        <v>28.272211690000002</v>
      </c>
      <c r="C156" s="216">
        <v>2</v>
      </c>
      <c r="D156" s="214" t="s">
        <v>10</v>
      </c>
      <c r="E156" s="214" t="s">
        <v>10</v>
      </c>
      <c r="F156" s="128">
        <v>28.272211690000002</v>
      </c>
      <c r="G156" s="128"/>
      <c r="H156" s="215">
        <f t="shared" si="38"/>
        <v>1</v>
      </c>
      <c r="I156" s="215">
        <f>G156/F156</f>
        <v>0</v>
      </c>
      <c r="J156" s="216">
        <v>18498.48</v>
      </c>
      <c r="K156" s="216">
        <f t="shared" si="42"/>
        <v>0.95</v>
      </c>
      <c r="L156" s="216">
        <f t="shared" si="43"/>
        <v>1</v>
      </c>
      <c r="M156" s="216">
        <f t="shared" si="39"/>
        <v>17573.556</v>
      </c>
      <c r="N156" s="216">
        <f>M156*F156</f>
        <v>496843.29537806968</v>
      </c>
      <c r="O156" s="216"/>
      <c r="P156" s="216"/>
      <c r="Q156" s="216"/>
      <c r="R156" s="216"/>
      <c r="S156" s="216"/>
      <c r="T156" s="216"/>
      <c r="U156" s="216"/>
      <c r="V156" s="220"/>
      <c r="W156" s="220"/>
      <c r="X156" s="111">
        <f t="shared" si="40"/>
        <v>496843.29537806968</v>
      </c>
      <c r="Y156" s="219" t="s">
        <v>32</v>
      </c>
      <c r="Z156" s="218"/>
      <c r="AB156" s="207"/>
      <c r="AC156" s="207"/>
      <c r="AD156" s="208"/>
      <c r="AE156" s="208"/>
      <c r="AF156" s="208"/>
      <c r="AG156" s="208"/>
      <c r="AH156" s="208"/>
      <c r="AI156" s="115"/>
    </row>
    <row r="157" spans="1:35" s="205" customFormat="1" x14ac:dyDescent="0.25">
      <c r="A157" s="221">
        <v>225</v>
      </c>
      <c r="B157" s="130">
        <v>79.23896148</v>
      </c>
      <c r="C157" s="111">
        <v>2</v>
      </c>
      <c r="D157" s="214" t="s">
        <v>10</v>
      </c>
      <c r="E157" s="214" t="s">
        <v>10</v>
      </c>
      <c r="F157" s="128">
        <v>42.451419280000003</v>
      </c>
      <c r="G157" s="128">
        <v>36.787542200000004</v>
      </c>
      <c r="H157" s="215">
        <f t="shared" si="38"/>
        <v>0.53573921827224835</v>
      </c>
      <c r="I157" s="215">
        <f t="shared" ref="I157:I162" si="44">G157/B157</f>
        <v>0.4642607817277517</v>
      </c>
      <c r="J157" s="111">
        <v>14902.09</v>
      </c>
      <c r="K157" s="216">
        <f t="shared" si="42"/>
        <v>0.95</v>
      </c>
      <c r="L157" s="216">
        <f t="shared" si="43"/>
        <v>1</v>
      </c>
      <c r="M157" s="111">
        <f t="shared" si="39"/>
        <v>14156.985499999999</v>
      </c>
      <c r="N157" s="111">
        <f t="shared" ref="N157:N162" si="45">B157*M157</f>
        <v>1121784.8287074184</v>
      </c>
      <c r="O157" s="111"/>
      <c r="P157" s="111"/>
      <c r="Q157" s="111"/>
      <c r="R157" s="111"/>
      <c r="S157" s="111"/>
      <c r="T157" s="111"/>
      <c r="U157" s="111"/>
      <c r="V157" s="111"/>
      <c r="W157" s="111"/>
      <c r="X157" s="111">
        <f t="shared" si="40"/>
        <v>1121784.8287074184</v>
      </c>
      <c r="Y157" s="219" t="s">
        <v>29</v>
      </c>
      <c r="Z157" s="218"/>
      <c r="AB157" s="207"/>
      <c r="AC157" s="207"/>
      <c r="AD157" s="208"/>
      <c r="AE157" s="208"/>
      <c r="AF157" s="208"/>
      <c r="AG157" s="208"/>
      <c r="AH157" s="208"/>
      <c r="AI157" s="115"/>
    </row>
    <row r="158" spans="1:35" s="205" customFormat="1" x14ac:dyDescent="0.25">
      <c r="A158" s="221">
        <v>226</v>
      </c>
      <c r="B158" s="130">
        <v>45.270576059999996</v>
      </c>
      <c r="C158" s="111">
        <v>2</v>
      </c>
      <c r="D158" s="214" t="s">
        <v>10</v>
      </c>
      <c r="E158" s="214" t="s">
        <v>10</v>
      </c>
      <c r="F158" s="128">
        <v>10.32676676</v>
      </c>
      <c r="G158" s="128">
        <v>34.943809299999998</v>
      </c>
      <c r="H158" s="215">
        <f t="shared" si="38"/>
        <v>0.22811211296081751</v>
      </c>
      <c r="I158" s="215">
        <f t="shared" si="44"/>
        <v>0.77188788703918254</v>
      </c>
      <c r="J158" s="111">
        <v>14967.44</v>
      </c>
      <c r="K158" s="216">
        <f t="shared" si="42"/>
        <v>0.95</v>
      </c>
      <c r="L158" s="216">
        <f t="shared" si="43"/>
        <v>1</v>
      </c>
      <c r="M158" s="111">
        <f t="shared" si="39"/>
        <v>14219.067999999999</v>
      </c>
      <c r="N158" s="111">
        <f t="shared" si="45"/>
        <v>643705.39939631196</v>
      </c>
      <c r="O158" s="111"/>
      <c r="P158" s="111"/>
      <c r="Q158" s="111"/>
      <c r="R158" s="111"/>
      <c r="S158" s="111"/>
      <c r="T158" s="111"/>
      <c r="U158" s="111"/>
      <c r="V158" s="111"/>
      <c r="W158" s="111"/>
      <c r="X158" s="111">
        <f t="shared" si="40"/>
        <v>643705.39939631196</v>
      </c>
      <c r="Y158" s="219" t="s">
        <v>32</v>
      </c>
      <c r="Z158" s="218"/>
      <c r="AB158" s="207"/>
      <c r="AC158" s="207"/>
      <c r="AD158" s="208"/>
      <c r="AE158" s="208"/>
      <c r="AF158" s="208"/>
      <c r="AG158" s="208"/>
      <c r="AH158" s="208"/>
      <c r="AI158" s="115"/>
    </row>
    <row r="159" spans="1:35" s="205" customFormat="1" x14ac:dyDescent="0.25">
      <c r="A159" s="221">
        <v>227</v>
      </c>
      <c r="B159" s="130">
        <v>29.878694660000001</v>
      </c>
      <c r="C159" s="111">
        <v>1</v>
      </c>
      <c r="D159" s="214" t="s">
        <v>13</v>
      </c>
      <c r="E159" s="214" t="s">
        <v>10</v>
      </c>
      <c r="F159" s="128">
        <v>7.9464286599999996</v>
      </c>
      <c r="G159" s="128">
        <v>21.932266000000002</v>
      </c>
      <c r="H159" s="215">
        <f t="shared" si="38"/>
        <v>0.2659563528602959</v>
      </c>
      <c r="I159" s="215">
        <f t="shared" si="44"/>
        <v>0.73404364713970416</v>
      </c>
      <c r="J159" s="111">
        <v>9824.67</v>
      </c>
      <c r="K159" s="216">
        <f t="shared" si="42"/>
        <v>0.95</v>
      </c>
      <c r="L159" s="216">
        <f t="shared" si="43"/>
        <v>1</v>
      </c>
      <c r="M159" s="111">
        <f t="shared" si="39"/>
        <v>9333.4364999999998</v>
      </c>
      <c r="N159" s="111">
        <f t="shared" si="45"/>
        <v>278870.89931199909</v>
      </c>
      <c r="O159" s="111"/>
      <c r="P159" s="111"/>
      <c r="Q159" s="111"/>
      <c r="R159" s="111"/>
      <c r="S159" s="111"/>
      <c r="T159" s="111"/>
      <c r="U159" s="111"/>
      <c r="V159" s="111"/>
      <c r="W159" s="111"/>
      <c r="X159" s="111">
        <f t="shared" si="40"/>
        <v>278870.89931199909</v>
      </c>
      <c r="Y159" s="219" t="s">
        <v>38</v>
      </c>
      <c r="Z159" s="218"/>
      <c r="AB159" s="207"/>
      <c r="AC159" s="207"/>
      <c r="AD159" s="208"/>
      <c r="AE159" s="208"/>
      <c r="AF159" s="208"/>
      <c r="AG159" s="208"/>
      <c r="AH159" s="208"/>
      <c r="AI159" s="115"/>
    </row>
    <row r="160" spans="1:35" s="205" customFormat="1" x14ac:dyDescent="0.25">
      <c r="A160" s="221">
        <v>228</v>
      </c>
      <c r="B160" s="130">
        <v>30.76791665</v>
      </c>
      <c r="C160" s="111">
        <v>2</v>
      </c>
      <c r="D160" s="214" t="s">
        <v>10</v>
      </c>
      <c r="E160" s="214" t="s">
        <v>10</v>
      </c>
      <c r="F160" s="128">
        <v>11.511767450000002</v>
      </c>
      <c r="G160" s="128">
        <v>19.256149199999999</v>
      </c>
      <c r="H160" s="215">
        <f t="shared" si="38"/>
        <v>0.37414842158316891</v>
      </c>
      <c r="I160" s="215">
        <f t="shared" si="44"/>
        <v>0.62585157841683114</v>
      </c>
      <c r="J160" s="111">
        <v>14995.44</v>
      </c>
      <c r="K160" s="216">
        <f t="shared" si="42"/>
        <v>0.95</v>
      </c>
      <c r="L160" s="216">
        <f t="shared" si="43"/>
        <v>1</v>
      </c>
      <c r="M160" s="111">
        <f t="shared" si="39"/>
        <v>14245.668</v>
      </c>
      <c r="N160" s="111">
        <f t="shared" si="45"/>
        <v>438309.52564757218</v>
      </c>
      <c r="O160" s="111"/>
      <c r="P160" s="111"/>
      <c r="Q160" s="111"/>
      <c r="R160" s="111"/>
      <c r="S160" s="111"/>
      <c r="T160" s="111"/>
      <c r="U160" s="111"/>
      <c r="V160" s="111"/>
      <c r="W160" s="111"/>
      <c r="X160" s="111">
        <f t="shared" si="40"/>
        <v>438309.52564757218</v>
      </c>
      <c r="Y160" s="219" t="s">
        <v>29</v>
      </c>
      <c r="Z160" s="218"/>
      <c r="AB160" s="207"/>
      <c r="AC160" s="207"/>
      <c r="AD160" s="208"/>
      <c r="AE160" s="208"/>
      <c r="AF160" s="208"/>
      <c r="AG160" s="208"/>
      <c r="AH160" s="208"/>
      <c r="AI160" s="115"/>
    </row>
    <row r="161" spans="1:35" s="205" customFormat="1" x14ac:dyDescent="0.25">
      <c r="A161" s="221">
        <v>229</v>
      </c>
      <c r="B161" s="130">
        <v>19.9682891</v>
      </c>
      <c r="C161" s="111">
        <v>1</v>
      </c>
      <c r="D161" s="214" t="s">
        <v>13</v>
      </c>
      <c r="E161" s="214" t="s">
        <v>10</v>
      </c>
      <c r="F161" s="128">
        <v>0.89405239999999919</v>
      </c>
      <c r="G161" s="128">
        <v>19.0742367</v>
      </c>
      <c r="H161" s="215">
        <f t="shared" si="38"/>
        <v>4.4773610574378113E-2</v>
      </c>
      <c r="I161" s="215">
        <f t="shared" si="44"/>
        <v>0.95522638942562188</v>
      </c>
      <c r="J161" s="111">
        <v>9833.52</v>
      </c>
      <c r="K161" s="216">
        <f t="shared" si="42"/>
        <v>0.95</v>
      </c>
      <c r="L161" s="216">
        <f t="shared" si="43"/>
        <v>1</v>
      </c>
      <c r="M161" s="111">
        <f t="shared" si="39"/>
        <v>9341.8439999999991</v>
      </c>
      <c r="N161" s="111">
        <f t="shared" si="45"/>
        <v>186540.64171910039</v>
      </c>
      <c r="O161" s="111"/>
      <c r="P161" s="111"/>
      <c r="Q161" s="111"/>
      <c r="R161" s="111"/>
      <c r="S161" s="111"/>
      <c r="T161" s="111"/>
      <c r="U161" s="111"/>
      <c r="V161" s="111"/>
      <c r="W161" s="111"/>
      <c r="X161" s="111">
        <f t="shared" si="40"/>
        <v>186540.64171910039</v>
      </c>
      <c r="Y161" s="219"/>
      <c r="Z161" s="218"/>
      <c r="AB161" s="207"/>
      <c r="AC161" s="207"/>
      <c r="AD161" s="208"/>
      <c r="AE161" s="208"/>
      <c r="AF161" s="208"/>
      <c r="AG161" s="208"/>
      <c r="AH161" s="208"/>
      <c r="AI161" s="115"/>
    </row>
    <row r="162" spans="1:35" s="205" customFormat="1" x14ac:dyDescent="0.25">
      <c r="A162" s="221">
        <v>230</v>
      </c>
      <c r="B162" s="130">
        <v>20.315709330000001</v>
      </c>
      <c r="C162" s="111">
        <v>1</v>
      </c>
      <c r="D162" s="214" t="s">
        <v>13</v>
      </c>
      <c r="E162" s="214" t="s">
        <v>10</v>
      </c>
      <c r="F162" s="128">
        <v>4.4139524699999999</v>
      </c>
      <c r="G162" s="128">
        <v>15.901756859999999</v>
      </c>
      <c r="H162" s="215">
        <f t="shared" si="38"/>
        <v>0.2172679475917664</v>
      </c>
      <c r="I162" s="215">
        <f t="shared" si="44"/>
        <v>0.78273205240823351</v>
      </c>
      <c r="J162" s="111">
        <v>9833.25</v>
      </c>
      <c r="K162" s="216">
        <f t="shared" si="42"/>
        <v>0.95</v>
      </c>
      <c r="L162" s="216">
        <f t="shared" si="43"/>
        <v>1</v>
      </c>
      <c r="M162" s="111">
        <f t="shared" si="39"/>
        <v>9341.5874999999996</v>
      </c>
      <c r="N162" s="111">
        <f t="shared" si="45"/>
        <v>189780.97633076136</v>
      </c>
      <c r="O162" s="111"/>
      <c r="P162" s="111"/>
      <c r="Q162" s="111"/>
      <c r="R162" s="111"/>
      <c r="S162" s="111"/>
      <c r="T162" s="111"/>
      <c r="U162" s="111"/>
      <c r="V162" s="111"/>
      <c r="W162" s="111"/>
      <c r="X162" s="111">
        <f t="shared" si="40"/>
        <v>189780.97633076136</v>
      </c>
      <c r="Y162" s="219" t="s">
        <v>38</v>
      </c>
      <c r="Z162" s="218"/>
      <c r="AB162" s="207"/>
      <c r="AC162" s="207"/>
      <c r="AD162" s="208"/>
      <c r="AE162" s="208"/>
      <c r="AF162" s="208"/>
      <c r="AG162" s="208"/>
      <c r="AH162" s="208"/>
      <c r="AI162" s="115"/>
    </row>
    <row r="163" spans="1:35" s="205" customFormat="1" x14ac:dyDescent="0.25">
      <c r="A163" s="221">
        <v>231</v>
      </c>
      <c r="B163" s="130">
        <v>13.629980799999998</v>
      </c>
      <c r="C163" s="216">
        <v>2</v>
      </c>
      <c r="D163" s="214" t="s">
        <v>13</v>
      </c>
      <c r="E163" s="214" t="s">
        <v>10</v>
      </c>
      <c r="F163" s="128">
        <v>13.629980799999998</v>
      </c>
      <c r="G163" s="128"/>
      <c r="H163" s="215">
        <f t="shared" si="38"/>
        <v>1</v>
      </c>
      <c r="I163" s="215">
        <f>G163/F163</f>
        <v>0</v>
      </c>
      <c r="J163" s="216">
        <v>15028.71</v>
      </c>
      <c r="K163" s="216">
        <f t="shared" si="42"/>
        <v>0.95</v>
      </c>
      <c r="L163" s="216">
        <f t="shared" si="43"/>
        <v>1</v>
      </c>
      <c r="M163" s="216">
        <f t="shared" si="39"/>
        <v>14277.274499999998</v>
      </c>
      <c r="N163" s="216">
        <f>M163*F163</f>
        <v>194598.97731132954</v>
      </c>
      <c r="O163" s="216"/>
      <c r="P163" s="216"/>
      <c r="Q163" s="216"/>
      <c r="R163" s="216"/>
      <c r="S163" s="216"/>
      <c r="T163" s="216"/>
      <c r="U163" s="216"/>
      <c r="V163" s="220"/>
      <c r="W163" s="220"/>
      <c r="X163" s="111">
        <f t="shared" si="40"/>
        <v>194598.97731132954</v>
      </c>
      <c r="Y163" s="219" t="s">
        <v>13</v>
      </c>
      <c r="Z163" s="218"/>
      <c r="AB163" s="207"/>
      <c r="AC163" s="207"/>
      <c r="AD163" s="208"/>
      <c r="AE163" s="208"/>
      <c r="AF163" s="208"/>
      <c r="AG163" s="208"/>
      <c r="AH163" s="208"/>
      <c r="AI163" s="115"/>
    </row>
    <row r="164" spans="1:35" s="205" customFormat="1" x14ac:dyDescent="0.25">
      <c r="A164" s="221">
        <v>232</v>
      </c>
      <c r="B164" s="130">
        <v>726.60068920999993</v>
      </c>
      <c r="C164" s="111">
        <v>1</v>
      </c>
      <c r="D164" s="214" t="s">
        <v>13</v>
      </c>
      <c r="E164" s="214" t="s">
        <v>10</v>
      </c>
      <c r="F164" s="128">
        <v>129.05894512</v>
      </c>
      <c r="G164" s="128">
        <v>597.54174408999995</v>
      </c>
      <c r="H164" s="215">
        <f t="shared" si="38"/>
        <v>0.17762017988218531</v>
      </c>
      <c r="I164" s="215">
        <f>G164/B164</f>
        <v>0.82237982011781474</v>
      </c>
      <c r="J164" s="111">
        <v>8439.3799999999992</v>
      </c>
      <c r="K164" s="216">
        <f t="shared" si="42"/>
        <v>0.95</v>
      </c>
      <c r="L164" s="216">
        <f t="shared" si="43"/>
        <v>1</v>
      </c>
      <c r="M164" s="111">
        <f t="shared" si="39"/>
        <v>8017.4109999999991</v>
      </c>
      <c r="N164" s="111">
        <f>B164*M164</f>
        <v>5825456.3582798345</v>
      </c>
      <c r="O164" s="111"/>
      <c r="P164" s="111"/>
      <c r="Q164" s="111"/>
      <c r="R164" s="111"/>
      <c r="S164" s="111"/>
      <c r="T164" s="111"/>
      <c r="U164" s="111"/>
      <c r="V164" s="111"/>
      <c r="W164" s="111"/>
      <c r="X164" s="111">
        <f t="shared" si="40"/>
        <v>5825456.3582798345</v>
      </c>
      <c r="Y164" s="219"/>
      <c r="Z164" s="218"/>
      <c r="AB164" s="207"/>
      <c r="AC164" s="207"/>
      <c r="AD164" s="208"/>
      <c r="AE164" s="208"/>
      <c r="AF164" s="208"/>
      <c r="AG164" s="208"/>
      <c r="AH164" s="208"/>
      <c r="AI164" s="115"/>
    </row>
    <row r="165" spans="1:35" s="205" customFormat="1" x14ac:dyDescent="0.25">
      <c r="A165" s="221">
        <v>233</v>
      </c>
      <c r="B165" s="130">
        <v>28.463291269999999</v>
      </c>
      <c r="C165" s="216">
        <v>2</v>
      </c>
      <c r="D165" s="214" t="s">
        <v>13</v>
      </c>
      <c r="E165" s="214" t="s">
        <v>10</v>
      </c>
      <c r="F165" s="128">
        <v>28.463291269999999</v>
      </c>
      <c r="G165" s="128"/>
      <c r="H165" s="215">
        <f t="shared" si="38"/>
        <v>1</v>
      </c>
      <c r="I165" s="215">
        <f>G165/F165</f>
        <v>0</v>
      </c>
      <c r="J165" s="216">
        <v>14999.89</v>
      </c>
      <c r="K165" s="216">
        <f t="shared" si="42"/>
        <v>0.95</v>
      </c>
      <c r="L165" s="216">
        <f t="shared" si="43"/>
        <v>1</v>
      </c>
      <c r="M165" s="216">
        <f t="shared" si="39"/>
        <v>14249.895499999999</v>
      </c>
      <c r="N165" s="216">
        <f>M165*F165</f>
        <v>405598.92618356226</v>
      </c>
      <c r="O165" s="216"/>
      <c r="P165" s="216"/>
      <c r="Q165" s="216"/>
      <c r="R165" s="216"/>
      <c r="S165" s="216"/>
      <c r="T165" s="216"/>
      <c r="U165" s="216"/>
      <c r="V165" s="220"/>
      <c r="W165" s="220"/>
      <c r="X165" s="111">
        <f t="shared" si="40"/>
        <v>405598.92618356226</v>
      </c>
      <c r="Y165" s="219" t="s">
        <v>13</v>
      </c>
      <c r="Z165" s="218"/>
      <c r="AB165" s="207"/>
      <c r="AC165" s="207"/>
      <c r="AD165" s="208"/>
      <c r="AE165" s="208"/>
      <c r="AF165" s="208"/>
      <c r="AG165" s="208"/>
      <c r="AH165" s="208"/>
      <c r="AI165" s="115"/>
    </row>
    <row r="166" spans="1:35" s="205" customFormat="1" x14ac:dyDescent="0.25">
      <c r="A166" s="221">
        <v>234</v>
      </c>
      <c r="B166" s="130">
        <v>495.48063173000003</v>
      </c>
      <c r="C166" s="111">
        <v>1</v>
      </c>
      <c r="D166" s="214" t="s">
        <v>13</v>
      </c>
      <c r="E166" s="214" t="s">
        <v>10</v>
      </c>
      <c r="F166" s="128">
        <v>372.07245673000006</v>
      </c>
      <c r="G166" s="128">
        <v>123.408175</v>
      </c>
      <c r="H166" s="215">
        <f t="shared" si="38"/>
        <v>0.75093239352441887</v>
      </c>
      <c r="I166" s="215">
        <f t="shared" ref="I166:I175" si="46">G166/B166</f>
        <v>0.24906760647558115</v>
      </c>
      <c r="J166" s="111">
        <v>9425.8700000000008</v>
      </c>
      <c r="K166" s="216">
        <f t="shared" si="42"/>
        <v>0.95</v>
      </c>
      <c r="L166" s="216">
        <f t="shared" si="43"/>
        <v>1</v>
      </c>
      <c r="M166" s="111">
        <f t="shared" si="39"/>
        <v>8954.576500000001</v>
      </c>
      <c r="N166" s="111">
        <f>B166*M166</f>
        <v>4436819.221094613</v>
      </c>
      <c r="O166" s="111"/>
      <c r="P166" s="111"/>
      <c r="Q166" s="111"/>
      <c r="R166" s="111"/>
      <c r="S166" s="111"/>
      <c r="T166" s="111"/>
      <c r="U166" s="111"/>
      <c r="V166" s="111"/>
      <c r="W166" s="111"/>
      <c r="X166" s="111">
        <f t="shared" si="40"/>
        <v>4436819.221094613</v>
      </c>
      <c r="Y166" s="219"/>
      <c r="Z166" s="218"/>
      <c r="AB166" s="207"/>
      <c r="AC166" s="207"/>
      <c r="AD166" s="208"/>
      <c r="AE166" s="208"/>
      <c r="AF166" s="208"/>
      <c r="AG166" s="208"/>
      <c r="AH166" s="208"/>
      <c r="AI166" s="115"/>
    </row>
    <row r="167" spans="1:35" s="205" customFormat="1" x14ac:dyDescent="0.25">
      <c r="A167" s="226">
        <v>235</v>
      </c>
      <c r="B167" s="130">
        <v>4.5377145099999998</v>
      </c>
      <c r="C167" s="111">
        <v>2</v>
      </c>
      <c r="D167" s="214" t="s">
        <v>10</v>
      </c>
      <c r="E167" s="214" t="s">
        <v>10</v>
      </c>
      <c r="F167" s="128">
        <v>1.6947420500000001</v>
      </c>
      <c r="G167" s="128">
        <v>2.8429724599999999</v>
      </c>
      <c r="H167" s="215">
        <f t="shared" si="38"/>
        <v>0.37347921431928077</v>
      </c>
      <c r="I167" s="215">
        <f t="shared" si="46"/>
        <v>0.62652078568071923</v>
      </c>
      <c r="J167" s="111">
        <v>8992.61</v>
      </c>
      <c r="K167" s="216">
        <f t="shared" si="42"/>
        <v>0.95</v>
      </c>
      <c r="L167" s="216">
        <f t="shared" si="43"/>
        <v>1</v>
      </c>
      <c r="M167" s="111">
        <f t="shared" si="39"/>
        <v>8542.9794999999995</v>
      </c>
      <c r="N167" s="111">
        <f>B167*M167</f>
        <v>38765.60203578254</v>
      </c>
      <c r="O167" s="111"/>
      <c r="P167" s="111"/>
      <c r="Q167" s="111"/>
      <c r="R167" s="111"/>
      <c r="S167" s="111"/>
      <c r="T167" s="111"/>
      <c r="U167" s="111"/>
      <c r="V167" s="111"/>
      <c r="W167" s="111"/>
      <c r="X167" s="111">
        <f t="shared" si="40"/>
        <v>38765.60203578254</v>
      </c>
      <c r="Y167" s="219" t="s">
        <v>86</v>
      </c>
      <c r="Z167" s="218"/>
      <c r="AB167" s="207"/>
      <c r="AC167" s="207"/>
      <c r="AD167" s="208"/>
      <c r="AE167" s="208"/>
      <c r="AF167" s="208"/>
      <c r="AG167" s="208"/>
      <c r="AH167" s="208"/>
      <c r="AI167" s="115"/>
    </row>
    <row r="168" spans="1:35" s="205" customFormat="1" x14ac:dyDescent="0.25">
      <c r="A168" s="221">
        <v>236</v>
      </c>
      <c r="B168" s="130">
        <v>127.57570962</v>
      </c>
      <c r="C168" s="216">
        <v>2</v>
      </c>
      <c r="D168" s="214" t="s">
        <v>13</v>
      </c>
      <c r="E168" s="214" t="s">
        <v>10</v>
      </c>
      <c r="F168" s="128"/>
      <c r="G168" s="128">
        <v>127.57570962</v>
      </c>
      <c r="H168" s="215">
        <f t="shared" si="38"/>
        <v>0</v>
      </c>
      <c r="I168" s="215">
        <f t="shared" si="46"/>
        <v>1</v>
      </c>
      <c r="J168" s="216">
        <v>14408.81</v>
      </c>
      <c r="K168" s="216">
        <f>$B$319</f>
        <v>0.9</v>
      </c>
      <c r="L168" s="216">
        <f t="shared" si="43"/>
        <v>1</v>
      </c>
      <c r="M168" s="216">
        <f t="shared" si="39"/>
        <v>12967.929</v>
      </c>
      <c r="N168" s="216">
        <f>M168*B168</f>
        <v>1654392.744476777</v>
      </c>
      <c r="O168" s="216"/>
      <c r="P168" s="216"/>
      <c r="Q168" s="216"/>
      <c r="R168" s="216"/>
      <c r="S168" s="216"/>
      <c r="T168" s="216"/>
      <c r="U168" s="216"/>
      <c r="V168" s="216"/>
      <c r="W168" s="216"/>
      <c r="X168" s="111">
        <f t="shared" si="40"/>
        <v>1654392.744476777</v>
      </c>
      <c r="Y168" s="214" t="s">
        <v>31</v>
      </c>
      <c r="Z168" s="218"/>
      <c r="AB168" s="207"/>
      <c r="AC168" s="207"/>
      <c r="AD168" s="208"/>
      <c r="AE168" s="208"/>
      <c r="AF168" s="208"/>
      <c r="AG168" s="208"/>
      <c r="AH168" s="208"/>
      <c r="AI168" s="115"/>
    </row>
    <row r="169" spans="1:35" s="205" customFormat="1" x14ac:dyDescent="0.25">
      <c r="A169" s="226">
        <v>237</v>
      </c>
      <c r="B169" s="130">
        <v>12.63075774</v>
      </c>
      <c r="C169" s="111">
        <v>2</v>
      </c>
      <c r="D169" s="214" t="s">
        <v>10</v>
      </c>
      <c r="E169" s="214" t="s">
        <v>10</v>
      </c>
      <c r="F169" s="128">
        <v>5.1490772499999995</v>
      </c>
      <c r="G169" s="128">
        <v>7.4816804900000005</v>
      </c>
      <c r="H169" s="215">
        <f t="shared" si="38"/>
        <v>0.4076617853015681</v>
      </c>
      <c r="I169" s="215">
        <f t="shared" si="46"/>
        <v>0.59233821469843195</v>
      </c>
      <c r="J169" s="111">
        <v>15046.33</v>
      </c>
      <c r="K169" s="216">
        <f>$B$318</f>
        <v>0.95</v>
      </c>
      <c r="L169" s="216">
        <f t="shared" si="43"/>
        <v>1</v>
      </c>
      <c r="M169" s="111">
        <f t="shared" si="39"/>
        <v>14294.013499999999</v>
      </c>
      <c r="N169" s="111">
        <f>B169*M169</f>
        <v>180544.22165078949</v>
      </c>
      <c r="O169" s="111"/>
      <c r="P169" s="111"/>
      <c r="Q169" s="111"/>
      <c r="R169" s="111"/>
      <c r="S169" s="111"/>
      <c r="T169" s="111"/>
      <c r="U169" s="111"/>
      <c r="V169" s="111"/>
      <c r="W169" s="111"/>
      <c r="X169" s="111">
        <f t="shared" si="40"/>
        <v>180544.22165078949</v>
      </c>
      <c r="Y169" s="219" t="s">
        <v>29</v>
      </c>
      <c r="Z169" s="218"/>
      <c r="AB169" s="207"/>
      <c r="AC169" s="207"/>
      <c r="AD169" s="208"/>
      <c r="AE169" s="208"/>
      <c r="AF169" s="208"/>
      <c r="AG169" s="208"/>
      <c r="AH169" s="208"/>
      <c r="AI169" s="115"/>
    </row>
    <row r="170" spans="1:35" s="205" customFormat="1" x14ac:dyDescent="0.25">
      <c r="A170" s="221">
        <v>238</v>
      </c>
      <c r="B170" s="130">
        <v>116.57856446</v>
      </c>
      <c r="C170" s="216">
        <v>0.3</v>
      </c>
      <c r="D170" s="214" t="s">
        <v>13</v>
      </c>
      <c r="E170" s="214" t="s">
        <v>10</v>
      </c>
      <c r="F170" s="128"/>
      <c r="G170" s="128">
        <v>116.57856446</v>
      </c>
      <c r="H170" s="215">
        <f t="shared" si="38"/>
        <v>0</v>
      </c>
      <c r="I170" s="215">
        <f t="shared" si="46"/>
        <v>1</v>
      </c>
      <c r="J170" s="216">
        <v>5465.04</v>
      </c>
      <c r="K170" s="216">
        <f>$B$319</f>
        <v>0.9</v>
      </c>
      <c r="L170" s="216">
        <f t="shared" si="43"/>
        <v>1</v>
      </c>
      <c r="M170" s="216">
        <f t="shared" si="39"/>
        <v>4918.5360000000001</v>
      </c>
      <c r="N170" s="216">
        <f>M170*B170</f>
        <v>573395.86612483056</v>
      </c>
      <c r="O170" s="216"/>
      <c r="P170" s="216"/>
      <c r="Q170" s="216"/>
      <c r="R170" s="216"/>
      <c r="S170" s="216"/>
      <c r="T170" s="216"/>
      <c r="U170" s="216"/>
      <c r="V170" s="216"/>
      <c r="W170" s="216"/>
      <c r="X170" s="111">
        <f t="shared" si="40"/>
        <v>573395.86612483056</v>
      </c>
      <c r="Y170" s="214" t="s">
        <v>13</v>
      </c>
      <c r="Z170" s="218"/>
      <c r="AB170" s="207"/>
      <c r="AC170" s="207"/>
      <c r="AD170" s="208"/>
      <c r="AE170" s="208"/>
      <c r="AF170" s="208"/>
      <c r="AG170" s="208"/>
      <c r="AH170" s="208"/>
      <c r="AI170" s="115"/>
    </row>
    <row r="171" spans="1:35" s="205" customFormat="1" x14ac:dyDescent="0.25">
      <c r="A171" s="221">
        <v>239</v>
      </c>
      <c r="B171" s="130">
        <v>111.27877944000001</v>
      </c>
      <c r="C171" s="216">
        <v>0.3</v>
      </c>
      <c r="D171" s="214" t="s">
        <v>13</v>
      </c>
      <c r="E171" s="214" t="s">
        <v>10</v>
      </c>
      <c r="F171" s="128"/>
      <c r="G171" s="128">
        <v>111.27877944000001</v>
      </c>
      <c r="H171" s="215">
        <f t="shared" si="38"/>
        <v>0</v>
      </c>
      <c r="I171" s="215">
        <f t="shared" si="46"/>
        <v>1</v>
      </c>
      <c r="J171" s="216">
        <v>5466.81</v>
      </c>
      <c r="K171" s="216">
        <f>$B$319</f>
        <v>0.9</v>
      </c>
      <c r="L171" s="216">
        <f t="shared" si="43"/>
        <v>1</v>
      </c>
      <c r="M171" s="216">
        <f t="shared" si="39"/>
        <v>4920.1290000000008</v>
      </c>
      <c r="N171" s="216">
        <f>M171*B171</f>
        <v>547505.94980734785</v>
      </c>
      <c r="O171" s="216"/>
      <c r="P171" s="216"/>
      <c r="Q171" s="216"/>
      <c r="R171" s="216"/>
      <c r="S171" s="216"/>
      <c r="T171" s="216"/>
      <c r="U171" s="216"/>
      <c r="V171" s="216"/>
      <c r="W171" s="216"/>
      <c r="X171" s="111">
        <f t="shared" si="40"/>
        <v>547505.94980734785</v>
      </c>
      <c r="Y171" s="214" t="s">
        <v>13</v>
      </c>
      <c r="Z171" s="218"/>
      <c r="AB171" s="207"/>
      <c r="AC171" s="207"/>
      <c r="AD171" s="208"/>
      <c r="AE171" s="208"/>
      <c r="AF171" s="208"/>
      <c r="AG171" s="208"/>
      <c r="AH171" s="208"/>
      <c r="AI171" s="115"/>
    </row>
    <row r="172" spans="1:35" s="205" customFormat="1" x14ac:dyDescent="0.25">
      <c r="A172" s="221">
        <v>240</v>
      </c>
      <c r="B172" s="130">
        <v>29.096614980000002</v>
      </c>
      <c r="C172" s="216">
        <v>2</v>
      </c>
      <c r="D172" s="214" t="s">
        <v>13</v>
      </c>
      <c r="E172" s="214" t="s">
        <v>10</v>
      </c>
      <c r="F172" s="128">
        <v>23.39599071</v>
      </c>
      <c r="G172" s="128">
        <v>2.1325378400000004</v>
      </c>
      <c r="H172" s="215">
        <f t="shared" si="38"/>
        <v>0.8040794685595416</v>
      </c>
      <c r="I172" s="215">
        <f t="shared" si="46"/>
        <v>7.3291612837638756E-2</v>
      </c>
      <c r="J172" s="111">
        <v>16564.689999999999</v>
      </c>
      <c r="K172" s="216">
        <f t="shared" ref="K172:K179" si="47">$B$318</f>
        <v>0.95</v>
      </c>
      <c r="L172" s="216">
        <f t="shared" si="43"/>
        <v>1</v>
      </c>
      <c r="M172" s="111">
        <f t="shared" si="39"/>
        <v>15736.455499999998</v>
      </c>
      <c r="N172" s="216">
        <f>M172*B172</f>
        <v>457877.58683340339</v>
      </c>
      <c r="O172" s="216"/>
      <c r="P172" s="216"/>
      <c r="Q172" s="111">
        <v>3.5680864300000001</v>
      </c>
      <c r="R172" s="111">
        <f>'Cálculo Depre.-Sist. Irrig.'!$P$3*Q172</f>
        <v>27474.265511000001</v>
      </c>
      <c r="S172" s="214" t="s">
        <v>16</v>
      </c>
      <c r="T172" s="111">
        <f>Q172</f>
        <v>3.5680864300000001</v>
      </c>
      <c r="U172" s="111">
        <f>'Cálculo Valor Avaliação-Cultura'!$B$79*T172</f>
        <v>51358.122405421498</v>
      </c>
      <c r="V172" s="220"/>
      <c r="W172" s="220"/>
      <c r="X172" s="111">
        <f t="shared" si="40"/>
        <v>536709.97474982485</v>
      </c>
      <c r="Y172" s="219" t="s">
        <v>33</v>
      </c>
      <c r="Z172" s="218"/>
      <c r="AB172" s="207"/>
      <c r="AC172" s="207"/>
      <c r="AD172" s="208"/>
      <c r="AE172" s="208"/>
      <c r="AF172" s="208"/>
      <c r="AG172" s="208"/>
      <c r="AH172" s="208"/>
      <c r="AI172" s="115"/>
    </row>
    <row r="173" spans="1:35" s="205" customFormat="1" x14ac:dyDescent="0.25">
      <c r="A173" s="221">
        <v>241</v>
      </c>
      <c r="B173" s="130">
        <v>503.09762620999999</v>
      </c>
      <c r="C173" s="111">
        <v>2</v>
      </c>
      <c r="D173" s="214" t="s">
        <v>13</v>
      </c>
      <c r="E173" s="214" t="s">
        <v>10</v>
      </c>
      <c r="F173" s="128">
        <v>190.68839921000003</v>
      </c>
      <c r="G173" s="128">
        <v>312.40922699999999</v>
      </c>
      <c r="H173" s="215">
        <f t="shared" si="38"/>
        <v>0.37902862044195779</v>
      </c>
      <c r="I173" s="215">
        <f t="shared" si="46"/>
        <v>0.62097137955804227</v>
      </c>
      <c r="J173" s="111">
        <v>14100.36</v>
      </c>
      <c r="K173" s="216">
        <f t="shared" si="47"/>
        <v>0.95</v>
      </c>
      <c r="L173" s="216">
        <f t="shared" si="43"/>
        <v>1</v>
      </c>
      <c r="M173" s="111">
        <f t="shared" si="39"/>
        <v>13395.342000000001</v>
      </c>
      <c r="N173" s="111">
        <f>B173*M173</f>
        <v>6739164.7624711143</v>
      </c>
      <c r="O173" s="111"/>
      <c r="P173" s="111"/>
      <c r="Q173" s="111"/>
      <c r="R173" s="111"/>
      <c r="S173" s="111"/>
      <c r="T173" s="111"/>
      <c r="U173" s="111"/>
      <c r="V173" s="111"/>
      <c r="W173" s="111"/>
      <c r="X173" s="111">
        <f t="shared" si="40"/>
        <v>6739164.7624711143</v>
      </c>
      <c r="Y173" s="219" t="s">
        <v>33</v>
      </c>
      <c r="Z173" s="218"/>
      <c r="AB173" s="207"/>
      <c r="AC173" s="207"/>
      <c r="AD173" s="208"/>
      <c r="AE173" s="208"/>
      <c r="AF173" s="208"/>
      <c r="AG173" s="208"/>
      <c r="AH173" s="208"/>
      <c r="AI173" s="115"/>
    </row>
    <row r="174" spans="1:35" s="205" customFormat="1" x14ac:dyDescent="0.25">
      <c r="A174" s="221">
        <v>242</v>
      </c>
      <c r="B174" s="130">
        <v>559.88512143999992</v>
      </c>
      <c r="C174" s="216">
        <v>2</v>
      </c>
      <c r="D174" s="214" t="s">
        <v>10</v>
      </c>
      <c r="E174" s="214" t="s">
        <v>10</v>
      </c>
      <c r="F174" s="128">
        <f>B174-G174</f>
        <v>131.55516843999987</v>
      </c>
      <c r="G174" s="128">
        <v>428.32995300000005</v>
      </c>
      <c r="H174" s="215">
        <f t="shared" si="38"/>
        <v>0.23496814507527145</v>
      </c>
      <c r="I174" s="215">
        <f t="shared" si="46"/>
        <v>0.76503185492472858</v>
      </c>
      <c r="J174" s="111">
        <v>13993.68</v>
      </c>
      <c r="K174" s="216">
        <f t="shared" si="47"/>
        <v>0.95</v>
      </c>
      <c r="L174" s="216">
        <f t="shared" si="43"/>
        <v>1</v>
      </c>
      <c r="M174" s="111">
        <f t="shared" si="39"/>
        <v>13293.995999999999</v>
      </c>
      <c r="N174" s="216">
        <f>M174*B174</f>
        <v>7443110.5648828726</v>
      </c>
      <c r="O174" s="216"/>
      <c r="P174" s="216"/>
      <c r="Q174" s="111">
        <v>34.644457500000001</v>
      </c>
      <c r="R174" s="111">
        <f>'Cálculo Depre.-Sist. Irrig.'!$P$3*Q174</f>
        <v>266762.32274999999</v>
      </c>
      <c r="S174" s="214" t="s">
        <v>16</v>
      </c>
      <c r="T174" s="111">
        <f>Q174</f>
        <v>34.644457500000001</v>
      </c>
      <c r="U174" s="111">
        <f>'Cálculo Valor Avaliação-Cultura'!$B$79*T174</f>
        <v>498663.44996424956</v>
      </c>
      <c r="V174" s="220"/>
      <c r="W174" s="220"/>
      <c r="X174" s="111">
        <f t="shared" si="40"/>
        <v>8208536.3375971224</v>
      </c>
      <c r="Y174" s="219" t="s">
        <v>29</v>
      </c>
      <c r="Z174" s="218"/>
      <c r="AB174" s="207"/>
      <c r="AC174" s="207"/>
      <c r="AD174" s="208"/>
      <c r="AE174" s="208"/>
      <c r="AF174" s="208"/>
      <c r="AG174" s="208"/>
      <c r="AH174" s="208"/>
      <c r="AI174" s="115"/>
    </row>
    <row r="175" spans="1:35" s="205" customFormat="1" x14ac:dyDescent="0.25">
      <c r="A175" s="221">
        <v>243</v>
      </c>
      <c r="B175" s="130">
        <v>90.145094960000009</v>
      </c>
      <c r="C175" s="111">
        <v>2</v>
      </c>
      <c r="D175" s="214" t="s">
        <v>10</v>
      </c>
      <c r="E175" s="214" t="s">
        <v>10</v>
      </c>
      <c r="F175" s="128">
        <v>46.131397990000004</v>
      </c>
      <c r="G175" s="128">
        <v>44.013696970000005</v>
      </c>
      <c r="H175" s="215">
        <f t="shared" si="38"/>
        <v>0.51174606905089892</v>
      </c>
      <c r="I175" s="215">
        <f t="shared" si="46"/>
        <v>0.48825393094910108</v>
      </c>
      <c r="J175" s="111">
        <v>14881.12</v>
      </c>
      <c r="K175" s="216">
        <f t="shared" si="47"/>
        <v>0.95</v>
      </c>
      <c r="L175" s="216">
        <f t="shared" si="43"/>
        <v>1</v>
      </c>
      <c r="M175" s="111">
        <f t="shared" si="39"/>
        <v>14137.064</v>
      </c>
      <c r="N175" s="111">
        <f>B175*M175</f>
        <v>1274386.9767355975</v>
      </c>
      <c r="O175" s="111"/>
      <c r="P175" s="111"/>
      <c r="Q175" s="111"/>
      <c r="R175" s="111"/>
      <c r="S175" s="111"/>
      <c r="T175" s="111"/>
      <c r="U175" s="111"/>
      <c r="V175" s="111"/>
      <c r="W175" s="111"/>
      <c r="X175" s="111">
        <f t="shared" si="40"/>
        <v>1274386.9767355975</v>
      </c>
      <c r="Y175" s="219" t="s">
        <v>37</v>
      </c>
      <c r="Z175" s="218"/>
      <c r="AB175" s="207"/>
      <c r="AC175" s="207"/>
      <c r="AD175" s="208"/>
      <c r="AE175" s="208"/>
      <c r="AF175" s="208"/>
      <c r="AG175" s="208"/>
      <c r="AH175" s="208"/>
      <c r="AI175" s="115"/>
    </row>
    <row r="176" spans="1:35" s="205" customFormat="1" x14ac:dyDescent="0.25">
      <c r="A176" s="221">
        <v>244</v>
      </c>
      <c r="B176" s="130">
        <v>50.458371120000002</v>
      </c>
      <c r="C176" s="216">
        <v>2</v>
      </c>
      <c r="D176" s="214" t="s">
        <v>13</v>
      </c>
      <c r="E176" s="214" t="s">
        <v>10</v>
      </c>
      <c r="F176" s="128">
        <v>50.458371120000002</v>
      </c>
      <c r="G176" s="128"/>
      <c r="H176" s="215">
        <f t="shared" si="38"/>
        <v>1</v>
      </c>
      <c r="I176" s="215">
        <f>G176/F176</f>
        <v>0</v>
      </c>
      <c r="J176" s="216">
        <v>16510.5</v>
      </c>
      <c r="K176" s="216">
        <f t="shared" si="47"/>
        <v>0.95</v>
      </c>
      <c r="L176" s="216">
        <f t="shared" si="43"/>
        <v>1</v>
      </c>
      <c r="M176" s="216">
        <f t="shared" si="39"/>
        <v>15684.974999999999</v>
      </c>
      <c r="N176" s="216">
        <f>M176*F176</f>
        <v>791438.28955792193</v>
      </c>
      <c r="O176" s="216"/>
      <c r="P176" s="216"/>
      <c r="Q176" s="216"/>
      <c r="R176" s="216"/>
      <c r="S176" s="216"/>
      <c r="T176" s="216"/>
      <c r="U176" s="216"/>
      <c r="V176" s="220"/>
      <c r="W176" s="220"/>
      <c r="X176" s="111">
        <f t="shared" si="40"/>
        <v>791438.28955792193</v>
      </c>
      <c r="Y176" s="219" t="s">
        <v>52</v>
      </c>
      <c r="Z176" s="218"/>
      <c r="AB176" s="207"/>
      <c r="AC176" s="207"/>
      <c r="AD176" s="208"/>
      <c r="AE176" s="208"/>
      <c r="AF176" s="208"/>
      <c r="AG176" s="208"/>
      <c r="AH176" s="208"/>
      <c r="AI176" s="115"/>
    </row>
    <row r="177" spans="1:35" s="205" customFormat="1" x14ac:dyDescent="0.25">
      <c r="A177" s="221">
        <v>245</v>
      </c>
      <c r="B177" s="130">
        <v>218.55612688000002</v>
      </c>
      <c r="C177" s="111">
        <v>1</v>
      </c>
      <c r="D177" s="214" t="s">
        <v>13</v>
      </c>
      <c r="E177" s="214" t="s">
        <v>10</v>
      </c>
      <c r="F177" s="128">
        <v>193.06977188000002</v>
      </c>
      <c r="G177" s="128">
        <v>25.486355</v>
      </c>
      <c r="H177" s="215">
        <f t="shared" si="38"/>
        <v>0.88338759766733288</v>
      </c>
      <c r="I177" s="215">
        <f t="shared" ref="I177:I187" si="48">G177/B177</f>
        <v>0.11661240233266709</v>
      </c>
      <c r="J177" s="111">
        <v>9658.8700000000008</v>
      </c>
      <c r="K177" s="216">
        <f t="shared" si="47"/>
        <v>0.95</v>
      </c>
      <c r="L177" s="216">
        <f t="shared" si="43"/>
        <v>1</v>
      </c>
      <c r="M177" s="111">
        <f t="shared" si="39"/>
        <v>9175.9264999999996</v>
      </c>
      <c r="N177" s="111">
        <f>B177*M177</f>
        <v>2005454.9563755544</v>
      </c>
      <c r="O177" s="111"/>
      <c r="P177" s="111"/>
      <c r="Q177" s="111"/>
      <c r="R177" s="111"/>
      <c r="S177" s="111"/>
      <c r="T177" s="111"/>
      <c r="U177" s="111"/>
      <c r="V177" s="111"/>
      <c r="W177" s="111"/>
      <c r="X177" s="111">
        <f t="shared" si="40"/>
        <v>2005454.9563755544</v>
      </c>
      <c r="Y177" s="219"/>
      <c r="Z177" s="218"/>
      <c r="AB177" s="207"/>
      <c r="AC177" s="207"/>
      <c r="AD177" s="208"/>
      <c r="AE177" s="208"/>
      <c r="AF177" s="208"/>
      <c r="AG177" s="208"/>
      <c r="AH177" s="208"/>
      <c r="AI177" s="115"/>
    </row>
    <row r="178" spans="1:35" s="205" customFormat="1" x14ac:dyDescent="0.25">
      <c r="A178" s="221">
        <v>246</v>
      </c>
      <c r="B178" s="130">
        <v>34.837500150000004</v>
      </c>
      <c r="C178" s="111">
        <v>1</v>
      </c>
      <c r="D178" s="214" t="s">
        <v>13</v>
      </c>
      <c r="E178" s="214" t="s">
        <v>10</v>
      </c>
      <c r="F178" s="128">
        <v>25.486355020000001</v>
      </c>
      <c r="G178" s="128">
        <v>9.3511451300000008</v>
      </c>
      <c r="H178" s="215">
        <f t="shared" si="38"/>
        <v>0.7315781818518341</v>
      </c>
      <c r="I178" s="215">
        <f t="shared" si="48"/>
        <v>0.26842181814816585</v>
      </c>
      <c r="J178" s="111">
        <v>9820.2900000000009</v>
      </c>
      <c r="K178" s="216">
        <f t="shared" si="47"/>
        <v>0.95</v>
      </c>
      <c r="L178" s="216">
        <f t="shared" ref="L178:L209" si="49">$B$321</f>
        <v>1</v>
      </c>
      <c r="M178" s="111">
        <f t="shared" si="39"/>
        <v>9329.2754999999997</v>
      </c>
      <c r="N178" s="111">
        <f>B178*M178</f>
        <v>325008.63663064135</v>
      </c>
      <c r="O178" s="111"/>
      <c r="P178" s="111"/>
      <c r="Q178" s="111"/>
      <c r="R178" s="111"/>
      <c r="S178" s="111"/>
      <c r="T178" s="111"/>
      <c r="U178" s="111"/>
      <c r="V178" s="111"/>
      <c r="W178" s="111"/>
      <c r="X178" s="111">
        <f t="shared" si="40"/>
        <v>325008.63663064135</v>
      </c>
      <c r="Y178" s="219"/>
      <c r="Z178" s="218"/>
      <c r="AB178" s="207"/>
      <c r="AC178" s="207"/>
      <c r="AD178" s="208"/>
      <c r="AE178" s="208"/>
      <c r="AF178" s="208"/>
      <c r="AG178" s="208"/>
      <c r="AH178" s="208"/>
      <c r="AI178" s="115"/>
    </row>
    <row r="179" spans="1:35" s="205" customFormat="1" x14ac:dyDescent="0.25">
      <c r="A179" s="221">
        <v>247</v>
      </c>
      <c r="B179" s="130">
        <v>32.403851099999997</v>
      </c>
      <c r="C179" s="111">
        <v>2</v>
      </c>
      <c r="D179" s="214" t="s">
        <v>13</v>
      </c>
      <c r="E179" s="214" t="s">
        <v>10</v>
      </c>
      <c r="F179" s="128">
        <v>15.810759750000003</v>
      </c>
      <c r="G179" s="128">
        <v>16.593091349999998</v>
      </c>
      <c r="H179" s="215">
        <f t="shared" si="38"/>
        <v>0.48792841632333028</v>
      </c>
      <c r="I179" s="215">
        <f t="shared" si="48"/>
        <v>0.51207158367666983</v>
      </c>
      <c r="J179" s="111">
        <v>14992.35</v>
      </c>
      <c r="K179" s="216">
        <f t="shared" si="47"/>
        <v>0.95</v>
      </c>
      <c r="L179" s="216">
        <f t="shared" si="49"/>
        <v>1</v>
      </c>
      <c r="M179" s="111">
        <f t="shared" si="39"/>
        <v>14242.7325</v>
      </c>
      <c r="N179" s="111">
        <f>B179*M179</f>
        <v>461519.38318713073</v>
      </c>
      <c r="O179" s="111"/>
      <c r="P179" s="111"/>
      <c r="Q179" s="111"/>
      <c r="R179" s="111"/>
      <c r="S179" s="111"/>
      <c r="T179" s="111"/>
      <c r="U179" s="111"/>
      <c r="V179" s="111"/>
      <c r="W179" s="111"/>
      <c r="X179" s="111">
        <f t="shared" si="40"/>
        <v>461519.38318713073</v>
      </c>
      <c r="Y179" s="219" t="s">
        <v>34</v>
      </c>
      <c r="Z179" s="218"/>
      <c r="AB179" s="207"/>
      <c r="AC179" s="207"/>
      <c r="AD179" s="208"/>
      <c r="AE179" s="208"/>
      <c r="AF179" s="208"/>
      <c r="AG179" s="208"/>
      <c r="AH179" s="208"/>
      <c r="AI179" s="115"/>
    </row>
    <row r="180" spans="1:35" s="205" customFormat="1" x14ac:dyDescent="0.25">
      <c r="A180" s="221">
        <v>248</v>
      </c>
      <c r="B180" s="130">
        <v>31.739347889999998</v>
      </c>
      <c r="C180" s="216">
        <v>0.3</v>
      </c>
      <c r="D180" s="214" t="s">
        <v>13</v>
      </c>
      <c r="E180" s="214" t="s">
        <v>10</v>
      </c>
      <c r="F180" s="128"/>
      <c r="G180" s="128">
        <v>31.739347889999998</v>
      </c>
      <c r="H180" s="215">
        <f t="shared" si="38"/>
        <v>0</v>
      </c>
      <c r="I180" s="215">
        <f t="shared" si="48"/>
        <v>1</v>
      </c>
      <c r="J180" s="216">
        <v>5493.44</v>
      </c>
      <c r="K180" s="216">
        <f>$B$319</f>
        <v>0.9</v>
      </c>
      <c r="L180" s="216">
        <f t="shared" si="49"/>
        <v>1</v>
      </c>
      <c r="M180" s="216">
        <f t="shared" si="39"/>
        <v>4944.0959999999995</v>
      </c>
      <c r="N180" s="216">
        <f>M180*B180</f>
        <v>156922.38294555742</v>
      </c>
      <c r="O180" s="216"/>
      <c r="P180" s="216"/>
      <c r="Q180" s="216"/>
      <c r="R180" s="216"/>
      <c r="S180" s="216"/>
      <c r="T180" s="216"/>
      <c r="U180" s="216"/>
      <c r="V180" s="216"/>
      <c r="W180" s="216"/>
      <c r="X180" s="111">
        <f t="shared" si="40"/>
        <v>156922.38294555742</v>
      </c>
      <c r="Y180" s="214" t="s">
        <v>13</v>
      </c>
      <c r="Z180" s="218"/>
      <c r="AB180" s="207"/>
      <c r="AC180" s="207"/>
      <c r="AD180" s="208"/>
      <c r="AE180" s="208"/>
      <c r="AF180" s="208"/>
      <c r="AG180" s="208"/>
      <c r="AH180" s="208"/>
      <c r="AI180" s="115"/>
    </row>
    <row r="181" spans="1:35" s="205" customFormat="1" x14ac:dyDescent="0.25">
      <c r="A181" s="221">
        <v>249</v>
      </c>
      <c r="B181" s="130">
        <v>30.83728052</v>
      </c>
      <c r="C181" s="216">
        <v>0.3</v>
      </c>
      <c r="D181" s="214" t="s">
        <v>13</v>
      </c>
      <c r="E181" s="214" t="s">
        <v>10</v>
      </c>
      <c r="F181" s="128"/>
      <c r="G181" s="128">
        <v>30.83728052</v>
      </c>
      <c r="H181" s="215">
        <f t="shared" si="38"/>
        <v>0</v>
      </c>
      <c r="I181" s="215">
        <f t="shared" si="48"/>
        <v>1</v>
      </c>
      <c r="J181" s="216">
        <v>5493.75</v>
      </c>
      <c r="K181" s="216">
        <f>$B$319</f>
        <v>0.9</v>
      </c>
      <c r="L181" s="216">
        <f t="shared" si="49"/>
        <v>1</v>
      </c>
      <c r="M181" s="216">
        <f t="shared" si="39"/>
        <v>4944.375</v>
      </c>
      <c r="N181" s="216">
        <f>M181*B181</f>
        <v>152471.07887107501</v>
      </c>
      <c r="O181" s="216"/>
      <c r="P181" s="216"/>
      <c r="Q181" s="216"/>
      <c r="R181" s="216"/>
      <c r="S181" s="216"/>
      <c r="T181" s="216"/>
      <c r="U181" s="216"/>
      <c r="V181" s="216"/>
      <c r="W181" s="216"/>
      <c r="X181" s="111">
        <f t="shared" si="40"/>
        <v>152471.07887107501</v>
      </c>
      <c r="Y181" s="214" t="s">
        <v>13</v>
      </c>
      <c r="Z181" s="218"/>
      <c r="AB181" s="207"/>
      <c r="AC181" s="207"/>
      <c r="AD181" s="208"/>
      <c r="AE181" s="208"/>
      <c r="AF181" s="208"/>
      <c r="AG181" s="208"/>
      <c r="AH181" s="208"/>
      <c r="AI181" s="115"/>
    </row>
    <row r="182" spans="1:35" s="205" customFormat="1" x14ac:dyDescent="0.25">
      <c r="A182" s="221">
        <v>250</v>
      </c>
      <c r="B182" s="130">
        <v>32.153673090000005</v>
      </c>
      <c r="C182" s="216">
        <v>0.3</v>
      </c>
      <c r="D182" s="214" t="s">
        <v>13</v>
      </c>
      <c r="E182" s="214" t="s">
        <v>10</v>
      </c>
      <c r="F182" s="128"/>
      <c r="G182" s="128">
        <v>32.153673090000005</v>
      </c>
      <c r="H182" s="215">
        <f t="shared" si="38"/>
        <v>0</v>
      </c>
      <c r="I182" s="215">
        <f t="shared" si="48"/>
        <v>1</v>
      </c>
      <c r="J182" s="216">
        <v>5493.28</v>
      </c>
      <c r="K182" s="216">
        <f>$B$319</f>
        <v>0.9</v>
      </c>
      <c r="L182" s="216">
        <f t="shared" si="49"/>
        <v>1</v>
      </c>
      <c r="M182" s="216">
        <f t="shared" si="39"/>
        <v>4943.9520000000002</v>
      </c>
      <c r="N182" s="216">
        <f>M182*B182</f>
        <v>158966.21638065172</v>
      </c>
      <c r="O182" s="216"/>
      <c r="P182" s="216"/>
      <c r="Q182" s="216"/>
      <c r="R182" s="216"/>
      <c r="S182" s="216"/>
      <c r="T182" s="216"/>
      <c r="U182" s="216"/>
      <c r="V182" s="216"/>
      <c r="W182" s="216"/>
      <c r="X182" s="111">
        <f t="shared" si="40"/>
        <v>158966.21638065172</v>
      </c>
      <c r="Y182" s="214" t="s">
        <v>13</v>
      </c>
      <c r="Z182" s="218"/>
      <c r="AB182" s="207"/>
      <c r="AC182" s="207"/>
      <c r="AD182" s="208"/>
      <c r="AE182" s="208"/>
      <c r="AF182" s="208"/>
      <c r="AG182" s="208"/>
      <c r="AH182" s="208"/>
      <c r="AI182" s="115"/>
    </row>
    <row r="183" spans="1:35" s="205" customFormat="1" x14ac:dyDescent="0.25">
      <c r="A183" s="221">
        <v>251</v>
      </c>
      <c r="B183" s="130">
        <v>220.26878588999998</v>
      </c>
      <c r="C183" s="216">
        <v>2</v>
      </c>
      <c r="D183" s="214" t="s">
        <v>13</v>
      </c>
      <c r="E183" s="214" t="s">
        <v>10</v>
      </c>
      <c r="F183" s="128">
        <v>37.65975313000007</v>
      </c>
      <c r="G183" s="128">
        <v>60.046455879999996</v>
      </c>
      <c r="H183" s="215">
        <f t="shared" si="38"/>
        <v>0.17097181054426375</v>
      </c>
      <c r="I183" s="215">
        <f t="shared" si="48"/>
        <v>0.27260537909346172</v>
      </c>
      <c r="J183" s="111">
        <v>14632.05</v>
      </c>
      <c r="K183" s="216">
        <f t="shared" ref="K183:K214" si="50">$B$318</f>
        <v>0.95</v>
      </c>
      <c r="L183" s="216">
        <f t="shared" si="49"/>
        <v>1</v>
      </c>
      <c r="M183" s="111">
        <f t="shared" si="39"/>
        <v>13900.447499999998</v>
      </c>
      <c r="N183" s="216">
        <f>M183*B183</f>
        <v>3061834.6941526849</v>
      </c>
      <c r="O183" s="216"/>
      <c r="P183" s="216"/>
      <c r="Q183" s="111">
        <v>122.56257687999999</v>
      </c>
      <c r="R183" s="111">
        <f>'Cálculo Depre.-Sist. Irrig.'!$P$3*Q183</f>
        <v>943731.841976</v>
      </c>
      <c r="S183" s="214" t="s">
        <v>16</v>
      </c>
      <c r="T183" s="111">
        <f>Q183</f>
        <v>122.56257687999999</v>
      </c>
      <c r="U183" s="111">
        <f>'Cálculo Valor Avaliação-Cultura'!$B$79*T183</f>
        <v>1764134.3474202005</v>
      </c>
      <c r="V183" s="220"/>
      <c r="W183" s="220"/>
      <c r="X183" s="111">
        <f t="shared" si="40"/>
        <v>5769700.8835488856</v>
      </c>
      <c r="Y183" s="219" t="s">
        <v>93</v>
      </c>
      <c r="Z183" s="218"/>
      <c r="AB183" s="207"/>
      <c r="AC183" s="207"/>
      <c r="AD183" s="208"/>
      <c r="AE183" s="208"/>
      <c r="AF183" s="208"/>
      <c r="AG183" s="208"/>
      <c r="AH183" s="208"/>
      <c r="AI183" s="115"/>
    </row>
    <row r="184" spans="1:35" s="205" customFormat="1" x14ac:dyDescent="0.25">
      <c r="A184" s="221">
        <v>252</v>
      </c>
      <c r="B184" s="130">
        <v>540.00175540999999</v>
      </c>
      <c r="C184" s="111">
        <v>1</v>
      </c>
      <c r="D184" s="214" t="s">
        <v>13</v>
      </c>
      <c r="E184" s="214" t="s">
        <v>10</v>
      </c>
      <c r="F184" s="128">
        <v>262.40893740999996</v>
      </c>
      <c r="G184" s="128">
        <v>277.59281800000002</v>
      </c>
      <c r="H184" s="215">
        <f t="shared" si="38"/>
        <v>0.48594089700831472</v>
      </c>
      <c r="I184" s="215">
        <f t="shared" si="48"/>
        <v>0.51405910299168522</v>
      </c>
      <c r="J184" s="111">
        <v>8579.08</v>
      </c>
      <c r="K184" s="216">
        <f t="shared" si="50"/>
        <v>0.95</v>
      </c>
      <c r="L184" s="216">
        <f t="shared" si="49"/>
        <v>1</v>
      </c>
      <c r="M184" s="111">
        <f t="shared" si="39"/>
        <v>8150.1259999999993</v>
      </c>
      <c r="N184" s="111">
        <f>B184*M184</f>
        <v>4401082.3468126813</v>
      </c>
      <c r="O184" s="111"/>
      <c r="P184" s="111"/>
      <c r="Q184" s="111"/>
      <c r="R184" s="111"/>
      <c r="S184" s="111"/>
      <c r="T184" s="111"/>
      <c r="U184" s="111"/>
      <c r="V184" s="111"/>
      <c r="W184" s="111"/>
      <c r="X184" s="111">
        <f t="shared" si="40"/>
        <v>4401082.3468126813</v>
      </c>
      <c r="Y184" s="219"/>
      <c r="Z184" s="218"/>
      <c r="AB184" s="207"/>
      <c r="AC184" s="207"/>
      <c r="AD184" s="208"/>
      <c r="AE184" s="208"/>
      <c r="AF184" s="208"/>
      <c r="AG184" s="208"/>
      <c r="AH184" s="208"/>
      <c r="AI184" s="115"/>
    </row>
    <row r="185" spans="1:35" s="205" customFormat="1" x14ac:dyDescent="0.25">
      <c r="A185" s="221">
        <v>253</v>
      </c>
      <c r="B185" s="130">
        <v>239.97695827999999</v>
      </c>
      <c r="C185" s="111">
        <v>2</v>
      </c>
      <c r="D185" s="214" t="s">
        <v>10</v>
      </c>
      <c r="E185" s="214" t="s">
        <v>10</v>
      </c>
      <c r="F185" s="128">
        <v>187.10474911</v>
      </c>
      <c r="G185" s="128">
        <v>52.872209169999998</v>
      </c>
      <c r="H185" s="215">
        <f t="shared" si="38"/>
        <v>0.77967797596505151</v>
      </c>
      <c r="I185" s="215">
        <f t="shared" si="48"/>
        <v>0.22032202403494852</v>
      </c>
      <c r="J185" s="111">
        <v>16045.67</v>
      </c>
      <c r="K185" s="216">
        <f t="shared" si="50"/>
        <v>0.95</v>
      </c>
      <c r="L185" s="216">
        <f t="shared" si="49"/>
        <v>1</v>
      </c>
      <c r="M185" s="111">
        <f t="shared" si="39"/>
        <v>15243.386499999999</v>
      </c>
      <c r="N185" s="111">
        <f>B185*M185</f>
        <v>3658061.5261564148</v>
      </c>
      <c r="O185" s="111"/>
      <c r="P185" s="111"/>
      <c r="Q185" s="111"/>
      <c r="R185" s="111"/>
      <c r="S185" s="111"/>
      <c r="T185" s="111"/>
      <c r="U185" s="111"/>
      <c r="V185" s="111"/>
      <c r="W185" s="111"/>
      <c r="X185" s="111">
        <f t="shared" si="40"/>
        <v>3658061.5261564148</v>
      </c>
      <c r="Y185" s="219" t="s">
        <v>32</v>
      </c>
      <c r="Z185" s="218"/>
      <c r="AB185" s="207"/>
      <c r="AC185" s="207"/>
      <c r="AD185" s="208"/>
      <c r="AE185" s="208"/>
      <c r="AF185" s="208"/>
      <c r="AG185" s="208"/>
      <c r="AH185" s="208"/>
      <c r="AI185" s="115"/>
    </row>
    <row r="186" spans="1:35" s="205" customFormat="1" x14ac:dyDescent="0.25">
      <c r="A186" s="221">
        <v>254</v>
      </c>
      <c r="B186" s="130">
        <v>153.44418966000001</v>
      </c>
      <c r="C186" s="111">
        <v>1</v>
      </c>
      <c r="D186" s="214" t="s">
        <v>13</v>
      </c>
      <c r="E186" s="214" t="s">
        <v>10</v>
      </c>
      <c r="F186" s="128">
        <v>34.06500018000002</v>
      </c>
      <c r="G186" s="128">
        <v>119.37918947999999</v>
      </c>
      <c r="H186" s="215">
        <f t="shared" si="38"/>
        <v>0.22200254213262088</v>
      </c>
      <c r="I186" s="215">
        <f t="shared" si="48"/>
        <v>0.77799745786737917</v>
      </c>
      <c r="J186" s="111">
        <v>8875.85</v>
      </c>
      <c r="K186" s="216">
        <f t="shared" si="50"/>
        <v>0.95</v>
      </c>
      <c r="L186" s="216">
        <f t="shared" si="49"/>
        <v>1</v>
      </c>
      <c r="M186" s="111">
        <f t="shared" si="39"/>
        <v>8432.0575000000008</v>
      </c>
      <c r="N186" s="111">
        <f>B186*M186</f>
        <v>1293850.2302540257</v>
      </c>
      <c r="O186" s="111"/>
      <c r="P186" s="111"/>
      <c r="Q186" s="111"/>
      <c r="R186" s="111"/>
      <c r="S186" s="111"/>
      <c r="T186" s="111"/>
      <c r="U186" s="111"/>
      <c r="V186" s="111"/>
      <c r="W186" s="111"/>
      <c r="X186" s="111">
        <f t="shared" si="40"/>
        <v>1293850.2302540257</v>
      </c>
      <c r="Y186" s="219"/>
      <c r="Z186" s="218"/>
      <c r="AB186" s="207"/>
      <c r="AC186" s="207"/>
      <c r="AD186" s="208"/>
      <c r="AE186" s="208"/>
      <c r="AF186" s="208"/>
      <c r="AG186" s="208"/>
      <c r="AH186" s="208"/>
      <c r="AI186" s="115"/>
    </row>
    <row r="187" spans="1:35" s="205" customFormat="1" x14ac:dyDescent="0.25">
      <c r="A187" s="221">
        <v>255</v>
      </c>
      <c r="B187" s="130">
        <v>85.571177229999989</v>
      </c>
      <c r="C187" s="111">
        <v>1</v>
      </c>
      <c r="D187" s="214" t="s">
        <v>13</v>
      </c>
      <c r="E187" s="214" t="s">
        <v>10</v>
      </c>
      <c r="F187" s="128">
        <v>80.839056049999982</v>
      </c>
      <c r="G187" s="128">
        <v>4.73212118</v>
      </c>
      <c r="H187" s="215">
        <f t="shared" si="38"/>
        <v>0.94469959005845028</v>
      </c>
      <c r="I187" s="215">
        <f t="shared" si="48"/>
        <v>5.5300409941549666E-2</v>
      </c>
      <c r="J187" s="111">
        <v>9775.14</v>
      </c>
      <c r="K187" s="216">
        <f t="shared" si="50"/>
        <v>0.95</v>
      </c>
      <c r="L187" s="216">
        <f t="shared" si="49"/>
        <v>1</v>
      </c>
      <c r="M187" s="111">
        <f t="shared" si="39"/>
        <v>9286.3829999999998</v>
      </c>
      <c r="N187" s="111">
        <f>B187*M187</f>
        <v>794646.72551865899</v>
      </c>
      <c r="O187" s="111"/>
      <c r="P187" s="111"/>
      <c r="Q187" s="111"/>
      <c r="R187" s="111"/>
      <c r="S187" s="111"/>
      <c r="T187" s="111"/>
      <c r="U187" s="111"/>
      <c r="V187" s="111"/>
      <c r="W187" s="111"/>
      <c r="X187" s="111">
        <f t="shared" si="40"/>
        <v>794646.72551865899</v>
      </c>
      <c r="Y187" s="219"/>
      <c r="Z187" s="218"/>
      <c r="AB187" s="207"/>
      <c r="AC187" s="207"/>
      <c r="AD187" s="208"/>
      <c r="AE187" s="208"/>
      <c r="AF187" s="208"/>
      <c r="AG187" s="208"/>
      <c r="AH187" s="208"/>
      <c r="AI187" s="115"/>
    </row>
    <row r="188" spans="1:35" s="205" customFormat="1" x14ac:dyDescent="0.25">
      <c r="A188" s="221">
        <v>256</v>
      </c>
      <c r="B188" s="130">
        <v>82.717112999999998</v>
      </c>
      <c r="C188" s="216">
        <v>2</v>
      </c>
      <c r="D188" s="214" t="s">
        <v>13</v>
      </c>
      <c r="E188" s="214" t="s">
        <v>10</v>
      </c>
      <c r="F188" s="128">
        <v>82.717112999999998</v>
      </c>
      <c r="G188" s="128"/>
      <c r="H188" s="215">
        <f t="shared" si="38"/>
        <v>1</v>
      </c>
      <c r="I188" s="215">
        <f>G188/F188</f>
        <v>0</v>
      </c>
      <c r="J188" s="216">
        <v>14895.35</v>
      </c>
      <c r="K188" s="216">
        <f t="shared" si="50"/>
        <v>0.95</v>
      </c>
      <c r="L188" s="216">
        <f t="shared" si="49"/>
        <v>1</v>
      </c>
      <c r="M188" s="216">
        <f t="shared" si="39"/>
        <v>14150.5825</v>
      </c>
      <c r="N188" s="216">
        <f>M188*F188</f>
        <v>1170495.3316683224</v>
      </c>
      <c r="O188" s="216"/>
      <c r="P188" s="216"/>
      <c r="Q188" s="216"/>
      <c r="R188" s="216"/>
      <c r="S188" s="216"/>
      <c r="T188" s="216"/>
      <c r="U188" s="216"/>
      <c r="V188" s="220"/>
      <c r="W188" s="220"/>
      <c r="X188" s="111">
        <f t="shared" si="40"/>
        <v>1170495.3316683224</v>
      </c>
      <c r="Y188" s="219" t="s">
        <v>13</v>
      </c>
      <c r="Z188" s="218"/>
      <c r="AB188" s="207"/>
      <c r="AC188" s="207"/>
      <c r="AD188" s="208"/>
      <c r="AE188" s="208"/>
      <c r="AF188" s="208"/>
      <c r="AG188" s="208"/>
      <c r="AH188" s="208"/>
      <c r="AI188" s="115"/>
    </row>
    <row r="189" spans="1:35" s="205" customFormat="1" x14ac:dyDescent="0.25">
      <c r="A189" s="221">
        <v>257</v>
      </c>
      <c r="B189" s="130">
        <v>88.247135380000003</v>
      </c>
      <c r="C189" s="216">
        <v>2</v>
      </c>
      <c r="D189" s="214" t="s">
        <v>10</v>
      </c>
      <c r="E189" s="214" t="s">
        <v>10</v>
      </c>
      <c r="F189" s="128">
        <v>88.247135380000003</v>
      </c>
      <c r="G189" s="128"/>
      <c r="H189" s="215">
        <f t="shared" ref="H189:H252" si="51">F189/B189</f>
        <v>1</v>
      </c>
      <c r="I189" s="215">
        <f>G189/F189</f>
        <v>0</v>
      </c>
      <c r="J189" s="216">
        <v>18298.12</v>
      </c>
      <c r="K189" s="216">
        <f t="shared" si="50"/>
        <v>0.95</v>
      </c>
      <c r="L189" s="216">
        <f t="shared" si="49"/>
        <v>1</v>
      </c>
      <c r="M189" s="216">
        <f t="shared" ref="M189:M252" si="52">J189*K189*L189</f>
        <v>17383.214</v>
      </c>
      <c r="N189" s="216">
        <f>M189*F189</f>
        <v>1534018.8391975113</v>
      </c>
      <c r="O189" s="216"/>
      <c r="P189" s="216"/>
      <c r="Q189" s="216"/>
      <c r="R189" s="216"/>
      <c r="S189" s="216"/>
      <c r="T189" s="216"/>
      <c r="U189" s="216"/>
      <c r="V189" s="220"/>
      <c r="W189" s="220"/>
      <c r="X189" s="111">
        <f t="shared" ref="X189:X252" si="53">N189+P189+R189+U189+W189</f>
        <v>1534018.8391975113</v>
      </c>
      <c r="Y189" s="219" t="s">
        <v>53</v>
      </c>
      <c r="Z189" s="218"/>
      <c r="AB189" s="207"/>
      <c r="AC189" s="207"/>
      <c r="AD189" s="208"/>
      <c r="AE189" s="208"/>
      <c r="AF189" s="208"/>
      <c r="AG189" s="208"/>
      <c r="AH189" s="208"/>
      <c r="AI189" s="115"/>
    </row>
    <row r="190" spans="1:35" s="205" customFormat="1" x14ac:dyDescent="0.25">
      <c r="A190" s="221">
        <v>258</v>
      </c>
      <c r="B190" s="130">
        <v>91.672970620000001</v>
      </c>
      <c r="C190" s="216">
        <v>2</v>
      </c>
      <c r="D190" s="214" t="s">
        <v>10</v>
      </c>
      <c r="E190" s="214" t="s">
        <v>10</v>
      </c>
      <c r="F190" s="128">
        <v>35.938831210000004</v>
      </c>
      <c r="G190" s="128">
        <v>49.127149029999998</v>
      </c>
      <c r="H190" s="215">
        <f t="shared" si="51"/>
        <v>0.39203301656900102</v>
      </c>
      <c r="I190" s="215">
        <f>G190/B190</f>
        <v>0.53589568111237884</v>
      </c>
      <c r="J190" s="111">
        <v>14878.04</v>
      </c>
      <c r="K190" s="216">
        <f t="shared" si="50"/>
        <v>0.95</v>
      </c>
      <c r="L190" s="216">
        <f t="shared" si="49"/>
        <v>1</v>
      </c>
      <c r="M190" s="111">
        <f t="shared" si="52"/>
        <v>14134.138000000001</v>
      </c>
      <c r="N190" s="216">
        <f>M190*B190</f>
        <v>1295718.4176130258</v>
      </c>
      <c r="O190" s="216"/>
      <c r="P190" s="216"/>
      <c r="Q190" s="111">
        <v>6.6069903800000001</v>
      </c>
      <c r="R190" s="111">
        <f>'Cálculo Depre.-Sist. Irrig.'!$P$3*Q190</f>
        <v>50873.825925999998</v>
      </c>
      <c r="S190" s="214" t="s">
        <v>16</v>
      </c>
      <c r="T190" s="111">
        <f>Q190</f>
        <v>6.6069903800000001</v>
      </c>
      <c r="U190" s="111">
        <f>'Cálculo Valor Avaliação-Cultura'!$B$79*T190</f>
        <v>95099.327699716712</v>
      </c>
      <c r="V190" s="220"/>
      <c r="W190" s="220"/>
      <c r="X190" s="111">
        <f t="shared" si="53"/>
        <v>1441691.5712387424</v>
      </c>
      <c r="Y190" s="219" t="s">
        <v>29</v>
      </c>
      <c r="Z190" s="218"/>
      <c r="AB190" s="207"/>
      <c r="AC190" s="207"/>
      <c r="AD190" s="208"/>
      <c r="AE190" s="208"/>
      <c r="AF190" s="208"/>
      <c r="AG190" s="208"/>
      <c r="AH190" s="208"/>
      <c r="AI190" s="115"/>
    </row>
    <row r="191" spans="1:35" s="205" customFormat="1" x14ac:dyDescent="0.25">
      <c r="A191" s="221">
        <v>259</v>
      </c>
      <c r="B191" s="130">
        <v>32.373532109999999</v>
      </c>
      <c r="C191" s="111">
        <v>2</v>
      </c>
      <c r="D191" s="214" t="s">
        <v>13</v>
      </c>
      <c r="E191" s="214" t="s">
        <v>10</v>
      </c>
      <c r="F191" s="128">
        <v>13.307794719999999</v>
      </c>
      <c r="G191" s="128">
        <v>19.065737389999999</v>
      </c>
      <c r="H191" s="215">
        <f t="shared" si="51"/>
        <v>0.41107021238159236</v>
      </c>
      <c r="I191" s="215">
        <f>G191/B191</f>
        <v>0.58892978761840764</v>
      </c>
      <c r="J191" s="111">
        <v>14992.35</v>
      </c>
      <c r="K191" s="216">
        <f t="shared" si="50"/>
        <v>0.95</v>
      </c>
      <c r="L191" s="216">
        <f t="shared" si="49"/>
        <v>1</v>
      </c>
      <c r="M191" s="111">
        <f t="shared" si="52"/>
        <v>14242.7325</v>
      </c>
      <c r="N191" s="111">
        <f>B191*M191</f>
        <v>461087.55792289058</v>
      </c>
      <c r="O191" s="111"/>
      <c r="P191" s="111"/>
      <c r="Q191" s="111"/>
      <c r="R191" s="111"/>
      <c r="S191" s="111"/>
      <c r="T191" s="111"/>
      <c r="U191" s="111"/>
      <c r="V191" s="111"/>
      <c r="W191" s="111"/>
      <c r="X191" s="111">
        <f t="shared" si="53"/>
        <v>461087.55792289058</v>
      </c>
      <c r="Y191" s="219" t="s">
        <v>94</v>
      </c>
      <c r="Z191" s="218"/>
      <c r="AB191" s="207"/>
      <c r="AC191" s="207"/>
      <c r="AD191" s="208"/>
      <c r="AE191" s="208"/>
      <c r="AF191" s="208"/>
      <c r="AG191" s="208"/>
      <c r="AH191" s="208"/>
      <c r="AI191" s="115"/>
    </row>
    <row r="192" spans="1:35" s="205" customFormat="1" x14ac:dyDescent="0.25">
      <c r="A192" s="221">
        <v>260</v>
      </c>
      <c r="B192" s="130">
        <v>9.4614896099999992</v>
      </c>
      <c r="C192" s="111">
        <v>2</v>
      </c>
      <c r="D192" s="214" t="s">
        <v>13</v>
      </c>
      <c r="E192" s="214" t="s">
        <v>10</v>
      </c>
      <c r="F192" s="128">
        <v>3.3313940000000004</v>
      </c>
      <c r="G192" s="128">
        <v>6.1300956100000006</v>
      </c>
      <c r="H192" s="215">
        <f t="shared" si="51"/>
        <v>0.35210037079985768</v>
      </c>
      <c r="I192" s="215">
        <f>G192/B192</f>
        <v>0.64789962920014255</v>
      </c>
      <c r="J192" s="111">
        <v>15048.65</v>
      </c>
      <c r="K192" s="216">
        <f t="shared" si="50"/>
        <v>0.95</v>
      </c>
      <c r="L192" s="216">
        <f t="shared" si="49"/>
        <v>1</v>
      </c>
      <c r="M192" s="111">
        <f t="shared" si="52"/>
        <v>14296.217499999999</v>
      </c>
      <c r="N192" s="111">
        <f>B192*M192</f>
        <v>135263.51333855014</v>
      </c>
      <c r="O192" s="111"/>
      <c r="P192" s="111"/>
      <c r="Q192" s="111"/>
      <c r="R192" s="111"/>
      <c r="S192" s="111"/>
      <c r="T192" s="111"/>
      <c r="U192" s="111"/>
      <c r="V192" s="111"/>
      <c r="W192" s="111"/>
      <c r="X192" s="111">
        <f t="shared" si="53"/>
        <v>135263.51333855014</v>
      </c>
      <c r="Y192" s="219" t="s">
        <v>31</v>
      </c>
      <c r="Z192" s="218"/>
      <c r="AB192" s="207"/>
      <c r="AC192" s="207"/>
      <c r="AD192" s="208"/>
      <c r="AE192" s="208"/>
      <c r="AF192" s="208"/>
      <c r="AG192" s="208"/>
      <c r="AH192" s="208"/>
      <c r="AI192" s="115"/>
    </row>
    <row r="193" spans="1:35" s="205" customFormat="1" x14ac:dyDescent="0.25">
      <c r="A193" s="221">
        <v>261</v>
      </c>
      <c r="B193" s="130">
        <v>21.163458540000001</v>
      </c>
      <c r="C193" s="216">
        <v>2</v>
      </c>
      <c r="D193" s="214" t="s">
        <v>10</v>
      </c>
      <c r="E193" s="214" t="s">
        <v>10</v>
      </c>
      <c r="F193" s="128">
        <v>7.24826865</v>
      </c>
      <c r="G193" s="128">
        <v>9.2506021500000006</v>
      </c>
      <c r="H193" s="215">
        <f t="shared" si="51"/>
        <v>0.34248979845616478</v>
      </c>
      <c r="I193" s="215">
        <f>G193/B193</f>
        <v>0.43710257151570464</v>
      </c>
      <c r="J193" s="111">
        <v>15014.2</v>
      </c>
      <c r="K193" s="216">
        <f t="shared" si="50"/>
        <v>0.95</v>
      </c>
      <c r="L193" s="216">
        <f t="shared" si="49"/>
        <v>1</v>
      </c>
      <c r="M193" s="111">
        <f t="shared" si="52"/>
        <v>14263.49</v>
      </c>
      <c r="N193" s="216">
        <f>M193*B193</f>
        <v>301864.77925070463</v>
      </c>
      <c r="O193" s="216"/>
      <c r="P193" s="216"/>
      <c r="Q193" s="111">
        <v>4.66458774</v>
      </c>
      <c r="R193" s="111">
        <f>'Cálculo Depre.-Sist. Irrig.'!$P$3*Q193</f>
        <v>35917.325598000003</v>
      </c>
      <c r="S193" s="214" t="s">
        <v>22</v>
      </c>
      <c r="T193" s="111">
        <f>Q193</f>
        <v>4.66458774</v>
      </c>
      <c r="U193" s="111"/>
      <c r="V193" s="220"/>
      <c r="W193" s="220"/>
      <c r="X193" s="111">
        <f t="shared" si="53"/>
        <v>337782.10484870465</v>
      </c>
      <c r="Y193" s="219" t="s">
        <v>32</v>
      </c>
      <c r="Z193" s="218"/>
      <c r="AB193" s="207"/>
      <c r="AC193" s="207"/>
      <c r="AD193" s="208"/>
      <c r="AE193" s="208"/>
      <c r="AF193" s="208"/>
      <c r="AG193" s="208"/>
      <c r="AH193" s="208"/>
      <c r="AI193" s="115"/>
    </row>
    <row r="194" spans="1:35" s="205" customFormat="1" x14ac:dyDescent="0.25">
      <c r="A194" s="221">
        <v>262</v>
      </c>
      <c r="B194" s="130">
        <v>645.71525587999997</v>
      </c>
      <c r="C194" s="111">
        <v>2</v>
      </c>
      <c r="D194" s="214" t="s">
        <v>10</v>
      </c>
      <c r="E194" s="214" t="s">
        <v>10</v>
      </c>
      <c r="F194" s="128">
        <v>172.78121916000001</v>
      </c>
      <c r="G194" s="128">
        <v>472.93403671999999</v>
      </c>
      <c r="H194" s="215">
        <f t="shared" si="51"/>
        <v>0.26758113206498213</v>
      </c>
      <c r="I194" s="215">
        <f>G194/B194</f>
        <v>0.73241886793501787</v>
      </c>
      <c r="J194" s="111">
        <v>13587.14</v>
      </c>
      <c r="K194" s="216">
        <f t="shared" si="50"/>
        <v>0.95</v>
      </c>
      <c r="L194" s="216">
        <f t="shared" si="49"/>
        <v>1</v>
      </c>
      <c r="M194" s="111">
        <f t="shared" si="52"/>
        <v>12907.782999999999</v>
      </c>
      <c r="N194" s="111">
        <f>B194*M194</f>
        <v>8334752.4026885135</v>
      </c>
      <c r="O194" s="111"/>
      <c r="P194" s="111"/>
      <c r="Q194" s="111"/>
      <c r="R194" s="111"/>
      <c r="S194" s="111"/>
      <c r="T194" s="111"/>
      <c r="U194" s="111"/>
      <c r="V194" s="111"/>
      <c r="W194" s="111"/>
      <c r="X194" s="111">
        <f t="shared" si="53"/>
        <v>8334752.4026885135</v>
      </c>
      <c r="Y194" s="219" t="s">
        <v>29</v>
      </c>
      <c r="Z194" s="218"/>
      <c r="AB194" s="207"/>
      <c r="AC194" s="207"/>
      <c r="AD194" s="208"/>
      <c r="AE194" s="208"/>
      <c r="AF194" s="208"/>
      <c r="AG194" s="208"/>
      <c r="AH194" s="208"/>
      <c r="AI194" s="115"/>
    </row>
    <row r="195" spans="1:35" s="205" customFormat="1" x14ac:dyDescent="0.25">
      <c r="A195" s="221">
        <v>263</v>
      </c>
      <c r="B195" s="130">
        <v>226.80635005000002</v>
      </c>
      <c r="C195" s="216">
        <v>3</v>
      </c>
      <c r="D195" s="214" t="s">
        <v>10</v>
      </c>
      <c r="E195" s="214" t="s">
        <v>10</v>
      </c>
      <c r="F195" s="128">
        <v>226.80635005000002</v>
      </c>
      <c r="G195" s="128"/>
      <c r="H195" s="215">
        <f t="shared" si="51"/>
        <v>1</v>
      </c>
      <c r="I195" s="215">
        <f>G195/F195</f>
        <v>0</v>
      </c>
      <c r="J195" s="216">
        <v>17857.5</v>
      </c>
      <c r="K195" s="216">
        <f t="shared" si="50"/>
        <v>0.95</v>
      </c>
      <c r="L195" s="216">
        <f t="shared" si="49"/>
        <v>1</v>
      </c>
      <c r="M195" s="216">
        <f t="shared" si="52"/>
        <v>16964.625</v>
      </c>
      <c r="N195" s="216">
        <f>M195*F195</f>
        <v>3847684.6762169814</v>
      </c>
      <c r="O195" s="216"/>
      <c r="P195" s="216"/>
      <c r="Q195" s="216"/>
      <c r="R195" s="216"/>
      <c r="S195" s="216"/>
      <c r="T195" s="216"/>
      <c r="U195" s="216"/>
      <c r="V195" s="220">
        <v>612</v>
      </c>
      <c r="W195" s="111">
        <f>VLOOKUP(V195,'Estimativa Valores-Painéis Sol.'!$C$4:$D$24,2,FALSE)</f>
        <v>87000</v>
      </c>
      <c r="X195" s="111">
        <f t="shared" si="53"/>
        <v>3934684.6762169814</v>
      </c>
      <c r="Y195" s="219" t="s">
        <v>37</v>
      </c>
      <c r="Z195" s="218"/>
      <c r="AB195" s="207"/>
      <c r="AC195" s="207"/>
      <c r="AD195" s="208"/>
      <c r="AE195" s="208"/>
      <c r="AF195" s="208"/>
      <c r="AG195" s="208"/>
      <c r="AH195" s="208"/>
      <c r="AI195" s="115"/>
    </row>
    <row r="196" spans="1:35" s="205" customFormat="1" x14ac:dyDescent="0.25">
      <c r="A196" s="221">
        <v>264</v>
      </c>
      <c r="B196" s="130">
        <v>57.737666059999995</v>
      </c>
      <c r="C196" s="216">
        <v>2</v>
      </c>
      <c r="D196" s="214" t="s">
        <v>13</v>
      </c>
      <c r="E196" s="214" t="s">
        <v>10</v>
      </c>
      <c r="F196" s="128">
        <v>57.737666059999995</v>
      </c>
      <c r="G196" s="128"/>
      <c r="H196" s="215">
        <f t="shared" si="51"/>
        <v>1</v>
      </c>
      <c r="I196" s="215">
        <f>G196/F196</f>
        <v>0</v>
      </c>
      <c r="J196" s="216">
        <v>14943.51</v>
      </c>
      <c r="K196" s="216">
        <f t="shared" si="50"/>
        <v>0.95</v>
      </c>
      <c r="L196" s="216">
        <f t="shared" si="49"/>
        <v>1</v>
      </c>
      <c r="M196" s="216">
        <f t="shared" si="52"/>
        <v>14196.334499999999</v>
      </c>
      <c r="N196" s="216">
        <f>M196*F196</f>
        <v>819663.22063705698</v>
      </c>
      <c r="O196" s="216"/>
      <c r="P196" s="216"/>
      <c r="Q196" s="216"/>
      <c r="R196" s="216"/>
      <c r="S196" s="216"/>
      <c r="T196" s="216"/>
      <c r="U196" s="216"/>
      <c r="V196" s="220"/>
      <c r="W196" s="220"/>
      <c r="X196" s="111">
        <f t="shared" si="53"/>
        <v>819663.22063705698</v>
      </c>
      <c r="Y196" s="219" t="s">
        <v>13</v>
      </c>
      <c r="Z196" s="218"/>
      <c r="AB196" s="207"/>
      <c r="AC196" s="207"/>
      <c r="AD196" s="208"/>
      <c r="AE196" s="208"/>
      <c r="AF196" s="208"/>
      <c r="AG196" s="208"/>
      <c r="AH196" s="208"/>
      <c r="AI196" s="115"/>
    </row>
    <row r="197" spans="1:35" s="205" customFormat="1" x14ac:dyDescent="0.25">
      <c r="A197" s="221">
        <v>265</v>
      </c>
      <c r="B197" s="130">
        <v>30.465656040000002</v>
      </c>
      <c r="C197" s="111">
        <v>2</v>
      </c>
      <c r="D197" s="214" t="s">
        <v>10</v>
      </c>
      <c r="E197" s="214" t="s">
        <v>10</v>
      </c>
      <c r="F197" s="128">
        <v>27.953620390000001</v>
      </c>
      <c r="G197" s="128">
        <v>2.5120356500000001</v>
      </c>
      <c r="H197" s="215">
        <f t="shared" si="51"/>
        <v>0.91754532885483198</v>
      </c>
      <c r="I197" s="215">
        <f t="shared" ref="I197:I206" si="54">G197/B197</f>
        <v>8.2454671145167954E-2</v>
      </c>
      <c r="J197" s="111">
        <v>16561.13</v>
      </c>
      <c r="K197" s="216">
        <f t="shared" si="50"/>
        <v>0.95</v>
      </c>
      <c r="L197" s="216">
        <f t="shared" si="49"/>
        <v>1</v>
      </c>
      <c r="M197" s="111">
        <f t="shared" si="52"/>
        <v>15733.0735</v>
      </c>
      <c r="N197" s="111">
        <f>B197*M197</f>
        <v>479318.40570303897</v>
      </c>
      <c r="O197" s="111"/>
      <c r="P197" s="111"/>
      <c r="Q197" s="111"/>
      <c r="R197" s="111"/>
      <c r="S197" s="111"/>
      <c r="T197" s="111"/>
      <c r="U197" s="111"/>
      <c r="V197" s="111"/>
      <c r="W197" s="111"/>
      <c r="X197" s="111">
        <f t="shared" si="53"/>
        <v>479318.40570303897</v>
      </c>
      <c r="Y197" s="219" t="s">
        <v>29</v>
      </c>
      <c r="Z197" s="218"/>
      <c r="AB197" s="207"/>
      <c r="AC197" s="207"/>
      <c r="AD197" s="208"/>
      <c r="AE197" s="208"/>
      <c r="AF197" s="208"/>
      <c r="AG197" s="208"/>
      <c r="AH197" s="208"/>
      <c r="AI197" s="115"/>
    </row>
    <row r="198" spans="1:35" s="205" customFormat="1" x14ac:dyDescent="0.25">
      <c r="A198" s="221">
        <v>266</v>
      </c>
      <c r="B198" s="130">
        <v>36.009897629999998</v>
      </c>
      <c r="C198" s="111">
        <v>2</v>
      </c>
      <c r="D198" s="214" t="s">
        <v>13</v>
      </c>
      <c r="E198" s="214" t="s">
        <v>10</v>
      </c>
      <c r="F198" s="128">
        <v>22.865914409999995</v>
      </c>
      <c r="G198" s="128">
        <v>13.143983220000001</v>
      </c>
      <c r="H198" s="215">
        <f t="shared" si="51"/>
        <v>0.63498970880023564</v>
      </c>
      <c r="I198" s="215">
        <f t="shared" si="54"/>
        <v>0.3650102911997643</v>
      </c>
      <c r="J198" s="111">
        <v>16547.18</v>
      </c>
      <c r="K198" s="216">
        <f t="shared" si="50"/>
        <v>0.95</v>
      </c>
      <c r="L198" s="216">
        <f t="shared" si="49"/>
        <v>1</v>
      </c>
      <c r="M198" s="111">
        <f t="shared" si="52"/>
        <v>15719.821</v>
      </c>
      <c r="N198" s="111">
        <f>B198*M198</f>
        <v>566069.14497192414</v>
      </c>
      <c r="O198" s="111"/>
      <c r="P198" s="111"/>
      <c r="Q198" s="111"/>
      <c r="R198" s="111"/>
      <c r="S198" s="111"/>
      <c r="T198" s="111"/>
      <c r="U198" s="111"/>
      <c r="V198" s="111"/>
      <c r="W198" s="111"/>
      <c r="X198" s="111">
        <f t="shared" si="53"/>
        <v>566069.14497192414</v>
      </c>
      <c r="Y198" s="219" t="s">
        <v>34</v>
      </c>
      <c r="Z198" s="218"/>
      <c r="AB198" s="207"/>
      <c r="AC198" s="207"/>
      <c r="AD198" s="208"/>
      <c r="AE198" s="208"/>
      <c r="AF198" s="208"/>
      <c r="AG198" s="208"/>
      <c r="AH198" s="208"/>
      <c r="AI198" s="115"/>
    </row>
    <row r="199" spans="1:35" s="205" customFormat="1" x14ac:dyDescent="0.25">
      <c r="A199" s="221">
        <v>267</v>
      </c>
      <c r="B199" s="130">
        <v>75.001595429999995</v>
      </c>
      <c r="C199" s="111">
        <v>1</v>
      </c>
      <c r="D199" s="214" t="s">
        <v>13</v>
      </c>
      <c r="E199" s="214" t="s">
        <v>10</v>
      </c>
      <c r="F199" s="128">
        <v>16.472165159999996</v>
      </c>
      <c r="G199" s="128">
        <v>58.529430269999999</v>
      </c>
      <c r="H199" s="215">
        <f t="shared" si="51"/>
        <v>0.21962419686623455</v>
      </c>
      <c r="I199" s="215">
        <f t="shared" si="54"/>
        <v>0.78037580313376542</v>
      </c>
      <c r="J199" s="111">
        <v>8937.17</v>
      </c>
      <c r="K199" s="216">
        <f t="shared" si="50"/>
        <v>0.95</v>
      </c>
      <c r="L199" s="216">
        <f t="shared" si="49"/>
        <v>1</v>
      </c>
      <c r="M199" s="111">
        <f t="shared" si="52"/>
        <v>8490.3114999999998</v>
      </c>
      <c r="N199" s="111">
        <f>B199*M199</f>
        <v>636786.90819767641</v>
      </c>
      <c r="O199" s="111"/>
      <c r="P199" s="111"/>
      <c r="Q199" s="111"/>
      <c r="R199" s="111"/>
      <c r="S199" s="111"/>
      <c r="T199" s="111"/>
      <c r="U199" s="111"/>
      <c r="V199" s="111"/>
      <c r="W199" s="111"/>
      <c r="X199" s="111">
        <f t="shared" si="53"/>
        <v>636786.90819767641</v>
      </c>
      <c r="Y199" s="219"/>
      <c r="Z199" s="218"/>
      <c r="AB199" s="207"/>
      <c r="AC199" s="207"/>
      <c r="AD199" s="208"/>
      <c r="AE199" s="208"/>
      <c r="AF199" s="208"/>
      <c r="AG199" s="208"/>
      <c r="AH199" s="208"/>
      <c r="AI199" s="115"/>
    </row>
    <row r="200" spans="1:35" s="205" customFormat="1" x14ac:dyDescent="0.25">
      <c r="A200" s="221">
        <v>268</v>
      </c>
      <c r="B200" s="130">
        <v>74.611651960000003</v>
      </c>
      <c r="C200" s="111">
        <v>1</v>
      </c>
      <c r="D200" s="214" t="s">
        <v>13</v>
      </c>
      <c r="E200" s="214" t="s">
        <v>10</v>
      </c>
      <c r="F200" s="128">
        <v>22.055235999999997</v>
      </c>
      <c r="G200" s="128">
        <v>52.556415960000002</v>
      </c>
      <c r="H200" s="215">
        <f t="shared" si="51"/>
        <v>0.29560042460692348</v>
      </c>
      <c r="I200" s="215">
        <f t="shared" si="54"/>
        <v>0.7043995753930764</v>
      </c>
      <c r="J200" s="111">
        <v>8937.48</v>
      </c>
      <c r="K200" s="216">
        <f t="shared" si="50"/>
        <v>0.95</v>
      </c>
      <c r="L200" s="216">
        <f t="shared" si="49"/>
        <v>1</v>
      </c>
      <c r="M200" s="111">
        <f t="shared" si="52"/>
        <v>8490.6059999999998</v>
      </c>
      <c r="N200" s="111">
        <f>B200*M200</f>
        <v>633498.13980148779</v>
      </c>
      <c r="O200" s="111"/>
      <c r="P200" s="111"/>
      <c r="Q200" s="111"/>
      <c r="R200" s="111"/>
      <c r="S200" s="111"/>
      <c r="T200" s="111"/>
      <c r="U200" s="111"/>
      <c r="V200" s="111"/>
      <c r="W200" s="111"/>
      <c r="X200" s="111">
        <f t="shared" si="53"/>
        <v>633498.13980148779</v>
      </c>
      <c r="Y200" s="219"/>
      <c r="Z200" s="218"/>
      <c r="AB200" s="207"/>
      <c r="AC200" s="207"/>
      <c r="AD200" s="208"/>
      <c r="AE200" s="208"/>
      <c r="AF200" s="208"/>
      <c r="AG200" s="208"/>
      <c r="AH200" s="208"/>
      <c r="AI200" s="115"/>
    </row>
    <row r="201" spans="1:35" s="205" customFormat="1" x14ac:dyDescent="0.25">
      <c r="A201" s="221">
        <v>269</v>
      </c>
      <c r="B201" s="130">
        <v>62.012297010000005</v>
      </c>
      <c r="C201" s="216">
        <v>2</v>
      </c>
      <c r="D201" s="214" t="s">
        <v>10</v>
      </c>
      <c r="E201" s="214" t="s">
        <v>10</v>
      </c>
      <c r="F201" s="128">
        <v>15.472580750000006</v>
      </c>
      <c r="G201" s="128">
        <v>31.573605650000001</v>
      </c>
      <c r="H201" s="215">
        <f t="shared" si="51"/>
        <v>0.24950826684431512</v>
      </c>
      <c r="I201" s="215">
        <f t="shared" si="54"/>
        <v>0.50915071965336955</v>
      </c>
      <c r="J201" s="111">
        <v>14935.22</v>
      </c>
      <c r="K201" s="216">
        <f t="shared" si="50"/>
        <v>0.95</v>
      </c>
      <c r="L201" s="216">
        <f t="shared" si="49"/>
        <v>1</v>
      </c>
      <c r="M201" s="111">
        <f t="shared" si="52"/>
        <v>14188.458999999999</v>
      </c>
      <c r="N201" s="216">
        <f>M201*B201</f>
        <v>879858.93362220761</v>
      </c>
      <c r="O201" s="216"/>
      <c r="P201" s="216"/>
      <c r="Q201" s="111">
        <v>14.966110610000001</v>
      </c>
      <c r="R201" s="111">
        <f>'Cálculo Depre.-Sist. Irrig.'!$P$3*Q201</f>
        <v>115239.051697</v>
      </c>
      <c r="S201" s="214" t="s">
        <v>16</v>
      </c>
      <c r="T201" s="111">
        <f>Q201</f>
        <v>14.966110610000001</v>
      </c>
      <c r="U201" s="111">
        <f>'Cálculo Valor Avaliação-Cultura'!$B$79*T201</f>
        <v>215418.36379828319</v>
      </c>
      <c r="V201" s="220"/>
      <c r="W201" s="220"/>
      <c r="X201" s="111">
        <f t="shared" si="53"/>
        <v>1210516.3491174909</v>
      </c>
      <c r="Y201" s="219" t="s">
        <v>32</v>
      </c>
      <c r="Z201" s="218"/>
      <c r="AB201" s="207"/>
      <c r="AC201" s="207"/>
      <c r="AD201" s="208"/>
      <c r="AE201" s="208"/>
      <c r="AF201" s="208"/>
      <c r="AG201" s="208"/>
      <c r="AH201" s="208"/>
      <c r="AI201" s="115"/>
    </row>
    <row r="202" spans="1:35" s="205" customFormat="1" x14ac:dyDescent="0.25">
      <c r="A202" s="221">
        <v>270</v>
      </c>
      <c r="B202" s="130">
        <v>30.1857623</v>
      </c>
      <c r="C202" s="111">
        <v>1</v>
      </c>
      <c r="D202" s="214" t="s">
        <v>13</v>
      </c>
      <c r="E202" s="214" t="s">
        <v>10</v>
      </c>
      <c r="F202" s="128">
        <v>3.8768710999999993</v>
      </c>
      <c r="G202" s="128">
        <v>26.308891200000001</v>
      </c>
      <c r="H202" s="215">
        <f t="shared" si="51"/>
        <v>0.12843376494752293</v>
      </c>
      <c r="I202" s="215">
        <f t="shared" si="54"/>
        <v>0.8715662350524771</v>
      </c>
      <c r="J202" s="111">
        <v>8972.3700000000008</v>
      </c>
      <c r="K202" s="216">
        <f t="shared" si="50"/>
        <v>0.95</v>
      </c>
      <c r="L202" s="216">
        <f t="shared" si="49"/>
        <v>1</v>
      </c>
      <c r="M202" s="111">
        <f t="shared" si="52"/>
        <v>8523.7515000000003</v>
      </c>
      <c r="N202" s="111">
        <f>B202*M202</f>
        <v>257295.93668326846</v>
      </c>
      <c r="O202" s="111"/>
      <c r="P202" s="111"/>
      <c r="Q202" s="111"/>
      <c r="R202" s="111"/>
      <c r="S202" s="111"/>
      <c r="T202" s="111"/>
      <c r="U202" s="111"/>
      <c r="V202" s="111"/>
      <c r="W202" s="111"/>
      <c r="X202" s="111">
        <f t="shared" si="53"/>
        <v>257295.93668326846</v>
      </c>
      <c r="Y202" s="219"/>
      <c r="Z202" s="218"/>
      <c r="AB202" s="207"/>
      <c r="AC202" s="207"/>
      <c r="AD202" s="208"/>
      <c r="AE202" s="208"/>
      <c r="AF202" s="208"/>
      <c r="AG202" s="208"/>
      <c r="AH202" s="208"/>
      <c r="AI202" s="115"/>
    </row>
    <row r="203" spans="1:35" s="205" customFormat="1" x14ac:dyDescent="0.25">
      <c r="A203" s="221">
        <v>271</v>
      </c>
      <c r="B203" s="130">
        <v>29.881389429999999</v>
      </c>
      <c r="C203" s="111">
        <v>1</v>
      </c>
      <c r="D203" s="214" t="s">
        <v>10</v>
      </c>
      <c r="E203" s="214" t="s">
        <v>10</v>
      </c>
      <c r="F203" s="128">
        <v>26.732670580000001</v>
      </c>
      <c r="G203" s="128">
        <v>3.1487188499999998</v>
      </c>
      <c r="H203" s="215">
        <f t="shared" si="51"/>
        <v>0.89462608968113178</v>
      </c>
      <c r="I203" s="215">
        <f t="shared" si="54"/>
        <v>0.10537391031886832</v>
      </c>
      <c r="J203" s="111">
        <v>9824.67</v>
      </c>
      <c r="K203" s="216">
        <f t="shared" si="50"/>
        <v>0.95</v>
      </c>
      <c r="L203" s="216">
        <f t="shared" si="49"/>
        <v>1</v>
      </c>
      <c r="M203" s="111">
        <f t="shared" si="52"/>
        <v>9333.4364999999998</v>
      </c>
      <c r="N203" s="111">
        <f>B203*M203</f>
        <v>278896.05077667616</v>
      </c>
      <c r="O203" s="111"/>
      <c r="P203" s="111"/>
      <c r="Q203" s="111"/>
      <c r="R203" s="111"/>
      <c r="S203" s="111"/>
      <c r="T203" s="111"/>
      <c r="U203" s="111"/>
      <c r="V203" s="111"/>
      <c r="W203" s="111"/>
      <c r="X203" s="111">
        <f t="shared" si="53"/>
        <v>278896.05077667616</v>
      </c>
      <c r="Y203" s="219" t="s">
        <v>53</v>
      </c>
      <c r="Z203" s="218"/>
      <c r="AB203" s="207"/>
      <c r="AC203" s="207"/>
      <c r="AD203" s="208"/>
      <c r="AE203" s="208"/>
      <c r="AF203" s="208"/>
      <c r="AG203" s="208"/>
      <c r="AH203" s="208"/>
      <c r="AI203" s="115"/>
    </row>
    <row r="204" spans="1:35" s="205" customFormat="1" x14ac:dyDescent="0.25">
      <c r="A204" s="221">
        <v>272</v>
      </c>
      <c r="B204" s="130">
        <v>30.426551319999998</v>
      </c>
      <c r="C204" s="111">
        <v>1</v>
      </c>
      <c r="D204" s="214" t="s">
        <v>10</v>
      </c>
      <c r="E204" s="214" t="s">
        <v>10</v>
      </c>
      <c r="F204" s="128">
        <v>24.114605789999999</v>
      </c>
      <c r="G204" s="128">
        <v>6.31194553</v>
      </c>
      <c r="H204" s="215">
        <f t="shared" si="51"/>
        <v>0.79255139816483156</v>
      </c>
      <c r="I204" s="215">
        <f t="shared" si="54"/>
        <v>0.2074486018351685</v>
      </c>
      <c r="J204" s="111">
        <v>9824.2199999999993</v>
      </c>
      <c r="K204" s="216">
        <f t="shared" si="50"/>
        <v>0.95</v>
      </c>
      <c r="L204" s="216">
        <f t="shared" si="49"/>
        <v>1</v>
      </c>
      <c r="M204" s="111">
        <f t="shared" si="52"/>
        <v>9333.0089999999982</v>
      </c>
      <c r="N204" s="111">
        <f>B204*M204</f>
        <v>283971.27730852179</v>
      </c>
      <c r="O204" s="111"/>
      <c r="P204" s="111"/>
      <c r="Q204" s="111"/>
      <c r="R204" s="111"/>
      <c r="S204" s="111"/>
      <c r="T204" s="111"/>
      <c r="U204" s="111"/>
      <c r="V204" s="111"/>
      <c r="W204" s="111"/>
      <c r="X204" s="111">
        <f t="shared" si="53"/>
        <v>283971.27730852179</v>
      </c>
      <c r="Y204" s="219" t="s">
        <v>53</v>
      </c>
      <c r="Z204" s="218"/>
      <c r="AB204" s="207"/>
      <c r="AC204" s="207"/>
      <c r="AD204" s="208"/>
      <c r="AE204" s="208"/>
      <c r="AF204" s="208"/>
      <c r="AG204" s="208"/>
      <c r="AH204" s="208"/>
      <c r="AI204" s="115"/>
    </row>
    <row r="205" spans="1:35" s="205" customFormat="1" x14ac:dyDescent="0.25">
      <c r="A205" s="221">
        <v>273</v>
      </c>
      <c r="B205" s="130">
        <v>40.273282500000001</v>
      </c>
      <c r="C205" s="111">
        <v>2</v>
      </c>
      <c r="D205" s="214" t="s">
        <v>10</v>
      </c>
      <c r="E205" s="214" t="s">
        <v>10</v>
      </c>
      <c r="F205" s="128">
        <v>4.8083446799999994</v>
      </c>
      <c r="G205" s="128">
        <v>35.464937820000003</v>
      </c>
      <c r="H205" s="215">
        <f t="shared" si="51"/>
        <v>0.11939291712812332</v>
      </c>
      <c r="I205" s="215">
        <f t="shared" si="54"/>
        <v>0.88060708287187672</v>
      </c>
      <c r="J205" s="111">
        <v>14977.09</v>
      </c>
      <c r="K205" s="216">
        <f t="shared" si="50"/>
        <v>0.95</v>
      </c>
      <c r="L205" s="216">
        <f t="shared" si="49"/>
        <v>1</v>
      </c>
      <c r="M205" s="111">
        <f t="shared" si="52"/>
        <v>14228.235499999999</v>
      </c>
      <c r="N205" s="111">
        <f>B205*M205</f>
        <v>573017.74776802876</v>
      </c>
      <c r="O205" s="111"/>
      <c r="P205" s="111"/>
      <c r="Q205" s="111"/>
      <c r="R205" s="111"/>
      <c r="S205" s="111"/>
      <c r="T205" s="111"/>
      <c r="U205" s="111"/>
      <c r="V205" s="111"/>
      <c r="W205" s="111"/>
      <c r="X205" s="111">
        <f t="shared" si="53"/>
        <v>573017.74776802876</v>
      </c>
      <c r="Y205" s="219" t="s">
        <v>29</v>
      </c>
      <c r="Z205" s="218"/>
      <c r="AB205" s="207"/>
      <c r="AC205" s="207"/>
      <c r="AD205" s="208"/>
      <c r="AE205" s="208"/>
      <c r="AF205" s="208"/>
      <c r="AG205" s="208"/>
      <c r="AH205" s="208"/>
      <c r="AI205" s="115"/>
    </row>
    <row r="206" spans="1:35" s="205" customFormat="1" x14ac:dyDescent="0.25">
      <c r="A206" s="221">
        <v>274</v>
      </c>
      <c r="B206" s="130">
        <v>58.660338989999993</v>
      </c>
      <c r="C206" s="216">
        <v>1</v>
      </c>
      <c r="D206" s="214" t="s">
        <v>13</v>
      </c>
      <c r="E206" s="214" t="s">
        <v>10</v>
      </c>
      <c r="F206" s="128">
        <v>18.032155059999997</v>
      </c>
      <c r="G206" s="128">
        <v>29.017677620000001</v>
      </c>
      <c r="H206" s="215">
        <f t="shared" si="51"/>
        <v>0.30739943495849886</v>
      </c>
      <c r="I206" s="215">
        <f t="shared" si="54"/>
        <v>0.49467285937346411</v>
      </c>
      <c r="J206" s="111">
        <v>14941.58</v>
      </c>
      <c r="K206" s="216">
        <f t="shared" si="50"/>
        <v>0.95</v>
      </c>
      <c r="L206" s="216">
        <f t="shared" si="49"/>
        <v>1</v>
      </c>
      <c r="M206" s="111">
        <f t="shared" si="52"/>
        <v>14194.500999999998</v>
      </c>
      <c r="N206" s="216">
        <f>M206*B206</f>
        <v>832654.24045389378</v>
      </c>
      <c r="O206" s="216"/>
      <c r="P206" s="216"/>
      <c r="Q206" s="111">
        <v>11.61050631</v>
      </c>
      <c r="R206" s="111">
        <f>'Cálculo Depre.-Sist. Irrig.'!$P$3*Q206</f>
        <v>89400.898587000003</v>
      </c>
      <c r="S206" s="214" t="s">
        <v>16</v>
      </c>
      <c r="T206" s="111">
        <f>Q206</f>
        <v>11.61050631</v>
      </c>
      <c r="U206" s="111">
        <f>'Cálculo Valor Avaliação-Cultura'!$B$79*T206</f>
        <v>167118.65476249091</v>
      </c>
      <c r="V206" s="220"/>
      <c r="W206" s="220"/>
      <c r="X206" s="111">
        <f t="shared" si="53"/>
        <v>1089173.7938033848</v>
      </c>
      <c r="Y206" s="219" t="s">
        <v>13</v>
      </c>
      <c r="Z206" s="218"/>
      <c r="AB206" s="207"/>
      <c r="AC206" s="207"/>
      <c r="AD206" s="208"/>
      <c r="AE206" s="208"/>
      <c r="AF206" s="208"/>
      <c r="AG206" s="208"/>
      <c r="AH206" s="208"/>
      <c r="AI206" s="115"/>
    </row>
    <row r="207" spans="1:35" s="205" customFormat="1" x14ac:dyDescent="0.25">
      <c r="A207" s="221">
        <v>275</v>
      </c>
      <c r="B207" s="130">
        <v>1.9141777600000001</v>
      </c>
      <c r="C207" s="216">
        <v>2</v>
      </c>
      <c r="D207" s="214" t="s">
        <v>10</v>
      </c>
      <c r="E207" s="214" t="s">
        <v>10</v>
      </c>
      <c r="F207" s="128">
        <v>1.9141777600000001</v>
      </c>
      <c r="G207" s="128"/>
      <c r="H207" s="215">
        <f t="shared" si="51"/>
        <v>1</v>
      </c>
      <c r="I207" s="215">
        <f>G207/F207</f>
        <v>0</v>
      </c>
      <c r="J207" s="216">
        <v>18588.78</v>
      </c>
      <c r="K207" s="216">
        <f t="shared" si="50"/>
        <v>0.95</v>
      </c>
      <c r="L207" s="216">
        <f t="shared" si="49"/>
        <v>1</v>
      </c>
      <c r="M207" s="216">
        <f t="shared" si="52"/>
        <v>17659.340999999997</v>
      </c>
      <c r="N207" s="216">
        <f>M207*F207</f>
        <v>33803.117798456158</v>
      </c>
      <c r="O207" s="216"/>
      <c r="P207" s="216"/>
      <c r="Q207" s="216"/>
      <c r="R207" s="216"/>
      <c r="S207" s="216"/>
      <c r="T207" s="216"/>
      <c r="U207" s="216"/>
      <c r="V207" s="220"/>
      <c r="W207" s="220"/>
      <c r="X207" s="111">
        <f t="shared" si="53"/>
        <v>33803.117798456158</v>
      </c>
      <c r="Y207" s="219" t="s">
        <v>29</v>
      </c>
      <c r="Z207" s="218"/>
      <c r="AB207" s="207"/>
      <c r="AC207" s="207"/>
      <c r="AD207" s="208"/>
      <c r="AE207" s="208"/>
      <c r="AF207" s="208"/>
      <c r="AG207" s="208"/>
      <c r="AH207" s="208"/>
      <c r="AI207" s="115"/>
    </row>
    <row r="208" spans="1:35" s="205" customFormat="1" x14ac:dyDescent="0.25">
      <c r="A208" s="221">
        <v>276</v>
      </c>
      <c r="B208" s="130">
        <v>16.742218869999999</v>
      </c>
      <c r="C208" s="216">
        <v>2</v>
      </c>
      <c r="D208" s="214" t="s">
        <v>10</v>
      </c>
      <c r="E208" s="214" t="s">
        <v>10</v>
      </c>
      <c r="F208" s="128">
        <v>16.742218869999999</v>
      </c>
      <c r="G208" s="128"/>
      <c r="H208" s="215">
        <f t="shared" si="51"/>
        <v>1</v>
      </c>
      <c r="I208" s="215">
        <f>G208/F208</f>
        <v>0</v>
      </c>
      <c r="J208" s="216">
        <v>18538.009999999998</v>
      </c>
      <c r="K208" s="216">
        <f t="shared" si="50"/>
        <v>0.95</v>
      </c>
      <c r="L208" s="216">
        <f t="shared" si="49"/>
        <v>1</v>
      </c>
      <c r="M208" s="216">
        <f t="shared" si="52"/>
        <v>17611.109499999999</v>
      </c>
      <c r="N208" s="216">
        <f>M208*F208</f>
        <v>294849.04979253624</v>
      </c>
      <c r="O208" s="216"/>
      <c r="P208" s="216"/>
      <c r="Q208" s="216"/>
      <c r="R208" s="216"/>
      <c r="S208" s="216"/>
      <c r="T208" s="216"/>
      <c r="U208" s="216"/>
      <c r="V208" s="220"/>
      <c r="W208" s="220"/>
      <c r="X208" s="111">
        <f t="shared" si="53"/>
        <v>294849.04979253624</v>
      </c>
      <c r="Y208" s="219" t="s">
        <v>37</v>
      </c>
      <c r="Z208" s="218"/>
      <c r="AB208" s="207"/>
      <c r="AC208" s="207"/>
      <c r="AD208" s="208"/>
      <c r="AE208" s="208"/>
      <c r="AF208" s="208"/>
      <c r="AG208" s="208"/>
      <c r="AH208" s="208"/>
      <c r="AI208" s="115"/>
    </row>
    <row r="209" spans="1:35" s="205" customFormat="1" x14ac:dyDescent="0.25">
      <c r="A209" s="221">
        <v>277</v>
      </c>
      <c r="B209" s="130">
        <v>35.176340250000003</v>
      </c>
      <c r="C209" s="111">
        <v>2</v>
      </c>
      <c r="D209" s="214" t="s">
        <v>10</v>
      </c>
      <c r="E209" s="214" t="s">
        <v>10</v>
      </c>
      <c r="F209" s="128">
        <v>29.589147850000003</v>
      </c>
      <c r="G209" s="128">
        <v>5.5871924000000002</v>
      </c>
      <c r="H209" s="215">
        <f t="shared" si="51"/>
        <v>0.8411661827156679</v>
      </c>
      <c r="I209" s="215">
        <f t="shared" ref="I209:I217" si="55">G209/B209</f>
        <v>0.15883381728433218</v>
      </c>
      <c r="J209" s="111">
        <v>16549.21</v>
      </c>
      <c r="K209" s="216">
        <f t="shared" si="50"/>
        <v>0.95</v>
      </c>
      <c r="L209" s="216">
        <f t="shared" si="49"/>
        <v>1</v>
      </c>
      <c r="M209" s="111">
        <f t="shared" si="52"/>
        <v>15721.749499999998</v>
      </c>
      <c r="N209" s="111">
        <f>B209*M209</f>
        <v>553033.60973726737</v>
      </c>
      <c r="O209" s="111"/>
      <c r="P209" s="111"/>
      <c r="Q209" s="111"/>
      <c r="R209" s="111"/>
      <c r="S209" s="111"/>
      <c r="T209" s="111"/>
      <c r="U209" s="111"/>
      <c r="V209" s="111"/>
      <c r="W209" s="111"/>
      <c r="X209" s="111">
        <f t="shared" si="53"/>
        <v>553033.60973726737</v>
      </c>
      <c r="Y209" s="219" t="s">
        <v>37</v>
      </c>
      <c r="Z209" s="218"/>
      <c r="AB209" s="207"/>
      <c r="AC209" s="207"/>
      <c r="AD209" s="208"/>
      <c r="AE209" s="208"/>
      <c r="AF209" s="208"/>
      <c r="AG209" s="208"/>
      <c r="AH209" s="208"/>
      <c r="AI209" s="115"/>
    </row>
    <row r="210" spans="1:35" s="205" customFormat="1" x14ac:dyDescent="0.25">
      <c r="A210" s="221">
        <v>278</v>
      </c>
      <c r="B210" s="130">
        <v>30.38540982</v>
      </c>
      <c r="C210" s="111">
        <v>2</v>
      </c>
      <c r="D210" s="214" t="s">
        <v>13</v>
      </c>
      <c r="E210" s="214" t="s">
        <v>10</v>
      </c>
      <c r="F210" s="128">
        <v>15.410230480000001</v>
      </c>
      <c r="G210" s="128">
        <v>14.975179339999999</v>
      </c>
      <c r="H210" s="215">
        <f t="shared" si="51"/>
        <v>0.50715888221645189</v>
      </c>
      <c r="I210" s="215">
        <f t="shared" si="55"/>
        <v>0.49284111778354811</v>
      </c>
      <c r="J210" s="111">
        <v>14996.22</v>
      </c>
      <c r="K210" s="216">
        <f t="shared" si="50"/>
        <v>0.95</v>
      </c>
      <c r="L210" s="216">
        <f t="shared" ref="L210:L241" si="56">$B$321</f>
        <v>1</v>
      </c>
      <c r="M210" s="111">
        <f t="shared" si="52"/>
        <v>14246.408999999998</v>
      </c>
      <c r="N210" s="111">
        <f>B210*M210</f>
        <v>432882.97592833632</v>
      </c>
      <c r="O210" s="111"/>
      <c r="P210" s="111"/>
      <c r="Q210" s="111"/>
      <c r="R210" s="111"/>
      <c r="S210" s="111"/>
      <c r="T210" s="111"/>
      <c r="U210" s="111"/>
      <c r="V210" s="111"/>
      <c r="W210" s="111"/>
      <c r="X210" s="111">
        <f t="shared" si="53"/>
        <v>432882.97592833632</v>
      </c>
      <c r="Y210" s="219" t="s">
        <v>31</v>
      </c>
      <c r="Z210" s="218"/>
      <c r="AB210" s="207"/>
      <c r="AC210" s="207"/>
      <c r="AD210" s="208"/>
      <c r="AE210" s="208"/>
      <c r="AF210" s="208"/>
      <c r="AG210" s="208"/>
      <c r="AH210" s="208"/>
      <c r="AI210" s="115"/>
    </row>
    <row r="211" spans="1:35" s="205" customFormat="1" x14ac:dyDescent="0.25">
      <c r="A211" s="221">
        <v>279</v>
      </c>
      <c r="B211" s="130">
        <v>59.160645869999996</v>
      </c>
      <c r="C211" s="216">
        <v>2</v>
      </c>
      <c r="D211" s="214" t="s">
        <v>10</v>
      </c>
      <c r="E211" s="214" t="s">
        <v>10</v>
      </c>
      <c r="F211" s="128">
        <v>42.865678039999999</v>
      </c>
      <c r="G211" s="128">
        <v>5.5445031499999997</v>
      </c>
      <c r="H211" s="215">
        <f t="shared" si="51"/>
        <v>0.72456406466882273</v>
      </c>
      <c r="I211" s="215">
        <f t="shared" si="55"/>
        <v>9.371944928024499E-2</v>
      </c>
      <c r="J211" s="111">
        <v>16488.57</v>
      </c>
      <c r="K211" s="216">
        <f t="shared" si="50"/>
        <v>0.95</v>
      </c>
      <c r="L211" s="216">
        <f t="shared" si="56"/>
        <v>1</v>
      </c>
      <c r="M211" s="111">
        <f t="shared" si="52"/>
        <v>15664.1415</v>
      </c>
      <c r="N211" s="216">
        <f>M211*B211</f>
        <v>926700.72813907056</v>
      </c>
      <c r="O211" s="216"/>
      <c r="P211" s="216"/>
      <c r="Q211" s="111">
        <v>10.75046468</v>
      </c>
      <c r="R211" s="111">
        <f>'Cálculo Depre.-Sist. Irrig.'!$P$3*Q211</f>
        <v>82778.578036000006</v>
      </c>
      <c r="S211" s="214" t="s">
        <v>21</v>
      </c>
      <c r="T211" s="111">
        <f>Q211</f>
        <v>10.75046468</v>
      </c>
      <c r="U211" s="111">
        <f>'Cálculo Valor Avaliação-Cultura'!$H$79*T211</f>
        <v>135842.87886345646</v>
      </c>
      <c r="V211" s="220"/>
      <c r="W211" s="220"/>
      <c r="X211" s="111">
        <f t="shared" si="53"/>
        <v>1145322.185038527</v>
      </c>
      <c r="Y211" s="219" t="s">
        <v>37</v>
      </c>
      <c r="Z211" s="218"/>
      <c r="AB211" s="207"/>
      <c r="AC211" s="207"/>
      <c r="AD211" s="208"/>
      <c r="AE211" s="208"/>
      <c r="AF211" s="208"/>
      <c r="AG211" s="208"/>
      <c r="AH211" s="208"/>
      <c r="AI211" s="115"/>
    </row>
    <row r="212" spans="1:35" s="205" customFormat="1" x14ac:dyDescent="0.25">
      <c r="A212" s="221">
        <v>280</v>
      </c>
      <c r="B212" s="130">
        <v>100.20029996</v>
      </c>
      <c r="C212" s="111">
        <v>1</v>
      </c>
      <c r="D212" s="214" t="s">
        <v>13</v>
      </c>
      <c r="E212" s="214" t="s">
        <v>10</v>
      </c>
      <c r="F212" s="128">
        <v>41.772462679999997</v>
      </c>
      <c r="G212" s="128">
        <v>58.427837279999999</v>
      </c>
      <c r="H212" s="215">
        <f t="shared" si="51"/>
        <v>0.416889597103757</v>
      </c>
      <c r="I212" s="215">
        <f t="shared" si="55"/>
        <v>0.58311040289624305</v>
      </c>
      <c r="J212" s="111">
        <v>8917.42</v>
      </c>
      <c r="K212" s="216">
        <f t="shared" si="50"/>
        <v>0.95</v>
      </c>
      <c r="L212" s="216">
        <f t="shared" si="56"/>
        <v>1</v>
      </c>
      <c r="M212" s="111">
        <f t="shared" si="52"/>
        <v>8471.5489999999991</v>
      </c>
      <c r="N212" s="111">
        <f>B212*M212</f>
        <v>848851.7509258379</v>
      </c>
      <c r="O212" s="111"/>
      <c r="P212" s="111"/>
      <c r="Q212" s="111"/>
      <c r="R212" s="111"/>
      <c r="S212" s="111"/>
      <c r="T212" s="111"/>
      <c r="U212" s="111"/>
      <c r="V212" s="111"/>
      <c r="W212" s="111"/>
      <c r="X212" s="111">
        <f t="shared" si="53"/>
        <v>848851.7509258379</v>
      </c>
      <c r="Y212" s="219"/>
      <c r="Z212" s="218"/>
      <c r="AB212" s="207"/>
      <c r="AC212" s="207"/>
      <c r="AD212" s="208"/>
      <c r="AE212" s="208"/>
      <c r="AF212" s="208"/>
      <c r="AG212" s="208"/>
      <c r="AH212" s="208"/>
      <c r="AI212" s="115"/>
    </row>
    <row r="213" spans="1:35" s="205" customFormat="1" x14ac:dyDescent="0.25">
      <c r="A213" s="221">
        <v>281</v>
      </c>
      <c r="B213" s="130">
        <v>344.10115501000001</v>
      </c>
      <c r="C213" s="216">
        <v>2</v>
      </c>
      <c r="D213" s="214" t="s">
        <v>10</v>
      </c>
      <c r="E213" s="214" t="s">
        <v>10</v>
      </c>
      <c r="F213" s="128">
        <v>70.191311740000003</v>
      </c>
      <c r="G213" s="128">
        <v>239.2407843</v>
      </c>
      <c r="H213" s="215">
        <f t="shared" si="51"/>
        <v>0.20398452814830034</v>
      </c>
      <c r="I213" s="215">
        <f t="shared" si="55"/>
        <v>0.69526295049212306</v>
      </c>
      <c r="J213" s="111">
        <v>14397.71</v>
      </c>
      <c r="K213" s="216">
        <f t="shared" si="50"/>
        <v>0.95</v>
      </c>
      <c r="L213" s="216">
        <f t="shared" si="56"/>
        <v>1</v>
      </c>
      <c r="M213" s="111">
        <f t="shared" si="52"/>
        <v>13677.824499999999</v>
      </c>
      <c r="N213" s="216">
        <f>M213*B213</f>
        <v>4706555.2084740754</v>
      </c>
      <c r="O213" s="216"/>
      <c r="P213" s="216"/>
      <c r="Q213" s="111">
        <v>34.669058970000002</v>
      </c>
      <c r="R213" s="111">
        <f>'Cálculo Depre.-Sist. Irrig.'!$P$3*Q213</f>
        <v>266951.75406900002</v>
      </c>
      <c r="S213" s="214" t="s">
        <v>16</v>
      </c>
      <c r="T213" s="111">
        <f>Q213</f>
        <v>34.669058970000002</v>
      </c>
      <c r="U213" s="111">
        <f>'Cálculo Valor Avaliação-Cultura'!$B$79*T213</f>
        <v>499017.55722381314</v>
      </c>
      <c r="V213" s="220"/>
      <c r="W213" s="220"/>
      <c r="X213" s="111">
        <f t="shared" si="53"/>
        <v>5472524.5197668895</v>
      </c>
      <c r="Y213" s="219" t="s">
        <v>54</v>
      </c>
      <c r="Z213" s="218"/>
      <c r="AB213" s="207"/>
      <c r="AC213" s="207"/>
      <c r="AD213" s="208"/>
      <c r="AE213" s="208"/>
      <c r="AF213" s="208"/>
      <c r="AG213" s="208"/>
      <c r="AH213" s="208"/>
      <c r="AI213" s="115"/>
    </row>
    <row r="214" spans="1:35" s="205" customFormat="1" x14ac:dyDescent="0.25">
      <c r="A214" s="221">
        <v>282</v>
      </c>
      <c r="B214" s="130">
        <v>24.65410709</v>
      </c>
      <c r="C214" s="216">
        <v>2</v>
      </c>
      <c r="D214" s="214" t="s">
        <v>10</v>
      </c>
      <c r="E214" s="214" t="s">
        <v>10</v>
      </c>
      <c r="F214" s="128">
        <v>2.4799419900000013</v>
      </c>
      <c r="G214" s="128"/>
      <c r="H214" s="215">
        <f t="shared" si="51"/>
        <v>0.10058940609558296</v>
      </c>
      <c r="I214" s="215">
        <f t="shared" si="55"/>
        <v>0</v>
      </c>
      <c r="J214" s="111">
        <v>14581.3</v>
      </c>
      <c r="K214" s="216">
        <f t="shared" si="50"/>
        <v>0.95</v>
      </c>
      <c r="L214" s="216">
        <f t="shared" si="56"/>
        <v>1</v>
      </c>
      <c r="M214" s="111">
        <f t="shared" si="52"/>
        <v>13852.234999999999</v>
      </c>
      <c r="N214" s="216">
        <f>M214*B214</f>
        <v>341514.48512584611</v>
      </c>
      <c r="O214" s="216"/>
      <c r="P214" s="216"/>
      <c r="Q214" s="111">
        <v>22.1741651</v>
      </c>
      <c r="R214" s="111">
        <f>'Cálculo Depre.-Sist. Irrig.'!$P$3*Q214</f>
        <v>170741.07126999999</v>
      </c>
      <c r="S214" s="214" t="s">
        <v>16</v>
      </c>
      <c r="T214" s="111">
        <f>Q214</f>
        <v>22.1741651</v>
      </c>
      <c r="U214" s="111">
        <f>'Cálculo Valor Avaliação-Cultura'!$B$79*T214</f>
        <v>319169.25438485679</v>
      </c>
      <c r="V214" s="220"/>
      <c r="W214" s="220"/>
      <c r="X214" s="111">
        <f t="shared" si="53"/>
        <v>831424.81078070286</v>
      </c>
      <c r="Y214" s="219" t="s">
        <v>29</v>
      </c>
      <c r="Z214" s="218"/>
      <c r="AB214" s="207"/>
      <c r="AC214" s="207"/>
      <c r="AD214" s="208"/>
      <c r="AE214" s="208"/>
      <c r="AF214" s="208"/>
      <c r="AG214" s="208"/>
      <c r="AH214" s="208"/>
      <c r="AI214" s="115"/>
    </row>
    <row r="215" spans="1:35" s="205" customFormat="1" x14ac:dyDescent="0.25">
      <c r="A215" s="221">
        <v>283</v>
      </c>
      <c r="B215" s="130">
        <v>51.104756250000001</v>
      </c>
      <c r="C215" s="216">
        <v>2</v>
      </c>
      <c r="D215" s="214" t="s">
        <v>10</v>
      </c>
      <c r="E215" s="214" t="s">
        <v>10</v>
      </c>
      <c r="F215" s="128"/>
      <c r="G215" s="128"/>
      <c r="H215" s="215">
        <f t="shared" si="51"/>
        <v>0</v>
      </c>
      <c r="I215" s="215">
        <f t="shared" si="55"/>
        <v>0</v>
      </c>
      <c r="J215" s="111">
        <v>14956.24</v>
      </c>
      <c r="K215" s="216">
        <f t="shared" ref="K215:K246" si="57">$B$318</f>
        <v>0.95</v>
      </c>
      <c r="L215" s="216">
        <f t="shared" si="56"/>
        <v>1</v>
      </c>
      <c r="M215" s="111">
        <f t="shared" si="52"/>
        <v>14208.428</v>
      </c>
      <c r="N215" s="216">
        <f>M215*B215</f>
        <v>726118.24963567499</v>
      </c>
      <c r="O215" s="216"/>
      <c r="P215" s="216"/>
      <c r="Q215" s="111">
        <v>51.104756250000001</v>
      </c>
      <c r="R215" s="111">
        <f>'Cálculo Depre.-Sist. Irrig.'!$P$3*Q215</f>
        <v>393506.62312499998</v>
      </c>
      <c r="S215" s="214" t="s">
        <v>16</v>
      </c>
      <c r="T215" s="111">
        <f>Q215</f>
        <v>51.104756250000001</v>
      </c>
      <c r="U215" s="111">
        <f>'Cálculo Valor Avaliação-Cultura'!$B$79*T215</f>
        <v>735588.77523791639</v>
      </c>
      <c r="V215" s="220"/>
      <c r="W215" s="220"/>
      <c r="X215" s="111">
        <f t="shared" si="53"/>
        <v>1855213.6479985914</v>
      </c>
      <c r="Y215" s="219" t="s">
        <v>54</v>
      </c>
      <c r="Z215" s="218"/>
      <c r="AB215" s="207"/>
      <c r="AC215" s="207"/>
      <c r="AD215" s="208"/>
      <c r="AE215" s="208"/>
      <c r="AF215" s="208"/>
      <c r="AG215" s="208"/>
      <c r="AH215" s="208"/>
      <c r="AI215" s="115"/>
    </row>
    <row r="216" spans="1:35" s="205" customFormat="1" x14ac:dyDescent="0.25">
      <c r="A216" s="221">
        <v>284</v>
      </c>
      <c r="B216" s="130">
        <v>179.52792991999999</v>
      </c>
      <c r="C216" s="111">
        <v>2</v>
      </c>
      <c r="D216" s="214" t="s">
        <v>13</v>
      </c>
      <c r="E216" s="214" t="s">
        <v>10</v>
      </c>
      <c r="F216" s="128">
        <v>129.24415649999997</v>
      </c>
      <c r="G216" s="128">
        <v>50.283773420000003</v>
      </c>
      <c r="H216" s="215">
        <f t="shared" si="51"/>
        <v>0.71991113893862013</v>
      </c>
      <c r="I216" s="215">
        <f t="shared" si="55"/>
        <v>0.28008886106137976</v>
      </c>
      <c r="J216" s="111">
        <v>14709.81</v>
      </c>
      <c r="K216" s="216">
        <f t="shared" si="57"/>
        <v>0.95</v>
      </c>
      <c r="L216" s="216">
        <f t="shared" si="56"/>
        <v>1</v>
      </c>
      <c r="M216" s="111">
        <f t="shared" si="52"/>
        <v>13974.3195</v>
      </c>
      <c r="N216" s="111">
        <f>B216*M216</f>
        <v>2508780.6518756892</v>
      </c>
      <c r="O216" s="111"/>
      <c r="P216" s="111"/>
      <c r="Q216" s="111"/>
      <c r="R216" s="111"/>
      <c r="S216" s="111"/>
      <c r="T216" s="111"/>
      <c r="U216" s="111"/>
      <c r="V216" s="111"/>
      <c r="W216" s="111"/>
      <c r="X216" s="111">
        <f t="shared" si="53"/>
        <v>2508780.6518756892</v>
      </c>
      <c r="Y216" s="219" t="s">
        <v>34</v>
      </c>
      <c r="Z216" s="218"/>
      <c r="AB216" s="207"/>
      <c r="AC216" s="207"/>
      <c r="AD216" s="208"/>
      <c r="AE216" s="208"/>
      <c r="AF216" s="208"/>
      <c r="AG216" s="208"/>
      <c r="AH216" s="208"/>
      <c r="AI216" s="115"/>
    </row>
    <row r="217" spans="1:35" s="205" customFormat="1" x14ac:dyDescent="0.25">
      <c r="A217" s="221">
        <v>285</v>
      </c>
      <c r="B217" s="130">
        <v>92.552612479999993</v>
      </c>
      <c r="C217" s="111">
        <v>1</v>
      </c>
      <c r="D217" s="214" t="s">
        <v>13</v>
      </c>
      <c r="E217" s="214" t="s">
        <v>10</v>
      </c>
      <c r="F217" s="128">
        <v>46.457185689999996</v>
      </c>
      <c r="G217" s="128">
        <v>46.095426789999998</v>
      </c>
      <c r="H217" s="215">
        <f t="shared" si="51"/>
        <v>0.50195434191594634</v>
      </c>
      <c r="I217" s="215">
        <f t="shared" si="55"/>
        <v>0.49804565808405371</v>
      </c>
      <c r="J217" s="111">
        <v>8923.3700000000008</v>
      </c>
      <c r="K217" s="216">
        <f t="shared" si="57"/>
        <v>0.95</v>
      </c>
      <c r="L217" s="216">
        <f t="shared" si="56"/>
        <v>1</v>
      </c>
      <c r="M217" s="111">
        <f t="shared" si="52"/>
        <v>8477.201500000001</v>
      </c>
      <c r="N217" s="111">
        <f>B217*M217</f>
        <v>784587.14534437482</v>
      </c>
      <c r="O217" s="111"/>
      <c r="P217" s="111"/>
      <c r="Q217" s="111"/>
      <c r="R217" s="111"/>
      <c r="S217" s="111"/>
      <c r="T217" s="111"/>
      <c r="U217" s="111"/>
      <c r="V217" s="111"/>
      <c r="W217" s="111"/>
      <c r="X217" s="111">
        <f t="shared" si="53"/>
        <v>784587.14534437482</v>
      </c>
      <c r="Y217" s="219"/>
      <c r="Z217" s="218"/>
      <c r="AB217" s="207"/>
      <c r="AC217" s="207"/>
      <c r="AD217" s="208"/>
      <c r="AE217" s="208"/>
      <c r="AF217" s="208"/>
      <c r="AG217" s="208"/>
      <c r="AH217" s="208"/>
      <c r="AI217" s="115"/>
    </row>
    <row r="218" spans="1:35" s="205" customFormat="1" x14ac:dyDescent="0.25">
      <c r="A218" s="221">
        <v>286</v>
      </c>
      <c r="B218" s="130">
        <v>72.99652051999999</v>
      </c>
      <c r="C218" s="216">
        <v>2</v>
      </c>
      <c r="D218" s="214" t="s">
        <v>13</v>
      </c>
      <c r="E218" s="214" t="s">
        <v>10</v>
      </c>
      <c r="F218" s="128">
        <v>72.99652051999999</v>
      </c>
      <c r="G218" s="128"/>
      <c r="H218" s="215">
        <f t="shared" si="51"/>
        <v>1</v>
      </c>
      <c r="I218" s="215">
        <f>G218/F218</f>
        <v>0</v>
      </c>
      <c r="J218" s="216">
        <v>14914.03</v>
      </c>
      <c r="K218" s="216">
        <f t="shared" si="57"/>
        <v>0.95</v>
      </c>
      <c r="L218" s="216">
        <f t="shared" si="56"/>
        <v>1</v>
      </c>
      <c r="M218" s="216">
        <f t="shared" si="52"/>
        <v>14168.3285</v>
      </c>
      <c r="N218" s="216">
        <f>M218*F218</f>
        <v>1034238.6820843506</v>
      </c>
      <c r="O218" s="216"/>
      <c r="P218" s="216"/>
      <c r="Q218" s="216"/>
      <c r="R218" s="216"/>
      <c r="S218" s="216"/>
      <c r="T218" s="216"/>
      <c r="U218" s="216"/>
      <c r="V218" s="220"/>
      <c r="W218" s="220"/>
      <c r="X218" s="111">
        <f t="shared" si="53"/>
        <v>1034238.6820843506</v>
      </c>
      <c r="Y218" s="219" t="s">
        <v>13</v>
      </c>
      <c r="Z218" s="218"/>
      <c r="AB218" s="207"/>
      <c r="AC218" s="207"/>
      <c r="AD218" s="208"/>
      <c r="AE218" s="208"/>
      <c r="AF218" s="208"/>
      <c r="AG218" s="208"/>
      <c r="AH218" s="208"/>
      <c r="AI218" s="115"/>
    </row>
    <row r="219" spans="1:35" s="205" customFormat="1" x14ac:dyDescent="0.25">
      <c r="A219" s="221">
        <v>287</v>
      </c>
      <c r="B219" s="130">
        <v>34.196073869999999</v>
      </c>
      <c r="C219" s="111">
        <v>2</v>
      </c>
      <c r="D219" s="214" t="s">
        <v>10</v>
      </c>
      <c r="E219" s="214" t="s">
        <v>10</v>
      </c>
      <c r="F219" s="128">
        <v>18.096264019999996</v>
      </c>
      <c r="G219" s="128">
        <v>16.09980985</v>
      </c>
      <c r="H219" s="215">
        <f t="shared" si="51"/>
        <v>0.52919127759504969</v>
      </c>
      <c r="I219" s="215">
        <f>G219/B219</f>
        <v>0.4708087224049502</v>
      </c>
      <c r="J219" s="111">
        <v>14988.87</v>
      </c>
      <c r="K219" s="216">
        <f t="shared" si="57"/>
        <v>0.95</v>
      </c>
      <c r="L219" s="216">
        <f t="shared" si="56"/>
        <v>1</v>
      </c>
      <c r="M219" s="111">
        <f t="shared" si="52"/>
        <v>14239.4265</v>
      </c>
      <c r="N219" s="111">
        <f>B219*M219</f>
        <v>486932.48046043556</v>
      </c>
      <c r="O219" s="111"/>
      <c r="P219" s="111"/>
      <c r="Q219" s="111"/>
      <c r="R219" s="111"/>
      <c r="S219" s="111"/>
      <c r="T219" s="111"/>
      <c r="U219" s="111"/>
      <c r="V219" s="111"/>
      <c r="W219" s="111"/>
      <c r="X219" s="111">
        <f t="shared" si="53"/>
        <v>486932.48046043556</v>
      </c>
      <c r="Y219" s="219" t="s">
        <v>32</v>
      </c>
      <c r="Z219" s="218"/>
      <c r="AB219" s="207"/>
      <c r="AC219" s="207"/>
      <c r="AD219" s="208"/>
      <c r="AE219" s="208"/>
      <c r="AF219" s="208"/>
      <c r="AG219" s="208"/>
      <c r="AH219" s="208"/>
      <c r="AI219" s="115"/>
    </row>
    <row r="220" spans="1:35" s="205" customFormat="1" x14ac:dyDescent="0.25">
      <c r="A220" s="221">
        <v>288</v>
      </c>
      <c r="B220" s="130">
        <v>30.478180450000004</v>
      </c>
      <c r="C220" s="216">
        <v>1</v>
      </c>
      <c r="D220" s="214" t="s">
        <v>13</v>
      </c>
      <c r="E220" s="214" t="s">
        <v>10</v>
      </c>
      <c r="F220" s="128">
        <v>30.478180450000004</v>
      </c>
      <c r="G220" s="128"/>
      <c r="H220" s="215">
        <f t="shared" si="51"/>
        <v>1</v>
      </c>
      <c r="I220" s="215">
        <f>G220/F220</f>
        <v>0</v>
      </c>
      <c r="J220" s="216">
        <v>14996.02</v>
      </c>
      <c r="K220" s="216">
        <f t="shared" si="57"/>
        <v>0.95</v>
      </c>
      <c r="L220" s="216">
        <f t="shared" si="56"/>
        <v>1</v>
      </c>
      <c r="M220" s="216">
        <f t="shared" si="52"/>
        <v>14246.218999999999</v>
      </c>
      <c r="N220" s="216">
        <f>M220*F220</f>
        <v>434198.83341221855</v>
      </c>
      <c r="O220" s="216"/>
      <c r="P220" s="216"/>
      <c r="Q220" s="216"/>
      <c r="R220" s="216"/>
      <c r="S220" s="216"/>
      <c r="T220" s="216"/>
      <c r="U220" s="216"/>
      <c r="V220" s="220"/>
      <c r="W220" s="220"/>
      <c r="X220" s="111">
        <f t="shared" si="53"/>
        <v>434198.83341221855</v>
      </c>
      <c r="Y220" s="219" t="s">
        <v>13</v>
      </c>
      <c r="Z220" s="218"/>
      <c r="AB220" s="207"/>
      <c r="AC220" s="207"/>
      <c r="AD220" s="208"/>
      <c r="AE220" s="208"/>
      <c r="AF220" s="208"/>
      <c r="AG220" s="208"/>
      <c r="AH220" s="208"/>
      <c r="AI220" s="115"/>
    </row>
    <row r="221" spans="1:35" s="205" customFormat="1" x14ac:dyDescent="0.25">
      <c r="A221" s="221">
        <v>289</v>
      </c>
      <c r="B221" s="130">
        <v>28.535233439999999</v>
      </c>
      <c r="C221" s="111">
        <v>2</v>
      </c>
      <c r="D221" s="214" t="s">
        <v>10</v>
      </c>
      <c r="E221" s="214" t="s">
        <v>10</v>
      </c>
      <c r="F221" s="128">
        <v>20.480556459999999</v>
      </c>
      <c r="G221" s="128">
        <v>8.05467698</v>
      </c>
      <c r="H221" s="215">
        <f t="shared" si="51"/>
        <v>0.71772871608230304</v>
      </c>
      <c r="I221" s="215">
        <f>G221/B221</f>
        <v>0.28227128391769696</v>
      </c>
      <c r="J221" s="111">
        <v>16566.22</v>
      </c>
      <c r="K221" s="216">
        <f t="shared" si="57"/>
        <v>0.95</v>
      </c>
      <c r="L221" s="216">
        <f t="shared" si="56"/>
        <v>1</v>
      </c>
      <c r="M221" s="111">
        <f t="shared" si="52"/>
        <v>15737.909</v>
      </c>
      <c r="N221" s="111">
        <f>B221*M221</f>
        <v>449084.90717247693</v>
      </c>
      <c r="O221" s="111"/>
      <c r="P221" s="111"/>
      <c r="Q221" s="111"/>
      <c r="R221" s="111"/>
      <c r="S221" s="111"/>
      <c r="T221" s="111"/>
      <c r="U221" s="111"/>
      <c r="V221" s="111"/>
      <c r="W221" s="111"/>
      <c r="X221" s="111">
        <f t="shared" si="53"/>
        <v>449084.90717247693</v>
      </c>
      <c r="Y221" s="219" t="s">
        <v>32</v>
      </c>
      <c r="Z221" s="218"/>
      <c r="AB221" s="207"/>
      <c r="AC221" s="207"/>
      <c r="AD221" s="208"/>
      <c r="AE221" s="208"/>
      <c r="AF221" s="208"/>
      <c r="AG221" s="208"/>
      <c r="AH221" s="208"/>
      <c r="AI221" s="115"/>
    </row>
    <row r="222" spans="1:35" s="205" customFormat="1" x14ac:dyDescent="0.25">
      <c r="A222" s="221">
        <v>290</v>
      </c>
      <c r="B222" s="130">
        <v>88.864176229999998</v>
      </c>
      <c r="C222" s="111">
        <v>1</v>
      </c>
      <c r="D222" s="214" t="s">
        <v>13</v>
      </c>
      <c r="E222" s="214" t="s">
        <v>10</v>
      </c>
      <c r="F222" s="128">
        <v>77.641343129999996</v>
      </c>
      <c r="G222" s="128">
        <v>11.222833100000001</v>
      </c>
      <c r="H222" s="215">
        <f t="shared" si="51"/>
        <v>0.8737080162544596</v>
      </c>
      <c r="I222" s="215">
        <f>G222/B222</f>
        <v>0.12629198374554043</v>
      </c>
      <c r="J222" s="111">
        <v>9772.2199999999993</v>
      </c>
      <c r="K222" s="216">
        <f t="shared" si="57"/>
        <v>0.95</v>
      </c>
      <c r="L222" s="216">
        <f t="shared" si="56"/>
        <v>1</v>
      </c>
      <c r="M222" s="111">
        <f t="shared" si="52"/>
        <v>9283.6089999999986</v>
      </c>
      <c r="N222" s="111">
        <f>B222*M222</f>
        <v>824980.26622641389</v>
      </c>
      <c r="O222" s="111"/>
      <c r="P222" s="111"/>
      <c r="Q222" s="111"/>
      <c r="R222" s="111"/>
      <c r="S222" s="111"/>
      <c r="T222" s="111"/>
      <c r="U222" s="111"/>
      <c r="V222" s="111"/>
      <c r="W222" s="111"/>
      <c r="X222" s="111">
        <f t="shared" si="53"/>
        <v>824980.26622641389</v>
      </c>
      <c r="Y222" s="219" t="s">
        <v>38</v>
      </c>
      <c r="Z222" s="218"/>
      <c r="AB222" s="207"/>
      <c r="AC222" s="207"/>
      <c r="AD222" s="208"/>
      <c r="AE222" s="208"/>
      <c r="AF222" s="208"/>
      <c r="AG222" s="208"/>
      <c r="AH222" s="208"/>
      <c r="AI222" s="115"/>
    </row>
    <row r="223" spans="1:35" s="205" customFormat="1" x14ac:dyDescent="0.25">
      <c r="A223" s="221">
        <v>291</v>
      </c>
      <c r="B223" s="130">
        <v>119.94597761999999</v>
      </c>
      <c r="C223" s="111">
        <v>2</v>
      </c>
      <c r="D223" s="214" t="s">
        <v>10</v>
      </c>
      <c r="E223" s="214" t="s">
        <v>10</v>
      </c>
      <c r="F223" s="128">
        <v>94.620937069999997</v>
      </c>
      <c r="G223" s="128">
        <v>25.325040550000001</v>
      </c>
      <c r="H223" s="215">
        <f t="shared" si="51"/>
        <v>0.78886294436456983</v>
      </c>
      <c r="I223" s="215">
        <f>G223/B223</f>
        <v>0.21113705563543017</v>
      </c>
      <c r="J223" s="111">
        <v>16337.17</v>
      </c>
      <c r="K223" s="216">
        <f t="shared" si="57"/>
        <v>0.95</v>
      </c>
      <c r="L223" s="216">
        <f t="shared" si="56"/>
        <v>1</v>
      </c>
      <c r="M223" s="111">
        <f t="shared" si="52"/>
        <v>15520.3115</v>
      </c>
      <c r="N223" s="111">
        <f>B223*M223</f>
        <v>1861598.9358344285</v>
      </c>
      <c r="O223" s="111"/>
      <c r="P223" s="111"/>
      <c r="Q223" s="111"/>
      <c r="R223" s="111"/>
      <c r="S223" s="111"/>
      <c r="T223" s="111"/>
      <c r="U223" s="111"/>
      <c r="V223" s="111"/>
      <c r="W223" s="111"/>
      <c r="X223" s="111">
        <f t="shared" si="53"/>
        <v>1861598.9358344285</v>
      </c>
      <c r="Y223" s="219" t="s">
        <v>32</v>
      </c>
      <c r="Z223" s="218"/>
      <c r="AB223" s="207"/>
      <c r="AC223" s="207"/>
      <c r="AD223" s="208"/>
      <c r="AE223" s="208"/>
      <c r="AF223" s="208"/>
      <c r="AG223" s="208"/>
      <c r="AH223" s="208"/>
      <c r="AI223" s="115"/>
    </row>
    <row r="224" spans="1:35" s="205" customFormat="1" x14ac:dyDescent="0.25">
      <c r="A224" s="221">
        <v>292</v>
      </c>
      <c r="B224" s="130">
        <v>66.762884660000012</v>
      </c>
      <c r="C224" s="111">
        <v>1</v>
      </c>
      <c r="D224" s="214" t="s">
        <v>13</v>
      </c>
      <c r="E224" s="214" t="s">
        <v>10</v>
      </c>
      <c r="F224" s="128">
        <v>65.730064460000008</v>
      </c>
      <c r="G224" s="128">
        <v>1.0328202</v>
      </c>
      <c r="H224" s="215">
        <f t="shared" si="51"/>
        <v>0.98453002435020898</v>
      </c>
      <c r="I224" s="215">
        <f>G224/B224</f>
        <v>1.5469975649790921E-2</v>
      </c>
      <c r="J224" s="111">
        <v>9791.7999999999993</v>
      </c>
      <c r="K224" s="216">
        <f t="shared" si="57"/>
        <v>0.95</v>
      </c>
      <c r="L224" s="216">
        <f t="shared" si="56"/>
        <v>1</v>
      </c>
      <c r="M224" s="111">
        <f t="shared" si="52"/>
        <v>9302.2099999999991</v>
      </c>
      <c r="N224" s="111">
        <f>B224*M224</f>
        <v>621042.37331309868</v>
      </c>
      <c r="O224" s="111"/>
      <c r="P224" s="111"/>
      <c r="Q224" s="111"/>
      <c r="R224" s="111"/>
      <c r="S224" s="111"/>
      <c r="T224" s="111"/>
      <c r="U224" s="111"/>
      <c r="V224" s="111"/>
      <c r="W224" s="111"/>
      <c r="X224" s="111">
        <f t="shared" si="53"/>
        <v>621042.37331309868</v>
      </c>
      <c r="Y224" s="219"/>
      <c r="Z224" s="218"/>
      <c r="AB224" s="207"/>
      <c r="AC224" s="207"/>
      <c r="AD224" s="208"/>
      <c r="AE224" s="208"/>
      <c r="AF224" s="208"/>
      <c r="AG224" s="208"/>
      <c r="AH224" s="208"/>
      <c r="AI224" s="115"/>
    </row>
    <row r="225" spans="1:35" s="205" customFormat="1" x14ac:dyDescent="0.25">
      <c r="A225" s="221">
        <v>293</v>
      </c>
      <c r="B225" s="130">
        <v>48.935391729999999</v>
      </c>
      <c r="C225" s="216">
        <v>2</v>
      </c>
      <c r="D225" s="214" t="s">
        <v>10</v>
      </c>
      <c r="E225" s="214" t="s">
        <v>10</v>
      </c>
      <c r="F225" s="128">
        <v>48.935391729999999</v>
      </c>
      <c r="G225" s="128"/>
      <c r="H225" s="215">
        <f t="shared" si="51"/>
        <v>1</v>
      </c>
      <c r="I225" s="215">
        <f>G225/F225</f>
        <v>0</v>
      </c>
      <c r="J225" s="216">
        <v>18428.88</v>
      </c>
      <c r="K225" s="216">
        <f t="shared" si="57"/>
        <v>0.95</v>
      </c>
      <c r="L225" s="216">
        <f t="shared" si="56"/>
        <v>1</v>
      </c>
      <c r="M225" s="216">
        <f t="shared" si="52"/>
        <v>17507.436000000002</v>
      </c>
      <c r="N225" s="216">
        <f>M225*F225</f>
        <v>856733.23884790437</v>
      </c>
      <c r="O225" s="216"/>
      <c r="P225" s="216"/>
      <c r="Q225" s="216"/>
      <c r="R225" s="216"/>
      <c r="S225" s="216"/>
      <c r="T225" s="216"/>
      <c r="U225" s="216"/>
      <c r="V225" s="220"/>
      <c r="W225" s="220"/>
      <c r="X225" s="111">
        <f t="shared" si="53"/>
        <v>856733.23884790437</v>
      </c>
      <c r="Y225" s="219" t="s">
        <v>29</v>
      </c>
      <c r="Z225" s="218"/>
      <c r="AB225" s="207"/>
      <c r="AC225" s="207"/>
      <c r="AD225" s="208"/>
      <c r="AE225" s="208"/>
      <c r="AF225" s="208"/>
      <c r="AG225" s="208"/>
      <c r="AH225" s="208"/>
      <c r="AI225" s="115"/>
    </row>
    <row r="226" spans="1:35" s="205" customFormat="1" x14ac:dyDescent="0.25">
      <c r="A226" s="221">
        <v>294</v>
      </c>
      <c r="B226" s="130">
        <v>59.044868319999999</v>
      </c>
      <c r="C226" s="111">
        <v>1</v>
      </c>
      <c r="D226" s="214" t="s">
        <v>13</v>
      </c>
      <c r="E226" s="214" t="s">
        <v>10</v>
      </c>
      <c r="F226" s="128">
        <v>20.202105240000002</v>
      </c>
      <c r="G226" s="128">
        <v>38.842763079999997</v>
      </c>
      <c r="H226" s="215">
        <f t="shared" si="51"/>
        <v>0.34214836640015056</v>
      </c>
      <c r="I226" s="215">
        <f>G226/B226</f>
        <v>0.65785163359984944</v>
      </c>
      <c r="J226" s="111">
        <v>8949.73</v>
      </c>
      <c r="K226" s="216">
        <f t="shared" si="57"/>
        <v>0.95</v>
      </c>
      <c r="L226" s="216">
        <f t="shared" si="56"/>
        <v>1</v>
      </c>
      <c r="M226" s="111">
        <f t="shared" si="52"/>
        <v>8502.2434999999987</v>
      </c>
      <c r="N226" s="111">
        <f>B226*M226</f>
        <v>502013.84788207582</v>
      </c>
      <c r="O226" s="111"/>
      <c r="P226" s="111"/>
      <c r="Q226" s="111"/>
      <c r="R226" s="111"/>
      <c r="S226" s="111"/>
      <c r="T226" s="111"/>
      <c r="U226" s="111"/>
      <c r="V226" s="111"/>
      <c r="W226" s="111"/>
      <c r="X226" s="111">
        <f t="shared" si="53"/>
        <v>502013.84788207582</v>
      </c>
      <c r="Y226" s="219"/>
      <c r="Z226" s="218"/>
      <c r="AB226" s="207"/>
      <c r="AC226" s="207"/>
      <c r="AD226" s="208"/>
      <c r="AE226" s="208"/>
      <c r="AF226" s="208"/>
      <c r="AG226" s="208"/>
      <c r="AH226" s="208"/>
      <c r="AI226" s="115"/>
    </row>
    <row r="227" spans="1:35" s="205" customFormat="1" x14ac:dyDescent="0.25">
      <c r="A227" s="221">
        <v>295</v>
      </c>
      <c r="B227" s="130">
        <v>31.337013240000001</v>
      </c>
      <c r="C227" s="216">
        <v>2</v>
      </c>
      <c r="D227" s="214" t="s">
        <v>10</v>
      </c>
      <c r="E227" s="214" t="s">
        <v>10</v>
      </c>
      <c r="F227" s="128">
        <v>31.337013240000001</v>
      </c>
      <c r="G227" s="128"/>
      <c r="H227" s="215">
        <f t="shared" si="51"/>
        <v>1</v>
      </c>
      <c r="I227" s="215">
        <f>G227/F227</f>
        <v>0</v>
      </c>
      <c r="J227" s="216">
        <v>18488.3</v>
      </c>
      <c r="K227" s="216">
        <f t="shared" si="57"/>
        <v>0.95</v>
      </c>
      <c r="L227" s="216">
        <f t="shared" si="56"/>
        <v>1</v>
      </c>
      <c r="M227" s="216">
        <f t="shared" si="52"/>
        <v>17563.884999999998</v>
      </c>
      <c r="N227" s="216">
        <f>M227*F227</f>
        <v>550399.69679083733</v>
      </c>
      <c r="O227" s="216"/>
      <c r="P227" s="216"/>
      <c r="Q227" s="216"/>
      <c r="R227" s="216"/>
      <c r="S227" s="216"/>
      <c r="T227" s="216"/>
      <c r="U227" s="216"/>
      <c r="V227" s="220"/>
      <c r="W227" s="220"/>
      <c r="X227" s="111">
        <f t="shared" si="53"/>
        <v>550399.69679083733</v>
      </c>
      <c r="Y227" s="219" t="s">
        <v>29</v>
      </c>
      <c r="Z227" s="218"/>
      <c r="AB227" s="207"/>
      <c r="AC227" s="207"/>
      <c r="AD227" s="208"/>
      <c r="AE227" s="208"/>
      <c r="AF227" s="208"/>
      <c r="AG227" s="208"/>
      <c r="AH227" s="208"/>
      <c r="AI227" s="115"/>
    </row>
    <row r="228" spans="1:35" s="205" customFormat="1" x14ac:dyDescent="0.25">
      <c r="A228" s="221">
        <v>296</v>
      </c>
      <c r="B228" s="130">
        <v>32.679107680000001</v>
      </c>
      <c r="C228" s="111">
        <v>1</v>
      </c>
      <c r="D228" s="214" t="s">
        <v>13</v>
      </c>
      <c r="E228" s="214" t="s">
        <v>10</v>
      </c>
      <c r="F228" s="128">
        <v>13.625242130000002</v>
      </c>
      <c r="G228" s="128">
        <v>19.053865549999998</v>
      </c>
      <c r="H228" s="215">
        <f t="shared" si="51"/>
        <v>0.41694045821021025</v>
      </c>
      <c r="I228" s="215">
        <f>G228/B228</f>
        <v>0.58305954178978969</v>
      </c>
      <c r="J228" s="111">
        <v>8970.4</v>
      </c>
      <c r="K228" s="216">
        <f t="shared" si="57"/>
        <v>0.95</v>
      </c>
      <c r="L228" s="216">
        <f t="shared" si="56"/>
        <v>1</v>
      </c>
      <c r="M228" s="111">
        <f t="shared" si="52"/>
        <v>8521.8799999999992</v>
      </c>
      <c r="N228" s="111">
        <f>B228*M228</f>
        <v>278487.43415603839</v>
      </c>
      <c r="O228" s="111"/>
      <c r="P228" s="111"/>
      <c r="Q228" s="111"/>
      <c r="R228" s="111"/>
      <c r="S228" s="111"/>
      <c r="T228" s="111"/>
      <c r="U228" s="111"/>
      <c r="V228" s="111"/>
      <c r="W228" s="111"/>
      <c r="X228" s="111">
        <f t="shared" si="53"/>
        <v>278487.43415603839</v>
      </c>
      <c r="Y228" s="219"/>
      <c r="Z228" s="218"/>
      <c r="AB228" s="207"/>
      <c r="AC228" s="207"/>
      <c r="AD228" s="208"/>
      <c r="AE228" s="208"/>
      <c r="AF228" s="208"/>
      <c r="AG228" s="208"/>
      <c r="AH228" s="208"/>
      <c r="AI228" s="115"/>
    </row>
    <row r="229" spans="1:35" s="205" customFormat="1" x14ac:dyDescent="0.25">
      <c r="A229" s="221">
        <v>297</v>
      </c>
      <c r="B229" s="130">
        <v>58.69044495</v>
      </c>
      <c r="C229" s="111">
        <v>2</v>
      </c>
      <c r="D229" s="214" t="s">
        <v>10</v>
      </c>
      <c r="E229" s="214" t="s">
        <v>10</v>
      </c>
      <c r="F229" s="128">
        <v>55.838136800000001</v>
      </c>
      <c r="G229" s="128">
        <v>2.8523081499999998</v>
      </c>
      <c r="H229" s="215">
        <f t="shared" si="51"/>
        <v>0.95140080889776935</v>
      </c>
      <c r="I229" s="215">
        <f>G229/B229</f>
        <v>4.8599191102230682E-2</v>
      </c>
      <c r="J229" s="111">
        <v>16489.830000000002</v>
      </c>
      <c r="K229" s="216">
        <f t="shared" si="57"/>
        <v>0.95</v>
      </c>
      <c r="L229" s="216">
        <f t="shared" si="56"/>
        <v>1</v>
      </c>
      <c r="M229" s="111">
        <f t="shared" si="52"/>
        <v>15665.338500000002</v>
      </c>
      <c r="N229" s="111">
        <f>B229*M229</f>
        <v>919405.68685736565</v>
      </c>
      <c r="O229" s="111"/>
      <c r="P229" s="111"/>
      <c r="Q229" s="111"/>
      <c r="R229" s="111"/>
      <c r="S229" s="111"/>
      <c r="T229" s="111"/>
      <c r="U229" s="111"/>
      <c r="V229" s="111"/>
      <c r="W229" s="111"/>
      <c r="X229" s="111">
        <f t="shared" si="53"/>
        <v>919405.68685736565</v>
      </c>
      <c r="Y229" s="219" t="s">
        <v>55</v>
      </c>
      <c r="Z229" s="218"/>
      <c r="AB229" s="207"/>
      <c r="AC229" s="207"/>
      <c r="AD229" s="208"/>
      <c r="AE229" s="208"/>
      <c r="AF229" s="208"/>
      <c r="AG229" s="208"/>
      <c r="AH229" s="208"/>
      <c r="AI229" s="115"/>
    </row>
    <row r="230" spans="1:35" s="205" customFormat="1" x14ac:dyDescent="0.25">
      <c r="A230" s="221">
        <v>298</v>
      </c>
      <c r="B230" s="130">
        <v>37.181442249999996</v>
      </c>
      <c r="C230" s="216">
        <v>2</v>
      </c>
      <c r="D230" s="214" t="s">
        <v>13</v>
      </c>
      <c r="E230" s="214" t="s">
        <v>10</v>
      </c>
      <c r="F230" s="128">
        <v>37.181442249999996</v>
      </c>
      <c r="G230" s="128"/>
      <c r="H230" s="215">
        <f t="shared" si="51"/>
        <v>1</v>
      </c>
      <c r="I230" s="215">
        <f>G230/F230</f>
        <v>0</v>
      </c>
      <c r="J230" s="216">
        <v>16544.14</v>
      </c>
      <c r="K230" s="216">
        <f t="shared" si="57"/>
        <v>0.95</v>
      </c>
      <c r="L230" s="216">
        <f t="shared" si="56"/>
        <v>1</v>
      </c>
      <c r="M230" s="216">
        <f t="shared" si="52"/>
        <v>15716.932999999999</v>
      </c>
      <c r="N230" s="216">
        <f>M230*F230</f>
        <v>584378.23668661912</v>
      </c>
      <c r="O230" s="216"/>
      <c r="P230" s="216"/>
      <c r="Q230" s="216"/>
      <c r="R230" s="216"/>
      <c r="S230" s="216"/>
      <c r="T230" s="216"/>
      <c r="U230" s="216"/>
      <c r="V230" s="220"/>
      <c r="W230" s="220"/>
      <c r="X230" s="111">
        <f t="shared" si="53"/>
        <v>584378.23668661912</v>
      </c>
      <c r="Y230" s="219" t="s">
        <v>56</v>
      </c>
      <c r="Z230" s="218"/>
      <c r="AB230" s="207"/>
      <c r="AC230" s="207"/>
      <c r="AD230" s="208"/>
      <c r="AE230" s="208"/>
      <c r="AF230" s="208"/>
      <c r="AG230" s="208"/>
      <c r="AH230" s="208"/>
      <c r="AI230" s="115"/>
    </row>
    <row r="231" spans="1:35" s="205" customFormat="1" x14ac:dyDescent="0.25">
      <c r="A231" s="221">
        <v>299</v>
      </c>
      <c r="B231" s="130">
        <v>58.711681610000007</v>
      </c>
      <c r="C231" s="216">
        <v>2</v>
      </c>
      <c r="D231" s="214" t="s">
        <v>10</v>
      </c>
      <c r="E231" s="214" t="s">
        <v>10</v>
      </c>
      <c r="F231" s="128">
        <v>58.711681610000007</v>
      </c>
      <c r="G231" s="128"/>
      <c r="H231" s="215">
        <f t="shared" si="51"/>
        <v>1</v>
      </c>
      <c r="I231" s="215">
        <f>G231/F231</f>
        <v>0</v>
      </c>
      <c r="J231" s="216">
        <v>18396.02</v>
      </c>
      <c r="K231" s="216">
        <f t="shared" si="57"/>
        <v>0.95</v>
      </c>
      <c r="L231" s="216">
        <f t="shared" si="56"/>
        <v>1</v>
      </c>
      <c r="M231" s="216">
        <f t="shared" si="52"/>
        <v>17476.219000000001</v>
      </c>
      <c r="N231" s="216">
        <f>M231*F231</f>
        <v>1026058.2056746328</v>
      </c>
      <c r="O231" s="216"/>
      <c r="P231" s="216"/>
      <c r="Q231" s="216"/>
      <c r="R231" s="216"/>
      <c r="S231" s="216"/>
      <c r="T231" s="216"/>
      <c r="U231" s="216"/>
      <c r="V231" s="220"/>
      <c r="W231" s="220"/>
      <c r="X231" s="111">
        <f t="shared" si="53"/>
        <v>1026058.2056746328</v>
      </c>
      <c r="Y231" s="219" t="s">
        <v>29</v>
      </c>
      <c r="Z231" s="218"/>
      <c r="AB231" s="207"/>
      <c r="AC231" s="207"/>
      <c r="AD231" s="208"/>
      <c r="AE231" s="208"/>
      <c r="AF231" s="208"/>
      <c r="AG231" s="208"/>
      <c r="AH231" s="208"/>
      <c r="AI231" s="115"/>
    </row>
    <row r="232" spans="1:35" s="205" customFormat="1" x14ac:dyDescent="0.25">
      <c r="A232" s="221">
        <v>300</v>
      </c>
      <c r="B232" s="130">
        <v>145.52538618999998</v>
      </c>
      <c r="C232" s="111">
        <v>2</v>
      </c>
      <c r="D232" s="214" t="s">
        <v>10</v>
      </c>
      <c r="E232" s="214" t="s">
        <v>10</v>
      </c>
      <c r="F232" s="128">
        <v>127.14030521999997</v>
      </c>
      <c r="G232" s="128">
        <v>18.385080970000001</v>
      </c>
      <c r="H232" s="215">
        <f t="shared" si="51"/>
        <v>0.87366409771284725</v>
      </c>
      <c r="I232" s="215">
        <f t="shared" ref="I232:I239" si="58">G232/B232</f>
        <v>0.12633590228715272</v>
      </c>
      <c r="J232" s="111">
        <v>16274.15</v>
      </c>
      <c r="K232" s="216">
        <f t="shared" si="57"/>
        <v>0.95</v>
      </c>
      <c r="L232" s="216">
        <f t="shared" si="56"/>
        <v>1</v>
      </c>
      <c r="M232" s="111">
        <f t="shared" si="52"/>
        <v>15460.442499999999</v>
      </c>
      <c r="N232" s="111">
        <f t="shared" ref="N232:N239" si="59">B232*M232</f>
        <v>2249886.8654807885</v>
      </c>
      <c r="O232" s="111"/>
      <c r="P232" s="111"/>
      <c r="Q232" s="111"/>
      <c r="R232" s="111"/>
      <c r="S232" s="111"/>
      <c r="T232" s="111"/>
      <c r="U232" s="111"/>
      <c r="V232" s="111"/>
      <c r="W232" s="111"/>
      <c r="X232" s="111">
        <f t="shared" si="53"/>
        <v>2249886.8654807885</v>
      </c>
      <c r="Y232" s="219" t="s">
        <v>49</v>
      </c>
      <c r="Z232" s="218"/>
      <c r="AB232" s="207"/>
      <c r="AC232" s="207"/>
      <c r="AD232" s="208"/>
      <c r="AE232" s="208"/>
      <c r="AF232" s="208"/>
      <c r="AG232" s="208"/>
      <c r="AH232" s="208"/>
      <c r="AI232" s="115"/>
    </row>
    <row r="233" spans="1:35" s="205" customFormat="1" x14ac:dyDescent="0.25">
      <c r="A233" s="221">
        <v>301</v>
      </c>
      <c r="B233" s="130">
        <v>55.410158920000008</v>
      </c>
      <c r="C233" s="111">
        <v>2</v>
      </c>
      <c r="D233" s="214" t="s">
        <v>10</v>
      </c>
      <c r="E233" s="214" t="s">
        <v>10</v>
      </c>
      <c r="F233" s="128">
        <v>27.299328830000015</v>
      </c>
      <c r="G233" s="128">
        <v>28.110830089999997</v>
      </c>
      <c r="H233" s="215">
        <f t="shared" si="51"/>
        <v>0.49267732419634813</v>
      </c>
      <c r="I233" s="215">
        <f t="shared" si="58"/>
        <v>0.50732267580365198</v>
      </c>
      <c r="J233" s="111">
        <v>14947.95</v>
      </c>
      <c r="K233" s="216">
        <f t="shared" si="57"/>
        <v>0.95</v>
      </c>
      <c r="L233" s="216">
        <f t="shared" si="56"/>
        <v>1</v>
      </c>
      <c r="M233" s="111">
        <f t="shared" si="52"/>
        <v>14200.5525</v>
      </c>
      <c r="N233" s="111">
        <f t="shared" si="59"/>
        <v>786854.87077680335</v>
      </c>
      <c r="O233" s="111"/>
      <c r="P233" s="111"/>
      <c r="Q233" s="111"/>
      <c r="R233" s="111"/>
      <c r="S233" s="111"/>
      <c r="T233" s="111"/>
      <c r="U233" s="111"/>
      <c r="V233" s="111">
        <v>35</v>
      </c>
      <c r="W233" s="111">
        <f>VLOOKUP(V233,'Estimativa Valores-Painéis Sol.'!$C$4:$D$24,2,FALSE)</f>
        <v>9000</v>
      </c>
      <c r="X233" s="111">
        <f t="shared" si="53"/>
        <v>795854.87077680335</v>
      </c>
      <c r="Y233" s="219" t="s">
        <v>95</v>
      </c>
      <c r="Z233" s="218"/>
      <c r="AB233" s="207"/>
      <c r="AC233" s="207"/>
      <c r="AD233" s="208"/>
      <c r="AE233" s="208"/>
      <c r="AF233" s="208"/>
      <c r="AG233" s="208"/>
      <c r="AH233" s="208"/>
      <c r="AI233" s="115"/>
    </row>
    <row r="234" spans="1:35" s="205" customFormat="1" x14ac:dyDescent="0.25">
      <c r="A234" s="221">
        <v>302</v>
      </c>
      <c r="B234" s="130">
        <v>29.347543920000003</v>
      </c>
      <c r="C234" s="111">
        <v>2</v>
      </c>
      <c r="D234" s="214" t="s">
        <v>10</v>
      </c>
      <c r="E234" s="214" t="s">
        <v>10</v>
      </c>
      <c r="F234" s="128">
        <v>17.045896130000003</v>
      </c>
      <c r="G234" s="128">
        <v>12.301647790000001</v>
      </c>
      <c r="H234" s="215">
        <f t="shared" si="51"/>
        <v>0.58082871181541795</v>
      </c>
      <c r="I234" s="215">
        <f t="shared" si="58"/>
        <v>0.41917128818458205</v>
      </c>
      <c r="J234" s="111">
        <v>14998.34</v>
      </c>
      <c r="K234" s="216">
        <f t="shared" si="57"/>
        <v>0.95</v>
      </c>
      <c r="L234" s="216">
        <f t="shared" si="56"/>
        <v>1</v>
      </c>
      <c r="M234" s="111">
        <f t="shared" si="52"/>
        <v>14248.422999999999</v>
      </c>
      <c r="N234" s="111">
        <f t="shared" si="59"/>
        <v>418156.21978323819</v>
      </c>
      <c r="O234" s="111"/>
      <c r="P234" s="111"/>
      <c r="Q234" s="111"/>
      <c r="R234" s="111"/>
      <c r="S234" s="111"/>
      <c r="T234" s="111"/>
      <c r="U234" s="111"/>
      <c r="V234" s="111"/>
      <c r="W234" s="111"/>
      <c r="X234" s="111">
        <f t="shared" si="53"/>
        <v>418156.21978323819</v>
      </c>
      <c r="Y234" s="219" t="s">
        <v>37</v>
      </c>
      <c r="Z234" s="218"/>
      <c r="AB234" s="207"/>
      <c r="AC234" s="207"/>
      <c r="AD234" s="208"/>
      <c r="AE234" s="208"/>
      <c r="AF234" s="208"/>
      <c r="AG234" s="208"/>
      <c r="AH234" s="208"/>
      <c r="AI234" s="115"/>
    </row>
    <row r="235" spans="1:35" s="205" customFormat="1" x14ac:dyDescent="0.25">
      <c r="A235" s="221">
        <v>303</v>
      </c>
      <c r="B235" s="130">
        <v>29.86728557</v>
      </c>
      <c r="C235" s="111">
        <v>2</v>
      </c>
      <c r="D235" s="214" t="s">
        <v>10</v>
      </c>
      <c r="E235" s="214" t="s">
        <v>10</v>
      </c>
      <c r="F235" s="128">
        <v>23.33749006</v>
      </c>
      <c r="G235" s="128">
        <v>6.5297955099999996</v>
      </c>
      <c r="H235" s="215">
        <f t="shared" si="51"/>
        <v>0.78137298434114111</v>
      </c>
      <c r="I235" s="215">
        <f t="shared" si="58"/>
        <v>0.21862701565885886</v>
      </c>
      <c r="J235" s="111">
        <v>16562.66</v>
      </c>
      <c r="K235" s="216">
        <f t="shared" si="57"/>
        <v>0.95</v>
      </c>
      <c r="L235" s="216">
        <f t="shared" si="56"/>
        <v>1</v>
      </c>
      <c r="M235" s="111">
        <f t="shared" si="52"/>
        <v>15734.526999999998</v>
      </c>
      <c r="N235" s="111">
        <f t="shared" si="59"/>
        <v>469947.61121787532</v>
      </c>
      <c r="O235" s="111"/>
      <c r="P235" s="111"/>
      <c r="Q235" s="111"/>
      <c r="R235" s="111"/>
      <c r="S235" s="111"/>
      <c r="T235" s="111"/>
      <c r="U235" s="111"/>
      <c r="V235" s="111"/>
      <c r="W235" s="111"/>
      <c r="X235" s="111">
        <f t="shared" si="53"/>
        <v>469947.61121787532</v>
      </c>
      <c r="Y235" s="219" t="s">
        <v>32</v>
      </c>
      <c r="Z235" s="218"/>
      <c r="AB235" s="207"/>
      <c r="AC235" s="207"/>
      <c r="AD235" s="208"/>
      <c r="AE235" s="208"/>
      <c r="AF235" s="208"/>
      <c r="AG235" s="208"/>
      <c r="AH235" s="208"/>
      <c r="AI235" s="115"/>
    </row>
    <row r="236" spans="1:35" s="205" customFormat="1" x14ac:dyDescent="0.25">
      <c r="A236" s="221">
        <v>304</v>
      </c>
      <c r="B236" s="130">
        <v>61.803715800000006</v>
      </c>
      <c r="C236" s="111">
        <v>2</v>
      </c>
      <c r="D236" s="214" t="s">
        <v>10</v>
      </c>
      <c r="E236" s="214" t="s">
        <v>10</v>
      </c>
      <c r="F236" s="128">
        <v>33.478269780000012</v>
      </c>
      <c r="G236" s="128">
        <v>28.325446019999998</v>
      </c>
      <c r="H236" s="215">
        <f t="shared" si="51"/>
        <v>0.54168700613952425</v>
      </c>
      <c r="I236" s="215">
        <f t="shared" si="58"/>
        <v>0.45831299386047586</v>
      </c>
      <c r="J236" s="111">
        <v>14935.61</v>
      </c>
      <c r="K236" s="216">
        <f t="shared" si="57"/>
        <v>0.95</v>
      </c>
      <c r="L236" s="216">
        <f t="shared" si="56"/>
        <v>1</v>
      </c>
      <c r="M236" s="111">
        <f t="shared" si="52"/>
        <v>14188.8295</v>
      </c>
      <c r="N236" s="111">
        <f t="shared" si="59"/>
        <v>876922.38595265616</v>
      </c>
      <c r="O236" s="111"/>
      <c r="P236" s="111"/>
      <c r="Q236" s="111"/>
      <c r="R236" s="111"/>
      <c r="S236" s="111"/>
      <c r="T236" s="111"/>
      <c r="U236" s="111"/>
      <c r="V236" s="111"/>
      <c r="W236" s="111"/>
      <c r="X236" s="111">
        <f t="shared" si="53"/>
        <v>876922.38595265616</v>
      </c>
      <c r="Y236" s="219" t="s">
        <v>32</v>
      </c>
      <c r="Z236" s="218"/>
      <c r="AB236" s="207"/>
      <c r="AC236" s="207"/>
      <c r="AD236" s="208"/>
      <c r="AE236" s="208"/>
      <c r="AF236" s="208"/>
      <c r="AG236" s="208"/>
      <c r="AH236" s="208"/>
      <c r="AI236" s="115"/>
    </row>
    <row r="237" spans="1:35" s="205" customFormat="1" x14ac:dyDescent="0.25">
      <c r="A237" s="221">
        <v>305</v>
      </c>
      <c r="B237" s="130">
        <v>35.727398290000004</v>
      </c>
      <c r="C237" s="111">
        <v>2</v>
      </c>
      <c r="D237" s="214" t="s">
        <v>10</v>
      </c>
      <c r="E237" s="214" t="s">
        <v>10</v>
      </c>
      <c r="F237" s="128">
        <v>22.325682420000007</v>
      </c>
      <c r="G237" s="128">
        <v>13.40171587</v>
      </c>
      <c r="H237" s="215">
        <f t="shared" si="51"/>
        <v>0.62488967818988661</v>
      </c>
      <c r="I237" s="215">
        <f t="shared" si="58"/>
        <v>0.3751103218101135</v>
      </c>
      <c r="J237" s="111">
        <v>16547.939999999999</v>
      </c>
      <c r="K237" s="216">
        <f t="shared" si="57"/>
        <v>0.95</v>
      </c>
      <c r="L237" s="216">
        <f t="shared" si="56"/>
        <v>1</v>
      </c>
      <c r="M237" s="111">
        <f t="shared" si="52"/>
        <v>15720.542999999998</v>
      </c>
      <c r="N237" s="111">
        <f t="shared" si="59"/>
        <v>561654.10109607142</v>
      </c>
      <c r="O237" s="111"/>
      <c r="P237" s="111"/>
      <c r="Q237" s="111"/>
      <c r="R237" s="111"/>
      <c r="S237" s="111"/>
      <c r="T237" s="111"/>
      <c r="U237" s="111"/>
      <c r="V237" s="111"/>
      <c r="W237" s="111"/>
      <c r="X237" s="111">
        <f t="shared" si="53"/>
        <v>561654.10109607142</v>
      </c>
      <c r="Y237" s="219" t="s">
        <v>32</v>
      </c>
      <c r="Z237" s="218"/>
      <c r="AB237" s="207"/>
      <c r="AC237" s="207"/>
      <c r="AD237" s="208"/>
      <c r="AE237" s="208"/>
      <c r="AF237" s="208"/>
      <c r="AG237" s="208"/>
      <c r="AH237" s="208"/>
      <c r="AI237" s="115"/>
    </row>
    <row r="238" spans="1:35" s="205" customFormat="1" x14ac:dyDescent="0.25">
      <c r="A238" s="221">
        <v>306</v>
      </c>
      <c r="B238" s="130">
        <v>49.971321449999998</v>
      </c>
      <c r="C238" s="111">
        <v>2</v>
      </c>
      <c r="D238" s="214" t="s">
        <v>10</v>
      </c>
      <c r="E238" s="214" t="s">
        <v>10</v>
      </c>
      <c r="F238" s="128">
        <v>37.035512580000002</v>
      </c>
      <c r="G238" s="128">
        <v>12.935808869999999</v>
      </c>
      <c r="H238" s="215">
        <f t="shared" si="51"/>
        <v>0.74113534534116277</v>
      </c>
      <c r="I238" s="215">
        <f t="shared" si="58"/>
        <v>0.25886465465883729</v>
      </c>
      <c r="J238" s="111">
        <v>16511.759999999998</v>
      </c>
      <c r="K238" s="216">
        <f t="shared" si="57"/>
        <v>0.95</v>
      </c>
      <c r="L238" s="216">
        <f t="shared" si="56"/>
        <v>1</v>
      </c>
      <c r="M238" s="111">
        <f t="shared" si="52"/>
        <v>15686.171999999997</v>
      </c>
      <c r="N238" s="111">
        <f t="shared" si="59"/>
        <v>783858.74333198916</v>
      </c>
      <c r="O238" s="111"/>
      <c r="P238" s="111"/>
      <c r="Q238" s="111"/>
      <c r="R238" s="111"/>
      <c r="S238" s="111"/>
      <c r="T238" s="111"/>
      <c r="U238" s="111"/>
      <c r="V238" s="111"/>
      <c r="W238" s="111"/>
      <c r="X238" s="111">
        <f t="shared" si="53"/>
        <v>783858.74333198916</v>
      </c>
      <c r="Y238" s="219" t="s">
        <v>29</v>
      </c>
      <c r="Z238" s="218"/>
      <c r="AB238" s="207"/>
      <c r="AC238" s="207"/>
      <c r="AD238" s="208"/>
      <c r="AE238" s="208"/>
      <c r="AF238" s="208"/>
      <c r="AG238" s="208"/>
      <c r="AH238" s="208"/>
      <c r="AI238" s="115"/>
    </row>
    <row r="239" spans="1:35" s="205" customFormat="1" x14ac:dyDescent="0.25">
      <c r="A239" s="221">
        <v>307</v>
      </c>
      <c r="B239" s="130">
        <v>38.1925758</v>
      </c>
      <c r="C239" s="111">
        <v>2</v>
      </c>
      <c r="D239" s="214" t="s">
        <v>10</v>
      </c>
      <c r="E239" s="214" t="s">
        <v>10</v>
      </c>
      <c r="F239" s="128">
        <v>30.649043589999998</v>
      </c>
      <c r="G239" s="128">
        <v>7.5435322100000004</v>
      </c>
      <c r="H239" s="215">
        <f t="shared" si="51"/>
        <v>0.80248694799998266</v>
      </c>
      <c r="I239" s="215">
        <f t="shared" si="58"/>
        <v>0.19751305200001726</v>
      </c>
      <c r="J239" s="111">
        <v>16541.599999999999</v>
      </c>
      <c r="K239" s="216">
        <f t="shared" si="57"/>
        <v>0.95</v>
      </c>
      <c r="L239" s="216">
        <f t="shared" si="56"/>
        <v>1</v>
      </c>
      <c r="M239" s="111">
        <f t="shared" si="52"/>
        <v>15714.519999999999</v>
      </c>
      <c r="N239" s="111">
        <f t="shared" si="59"/>
        <v>600177.996260616</v>
      </c>
      <c r="O239" s="111"/>
      <c r="P239" s="111"/>
      <c r="Q239" s="111"/>
      <c r="R239" s="111"/>
      <c r="S239" s="111"/>
      <c r="T239" s="111"/>
      <c r="U239" s="111"/>
      <c r="V239" s="111"/>
      <c r="W239" s="111"/>
      <c r="X239" s="111">
        <f t="shared" si="53"/>
        <v>600177.996260616</v>
      </c>
      <c r="Y239" s="219" t="s">
        <v>32</v>
      </c>
      <c r="Z239" s="218"/>
      <c r="AB239" s="207"/>
      <c r="AC239" s="207"/>
      <c r="AD239" s="208"/>
      <c r="AE239" s="208"/>
      <c r="AF239" s="208"/>
      <c r="AG239" s="208"/>
      <c r="AH239" s="208"/>
      <c r="AI239" s="115"/>
    </row>
    <row r="240" spans="1:35" s="207" customFormat="1" x14ac:dyDescent="0.25">
      <c r="A240" s="221">
        <v>308</v>
      </c>
      <c r="B240" s="130">
        <v>7.7466154299999994</v>
      </c>
      <c r="C240" s="216">
        <v>2</v>
      </c>
      <c r="D240" s="214" t="s">
        <v>10</v>
      </c>
      <c r="E240" s="214" t="s">
        <v>10</v>
      </c>
      <c r="F240" s="128">
        <v>7.7466154299999994</v>
      </c>
      <c r="G240" s="128"/>
      <c r="H240" s="215">
        <f t="shared" si="51"/>
        <v>1</v>
      </c>
      <c r="I240" s="215">
        <f>G240/F240</f>
        <v>0</v>
      </c>
      <c r="J240" s="216">
        <v>18568.830000000002</v>
      </c>
      <c r="K240" s="216">
        <f t="shared" si="57"/>
        <v>0.95</v>
      </c>
      <c r="L240" s="216">
        <f t="shared" si="56"/>
        <v>1</v>
      </c>
      <c r="M240" s="216">
        <f t="shared" si="52"/>
        <v>17640.388500000001</v>
      </c>
      <c r="N240" s="216">
        <f>M240*F240</f>
        <v>136653.30574529455</v>
      </c>
      <c r="O240" s="216"/>
      <c r="P240" s="216"/>
      <c r="Q240" s="216"/>
      <c r="R240" s="216"/>
      <c r="S240" s="216"/>
      <c r="T240" s="216"/>
      <c r="U240" s="216"/>
      <c r="V240" s="220"/>
      <c r="W240" s="220"/>
      <c r="X240" s="111">
        <f t="shared" si="53"/>
        <v>136653.30574529455</v>
      </c>
      <c r="Y240" s="219" t="s">
        <v>32</v>
      </c>
      <c r="Z240" s="218"/>
      <c r="AA240" s="205"/>
      <c r="AD240" s="208"/>
      <c r="AE240" s="208"/>
      <c r="AF240" s="208"/>
      <c r="AG240" s="208"/>
      <c r="AH240" s="208"/>
      <c r="AI240" s="115"/>
    </row>
    <row r="241" spans="1:35" s="207" customFormat="1" x14ac:dyDescent="0.25">
      <c r="A241" s="221">
        <v>309</v>
      </c>
      <c r="B241" s="130">
        <v>14.666593950000001</v>
      </c>
      <c r="C241" s="111">
        <v>2</v>
      </c>
      <c r="D241" s="214" t="s">
        <v>10</v>
      </c>
      <c r="E241" s="214" t="s">
        <v>10</v>
      </c>
      <c r="F241" s="128">
        <v>7.426293470000001</v>
      </c>
      <c r="G241" s="128">
        <v>7.2403004799999993</v>
      </c>
      <c r="H241" s="215">
        <f t="shared" si="51"/>
        <v>0.50634070155054645</v>
      </c>
      <c r="I241" s="215">
        <f>G241/B241</f>
        <v>0.4936592984494535</v>
      </c>
      <c r="J241" s="111">
        <v>15026.58</v>
      </c>
      <c r="K241" s="216">
        <f t="shared" si="57"/>
        <v>0.95</v>
      </c>
      <c r="L241" s="216">
        <f t="shared" si="56"/>
        <v>1</v>
      </c>
      <c r="M241" s="111">
        <f t="shared" si="52"/>
        <v>14275.250999999998</v>
      </c>
      <c r="N241" s="111">
        <f>B241*M241</f>
        <v>209369.30995133144</v>
      </c>
      <c r="O241" s="111"/>
      <c r="P241" s="111"/>
      <c r="Q241" s="111"/>
      <c r="R241" s="111"/>
      <c r="S241" s="111"/>
      <c r="T241" s="111"/>
      <c r="U241" s="111"/>
      <c r="V241" s="111"/>
      <c r="W241" s="111"/>
      <c r="X241" s="111">
        <f t="shared" si="53"/>
        <v>209369.30995133144</v>
      </c>
      <c r="Y241" s="219" t="s">
        <v>29</v>
      </c>
      <c r="Z241" s="218"/>
      <c r="AA241" s="205"/>
      <c r="AD241" s="208"/>
      <c r="AE241" s="208"/>
      <c r="AF241" s="208"/>
      <c r="AG241" s="208"/>
      <c r="AH241" s="208"/>
      <c r="AI241" s="115"/>
    </row>
    <row r="242" spans="1:35" s="207" customFormat="1" x14ac:dyDescent="0.25">
      <c r="A242" s="221">
        <v>310</v>
      </c>
      <c r="B242" s="130">
        <v>33.593703550000001</v>
      </c>
      <c r="C242" s="111">
        <v>2</v>
      </c>
      <c r="D242" s="214" t="s">
        <v>10</v>
      </c>
      <c r="E242" s="214" t="s">
        <v>10</v>
      </c>
      <c r="F242" s="128">
        <v>16.884782050000002</v>
      </c>
      <c r="G242" s="128">
        <v>16.708921499999999</v>
      </c>
      <c r="H242" s="215">
        <f t="shared" si="51"/>
        <v>0.50261746296799725</v>
      </c>
      <c r="I242" s="215">
        <f>G242/B242</f>
        <v>0.4973825370320028</v>
      </c>
      <c r="J242" s="111">
        <v>14990.03</v>
      </c>
      <c r="K242" s="216">
        <f t="shared" si="57"/>
        <v>0.95</v>
      </c>
      <c r="L242" s="216">
        <f t="shared" ref="L242:L273" si="60">$B$321</f>
        <v>1</v>
      </c>
      <c r="M242" s="111">
        <f t="shared" si="52"/>
        <v>14240.5285</v>
      </c>
      <c r="N242" s="111">
        <f>B242*M242</f>
        <v>478392.09282432619</v>
      </c>
      <c r="O242" s="111"/>
      <c r="P242" s="111"/>
      <c r="Q242" s="111"/>
      <c r="R242" s="111"/>
      <c r="S242" s="111"/>
      <c r="T242" s="111"/>
      <c r="U242" s="111"/>
      <c r="V242" s="111"/>
      <c r="W242" s="111"/>
      <c r="X242" s="111">
        <f t="shared" si="53"/>
        <v>478392.09282432619</v>
      </c>
      <c r="Y242" s="219" t="s">
        <v>32</v>
      </c>
      <c r="Z242" s="218"/>
      <c r="AA242" s="205"/>
      <c r="AD242" s="208"/>
      <c r="AE242" s="208"/>
      <c r="AF242" s="208"/>
      <c r="AG242" s="208"/>
      <c r="AH242" s="208"/>
      <c r="AI242" s="115"/>
    </row>
    <row r="243" spans="1:35" s="207" customFormat="1" x14ac:dyDescent="0.25">
      <c r="A243" s="221">
        <v>311</v>
      </c>
      <c r="B243" s="130">
        <v>10.25406484</v>
      </c>
      <c r="C243" s="216">
        <v>2</v>
      </c>
      <c r="D243" s="214" t="s">
        <v>13</v>
      </c>
      <c r="E243" s="214" t="s">
        <v>10</v>
      </c>
      <c r="F243" s="128">
        <v>10.25406484</v>
      </c>
      <c r="G243" s="128"/>
      <c r="H243" s="215">
        <f t="shared" si="51"/>
        <v>1</v>
      </c>
      <c r="I243" s="215">
        <f>G243/F243</f>
        <v>0</v>
      </c>
      <c r="J243" s="216">
        <v>15035.1</v>
      </c>
      <c r="K243" s="216">
        <f t="shared" si="57"/>
        <v>0.95</v>
      </c>
      <c r="L243" s="216">
        <f t="shared" si="60"/>
        <v>1</v>
      </c>
      <c r="M243" s="216">
        <f t="shared" si="52"/>
        <v>14283.344999999999</v>
      </c>
      <c r="N243" s="216">
        <f>M243*F243</f>
        <v>146462.3457620898</v>
      </c>
      <c r="O243" s="216"/>
      <c r="P243" s="216"/>
      <c r="Q243" s="216"/>
      <c r="R243" s="216"/>
      <c r="S243" s="216"/>
      <c r="T243" s="216"/>
      <c r="U243" s="216"/>
      <c r="V243" s="220"/>
      <c r="W243" s="220"/>
      <c r="X243" s="111">
        <f t="shared" si="53"/>
        <v>146462.3457620898</v>
      </c>
      <c r="Y243" s="219" t="s">
        <v>13</v>
      </c>
      <c r="Z243" s="218"/>
      <c r="AA243" s="205"/>
      <c r="AD243" s="208"/>
      <c r="AE243" s="208"/>
      <c r="AF243" s="208"/>
      <c r="AG243" s="208"/>
      <c r="AH243" s="208"/>
      <c r="AI243" s="115"/>
    </row>
    <row r="244" spans="1:35" s="207" customFormat="1" x14ac:dyDescent="0.25">
      <c r="A244" s="221">
        <v>312</v>
      </c>
      <c r="B244" s="130">
        <v>28.313071299999997</v>
      </c>
      <c r="C244" s="216">
        <v>2</v>
      </c>
      <c r="D244" s="214" t="s">
        <v>13</v>
      </c>
      <c r="E244" s="214" t="s">
        <v>10</v>
      </c>
      <c r="F244" s="128">
        <v>28.313071299999997</v>
      </c>
      <c r="G244" s="128"/>
      <c r="H244" s="215">
        <f t="shared" si="51"/>
        <v>1</v>
      </c>
      <c r="I244" s="215">
        <f>G244/F244</f>
        <v>0</v>
      </c>
      <c r="J244" s="216">
        <v>15000.28</v>
      </c>
      <c r="K244" s="216">
        <f t="shared" si="57"/>
        <v>0.95</v>
      </c>
      <c r="L244" s="216">
        <f t="shared" si="60"/>
        <v>1</v>
      </c>
      <c r="M244" s="216">
        <f t="shared" si="52"/>
        <v>14250.266</v>
      </c>
      <c r="N244" s="216">
        <f>M244*F244</f>
        <v>403468.79730196577</v>
      </c>
      <c r="O244" s="216"/>
      <c r="P244" s="216"/>
      <c r="Q244" s="216"/>
      <c r="R244" s="216"/>
      <c r="S244" s="216"/>
      <c r="T244" s="216"/>
      <c r="U244" s="216"/>
      <c r="V244" s="220"/>
      <c r="W244" s="220"/>
      <c r="X244" s="111">
        <f t="shared" si="53"/>
        <v>403468.79730196577</v>
      </c>
      <c r="Y244" s="219" t="s">
        <v>13</v>
      </c>
      <c r="Z244" s="218"/>
      <c r="AA244" s="205"/>
      <c r="AD244" s="208"/>
      <c r="AE244" s="208"/>
      <c r="AF244" s="208"/>
      <c r="AG244" s="208"/>
      <c r="AH244" s="208"/>
      <c r="AI244" s="115"/>
    </row>
    <row r="245" spans="1:35" s="207" customFormat="1" x14ac:dyDescent="0.25">
      <c r="A245" s="221">
        <v>313</v>
      </c>
      <c r="B245" s="130">
        <v>19.36184261</v>
      </c>
      <c r="C245" s="111">
        <v>2</v>
      </c>
      <c r="D245" s="214" t="s">
        <v>13</v>
      </c>
      <c r="E245" s="214" t="s">
        <v>10</v>
      </c>
      <c r="F245" s="128">
        <v>8.6815381499999997</v>
      </c>
      <c r="G245" s="128">
        <v>10.680304459999999</v>
      </c>
      <c r="H245" s="215">
        <f t="shared" si="51"/>
        <v>0.44838388188922479</v>
      </c>
      <c r="I245" s="215">
        <f>G245/B245</f>
        <v>0.55161611811077516</v>
      </c>
      <c r="J245" s="111">
        <v>15017.49</v>
      </c>
      <c r="K245" s="216">
        <f t="shared" si="57"/>
        <v>0.95</v>
      </c>
      <c r="L245" s="216">
        <f t="shared" si="60"/>
        <v>1</v>
      </c>
      <c r="M245" s="111">
        <f t="shared" si="52"/>
        <v>14266.6155</v>
      </c>
      <c r="N245" s="111">
        <f>B245*M245</f>
        <v>276227.96388838644</v>
      </c>
      <c r="O245" s="111"/>
      <c r="P245" s="111"/>
      <c r="Q245" s="111"/>
      <c r="R245" s="111"/>
      <c r="S245" s="111"/>
      <c r="T245" s="111"/>
      <c r="U245" s="111"/>
      <c r="V245" s="111"/>
      <c r="W245" s="111"/>
      <c r="X245" s="111">
        <f t="shared" si="53"/>
        <v>276227.96388838644</v>
      </c>
      <c r="Y245" s="219" t="s">
        <v>57</v>
      </c>
      <c r="Z245" s="218"/>
      <c r="AA245" s="205"/>
      <c r="AD245" s="208"/>
      <c r="AE245" s="208"/>
      <c r="AF245" s="208"/>
      <c r="AG245" s="208"/>
      <c r="AH245" s="208"/>
      <c r="AI245" s="115"/>
    </row>
    <row r="246" spans="1:35" s="207" customFormat="1" x14ac:dyDescent="0.25">
      <c r="A246" s="221">
        <v>314</v>
      </c>
      <c r="B246" s="130">
        <v>331.78038405000001</v>
      </c>
      <c r="C246" s="216">
        <v>2</v>
      </c>
      <c r="D246" s="214" t="s">
        <v>10</v>
      </c>
      <c r="E246" s="214" t="s">
        <v>10</v>
      </c>
      <c r="F246" s="128">
        <v>130.88397159999997</v>
      </c>
      <c r="G246" s="128"/>
      <c r="H246" s="215">
        <f t="shared" si="51"/>
        <v>0.39448978267586632</v>
      </c>
      <c r="I246" s="215">
        <f>G246/B246</f>
        <v>0</v>
      </c>
      <c r="J246" s="111">
        <v>14420.88</v>
      </c>
      <c r="K246" s="216">
        <f t="shared" si="57"/>
        <v>0.95</v>
      </c>
      <c r="L246" s="216">
        <f t="shared" si="60"/>
        <v>1</v>
      </c>
      <c r="M246" s="111">
        <f t="shared" si="52"/>
        <v>13699.835999999999</v>
      </c>
      <c r="N246" s="216">
        <f>M246*B246</f>
        <v>4545336.8495020159</v>
      </c>
      <c r="O246" s="216"/>
      <c r="P246" s="216"/>
      <c r="Q246" s="111">
        <v>200.89641244999999</v>
      </c>
      <c r="R246" s="111">
        <f>'Cálculo Depre.-Sist. Irrig.'!$P$3*Q246</f>
        <v>1546902.3758649998</v>
      </c>
      <c r="S246" s="214" t="s">
        <v>16</v>
      </c>
      <c r="T246" s="111">
        <f>Q246</f>
        <v>200.89641244999999</v>
      </c>
      <c r="U246" s="111">
        <f>'Cálculo Valor Avaliação-Cultura'!$B$79*T246</f>
        <v>2891651.517930619</v>
      </c>
      <c r="V246" s="220">
        <v>2833.6</v>
      </c>
      <c r="W246" s="111">
        <f>VLOOKUP(V246,'Estimativa Valores-Painéis Sol.'!$C$4:$D$24,2,FALSE)</f>
        <v>348000</v>
      </c>
      <c r="X246" s="111">
        <f t="shared" si="53"/>
        <v>9331890.7432976346</v>
      </c>
      <c r="Y246" s="219" t="s">
        <v>96</v>
      </c>
      <c r="Z246" s="218"/>
      <c r="AA246" s="205"/>
      <c r="AD246" s="208"/>
      <c r="AE246" s="208"/>
      <c r="AF246" s="208"/>
      <c r="AG246" s="208"/>
      <c r="AH246" s="208"/>
      <c r="AI246" s="115"/>
    </row>
    <row r="247" spans="1:35" s="207" customFormat="1" x14ac:dyDescent="0.25">
      <c r="A247" s="221">
        <v>315</v>
      </c>
      <c r="B247" s="130">
        <v>58.739920589999997</v>
      </c>
      <c r="C247" s="216">
        <v>2</v>
      </c>
      <c r="D247" s="214" t="s">
        <v>10</v>
      </c>
      <c r="E247" s="214" t="s">
        <v>10</v>
      </c>
      <c r="F247" s="128">
        <v>58.739920590000004</v>
      </c>
      <c r="G247" s="128"/>
      <c r="H247" s="215">
        <f t="shared" si="51"/>
        <v>1.0000000000000002</v>
      </c>
      <c r="I247" s="215">
        <f>G247/F247</f>
        <v>0</v>
      </c>
      <c r="J247" s="216">
        <v>18396.02</v>
      </c>
      <c r="K247" s="216">
        <f t="shared" ref="K247:K278" si="61">$B$318</f>
        <v>0.95</v>
      </c>
      <c r="L247" s="216">
        <f t="shared" si="60"/>
        <v>1</v>
      </c>
      <c r="M247" s="216">
        <f t="shared" si="52"/>
        <v>17476.219000000001</v>
      </c>
      <c r="N247" s="216">
        <f>M247*F247</f>
        <v>1026551.7162734494</v>
      </c>
      <c r="O247" s="216"/>
      <c r="P247" s="216"/>
      <c r="Q247" s="216"/>
      <c r="R247" s="216"/>
      <c r="S247" s="216"/>
      <c r="T247" s="216"/>
      <c r="U247" s="216"/>
      <c r="V247" s="220"/>
      <c r="W247" s="220"/>
      <c r="X247" s="111">
        <f t="shared" si="53"/>
        <v>1026551.7162734494</v>
      </c>
      <c r="Y247" s="219" t="s">
        <v>59</v>
      </c>
      <c r="Z247" s="218"/>
      <c r="AA247" s="205"/>
      <c r="AD247" s="208"/>
      <c r="AE247" s="208"/>
      <c r="AF247" s="208"/>
      <c r="AG247" s="208"/>
      <c r="AH247" s="208"/>
      <c r="AI247" s="115"/>
    </row>
    <row r="248" spans="1:35" s="207" customFormat="1" x14ac:dyDescent="0.25">
      <c r="A248" s="221">
        <v>316</v>
      </c>
      <c r="B248" s="130">
        <v>92.743262419999994</v>
      </c>
      <c r="C248" s="111">
        <v>2</v>
      </c>
      <c r="D248" s="214" t="s">
        <v>10</v>
      </c>
      <c r="E248" s="214" t="s">
        <v>10</v>
      </c>
      <c r="F248" s="128">
        <v>89.19128868</v>
      </c>
      <c r="G248" s="128">
        <v>3.5519737400000064</v>
      </c>
      <c r="H248" s="215">
        <f t="shared" si="51"/>
        <v>0.96170100503997347</v>
      </c>
      <c r="I248" s="215">
        <f>G248/B248</f>
        <v>3.8298994960026624E-2</v>
      </c>
      <c r="J248" s="111">
        <v>16404.669999999998</v>
      </c>
      <c r="K248" s="216">
        <f t="shared" si="61"/>
        <v>0.95</v>
      </c>
      <c r="L248" s="216">
        <f t="shared" si="60"/>
        <v>1</v>
      </c>
      <c r="M248" s="111">
        <f t="shared" si="52"/>
        <v>15584.436499999998</v>
      </c>
      <c r="N248" s="111">
        <f>B248*M248</f>
        <v>1445351.483987326</v>
      </c>
      <c r="O248" s="111"/>
      <c r="P248" s="111"/>
      <c r="Q248" s="111"/>
      <c r="R248" s="111"/>
      <c r="S248" s="111"/>
      <c r="T248" s="111"/>
      <c r="U248" s="111"/>
      <c r="V248" s="111"/>
      <c r="W248" s="111"/>
      <c r="X248" s="111">
        <f t="shared" si="53"/>
        <v>1445351.483987326</v>
      </c>
      <c r="Y248" s="219" t="s">
        <v>60</v>
      </c>
      <c r="Z248" s="218"/>
      <c r="AA248" s="205"/>
      <c r="AD248" s="208"/>
      <c r="AE248" s="208"/>
      <c r="AF248" s="208"/>
      <c r="AG248" s="208"/>
      <c r="AH248" s="208"/>
      <c r="AI248" s="115"/>
    </row>
    <row r="249" spans="1:35" s="207" customFormat="1" x14ac:dyDescent="0.25">
      <c r="A249" s="221">
        <v>317</v>
      </c>
      <c r="B249" s="130">
        <v>231.45521617</v>
      </c>
      <c r="C249" s="216">
        <v>2</v>
      </c>
      <c r="D249" s="214" t="s">
        <v>13</v>
      </c>
      <c r="E249" s="214" t="s">
        <v>10</v>
      </c>
      <c r="F249" s="128">
        <v>133.57542606000001</v>
      </c>
      <c r="G249" s="128">
        <v>11.50672587</v>
      </c>
      <c r="H249" s="215">
        <f t="shared" si="51"/>
        <v>0.57711132317662306</v>
      </c>
      <c r="I249" s="215">
        <f>G249/B249</f>
        <v>4.9714696693413475E-2</v>
      </c>
      <c r="J249" s="111">
        <v>14610.75</v>
      </c>
      <c r="K249" s="216">
        <f t="shared" si="61"/>
        <v>0.95</v>
      </c>
      <c r="L249" s="216">
        <f t="shared" si="60"/>
        <v>1</v>
      </c>
      <c r="M249" s="111">
        <f t="shared" si="52"/>
        <v>13880.2125</v>
      </c>
      <c r="N249" s="216">
        <f>M249*B249</f>
        <v>3212647.5846730359</v>
      </c>
      <c r="O249" s="216"/>
      <c r="P249" s="216"/>
      <c r="Q249" s="111">
        <v>86.373064240000005</v>
      </c>
      <c r="R249" s="111">
        <f>'Cálculo Depre.-Sist. Irrig.'!$P$3*Q249</f>
        <v>665072.59464800009</v>
      </c>
      <c r="S249" s="214" t="s">
        <v>16</v>
      </c>
      <c r="T249" s="111">
        <f>Q249</f>
        <v>86.373064240000005</v>
      </c>
      <c r="U249" s="111">
        <f>'Cálculo Valor Avaliação-Cultura'!$B$79*T249</f>
        <v>1243231.7694079105</v>
      </c>
      <c r="V249" s="220"/>
      <c r="W249" s="220"/>
      <c r="X249" s="111">
        <f t="shared" si="53"/>
        <v>5120951.948728946</v>
      </c>
      <c r="Y249" s="219" t="s">
        <v>61</v>
      </c>
      <c r="Z249" s="218"/>
      <c r="AA249" s="205"/>
      <c r="AD249" s="208"/>
      <c r="AE249" s="208"/>
      <c r="AF249" s="208"/>
      <c r="AG249" s="208"/>
      <c r="AH249" s="208"/>
      <c r="AI249" s="115"/>
    </row>
    <row r="250" spans="1:35" s="208" customFormat="1" x14ac:dyDescent="0.25">
      <c r="A250" s="221">
        <v>318</v>
      </c>
      <c r="B250" s="130">
        <v>25.498926539999999</v>
      </c>
      <c r="C250" s="111">
        <v>1</v>
      </c>
      <c r="D250" s="214" t="s">
        <v>13</v>
      </c>
      <c r="E250" s="214" t="s">
        <v>10</v>
      </c>
      <c r="F250" s="128">
        <v>22.170363049999999</v>
      </c>
      <c r="G250" s="128">
        <v>3.3285634899999996</v>
      </c>
      <c r="H250" s="215">
        <f t="shared" si="51"/>
        <v>0.86946260326769031</v>
      </c>
      <c r="I250" s="215">
        <f>G250/B250</f>
        <v>0.13053739673230966</v>
      </c>
      <c r="J250" s="111">
        <v>9828.6</v>
      </c>
      <c r="K250" s="216">
        <f t="shared" si="61"/>
        <v>0.95</v>
      </c>
      <c r="L250" s="216">
        <f t="shared" si="60"/>
        <v>1</v>
      </c>
      <c r="M250" s="111">
        <f t="shared" si="52"/>
        <v>9337.17</v>
      </c>
      <c r="N250" s="111">
        <f>B250*M250</f>
        <v>238087.81192149178</v>
      </c>
      <c r="O250" s="111"/>
      <c r="P250" s="111"/>
      <c r="Q250" s="111"/>
      <c r="R250" s="111"/>
      <c r="S250" s="111"/>
      <c r="T250" s="111"/>
      <c r="U250" s="111"/>
      <c r="V250" s="111"/>
      <c r="W250" s="111"/>
      <c r="X250" s="111">
        <f t="shared" si="53"/>
        <v>238087.81192149178</v>
      </c>
      <c r="Y250" s="219"/>
      <c r="Z250" s="218"/>
      <c r="AA250" s="205"/>
      <c r="AB250" s="207"/>
      <c r="AC250" s="207"/>
      <c r="AE250" s="222"/>
      <c r="AF250" s="222"/>
      <c r="AI250" s="115"/>
    </row>
    <row r="251" spans="1:35" s="208" customFormat="1" x14ac:dyDescent="0.25">
      <c r="A251" s="221">
        <v>319</v>
      </c>
      <c r="B251" s="130">
        <v>35.834308610000001</v>
      </c>
      <c r="C251" s="216">
        <v>2</v>
      </c>
      <c r="D251" s="214" t="s">
        <v>13</v>
      </c>
      <c r="E251" s="214" t="s">
        <v>10</v>
      </c>
      <c r="F251" s="128">
        <v>35.834308610000001</v>
      </c>
      <c r="G251" s="128"/>
      <c r="H251" s="215">
        <f t="shared" si="51"/>
        <v>1</v>
      </c>
      <c r="I251" s="215">
        <f>G251/F251</f>
        <v>0</v>
      </c>
      <c r="J251" s="216">
        <v>14985.78</v>
      </c>
      <c r="K251" s="216">
        <f t="shared" si="61"/>
        <v>0.95</v>
      </c>
      <c r="L251" s="216">
        <f t="shared" si="60"/>
        <v>1</v>
      </c>
      <c r="M251" s="216">
        <f t="shared" si="52"/>
        <v>14236.491</v>
      </c>
      <c r="N251" s="216">
        <f>M251*F251</f>
        <v>510154.81201748754</v>
      </c>
      <c r="O251" s="216"/>
      <c r="P251" s="216"/>
      <c r="Q251" s="216"/>
      <c r="R251" s="216"/>
      <c r="S251" s="216"/>
      <c r="T251" s="216"/>
      <c r="U251" s="216"/>
      <c r="V251" s="220"/>
      <c r="W251" s="220"/>
      <c r="X251" s="111">
        <f t="shared" si="53"/>
        <v>510154.81201748754</v>
      </c>
      <c r="Y251" s="219" t="s">
        <v>13</v>
      </c>
      <c r="Z251" s="218"/>
      <c r="AA251" s="205"/>
      <c r="AB251" s="207"/>
      <c r="AC251" s="207"/>
      <c r="AE251" s="222"/>
      <c r="AF251" s="222"/>
      <c r="AI251" s="115"/>
    </row>
    <row r="252" spans="1:35" s="208" customFormat="1" x14ac:dyDescent="0.25">
      <c r="A252" s="221">
        <v>320</v>
      </c>
      <c r="B252" s="130">
        <v>30.320350189999996</v>
      </c>
      <c r="C252" s="216">
        <v>2</v>
      </c>
      <c r="D252" s="214" t="s">
        <v>13</v>
      </c>
      <c r="E252" s="214" t="s">
        <v>10</v>
      </c>
      <c r="F252" s="128">
        <v>30.320350189999996</v>
      </c>
      <c r="G252" s="128"/>
      <c r="H252" s="215">
        <f t="shared" si="51"/>
        <v>1</v>
      </c>
      <c r="I252" s="215">
        <f>G252/F252</f>
        <v>0</v>
      </c>
      <c r="J252" s="216">
        <v>14996.41</v>
      </c>
      <c r="K252" s="216">
        <f t="shared" si="61"/>
        <v>0.95</v>
      </c>
      <c r="L252" s="216">
        <f t="shared" si="60"/>
        <v>1</v>
      </c>
      <c r="M252" s="216">
        <f t="shared" si="52"/>
        <v>14246.5895</v>
      </c>
      <c r="N252" s="216">
        <f>M252*F252</f>
        <v>431961.58265317697</v>
      </c>
      <c r="O252" s="216"/>
      <c r="P252" s="216"/>
      <c r="Q252" s="216"/>
      <c r="R252" s="216"/>
      <c r="S252" s="216"/>
      <c r="T252" s="216"/>
      <c r="U252" s="216"/>
      <c r="V252" s="220"/>
      <c r="W252" s="220"/>
      <c r="X252" s="111">
        <f t="shared" si="53"/>
        <v>431961.58265317697</v>
      </c>
      <c r="Y252" s="219" t="s">
        <v>13</v>
      </c>
      <c r="Z252" s="218"/>
      <c r="AA252" s="205"/>
      <c r="AB252" s="207"/>
      <c r="AC252" s="207"/>
      <c r="AE252" s="222"/>
      <c r="AF252" s="222"/>
      <c r="AI252" s="115"/>
    </row>
    <row r="253" spans="1:35" s="208" customFormat="1" x14ac:dyDescent="0.25">
      <c r="A253" s="221">
        <v>321</v>
      </c>
      <c r="B253" s="130">
        <v>29.983599599999998</v>
      </c>
      <c r="C253" s="216">
        <v>2</v>
      </c>
      <c r="D253" s="214" t="s">
        <v>13</v>
      </c>
      <c r="E253" s="214" t="s">
        <v>10</v>
      </c>
      <c r="F253" s="128">
        <v>29.983599599999998</v>
      </c>
      <c r="G253" s="128"/>
      <c r="H253" s="215">
        <f t="shared" ref="H253:H313" si="62">F253/B253</f>
        <v>1</v>
      </c>
      <c r="I253" s="215">
        <f>G253/F253</f>
        <v>0</v>
      </c>
      <c r="J253" s="216">
        <v>14996.99</v>
      </c>
      <c r="K253" s="216">
        <f t="shared" si="61"/>
        <v>0.95</v>
      </c>
      <c r="L253" s="216">
        <f t="shared" si="60"/>
        <v>1</v>
      </c>
      <c r="M253" s="216">
        <f t="shared" ref="M253:M313" si="63">J253*K253*L253</f>
        <v>14247.1405</v>
      </c>
      <c r="N253" s="216">
        <f>M253*F253</f>
        <v>427180.55619694374</v>
      </c>
      <c r="O253" s="216"/>
      <c r="P253" s="216"/>
      <c r="Q253" s="216"/>
      <c r="R253" s="216"/>
      <c r="S253" s="216"/>
      <c r="T253" s="216"/>
      <c r="U253" s="216"/>
      <c r="V253" s="220"/>
      <c r="W253" s="220"/>
      <c r="X253" s="111">
        <f t="shared" ref="X253:X313" si="64">N253+P253+R253+U253+W253</f>
        <v>427180.55619694374</v>
      </c>
      <c r="Y253" s="219" t="s">
        <v>27</v>
      </c>
      <c r="Z253" s="218"/>
      <c r="AA253" s="205"/>
      <c r="AB253" s="207"/>
      <c r="AC253" s="207"/>
      <c r="AE253" s="222"/>
      <c r="AF253" s="222"/>
      <c r="AI253" s="115"/>
    </row>
    <row r="254" spans="1:35" s="208" customFormat="1" x14ac:dyDescent="0.25">
      <c r="A254" s="221">
        <v>322</v>
      </c>
      <c r="B254" s="130">
        <v>29.938334220000002</v>
      </c>
      <c r="C254" s="216">
        <v>2</v>
      </c>
      <c r="D254" s="214" t="s">
        <v>10</v>
      </c>
      <c r="E254" s="214" t="s">
        <v>10</v>
      </c>
      <c r="F254" s="128">
        <v>29.938334220000002</v>
      </c>
      <c r="G254" s="128"/>
      <c r="H254" s="215">
        <f t="shared" si="62"/>
        <v>1</v>
      </c>
      <c r="I254" s="215">
        <f>G254/F254</f>
        <v>0</v>
      </c>
      <c r="J254" s="216">
        <v>18493.05</v>
      </c>
      <c r="K254" s="216">
        <f t="shared" si="61"/>
        <v>0.95</v>
      </c>
      <c r="L254" s="216">
        <f t="shared" si="60"/>
        <v>1</v>
      </c>
      <c r="M254" s="216">
        <f t="shared" si="63"/>
        <v>17568.397499999999</v>
      </c>
      <c r="N254" s="216">
        <f>M254*F254</f>
        <v>525968.55606481247</v>
      </c>
      <c r="O254" s="216"/>
      <c r="P254" s="216"/>
      <c r="Q254" s="216"/>
      <c r="R254" s="216"/>
      <c r="S254" s="216"/>
      <c r="T254" s="216"/>
      <c r="U254" s="216"/>
      <c r="V254" s="220"/>
      <c r="W254" s="220"/>
      <c r="X254" s="111">
        <f t="shared" si="64"/>
        <v>525968.55606481247</v>
      </c>
      <c r="Y254" s="219" t="s">
        <v>62</v>
      </c>
      <c r="Z254" s="218"/>
      <c r="AA254" s="205"/>
      <c r="AB254" s="207"/>
      <c r="AC254" s="207"/>
      <c r="AE254" s="222"/>
      <c r="AF254" s="222"/>
      <c r="AI254" s="115"/>
    </row>
    <row r="255" spans="1:35" s="208" customFormat="1" x14ac:dyDescent="0.25">
      <c r="A255" s="221">
        <v>323</v>
      </c>
      <c r="B255" s="130">
        <v>105.82008574000001</v>
      </c>
      <c r="C255" s="216">
        <v>2</v>
      </c>
      <c r="D255" s="214" t="s">
        <v>13</v>
      </c>
      <c r="E255" s="214" t="s">
        <v>10</v>
      </c>
      <c r="F255" s="128">
        <v>105.82008574000001</v>
      </c>
      <c r="G255" s="128"/>
      <c r="H255" s="215">
        <f t="shared" si="62"/>
        <v>1</v>
      </c>
      <c r="I255" s="215">
        <f>G255/F255</f>
        <v>0</v>
      </c>
      <c r="J255" s="216">
        <v>14850.94</v>
      </c>
      <c r="K255" s="216">
        <f t="shared" si="61"/>
        <v>0.95</v>
      </c>
      <c r="L255" s="216">
        <f t="shared" si="60"/>
        <v>1</v>
      </c>
      <c r="M255" s="216">
        <f t="shared" si="63"/>
        <v>14108.393</v>
      </c>
      <c r="N255" s="216">
        <f>M255*F255</f>
        <v>1492951.3569136159</v>
      </c>
      <c r="O255" s="216"/>
      <c r="P255" s="216"/>
      <c r="Q255" s="216"/>
      <c r="R255" s="216"/>
      <c r="S255" s="216"/>
      <c r="T255" s="216"/>
      <c r="U255" s="216"/>
      <c r="V255" s="220"/>
      <c r="W255" s="220"/>
      <c r="X255" s="111">
        <f t="shared" si="64"/>
        <v>1492951.3569136159</v>
      </c>
      <c r="Y255" s="219" t="s">
        <v>13</v>
      </c>
      <c r="Z255" s="218"/>
      <c r="AA255" s="205"/>
      <c r="AB255" s="207"/>
      <c r="AC255" s="207"/>
      <c r="AE255" s="222"/>
      <c r="AF255" s="222"/>
      <c r="AI255" s="115"/>
    </row>
    <row r="256" spans="1:35" s="208" customFormat="1" x14ac:dyDescent="0.25">
      <c r="A256" s="221">
        <v>324</v>
      </c>
      <c r="B256" s="130">
        <v>129.02675475000001</v>
      </c>
      <c r="C256" s="216">
        <v>2</v>
      </c>
      <c r="D256" s="214" t="s">
        <v>10</v>
      </c>
      <c r="E256" s="214" t="s">
        <v>10</v>
      </c>
      <c r="F256" s="128">
        <v>102.71195385</v>
      </c>
      <c r="G256" s="128">
        <v>5.0319703200000001</v>
      </c>
      <c r="H256" s="215">
        <f t="shared" si="62"/>
        <v>0.79605159448529017</v>
      </c>
      <c r="I256" s="215">
        <f>G256/B256</f>
        <v>3.8999433332643746E-2</v>
      </c>
      <c r="J256" s="111">
        <v>16314.72</v>
      </c>
      <c r="K256" s="216">
        <f t="shared" si="61"/>
        <v>0.95</v>
      </c>
      <c r="L256" s="216">
        <f t="shared" si="60"/>
        <v>1</v>
      </c>
      <c r="M256" s="111">
        <f t="shared" si="63"/>
        <v>15498.983999999999</v>
      </c>
      <c r="N256" s="216">
        <f>M256*B256</f>
        <v>1999783.6074421739</v>
      </c>
      <c r="O256" s="216"/>
      <c r="P256" s="216"/>
      <c r="Q256" s="111">
        <v>21.282830579999999</v>
      </c>
      <c r="R256" s="111">
        <f>'Cálculo Depre.-Sist. Irrig.'!$P$3*Q256</f>
        <v>163877.79546599998</v>
      </c>
      <c r="S256" s="214" t="s">
        <v>16</v>
      </c>
      <c r="T256" s="111">
        <f>Q256</f>
        <v>21.282830579999999</v>
      </c>
      <c r="U256" s="111">
        <f>'Cálculo Valor Avaliação-Cultura'!$B$79*T256</f>
        <v>306339.61354503618</v>
      </c>
      <c r="V256" s="220">
        <v>569.63729999999998</v>
      </c>
      <c r="W256" s="111">
        <f>VLOOKUP(V256,'Estimativa Valores-Painéis Sol.'!$C$4:$D$24,2,FALSE)</f>
        <v>81000</v>
      </c>
      <c r="X256" s="111">
        <f t="shared" si="64"/>
        <v>2551001.0164532103</v>
      </c>
      <c r="Y256" s="219" t="s">
        <v>63</v>
      </c>
      <c r="Z256" s="218"/>
      <c r="AA256" s="205"/>
      <c r="AB256" s="207"/>
      <c r="AC256" s="207"/>
      <c r="AE256" s="222"/>
      <c r="AF256" s="222"/>
      <c r="AI256" s="115"/>
    </row>
    <row r="257" spans="1:35" s="208" customFormat="1" x14ac:dyDescent="0.25">
      <c r="A257" s="221">
        <v>325</v>
      </c>
      <c r="B257" s="130">
        <v>41.46763945</v>
      </c>
      <c r="C257" s="216">
        <v>2</v>
      </c>
      <c r="D257" s="214" t="s">
        <v>10</v>
      </c>
      <c r="E257" s="214" t="s">
        <v>10</v>
      </c>
      <c r="F257" s="128">
        <v>41.46763945</v>
      </c>
      <c r="G257" s="128"/>
      <c r="H257" s="215">
        <f t="shared" si="62"/>
        <v>1</v>
      </c>
      <c r="I257" s="215">
        <f>G257/F257</f>
        <v>0</v>
      </c>
      <c r="J257" s="216">
        <v>18453.79</v>
      </c>
      <c r="K257" s="216">
        <f t="shared" si="61"/>
        <v>0.95</v>
      </c>
      <c r="L257" s="216">
        <f t="shared" si="60"/>
        <v>1</v>
      </c>
      <c r="M257" s="216">
        <f t="shared" si="63"/>
        <v>17531.1005</v>
      </c>
      <c r="N257" s="216">
        <f>M257*F257</f>
        <v>726973.35469571478</v>
      </c>
      <c r="O257" s="216"/>
      <c r="P257" s="216"/>
      <c r="Q257" s="216"/>
      <c r="R257" s="216"/>
      <c r="S257" s="216"/>
      <c r="T257" s="216"/>
      <c r="U257" s="216"/>
      <c r="V257" s="220"/>
      <c r="W257" s="220"/>
      <c r="X257" s="111">
        <f t="shared" si="64"/>
        <v>726973.35469571478</v>
      </c>
      <c r="Y257" s="219" t="s">
        <v>32</v>
      </c>
      <c r="Z257" s="218"/>
      <c r="AA257" s="205"/>
      <c r="AB257" s="207"/>
      <c r="AC257" s="207"/>
      <c r="AE257" s="222"/>
      <c r="AF257" s="222"/>
      <c r="AI257" s="115"/>
    </row>
    <row r="258" spans="1:35" s="208" customFormat="1" x14ac:dyDescent="0.25">
      <c r="A258" s="221">
        <v>326</v>
      </c>
      <c r="B258" s="130">
        <v>26.102616359999999</v>
      </c>
      <c r="C258" s="216">
        <v>2</v>
      </c>
      <c r="D258" s="214" t="s">
        <v>13</v>
      </c>
      <c r="E258" s="214" t="s">
        <v>10</v>
      </c>
      <c r="F258" s="128">
        <v>13.244886300000001</v>
      </c>
      <c r="G258" s="128"/>
      <c r="H258" s="215">
        <f t="shared" si="62"/>
        <v>0.50741604279548935</v>
      </c>
      <c r="I258" s="215">
        <f>G258/B258</f>
        <v>0</v>
      </c>
      <c r="J258" s="111">
        <v>15004.53</v>
      </c>
      <c r="K258" s="216">
        <f t="shared" si="61"/>
        <v>0.95</v>
      </c>
      <c r="L258" s="216">
        <f t="shared" si="60"/>
        <v>1</v>
      </c>
      <c r="M258" s="111">
        <f t="shared" si="63"/>
        <v>14254.3035</v>
      </c>
      <c r="N258" s="216">
        <f>M258*B258</f>
        <v>372074.61573950527</v>
      </c>
      <c r="O258" s="216"/>
      <c r="P258" s="216"/>
      <c r="Q258" s="111">
        <v>12.85773006</v>
      </c>
      <c r="R258" s="111">
        <f>'Cálculo Depre.-Sist. Irrig.'!$P$3*Q258</f>
        <v>99004.521462000004</v>
      </c>
      <c r="S258" s="214" t="s">
        <v>16</v>
      </c>
      <c r="T258" s="111">
        <f>Q258</f>
        <v>12.85773006</v>
      </c>
      <c r="U258" s="111">
        <f>'Cálculo Valor Avaliação-Cultura'!$B$79*T258</f>
        <v>185070.87404756265</v>
      </c>
      <c r="V258" s="220"/>
      <c r="W258" s="220"/>
      <c r="X258" s="111">
        <f t="shared" si="64"/>
        <v>656150.01124906796</v>
      </c>
      <c r="Y258" s="219" t="s">
        <v>64</v>
      </c>
      <c r="Z258" s="218"/>
      <c r="AA258" s="205"/>
      <c r="AB258" s="207"/>
      <c r="AC258" s="207"/>
      <c r="AE258" s="222"/>
      <c r="AF258" s="222"/>
      <c r="AI258" s="115"/>
    </row>
    <row r="259" spans="1:35" s="208" customFormat="1" x14ac:dyDescent="0.25">
      <c r="A259" s="221">
        <v>327</v>
      </c>
      <c r="B259" s="130">
        <v>26.773752630000004</v>
      </c>
      <c r="C259" s="111">
        <v>1</v>
      </c>
      <c r="D259" s="214" t="s">
        <v>13</v>
      </c>
      <c r="E259" s="214" t="s">
        <v>10</v>
      </c>
      <c r="F259" s="128">
        <v>23.868997830000005</v>
      </c>
      <c r="G259" s="128">
        <v>2.9047548000000001</v>
      </c>
      <c r="H259" s="215">
        <f t="shared" si="62"/>
        <v>0.89150737141176017</v>
      </c>
      <c r="I259" s="215">
        <f>G259/B259</f>
        <v>0.10849262858823984</v>
      </c>
      <c r="J259" s="111">
        <v>9827.44</v>
      </c>
      <c r="K259" s="216">
        <f t="shared" si="61"/>
        <v>0.95</v>
      </c>
      <c r="L259" s="216">
        <f t="shared" si="60"/>
        <v>1</v>
      </c>
      <c r="M259" s="111">
        <f t="shared" si="63"/>
        <v>9336.0679999999993</v>
      </c>
      <c r="N259" s="111">
        <f>B259*M259</f>
        <v>249961.57516885886</v>
      </c>
      <c r="O259" s="111"/>
      <c r="P259" s="111"/>
      <c r="Q259" s="111"/>
      <c r="R259" s="111"/>
      <c r="S259" s="111"/>
      <c r="T259" s="111"/>
      <c r="U259" s="111"/>
      <c r="V259" s="111"/>
      <c r="W259" s="111"/>
      <c r="X259" s="111">
        <f t="shared" si="64"/>
        <v>249961.57516885886</v>
      </c>
      <c r="Y259" s="219" t="s">
        <v>27</v>
      </c>
      <c r="Z259" s="218"/>
      <c r="AA259" s="205"/>
      <c r="AB259" s="207"/>
      <c r="AC259" s="207"/>
      <c r="AE259" s="222"/>
      <c r="AF259" s="222"/>
      <c r="AI259" s="115"/>
    </row>
    <row r="260" spans="1:35" s="208" customFormat="1" x14ac:dyDescent="0.25">
      <c r="A260" s="221">
        <v>328</v>
      </c>
      <c r="B260" s="130">
        <v>51.78008415</v>
      </c>
      <c r="C260" s="216">
        <v>2</v>
      </c>
      <c r="D260" s="214" t="s">
        <v>13</v>
      </c>
      <c r="E260" s="214" t="s">
        <v>10</v>
      </c>
      <c r="F260" s="128">
        <v>51.78008415</v>
      </c>
      <c r="G260" s="128"/>
      <c r="H260" s="215">
        <f t="shared" si="62"/>
        <v>1</v>
      </c>
      <c r="I260" s="215">
        <f>G260/F260</f>
        <v>0</v>
      </c>
      <c r="J260" s="216">
        <v>14954.89</v>
      </c>
      <c r="K260" s="216">
        <f t="shared" si="61"/>
        <v>0.95</v>
      </c>
      <c r="L260" s="216">
        <f t="shared" si="60"/>
        <v>1</v>
      </c>
      <c r="M260" s="216">
        <f t="shared" si="63"/>
        <v>14207.145499999999</v>
      </c>
      <c r="N260" s="216">
        <f>M260*F260</f>
        <v>735647.18952129374</v>
      </c>
      <c r="O260" s="216"/>
      <c r="P260" s="216"/>
      <c r="Q260" s="216"/>
      <c r="R260" s="216"/>
      <c r="S260" s="216"/>
      <c r="T260" s="216"/>
      <c r="U260" s="216"/>
      <c r="V260" s="220"/>
      <c r="W260" s="220"/>
      <c r="X260" s="111">
        <f t="shared" si="64"/>
        <v>735647.18952129374</v>
      </c>
      <c r="Y260" s="219" t="s">
        <v>27</v>
      </c>
      <c r="Z260" s="218"/>
      <c r="AA260" s="205"/>
      <c r="AB260" s="207"/>
      <c r="AC260" s="207"/>
      <c r="AE260" s="222"/>
      <c r="AF260" s="222"/>
      <c r="AI260" s="115"/>
    </row>
    <row r="261" spans="1:35" s="208" customFormat="1" x14ac:dyDescent="0.25">
      <c r="A261" s="221">
        <v>329</v>
      </c>
      <c r="B261" s="130">
        <v>129.88550339</v>
      </c>
      <c r="C261" s="216">
        <v>2</v>
      </c>
      <c r="D261" s="214" t="s">
        <v>13</v>
      </c>
      <c r="E261" s="214" t="s">
        <v>10</v>
      </c>
      <c r="F261" s="128">
        <v>120.88116006999999</v>
      </c>
      <c r="G261" s="128"/>
      <c r="H261" s="215">
        <f t="shared" si="62"/>
        <v>0.93067476288740891</v>
      </c>
      <c r="I261" s="215">
        <f>G261/B261</f>
        <v>0</v>
      </c>
      <c r="J261" s="111">
        <v>16312.5</v>
      </c>
      <c r="K261" s="216">
        <f t="shared" si="61"/>
        <v>0.95</v>
      </c>
      <c r="L261" s="216">
        <f t="shared" si="60"/>
        <v>1</v>
      </c>
      <c r="M261" s="111">
        <f t="shared" si="63"/>
        <v>15496.875</v>
      </c>
      <c r="N261" s="216">
        <f>M261*B261</f>
        <v>2012819.4103469062</v>
      </c>
      <c r="O261" s="216"/>
      <c r="P261" s="216"/>
      <c r="Q261" s="111">
        <v>9.0043433200000003</v>
      </c>
      <c r="R261" s="111">
        <f>'Cálculo Depre.-Sist. Irrig.'!$P$3*Q261</f>
        <v>69333.443564000001</v>
      </c>
      <c r="S261" s="214" t="s">
        <v>22</v>
      </c>
      <c r="T261" s="111">
        <f>Q261</f>
        <v>9.0043433200000003</v>
      </c>
      <c r="U261" s="111"/>
      <c r="V261" s="220"/>
      <c r="W261" s="220"/>
      <c r="X261" s="111">
        <f t="shared" si="64"/>
        <v>2082152.8539109062</v>
      </c>
      <c r="Y261" s="219" t="s">
        <v>35</v>
      </c>
      <c r="Z261" s="218"/>
      <c r="AA261" s="205"/>
      <c r="AB261" s="207"/>
      <c r="AC261" s="207"/>
      <c r="AE261" s="222"/>
      <c r="AF261" s="222"/>
      <c r="AI261" s="115"/>
    </row>
    <row r="262" spans="1:35" s="208" customFormat="1" x14ac:dyDescent="0.25">
      <c r="A262" s="221">
        <v>330</v>
      </c>
      <c r="B262" s="130">
        <v>25.999495570000001</v>
      </c>
      <c r="C262" s="216">
        <v>2</v>
      </c>
      <c r="D262" s="214" t="s">
        <v>13</v>
      </c>
      <c r="E262" s="214" t="s">
        <v>10</v>
      </c>
      <c r="F262" s="128">
        <v>25.999495570000001</v>
      </c>
      <c r="G262" s="128"/>
      <c r="H262" s="215">
        <f t="shared" si="62"/>
        <v>1</v>
      </c>
      <c r="I262" s="215">
        <f>G262/F262</f>
        <v>0</v>
      </c>
      <c r="J262" s="216">
        <v>15004.72</v>
      </c>
      <c r="K262" s="216">
        <f t="shared" si="61"/>
        <v>0.95</v>
      </c>
      <c r="L262" s="216">
        <f t="shared" si="60"/>
        <v>1</v>
      </c>
      <c r="M262" s="216">
        <f t="shared" si="63"/>
        <v>14254.483999999999</v>
      </c>
      <c r="N262" s="216">
        <f>M262*F262</f>
        <v>370609.39361063583</v>
      </c>
      <c r="O262" s="216"/>
      <c r="P262" s="216"/>
      <c r="Q262" s="216"/>
      <c r="R262" s="216"/>
      <c r="S262" s="216"/>
      <c r="T262" s="216"/>
      <c r="U262" s="216"/>
      <c r="V262" s="220"/>
      <c r="W262" s="220"/>
      <c r="X262" s="111">
        <f t="shared" si="64"/>
        <v>370609.39361063583</v>
      </c>
      <c r="Y262" s="219" t="s">
        <v>13</v>
      </c>
      <c r="Z262" s="218"/>
      <c r="AA262" s="205"/>
      <c r="AB262" s="207"/>
      <c r="AC262" s="207"/>
      <c r="AE262" s="222"/>
      <c r="AF262" s="222"/>
      <c r="AI262" s="115"/>
    </row>
    <row r="263" spans="1:35" s="208" customFormat="1" x14ac:dyDescent="0.25">
      <c r="A263" s="221">
        <v>331</v>
      </c>
      <c r="B263" s="130">
        <v>25.748489320000001</v>
      </c>
      <c r="C263" s="216">
        <v>2</v>
      </c>
      <c r="D263" s="214" t="s">
        <v>10</v>
      </c>
      <c r="E263" s="214" t="s">
        <v>10</v>
      </c>
      <c r="F263" s="128">
        <v>20.880706350000001</v>
      </c>
      <c r="G263" s="128"/>
      <c r="H263" s="215">
        <f t="shared" si="62"/>
        <v>0.81094879355819227</v>
      </c>
      <c r="I263" s="215">
        <f>G263/B263</f>
        <v>0</v>
      </c>
      <c r="J263" s="111">
        <v>16568.25</v>
      </c>
      <c r="K263" s="216">
        <f t="shared" si="61"/>
        <v>0.95</v>
      </c>
      <c r="L263" s="216">
        <f t="shared" si="60"/>
        <v>1</v>
      </c>
      <c r="M263" s="111">
        <f t="shared" si="63"/>
        <v>15739.8375</v>
      </c>
      <c r="N263" s="216">
        <f>M263*B263</f>
        <v>405277.03776728548</v>
      </c>
      <c r="O263" s="216"/>
      <c r="P263" s="216"/>
      <c r="Q263" s="111">
        <v>4.8677829700000004</v>
      </c>
      <c r="R263" s="111">
        <f>'Cálculo Depre.-Sist. Irrig.'!$P$3*Q263</f>
        <v>37481.928869000003</v>
      </c>
      <c r="S263" s="214" t="s">
        <v>16</v>
      </c>
      <c r="T263" s="111">
        <f>Q263</f>
        <v>4.8677829700000004</v>
      </c>
      <c r="U263" s="111">
        <f>'Cálculo Valor Avaliação-Cultura'!$B$79*T263</f>
        <v>70065.621593220829</v>
      </c>
      <c r="V263" s="220"/>
      <c r="W263" s="220"/>
      <c r="X263" s="111">
        <f t="shared" si="64"/>
        <v>512824.58822950628</v>
      </c>
      <c r="Y263" s="219" t="s">
        <v>55</v>
      </c>
      <c r="Z263" s="218"/>
      <c r="AA263" s="205"/>
      <c r="AB263" s="207"/>
      <c r="AC263" s="207"/>
      <c r="AE263" s="222"/>
      <c r="AF263" s="222"/>
      <c r="AI263" s="115"/>
    </row>
    <row r="264" spans="1:35" s="208" customFormat="1" x14ac:dyDescent="0.25">
      <c r="A264" s="221">
        <v>332</v>
      </c>
      <c r="B264" s="130">
        <v>26.038185739999999</v>
      </c>
      <c r="C264" s="216">
        <v>1</v>
      </c>
      <c r="D264" s="214" t="s">
        <v>13</v>
      </c>
      <c r="E264" s="214" t="s">
        <v>10</v>
      </c>
      <c r="F264" s="128">
        <v>24.642422910000001</v>
      </c>
      <c r="G264" s="128"/>
      <c r="H264" s="215">
        <f t="shared" si="62"/>
        <v>0.94639554214962751</v>
      </c>
      <c r="I264" s="215">
        <f>G264/B264</f>
        <v>0</v>
      </c>
      <c r="J264" s="111">
        <v>16572.57</v>
      </c>
      <c r="K264" s="216">
        <f t="shared" si="61"/>
        <v>0.95</v>
      </c>
      <c r="L264" s="216">
        <f t="shared" si="60"/>
        <v>1</v>
      </c>
      <c r="M264" s="111">
        <f t="shared" si="63"/>
        <v>15743.941499999999</v>
      </c>
      <c r="N264" s="216">
        <f>M264*B264</f>
        <v>409943.67305669416</v>
      </c>
      <c r="O264" s="216"/>
      <c r="P264" s="216"/>
      <c r="Q264" s="111">
        <v>1.39576283</v>
      </c>
      <c r="R264" s="111">
        <f>'Cálculo Depre.-Sist. Irrig.'!$P$3*Q264</f>
        <v>10747.373791</v>
      </c>
      <c r="S264" s="214" t="s">
        <v>16</v>
      </c>
      <c r="T264" s="111">
        <f>Q264</f>
        <v>1.39576283</v>
      </c>
      <c r="U264" s="111">
        <f>'Cálculo Valor Avaliação-Cultura'!$B$79*T264</f>
        <v>20090.252766684665</v>
      </c>
      <c r="V264" s="220"/>
      <c r="W264" s="220"/>
      <c r="X264" s="111">
        <f t="shared" si="64"/>
        <v>440781.29961437883</v>
      </c>
      <c r="Y264" s="219" t="s">
        <v>13</v>
      </c>
      <c r="Z264" s="218"/>
      <c r="AA264" s="205"/>
      <c r="AB264" s="207"/>
      <c r="AC264" s="207"/>
      <c r="AE264" s="222"/>
      <c r="AF264" s="222"/>
      <c r="AI264" s="115"/>
    </row>
    <row r="265" spans="1:35" s="208" customFormat="1" x14ac:dyDescent="0.25">
      <c r="A265" s="221">
        <v>333</v>
      </c>
      <c r="B265" s="130">
        <v>25.710211210000001</v>
      </c>
      <c r="C265" s="216">
        <v>3</v>
      </c>
      <c r="D265" s="214" t="s">
        <v>10</v>
      </c>
      <c r="E265" s="214" t="s">
        <v>10</v>
      </c>
      <c r="F265" s="128">
        <v>25.710211210000001</v>
      </c>
      <c r="G265" s="128"/>
      <c r="H265" s="215">
        <f t="shared" si="62"/>
        <v>1</v>
      </c>
      <c r="I265" s="215">
        <f>G265/F265</f>
        <v>0</v>
      </c>
      <c r="J265" s="216">
        <v>18507.32</v>
      </c>
      <c r="K265" s="216">
        <f t="shared" si="61"/>
        <v>0.95</v>
      </c>
      <c r="L265" s="216">
        <f t="shared" si="60"/>
        <v>1</v>
      </c>
      <c r="M265" s="216">
        <f t="shared" si="63"/>
        <v>17581.953999999998</v>
      </c>
      <c r="N265" s="216">
        <f>M265*F265</f>
        <v>452035.7508245043</v>
      </c>
      <c r="O265" s="216"/>
      <c r="P265" s="216"/>
      <c r="Q265" s="216"/>
      <c r="R265" s="216"/>
      <c r="S265" s="216"/>
      <c r="T265" s="216"/>
      <c r="U265" s="216"/>
      <c r="V265" s="220">
        <v>19.551600000000001</v>
      </c>
      <c r="W265" s="111">
        <f>VLOOKUP(V265,'Estimativa Valores-Painéis Sol.'!$C$4:$D$24,2,FALSE)</f>
        <v>7300</v>
      </c>
      <c r="X265" s="111">
        <f t="shared" si="64"/>
        <v>459335.7508245043</v>
      </c>
      <c r="Y265" s="219" t="s">
        <v>65</v>
      </c>
      <c r="Z265" s="218"/>
      <c r="AA265" s="205"/>
      <c r="AB265" s="207"/>
      <c r="AC265" s="207"/>
      <c r="AE265" s="222"/>
      <c r="AF265" s="222"/>
      <c r="AI265" s="115"/>
    </row>
    <row r="266" spans="1:35" s="208" customFormat="1" x14ac:dyDescent="0.25">
      <c r="A266" s="221">
        <v>334</v>
      </c>
      <c r="B266" s="130">
        <v>51.943089110000003</v>
      </c>
      <c r="C266" s="216">
        <v>2</v>
      </c>
      <c r="D266" s="214" t="s">
        <v>13</v>
      </c>
      <c r="E266" s="214" t="s">
        <v>10</v>
      </c>
      <c r="F266" s="128">
        <v>42.354403189999999</v>
      </c>
      <c r="G266" s="128"/>
      <c r="H266" s="215">
        <f t="shared" si="62"/>
        <v>0.81540016036216056</v>
      </c>
      <c r="I266" s="215">
        <f>G266/B266</f>
        <v>0</v>
      </c>
      <c r="J266" s="111">
        <v>16506.97</v>
      </c>
      <c r="K266" s="216">
        <f t="shared" si="61"/>
        <v>0.95</v>
      </c>
      <c r="L266" s="216">
        <f t="shared" si="60"/>
        <v>1</v>
      </c>
      <c r="M266" s="111">
        <f t="shared" si="63"/>
        <v>15681.621500000001</v>
      </c>
      <c r="N266" s="216">
        <f>M266*B266</f>
        <v>814551.86296379194</v>
      </c>
      <c r="O266" s="216"/>
      <c r="P266" s="216"/>
      <c r="Q266" s="111">
        <v>9.5886859200000014</v>
      </c>
      <c r="R266" s="111">
        <f>'Cálculo Depre.-Sist. Irrig.'!$P$3*Q266</f>
        <v>73832.881584000017</v>
      </c>
      <c r="S266" s="214" t="s">
        <v>16</v>
      </c>
      <c r="T266" s="111">
        <f>Q266</f>
        <v>9.5886859200000014</v>
      </c>
      <c r="U266" s="111">
        <f>'Cálculo Valor Avaliação-Cultura'!$B$79*T266</f>
        <v>138017.08978963879</v>
      </c>
      <c r="V266" s="220"/>
      <c r="W266" s="220"/>
      <c r="X266" s="111">
        <f t="shared" si="64"/>
        <v>1026401.8343374308</v>
      </c>
      <c r="Y266" s="219" t="s">
        <v>38</v>
      </c>
      <c r="Z266" s="218"/>
      <c r="AA266" s="205"/>
      <c r="AB266" s="207"/>
      <c r="AC266" s="207"/>
      <c r="AE266" s="222"/>
      <c r="AF266" s="222"/>
      <c r="AI266" s="115"/>
    </row>
    <row r="267" spans="1:35" s="208" customFormat="1" x14ac:dyDescent="0.25">
      <c r="A267" s="221">
        <v>335</v>
      </c>
      <c r="B267" s="130">
        <v>66.09562579</v>
      </c>
      <c r="C267" s="216">
        <v>2</v>
      </c>
      <c r="D267" s="214" t="s">
        <v>13</v>
      </c>
      <c r="E267" s="214" t="s">
        <v>10</v>
      </c>
      <c r="F267" s="128">
        <v>66.09562579</v>
      </c>
      <c r="G267" s="128"/>
      <c r="H267" s="215">
        <f t="shared" si="62"/>
        <v>1</v>
      </c>
      <c r="I267" s="215">
        <f>G267/F267</f>
        <v>0</v>
      </c>
      <c r="J267" s="216">
        <v>14927.32</v>
      </c>
      <c r="K267" s="216">
        <f t="shared" si="61"/>
        <v>0.95</v>
      </c>
      <c r="L267" s="216">
        <f t="shared" si="60"/>
        <v>1</v>
      </c>
      <c r="M267" s="216">
        <f t="shared" si="63"/>
        <v>14180.954</v>
      </c>
      <c r="N267" s="216">
        <f>M267*F267</f>
        <v>937299.02892920363</v>
      </c>
      <c r="O267" s="216"/>
      <c r="P267" s="216"/>
      <c r="Q267" s="216"/>
      <c r="R267" s="216"/>
      <c r="S267" s="216"/>
      <c r="T267" s="216"/>
      <c r="U267" s="216"/>
      <c r="V267" s="220"/>
      <c r="W267" s="220"/>
      <c r="X267" s="111">
        <f t="shared" si="64"/>
        <v>937299.02892920363</v>
      </c>
      <c r="Y267" s="219" t="s">
        <v>13</v>
      </c>
      <c r="Z267" s="218"/>
      <c r="AA267" s="205"/>
      <c r="AB267" s="207"/>
      <c r="AC267" s="207"/>
      <c r="AE267" s="222"/>
      <c r="AF267" s="222"/>
      <c r="AI267" s="115"/>
    </row>
    <row r="268" spans="1:35" s="208" customFormat="1" x14ac:dyDescent="0.25">
      <c r="A268" s="221">
        <v>336</v>
      </c>
      <c r="B268" s="130">
        <v>25.619788719999999</v>
      </c>
      <c r="C268" s="216">
        <v>2</v>
      </c>
      <c r="D268" s="214" t="s">
        <v>10</v>
      </c>
      <c r="E268" s="214" t="s">
        <v>10</v>
      </c>
      <c r="F268" s="128">
        <v>20.36776253</v>
      </c>
      <c r="G268" s="128"/>
      <c r="H268" s="215">
        <f t="shared" si="62"/>
        <v>0.79500119039233053</v>
      </c>
      <c r="I268" s="215">
        <f>G268/B268</f>
        <v>0</v>
      </c>
      <c r="J268" s="111">
        <v>16573.59</v>
      </c>
      <c r="K268" s="216">
        <f t="shared" si="61"/>
        <v>0.95</v>
      </c>
      <c r="L268" s="216">
        <f t="shared" si="60"/>
        <v>1</v>
      </c>
      <c r="M268" s="111">
        <f t="shared" si="63"/>
        <v>15744.9105</v>
      </c>
      <c r="N268" s="216">
        <f>M268*B268</f>
        <v>403381.28042530955</v>
      </c>
      <c r="O268" s="216"/>
      <c r="P268" s="216"/>
      <c r="Q268" s="111">
        <v>5.2520261899999996</v>
      </c>
      <c r="R268" s="111">
        <f>'Cálculo Depre.-Sist. Irrig.'!$P$3*Q268</f>
        <v>40440.601662999994</v>
      </c>
      <c r="S268" s="214" t="s">
        <v>16</v>
      </c>
      <c r="T268" s="111">
        <f>Q268</f>
        <v>5.2520261899999996</v>
      </c>
      <c r="U268" s="111">
        <f>'Cálculo Valor Avaliação-Cultura'!$B$79*T268</f>
        <v>75596.320110020286</v>
      </c>
      <c r="V268" s="220">
        <v>175.0993</v>
      </c>
      <c r="W268" s="111">
        <f>VLOOKUP(V268,'Estimativa Valores-Painéis Sol.'!$C$4:$D$24,2,FALSE)</f>
        <v>36000</v>
      </c>
      <c r="X268" s="111">
        <f t="shared" si="64"/>
        <v>555418.20219832985</v>
      </c>
      <c r="Y268" s="219" t="s">
        <v>66</v>
      </c>
      <c r="Z268" s="218"/>
      <c r="AA268" s="205"/>
      <c r="AB268" s="207"/>
      <c r="AC268" s="207"/>
      <c r="AE268" s="222"/>
      <c r="AF268" s="222"/>
      <c r="AI268" s="115"/>
    </row>
    <row r="269" spans="1:35" s="208" customFormat="1" x14ac:dyDescent="0.25">
      <c r="A269" s="221">
        <v>337</v>
      </c>
      <c r="B269" s="130">
        <v>26.163943659999997</v>
      </c>
      <c r="C269" s="216">
        <v>2</v>
      </c>
      <c r="D269" s="214" t="s">
        <v>13</v>
      </c>
      <c r="E269" s="214" t="s">
        <v>10</v>
      </c>
      <c r="F269" s="128">
        <v>26.163943659999997</v>
      </c>
      <c r="G269" s="128"/>
      <c r="H269" s="215">
        <f t="shared" si="62"/>
        <v>1</v>
      </c>
      <c r="I269" s="215">
        <f>G269/F269</f>
        <v>0</v>
      </c>
      <c r="J269" s="216">
        <v>15004.34</v>
      </c>
      <c r="K269" s="216">
        <f t="shared" si="61"/>
        <v>0.95</v>
      </c>
      <c r="L269" s="216">
        <f t="shared" si="60"/>
        <v>1</v>
      </c>
      <c r="M269" s="216">
        <f t="shared" si="63"/>
        <v>14254.123</v>
      </c>
      <c r="N269" s="216">
        <f>M269*F269</f>
        <v>372944.07109471015</v>
      </c>
      <c r="O269" s="216"/>
      <c r="P269" s="216"/>
      <c r="Q269" s="216"/>
      <c r="R269" s="216"/>
      <c r="S269" s="216"/>
      <c r="T269" s="216"/>
      <c r="U269" s="216"/>
      <c r="V269" s="220"/>
      <c r="W269" s="220"/>
      <c r="X269" s="111">
        <f t="shared" si="64"/>
        <v>372944.07109471015</v>
      </c>
      <c r="Y269" s="219" t="s">
        <v>13</v>
      </c>
      <c r="Z269" s="218"/>
      <c r="AA269" s="205"/>
      <c r="AB269" s="207"/>
      <c r="AC269" s="207"/>
      <c r="AE269" s="222"/>
      <c r="AF269" s="222"/>
      <c r="AI269" s="115"/>
    </row>
    <row r="270" spans="1:35" s="208" customFormat="1" x14ac:dyDescent="0.25">
      <c r="A270" s="221">
        <v>338</v>
      </c>
      <c r="B270" s="130">
        <v>25.646507719999999</v>
      </c>
      <c r="C270" s="111">
        <v>1</v>
      </c>
      <c r="D270" s="214" t="s">
        <v>13</v>
      </c>
      <c r="E270" s="214" t="s">
        <v>10</v>
      </c>
      <c r="F270" s="128">
        <v>19.913414759999998</v>
      </c>
      <c r="G270" s="128">
        <v>5.7330929600000005</v>
      </c>
      <c r="H270" s="215">
        <f t="shared" si="62"/>
        <v>0.77645716825885247</v>
      </c>
      <c r="I270" s="215">
        <f>G270/B270</f>
        <v>0.2235428317411475</v>
      </c>
      <c r="J270" s="111">
        <v>9828.51</v>
      </c>
      <c r="K270" s="216">
        <f t="shared" si="61"/>
        <v>0.95</v>
      </c>
      <c r="L270" s="216">
        <f t="shared" si="60"/>
        <v>1</v>
      </c>
      <c r="M270" s="111">
        <f t="shared" si="63"/>
        <v>9337.084499999999</v>
      </c>
      <c r="N270" s="111">
        <f>B270*M270</f>
        <v>239463.60971154232</v>
      </c>
      <c r="O270" s="111"/>
      <c r="P270" s="111"/>
      <c r="Q270" s="111"/>
      <c r="R270" s="111"/>
      <c r="S270" s="111"/>
      <c r="T270" s="111"/>
      <c r="U270" s="111"/>
      <c r="V270" s="111"/>
      <c r="W270" s="111"/>
      <c r="X270" s="111">
        <f t="shared" si="64"/>
        <v>239463.60971154232</v>
      </c>
      <c r="Y270" s="219"/>
      <c r="Z270" s="218"/>
      <c r="AA270" s="205"/>
      <c r="AB270" s="207"/>
      <c r="AC270" s="207"/>
      <c r="AE270" s="222"/>
      <c r="AF270" s="222"/>
      <c r="AI270" s="115"/>
    </row>
    <row r="271" spans="1:35" s="208" customFormat="1" x14ac:dyDescent="0.25">
      <c r="A271" s="221">
        <v>339</v>
      </c>
      <c r="B271" s="130">
        <v>53.557711750000003</v>
      </c>
      <c r="C271" s="216">
        <v>2</v>
      </c>
      <c r="D271" s="214" t="s">
        <v>10</v>
      </c>
      <c r="E271" s="214" t="s">
        <v>10</v>
      </c>
      <c r="F271" s="128">
        <v>33.89647883</v>
      </c>
      <c r="G271" s="128"/>
      <c r="H271" s="215">
        <f t="shared" si="62"/>
        <v>0.63289632290909059</v>
      </c>
      <c r="I271" s="215">
        <f>G271/B271</f>
        <v>0</v>
      </c>
      <c r="J271" s="111">
        <v>16502.68</v>
      </c>
      <c r="K271" s="216">
        <f t="shared" si="61"/>
        <v>0.95</v>
      </c>
      <c r="L271" s="216">
        <f t="shared" si="60"/>
        <v>1</v>
      </c>
      <c r="M271" s="111">
        <f t="shared" si="63"/>
        <v>15677.546</v>
      </c>
      <c r="N271" s="216">
        <f>M271*B271</f>
        <v>839653.48961536551</v>
      </c>
      <c r="O271" s="216"/>
      <c r="P271" s="216"/>
      <c r="Q271" s="111">
        <v>19.66123292</v>
      </c>
      <c r="R271" s="111">
        <f>'Cálculo Depre.-Sist. Irrig.'!$P$3*Q271</f>
        <v>151391.49348400001</v>
      </c>
      <c r="S271" s="214" t="s">
        <v>16</v>
      </c>
      <c r="T271" s="111">
        <f>Q271</f>
        <v>19.66123292</v>
      </c>
      <c r="U271" s="111">
        <f>'Cálculo Valor Avaliação-Cultura'!$B$79*T271</f>
        <v>282998.75206410367</v>
      </c>
      <c r="V271" s="220">
        <v>549.3691</v>
      </c>
      <c r="W271" s="111">
        <f>VLOOKUP(V271,'Estimativa Valores-Painéis Sol.'!$C$4:$D$24,2,FALSE)</f>
        <v>78000</v>
      </c>
      <c r="X271" s="111">
        <f t="shared" si="64"/>
        <v>1352043.7351634691</v>
      </c>
      <c r="Y271" s="219" t="s">
        <v>67</v>
      </c>
      <c r="Z271" s="218"/>
      <c r="AA271" s="205"/>
      <c r="AB271" s="207"/>
      <c r="AC271" s="207"/>
      <c r="AE271" s="222"/>
      <c r="AF271" s="222"/>
      <c r="AI271" s="115"/>
    </row>
    <row r="272" spans="1:35" s="208" customFormat="1" x14ac:dyDescent="0.25">
      <c r="A272" s="221">
        <v>340</v>
      </c>
      <c r="B272" s="130">
        <v>271.86423994999996</v>
      </c>
      <c r="C272" s="216">
        <v>2</v>
      </c>
      <c r="D272" s="214" t="s">
        <v>10</v>
      </c>
      <c r="E272" s="214" t="s">
        <v>10</v>
      </c>
      <c r="F272" s="128">
        <v>271.86423994999996</v>
      </c>
      <c r="G272" s="128"/>
      <c r="H272" s="215">
        <f t="shared" si="62"/>
        <v>1</v>
      </c>
      <c r="I272" s="215">
        <f>G272/F272</f>
        <v>0</v>
      </c>
      <c r="J272" s="216">
        <v>17720.71</v>
      </c>
      <c r="K272" s="216">
        <f t="shared" si="61"/>
        <v>0.95</v>
      </c>
      <c r="L272" s="216">
        <f t="shared" si="60"/>
        <v>1</v>
      </c>
      <c r="M272" s="216">
        <f t="shared" si="63"/>
        <v>16834.674499999997</v>
      </c>
      <c r="N272" s="216">
        <f>M272*F272</f>
        <v>4576745.9877481451</v>
      </c>
      <c r="O272" s="216"/>
      <c r="P272" s="216"/>
      <c r="Q272" s="216"/>
      <c r="R272" s="216"/>
      <c r="S272" s="216"/>
      <c r="T272" s="216"/>
      <c r="U272" s="216"/>
      <c r="V272" s="220"/>
      <c r="W272" s="220"/>
      <c r="X272" s="111">
        <f t="shared" si="64"/>
        <v>4576745.9877481451</v>
      </c>
      <c r="Y272" s="219" t="s">
        <v>65</v>
      </c>
      <c r="Z272" s="218"/>
      <c r="AA272" s="205"/>
      <c r="AB272" s="207"/>
      <c r="AC272" s="207"/>
      <c r="AE272" s="222"/>
      <c r="AF272" s="222"/>
      <c r="AI272" s="115"/>
    </row>
    <row r="273" spans="1:35" s="208" customFormat="1" x14ac:dyDescent="0.25">
      <c r="A273" s="221">
        <v>341</v>
      </c>
      <c r="B273" s="130">
        <v>25.62799674</v>
      </c>
      <c r="C273" s="216">
        <v>2</v>
      </c>
      <c r="D273" s="214" t="s">
        <v>13</v>
      </c>
      <c r="E273" s="214" t="s">
        <v>10</v>
      </c>
      <c r="F273" s="128">
        <v>24.611990590000001</v>
      </c>
      <c r="G273" s="128"/>
      <c r="H273" s="215">
        <f t="shared" si="62"/>
        <v>0.96035561576242034</v>
      </c>
      <c r="I273" s="215">
        <f>G273/B273</f>
        <v>0</v>
      </c>
      <c r="J273" s="111">
        <v>16573.59</v>
      </c>
      <c r="K273" s="216">
        <f t="shared" si="61"/>
        <v>0.95</v>
      </c>
      <c r="L273" s="216">
        <f t="shared" si="60"/>
        <v>1</v>
      </c>
      <c r="M273" s="111">
        <f t="shared" si="63"/>
        <v>15744.9105</v>
      </c>
      <c r="N273" s="216">
        <f>M273*B273</f>
        <v>403510.51496559178</v>
      </c>
      <c r="O273" s="216"/>
      <c r="P273" s="216"/>
      <c r="Q273" s="111">
        <v>1.0160061499999999</v>
      </c>
      <c r="R273" s="111">
        <f>'Cálculo Depre.-Sist. Irrig.'!$P$3*Q273</f>
        <v>7823.2473549999995</v>
      </c>
      <c r="S273" s="214" t="s">
        <v>22</v>
      </c>
      <c r="T273" s="111">
        <f>Q273</f>
        <v>1.0160061499999999</v>
      </c>
      <c r="U273" s="111"/>
      <c r="V273" s="220">
        <v>45.692900000000002</v>
      </c>
      <c r="W273" s="111">
        <f>VLOOKUP(V273,'Estimativa Valores-Painéis Sol.'!$C$4:$D$24,2,FALSE)</f>
        <v>9300</v>
      </c>
      <c r="X273" s="111">
        <f t="shared" si="64"/>
        <v>420633.76232059178</v>
      </c>
      <c r="Y273" s="219" t="s">
        <v>68</v>
      </c>
      <c r="Z273" s="218"/>
      <c r="AA273" s="205"/>
      <c r="AB273" s="207"/>
      <c r="AC273" s="207"/>
      <c r="AE273" s="222"/>
      <c r="AF273" s="222"/>
      <c r="AI273" s="115"/>
    </row>
    <row r="274" spans="1:35" s="208" customFormat="1" x14ac:dyDescent="0.25">
      <c r="A274" s="221">
        <v>342</v>
      </c>
      <c r="B274" s="130">
        <v>25.754781619999999</v>
      </c>
      <c r="C274" s="216">
        <v>2</v>
      </c>
      <c r="D274" s="214" t="s">
        <v>13</v>
      </c>
      <c r="E274" s="214" t="s">
        <v>10</v>
      </c>
      <c r="F274" s="128">
        <v>25.754781619999999</v>
      </c>
      <c r="G274" s="128"/>
      <c r="H274" s="215">
        <f t="shared" si="62"/>
        <v>1</v>
      </c>
      <c r="I274" s="215">
        <f>G274/F274</f>
        <v>0</v>
      </c>
      <c r="J274" s="216">
        <v>15005.11</v>
      </c>
      <c r="K274" s="216">
        <f t="shared" si="61"/>
        <v>0.95</v>
      </c>
      <c r="L274" s="216">
        <f t="shared" ref="L274:L305" si="65">$B$321</f>
        <v>1</v>
      </c>
      <c r="M274" s="216">
        <f t="shared" si="63"/>
        <v>14254.854499999999</v>
      </c>
      <c r="N274" s="216">
        <f>M274*F274</f>
        <v>367130.66467237426</v>
      </c>
      <c r="O274" s="216"/>
      <c r="P274" s="216"/>
      <c r="Q274" s="216"/>
      <c r="R274" s="216"/>
      <c r="S274" s="216"/>
      <c r="T274" s="216"/>
      <c r="U274" s="216"/>
      <c r="V274" s="220"/>
      <c r="W274" s="220"/>
      <c r="X274" s="111">
        <f t="shared" si="64"/>
        <v>367130.66467237426</v>
      </c>
      <c r="Y274" s="219" t="s">
        <v>27</v>
      </c>
      <c r="Z274" s="218"/>
      <c r="AA274" s="205"/>
      <c r="AB274" s="207"/>
      <c r="AC274" s="207"/>
      <c r="AE274" s="222"/>
      <c r="AF274" s="222"/>
      <c r="AI274" s="115"/>
    </row>
    <row r="275" spans="1:35" s="208" customFormat="1" x14ac:dyDescent="0.25">
      <c r="A275" s="221">
        <v>343</v>
      </c>
      <c r="B275" s="130">
        <v>102.14580649999999</v>
      </c>
      <c r="C275" s="216">
        <v>3</v>
      </c>
      <c r="D275" s="214" t="s">
        <v>10</v>
      </c>
      <c r="E275" s="214" t="s">
        <v>10</v>
      </c>
      <c r="F275" s="128">
        <v>102.14580649999999</v>
      </c>
      <c r="G275" s="128"/>
      <c r="H275" s="215">
        <f t="shared" si="62"/>
        <v>1</v>
      </c>
      <c r="I275" s="215">
        <f>G275/F275</f>
        <v>0</v>
      </c>
      <c r="J275" s="216">
        <v>18252.509999999998</v>
      </c>
      <c r="K275" s="216">
        <f t="shared" si="61"/>
        <v>0.95</v>
      </c>
      <c r="L275" s="216">
        <f t="shared" si="65"/>
        <v>1</v>
      </c>
      <c r="M275" s="216">
        <f t="shared" si="63"/>
        <v>17339.884499999996</v>
      </c>
      <c r="N275" s="216">
        <f>M275*F275</f>
        <v>1771196.4868693487</v>
      </c>
      <c r="O275" s="216"/>
      <c r="P275" s="216"/>
      <c r="Q275" s="216"/>
      <c r="R275" s="216"/>
      <c r="S275" s="216"/>
      <c r="T275" s="216"/>
      <c r="U275" s="216"/>
      <c r="V275" s="220"/>
      <c r="W275" s="220"/>
      <c r="X275" s="111">
        <f t="shared" si="64"/>
        <v>1771196.4868693487</v>
      </c>
      <c r="Y275" s="219" t="s">
        <v>65</v>
      </c>
      <c r="Z275" s="218"/>
      <c r="AA275" s="205"/>
      <c r="AB275" s="207"/>
      <c r="AC275" s="207"/>
      <c r="AE275" s="222"/>
      <c r="AF275" s="222"/>
      <c r="AI275" s="115"/>
    </row>
    <row r="276" spans="1:35" s="208" customFormat="1" x14ac:dyDescent="0.25">
      <c r="A276" s="221">
        <v>344</v>
      </c>
      <c r="B276" s="130">
        <v>33.684595620000003</v>
      </c>
      <c r="C276" s="216">
        <v>2</v>
      </c>
      <c r="D276" s="214" t="s">
        <v>10</v>
      </c>
      <c r="E276" s="214" t="s">
        <v>10</v>
      </c>
      <c r="F276" s="128">
        <v>33.684595620000003</v>
      </c>
      <c r="G276" s="128"/>
      <c r="H276" s="215">
        <f t="shared" si="62"/>
        <v>1</v>
      </c>
      <c r="I276" s="215">
        <f>G276/F276</f>
        <v>0</v>
      </c>
      <c r="J276" s="216">
        <v>18480.16</v>
      </c>
      <c r="K276" s="216">
        <f t="shared" si="61"/>
        <v>0.95</v>
      </c>
      <c r="L276" s="216">
        <f t="shared" si="65"/>
        <v>1</v>
      </c>
      <c r="M276" s="216">
        <f t="shared" si="63"/>
        <v>17556.151999999998</v>
      </c>
      <c r="N276" s="216">
        <f>M276*F276</f>
        <v>591371.88076325424</v>
      </c>
      <c r="O276" s="216"/>
      <c r="P276" s="216"/>
      <c r="Q276" s="216"/>
      <c r="R276" s="216"/>
      <c r="S276" s="216"/>
      <c r="T276" s="216"/>
      <c r="U276" s="216"/>
      <c r="V276" s="220"/>
      <c r="W276" s="220"/>
      <c r="X276" s="111">
        <f t="shared" si="64"/>
        <v>591371.88076325424</v>
      </c>
      <c r="Y276" s="219" t="s">
        <v>62</v>
      </c>
      <c r="Z276" s="218"/>
      <c r="AA276" s="205"/>
      <c r="AB276" s="207"/>
      <c r="AC276" s="207"/>
      <c r="AE276" s="222"/>
      <c r="AF276" s="222"/>
      <c r="AI276" s="115"/>
    </row>
    <row r="277" spans="1:35" s="208" customFormat="1" x14ac:dyDescent="0.25">
      <c r="A277" s="221">
        <v>345</v>
      </c>
      <c r="B277" s="130">
        <v>10.18030514</v>
      </c>
      <c r="C277" s="216">
        <v>2</v>
      </c>
      <c r="D277" s="214" t="s">
        <v>10</v>
      </c>
      <c r="E277" s="214" t="s">
        <v>10</v>
      </c>
      <c r="F277" s="128">
        <v>10.18030514</v>
      </c>
      <c r="G277" s="128"/>
      <c r="H277" s="215">
        <f t="shared" si="62"/>
        <v>1</v>
      </c>
      <c r="I277" s="215">
        <f>G277/F277</f>
        <v>0</v>
      </c>
      <c r="J277" s="216">
        <v>18560.259999999998</v>
      </c>
      <c r="K277" s="216">
        <f t="shared" si="61"/>
        <v>0.95</v>
      </c>
      <c r="L277" s="216">
        <f t="shared" si="65"/>
        <v>1</v>
      </c>
      <c r="M277" s="216">
        <f t="shared" si="63"/>
        <v>17632.246999999999</v>
      </c>
      <c r="N277" s="216">
        <f>M277*F277</f>
        <v>179501.65476384957</v>
      </c>
      <c r="O277" s="216"/>
      <c r="P277" s="216"/>
      <c r="Q277" s="216"/>
      <c r="R277" s="216"/>
      <c r="S277" s="216"/>
      <c r="T277" s="216"/>
      <c r="U277" s="216"/>
      <c r="V277" s="220"/>
      <c r="W277" s="220"/>
      <c r="X277" s="111">
        <f t="shared" si="64"/>
        <v>179501.65476384957</v>
      </c>
      <c r="Y277" s="219" t="s">
        <v>60</v>
      </c>
      <c r="Z277" s="218"/>
      <c r="AA277" s="205"/>
      <c r="AB277" s="207"/>
      <c r="AC277" s="207"/>
      <c r="AE277" s="222"/>
      <c r="AF277" s="222"/>
      <c r="AI277" s="115"/>
    </row>
    <row r="278" spans="1:35" s="208" customFormat="1" x14ac:dyDescent="0.25">
      <c r="A278" s="221">
        <v>346</v>
      </c>
      <c r="B278" s="130">
        <v>10.63602122</v>
      </c>
      <c r="C278" s="216">
        <v>2</v>
      </c>
      <c r="D278" s="214" t="s">
        <v>10</v>
      </c>
      <c r="E278" s="214" t="s">
        <v>10</v>
      </c>
      <c r="F278" s="128">
        <v>10.63602122</v>
      </c>
      <c r="G278" s="128"/>
      <c r="H278" s="215">
        <f t="shared" si="62"/>
        <v>1</v>
      </c>
      <c r="I278" s="215">
        <f>G278/F278</f>
        <v>0</v>
      </c>
      <c r="J278" s="216">
        <v>18558.89</v>
      </c>
      <c r="K278" s="216">
        <f t="shared" si="61"/>
        <v>0.95</v>
      </c>
      <c r="L278" s="216">
        <f t="shared" si="65"/>
        <v>1</v>
      </c>
      <c r="M278" s="216">
        <f t="shared" si="63"/>
        <v>17630.945499999998</v>
      </c>
      <c r="N278" s="216">
        <f>M278*F278</f>
        <v>187523.11046666349</v>
      </c>
      <c r="O278" s="216"/>
      <c r="P278" s="216"/>
      <c r="Q278" s="216"/>
      <c r="R278" s="216"/>
      <c r="S278" s="216"/>
      <c r="T278" s="216"/>
      <c r="U278" s="216"/>
      <c r="V278" s="220">
        <v>6.9222000000000001</v>
      </c>
      <c r="W278" s="111">
        <f>VLOOKUP(V278,'Estimativa Valores-Painéis Sol.'!$C$4:$D$24,2,FALSE)</f>
        <v>2700</v>
      </c>
      <c r="X278" s="111">
        <f t="shared" si="64"/>
        <v>190223.11046666349</v>
      </c>
      <c r="Y278" s="219" t="s">
        <v>69</v>
      </c>
      <c r="Z278" s="218"/>
      <c r="AA278" s="205"/>
      <c r="AB278" s="207"/>
      <c r="AC278" s="207"/>
      <c r="AE278" s="222"/>
      <c r="AF278" s="222"/>
      <c r="AI278" s="115"/>
    </row>
    <row r="279" spans="1:35" s="208" customFormat="1" x14ac:dyDescent="0.25">
      <c r="A279" s="221">
        <v>347</v>
      </c>
      <c r="B279" s="130">
        <v>16.408809609999999</v>
      </c>
      <c r="C279" s="216">
        <v>2</v>
      </c>
      <c r="D279" s="214" t="s">
        <v>13</v>
      </c>
      <c r="E279" s="214" t="s">
        <v>10</v>
      </c>
      <c r="F279" s="128">
        <v>11.7814201</v>
      </c>
      <c r="G279" s="128">
        <v>4.0058297899999999</v>
      </c>
      <c r="H279" s="215">
        <f t="shared" si="62"/>
        <v>0.71799358881098019</v>
      </c>
      <c r="I279" s="215">
        <f>G279/B279</f>
        <v>0.24412677611657657</v>
      </c>
      <c r="J279" s="111">
        <v>16597.02</v>
      </c>
      <c r="K279" s="216">
        <f t="shared" ref="K279:K287" si="66">$B$318</f>
        <v>0.95</v>
      </c>
      <c r="L279" s="216">
        <f t="shared" si="65"/>
        <v>1</v>
      </c>
      <c r="M279" s="111">
        <f t="shared" si="63"/>
        <v>15767.169</v>
      </c>
      <c r="N279" s="216">
        <f>M279*B279</f>
        <v>258720.47420969408</v>
      </c>
      <c r="O279" s="216"/>
      <c r="P279" s="216"/>
      <c r="Q279" s="111">
        <v>0.62155972000000004</v>
      </c>
      <c r="R279" s="111">
        <f>'Cálculo Depre.-Sist. Irrig.'!$P$3*Q279</f>
        <v>4786.0098440000002</v>
      </c>
      <c r="S279" s="214" t="s">
        <v>16</v>
      </c>
      <c r="T279" s="111">
        <f>Q279</f>
        <v>0.62155972000000004</v>
      </c>
      <c r="U279" s="111">
        <f>'Cálculo Valor Avaliação-Cultura'!$B$79*T279</f>
        <v>8946.5714489543661</v>
      </c>
      <c r="V279" s="220"/>
      <c r="W279" s="220"/>
      <c r="X279" s="111">
        <f t="shared" si="64"/>
        <v>272453.05550264841</v>
      </c>
      <c r="Y279" s="219" t="s">
        <v>70</v>
      </c>
      <c r="Z279" s="218"/>
      <c r="AA279" s="205"/>
      <c r="AB279" s="207"/>
      <c r="AC279" s="207"/>
      <c r="AE279" s="222"/>
      <c r="AF279" s="222"/>
      <c r="AI279" s="115"/>
    </row>
    <row r="280" spans="1:35" s="208" customFormat="1" x14ac:dyDescent="0.25">
      <c r="A280" s="221">
        <v>348</v>
      </c>
      <c r="B280" s="130">
        <v>194.83906378</v>
      </c>
      <c r="C280" s="216">
        <v>2</v>
      </c>
      <c r="D280" s="214" t="s">
        <v>13</v>
      </c>
      <c r="E280" s="214" t="s">
        <v>10</v>
      </c>
      <c r="F280" s="128">
        <v>194.83906378</v>
      </c>
      <c r="G280" s="128"/>
      <c r="H280" s="215">
        <f t="shared" si="62"/>
        <v>1</v>
      </c>
      <c r="I280" s="215">
        <f>G280/F280</f>
        <v>0</v>
      </c>
      <c r="J280" s="216">
        <v>16151.73</v>
      </c>
      <c r="K280" s="216">
        <f t="shared" si="66"/>
        <v>0.95</v>
      </c>
      <c r="L280" s="216">
        <f t="shared" si="65"/>
        <v>1</v>
      </c>
      <c r="M280" s="216">
        <f t="shared" si="63"/>
        <v>15344.143499999998</v>
      </c>
      <c r="N280" s="216">
        <f>M280*F280</f>
        <v>2989638.5540459719</v>
      </c>
      <c r="O280" s="216"/>
      <c r="P280" s="216"/>
      <c r="Q280" s="216"/>
      <c r="R280" s="216"/>
      <c r="S280" s="216"/>
      <c r="T280" s="216"/>
      <c r="U280" s="216"/>
      <c r="V280" s="220"/>
      <c r="W280" s="220"/>
      <c r="X280" s="111">
        <f t="shared" si="64"/>
        <v>2989638.5540459719</v>
      </c>
      <c r="Y280" s="219" t="s">
        <v>71</v>
      </c>
      <c r="Z280" s="218"/>
      <c r="AA280" s="205"/>
      <c r="AB280" s="207"/>
      <c r="AC280" s="207"/>
      <c r="AE280" s="222"/>
      <c r="AF280" s="222"/>
      <c r="AI280" s="115"/>
    </row>
    <row r="281" spans="1:35" s="208" customFormat="1" x14ac:dyDescent="0.25">
      <c r="A281" s="221">
        <v>349</v>
      </c>
      <c r="B281" s="130">
        <v>43.938320860000005</v>
      </c>
      <c r="C281" s="216">
        <v>2</v>
      </c>
      <c r="D281" s="214" t="s">
        <v>10</v>
      </c>
      <c r="E281" s="214" t="s">
        <v>10</v>
      </c>
      <c r="F281" s="128"/>
      <c r="G281" s="128"/>
      <c r="H281" s="215">
        <f t="shared" si="62"/>
        <v>0</v>
      </c>
      <c r="I281" s="215">
        <f>G281/B281</f>
        <v>0</v>
      </c>
      <c r="J281" s="111">
        <v>14970.14</v>
      </c>
      <c r="K281" s="216">
        <f t="shared" si="66"/>
        <v>0.95</v>
      </c>
      <c r="L281" s="216">
        <f t="shared" si="65"/>
        <v>1</v>
      </c>
      <c r="M281" s="111">
        <f t="shared" si="63"/>
        <v>14221.632999999998</v>
      </c>
      <c r="N281" s="216">
        <f>M281*B281</f>
        <v>624874.67390716437</v>
      </c>
      <c r="O281" s="216"/>
      <c r="P281" s="216"/>
      <c r="Q281" s="111">
        <v>43.938320860000005</v>
      </c>
      <c r="R281" s="111">
        <f>'Cálculo Depre.-Sist. Irrig.'!$P$3*Q281</f>
        <v>338325.07062200003</v>
      </c>
      <c r="S281" s="214" t="s">
        <v>16</v>
      </c>
      <c r="T281" s="111">
        <f>Q281</f>
        <v>43.938320860000005</v>
      </c>
      <c r="U281" s="111">
        <f>'Cálculo Valor Avaliação-Cultura'!$B$79*T281</f>
        <v>632436.93931947858</v>
      </c>
      <c r="V281" s="220"/>
      <c r="W281" s="220"/>
      <c r="X281" s="111">
        <f t="shared" si="64"/>
        <v>1595636.683848643</v>
      </c>
      <c r="Y281" s="219" t="s">
        <v>29</v>
      </c>
      <c r="Z281" s="218"/>
      <c r="AA281" s="205"/>
      <c r="AB281" s="207"/>
      <c r="AC281" s="207"/>
      <c r="AE281" s="222"/>
      <c r="AF281" s="222"/>
      <c r="AI281" s="115"/>
    </row>
    <row r="282" spans="1:35" s="208" customFormat="1" x14ac:dyDescent="0.25">
      <c r="A282" s="221">
        <v>350</v>
      </c>
      <c r="B282" s="130">
        <v>25.741207800000002</v>
      </c>
      <c r="C282" s="216">
        <v>2</v>
      </c>
      <c r="D282" s="214" t="s">
        <v>10</v>
      </c>
      <c r="E282" s="214" t="s">
        <v>10</v>
      </c>
      <c r="F282" s="128">
        <v>25.741207800000002</v>
      </c>
      <c r="G282" s="128"/>
      <c r="H282" s="215">
        <f t="shared" si="62"/>
        <v>1</v>
      </c>
      <c r="I282" s="215">
        <f>G282/F282</f>
        <v>0</v>
      </c>
      <c r="J282" s="216">
        <v>18500.52</v>
      </c>
      <c r="K282" s="216">
        <f t="shared" si="66"/>
        <v>0.95</v>
      </c>
      <c r="L282" s="216">
        <f t="shared" si="65"/>
        <v>1</v>
      </c>
      <c r="M282" s="216">
        <f t="shared" si="63"/>
        <v>17575.493999999999</v>
      </c>
      <c r="N282" s="216">
        <f>M282*F282</f>
        <v>452414.44324165321</v>
      </c>
      <c r="O282" s="216"/>
      <c r="P282" s="216"/>
      <c r="Q282" s="216"/>
      <c r="R282" s="216"/>
      <c r="S282" s="216"/>
      <c r="T282" s="216"/>
      <c r="U282" s="216"/>
      <c r="V282" s="220"/>
      <c r="W282" s="220"/>
      <c r="X282" s="111">
        <f t="shared" si="64"/>
        <v>452414.44324165321</v>
      </c>
      <c r="Y282" s="219" t="s">
        <v>32</v>
      </c>
      <c r="Z282" s="218"/>
      <c r="AA282" s="205"/>
      <c r="AB282" s="207"/>
      <c r="AC282" s="207"/>
      <c r="AE282" s="222"/>
      <c r="AF282" s="222"/>
      <c r="AI282" s="115"/>
    </row>
    <row r="283" spans="1:35" s="208" customFormat="1" x14ac:dyDescent="0.25">
      <c r="A283" s="221">
        <v>351</v>
      </c>
      <c r="B283" s="130">
        <v>25.775568229999998</v>
      </c>
      <c r="C283" s="216">
        <v>2</v>
      </c>
      <c r="D283" s="214" t="s">
        <v>13</v>
      </c>
      <c r="E283" s="214" t="s">
        <v>10</v>
      </c>
      <c r="F283" s="128">
        <v>25.775568229999998</v>
      </c>
      <c r="G283" s="128"/>
      <c r="H283" s="215">
        <f t="shared" si="62"/>
        <v>1</v>
      </c>
      <c r="I283" s="215">
        <f>G283/F283</f>
        <v>0</v>
      </c>
      <c r="J283" s="216">
        <v>15005.11</v>
      </c>
      <c r="K283" s="216">
        <f t="shared" si="66"/>
        <v>0.95</v>
      </c>
      <c r="L283" s="216">
        <f t="shared" si="65"/>
        <v>1</v>
      </c>
      <c r="M283" s="216">
        <f t="shared" si="63"/>
        <v>14254.854499999999</v>
      </c>
      <c r="N283" s="216">
        <f>M283*F283</f>
        <v>367426.97477347247</v>
      </c>
      <c r="O283" s="216"/>
      <c r="P283" s="216"/>
      <c r="Q283" s="216"/>
      <c r="R283" s="216"/>
      <c r="S283" s="216"/>
      <c r="T283" s="216"/>
      <c r="U283" s="216"/>
      <c r="V283" s="220"/>
      <c r="W283" s="220"/>
      <c r="X283" s="111">
        <f t="shared" si="64"/>
        <v>367426.97477347247</v>
      </c>
      <c r="Y283" s="219" t="s">
        <v>68</v>
      </c>
      <c r="Z283" s="218"/>
      <c r="AA283" s="205"/>
      <c r="AB283" s="207"/>
      <c r="AC283" s="207"/>
      <c r="AE283" s="222"/>
      <c r="AF283" s="222"/>
      <c r="AI283" s="115"/>
    </row>
    <row r="284" spans="1:35" s="208" customFormat="1" x14ac:dyDescent="0.25">
      <c r="A284" s="221">
        <v>352</v>
      </c>
      <c r="B284" s="130">
        <v>66.459447569999995</v>
      </c>
      <c r="C284" s="111">
        <v>1</v>
      </c>
      <c r="D284" s="214" t="s">
        <v>13</v>
      </c>
      <c r="E284" s="214" t="s">
        <v>10</v>
      </c>
      <c r="F284" s="128">
        <v>50.313335559999999</v>
      </c>
      <c r="G284" s="128">
        <v>16.14611201</v>
      </c>
      <c r="H284" s="215">
        <f t="shared" si="62"/>
        <v>0.75705317151494944</v>
      </c>
      <c r="I284" s="215">
        <f>G284/B284</f>
        <v>0.24294682848505056</v>
      </c>
      <c r="J284" s="111">
        <v>9792.06</v>
      </c>
      <c r="K284" s="216">
        <f t="shared" si="66"/>
        <v>0.95</v>
      </c>
      <c r="L284" s="216">
        <f t="shared" si="65"/>
        <v>1</v>
      </c>
      <c r="M284" s="111">
        <f t="shared" si="63"/>
        <v>9302.4569999999985</v>
      </c>
      <c r="N284" s="111">
        <f>B284*M284</f>
        <v>618236.15326367936</v>
      </c>
      <c r="O284" s="111"/>
      <c r="P284" s="111"/>
      <c r="Q284" s="111"/>
      <c r="R284" s="111"/>
      <c r="S284" s="111"/>
      <c r="T284" s="111"/>
      <c r="U284" s="111"/>
      <c r="V284" s="111">
        <v>5.4821999999999997</v>
      </c>
      <c r="W284" s="111">
        <f>VLOOKUP(V284,'Estimativa Valores-Painéis Sol.'!$C$4:$D$24,2,FALSE)</f>
        <v>2100</v>
      </c>
      <c r="X284" s="111">
        <f t="shared" si="64"/>
        <v>620336.15326367936</v>
      </c>
      <c r="Y284" s="219" t="s">
        <v>27</v>
      </c>
      <c r="Z284" s="218"/>
      <c r="AA284" s="205"/>
      <c r="AB284" s="207"/>
      <c r="AC284" s="207"/>
      <c r="AE284" s="222"/>
      <c r="AF284" s="222"/>
      <c r="AI284" s="115"/>
    </row>
    <row r="285" spans="1:35" s="208" customFormat="1" x14ac:dyDescent="0.25">
      <c r="A285" s="221">
        <v>353</v>
      </c>
      <c r="B285" s="130">
        <v>0.91971119000000001</v>
      </c>
      <c r="C285" s="216">
        <v>2</v>
      </c>
      <c r="D285" s="214" t="s">
        <v>13</v>
      </c>
      <c r="E285" s="214" t="s">
        <v>10</v>
      </c>
      <c r="F285" s="128">
        <v>0.91971119000000001</v>
      </c>
      <c r="G285" s="128"/>
      <c r="H285" s="215">
        <f t="shared" si="62"/>
        <v>1</v>
      </c>
      <c r="I285" s="215">
        <f>G285/F285</f>
        <v>0</v>
      </c>
      <c r="J285" s="216">
        <v>16636.650000000001</v>
      </c>
      <c r="K285" s="216">
        <f t="shared" si="66"/>
        <v>0.95</v>
      </c>
      <c r="L285" s="216">
        <f t="shared" si="65"/>
        <v>1</v>
      </c>
      <c r="M285" s="216">
        <f t="shared" si="63"/>
        <v>15804.817500000001</v>
      </c>
      <c r="N285" s="216">
        <f>M285*F285</f>
        <v>14535.867510657827</v>
      </c>
      <c r="O285" s="216"/>
      <c r="P285" s="216"/>
      <c r="Q285" s="216"/>
      <c r="R285" s="216"/>
      <c r="S285" s="216"/>
      <c r="T285" s="216"/>
      <c r="U285" s="216"/>
      <c r="V285" s="220"/>
      <c r="W285" s="220"/>
      <c r="X285" s="111">
        <f t="shared" si="64"/>
        <v>14535.867510657827</v>
      </c>
      <c r="Y285" s="219" t="s">
        <v>34</v>
      </c>
      <c r="Z285" s="218"/>
      <c r="AA285" s="205"/>
      <c r="AB285" s="207"/>
      <c r="AC285" s="207"/>
      <c r="AE285" s="222"/>
      <c r="AF285" s="222"/>
      <c r="AI285" s="115"/>
    </row>
    <row r="286" spans="1:35" s="208" customFormat="1" x14ac:dyDescent="0.25">
      <c r="A286" s="221">
        <v>354</v>
      </c>
      <c r="B286" s="130">
        <v>39.468569819999999</v>
      </c>
      <c r="C286" s="216">
        <v>2</v>
      </c>
      <c r="D286" s="214" t="s">
        <v>10</v>
      </c>
      <c r="E286" s="214" t="s">
        <v>10</v>
      </c>
      <c r="F286" s="128">
        <v>24.369598740000001</v>
      </c>
      <c r="G286" s="128">
        <v>0.47865814000000001</v>
      </c>
      <c r="H286" s="215">
        <f t="shared" si="62"/>
        <v>0.61744316683223566</v>
      </c>
      <c r="I286" s="215">
        <f t="shared" ref="I286:I294" si="67">G286/B286</f>
        <v>1.2127577517578265E-2</v>
      </c>
      <c r="J286" s="111">
        <v>16538.310000000001</v>
      </c>
      <c r="K286" s="216">
        <f t="shared" si="66"/>
        <v>0.95</v>
      </c>
      <c r="L286" s="216">
        <f t="shared" si="65"/>
        <v>1</v>
      </c>
      <c r="M286" s="111">
        <f t="shared" si="63"/>
        <v>15711.3945</v>
      </c>
      <c r="N286" s="216">
        <f>M286*B286</f>
        <v>620106.27079281397</v>
      </c>
      <c r="O286" s="216"/>
      <c r="P286" s="216"/>
      <c r="Q286" s="111">
        <v>14.62031294</v>
      </c>
      <c r="R286" s="111">
        <f>'Cálculo Depre.-Sist. Irrig.'!$P$3*Q286</f>
        <v>112576.409638</v>
      </c>
      <c r="S286" s="214" t="s">
        <v>22</v>
      </c>
      <c r="T286" s="111">
        <f>Q286</f>
        <v>14.62031294</v>
      </c>
      <c r="U286" s="111"/>
      <c r="V286" s="220"/>
      <c r="W286" s="220"/>
      <c r="X286" s="111">
        <f t="shared" si="64"/>
        <v>732682.68043081393</v>
      </c>
      <c r="Y286" s="219" t="s">
        <v>29</v>
      </c>
      <c r="Z286" s="218"/>
      <c r="AA286" s="205"/>
      <c r="AB286" s="207"/>
      <c r="AC286" s="207"/>
      <c r="AE286" s="222"/>
      <c r="AF286" s="222"/>
      <c r="AI286" s="115"/>
    </row>
    <row r="287" spans="1:35" s="208" customFormat="1" x14ac:dyDescent="0.25">
      <c r="A287" s="221">
        <v>355</v>
      </c>
      <c r="B287" s="130">
        <v>7.9068793399999997</v>
      </c>
      <c r="C287" s="216">
        <v>2</v>
      </c>
      <c r="D287" s="214" t="s">
        <v>13</v>
      </c>
      <c r="E287" s="214" t="s">
        <v>10</v>
      </c>
      <c r="F287" s="128">
        <v>0.14992397000000057</v>
      </c>
      <c r="G287" s="128">
        <v>1.9135898899999999</v>
      </c>
      <c r="H287" s="215">
        <f t="shared" si="62"/>
        <v>1.8961206255109057E-2</v>
      </c>
      <c r="I287" s="215">
        <f t="shared" si="67"/>
        <v>0.24201582036535793</v>
      </c>
      <c r="J287" s="111">
        <v>16618.73</v>
      </c>
      <c r="K287" s="216">
        <f t="shared" si="66"/>
        <v>0.95</v>
      </c>
      <c r="L287" s="216">
        <f t="shared" si="65"/>
        <v>1</v>
      </c>
      <c r="M287" s="111">
        <f t="shared" si="63"/>
        <v>15787.793499999998</v>
      </c>
      <c r="N287" s="216">
        <f>M287*B287</f>
        <v>124832.17824933627</v>
      </c>
      <c r="O287" s="216"/>
      <c r="P287" s="216"/>
      <c r="Q287" s="111">
        <v>5.8433654799999992</v>
      </c>
      <c r="R287" s="111">
        <f>'Cálculo Depre.-Sist. Irrig.'!$P$3*Q287</f>
        <v>44993.914195999991</v>
      </c>
      <c r="S287" s="214" t="s">
        <v>16</v>
      </c>
      <c r="T287" s="111">
        <f>Q287</f>
        <v>5.8433654799999992</v>
      </c>
      <c r="U287" s="111">
        <f>'Cálculo Valor Avaliação-Cultura'!$B$79*T287</f>
        <v>84107.90642799942</v>
      </c>
      <c r="V287" s="220"/>
      <c r="W287" s="220"/>
      <c r="X287" s="111">
        <f t="shared" si="64"/>
        <v>253933.99887333566</v>
      </c>
      <c r="Y287" s="219" t="s">
        <v>31</v>
      </c>
      <c r="Z287" s="218"/>
      <c r="AA287" s="205"/>
      <c r="AB287" s="207"/>
      <c r="AC287" s="207"/>
      <c r="AE287" s="222"/>
      <c r="AF287" s="222"/>
      <c r="AI287" s="115"/>
    </row>
    <row r="288" spans="1:35" s="208" customFormat="1" x14ac:dyDescent="0.25">
      <c r="A288" s="221">
        <v>356</v>
      </c>
      <c r="B288" s="130">
        <v>6.2796003999999996</v>
      </c>
      <c r="C288" s="216">
        <v>2</v>
      </c>
      <c r="D288" s="214" t="s">
        <v>10</v>
      </c>
      <c r="E288" s="214" t="s">
        <v>10</v>
      </c>
      <c r="F288" s="128"/>
      <c r="G288" s="128">
        <v>6.2796003999999996</v>
      </c>
      <c r="H288" s="215">
        <f t="shared" si="62"/>
        <v>0</v>
      </c>
      <c r="I288" s="215">
        <f t="shared" si="67"/>
        <v>1</v>
      </c>
      <c r="J288" s="216">
        <v>15912.32</v>
      </c>
      <c r="K288" s="216">
        <f>$B$319</f>
        <v>0.9</v>
      </c>
      <c r="L288" s="216">
        <f t="shared" si="65"/>
        <v>1</v>
      </c>
      <c r="M288" s="216">
        <f t="shared" si="63"/>
        <v>14321.088</v>
      </c>
      <c r="N288" s="216">
        <f>M288*B288</f>
        <v>89930.709933235194</v>
      </c>
      <c r="O288" s="216"/>
      <c r="P288" s="216"/>
      <c r="Q288" s="216"/>
      <c r="R288" s="216"/>
      <c r="S288" s="216"/>
      <c r="T288" s="216"/>
      <c r="U288" s="216"/>
      <c r="V288" s="216"/>
      <c r="W288" s="216"/>
      <c r="X288" s="111">
        <f t="shared" si="64"/>
        <v>89930.709933235194</v>
      </c>
      <c r="Y288" s="214" t="s">
        <v>59</v>
      </c>
      <c r="Z288" s="218"/>
      <c r="AA288" s="205"/>
      <c r="AB288" s="207"/>
      <c r="AC288" s="207"/>
      <c r="AE288" s="222"/>
      <c r="AF288" s="222"/>
      <c r="AI288" s="115"/>
    </row>
    <row r="289" spans="1:35" s="208" customFormat="1" x14ac:dyDescent="0.25">
      <c r="A289" s="221">
        <v>357</v>
      </c>
      <c r="B289" s="130">
        <v>4.75679505</v>
      </c>
      <c r="C289" s="216">
        <v>2</v>
      </c>
      <c r="D289" s="214" t="s">
        <v>10</v>
      </c>
      <c r="E289" s="214" t="s">
        <v>10</v>
      </c>
      <c r="F289" s="128">
        <v>0.12091414999999996</v>
      </c>
      <c r="G289" s="128">
        <v>1.3228514999999998</v>
      </c>
      <c r="H289" s="215">
        <f t="shared" si="62"/>
        <v>2.5419247356473759E-2</v>
      </c>
      <c r="I289" s="215">
        <f t="shared" si="67"/>
        <v>0.27809722430652123</v>
      </c>
      <c r="J289" s="111">
        <v>15045.75</v>
      </c>
      <c r="K289" s="216">
        <f>$B$318</f>
        <v>0.95</v>
      </c>
      <c r="L289" s="216">
        <f t="shared" si="65"/>
        <v>1</v>
      </c>
      <c r="M289" s="111">
        <f t="shared" si="63"/>
        <v>14293.4625</v>
      </c>
      <c r="N289" s="216">
        <f>M289*B289</f>
        <v>67991.071667360622</v>
      </c>
      <c r="O289" s="216"/>
      <c r="P289" s="216"/>
      <c r="Q289" s="111">
        <v>3.3130294</v>
      </c>
      <c r="R289" s="111">
        <f>'Cálculo Depre.-Sist. Irrig.'!$P$3*Q289</f>
        <v>25510.326379999999</v>
      </c>
      <c r="S289" s="214" t="s">
        <v>16</v>
      </c>
      <c r="T289" s="111">
        <f>Q289</f>
        <v>3.3130294</v>
      </c>
      <c r="U289" s="111">
        <f>'Cálculo Valor Avaliação-Cultura'!$B$79*T289</f>
        <v>47686.896827204982</v>
      </c>
      <c r="V289" s="220">
        <v>30.999600000000001</v>
      </c>
      <c r="W289" s="111">
        <f>VLOOKUP(V289,'Estimativa Valores-Painéis Sol.'!$C$4:$D$24,2,FALSE)</f>
        <v>8000</v>
      </c>
      <c r="X289" s="111">
        <f t="shared" si="64"/>
        <v>149188.29487456562</v>
      </c>
      <c r="Y289" s="219" t="s">
        <v>53</v>
      </c>
      <c r="Z289" s="218"/>
      <c r="AA289" s="205"/>
      <c r="AB289" s="207"/>
      <c r="AC289" s="207"/>
      <c r="AE289" s="222"/>
      <c r="AF289" s="222"/>
      <c r="AI289" s="115"/>
    </row>
    <row r="290" spans="1:35" s="208" customFormat="1" x14ac:dyDescent="0.25">
      <c r="A290" s="221">
        <v>358</v>
      </c>
      <c r="B290" s="130">
        <v>33.576460749999995</v>
      </c>
      <c r="C290" s="111">
        <v>1</v>
      </c>
      <c r="D290" s="214" t="s">
        <v>13</v>
      </c>
      <c r="E290" s="214" t="s">
        <v>10</v>
      </c>
      <c r="F290" s="128">
        <v>0.58860744000000009</v>
      </c>
      <c r="G290" s="128">
        <v>32.987853309999998</v>
      </c>
      <c r="H290" s="215">
        <f t="shared" si="62"/>
        <v>1.7530359866770658E-2</v>
      </c>
      <c r="I290" s="215">
        <f t="shared" si="67"/>
        <v>0.98246964013322946</v>
      </c>
      <c r="J290" s="111">
        <v>8969.69</v>
      </c>
      <c r="K290" s="216">
        <f>$B$318</f>
        <v>0.95</v>
      </c>
      <c r="L290" s="216">
        <f t="shared" si="65"/>
        <v>1</v>
      </c>
      <c r="M290" s="111">
        <f t="shared" si="63"/>
        <v>8521.2055</v>
      </c>
      <c r="N290" s="111">
        <f>B290*M290</f>
        <v>286111.92201343412</v>
      </c>
      <c r="O290" s="111"/>
      <c r="P290" s="111"/>
      <c r="Q290" s="111"/>
      <c r="R290" s="111"/>
      <c r="S290" s="111"/>
      <c r="T290" s="111"/>
      <c r="U290" s="111"/>
      <c r="V290" s="111"/>
      <c r="W290" s="111"/>
      <c r="X290" s="111">
        <f t="shared" si="64"/>
        <v>286111.92201343412</v>
      </c>
      <c r="Y290" s="219" t="s">
        <v>68</v>
      </c>
      <c r="Z290" s="218"/>
      <c r="AA290" s="205"/>
      <c r="AB290" s="207"/>
      <c r="AC290" s="207"/>
      <c r="AE290" s="222"/>
      <c r="AF290" s="222"/>
      <c r="AI290" s="115"/>
    </row>
    <row r="291" spans="1:35" s="208" customFormat="1" x14ac:dyDescent="0.25">
      <c r="A291" s="221">
        <v>359</v>
      </c>
      <c r="B291" s="130">
        <v>89.000706249999993</v>
      </c>
      <c r="C291" s="216">
        <v>2</v>
      </c>
      <c r="D291" s="214" t="s">
        <v>10</v>
      </c>
      <c r="E291" s="214" t="s">
        <v>10</v>
      </c>
      <c r="F291" s="128">
        <v>26.062506010000007</v>
      </c>
      <c r="G291" s="128">
        <v>50.530624629999998</v>
      </c>
      <c r="H291" s="215">
        <f t="shared" si="62"/>
        <v>0.29283482242029973</v>
      </c>
      <c r="I291" s="215">
        <f t="shared" si="67"/>
        <v>0.5677553219416166</v>
      </c>
      <c r="J291" s="111">
        <v>14883.23</v>
      </c>
      <c r="K291" s="216">
        <f>$B$318</f>
        <v>0.95</v>
      </c>
      <c r="L291" s="216">
        <f t="shared" si="65"/>
        <v>1</v>
      </c>
      <c r="M291" s="111">
        <f t="shared" si="63"/>
        <v>14139.068499999999</v>
      </c>
      <c r="N291" s="216">
        <f>M291*B291</f>
        <v>1258387.082217128</v>
      </c>
      <c r="O291" s="216"/>
      <c r="P291" s="216"/>
      <c r="Q291" s="111">
        <v>12.40757561</v>
      </c>
      <c r="R291" s="111">
        <f>'Cálculo Depre.-Sist. Irrig.'!$P$3*Q291</f>
        <v>95538.332196999996</v>
      </c>
      <c r="S291" s="214" t="s">
        <v>16</v>
      </c>
      <c r="T291" s="111">
        <f>Q291</f>
        <v>12.40757561</v>
      </c>
      <c r="U291" s="111">
        <f>'Cálculo Valor Avaliação-Cultura'!$B$79*T291</f>
        <v>178591.46616381215</v>
      </c>
      <c r="V291" s="220"/>
      <c r="W291" s="220"/>
      <c r="X291" s="111">
        <f t="shared" si="64"/>
        <v>1532516.8805779403</v>
      </c>
      <c r="Y291" s="219" t="s">
        <v>72</v>
      </c>
      <c r="Z291" s="218"/>
      <c r="AA291" s="205"/>
      <c r="AB291" s="207"/>
      <c r="AC291" s="207"/>
      <c r="AE291" s="222"/>
      <c r="AF291" s="222"/>
      <c r="AI291" s="115"/>
    </row>
    <row r="292" spans="1:35" s="208" customFormat="1" x14ac:dyDescent="0.25">
      <c r="A292" s="221">
        <v>360</v>
      </c>
      <c r="B292" s="130">
        <v>182.76120936000001</v>
      </c>
      <c r="C292" s="216">
        <v>2</v>
      </c>
      <c r="D292" s="214" t="s">
        <v>10</v>
      </c>
      <c r="E292" s="214" t="s">
        <v>10</v>
      </c>
      <c r="F292" s="128">
        <v>46.920087920000014</v>
      </c>
      <c r="G292" s="128">
        <v>31.67933343</v>
      </c>
      <c r="H292" s="215">
        <f t="shared" si="62"/>
        <v>0.25672892012646731</v>
      </c>
      <c r="I292" s="215">
        <f t="shared" si="67"/>
        <v>0.17333729373391579</v>
      </c>
      <c r="J292" s="216">
        <v>14703.51</v>
      </c>
      <c r="K292" s="216">
        <f>$B$318</f>
        <v>0.95</v>
      </c>
      <c r="L292" s="216">
        <f t="shared" si="65"/>
        <v>1</v>
      </c>
      <c r="M292" s="216">
        <f t="shared" si="63"/>
        <v>13968.334499999999</v>
      </c>
      <c r="N292" s="216">
        <f>B292*M292</f>
        <v>2552869.7059650109</v>
      </c>
      <c r="O292" s="214">
        <v>99.869755380000001</v>
      </c>
      <c r="P292" s="111">
        <f>'Cálculo Depre.-Sist. Irrig.'!$P$4 *O292</f>
        <v>679114.33658400003</v>
      </c>
      <c r="Q292" s="111">
        <v>4.2920326300000005</v>
      </c>
      <c r="R292" s="111">
        <f>'Cálculo Depre.-Sist. Irrig.'!$P$3*Q292</f>
        <v>33048.651251000003</v>
      </c>
      <c r="S292" s="214" t="s">
        <v>16</v>
      </c>
      <c r="T292" s="111">
        <f>Q292</f>
        <v>4.2920326300000005</v>
      </c>
      <c r="U292" s="111">
        <f>'Cálculo Valor Avaliação-Cultura'!$B$79*T292</f>
        <v>61778.418629731226</v>
      </c>
      <c r="V292" s="220">
        <v>449.23700000000002</v>
      </c>
      <c r="W292" s="111">
        <f>VLOOKUP(V292,'Estimativa Valores-Painéis Sol.'!$C$4:$D$24,2,FALSE)</f>
        <v>63000</v>
      </c>
      <c r="X292" s="111">
        <f t="shared" si="64"/>
        <v>3389811.1124297418</v>
      </c>
      <c r="Y292" s="219" t="s">
        <v>73</v>
      </c>
      <c r="Z292" s="218"/>
      <c r="AA292" s="205"/>
      <c r="AB292" s="207"/>
      <c r="AC292" s="207"/>
      <c r="AE292" s="222"/>
      <c r="AF292" s="222"/>
      <c r="AI292" s="115"/>
    </row>
    <row r="293" spans="1:35" s="208" customFormat="1" x14ac:dyDescent="0.25">
      <c r="A293" s="221">
        <v>361</v>
      </c>
      <c r="B293" s="130">
        <v>102.74195252999999</v>
      </c>
      <c r="C293" s="111">
        <v>2</v>
      </c>
      <c r="D293" s="214" t="s">
        <v>10</v>
      </c>
      <c r="E293" s="214" t="s">
        <v>10</v>
      </c>
      <c r="F293" s="128">
        <v>80.981171529999997</v>
      </c>
      <c r="G293" s="128">
        <v>21.760781000000001</v>
      </c>
      <c r="H293" s="215">
        <f t="shared" si="62"/>
        <v>0.78819965492045729</v>
      </c>
      <c r="I293" s="215">
        <f t="shared" si="67"/>
        <v>0.21180034507954279</v>
      </c>
      <c r="J293" s="111">
        <v>16379.79</v>
      </c>
      <c r="K293" s="216">
        <f>$B$318</f>
        <v>0.95</v>
      </c>
      <c r="L293" s="216">
        <f t="shared" si="65"/>
        <v>1</v>
      </c>
      <c r="M293" s="111">
        <f t="shared" si="63"/>
        <v>15560.800499999999</v>
      </c>
      <c r="N293" s="111">
        <f>B293*M293</f>
        <v>1598747.0262998</v>
      </c>
      <c r="O293" s="111"/>
      <c r="P293" s="111"/>
      <c r="Q293" s="111"/>
      <c r="R293" s="111"/>
      <c r="S293" s="111"/>
      <c r="T293" s="111"/>
      <c r="U293" s="111"/>
      <c r="V293" s="111"/>
      <c r="W293" s="111"/>
      <c r="X293" s="111">
        <f t="shared" si="64"/>
        <v>1598747.0262998</v>
      </c>
      <c r="Y293" s="219" t="s">
        <v>32</v>
      </c>
      <c r="Z293" s="218"/>
      <c r="AA293" s="205"/>
      <c r="AB293" s="207"/>
      <c r="AC293" s="207"/>
      <c r="AE293" s="222"/>
      <c r="AF293" s="222"/>
      <c r="AI293" s="115"/>
    </row>
    <row r="294" spans="1:35" s="208" customFormat="1" x14ac:dyDescent="0.25">
      <c r="A294" s="221">
        <v>362</v>
      </c>
      <c r="B294" s="130">
        <v>12.319909540000001</v>
      </c>
      <c r="C294" s="216">
        <v>0.3</v>
      </c>
      <c r="D294" s="214" t="s">
        <v>13</v>
      </c>
      <c r="E294" s="214" t="s">
        <v>10</v>
      </c>
      <c r="F294" s="128"/>
      <c r="G294" s="128">
        <v>12.319909540000001</v>
      </c>
      <c r="H294" s="215">
        <f t="shared" si="62"/>
        <v>0</v>
      </c>
      <c r="I294" s="215">
        <f t="shared" si="67"/>
        <v>1</v>
      </c>
      <c r="J294" s="216">
        <v>5502.05</v>
      </c>
      <c r="K294" s="216">
        <f>$B$319</f>
        <v>0.9</v>
      </c>
      <c r="L294" s="216">
        <f t="shared" si="65"/>
        <v>1</v>
      </c>
      <c r="M294" s="216">
        <f t="shared" si="63"/>
        <v>4951.8450000000003</v>
      </c>
      <c r="N294" s="216">
        <f>M294*B294</f>
        <v>61006.282456101311</v>
      </c>
      <c r="O294" s="216"/>
      <c r="P294" s="216"/>
      <c r="Q294" s="216"/>
      <c r="R294" s="216"/>
      <c r="S294" s="216"/>
      <c r="T294" s="216"/>
      <c r="U294" s="216"/>
      <c r="V294" s="216"/>
      <c r="W294" s="216"/>
      <c r="X294" s="111">
        <f t="shared" si="64"/>
        <v>61006.282456101311</v>
      </c>
      <c r="Y294" s="214" t="s">
        <v>13</v>
      </c>
      <c r="Z294" s="218"/>
      <c r="AA294" s="205"/>
      <c r="AB294" s="207"/>
      <c r="AC294" s="207"/>
      <c r="AE294" s="222"/>
      <c r="AF294" s="222"/>
      <c r="AI294" s="115"/>
    </row>
    <row r="295" spans="1:35" s="208" customFormat="1" x14ac:dyDescent="0.25">
      <c r="A295" s="221">
        <v>363</v>
      </c>
      <c r="B295" s="130">
        <v>9.9269207099999992</v>
      </c>
      <c r="C295" s="216">
        <v>2</v>
      </c>
      <c r="D295" s="214" t="s">
        <v>10</v>
      </c>
      <c r="E295" s="214" t="s">
        <v>10</v>
      </c>
      <c r="F295" s="128">
        <v>9.9269207099999992</v>
      </c>
      <c r="G295" s="128"/>
      <c r="H295" s="215">
        <f t="shared" si="62"/>
        <v>1</v>
      </c>
      <c r="I295" s="215">
        <f>G295/F295</f>
        <v>0</v>
      </c>
      <c r="J295" s="216">
        <v>18561.29</v>
      </c>
      <c r="K295" s="216">
        <f t="shared" ref="K295:K305" si="68">$B$318</f>
        <v>0.95</v>
      </c>
      <c r="L295" s="216">
        <f t="shared" si="65"/>
        <v>1</v>
      </c>
      <c r="M295" s="216">
        <f t="shared" si="63"/>
        <v>17633.2255</v>
      </c>
      <c r="N295" s="216">
        <f>M295*F295</f>
        <v>175043.6314000501</v>
      </c>
      <c r="O295" s="216"/>
      <c r="P295" s="216"/>
      <c r="Q295" s="216"/>
      <c r="R295" s="216"/>
      <c r="S295" s="216"/>
      <c r="T295" s="216"/>
      <c r="U295" s="216"/>
      <c r="V295" s="220">
        <v>5.8266</v>
      </c>
      <c r="W295" s="111">
        <f>VLOOKUP(V295,'Estimativa Valores-Painéis Sol.'!$C$4:$D$24,2,FALSE)</f>
        <v>2300</v>
      </c>
      <c r="X295" s="111">
        <f t="shared" si="64"/>
        <v>177343.6314000501</v>
      </c>
      <c r="Y295" s="219" t="s">
        <v>29</v>
      </c>
      <c r="Z295" s="218"/>
      <c r="AA295" s="205"/>
      <c r="AB295" s="207"/>
      <c r="AC295" s="207"/>
      <c r="AE295" s="222"/>
      <c r="AF295" s="222"/>
      <c r="AI295" s="115"/>
    </row>
    <row r="296" spans="1:35" s="208" customFormat="1" x14ac:dyDescent="0.25">
      <c r="A296" s="221">
        <v>364</v>
      </c>
      <c r="B296" s="130">
        <v>29.100635590000003</v>
      </c>
      <c r="C296" s="216">
        <v>2</v>
      </c>
      <c r="D296" s="214" t="s">
        <v>10</v>
      </c>
      <c r="E296" s="214" t="s">
        <v>10</v>
      </c>
      <c r="F296" s="128">
        <v>29.100635590000003</v>
      </c>
      <c r="G296" s="128"/>
      <c r="H296" s="215">
        <f t="shared" si="62"/>
        <v>1</v>
      </c>
      <c r="I296" s="215">
        <f>G296/F296</f>
        <v>0</v>
      </c>
      <c r="J296" s="216">
        <v>18495.759999999998</v>
      </c>
      <c r="K296" s="216">
        <f t="shared" si="68"/>
        <v>0.95</v>
      </c>
      <c r="L296" s="216">
        <f t="shared" si="65"/>
        <v>1</v>
      </c>
      <c r="M296" s="216">
        <f t="shared" si="63"/>
        <v>17570.971999999998</v>
      </c>
      <c r="N296" s="216">
        <f>M296*F296</f>
        <v>511326.45313409349</v>
      </c>
      <c r="O296" s="216"/>
      <c r="P296" s="216"/>
      <c r="Q296" s="216"/>
      <c r="R296" s="216"/>
      <c r="S296" s="216"/>
      <c r="T296" s="216"/>
      <c r="U296" s="216"/>
      <c r="V296" s="220"/>
      <c r="W296" s="220"/>
      <c r="X296" s="111">
        <f t="shared" si="64"/>
        <v>511326.45313409349</v>
      </c>
      <c r="Y296" s="219" t="s">
        <v>36</v>
      </c>
      <c r="Z296" s="218"/>
      <c r="AA296" s="205"/>
      <c r="AB296" s="207"/>
      <c r="AC296" s="207"/>
      <c r="AE296" s="222"/>
      <c r="AF296" s="222"/>
      <c r="AI296" s="115"/>
    </row>
    <row r="297" spans="1:35" s="208" customFormat="1" x14ac:dyDescent="0.25">
      <c r="A297" s="221">
        <v>365</v>
      </c>
      <c r="B297" s="130">
        <v>117.51390131999999</v>
      </c>
      <c r="C297" s="216">
        <v>2</v>
      </c>
      <c r="D297" s="214" t="s">
        <v>13</v>
      </c>
      <c r="E297" s="214" t="s">
        <v>10</v>
      </c>
      <c r="F297" s="128">
        <v>69.255496780000001</v>
      </c>
      <c r="G297" s="128">
        <v>17.988755269999999</v>
      </c>
      <c r="H297" s="215">
        <f t="shared" si="62"/>
        <v>0.58933875909209754</v>
      </c>
      <c r="I297" s="215">
        <f>G297/B297</f>
        <v>0.15307767904849948</v>
      </c>
      <c r="J297" s="216">
        <v>16343.11</v>
      </c>
      <c r="K297" s="216">
        <f t="shared" si="68"/>
        <v>0.95</v>
      </c>
      <c r="L297" s="216">
        <f t="shared" si="65"/>
        <v>1</v>
      </c>
      <c r="M297" s="216">
        <f t="shared" si="63"/>
        <v>15525.9545</v>
      </c>
      <c r="N297" s="216">
        <f>B297*M297</f>
        <v>1824515.4850118097</v>
      </c>
      <c r="O297" s="214">
        <v>29.778056109999998</v>
      </c>
      <c r="P297" s="111">
        <f>'Cálculo Depre.-Sist. Irrig.'!$P$4 *O297</f>
        <v>202490.781548</v>
      </c>
      <c r="Q297" s="111">
        <v>0.49159315999999997</v>
      </c>
      <c r="R297" s="111">
        <f>'Cálculo Depre.-Sist. Irrig.'!$P$3*Q297</f>
        <v>3785.2673319999999</v>
      </c>
      <c r="S297" s="214" t="s">
        <v>16</v>
      </c>
      <c r="T297" s="111">
        <f>Q297</f>
        <v>0.49159315999999997</v>
      </c>
      <c r="U297" s="111">
        <f>'Cálculo Valor Avaliação-Cultura'!$B$79*T297</f>
        <v>7075.8660644181628</v>
      </c>
      <c r="V297" s="220">
        <v>482.9674</v>
      </c>
      <c r="W297" s="111">
        <f>VLOOKUP(V297,'Estimativa Valores-Painéis Sol.'!$C$4:$D$24,2,FALSE)</f>
        <v>63000</v>
      </c>
      <c r="X297" s="111">
        <f t="shared" si="64"/>
        <v>2100867.3999562277</v>
      </c>
      <c r="Y297" s="219" t="s">
        <v>74</v>
      </c>
      <c r="Z297" s="218"/>
      <c r="AA297" s="205"/>
      <c r="AB297" s="207"/>
      <c r="AC297" s="207"/>
      <c r="AE297" s="222"/>
      <c r="AF297" s="222"/>
      <c r="AI297" s="115"/>
    </row>
    <row r="298" spans="1:35" s="208" customFormat="1" x14ac:dyDescent="0.25">
      <c r="A298" s="221">
        <v>366</v>
      </c>
      <c r="B298" s="130">
        <v>18.9899895</v>
      </c>
      <c r="C298" s="216">
        <v>2</v>
      </c>
      <c r="D298" s="214" t="s">
        <v>10</v>
      </c>
      <c r="E298" s="214" t="s">
        <v>10</v>
      </c>
      <c r="F298" s="128">
        <v>11.21760521</v>
      </c>
      <c r="G298" s="128"/>
      <c r="H298" s="215">
        <f t="shared" si="62"/>
        <v>0.59071150144659113</v>
      </c>
      <c r="I298" s="215">
        <f>G298/B298</f>
        <v>0</v>
      </c>
      <c r="J298" s="111">
        <v>15018.26</v>
      </c>
      <c r="K298" s="216">
        <f t="shared" si="68"/>
        <v>0.95</v>
      </c>
      <c r="L298" s="216">
        <f t="shared" si="65"/>
        <v>1</v>
      </c>
      <c r="M298" s="111">
        <f t="shared" si="63"/>
        <v>14267.347</v>
      </c>
      <c r="N298" s="216">
        <f>M298*B298</f>
        <v>270936.76972285652</v>
      </c>
      <c r="O298" s="216"/>
      <c r="P298" s="216"/>
      <c r="Q298" s="111">
        <v>7.7723842900000006</v>
      </c>
      <c r="R298" s="111">
        <f>'Cálculo Depre.-Sist. Irrig.'!$P$3*Q298</f>
        <v>59847.359033000008</v>
      </c>
      <c r="S298" s="214" t="s">
        <v>16</v>
      </c>
      <c r="T298" s="111">
        <f>Q298</f>
        <v>7.7723842900000006</v>
      </c>
      <c r="U298" s="111">
        <f>'Cálculo Valor Avaliação-Cultura'!$B$79*T298</f>
        <v>111873.70922172283</v>
      </c>
      <c r="V298" s="220"/>
      <c r="W298" s="220"/>
      <c r="X298" s="111">
        <f t="shared" si="64"/>
        <v>442657.83797757939</v>
      </c>
      <c r="Y298" s="219" t="s">
        <v>36</v>
      </c>
      <c r="Z298" s="218"/>
      <c r="AA298" s="205"/>
      <c r="AB298" s="207"/>
      <c r="AC298" s="207"/>
      <c r="AE298" s="222"/>
      <c r="AF298" s="222"/>
      <c r="AI298" s="115"/>
    </row>
    <row r="299" spans="1:35" s="208" customFormat="1" x14ac:dyDescent="0.25">
      <c r="A299" s="221">
        <v>367</v>
      </c>
      <c r="B299" s="130">
        <v>7.7710035999999993</v>
      </c>
      <c r="C299" s="216">
        <v>2</v>
      </c>
      <c r="D299" s="214" t="s">
        <v>10</v>
      </c>
      <c r="E299" s="214" t="s">
        <v>10</v>
      </c>
      <c r="F299" s="128">
        <v>7.7710035999999993</v>
      </c>
      <c r="G299" s="128"/>
      <c r="H299" s="215">
        <f t="shared" si="62"/>
        <v>1</v>
      </c>
      <c r="I299" s="215">
        <f>G299/F299</f>
        <v>0</v>
      </c>
      <c r="J299" s="216">
        <v>18568.490000000002</v>
      </c>
      <c r="K299" s="216">
        <f t="shared" si="68"/>
        <v>0.95</v>
      </c>
      <c r="L299" s="216">
        <f t="shared" si="65"/>
        <v>1</v>
      </c>
      <c r="M299" s="216">
        <f t="shared" si="63"/>
        <v>17640.065500000001</v>
      </c>
      <c r="N299" s="216">
        <f>M299*F299</f>
        <v>137081.01250473579</v>
      </c>
      <c r="O299" s="216"/>
      <c r="P299" s="216"/>
      <c r="Q299" s="216"/>
      <c r="R299" s="216"/>
      <c r="S299" s="216"/>
      <c r="T299" s="216"/>
      <c r="U299" s="216"/>
      <c r="V299" s="220"/>
      <c r="W299" s="220"/>
      <c r="X299" s="111">
        <f t="shared" si="64"/>
        <v>137081.01250473579</v>
      </c>
      <c r="Y299" s="219" t="s">
        <v>32</v>
      </c>
      <c r="Z299" s="218"/>
      <c r="AA299" s="205"/>
      <c r="AB299" s="207"/>
      <c r="AC299" s="207"/>
      <c r="AE299" s="222"/>
      <c r="AF299" s="222"/>
      <c r="AI299" s="115"/>
    </row>
    <row r="300" spans="1:35" s="208" customFormat="1" x14ac:dyDescent="0.25">
      <c r="A300" s="221">
        <v>368</v>
      </c>
      <c r="B300" s="130">
        <v>26.02502432</v>
      </c>
      <c r="C300" s="216">
        <v>2</v>
      </c>
      <c r="D300" s="214" t="s">
        <v>10</v>
      </c>
      <c r="E300" s="214" t="s">
        <v>10</v>
      </c>
      <c r="F300" s="128"/>
      <c r="G300" s="128"/>
      <c r="H300" s="215">
        <f t="shared" si="62"/>
        <v>0</v>
      </c>
      <c r="I300" s="215">
        <f>G300/B300</f>
        <v>0</v>
      </c>
      <c r="J300" s="111">
        <v>15004.72</v>
      </c>
      <c r="K300" s="216">
        <f t="shared" si="68"/>
        <v>0.95</v>
      </c>
      <c r="L300" s="216">
        <f t="shared" si="65"/>
        <v>1</v>
      </c>
      <c r="M300" s="111">
        <f t="shared" si="63"/>
        <v>14254.483999999999</v>
      </c>
      <c r="N300" s="216">
        <f>M300*B300</f>
        <v>370973.29276905087</v>
      </c>
      <c r="O300" s="216"/>
      <c r="P300" s="216"/>
      <c r="Q300" s="111">
        <v>26.02502432</v>
      </c>
      <c r="R300" s="111">
        <f>'Cálculo Depre.-Sist. Irrig.'!$P$3*Q300</f>
        <v>200392.68726400001</v>
      </c>
      <c r="S300" s="214" t="s">
        <v>20</v>
      </c>
      <c r="T300" s="111">
        <f>Q300</f>
        <v>26.02502432</v>
      </c>
      <c r="U300" s="111"/>
      <c r="V300" s="220">
        <v>217.42189999999999</v>
      </c>
      <c r="W300" s="111">
        <f>VLOOKUP(V300,'Estimativa Valores-Painéis Sol.'!$C$4:$D$24,2,FALSE)</f>
        <v>45000</v>
      </c>
      <c r="X300" s="111">
        <f t="shared" si="64"/>
        <v>616365.98003305087</v>
      </c>
      <c r="Y300" s="219" t="s">
        <v>32</v>
      </c>
      <c r="Z300" s="218"/>
      <c r="AA300" s="205"/>
      <c r="AB300" s="207"/>
      <c r="AC300" s="207"/>
      <c r="AE300" s="222"/>
      <c r="AF300" s="222"/>
      <c r="AI300" s="115"/>
    </row>
    <row r="301" spans="1:35" s="208" customFormat="1" x14ac:dyDescent="0.25">
      <c r="A301" s="221">
        <v>369</v>
      </c>
      <c r="B301" s="130">
        <v>25.97671064</v>
      </c>
      <c r="C301" s="216">
        <v>2</v>
      </c>
      <c r="D301" s="214" t="s">
        <v>13</v>
      </c>
      <c r="E301" s="214" t="s">
        <v>10</v>
      </c>
      <c r="F301" s="128">
        <v>25.97671064</v>
      </c>
      <c r="G301" s="128"/>
      <c r="H301" s="215">
        <f t="shared" si="62"/>
        <v>1</v>
      </c>
      <c r="I301" s="215">
        <f>G301/F301</f>
        <v>0</v>
      </c>
      <c r="J301" s="216">
        <v>16572.57</v>
      </c>
      <c r="K301" s="216">
        <f t="shared" si="68"/>
        <v>0.95</v>
      </c>
      <c r="L301" s="216">
        <f t="shared" si="65"/>
        <v>1</v>
      </c>
      <c r="M301" s="216">
        <f t="shared" si="63"/>
        <v>15743.941499999999</v>
      </c>
      <c r="N301" s="216">
        <f>M301*F301</f>
        <v>408975.81267858756</v>
      </c>
      <c r="O301" s="216"/>
      <c r="P301" s="216"/>
      <c r="Q301" s="216"/>
      <c r="R301" s="216"/>
      <c r="S301" s="216"/>
      <c r="T301" s="216"/>
      <c r="U301" s="216"/>
      <c r="V301" s="220"/>
      <c r="W301" s="220"/>
      <c r="X301" s="111">
        <f t="shared" si="64"/>
        <v>408975.81267858756</v>
      </c>
      <c r="Y301" s="219" t="s">
        <v>50</v>
      </c>
      <c r="Z301" s="218"/>
      <c r="AA301" s="205"/>
      <c r="AB301" s="207"/>
      <c r="AC301" s="207"/>
      <c r="AE301" s="222"/>
      <c r="AF301" s="222"/>
      <c r="AI301" s="115"/>
    </row>
    <row r="302" spans="1:35" s="208" customFormat="1" x14ac:dyDescent="0.25">
      <c r="A302" s="221">
        <v>370</v>
      </c>
      <c r="B302" s="130">
        <v>28.728938429999996</v>
      </c>
      <c r="C302" s="111">
        <v>2</v>
      </c>
      <c r="D302" s="214" t="s">
        <v>10</v>
      </c>
      <c r="E302" s="214" t="s">
        <v>10</v>
      </c>
      <c r="F302" s="128">
        <v>18.486164679999998</v>
      </c>
      <c r="G302" s="128">
        <v>10.24277375</v>
      </c>
      <c r="H302" s="215">
        <f t="shared" si="62"/>
        <v>0.64346842209442545</v>
      </c>
      <c r="I302" s="215">
        <f>G302/B302</f>
        <v>0.3565315779055746</v>
      </c>
      <c r="J302" s="111">
        <v>16565.71</v>
      </c>
      <c r="K302" s="216">
        <f t="shared" si="68"/>
        <v>0.95</v>
      </c>
      <c r="L302" s="216">
        <f t="shared" si="65"/>
        <v>1</v>
      </c>
      <c r="M302" s="111">
        <f t="shared" si="63"/>
        <v>15737.424499999999</v>
      </c>
      <c r="N302" s="111">
        <f>B302*M302</f>
        <v>452119.49950727343</v>
      </c>
      <c r="O302" s="111"/>
      <c r="P302" s="111"/>
      <c r="Q302" s="111"/>
      <c r="R302" s="111"/>
      <c r="S302" s="111"/>
      <c r="T302" s="111"/>
      <c r="U302" s="111"/>
      <c r="V302" s="111"/>
      <c r="W302" s="111"/>
      <c r="X302" s="111">
        <f t="shared" si="64"/>
        <v>452119.49950727343</v>
      </c>
      <c r="Y302" s="219" t="s">
        <v>59</v>
      </c>
      <c r="Z302" s="218"/>
      <c r="AA302" s="205"/>
      <c r="AB302" s="207"/>
      <c r="AC302" s="207"/>
      <c r="AE302" s="222"/>
      <c r="AF302" s="222"/>
      <c r="AI302" s="115"/>
    </row>
    <row r="303" spans="1:35" s="208" customFormat="1" x14ac:dyDescent="0.25">
      <c r="A303" s="221">
        <v>371</v>
      </c>
      <c r="B303" s="130">
        <v>6.2159744799999999</v>
      </c>
      <c r="C303" s="216">
        <v>2</v>
      </c>
      <c r="D303" s="214" t="s">
        <v>10</v>
      </c>
      <c r="E303" s="214" t="s">
        <v>10</v>
      </c>
      <c r="F303" s="128">
        <v>6.2159744799999999</v>
      </c>
      <c r="G303" s="128"/>
      <c r="H303" s="215">
        <f t="shared" si="62"/>
        <v>1</v>
      </c>
      <c r="I303" s="215">
        <f>G303/F303</f>
        <v>0</v>
      </c>
      <c r="J303" s="216">
        <v>18573.990000000002</v>
      </c>
      <c r="K303" s="216">
        <f t="shared" si="68"/>
        <v>0.95</v>
      </c>
      <c r="L303" s="216">
        <f t="shared" si="65"/>
        <v>1</v>
      </c>
      <c r="M303" s="216">
        <f t="shared" si="63"/>
        <v>17645.290499999999</v>
      </c>
      <c r="N303" s="216">
        <f>M303*F303</f>
        <v>109682.67544018643</v>
      </c>
      <c r="O303" s="216"/>
      <c r="P303" s="216"/>
      <c r="Q303" s="216"/>
      <c r="R303" s="216"/>
      <c r="S303" s="216"/>
      <c r="T303" s="216"/>
      <c r="U303" s="216"/>
      <c r="V303" s="220"/>
      <c r="W303" s="220"/>
      <c r="X303" s="111">
        <f t="shared" si="64"/>
        <v>109682.67544018643</v>
      </c>
      <c r="Y303" s="219" t="s">
        <v>75</v>
      </c>
      <c r="Z303" s="218"/>
      <c r="AA303" s="205"/>
      <c r="AB303" s="207"/>
      <c r="AC303" s="207"/>
      <c r="AE303" s="222"/>
      <c r="AF303" s="222"/>
      <c r="AI303" s="115"/>
    </row>
    <row r="304" spans="1:35" s="208" customFormat="1" x14ac:dyDescent="0.25">
      <c r="A304" s="221">
        <v>372</v>
      </c>
      <c r="B304" s="130">
        <v>19.467843429999999</v>
      </c>
      <c r="C304" s="216">
        <v>2</v>
      </c>
      <c r="D304" s="214" t="s">
        <v>13</v>
      </c>
      <c r="E304" s="214" t="s">
        <v>10</v>
      </c>
      <c r="F304" s="128">
        <v>19.467843429999999</v>
      </c>
      <c r="G304" s="128"/>
      <c r="H304" s="215">
        <f t="shared" si="62"/>
        <v>1</v>
      </c>
      <c r="I304" s="215">
        <f>G304/F304</f>
        <v>0</v>
      </c>
      <c r="J304" s="216">
        <v>15017.29</v>
      </c>
      <c r="K304" s="216">
        <f t="shared" si="68"/>
        <v>0.95</v>
      </c>
      <c r="L304" s="216">
        <f t="shared" si="65"/>
        <v>1</v>
      </c>
      <c r="M304" s="216">
        <f t="shared" si="63"/>
        <v>14266.425499999999</v>
      </c>
      <c r="N304" s="216">
        <f>M304*F304</f>
        <v>277736.53793975944</v>
      </c>
      <c r="O304" s="216"/>
      <c r="P304" s="216"/>
      <c r="Q304" s="216"/>
      <c r="R304" s="216"/>
      <c r="S304" s="216"/>
      <c r="T304" s="216"/>
      <c r="U304" s="216"/>
      <c r="V304" s="220"/>
      <c r="W304" s="220"/>
      <c r="X304" s="111">
        <f t="shared" si="64"/>
        <v>277736.53793975944</v>
      </c>
      <c r="Y304" s="219" t="s">
        <v>68</v>
      </c>
      <c r="Z304" s="218"/>
      <c r="AA304" s="205"/>
      <c r="AB304" s="207"/>
      <c r="AC304" s="207"/>
      <c r="AE304" s="222"/>
      <c r="AF304" s="222"/>
      <c r="AI304" s="115"/>
    </row>
    <row r="305" spans="1:35" s="208" customFormat="1" x14ac:dyDescent="0.25">
      <c r="A305" s="221">
        <v>373</v>
      </c>
      <c r="B305" s="130">
        <v>56.392204779999993</v>
      </c>
      <c r="C305" s="111">
        <v>1</v>
      </c>
      <c r="D305" s="214" t="s">
        <v>13</v>
      </c>
      <c r="E305" s="214" t="s">
        <v>10</v>
      </c>
      <c r="F305" s="128">
        <v>52.650149859999992</v>
      </c>
      <c r="G305" s="128">
        <v>3.7420549200000002</v>
      </c>
      <c r="H305" s="215">
        <f t="shared" si="62"/>
        <v>0.933642337010963</v>
      </c>
      <c r="I305" s="215">
        <f t="shared" ref="I305:I311" si="69">G305/B305</f>
        <v>6.6357662989036989E-2</v>
      </c>
      <c r="J305" s="111">
        <v>9801.0400000000009</v>
      </c>
      <c r="K305" s="216">
        <f t="shared" si="68"/>
        <v>0.95</v>
      </c>
      <c r="L305" s="216">
        <f t="shared" si="65"/>
        <v>1</v>
      </c>
      <c r="M305" s="111">
        <f t="shared" si="63"/>
        <v>9310.9880000000012</v>
      </c>
      <c r="N305" s="111">
        <f>B305*M305</f>
        <v>525067.14200012269</v>
      </c>
      <c r="O305" s="111"/>
      <c r="P305" s="111"/>
      <c r="Q305" s="111"/>
      <c r="R305" s="111"/>
      <c r="S305" s="111"/>
      <c r="T305" s="111"/>
      <c r="U305" s="111"/>
      <c r="V305" s="111"/>
      <c r="W305" s="111"/>
      <c r="X305" s="111">
        <f t="shared" si="64"/>
        <v>525067.14200012269</v>
      </c>
      <c r="Y305" s="219" t="s">
        <v>70</v>
      </c>
      <c r="Z305" s="218"/>
      <c r="AA305" s="205"/>
      <c r="AB305" s="207"/>
      <c r="AC305" s="207"/>
      <c r="AE305" s="222"/>
      <c r="AF305" s="222"/>
      <c r="AI305" s="115"/>
    </row>
    <row r="306" spans="1:35" s="208" customFormat="1" x14ac:dyDescent="0.25">
      <c r="A306" s="221">
        <v>374</v>
      </c>
      <c r="B306" s="130">
        <v>16.181214350000001</v>
      </c>
      <c r="C306" s="216">
        <v>2</v>
      </c>
      <c r="D306" s="214" t="s">
        <v>13</v>
      </c>
      <c r="E306" s="214" t="s">
        <v>10</v>
      </c>
      <c r="F306" s="128"/>
      <c r="G306" s="128">
        <v>16.181214350000001</v>
      </c>
      <c r="H306" s="215">
        <f t="shared" si="62"/>
        <v>0</v>
      </c>
      <c r="I306" s="215">
        <f t="shared" si="69"/>
        <v>1</v>
      </c>
      <c r="J306" s="216">
        <v>9239.61</v>
      </c>
      <c r="K306" s="216">
        <f>$B$319</f>
        <v>0.9</v>
      </c>
      <c r="L306" s="216">
        <f t="shared" ref="L306:L313" si="70">$B$321</f>
        <v>1</v>
      </c>
      <c r="M306" s="216">
        <f t="shared" si="63"/>
        <v>8315.6490000000013</v>
      </c>
      <c r="N306" s="216">
        <f>M306*B306</f>
        <v>134557.29892836319</v>
      </c>
      <c r="O306" s="216"/>
      <c r="P306" s="216"/>
      <c r="Q306" s="216"/>
      <c r="R306" s="216"/>
      <c r="S306" s="216"/>
      <c r="T306" s="216"/>
      <c r="U306" s="216"/>
      <c r="V306" s="216"/>
      <c r="W306" s="216"/>
      <c r="X306" s="111">
        <f t="shared" si="64"/>
        <v>134557.29892836319</v>
      </c>
      <c r="Y306" s="214" t="s">
        <v>34</v>
      </c>
      <c r="Z306" s="218"/>
      <c r="AA306" s="205"/>
      <c r="AB306" s="207"/>
      <c r="AC306" s="207"/>
      <c r="AE306" s="222"/>
      <c r="AF306" s="222"/>
      <c r="AI306" s="115"/>
    </row>
    <row r="307" spans="1:35" s="208" customFormat="1" x14ac:dyDescent="0.25">
      <c r="A307" s="221">
        <v>375</v>
      </c>
      <c r="B307" s="130">
        <v>9.3014928900000005</v>
      </c>
      <c r="C307" s="216">
        <v>2</v>
      </c>
      <c r="D307" s="214" t="s">
        <v>13</v>
      </c>
      <c r="E307" s="214" t="s">
        <v>10</v>
      </c>
      <c r="F307" s="128"/>
      <c r="G307" s="128">
        <v>8.62212289</v>
      </c>
      <c r="H307" s="215">
        <f t="shared" si="62"/>
        <v>0</v>
      </c>
      <c r="I307" s="215">
        <f t="shared" si="69"/>
        <v>0.92696118697995367</v>
      </c>
      <c r="J307" s="111">
        <v>4570.2700000000004</v>
      </c>
      <c r="K307" s="216">
        <f>$B$318</f>
        <v>0.95</v>
      </c>
      <c r="L307" s="216">
        <f t="shared" si="70"/>
        <v>1</v>
      </c>
      <c r="M307" s="111">
        <f t="shared" si="63"/>
        <v>4341.7565000000004</v>
      </c>
      <c r="N307" s="216">
        <f>M307*B307</f>
        <v>40384.817214861294</v>
      </c>
      <c r="O307" s="216"/>
      <c r="P307" s="216"/>
      <c r="Q307" s="111">
        <f>6793.7/10000</f>
        <v>0.67937000000000003</v>
      </c>
      <c r="R307" s="111">
        <f>'Cálculo Depre.-Sist. Irrig.'!$P$3*Q307</f>
        <v>5231.1490000000003</v>
      </c>
      <c r="S307" s="214" t="s">
        <v>20</v>
      </c>
      <c r="T307" s="111">
        <f>Q307</f>
        <v>0.67937000000000003</v>
      </c>
      <c r="U307" s="111"/>
      <c r="V307" s="220">
        <v>12.2172</v>
      </c>
      <c r="W307" s="111">
        <f>VLOOKUP(V307,'Estimativa Valores-Painéis Sol.'!$C$4:$D$24,2,FALSE)</f>
        <v>4500</v>
      </c>
      <c r="X307" s="111">
        <f t="shared" si="64"/>
        <v>50115.966214861292</v>
      </c>
      <c r="Y307" s="219" t="s">
        <v>34</v>
      </c>
      <c r="Z307" s="218"/>
      <c r="AA307" s="205"/>
      <c r="AB307" s="207"/>
      <c r="AC307" s="207"/>
      <c r="AE307" s="222"/>
      <c r="AF307" s="222"/>
      <c r="AI307" s="115"/>
    </row>
    <row r="308" spans="1:35" s="208" customFormat="1" x14ac:dyDescent="0.25">
      <c r="A308" s="221">
        <v>376</v>
      </c>
      <c r="B308" s="130">
        <v>70.596107619999998</v>
      </c>
      <c r="C308" s="216">
        <v>0.3</v>
      </c>
      <c r="D308" s="214" t="s">
        <v>13</v>
      </c>
      <c r="E308" s="214" t="s">
        <v>10</v>
      </c>
      <c r="F308" s="128"/>
      <c r="G308" s="128">
        <v>70.596107619999998</v>
      </c>
      <c r="H308" s="215">
        <f t="shared" si="62"/>
        <v>0</v>
      </c>
      <c r="I308" s="215">
        <f t="shared" si="69"/>
        <v>1</v>
      </c>
      <c r="J308" s="216">
        <v>5480.41</v>
      </c>
      <c r="K308" s="216">
        <f>$B$319</f>
        <v>0.9</v>
      </c>
      <c r="L308" s="216">
        <f t="shared" si="70"/>
        <v>1</v>
      </c>
      <c r="M308" s="216">
        <f t="shared" si="63"/>
        <v>4932.3689999999997</v>
      </c>
      <c r="N308" s="216">
        <f>M308*B308</f>
        <v>348206.05274555174</v>
      </c>
      <c r="O308" s="216"/>
      <c r="P308" s="216"/>
      <c r="Q308" s="216"/>
      <c r="R308" s="216"/>
      <c r="S308" s="216"/>
      <c r="T308" s="216"/>
      <c r="U308" s="216"/>
      <c r="V308" s="216"/>
      <c r="W308" s="216"/>
      <c r="X308" s="111">
        <f t="shared" si="64"/>
        <v>348206.05274555174</v>
      </c>
      <c r="Y308" s="214" t="s">
        <v>13</v>
      </c>
      <c r="Z308" s="218"/>
      <c r="AA308" s="205"/>
      <c r="AB308" s="207"/>
      <c r="AC308" s="207"/>
      <c r="AE308" s="222"/>
      <c r="AF308" s="222"/>
      <c r="AI308" s="115"/>
    </row>
    <row r="309" spans="1:35" s="208" customFormat="1" x14ac:dyDescent="0.25">
      <c r="A309" s="221">
        <v>377</v>
      </c>
      <c r="B309" s="130">
        <v>21.515279639999999</v>
      </c>
      <c r="C309" s="111">
        <v>2</v>
      </c>
      <c r="D309" s="214" t="s">
        <v>10</v>
      </c>
      <c r="E309" s="214" t="s">
        <v>10</v>
      </c>
      <c r="F309" s="128">
        <v>15.416566229999999</v>
      </c>
      <c r="G309" s="128">
        <v>6.0987134100000002</v>
      </c>
      <c r="H309" s="215">
        <f t="shared" si="62"/>
        <v>0.71654036052305758</v>
      </c>
      <c r="I309" s="215">
        <f t="shared" si="69"/>
        <v>0.28345963947694247</v>
      </c>
      <c r="J309" s="111">
        <v>16584.02</v>
      </c>
      <c r="K309" s="216">
        <f>$B$318</f>
        <v>0.95</v>
      </c>
      <c r="L309" s="216">
        <f t="shared" si="70"/>
        <v>1</v>
      </c>
      <c r="M309" s="111">
        <f t="shared" si="63"/>
        <v>15754.819</v>
      </c>
      <c r="N309" s="111">
        <f>B309*M309</f>
        <v>338969.33646258514</v>
      </c>
      <c r="O309" s="111"/>
      <c r="P309" s="111"/>
      <c r="Q309" s="111"/>
      <c r="R309" s="111"/>
      <c r="S309" s="111"/>
      <c r="T309" s="111"/>
      <c r="U309" s="111"/>
      <c r="V309" s="111"/>
      <c r="W309" s="111"/>
      <c r="X309" s="111">
        <f t="shared" si="64"/>
        <v>338969.33646258514</v>
      </c>
      <c r="Y309" s="219" t="s">
        <v>60</v>
      </c>
      <c r="Z309" s="218"/>
      <c r="AA309" s="205"/>
      <c r="AB309" s="207"/>
      <c r="AC309" s="207"/>
      <c r="AE309" s="222"/>
      <c r="AF309" s="222"/>
      <c r="AI309" s="115"/>
    </row>
    <row r="310" spans="1:35" s="208" customFormat="1" x14ac:dyDescent="0.25">
      <c r="A310" s="221">
        <v>378</v>
      </c>
      <c r="B310" s="130">
        <v>80.369595920000009</v>
      </c>
      <c r="C310" s="216">
        <v>0.3</v>
      </c>
      <c r="D310" s="214" t="s">
        <v>13</v>
      </c>
      <c r="E310" s="214" t="s">
        <v>10</v>
      </c>
      <c r="F310" s="128"/>
      <c r="G310" s="128">
        <v>80.369595920000009</v>
      </c>
      <c r="H310" s="215">
        <f t="shared" si="62"/>
        <v>0</v>
      </c>
      <c r="I310" s="215">
        <f t="shared" si="69"/>
        <v>1</v>
      </c>
      <c r="J310" s="216">
        <v>5477.13</v>
      </c>
      <c r="K310" s="216">
        <f>$B$319</f>
        <v>0.9</v>
      </c>
      <c r="L310" s="216">
        <f t="shared" si="70"/>
        <v>1</v>
      </c>
      <c r="M310" s="216">
        <f t="shared" si="63"/>
        <v>4929.4170000000004</v>
      </c>
      <c r="N310" s="216">
        <f>M310*B310</f>
        <v>396175.25241117872</v>
      </c>
      <c r="O310" s="216"/>
      <c r="P310" s="216"/>
      <c r="Q310" s="216"/>
      <c r="R310" s="216"/>
      <c r="S310" s="216"/>
      <c r="T310" s="216"/>
      <c r="U310" s="216"/>
      <c r="V310" s="216"/>
      <c r="W310" s="216"/>
      <c r="X310" s="111">
        <f t="shared" si="64"/>
        <v>396175.25241117872</v>
      </c>
      <c r="Y310" s="214"/>
      <c r="Z310" s="218"/>
      <c r="AA310" s="205"/>
      <c r="AB310" s="207"/>
      <c r="AC310" s="207"/>
      <c r="AD310" s="115"/>
      <c r="AE310" s="222"/>
      <c r="AF310" s="222"/>
      <c r="AI310" s="115"/>
    </row>
    <row r="311" spans="1:35" s="208" customFormat="1" x14ac:dyDescent="0.25">
      <c r="A311" s="221">
        <v>379</v>
      </c>
      <c r="B311" s="130">
        <v>25.568465109999998</v>
      </c>
      <c r="C311" s="216">
        <v>2</v>
      </c>
      <c r="D311" s="214" t="s">
        <v>13</v>
      </c>
      <c r="E311" s="214" t="s">
        <v>10</v>
      </c>
      <c r="F311" s="128"/>
      <c r="G311" s="128">
        <v>2.0417137599999999</v>
      </c>
      <c r="H311" s="215">
        <f t="shared" si="62"/>
        <v>0</v>
      </c>
      <c r="I311" s="215">
        <f t="shared" si="69"/>
        <v>7.9852808966677943E-2</v>
      </c>
      <c r="J311" s="111">
        <v>4567.4799999999996</v>
      </c>
      <c r="K311" s="216">
        <f>$B$318</f>
        <v>0.95</v>
      </c>
      <c r="L311" s="216">
        <f t="shared" si="70"/>
        <v>1</v>
      </c>
      <c r="M311" s="111">
        <f t="shared" si="63"/>
        <v>4339.1059999999998</v>
      </c>
      <c r="N311" s="216">
        <f>M311*B311</f>
        <v>110944.28036959165</v>
      </c>
      <c r="O311" s="216"/>
      <c r="P311" s="216"/>
      <c r="Q311" s="111">
        <v>23.526751349999998</v>
      </c>
      <c r="R311" s="111">
        <f>'Cálculo Depre.-Sist. Irrig.'!$P$3*Q311</f>
        <v>181155.985395</v>
      </c>
      <c r="S311" s="214" t="s">
        <v>16</v>
      </c>
      <c r="T311" s="111">
        <f>Q311</f>
        <v>23.526751349999998</v>
      </c>
      <c r="U311" s="111">
        <f>'Cálculo Valor Avaliação-Cultura'!$B$79*T311</f>
        <v>338638.03451510431</v>
      </c>
      <c r="V311" s="220"/>
      <c r="W311" s="220"/>
      <c r="X311" s="111">
        <f t="shared" si="64"/>
        <v>630738.30027969601</v>
      </c>
      <c r="Y311" s="219" t="s">
        <v>76</v>
      </c>
      <c r="Z311" s="218"/>
      <c r="AA311" s="205"/>
      <c r="AB311" s="207"/>
      <c r="AC311" s="207"/>
      <c r="AD311" s="115"/>
      <c r="AE311" s="222"/>
      <c r="AF311" s="222"/>
      <c r="AI311" s="115"/>
    </row>
    <row r="312" spans="1:35" s="208" customFormat="1" x14ac:dyDescent="0.25">
      <c r="A312" s="221">
        <v>380</v>
      </c>
      <c r="B312" s="130">
        <v>54.493970050000001</v>
      </c>
      <c r="C312" s="216">
        <v>2</v>
      </c>
      <c r="D312" s="214" t="s">
        <v>13</v>
      </c>
      <c r="E312" s="214" t="s">
        <v>10</v>
      </c>
      <c r="F312" s="128">
        <v>54.493970050000001</v>
      </c>
      <c r="G312" s="128"/>
      <c r="H312" s="215">
        <f t="shared" si="62"/>
        <v>1</v>
      </c>
      <c r="I312" s="215">
        <f>G312/F312</f>
        <v>0</v>
      </c>
      <c r="J312" s="216">
        <v>16500.41</v>
      </c>
      <c r="K312" s="216">
        <f>$B$318</f>
        <v>0.95</v>
      </c>
      <c r="L312" s="216">
        <f t="shared" si="70"/>
        <v>1</v>
      </c>
      <c r="M312" s="216">
        <f t="shared" si="63"/>
        <v>15675.389499999999</v>
      </c>
      <c r="N312" s="216">
        <f>M312*F312</f>
        <v>854214.20593508449</v>
      </c>
      <c r="O312" s="216"/>
      <c r="P312" s="216"/>
      <c r="Q312" s="216"/>
      <c r="R312" s="216"/>
      <c r="S312" s="216"/>
      <c r="T312" s="216"/>
      <c r="U312" s="216"/>
      <c r="V312" s="220"/>
      <c r="W312" s="220"/>
      <c r="X312" s="111">
        <f t="shared" si="64"/>
        <v>854214.20593508449</v>
      </c>
      <c r="Y312" s="219" t="s">
        <v>52</v>
      </c>
      <c r="Z312" s="218"/>
      <c r="AA312" s="205"/>
      <c r="AB312" s="207"/>
      <c r="AC312" s="207"/>
      <c r="AD312" s="115"/>
      <c r="AE312" s="222"/>
      <c r="AF312" s="222"/>
      <c r="AI312" s="115"/>
    </row>
    <row r="313" spans="1:35" s="208" customFormat="1" x14ac:dyDescent="0.25">
      <c r="A313" s="221">
        <v>381</v>
      </c>
      <c r="B313" s="130">
        <v>24.360166500000002</v>
      </c>
      <c r="C313" s="111">
        <v>2</v>
      </c>
      <c r="D313" s="214" t="s">
        <v>13</v>
      </c>
      <c r="E313" s="214" t="s">
        <v>10</v>
      </c>
      <c r="F313" s="128">
        <f>B313-G313</f>
        <v>13.662027290000003</v>
      </c>
      <c r="G313" s="128">
        <v>10.698139209999999</v>
      </c>
      <c r="H313" s="215">
        <f t="shared" si="62"/>
        <v>0.56083472541125701</v>
      </c>
      <c r="I313" s="215">
        <f>G313/B313</f>
        <v>0.43916527458874299</v>
      </c>
      <c r="J313" s="111">
        <v>16530.21</v>
      </c>
      <c r="K313" s="216">
        <f>$B$318</f>
        <v>0.95</v>
      </c>
      <c r="L313" s="216">
        <f t="shared" si="70"/>
        <v>1</v>
      </c>
      <c r="M313" s="111">
        <f t="shared" si="63"/>
        <v>15703.699499999999</v>
      </c>
      <c r="N313" s="111">
        <f>B313*M313</f>
        <v>382544.73448596674</v>
      </c>
      <c r="O313" s="111"/>
      <c r="P313" s="111"/>
      <c r="Q313" s="111"/>
      <c r="R313" s="111"/>
      <c r="S313" s="111"/>
      <c r="T313" s="111"/>
      <c r="U313" s="111"/>
      <c r="V313" s="111"/>
      <c r="W313" s="111"/>
      <c r="X313" s="111">
        <f t="shared" si="64"/>
        <v>382544.73448596674</v>
      </c>
      <c r="Y313" s="219" t="s">
        <v>34</v>
      </c>
      <c r="Z313" s="218"/>
      <c r="AA313" s="205"/>
      <c r="AB313" s="207"/>
      <c r="AC313" s="207"/>
      <c r="AD313" s="115"/>
      <c r="AE313" s="222"/>
      <c r="AF313" s="222"/>
      <c r="AI313" s="115"/>
    </row>
    <row r="314" spans="1:35" x14ac:dyDescent="0.25">
      <c r="A314" s="227" t="s">
        <v>80</v>
      </c>
      <c r="B314" s="228" t="s">
        <v>81</v>
      </c>
      <c r="C314" s="229"/>
      <c r="D314" s="229"/>
      <c r="E314" s="229"/>
      <c r="F314" s="228"/>
      <c r="G314" s="230"/>
      <c r="H314" s="229"/>
      <c r="I314" s="229"/>
      <c r="J314" s="229"/>
      <c r="K314" s="228"/>
      <c r="L314" s="228"/>
      <c r="M314" s="228"/>
      <c r="N314" s="228" t="s">
        <v>81</v>
      </c>
      <c r="O314" s="231"/>
      <c r="P314" s="228" t="s">
        <v>81</v>
      </c>
      <c r="Q314" s="228"/>
      <c r="R314" s="228" t="s">
        <v>81</v>
      </c>
      <c r="S314" s="231"/>
      <c r="T314" s="231"/>
      <c r="U314" s="228" t="s">
        <v>81</v>
      </c>
      <c r="V314" s="228"/>
      <c r="W314" s="228" t="s">
        <v>81</v>
      </c>
      <c r="X314" s="230" t="s">
        <v>87</v>
      </c>
      <c r="Y314" s="232"/>
    </row>
    <row r="315" spans="1:35" ht="13.5" thickBot="1" x14ac:dyDescent="0.3">
      <c r="A315" s="233">
        <f>SUBTOTAL(103,A3:A313)</f>
        <v>311</v>
      </c>
      <c r="B315" s="234">
        <f>SUBTOTAL(9,B3:B313)</f>
        <v>26397.957043669976</v>
      </c>
      <c r="C315" s="235"/>
      <c r="D315" s="236"/>
      <c r="E315" s="236"/>
      <c r="F315" s="237"/>
      <c r="G315" s="234"/>
      <c r="H315" s="235"/>
      <c r="I315" s="235"/>
      <c r="J315" s="235"/>
      <c r="K315" s="235"/>
      <c r="L315" s="235"/>
      <c r="M315" s="235"/>
      <c r="N315" s="234">
        <f>SUBTOTAL(9,N3:N313)</f>
        <v>304960890.88317251</v>
      </c>
      <c r="O315" s="237"/>
      <c r="P315" s="234">
        <f>SUBTOTAL(9,P3:P313)</f>
        <v>921969.75323199993</v>
      </c>
      <c r="Q315" s="237"/>
      <c r="R315" s="234">
        <f>SUBTOTAL(9,R3:R313)</f>
        <v>7886467.2854660004</v>
      </c>
      <c r="S315" s="234"/>
      <c r="T315" s="234"/>
      <c r="U315" s="234">
        <f>SUBTOTAL(9,U3:U313)</f>
        <v>14362843.953785924</v>
      </c>
      <c r="V315" s="234"/>
      <c r="W315" s="234">
        <f>SUBTOTAL(9,W3:W313)</f>
        <v>11198100</v>
      </c>
      <c r="X315" s="238">
        <f>SUBTOTAL(9,X3:X313)</f>
        <v>339330271.87565595</v>
      </c>
    </row>
    <row r="317" spans="1:35" s="248" customFormat="1" ht="20.100000000000001" customHeight="1" x14ac:dyDescent="0.25">
      <c r="A317" s="239" t="s">
        <v>145</v>
      </c>
      <c r="B317" s="240"/>
      <c r="C317" s="241"/>
      <c r="D317" s="242"/>
      <c r="E317" s="242"/>
      <c r="F317" s="243"/>
      <c r="G317" s="243"/>
      <c r="H317" s="241"/>
      <c r="I317" s="241"/>
      <c r="J317" s="241"/>
      <c r="K317" s="241"/>
      <c r="L317" s="241"/>
      <c r="M317" s="241"/>
      <c r="N317" s="241"/>
      <c r="O317" s="242"/>
      <c r="P317" s="242"/>
      <c r="Q317" s="244"/>
      <c r="R317" s="244"/>
      <c r="S317" s="243"/>
      <c r="T317" s="243"/>
      <c r="U317" s="243"/>
      <c r="V317" s="245"/>
      <c r="W317" s="245"/>
      <c r="X317" s="245"/>
      <c r="Y317" s="242"/>
      <c r="Z317" s="242"/>
      <c r="AA317" s="242"/>
      <c r="AB317" s="246"/>
      <c r="AC317" s="246"/>
      <c r="AD317" s="247"/>
      <c r="AE317" s="247"/>
      <c r="AF317" s="247"/>
      <c r="AG317" s="247"/>
      <c r="AH317" s="247"/>
    </row>
    <row r="318" spans="1:35" s="248" customFormat="1" ht="20.100000000000001" customHeight="1" x14ac:dyDescent="0.25">
      <c r="A318" s="239" t="s">
        <v>275</v>
      </c>
      <c r="B318" s="249">
        <v>0.95</v>
      </c>
      <c r="C318" s="243" t="s">
        <v>146</v>
      </c>
      <c r="D318" s="243"/>
      <c r="E318" s="241"/>
      <c r="G318" s="243"/>
      <c r="H318" s="241"/>
      <c r="I318" s="241"/>
      <c r="J318" s="241"/>
      <c r="K318" s="250"/>
      <c r="L318" s="250"/>
      <c r="M318" s="250"/>
      <c r="N318" s="250"/>
      <c r="O318" s="241"/>
      <c r="P318" s="241"/>
      <c r="Q318" s="241"/>
      <c r="R318" s="244"/>
      <c r="S318" s="244"/>
      <c r="T318" s="244"/>
      <c r="U318" s="244"/>
      <c r="V318" s="244"/>
      <c r="W318" s="241"/>
      <c r="X318" s="251"/>
      <c r="Y318" s="241"/>
      <c r="Z318" s="242"/>
      <c r="AA318" s="242"/>
      <c r="AB318" s="242"/>
      <c r="AC318" s="246"/>
      <c r="AD318" s="246"/>
      <c r="AE318" s="247"/>
      <c r="AF318" s="247"/>
      <c r="AG318" s="247"/>
      <c r="AH318" s="247"/>
      <c r="AI318" s="247"/>
    </row>
    <row r="319" spans="1:35" s="248" customFormat="1" ht="20.100000000000001" customHeight="1" x14ac:dyDescent="0.25">
      <c r="A319" s="239" t="s">
        <v>275</v>
      </c>
      <c r="B319" s="249">
        <v>0.9</v>
      </c>
      <c r="C319" s="243" t="s">
        <v>147</v>
      </c>
      <c r="D319" s="243"/>
      <c r="E319" s="241"/>
      <c r="G319" s="243"/>
      <c r="H319" s="241"/>
      <c r="I319" s="241"/>
      <c r="J319" s="241"/>
      <c r="K319" s="250"/>
      <c r="L319" s="250"/>
      <c r="M319" s="250"/>
      <c r="N319" s="250"/>
      <c r="O319" s="241"/>
      <c r="P319" s="241"/>
      <c r="Q319" s="241"/>
      <c r="R319" s="244"/>
      <c r="S319" s="244"/>
      <c r="T319" s="244"/>
      <c r="U319" s="244"/>
      <c r="V319" s="244"/>
      <c r="W319" s="241"/>
      <c r="X319" s="251"/>
      <c r="Y319" s="241"/>
      <c r="Z319" s="242"/>
      <c r="AA319" s="242"/>
      <c r="AB319" s="242"/>
      <c r="AC319" s="246"/>
      <c r="AD319" s="246"/>
      <c r="AE319" s="247"/>
      <c r="AF319" s="247"/>
      <c r="AG319" s="247"/>
      <c r="AH319" s="247"/>
      <c r="AI319" s="247"/>
    </row>
    <row r="320" spans="1:35" s="248" customFormat="1" ht="20.100000000000001" customHeight="1" x14ac:dyDescent="0.25">
      <c r="A320" s="239" t="s">
        <v>281</v>
      </c>
      <c r="B320" s="249">
        <v>1.1499999999999999</v>
      </c>
      <c r="C320" s="243"/>
      <c r="D320" s="243"/>
      <c r="E320" s="241"/>
      <c r="G320" s="243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4"/>
      <c r="S320" s="244"/>
      <c r="T320" s="244"/>
      <c r="U320" s="244"/>
      <c r="V320" s="244"/>
      <c r="W320" s="241"/>
      <c r="X320" s="251"/>
      <c r="Y320" s="241"/>
      <c r="Z320" s="242"/>
      <c r="AA320" s="242"/>
      <c r="AB320" s="242"/>
      <c r="AC320" s="246"/>
      <c r="AD320" s="246"/>
      <c r="AE320" s="247"/>
      <c r="AF320" s="247"/>
      <c r="AG320" s="247"/>
      <c r="AH320" s="247"/>
      <c r="AI320" s="247"/>
    </row>
    <row r="321" spans="1:35" s="248" customFormat="1" ht="20.100000000000001" customHeight="1" x14ac:dyDescent="0.25">
      <c r="A321" s="239" t="s">
        <v>282</v>
      </c>
      <c r="B321" s="249">
        <v>1</v>
      </c>
      <c r="C321" s="243"/>
      <c r="D321" s="243"/>
      <c r="E321" s="250"/>
      <c r="G321" s="243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4"/>
      <c r="S321" s="244"/>
      <c r="T321" s="244"/>
      <c r="U321" s="244"/>
      <c r="V321" s="244"/>
      <c r="W321" s="241"/>
      <c r="X321" s="251"/>
      <c r="Y321" s="278"/>
      <c r="Z321" s="242"/>
      <c r="AA321" s="242"/>
      <c r="AB321" s="242"/>
      <c r="AC321" s="246"/>
      <c r="AD321" s="246"/>
      <c r="AE321" s="247"/>
      <c r="AF321" s="247"/>
      <c r="AG321" s="247"/>
      <c r="AH321" s="247"/>
      <c r="AI321" s="247"/>
    </row>
    <row r="322" spans="1:35" s="248" customFormat="1" ht="20.100000000000001" customHeight="1" x14ac:dyDescent="0.25">
      <c r="A322" s="239" t="s">
        <v>149</v>
      </c>
      <c r="B322" s="240"/>
      <c r="C322" s="241"/>
      <c r="D322" s="242"/>
      <c r="E322" s="242"/>
      <c r="F322" s="243"/>
      <c r="G322" s="243"/>
      <c r="H322" s="241"/>
      <c r="I322" s="241"/>
      <c r="J322" s="241"/>
      <c r="K322" s="241"/>
      <c r="L322" s="241"/>
      <c r="M322" s="241"/>
      <c r="N322" s="241"/>
      <c r="O322" s="242"/>
      <c r="P322" s="242"/>
      <c r="Q322" s="244"/>
      <c r="R322" s="244"/>
      <c r="S322" s="243"/>
      <c r="T322" s="243"/>
      <c r="U322" s="243"/>
      <c r="V322" s="245"/>
      <c r="W322" s="245"/>
      <c r="X322" s="245"/>
      <c r="Y322" s="242"/>
      <c r="Z322" s="242"/>
      <c r="AA322" s="242"/>
      <c r="AB322" s="246"/>
      <c r="AC322" s="246"/>
      <c r="AD322" s="247"/>
      <c r="AE322" s="247"/>
      <c r="AF322" s="247"/>
      <c r="AG322" s="247"/>
      <c r="AH322" s="247"/>
    </row>
    <row r="323" spans="1:35" s="248" customFormat="1" ht="20.100000000000001" customHeight="1" x14ac:dyDescent="0.25">
      <c r="A323" s="239" t="s">
        <v>153</v>
      </c>
      <c r="B323" s="240"/>
      <c r="C323" s="241"/>
      <c r="D323" s="242"/>
      <c r="E323" s="242"/>
      <c r="F323" s="243"/>
      <c r="G323" s="243"/>
      <c r="H323" s="241"/>
      <c r="I323" s="241"/>
      <c r="J323" s="241"/>
      <c r="K323" s="241"/>
      <c r="L323" s="241"/>
      <c r="M323" s="241"/>
      <c r="N323" s="241"/>
      <c r="O323" s="242"/>
      <c r="P323" s="242"/>
      <c r="Q323" s="244"/>
      <c r="R323" s="244"/>
      <c r="S323" s="243"/>
      <c r="T323" s="243"/>
      <c r="U323" s="243"/>
      <c r="V323" s="245"/>
      <c r="W323" s="245"/>
      <c r="X323" s="245"/>
      <c r="Y323" s="242"/>
      <c r="Z323" s="242"/>
      <c r="AA323" s="242"/>
      <c r="AB323" s="246"/>
      <c r="AC323" s="246"/>
      <c r="AD323" s="247"/>
      <c r="AE323" s="247"/>
      <c r="AF323" s="247"/>
      <c r="AG323" s="247"/>
      <c r="AH323" s="247"/>
    </row>
    <row r="324" spans="1:35" s="248" customFormat="1" ht="20.100000000000001" customHeight="1" x14ac:dyDescent="0.25">
      <c r="A324" s="239" t="s">
        <v>251</v>
      </c>
      <c r="B324" s="240"/>
      <c r="C324" s="241"/>
      <c r="D324" s="242"/>
      <c r="E324" s="242"/>
      <c r="F324" s="243"/>
      <c r="G324" s="243"/>
      <c r="H324" s="241"/>
      <c r="I324" s="241"/>
      <c r="J324" s="241"/>
      <c r="K324" s="241"/>
      <c r="L324" s="241"/>
      <c r="M324" s="241"/>
      <c r="N324" s="241"/>
      <c r="O324" s="242"/>
      <c r="P324" s="242"/>
      <c r="Q324" s="244"/>
      <c r="R324" s="244"/>
      <c r="S324" s="243"/>
      <c r="T324" s="243"/>
      <c r="U324" s="243"/>
      <c r="V324" s="245"/>
      <c r="W324" s="245"/>
      <c r="X324" s="245"/>
      <c r="Y324" s="242"/>
      <c r="Z324" s="242"/>
      <c r="AA324" s="242"/>
      <c r="AB324" s="246"/>
      <c r="AC324" s="246"/>
      <c r="AD324" s="247"/>
      <c r="AE324" s="247"/>
      <c r="AF324" s="247"/>
      <c r="AG324" s="247"/>
      <c r="AH324" s="247"/>
    </row>
    <row r="325" spans="1:35" s="248" customFormat="1" ht="20.100000000000001" customHeight="1" x14ac:dyDescent="0.25">
      <c r="A325" s="239" t="s">
        <v>252</v>
      </c>
      <c r="B325" s="240"/>
      <c r="C325" s="241"/>
      <c r="D325" s="242"/>
      <c r="E325" s="242"/>
      <c r="F325" s="243"/>
      <c r="G325" s="243"/>
      <c r="H325" s="241"/>
      <c r="I325" s="241"/>
      <c r="J325" s="241"/>
      <c r="K325" s="241"/>
      <c r="L325" s="241"/>
      <c r="M325" s="241"/>
      <c r="N325" s="241"/>
      <c r="O325" s="242"/>
      <c r="P325" s="242"/>
      <c r="Q325" s="244"/>
      <c r="R325" s="244"/>
      <c r="S325" s="243"/>
      <c r="T325" s="243"/>
      <c r="U325" s="243"/>
      <c r="V325" s="245"/>
      <c r="W325" s="245"/>
      <c r="X325" s="245"/>
      <c r="Y325" s="242"/>
      <c r="Z325" s="242"/>
      <c r="AA325" s="242"/>
      <c r="AB325" s="246"/>
      <c r="AC325" s="246"/>
      <c r="AD325" s="247"/>
      <c r="AE325" s="247"/>
      <c r="AF325" s="247"/>
      <c r="AG325" s="247"/>
      <c r="AH325" s="247"/>
    </row>
    <row r="326" spans="1:35" s="248" customFormat="1" ht="20.100000000000001" customHeight="1" x14ac:dyDescent="0.25">
      <c r="A326" s="239" t="s">
        <v>256</v>
      </c>
      <c r="B326" s="240"/>
      <c r="C326" s="241"/>
      <c r="D326" s="242"/>
      <c r="E326" s="242"/>
      <c r="F326" s="243"/>
      <c r="G326" s="243"/>
      <c r="H326" s="241"/>
      <c r="I326" s="241"/>
      <c r="J326" s="241"/>
      <c r="K326" s="241"/>
      <c r="L326" s="241"/>
      <c r="M326" s="241"/>
      <c r="N326" s="241"/>
      <c r="O326" s="242"/>
      <c r="P326" s="242"/>
      <c r="Q326" s="244"/>
      <c r="R326" s="244"/>
      <c r="S326" s="243"/>
      <c r="T326" s="243"/>
      <c r="U326" s="243"/>
      <c r="V326" s="245"/>
      <c r="W326" s="245"/>
      <c r="X326" s="245"/>
      <c r="Y326" s="242"/>
      <c r="Z326" s="242"/>
      <c r="AA326" s="242"/>
      <c r="AB326" s="246"/>
      <c r="AC326" s="246"/>
      <c r="AD326" s="247"/>
      <c r="AE326" s="247"/>
      <c r="AF326" s="247"/>
      <c r="AG326" s="247"/>
      <c r="AH326" s="247"/>
    </row>
    <row r="327" spans="1:35" s="248" customFormat="1" ht="20.100000000000001" customHeight="1" x14ac:dyDescent="0.25">
      <c r="A327" s="239" t="s">
        <v>257</v>
      </c>
      <c r="B327" s="240"/>
      <c r="C327" s="241"/>
      <c r="D327" s="242"/>
      <c r="E327" s="242"/>
      <c r="F327" s="243"/>
      <c r="G327" s="243"/>
      <c r="H327" s="241"/>
      <c r="I327" s="241"/>
      <c r="J327" s="241"/>
      <c r="K327" s="241"/>
      <c r="L327" s="241"/>
      <c r="M327" s="241"/>
      <c r="N327" s="241"/>
      <c r="O327" s="242"/>
      <c r="P327" s="242"/>
      <c r="Q327" s="244"/>
      <c r="R327" s="244"/>
      <c r="S327" s="243"/>
      <c r="T327" s="243"/>
      <c r="U327" s="243"/>
      <c r="V327" s="245"/>
      <c r="W327" s="245"/>
      <c r="X327" s="245"/>
      <c r="Y327" s="242"/>
      <c r="Z327" s="242"/>
      <c r="AA327" s="242"/>
      <c r="AB327" s="246"/>
      <c r="AC327" s="246"/>
      <c r="AD327" s="247"/>
      <c r="AE327" s="247"/>
      <c r="AF327" s="247"/>
      <c r="AG327" s="247"/>
      <c r="AH327" s="247"/>
    </row>
    <row r="328" spans="1:35" s="248" customFormat="1" ht="20.100000000000001" customHeight="1" x14ac:dyDescent="0.25">
      <c r="A328" s="239" t="s">
        <v>258</v>
      </c>
      <c r="B328" s="240"/>
      <c r="C328" s="241"/>
      <c r="D328" s="242"/>
      <c r="E328" s="242"/>
      <c r="F328" s="243"/>
      <c r="G328" s="243"/>
      <c r="H328" s="241"/>
      <c r="I328" s="241"/>
      <c r="J328" s="241"/>
      <c r="K328" s="241"/>
      <c r="L328" s="241"/>
      <c r="M328" s="241"/>
      <c r="N328" s="241"/>
      <c r="O328" s="242"/>
      <c r="P328" s="242"/>
      <c r="Q328" s="244"/>
      <c r="R328" s="244"/>
      <c r="S328" s="243"/>
      <c r="T328" s="243"/>
      <c r="U328" s="243"/>
      <c r="V328" s="245"/>
      <c r="W328" s="245"/>
      <c r="X328" s="245"/>
      <c r="Y328" s="242"/>
      <c r="Z328" s="242"/>
      <c r="AA328" s="242"/>
      <c r="AB328" s="246"/>
      <c r="AC328" s="246"/>
      <c r="AD328" s="247"/>
      <c r="AE328" s="247"/>
      <c r="AF328" s="247"/>
      <c r="AG328" s="247"/>
      <c r="AH328" s="247"/>
    </row>
    <row r="329" spans="1:35" s="248" customFormat="1" ht="20.100000000000001" customHeight="1" x14ac:dyDescent="0.25">
      <c r="A329" s="239"/>
      <c r="B329" s="240"/>
      <c r="C329" s="241"/>
      <c r="D329" s="242"/>
      <c r="E329" s="242"/>
      <c r="F329" s="243"/>
      <c r="G329" s="243"/>
      <c r="H329" s="241"/>
      <c r="I329" s="241"/>
      <c r="J329" s="241"/>
      <c r="K329" s="241"/>
      <c r="L329" s="241"/>
      <c r="M329" s="241"/>
      <c r="N329" s="241"/>
      <c r="O329" s="242"/>
      <c r="P329" s="242"/>
      <c r="Q329" s="244"/>
      <c r="R329" s="244"/>
      <c r="S329" s="243"/>
      <c r="T329" s="243"/>
      <c r="U329" s="243"/>
      <c r="V329" s="245"/>
      <c r="W329" s="245"/>
      <c r="X329" s="245"/>
      <c r="Y329" s="242"/>
      <c r="Z329" s="242"/>
      <c r="AA329" s="242"/>
      <c r="AB329" s="246"/>
      <c r="AC329" s="246"/>
      <c r="AD329" s="247"/>
      <c r="AE329" s="247"/>
      <c r="AF329" s="247"/>
      <c r="AG329" s="247"/>
      <c r="AH329" s="247"/>
    </row>
    <row r="330" spans="1:35" s="248" customFormat="1" ht="20.100000000000001" customHeight="1" x14ac:dyDescent="0.25">
      <c r="A330" s="239"/>
      <c r="B330" s="240"/>
      <c r="C330" s="241"/>
      <c r="D330" s="242"/>
      <c r="E330" s="242"/>
      <c r="F330" s="243"/>
      <c r="G330" s="243"/>
      <c r="H330" s="241"/>
      <c r="I330" s="241"/>
      <c r="J330" s="241"/>
      <c r="K330" s="241"/>
      <c r="L330" s="241"/>
      <c r="M330" s="241"/>
      <c r="N330" s="241"/>
      <c r="O330" s="242"/>
      <c r="P330" s="242"/>
      <c r="Q330" s="244"/>
      <c r="R330" s="244"/>
      <c r="S330" s="243"/>
      <c r="T330" s="243"/>
      <c r="U330" s="243"/>
      <c r="V330" s="245"/>
      <c r="W330" s="245"/>
      <c r="X330" s="245"/>
      <c r="Y330" s="242"/>
      <c r="Z330" s="242"/>
      <c r="AA330" s="242"/>
      <c r="AB330" s="246"/>
      <c r="AC330" s="246"/>
      <c r="AD330" s="247"/>
      <c r="AE330" s="247"/>
      <c r="AF330" s="247"/>
      <c r="AG330" s="247"/>
      <c r="AH330" s="247"/>
    </row>
    <row r="331" spans="1:35" s="248" customFormat="1" ht="15" customHeight="1" x14ac:dyDescent="0.25">
      <c r="A331" s="239"/>
      <c r="B331" s="240"/>
      <c r="C331" s="241"/>
      <c r="D331" s="242"/>
      <c r="E331" s="242"/>
      <c r="F331" s="243"/>
      <c r="G331" s="243"/>
      <c r="H331" s="241"/>
      <c r="I331" s="241"/>
      <c r="J331" s="241"/>
      <c r="K331" s="241"/>
      <c r="L331" s="241"/>
      <c r="M331" s="241"/>
      <c r="N331" s="241"/>
      <c r="O331" s="242"/>
      <c r="P331" s="242"/>
      <c r="Q331" s="244"/>
      <c r="R331" s="244"/>
      <c r="S331" s="243"/>
      <c r="T331" s="243"/>
      <c r="U331" s="243"/>
      <c r="V331" s="245"/>
      <c r="W331" s="245"/>
      <c r="X331" s="245"/>
      <c r="Y331" s="242"/>
      <c r="Z331" s="242"/>
      <c r="AA331" s="242"/>
      <c r="AB331" s="246"/>
      <c r="AC331" s="246"/>
      <c r="AD331" s="247"/>
      <c r="AE331" s="247"/>
      <c r="AF331" s="247"/>
      <c r="AG331" s="247"/>
      <c r="AH331" s="247"/>
    </row>
    <row r="332" spans="1:35" s="248" customFormat="1" ht="15" customHeight="1" x14ac:dyDescent="0.25">
      <c r="A332" s="239"/>
      <c r="B332" s="240"/>
      <c r="C332" s="241"/>
      <c r="D332" s="242"/>
      <c r="E332" s="242"/>
      <c r="F332" s="243"/>
      <c r="G332" s="243"/>
      <c r="H332" s="241"/>
      <c r="I332" s="241"/>
      <c r="J332" s="241"/>
      <c r="K332" s="241"/>
      <c r="L332" s="241"/>
      <c r="M332" s="241"/>
      <c r="N332" s="241"/>
      <c r="O332" s="242"/>
      <c r="P332" s="242"/>
      <c r="Q332" s="244"/>
      <c r="R332" s="244"/>
      <c r="S332" s="243"/>
      <c r="T332" s="243"/>
      <c r="U332" s="243"/>
      <c r="V332" s="245"/>
      <c r="W332" s="245"/>
      <c r="X332" s="245"/>
      <c r="Y332" s="242"/>
      <c r="Z332" s="242"/>
      <c r="AA332" s="242"/>
      <c r="AB332" s="246"/>
      <c r="AC332" s="246"/>
      <c r="AD332" s="247"/>
      <c r="AE332" s="247"/>
      <c r="AF332" s="247"/>
      <c r="AG332" s="247"/>
      <c r="AH332" s="247"/>
    </row>
    <row r="333" spans="1:35" s="248" customFormat="1" ht="15" customHeight="1" x14ac:dyDescent="0.25">
      <c r="A333" s="239"/>
      <c r="B333" s="240"/>
      <c r="C333" s="241"/>
      <c r="D333" s="242"/>
      <c r="E333" s="242"/>
      <c r="F333" s="243"/>
      <c r="G333" s="243"/>
      <c r="H333" s="241"/>
      <c r="I333" s="241"/>
      <c r="J333" s="241"/>
      <c r="K333" s="241"/>
      <c r="L333" s="241"/>
      <c r="M333" s="241"/>
      <c r="N333" s="241"/>
      <c r="O333" s="242"/>
      <c r="P333" s="242"/>
      <c r="Q333" s="244"/>
      <c r="R333" s="244"/>
      <c r="S333" s="243"/>
      <c r="T333" s="243"/>
      <c r="U333" s="243"/>
      <c r="V333" s="245"/>
      <c r="W333" s="245"/>
      <c r="X333" s="245"/>
      <c r="Y333" s="242"/>
      <c r="Z333" s="242"/>
      <c r="AA333" s="242"/>
      <c r="AB333" s="246"/>
      <c r="AC333" s="246"/>
      <c r="AD333" s="247"/>
      <c r="AE333" s="247"/>
      <c r="AF333" s="247"/>
      <c r="AG333" s="247"/>
      <c r="AH333" s="247"/>
    </row>
    <row r="334" spans="1:35" s="248" customFormat="1" ht="15" customHeight="1" x14ac:dyDescent="0.25">
      <c r="A334" s="239"/>
      <c r="B334" s="240"/>
      <c r="C334" s="241"/>
      <c r="D334" s="242"/>
      <c r="E334" s="242"/>
      <c r="F334" s="243"/>
      <c r="G334" s="243"/>
      <c r="H334" s="241"/>
      <c r="I334" s="241"/>
      <c r="J334" s="241"/>
      <c r="K334" s="241"/>
      <c r="L334" s="241"/>
      <c r="M334" s="241"/>
      <c r="N334" s="241"/>
      <c r="O334" s="242"/>
      <c r="P334" s="242"/>
      <c r="Q334" s="244"/>
      <c r="R334" s="244"/>
      <c r="S334" s="243"/>
      <c r="T334" s="243"/>
      <c r="U334" s="243"/>
      <c r="V334" s="245"/>
      <c r="W334" s="245"/>
      <c r="X334" s="245"/>
      <c r="Y334" s="242"/>
      <c r="Z334" s="242"/>
      <c r="AA334" s="242"/>
      <c r="AB334" s="246"/>
      <c r="AC334" s="246"/>
      <c r="AD334" s="247"/>
      <c r="AE334" s="247"/>
      <c r="AF334" s="247"/>
      <c r="AG334" s="247"/>
      <c r="AH334" s="247"/>
    </row>
    <row r="335" spans="1:35" s="248" customFormat="1" x14ac:dyDescent="0.25">
      <c r="A335" s="239"/>
      <c r="B335" s="240"/>
      <c r="C335" s="241"/>
      <c r="D335" s="242"/>
      <c r="E335" s="242"/>
      <c r="F335" s="243"/>
      <c r="G335" s="243"/>
      <c r="H335" s="241"/>
      <c r="I335" s="241"/>
      <c r="J335" s="241"/>
      <c r="K335" s="241"/>
      <c r="L335" s="241"/>
      <c r="M335" s="241"/>
      <c r="N335" s="241"/>
      <c r="O335" s="242"/>
      <c r="P335" s="242"/>
      <c r="Q335" s="244"/>
      <c r="R335" s="244"/>
      <c r="S335" s="243"/>
      <c r="T335" s="243"/>
      <c r="U335" s="243"/>
      <c r="V335" s="245"/>
      <c r="W335" s="245"/>
      <c r="X335" s="245"/>
      <c r="Y335" s="242"/>
      <c r="Z335" s="242"/>
      <c r="AA335" s="242"/>
      <c r="AB335" s="246"/>
      <c r="AC335" s="246"/>
      <c r="AD335" s="247"/>
      <c r="AE335" s="247"/>
      <c r="AF335" s="247"/>
      <c r="AG335" s="247"/>
      <c r="AH335" s="247"/>
    </row>
  </sheetData>
  <sheetProtection algorithmName="SHA-512" hashValue="Rm+ZYxKQx7xpcrtOz0a4n1IwmHPQIVxPZy2rE/zI25G8pnKAXNbVPg1dudC1O/fPN8YT68lQgLYE3fJg/5f7Mg==" saltValue="ofvTrl21B7kIYMADr9ON5A==" spinCount="100000" sheet="1" formatCells="0" formatColumns="0" formatRows="0" insertColumns="0" insertRows="0" insertHyperlinks="0" deleteColumns="0" deleteRows="0" sort="0" autoFilter="0" pivotTables="0"/>
  <autoFilter ref="A1:Y314" xr:uid="{48952448-C891-4F89-A90B-C9BA140201F2}">
    <filterColumn colId="7" showButton="0"/>
  </autoFilter>
  <sortState xmlns:xlrd2="http://schemas.microsoft.com/office/spreadsheetml/2017/richdata2" ref="A3:Y313">
    <sortCondition ref="A3:A313"/>
  </sortState>
  <mergeCells count="17">
    <mergeCell ref="Y1:Y2"/>
    <mergeCell ref="D1:D2"/>
    <mergeCell ref="E1:E2"/>
    <mergeCell ref="Z1:Z2"/>
    <mergeCell ref="Q1:Q2"/>
    <mergeCell ref="S1:S2"/>
    <mergeCell ref="V1:V2"/>
    <mergeCell ref="T1:T2"/>
    <mergeCell ref="O1:O2"/>
    <mergeCell ref="K1:K2"/>
    <mergeCell ref="L1:L2"/>
    <mergeCell ref="N1:N2"/>
    <mergeCell ref="A1:A2"/>
    <mergeCell ref="B1:B2"/>
    <mergeCell ref="F1:F2"/>
    <mergeCell ref="G1:G2"/>
    <mergeCell ref="H1:I1"/>
  </mergeCells>
  <conditionalFormatting sqref="D1:E2 S1:U31 X1:X314 D4:E31 D314:E314 D318:E321 Y318:Y321">
    <cfRule type="containsText" dxfId="56" priority="53" operator="containsText" text="digitar">
      <formula>NOT(ISERROR(SEARCH("digitar",D1)))</formula>
    </cfRule>
  </conditionalFormatting>
  <conditionalFormatting sqref="S315:T315 S316:U317 S322:U1048576">
    <cfRule type="containsText" dxfId="55" priority="63" operator="containsText" text="digitar">
      <formula>NOT(ISERROR(SEARCH("digitar",S315)))</formula>
    </cfRule>
  </conditionalFormatting>
  <conditionalFormatting sqref="U32">
    <cfRule type="containsText" dxfId="54" priority="39" operator="containsText" text="digitar">
      <formula>NOT(ISERROR(SEARCH("digitar",U32)))</formula>
    </cfRule>
  </conditionalFormatting>
  <conditionalFormatting sqref="U44">
    <cfRule type="containsText" dxfId="53" priority="36" operator="containsText" text="digitar">
      <formula>NOT(ISERROR(SEARCH("digitar",U44)))</formula>
    </cfRule>
  </conditionalFormatting>
  <conditionalFormatting sqref="U74">
    <cfRule type="containsText" dxfId="52" priority="42" operator="containsText" text="digitar">
      <formula>NOT(ISERROR(SEARCH("digitar",U74)))</formula>
    </cfRule>
  </conditionalFormatting>
  <conditionalFormatting sqref="U76">
    <cfRule type="containsText" dxfId="51" priority="34" operator="containsText" text="digitar">
      <formula>NOT(ISERROR(SEARCH("digitar",U76)))</formula>
    </cfRule>
  </conditionalFormatting>
  <conditionalFormatting sqref="U92:U93">
    <cfRule type="containsText" dxfId="50" priority="33" operator="containsText" text="digitar">
      <formula>NOT(ISERROR(SEARCH("digitar",U92)))</formula>
    </cfRule>
  </conditionalFormatting>
  <conditionalFormatting sqref="U103:U104">
    <cfRule type="containsText" dxfId="49" priority="32" operator="containsText" text="digitar">
      <formula>NOT(ISERROR(SEARCH("digitar",U103)))</formula>
    </cfRule>
  </conditionalFormatting>
  <conditionalFormatting sqref="U107:U108">
    <cfRule type="containsText" dxfId="48" priority="31" operator="containsText" text="digitar">
      <formula>NOT(ISERROR(SEARCH("digitar",U107)))</formula>
    </cfRule>
  </conditionalFormatting>
  <conditionalFormatting sqref="U112">
    <cfRule type="containsText" dxfId="47" priority="30" operator="containsText" text="digitar">
      <formula>NOT(ISERROR(SEARCH("digitar",U112)))</formula>
    </cfRule>
  </conditionalFormatting>
  <conditionalFormatting sqref="U114:U115">
    <cfRule type="containsText" dxfId="46" priority="29" operator="containsText" text="digitar">
      <formula>NOT(ISERROR(SEARCH("digitar",U114)))</formula>
    </cfRule>
  </conditionalFormatting>
  <conditionalFormatting sqref="U121">
    <cfRule type="containsText" dxfId="45" priority="28" operator="containsText" text="digitar">
      <formula>NOT(ISERROR(SEARCH("digitar",U121)))</formula>
    </cfRule>
  </conditionalFormatting>
  <conditionalFormatting sqref="U125">
    <cfRule type="containsText" dxfId="44" priority="27" operator="containsText" text="digitar">
      <formula>NOT(ISERROR(SEARCH("digitar",U125)))</formula>
    </cfRule>
  </conditionalFormatting>
  <conditionalFormatting sqref="U133:U134">
    <cfRule type="containsText" dxfId="43" priority="26" operator="containsText" text="digitar">
      <formula>NOT(ISERROR(SEARCH("digitar",U133)))</formula>
    </cfRule>
  </conditionalFormatting>
  <conditionalFormatting sqref="U142">
    <cfRule type="containsText" dxfId="42" priority="25" operator="containsText" text="digitar">
      <formula>NOT(ISERROR(SEARCH("digitar",U142)))</formula>
    </cfRule>
  </conditionalFormatting>
  <conditionalFormatting sqref="U147:U148">
    <cfRule type="containsText" dxfId="41" priority="24" operator="containsText" text="digitar">
      <formula>NOT(ISERROR(SEARCH("digitar",U147)))</formula>
    </cfRule>
  </conditionalFormatting>
  <conditionalFormatting sqref="U153">
    <cfRule type="containsText" dxfId="40" priority="23" operator="containsText" text="digitar">
      <formula>NOT(ISERROR(SEARCH("digitar",U153)))</formula>
    </cfRule>
  </conditionalFormatting>
  <conditionalFormatting sqref="U172">
    <cfRule type="containsText" dxfId="39" priority="22" operator="containsText" text="digitar">
      <formula>NOT(ISERROR(SEARCH("digitar",U172)))</formula>
    </cfRule>
  </conditionalFormatting>
  <conditionalFormatting sqref="U174">
    <cfRule type="containsText" dxfId="38" priority="21" operator="containsText" text="digitar">
      <formula>NOT(ISERROR(SEARCH("digitar",U174)))</formula>
    </cfRule>
  </conditionalFormatting>
  <conditionalFormatting sqref="U183">
    <cfRule type="containsText" dxfId="37" priority="20" operator="containsText" text="digitar">
      <formula>NOT(ISERROR(SEARCH("digitar",U183)))</formula>
    </cfRule>
  </conditionalFormatting>
  <conditionalFormatting sqref="U190">
    <cfRule type="containsText" dxfId="36" priority="19" operator="containsText" text="digitar">
      <formula>NOT(ISERROR(SEARCH("digitar",U190)))</formula>
    </cfRule>
  </conditionalFormatting>
  <conditionalFormatting sqref="U201">
    <cfRule type="containsText" dxfId="35" priority="18" operator="containsText" text="digitar">
      <formula>NOT(ISERROR(SEARCH("digitar",U201)))</formula>
    </cfRule>
  </conditionalFormatting>
  <conditionalFormatting sqref="U206">
    <cfRule type="containsText" dxfId="34" priority="17" operator="containsText" text="digitar">
      <formula>NOT(ISERROR(SEARCH("digitar",U206)))</formula>
    </cfRule>
  </conditionalFormatting>
  <conditionalFormatting sqref="U213:U215">
    <cfRule type="containsText" dxfId="33" priority="16" operator="containsText" text="digitar">
      <formula>NOT(ISERROR(SEARCH("digitar",U213)))</formula>
    </cfRule>
  </conditionalFormatting>
  <conditionalFormatting sqref="U246">
    <cfRule type="containsText" dxfId="32" priority="15" operator="containsText" text="digitar">
      <formula>NOT(ISERROR(SEARCH("digitar",U246)))</formula>
    </cfRule>
  </conditionalFormatting>
  <conditionalFormatting sqref="U249">
    <cfRule type="containsText" dxfId="31" priority="14" operator="containsText" text="digitar">
      <formula>NOT(ISERROR(SEARCH("digitar",U249)))</formula>
    </cfRule>
  </conditionalFormatting>
  <conditionalFormatting sqref="U256">
    <cfRule type="containsText" dxfId="30" priority="13" operator="containsText" text="digitar">
      <formula>NOT(ISERROR(SEARCH("digitar",U256)))</formula>
    </cfRule>
  </conditionalFormatting>
  <conditionalFormatting sqref="U258">
    <cfRule type="containsText" dxfId="29" priority="12" operator="containsText" text="digitar">
      <formula>NOT(ISERROR(SEARCH("digitar",U258)))</formula>
    </cfRule>
  </conditionalFormatting>
  <conditionalFormatting sqref="U263:U264">
    <cfRule type="containsText" dxfId="28" priority="11" operator="containsText" text="digitar">
      <formula>NOT(ISERROR(SEARCH("digitar",U263)))</formula>
    </cfRule>
  </conditionalFormatting>
  <conditionalFormatting sqref="U266">
    <cfRule type="containsText" dxfId="27" priority="10" operator="containsText" text="digitar">
      <formula>NOT(ISERROR(SEARCH("digitar",U266)))</formula>
    </cfRule>
  </conditionalFormatting>
  <conditionalFormatting sqref="U268">
    <cfRule type="containsText" dxfId="26" priority="9" operator="containsText" text="digitar">
      <formula>NOT(ISERROR(SEARCH("digitar",U268)))</formula>
    </cfRule>
  </conditionalFormatting>
  <conditionalFormatting sqref="U271">
    <cfRule type="containsText" dxfId="25" priority="8" operator="containsText" text="digitar">
      <formula>NOT(ISERROR(SEARCH("digitar",U271)))</formula>
    </cfRule>
  </conditionalFormatting>
  <conditionalFormatting sqref="U279">
    <cfRule type="containsText" dxfId="24" priority="7" operator="containsText" text="digitar">
      <formula>NOT(ISERROR(SEARCH("digitar",U279)))</formula>
    </cfRule>
  </conditionalFormatting>
  <conditionalFormatting sqref="U281">
    <cfRule type="containsText" dxfId="23" priority="6" operator="containsText" text="digitar">
      <formula>NOT(ISERROR(SEARCH("digitar",U281)))</formula>
    </cfRule>
  </conditionalFormatting>
  <conditionalFormatting sqref="U287">
    <cfRule type="containsText" dxfId="22" priority="5" operator="containsText" text="digitar">
      <formula>NOT(ISERROR(SEARCH("digitar",U287)))</formula>
    </cfRule>
  </conditionalFormatting>
  <conditionalFormatting sqref="U289">
    <cfRule type="containsText" dxfId="21" priority="4" operator="containsText" text="digitar">
      <formula>NOT(ISERROR(SEARCH("digitar",U289)))</formula>
    </cfRule>
  </conditionalFormatting>
  <conditionalFormatting sqref="U291:U292">
    <cfRule type="containsText" dxfId="20" priority="3" operator="containsText" text="digitar">
      <formula>NOT(ISERROR(SEARCH("digitar",U291)))</formula>
    </cfRule>
  </conditionalFormatting>
  <conditionalFormatting sqref="U297:U298">
    <cfRule type="containsText" dxfId="19" priority="2" operator="containsText" text="digitar">
      <formula>NOT(ISERROR(SEARCH("digitar",U297)))</formula>
    </cfRule>
  </conditionalFormatting>
  <conditionalFormatting sqref="U311">
    <cfRule type="containsText" dxfId="18" priority="1" operator="containsText" text="digitar">
      <formula>NOT(ISERROR(SEARCH("digitar",U311)))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11AE-293E-482A-98B1-119DFBCCF44C}">
  <dimension ref="B2:G371"/>
  <sheetViews>
    <sheetView showGridLines="0" topLeftCell="A82" zoomScale="90" zoomScaleNormal="90" zoomScaleSheetLayoutView="80" zoomScalePageLayoutView="80" workbookViewId="0">
      <selection activeCell="J135" sqref="J135"/>
    </sheetView>
  </sheetViews>
  <sheetFormatPr defaultColWidth="9.140625" defaultRowHeight="12.75" x14ac:dyDescent="0.2"/>
  <cols>
    <col min="1" max="1" width="9.140625" style="103"/>
    <col min="2" max="2" width="15.7109375" style="258" customWidth="1"/>
    <col min="3" max="3" width="20.7109375" style="258" customWidth="1"/>
    <col min="4" max="4" width="15.7109375" style="103" customWidth="1"/>
    <col min="5" max="5" width="20.7109375" style="103" customWidth="1"/>
    <col min="6" max="6" width="15.7109375" style="103" customWidth="1"/>
    <col min="7" max="7" width="20.7109375" style="103" customWidth="1"/>
    <col min="8" max="16384" width="9.140625" style="103"/>
  </cols>
  <sheetData>
    <row r="2" spans="2:7" ht="13.5" thickBot="1" x14ac:dyDescent="0.25">
      <c r="G2" s="279" t="s">
        <v>285</v>
      </c>
    </row>
    <row r="3" spans="2:7" ht="39.950000000000003" customHeight="1" x14ac:dyDescent="0.2">
      <c r="B3" s="259" t="s">
        <v>259</v>
      </c>
      <c r="C3" s="260" t="s">
        <v>284</v>
      </c>
      <c r="D3" s="259" t="s">
        <v>259</v>
      </c>
      <c r="E3" s="260" t="s">
        <v>284</v>
      </c>
      <c r="F3" s="259" t="s">
        <v>259</v>
      </c>
      <c r="G3" s="260" t="s">
        <v>284</v>
      </c>
    </row>
    <row r="4" spans="2:7" x14ac:dyDescent="0.2">
      <c r="B4" s="261">
        <f>'Cálculo Geral de Propriedades'!A3</f>
        <v>1</v>
      </c>
      <c r="C4" s="262">
        <f>VLOOKUP(B4,'Cálculo Geral de Propriedades'!A:X,24,FALSE)</f>
        <v>7031146.8065956235</v>
      </c>
      <c r="D4" s="261">
        <f>'Cálculo Geral de Propriedades'!A29</f>
        <v>56</v>
      </c>
      <c r="E4" s="262">
        <f>VLOOKUP(D4,'Cálculo Geral de Propriedades'!A:X,24,FALSE)</f>
        <v>843732.94178467453</v>
      </c>
      <c r="F4" s="261">
        <f>'Cálculo Geral de Propriedades'!A55</f>
        <v>123</v>
      </c>
      <c r="G4" s="262">
        <f>VLOOKUP(F4,'Cálculo Geral de Propriedades'!A:X,24,FALSE)</f>
        <v>188413.37432335713</v>
      </c>
    </row>
    <row r="5" spans="2:7" x14ac:dyDescent="0.2">
      <c r="B5" s="261">
        <f>'Cálculo Geral de Propriedades'!A4</f>
        <v>2</v>
      </c>
      <c r="C5" s="262">
        <f>VLOOKUP(B5,'Cálculo Geral de Propriedades'!A:X,24,FALSE)</f>
        <v>33540757.280941233</v>
      </c>
      <c r="D5" s="261">
        <f>'Cálculo Geral de Propriedades'!A30</f>
        <v>57</v>
      </c>
      <c r="E5" s="262">
        <f>VLOOKUP(D5,'Cálculo Geral de Propriedades'!A:X,24,FALSE)</f>
        <v>644282.76858501625</v>
      </c>
      <c r="F5" s="261">
        <f>'Cálculo Geral de Propriedades'!A56</f>
        <v>124</v>
      </c>
      <c r="G5" s="262">
        <f>VLOOKUP(F5,'Cálculo Geral de Propriedades'!A:X,24,FALSE)</f>
        <v>1481682.2302124912</v>
      </c>
    </row>
    <row r="6" spans="2:7" x14ac:dyDescent="0.2">
      <c r="B6" s="261">
        <f>'Cálculo Geral de Propriedades'!A5</f>
        <v>22</v>
      </c>
      <c r="C6" s="262">
        <f>VLOOKUP(B6,'Cálculo Geral de Propriedades'!A:X,24,FALSE)</f>
        <v>479324.3705476516</v>
      </c>
      <c r="D6" s="261">
        <f>'Cálculo Geral de Propriedades'!A31</f>
        <v>58</v>
      </c>
      <c r="E6" s="262">
        <f>VLOOKUP(D6,'Cálculo Geral de Propriedades'!A:X,24,FALSE)</f>
        <v>2981115.1315722209</v>
      </c>
      <c r="F6" s="261">
        <f>'Cálculo Geral de Propriedades'!A57</f>
        <v>125</v>
      </c>
      <c r="G6" s="262">
        <f>VLOOKUP(F6,'Cálculo Geral de Propriedades'!A:X,24,FALSE)</f>
        <v>153588.7785124931</v>
      </c>
    </row>
    <row r="7" spans="2:7" x14ac:dyDescent="0.2">
      <c r="B7" s="261">
        <f>'Cálculo Geral de Propriedades'!A6</f>
        <v>23</v>
      </c>
      <c r="C7" s="262">
        <f>VLOOKUP(B7,'Cálculo Geral de Propriedades'!A:X,24,FALSE)</f>
        <v>2086648.6108225686</v>
      </c>
      <c r="D7" s="261">
        <f>'Cálculo Geral de Propriedades'!A32</f>
        <v>81</v>
      </c>
      <c r="E7" s="262">
        <f>VLOOKUP(D7,'Cálculo Geral de Propriedades'!A:X,24,FALSE)</f>
        <v>453877.49858879513</v>
      </c>
      <c r="F7" s="261">
        <f>'Cálculo Geral de Propriedades'!A58</f>
        <v>126</v>
      </c>
      <c r="G7" s="262">
        <f>VLOOKUP(F7,'Cálculo Geral de Propriedades'!A:X,24,FALSE)</f>
        <v>649723.72812753217</v>
      </c>
    </row>
    <row r="8" spans="2:7" x14ac:dyDescent="0.2">
      <c r="B8" s="261">
        <f>'Cálculo Geral de Propriedades'!A7</f>
        <v>24</v>
      </c>
      <c r="C8" s="262">
        <f>VLOOKUP(B8,'Cálculo Geral de Propriedades'!A:X,24,FALSE)</f>
        <v>2260928.6479637693</v>
      </c>
      <c r="D8" s="261">
        <f>'Cálculo Geral de Propriedades'!A33</f>
        <v>82</v>
      </c>
      <c r="E8" s="262">
        <f>VLOOKUP(D8,'Cálculo Geral de Propriedades'!A:X,24,FALSE)</f>
        <v>1206389.1000353766</v>
      </c>
      <c r="F8" s="261">
        <f>'Cálculo Geral de Propriedades'!A59</f>
        <v>127</v>
      </c>
      <c r="G8" s="262">
        <f>VLOOKUP(F8,'Cálculo Geral de Propriedades'!A:X,24,FALSE)</f>
        <v>49776.620037384251</v>
      </c>
    </row>
    <row r="9" spans="2:7" x14ac:dyDescent="0.2">
      <c r="B9" s="261">
        <f>'Cálculo Geral de Propriedades'!A8</f>
        <v>25</v>
      </c>
      <c r="C9" s="262">
        <f>VLOOKUP(B9,'Cálculo Geral de Propriedades'!A:X,24,FALSE)</f>
        <v>386768.84819892806</v>
      </c>
      <c r="D9" s="261">
        <f>'Cálculo Geral de Propriedades'!A34</f>
        <v>83</v>
      </c>
      <c r="E9" s="262">
        <f>VLOOKUP(D9,'Cálculo Geral de Propriedades'!A:X,24,FALSE)</f>
        <v>1405131.3866461369</v>
      </c>
      <c r="F9" s="261">
        <f>'Cálculo Geral de Propriedades'!A60</f>
        <v>128</v>
      </c>
      <c r="G9" s="262">
        <f>VLOOKUP(F9,'Cálculo Geral de Propriedades'!A:X,24,FALSE)</f>
        <v>28430.155538895364</v>
      </c>
    </row>
    <row r="10" spans="2:7" x14ac:dyDescent="0.2">
      <c r="B10" s="261">
        <f>'Cálculo Geral de Propriedades'!A9</f>
        <v>26</v>
      </c>
      <c r="C10" s="262">
        <f>VLOOKUP(B10,'Cálculo Geral de Propriedades'!A:X,24,FALSE)</f>
        <v>9256380.9942307193</v>
      </c>
      <c r="D10" s="261">
        <f>'Cálculo Geral de Propriedades'!A35</f>
        <v>84</v>
      </c>
      <c r="E10" s="262">
        <f>VLOOKUP(D10,'Cálculo Geral de Propriedades'!A:X,24,FALSE)</f>
        <v>443212.59747403953</v>
      </c>
      <c r="F10" s="261">
        <f>'Cálculo Geral de Propriedades'!A61</f>
        <v>129</v>
      </c>
      <c r="G10" s="262">
        <f>VLOOKUP(F10,'Cálculo Geral de Propriedades'!A:X,24,FALSE)</f>
        <v>28382.058568313096</v>
      </c>
    </row>
    <row r="11" spans="2:7" x14ac:dyDescent="0.2">
      <c r="B11" s="261">
        <f>'Cálculo Geral de Propriedades'!A10</f>
        <v>27</v>
      </c>
      <c r="C11" s="262">
        <f>VLOOKUP(B11,'Cálculo Geral de Propriedades'!A:X,24,FALSE)</f>
        <v>1159597.4351310302</v>
      </c>
      <c r="D11" s="261">
        <f>'Cálculo Geral de Propriedades'!A36</f>
        <v>85</v>
      </c>
      <c r="E11" s="262">
        <f>VLOOKUP(D11,'Cálculo Geral de Propriedades'!A:X,24,FALSE)</f>
        <v>1233341.2346141413</v>
      </c>
      <c r="F11" s="261">
        <f>'Cálculo Geral de Propriedades'!A62</f>
        <v>130</v>
      </c>
      <c r="G11" s="262">
        <f>VLOOKUP(F11,'Cálculo Geral de Propriedades'!A:X,24,FALSE)</f>
        <v>25918.217031334294</v>
      </c>
    </row>
    <row r="12" spans="2:7" x14ac:dyDescent="0.2">
      <c r="B12" s="261">
        <f>'Cálculo Geral de Propriedades'!A11</f>
        <v>28</v>
      </c>
      <c r="C12" s="262">
        <f>VLOOKUP(B12,'Cálculo Geral de Propriedades'!A:X,24,FALSE)</f>
        <v>1729436.8892315729</v>
      </c>
      <c r="D12" s="261">
        <f>'Cálculo Geral de Propriedades'!A37</f>
        <v>86</v>
      </c>
      <c r="E12" s="262">
        <f>VLOOKUP(D12,'Cálculo Geral de Propriedades'!A:X,24,FALSE)</f>
        <v>1413710.0886987108</v>
      </c>
      <c r="F12" s="261">
        <f>'Cálculo Geral de Propriedades'!A63</f>
        <v>131</v>
      </c>
      <c r="G12" s="262">
        <f>VLOOKUP(F12,'Cálculo Geral de Propriedades'!A:X,24,FALSE)</f>
        <v>28404.617993446005</v>
      </c>
    </row>
    <row r="13" spans="2:7" x14ac:dyDescent="0.2">
      <c r="B13" s="261">
        <f>'Cálculo Geral de Propriedades'!A12</f>
        <v>29</v>
      </c>
      <c r="C13" s="262">
        <f>VLOOKUP(B13,'Cálculo Geral de Propriedades'!A:X,24,FALSE)</f>
        <v>429727.6493540096</v>
      </c>
      <c r="D13" s="261">
        <f>'Cálculo Geral de Propriedades'!A38</f>
        <v>87</v>
      </c>
      <c r="E13" s="262">
        <f>VLOOKUP(D13,'Cálculo Geral de Propriedades'!A:X,24,FALSE)</f>
        <v>3071077.0218936387</v>
      </c>
      <c r="F13" s="261">
        <f>'Cálculo Geral de Propriedades'!A64</f>
        <v>132</v>
      </c>
      <c r="G13" s="262">
        <f>VLOOKUP(F13,'Cálculo Geral de Propriedades'!A:X,24,FALSE)</f>
        <v>28437.396684533163</v>
      </c>
    </row>
    <row r="14" spans="2:7" x14ac:dyDescent="0.2">
      <c r="B14" s="261">
        <f>'Cálculo Geral de Propriedades'!A13</f>
        <v>30</v>
      </c>
      <c r="C14" s="262">
        <f>VLOOKUP(B14,'Cálculo Geral de Propriedades'!A:X,24,FALSE)</f>
        <v>398900.99437373842</v>
      </c>
      <c r="D14" s="261">
        <f>'Cálculo Geral de Propriedades'!A39</f>
        <v>88</v>
      </c>
      <c r="E14" s="262">
        <f>VLOOKUP(D14,'Cálculo Geral de Propriedades'!A:X,24,FALSE)</f>
        <v>1871518.2284438198</v>
      </c>
      <c r="F14" s="261">
        <f>'Cálculo Geral de Propriedades'!A65</f>
        <v>133</v>
      </c>
      <c r="G14" s="262">
        <f>VLOOKUP(F14,'Cálculo Geral de Propriedades'!A:X,24,FALSE)</f>
        <v>18636.500089539179</v>
      </c>
    </row>
    <row r="15" spans="2:7" x14ac:dyDescent="0.2">
      <c r="B15" s="261">
        <f>'Cálculo Geral de Propriedades'!A14</f>
        <v>31</v>
      </c>
      <c r="C15" s="262">
        <f>VLOOKUP(B15,'Cálculo Geral de Propriedades'!A:X,24,FALSE)</f>
        <v>590895.87975283514</v>
      </c>
      <c r="D15" s="261">
        <f>'Cálculo Geral de Propriedades'!A40</f>
        <v>89</v>
      </c>
      <c r="E15" s="262">
        <f>VLOOKUP(D15,'Cálculo Geral de Propriedades'!A:X,24,FALSE)</f>
        <v>1684566.675311845</v>
      </c>
      <c r="F15" s="261">
        <f>'Cálculo Geral de Propriedades'!A66</f>
        <v>134</v>
      </c>
      <c r="G15" s="262">
        <f>VLOOKUP(F15,'Cálculo Geral de Propriedades'!A:X,24,FALSE)</f>
        <v>34664.300610504426</v>
      </c>
    </row>
    <row r="16" spans="2:7" x14ac:dyDescent="0.2">
      <c r="B16" s="261">
        <f>'Cálculo Geral de Propriedades'!A15</f>
        <v>32</v>
      </c>
      <c r="C16" s="262">
        <f>VLOOKUP(B16,'Cálculo Geral de Propriedades'!A:X,24,FALSE)</f>
        <v>319500.1677982143</v>
      </c>
      <c r="D16" s="261">
        <f>'Cálculo Geral de Propriedades'!A41</f>
        <v>90</v>
      </c>
      <c r="E16" s="262">
        <f>VLOOKUP(D16,'Cálculo Geral de Propriedades'!A:X,24,FALSE)</f>
        <v>722851.369327661</v>
      </c>
      <c r="F16" s="261">
        <f>'Cálculo Geral de Propriedades'!A67</f>
        <v>135</v>
      </c>
      <c r="G16" s="262">
        <f>VLOOKUP(F16,'Cálculo Geral de Propriedades'!A:X,24,FALSE)</f>
        <v>427535.74068645114</v>
      </c>
    </row>
    <row r="17" spans="2:7" x14ac:dyDescent="0.2">
      <c r="B17" s="261">
        <f>'Cálculo Geral de Propriedades'!A16</f>
        <v>33</v>
      </c>
      <c r="C17" s="262">
        <f>VLOOKUP(B17,'Cálculo Geral de Propriedades'!A:X,24,FALSE)</f>
        <v>849803.37167621939</v>
      </c>
      <c r="D17" s="263">
        <f>'Cálculo Geral de Propriedades'!A42</f>
        <v>98</v>
      </c>
      <c r="E17" s="264">
        <f>VLOOKUP(D17,'Cálculo Geral de Propriedades'!A:X,24,FALSE)</f>
        <v>436081.32515446946</v>
      </c>
      <c r="F17" s="261">
        <f>'Cálculo Geral de Propriedades'!A68</f>
        <v>136</v>
      </c>
      <c r="G17" s="262">
        <f>VLOOKUP(F17,'Cálculo Geral de Propriedades'!A:X,24,FALSE)</f>
        <v>217637.5783777188</v>
      </c>
    </row>
    <row r="18" spans="2:7" x14ac:dyDescent="0.2">
      <c r="B18" s="261">
        <f>'Cálculo Geral de Propriedades'!A17</f>
        <v>34</v>
      </c>
      <c r="C18" s="262">
        <f>VLOOKUP(B18,'Cálculo Geral de Propriedades'!A:X,24,FALSE)</f>
        <v>12123455.090375179</v>
      </c>
      <c r="D18" s="261">
        <f>'Cálculo Geral de Propriedades'!A43</f>
        <v>99</v>
      </c>
      <c r="E18" s="262">
        <f>VLOOKUP(D18,'Cálculo Geral de Propriedades'!A:X,24,FALSE)</f>
        <v>464022.41365408123</v>
      </c>
      <c r="F18" s="261">
        <f>'Cálculo Geral de Propriedades'!A69</f>
        <v>137</v>
      </c>
      <c r="G18" s="262">
        <f>VLOOKUP(F18,'Cálculo Geral de Propriedades'!A:X,24,FALSE)</f>
        <v>211018.33311169478</v>
      </c>
    </row>
    <row r="19" spans="2:7" x14ac:dyDescent="0.2">
      <c r="B19" s="261">
        <f>'Cálculo Geral de Propriedades'!A18</f>
        <v>45</v>
      </c>
      <c r="C19" s="262">
        <f>VLOOKUP(B19,'Cálculo Geral de Propriedades'!A:X,24,FALSE)</f>
        <v>431451.99182973249</v>
      </c>
      <c r="D19" s="261">
        <f>'Cálculo Geral de Propriedades'!A44</f>
        <v>100</v>
      </c>
      <c r="E19" s="262">
        <f>VLOOKUP(D19,'Cálculo Geral de Propriedades'!A:X,24,FALSE)</f>
        <v>389613.63716264814</v>
      </c>
      <c r="F19" s="261">
        <f>'Cálculo Geral de Propriedades'!A70</f>
        <v>138</v>
      </c>
      <c r="G19" s="262">
        <f>VLOOKUP(F19,'Cálculo Geral de Propriedades'!A:X,24,FALSE)</f>
        <v>101554.64550113121</v>
      </c>
    </row>
    <row r="20" spans="2:7" x14ac:dyDescent="0.2">
      <c r="B20" s="261">
        <f>'Cálculo Geral de Propriedades'!A19</f>
        <v>46</v>
      </c>
      <c r="C20" s="262">
        <f>VLOOKUP(B20,'Cálculo Geral de Propriedades'!A:X,24,FALSE)</f>
        <v>469918.667083423</v>
      </c>
      <c r="D20" s="261">
        <f>'Cálculo Geral de Propriedades'!A45</f>
        <v>101</v>
      </c>
      <c r="E20" s="262">
        <f>VLOOKUP(D20,'Cálculo Geral de Propriedades'!A:X,24,FALSE)</f>
        <v>434487.65356326627</v>
      </c>
      <c r="F20" s="261">
        <f>'Cálculo Geral de Propriedades'!A71</f>
        <v>139</v>
      </c>
      <c r="G20" s="262">
        <f>VLOOKUP(F20,'Cálculo Geral de Propriedades'!A:X,24,FALSE)</f>
        <v>64130.833949225744</v>
      </c>
    </row>
    <row r="21" spans="2:7" x14ac:dyDescent="0.2">
      <c r="B21" s="261">
        <f>'Cálculo Geral de Propriedades'!A20</f>
        <v>47</v>
      </c>
      <c r="C21" s="262">
        <f>VLOOKUP(B21,'Cálculo Geral de Propriedades'!A:X,24,FALSE)</f>
        <v>1292904.3132984939</v>
      </c>
      <c r="D21" s="261">
        <f>'Cálculo Geral de Propriedades'!A46</f>
        <v>102</v>
      </c>
      <c r="E21" s="262">
        <f>VLOOKUP(D21,'Cálculo Geral de Propriedades'!A:X,24,FALSE)</f>
        <v>1705121.0546765665</v>
      </c>
      <c r="F21" s="261">
        <f>'Cálculo Geral de Propriedades'!A72</f>
        <v>140</v>
      </c>
      <c r="G21" s="262">
        <f>VLOOKUP(F21,'Cálculo Geral de Propriedades'!A:X,24,FALSE)</f>
        <v>108190.14115404095</v>
      </c>
    </row>
    <row r="22" spans="2:7" x14ac:dyDescent="0.2">
      <c r="B22" s="261">
        <f>'Cálculo Geral de Propriedades'!A21</f>
        <v>48</v>
      </c>
      <c r="C22" s="262">
        <f>VLOOKUP(B22,'Cálculo Geral de Propriedades'!A:X,24,FALSE)</f>
        <v>154823.13664187703</v>
      </c>
      <c r="D22" s="261">
        <f>'Cálculo Geral de Propriedades'!A47</f>
        <v>103</v>
      </c>
      <c r="E22" s="262">
        <f>VLOOKUP(D22,'Cálculo Geral de Propriedades'!A:X,24,FALSE)</f>
        <v>341691.00086189061</v>
      </c>
      <c r="F22" s="261">
        <f>'Cálculo Geral de Propriedades'!A73</f>
        <v>141</v>
      </c>
      <c r="G22" s="262">
        <f>VLOOKUP(F22,'Cálculo Geral de Propriedades'!A:X,24,FALSE)</f>
        <v>310227.65980623482</v>
      </c>
    </row>
    <row r="23" spans="2:7" x14ac:dyDescent="0.2">
      <c r="B23" s="263">
        <f>'Cálculo Geral de Propriedades'!A22</f>
        <v>49</v>
      </c>
      <c r="C23" s="264">
        <f>VLOOKUP(B23,'Cálculo Geral de Propriedades'!A:X,24,FALSE)</f>
        <v>322286.67113078432</v>
      </c>
      <c r="D23" s="261">
        <f>'Cálculo Geral de Propriedades'!A48</f>
        <v>104</v>
      </c>
      <c r="E23" s="262">
        <f>VLOOKUP(D23,'Cálculo Geral de Propriedades'!A:X,24,FALSE)</f>
        <v>189232.53388537042</v>
      </c>
      <c r="F23" s="261">
        <f>'Cálculo Geral de Propriedades'!A74</f>
        <v>142</v>
      </c>
      <c r="G23" s="262">
        <f>VLOOKUP(F23,'Cálculo Geral de Propriedades'!A:X,24,FALSE)</f>
        <v>455718.73266082816</v>
      </c>
    </row>
    <row r="24" spans="2:7" x14ac:dyDescent="0.2">
      <c r="B24" s="261">
        <f>'Cálculo Geral de Propriedades'!A23</f>
        <v>50</v>
      </c>
      <c r="C24" s="262">
        <f>VLOOKUP(B24,'Cálculo Geral de Propriedades'!A:X,24,FALSE)</f>
        <v>10554004.859566238</v>
      </c>
      <c r="D24" s="261">
        <f>'Cálculo Geral de Propriedades'!A49</f>
        <v>105</v>
      </c>
      <c r="E24" s="262">
        <f>VLOOKUP(D24,'Cálculo Geral de Propriedades'!A:X,24,FALSE)</f>
        <v>181713.89400662304</v>
      </c>
      <c r="F24" s="261">
        <f>'Cálculo Geral de Propriedades'!A75</f>
        <v>143</v>
      </c>
      <c r="G24" s="262">
        <f>VLOOKUP(F24,'Cálculo Geral de Propriedades'!A:X,24,FALSE)</f>
        <v>431206.5572891726</v>
      </c>
    </row>
    <row r="25" spans="2:7" x14ac:dyDescent="0.2">
      <c r="B25" s="261">
        <f>'Cálculo Geral de Propriedades'!A24</f>
        <v>51</v>
      </c>
      <c r="C25" s="262">
        <f>VLOOKUP(B25,'Cálculo Geral de Propriedades'!A:X,24,FALSE)</f>
        <v>447505.97139478655</v>
      </c>
      <c r="D25" s="261">
        <f>'Cálculo Geral de Propriedades'!A50</f>
        <v>106</v>
      </c>
      <c r="E25" s="262">
        <f>VLOOKUP(D25,'Cálculo Geral de Propriedades'!A:X,24,FALSE)</f>
        <v>374324.20850779198</v>
      </c>
      <c r="F25" s="261">
        <f>'Cálculo Geral de Propriedades'!A76</f>
        <v>144</v>
      </c>
      <c r="G25" s="262">
        <f>VLOOKUP(F25,'Cálculo Geral de Propriedades'!A:X,24,FALSE)</f>
        <v>620668.97105664038</v>
      </c>
    </row>
    <row r="26" spans="2:7" x14ac:dyDescent="0.2">
      <c r="B26" s="261">
        <f>'Cálculo Geral de Propriedades'!A25</f>
        <v>52</v>
      </c>
      <c r="C26" s="262">
        <f>VLOOKUP(B26,'Cálculo Geral de Propriedades'!A:X,24,FALSE)</f>
        <v>195136.54212714324</v>
      </c>
      <c r="D26" s="261">
        <f>'Cálculo Geral de Propriedades'!A51</f>
        <v>119</v>
      </c>
      <c r="E26" s="262">
        <f>VLOOKUP(D26,'Cálculo Geral de Propriedades'!A:X,24,FALSE)</f>
        <v>423086.36082125251</v>
      </c>
      <c r="F26" s="261">
        <f>'Cálculo Geral de Propriedades'!A77</f>
        <v>145</v>
      </c>
      <c r="G26" s="262">
        <f>VLOOKUP(F26,'Cálculo Geral de Propriedades'!A:X,24,FALSE)</f>
        <v>382034.86418594042</v>
      </c>
    </row>
    <row r="27" spans="2:7" x14ac:dyDescent="0.2">
      <c r="B27" s="261">
        <f>'Cálculo Geral de Propriedades'!A26</f>
        <v>53</v>
      </c>
      <c r="C27" s="262">
        <f>VLOOKUP(B27,'Cálculo Geral de Propriedades'!A:X,24,FALSE)</f>
        <v>1262369.8100946925</v>
      </c>
      <c r="D27" s="261">
        <f>'Cálculo Geral de Propriedades'!A52</f>
        <v>120</v>
      </c>
      <c r="E27" s="262">
        <f>VLOOKUP(D27,'Cálculo Geral de Propriedades'!A:X,24,FALSE)</f>
        <v>70936.512685737602</v>
      </c>
      <c r="F27" s="261">
        <f>'Cálculo Geral de Propriedades'!A78</f>
        <v>146</v>
      </c>
      <c r="G27" s="262">
        <f>VLOOKUP(F27,'Cálculo Geral de Propriedades'!A:X,24,FALSE)</f>
        <v>656672.97889582603</v>
      </c>
    </row>
    <row r="28" spans="2:7" x14ac:dyDescent="0.2">
      <c r="B28" s="261">
        <f>'Cálculo Geral de Propriedades'!A27</f>
        <v>54</v>
      </c>
      <c r="C28" s="262">
        <f>VLOOKUP(B28,'Cálculo Geral de Propriedades'!A:X,24,FALSE)</f>
        <v>746388.58813962282</v>
      </c>
      <c r="D28" s="261">
        <f>'Cálculo Geral de Propriedades'!A53</f>
        <v>121</v>
      </c>
      <c r="E28" s="262">
        <f>VLOOKUP(D28,'Cálculo Geral de Propriedades'!A:X,24,FALSE)</f>
        <v>12490037.203646783</v>
      </c>
      <c r="F28" s="261">
        <f>'Cálculo Geral de Propriedades'!A79</f>
        <v>147</v>
      </c>
      <c r="G28" s="262">
        <f>VLOOKUP(F28,'Cálculo Geral de Propriedades'!A:X,24,FALSE)</f>
        <v>151470.93316194587</v>
      </c>
    </row>
    <row r="29" spans="2:7" ht="13.5" thickBot="1" x14ac:dyDescent="0.25">
      <c r="B29" s="261">
        <f>'Cálculo Geral de Propriedades'!A28</f>
        <v>55</v>
      </c>
      <c r="C29" s="262">
        <f>VLOOKUP(B29,'Cálculo Geral de Propriedades'!A:X,24,FALSE)</f>
        <v>548201.58757018798</v>
      </c>
      <c r="D29" s="261">
        <f>'Cálculo Geral de Propriedades'!A54</f>
        <v>122</v>
      </c>
      <c r="E29" s="262">
        <f>VLOOKUP(D29,'Cálculo Geral de Propriedades'!A:X,24,FALSE)</f>
        <v>99760.489969893475</v>
      </c>
      <c r="F29" s="265"/>
      <c r="G29" s="266"/>
    </row>
    <row r="30" spans="2:7" ht="13.5" thickBot="1" x14ac:dyDescent="0.25">
      <c r="B30" s="267" t="s">
        <v>261</v>
      </c>
      <c r="C30" s="268">
        <f>SUM(C4:C29)</f>
        <v>89068265.175870314</v>
      </c>
      <c r="D30" s="267" t="s">
        <v>261</v>
      </c>
      <c r="E30" s="268">
        <f>SUM(E4:E29)</f>
        <v>35574914.331572451</v>
      </c>
      <c r="F30" s="267" t="s">
        <v>261</v>
      </c>
      <c r="G30" s="268">
        <f>SUM(G4:G28)</f>
        <v>6854125.9475666741</v>
      </c>
    </row>
    <row r="31" spans="2:7" x14ac:dyDescent="0.2">
      <c r="C31" s="269"/>
      <c r="D31" s="270"/>
      <c r="E31" s="269"/>
      <c r="F31" s="270"/>
      <c r="G31" s="269"/>
    </row>
    <row r="32" spans="2:7" ht="13.5" thickBot="1" x14ac:dyDescent="0.25">
      <c r="C32" s="269"/>
      <c r="D32" s="270"/>
      <c r="E32" s="269"/>
      <c r="F32" s="270"/>
      <c r="G32" s="279" t="s">
        <v>286</v>
      </c>
    </row>
    <row r="33" spans="2:7" ht="39.950000000000003" customHeight="1" x14ac:dyDescent="0.2">
      <c r="B33" s="259" t="s">
        <v>259</v>
      </c>
      <c r="C33" s="260" t="s">
        <v>284</v>
      </c>
      <c r="D33" s="259" t="s">
        <v>259</v>
      </c>
      <c r="E33" s="260" t="s">
        <v>284</v>
      </c>
      <c r="F33" s="259" t="s">
        <v>259</v>
      </c>
      <c r="G33" s="260" t="s">
        <v>284</v>
      </c>
    </row>
    <row r="34" spans="2:7" x14ac:dyDescent="0.2">
      <c r="B34" s="261">
        <f>'Cálculo Geral de Propriedades'!A80</f>
        <v>148</v>
      </c>
      <c r="C34" s="262">
        <f>VLOOKUP(B34,'Cálculo Geral de Propriedades'!A:X,24,FALSE)</f>
        <v>238497.63187037964</v>
      </c>
      <c r="D34" s="261">
        <f>'Cálculo Geral de Propriedades'!A129</f>
        <v>197</v>
      </c>
      <c r="E34" s="262">
        <f>VLOOKUP(D34,'Cálculo Geral de Propriedades'!A:X,24,FALSE)</f>
        <v>214461.168855934</v>
      </c>
      <c r="F34" s="261">
        <f>'Cálculo Geral de Propriedades'!A178</f>
        <v>246</v>
      </c>
      <c r="G34" s="262">
        <f>VLOOKUP(F34,'Cálculo Geral de Propriedades'!A:X,24,FALSE)</f>
        <v>325008.63663064135</v>
      </c>
    </row>
    <row r="35" spans="2:7" x14ac:dyDescent="0.2">
      <c r="B35" s="261">
        <f>'Cálculo Geral de Propriedades'!A81</f>
        <v>149</v>
      </c>
      <c r="C35" s="262">
        <f>VLOOKUP(B35,'Cálculo Geral de Propriedades'!A:X,24,FALSE)</f>
        <v>463402.26006242947</v>
      </c>
      <c r="D35" s="261">
        <f>'Cálculo Geral de Propriedades'!A130</f>
        <v>198</v>
      </c>
      <c r="E35" s="262">
        <f>VLOOKUP(D35,'Cálculo Geral de Propriedades'!A:X,24,FALSE)</f>
        <v>240394.45465600913</v>
      </c>
      <c r="F35" s="261">
        <f>'Cálculo Geral de Propriedades'!A179</f>
        <v>247</v>
      </c>
      <c r="G35" s="262">
        <f>VLOOKUP(F35,'Cálculo Geral de Propriedades'!A:X,24,FALSE)</f>
        <v>461519.38318713073</v>
      </c>
    </row>
    <row r="36" spans="2:7" x14ac:dyDescent="0.2">
      <c r="B36" s="261">
        <f>'Cálculo Geral de Propriedades'!A82</f>
        <v>150</v>
      </c>
      <c r="C36" s="262">
        <f>VLOOKUP(B36,'Cálculo Geral de Propriedades'!A:X,24,FALSE)</f>
        <v>102506.2686228408</v>
      </c>
      <c r="D36" s="261">
        <f>'Cálculo Geral de Propriedades'!A131</f>
        <v>199</v>
      </c>
      <c r="E36" s="262">
        <f>VLOOKUP(D36,'Cálculo Geral de Propriedades'!A:X,24,FALSE)</f>
        <v>212667.71441843986</v>
      </c>
      <c r="F36" s="261">
        <f>'Cálculo Geral de Propriedades'!A180</f>
        <v>248</v>
      </c>
      <c r="G36" s="262">
        <f>VLOOKUP(F36,'Cálculo Geral de Propriedades'!A:X,24,FALSE)</f>
        <v>156922.38294555742</v>
      </c>
    </row>
    <row r="37" spans="2:7" x14ac:dyDescent="0.2">
      <c r="B37" s="261">
        <f>'Cálculo Geral de Propriedades'!A83</f>
        <v>151</v>
      </c>
      <c r="C37" s="262">
        <f>VLOOKUP(B37,'Cálculo Geral de Propriedades'!A:X,24,FALSE)</f>
        <v>28176.076808999998</v>
      </c>
      <c r="D37" s="261">
        <f>'Cálculo Geral de Propriedades'!A132</f>
        <v>200</v>
      </c>
      <c r="E37" s="262">
        <f>VLOOKUP(D37,'Cálculo Geral de Propriedades'!A:X,24,FALSE)</f>
        <v>284805.14828122756</v>
      </c>
      <c r="F37" s="261">
        <f>'Cálculo Geral de Propriedades'!A181</f>
        <v>249</v>
      </c>
      <c r="G37" s="262">
        <f>VLOOKUP(F37,'Cálculo Geral de Propriedades'!A:X,24,FALSE)</f>
        <v>152471.07887107501</v>
      </c>
    </row>
    <row r="38" spans="2:7" x14ac:dyDescent="0.2">
      <c r="B38" s="261">
        <f>'Cálculo Geral de Propriedades'!A84</f>
        <v>152</v>
      </c>
      <c r="C38" s="262">
        <f>VLOOKUP(B38,'Cálculo Geral de Propriedades'!A:X,24,FALSE)</f>
        <v>345784.80577957386</v>
      </c>
      <c r="D38" s="261">
        <f>'Cálculo Geral de Propriedades'!A133</f>
        <v>201</v>
      </c>
      <c r="E38" s="262">
        <f>VLOOKUP(D38,'Cálculo Geral de Propriedades'!A:X,24,FALSE)</f>
        <v>579139.35789802345</v>
      </c>
      <c r="F38" s="261">
        <f>'Cálculo Geral de Propriedades'!A182</f>
        <v>250</v>
      </c>
      <c r="G38" s="262">
        <f>VLOOKUP(F38,'Cálculo Geral de Propriedades'!A:X,24,FALSE)</f>
        <v>158966.21638065172</v>
      </c>
    </row>
    <row r="39" spans="2:7" x14ac:dyDescent="0.2">
      <c r="B39" s="261">
        <f>'Cálculo Geral de Propriedades'!A85</f>
        <v>153</v>
      </c>
      <c r="C39" s="262">
        <f>VLOOKUP(B39,'Cálculo Geral de Propriedades'!A:X,24,FALSE)</f>
        <v>846967.57974158507</v>
      </c>
      <c r="D39" s="261">
        <f>'Cálculo Geral de Propriedades'!A134</f>
        <v>202</v>
      </c>
      <c r="E39" s="262">
        <f>VLOOKUP(D39,'Cálculo Geral de Propriedades'!A:X,24,FALSE)</f>
        <v>176537.1409322338</v>
      </c>
      <c r="F39" s="261">
        <f>'Cálculo Geral de Propriedades'!A183</f>
        <v>251</v>
      </c>
      <c r="G39" s="262">
        <f>VLOOKUP(F39,'Cálculo Geral de Propriedades'!A:X,24,FALSE)</f>
        <v>5769700.8835488856</v>
      </c>
    </row>
    <row r="40" spans="2:7" x14ac:dyDescent="0.2">
      <c r="B40" s="261">
        <f>'Cálculo Geral de Propriedades'!A86</f>
        <v>154</v>
      </c>
      <c r="C40" s="262">
        <f>VLOOKUP(B40,'Cálculo Geral de Propriedades'!A:X,24,FALSE)</f>
        <v>489235.67548155284</v>
      </c>
      <c r="D40" s="261">
        <f>'Cálculo Geral de Propriedades'!A135</f>
        <v>203</v>
      </c>
      <c r="E40" s="262">
        <f>VLOOKUP(D40,'Cálculo Geral de Propriedades'!A:X,24,FALSE)</f>
        <v>326022.62034020841</v>
      </c>
      <c r="F40" s="261">
        <f>'Cálculo Geral de Propriedades'!A184</f>
        <v>252</v>
      </c>
      <c r="G40" s="262">
        <f>VLOOKUP(F40,'Cálculo Geral de Propriedades'!A:X,24,FALSE)</f>
        <v>4401082.3468126813</v>
      </c>
    </row>
    <row r="41" spans="2:7" x14ac:dyDescent="0.2">
      <c r="B41" s="261">
        <f>'Cálculo Geral de Propriedades'!A87</f>
        <v>155</v>
      </c>
      <c r="C41" s="262">
        <f>VLOOKUP(B41,'Cálculo Geral de Propriedades'!A:X,24,FALSE)</f>
        <v>561436.42844009679</v>
      </c>
      <c r="D41" s="261">
        <f>'Cálculo Geral de Propriedades'!A136</f>
        <v>204</v>
      </c>
      <c r="E41" s="262">
        <f>VLOOKUP(D41,'Cálculo Geral de Propriedades'!A:X,24,FALSE)</f>
        <v>16475.440766220003</v>
      </c>
      <c r="F41" s="261">
        <f>'Cálculo Geral de Propriedades'!A185</f>
        <v>253</v>
      </c>
      <c r="G41" s="262">
        <f>VLOOKUP(F41,'Cálculo Geral de Propriedades'!A:X,24,FALSE)</f>
        <v>3658061.5261564148</v>
      </c>
    </row>
    <row r="42" spans="2:7" x14ac:dyDescent="0.2">
      <c r="B42" s="261">
        <f>'Cálculo Geral de Propriedades'!A88</f>
        <v>156</v>
      </c>
      <c r="C42" s="262">
        <f>VLOOKUP(B42,'Cálculo Geral de Propriedades'!A:X,24,FALSE)</f>
        <v>129723.97929301964</v>
      </c>
      <c r="D42" s="261">
        <f>'Cálculo Geral de Propriedades'!A137</f>
        <v>205</v>
      </c>
      <c r="E42" s="262">
        <f>VLOOKUP(D42,'Cálculo Geral de Propriedades'!A:X,24,FALSE)</f>
        <v>16418.961490353839</v>
      </c>
      <c r="F42" s="261">
        <f>'Cálculo Geral de Propriedades'!A186</f>
        <v>254</v>
      </c>
      <c r="G42" s="262">
        <f>VLOOKUP(F42,'Cálculo Geral de Propriedades'!A:X,24,FALSE)</f>
        <v>1293850.2302540257</v>
      </c>
    </row>
    <row r="43" spans="2:7" x14ac:dyDescent="0.2">
      <c r="B43" s="261">
        <f>'Cálculo Geral de Propriedades'!A89</f>
        <v>157</v>
      </c>
      <c r="C43" s="262">
        <f>VLOOKUP(B43,'Cálculo Geral de Propriedades'!A:X,24,FALSE)</f>
        <v>183424.28926527491</v>
      </c>
      <c r="D43" s="261">
        <f>'Cálculo Geral de Propriedades'!A138</f>
        <v>206</v>
      </c>
      <c r="E43" s="262">
        <f>VLOOKUP(D43,'Cálculo Geral de Propriedades'!A:X,24,FALSE)</f>
        <v>44024.909423482262</v>
      </c>
      <c r="F43" s="261">
        <f>'Cálculo Geral de Propriedades'!A187</f>
        <v>255</v>
      </c>
      <c r="G43" s="262">
        <f>VLOOKUP(F43,'Cálculo Geral de Propriedades'!A:X,24,FALSE)</f>
        <v>794646.72551865899</v>
      </c>
    </row>
    <row r="44" spans="2:7" x14ac:dyDescent="0.2">
      <c r="B44" s="261">
        <f>'Cálculo Geral de Propriedades'!A90</f>
        <v>158</v>
      </c>
      <c r="C44" s="262">
        <f>VLOOKUP(B44,'Cálculo Geral de Propriedades'!A:X,24,FALSE)</f>
        <v>62223.656088470787</v>
      </c>
      <c r="D44" s="261">
        <f>'Cálculo Geral de Propriedades'!A139</f>
        <v>207</v>
      </c>
      <c r="E44" s="262">
        <f>VLOOKUP(D44,'Cálculo Geral de Propriedades'!A:X,24,FALSE)</f>
        <v>16456.175356311363</v>
      </c>
      <c r="F44" s="261">
        <f>'Cálculo Geral de Propriedades'!A188</f>
        <v>256</v>
      </c>
      <c r="G44" s="262">
        <f>VLOOKUP(F44,'Cálculo Geral de Propriedades'!A:X,24,FALSE)</f>
        <v>1170495.3316683224</v>
      </c>
    </row>
    <row r="45" spans="2:7" x14ac:dyDescent="0.2">
      <c r="B45" s="261">
        <f>'Cálculo Geral de Propriedades'!A91</f>
        <v>159</v>
      </c>
      <c r="C45" s="262">
        <f>VLOOKUP(B45,'Cálculo Geral de Propriedades'!A:X,24,FALSE)</f>
        <v>280013.26127012289</v>
      </c>
      <c r="D45" s="261">
        <f>'Cálculo Geral de Propriedades'!A140</f>
        <v>208</v>
      </c>
      <c r="E45" s="262">
        <f>VLOOKUP(D45,'Cálculo Geral de Propriedades'!A:X,24,FALSE)</f>
        <v>47798.891549625667</v>
      </c>
      <c r="F45" s="261">
        <f>'Cálculo Geral de Propriedades'!A189</f>
        <v>257</v>
      </c>
      <c r="G45" s="262">
        <f>VLOOKUP(F45,'Cálculo Geral de Propriedades'!A:X,24,FALSE)</f>
        <v>1534018.8391975113</v>
      </c>
    </row>
    <row r="46" spans="2:7" x14ac:dyDescent="0.2">
      <c r="B46" s="261">
        <f>'Cálculo Geral de Propriedades'!A92</f>
        <v>160</v>
      </c>
      <c r="C46" s="262">
        <f>VLOOKUP(B46,'Cálculo Geral de Propriedades'!A:X,24,FALSE)</f>
        <v>1215932.8344992427</v>
      </c>
      <c r="D46" s="261">
        <f>'Cálculo Geral de Propriedades'!A141</f>
        <v>209</v>
      </c>
      <c r="E46" s="262">
        <f>VLOOKUP(D46,'Cálculo Geral de Propriedades'!A:X,24,FALSE)</f>
        <v>52897.934241576739</v>
      </c>
      <c r="F46" s="261">
        <f>'Cálculo Geral de Propriedades'!A190</f>
        <v>258</v>
      </c>
      <c r="G46" s="262">
        <f>VLOOKUP(F46,'Cálculo Geral de Propriedades'!A:X,24,FALSE)</f>
        <v>1441691.5712387424</v>
      </c>
    </row>
    <row r="47" spans="2:7" x14ac:dyDescent="0.2">
      <c r="B47" s="261">
        <f>'Cálculo Geral de Propriedades'!A93</f>
        <v>161</v>
      </c>
      <c r="C47" s="262">
        <f>VLOOKUP(B47,'Cálculo Geral de Propriedades'!A:X,24,FALSE)</f>
        <v>826257.66808676405</v>
      </c>
      <c r="D47" s="261">
        <f>'Cálculo Geral de Propriedades'!A142</f>
        <v>210</v>
      </c>
      <c r="E47" s="262">
        <f>VLOOKUP(D47,'Cálculo Geral de Propriedades'!A:X,24,FALSE)</f>
        <v>494695.91550798563</v>
      </c>
      <c r="F47" s="261">
        <f>'Cálculo Geral de Propriedades'!A191</f>
        <v>259</v>
      </c>
      <c r="G47" s="262">
        <f>VLOOKUP(F47,'Cálculo Geral de Propriedades'!A:X,24,FALSE)</f>
        <v>461087.55792289058</v>
      </c>
    </row>
    <row r="48" spans="2:7" x14ac:dyDescent="0.2">
      <c r="B48" s="261">
        <f>'Cálculo Geral de Propriedades'!A94</f>
        <v>162</v>
      </c>
      <c r="C48" s="262">
        <f>VLOOKUP(B48,'Cálculo Geral de Propriedades'!A:X,24,FALSE)</f>
        <v>277041.24187530298</v>
      </c>
      <c r="D48" s="261">
        <f>'Cálculo Geral de Propriedades'!A143</f>
        <v>211</v>
      </c>
      <c r="E48" s="262">
        <f>VLOOKUP(D48,'Cálculo Geral de Propriedades'!A:X,24,FALSE)</f>
        <v>330492.12523921748</v>
      </c>
      <c r="F48" s="261">
        <f>'Cálculo Geral de Propriedades'!A192</f>
        <v>260</v>
      </c>
      <c r="G48" s="262">
        <f>VLOOKUP(F48,'Cálculo Geral de Propriedades'!A:X,24,FALSE)</f>
        <v>135263.51333855014</v>
      </c>
    </row>
    <row r="49" spans="2:7" x14ac:dyDescent="0.2">
      <c r="B49" s="261">
        <f>'Cálculo Geral de Propriedades'!A95</f>
        <v>163</v>
      </c>
      <c r="C49" s="262">
        <f>VLOOKUP(B49,'Cálculo Geral de Propriedades'!A:X,24,FALSE)</f>
        <v>641801.84849373146</v>
      </c>
      <c r="D49" s="261">
        <f>'Cálculo Geral de Propriedades'!A144</f>
        <v>212</v>
      </c>
      <c r="E49" s="262">
        <f>VLOOKUP(D49,'Cálculo Geral de Propriedades'!A:X,24,FALSE)</f>
        <v>37378.719887986605</v>
      </c>
      <c r="F49" s="261">
        <f>'Cálculo Geral de Propriedades'!A193</f>
        <v>261</v>
      </c>
      <c r="G49" s="262">
        <f>VLOOKUP(F49,'Cálculo Geral de Propriedades'!A:X,24,FALSE)</f>
        <v>337782.10484870465</v>
      </c>
    </row>
    <row r="50" spans="2:7" x14ac:dyDescent="0.2">
      <c r="B50" s="261">
        <f>'Cálculo Geral de Propriedades'!A96</f>
        <v>164</v>
      </c>
      <c r="C50" s="262">
        <f>VLOOKUP(B50,'Cálculo Geral de Propriedades'!A:X,24,FALSE)</f>
        <v>186239.40701724612</v>
      </c>
      <c r="D50" s="261">
        <f>'Cálculo Geral de Propriedades'!A145</f>
        <v>213</v>
      </c>
      <c r="E50" s="262">
        <f>VLOOKUP(D50,'Cálculo Geral de Propriedades'!A:X,24,FALSE)</f>
        <v>214450.16012015427</v>
      </c>
      <c r="F50" s="261">
        <f>'Cálculo Geral de Propriedades'!A194</f>
        <v>262</v>
      </c>
      <c r="G50" s="262">
        <f>VLOOKUP(F50,'Cálculo Geral de Propriedades'!A:X,24,FALSE)</f>
        <v>8334752.4026885135</v>
      </c>
    </row>
    <row r="51" spans="2:7" x14ac:dyDescent="0.2">
      <c r="B51" s="261">
        <f>'Cálculo Geral de Propriedades'!A97</f>
        <v>165</v>
      </c>
      <c r="C51" s="262">
        <f>VLOOKUP(B51,'Cálculo Geral de Propriedades'!A:X,24,FALSE)</f>
        <v>409772.69012436358</v>
      </c>
      <c r="D51" s="261">
        <f>'Cálculo Geral de Propriedades'!A146</f>
        <v>214</v>
      </c>
      <c r="E51" s="262">
        <f>VLOOKUP(D51,'Cálculo Geral de Propriedades'!A:X,24,FALSE)</f>
        <v>152978.24631764376</v>
      </c>
      <c r="F51" s="261">
        <f>'Cálculo Geral de Propriedades'!A195</f>
        <v>263</v>
      </c>
      <c r="G51" s="262">
        <f>VLOOKUP(F51,'Cálculo Geral de Propriedades'!A:X,24,FALSE)</f>
        <v>3934684.6762169814</v>
      </c>
    </row>
    <row r="52" spans="2:7" x14ac:dyDescent="0.2">
      <c r="B52" s="261">
        <f>'Cálculo Geral de Propriedades'!A98</f>
        <v>166</v>
      </c>
      <c r="C52" s="262">
        <f>VLOOKUP(B52,'Cálculo Geral de Propriedades'!A:X,24,FALSE)</f>
        <v>364024.915523284</v>
      </c>
      <c r="D52" s="261">
        <f>'Cálculo Geral de Propriedades'!A147</f>
        <v>215</v>
      </c>
      <c r="E52" s="262">
        <f>VLOOKUP(D52,'Cálculo Geral de Propriedades'!A:X,24,FALSE)</f>
        <v>104613.83245735712</v>
      </c>
      <c r="F52" s="261">
        <f>'Cálculo Geral de Propriedades'!A196</f>
        <v>264</v>
      </c>
      <c r="G52" s="262">
        <f>VLOOKUP(F52,'Cálculo Geral de Propriedades'!A:X,24,FALSE)</f>
        <v>819663.22063705698</v>
      </c>
    </row>
    <row r="53" spans="2:7" x14ac:dyDescent="0.2">
      <c r="B53" s="261">
        <f>'Cálculo Geral de Propriedades'!A99</f>
        <v>167</v>
      </c>
      <c r="C53" s="262">
        <f>VLOOKUP(B53,'Cálculo Geral de Propriedades'!A:X,24,FALSE)</f>
        <v>886805.40694302693</v>
      </c>
      <c r="D53" s="261">
        <f>'Cálculo Geral de Propriedades'!A148</f>
        <v>216</v>
      </c>
      <c r="E53" s="262">
        <f>VLOOKUP(D53,'Cálculo Geral de Propriedades'!A:X,24,FALSE)</f>
        <v>404944.33581251226</v>
      </c>
      <c r="F53" s="261">
        <f>'Cálculo Geral de Propriedades'!A197</f>
        <v>265</v>
      </c>
      <c r="G53" s="262">
        <f>VLOOKUP(F53,'Cálculo Geral de Propriedades'!A:X,24,FALSE)</f>
        <v>479318.40570303897</v>
      </c>
    </row>
    <row r="54" spans="2:7" x14ac:dyDescent="0.2">
      <c r="B54" s="261">
        <f>'Cálculo Geral de Propriedades'!A100</f>
        <v>168</v>
      </c>
      <c r="C54" s="262">
        <f>VLOOKUP(B54,'Cálculo Geral de Propriedades'!A:X,24,FALSE)</f>
        <v>469603.31987107539</v>
      </c>
      <c r="D54" s="261">
        <f>'Cálculo Geral de Propriedades'!A149</f>
        <v>217</v>
      </c>
      <c r="E54" s="262">
        <f>VLOOKUP(D54,'Cálculo Geral de Propriedades'!A:X,24,FALSE)</f>
        <v>257865.05029751948</v>
      </c>
      <c r="F54" s="261">
        <f>'Cálculo Geral de Propriedades'!A198</f>
        <v>266</v>
      </c>
      <c r="G54" s="262">
        <f>VLOOKUP(F54,'Cálculo Geral de Propriedades'!A:X,24,FALSE)</f>
        <v>566069.14497192414</v>
      </c>
    </row>
    <row r="55" spans="2:7" x14ac:dyDescent="0.2">
      <c r="B55" s="261">
        <f>'Cálculo Geral de Propriedades'!A101</f>
        <v>169</v>
      </c>
      <c r="C55" s="262">
        <f>VLOOKUP(B55,'Cálculo Geral de Propriedades'!A:X,24,FALSE)</f>
        <v>110510.05304457902</v>
      </c>
      <c r="D55" s="261">
        <f>'Cálculo Geral de Propriedades'!A150</f>
        <v>218</v>
      </c>
      <c r="E55" s="262">
        <f>VLOOKUP(D55,'Cálculo Geral de Propriedades'!A:X,24,FALSE)</f>
        <v>240401.76219382597</v>
      </c>
      <c r="F55" s="261">
        <f>'Cálculo Geral de Propriedades'!A199</f>
        <v>267</v>
      </c>
      <c r="G55" s="262">
        <f>VLOOKUP(F55,'Cálculo Geral de Propriedades'!A:X,24,FALSE)</f>
        <v>636786.90819767641</v>
      </c>
    </row>
    <row r="56" spans="2:7" x14ac:dyDescent="0.2">
      <c r="B56" s="261">
        <f>'Cálculo Geral de Propriedades'!A102</f>
        <v>170</v>
      </c>
      <c r="C56" s="262">
        <f>VLOOKUP(B56,'Cálculo Geral de Propriedades'!A:X,24,FALSE)</f>
        <v>442711.89721728017</v>
      </c>
      <c r="D56" s="261">
        <f>'Cálculo Geral de Propriedades'!A151</f>
        <v>219</v>
      </c>
      <c r="E56" s="262">
        <f>VLOOKUP(D56,'Cálculo Geral de Propriedades'!A:X,24,FALSE)</f>
        <v>6029264.4501748569</v>
      </c>
      <c r="F56" s="261">
        <f>'Cálculo Geral de Propriedades'!A200</f>
        <v>268</v>
      </c>
      <c r="G56" s="262">
        <f>VLOOKUP(F56,'Cálculo Geral de Propriedades'!A:X,24,FALSE)</f>
        <v>633498.13980148779</v>
      </c>
    </row>
    <row r="57" spans="2:7" x14ac:dyDescent="0.2">
      <c r="B57" s="261">
        <f>'Cálculo Geral de Propriedades'!A103</f>
        <v>171</v>
      </c>
      <c r="C57" s="262">
        <f>VLOOKUP(B57,'Cálculo Geral de Propriedades'!A:X,24,FALSE)</f>
        <v>501111.73607022001</v>
      </c>
      <c r="D57" s="261">
        <f>'Cálculo Geral de Propriedades'!A152</f>
        <v>220</v>
      </c>
      <c r="E57" s="262">
        <f>VLOOKUP(D57,'Cálculo Geral de Propriedades'!A:X,24,FALSE)</f>
        <v>246249.1482282129</v>
      </c>
      <c r="F57" s="261">
        <f>'Cálculo Geral de Propriedades'!A201</f>
        <v>269</v>
      </c>
      <c r="G57" s="262">
        <f>VLOOKUP(F57,'Cálculo Geral de Propriedades'!A:X,24,FALSE)</f>
        <v>1210516.3491174909</v>
      </c>
    </row>
    <row r="58" spans="2:7" x14ac:dyDescent="0.2">
      <c r="B58" s="261">
        <f>'Cálculo Geral de Propriedades'!A104</f>
        <v>172</v>
      </c>
      <c r="C58" s="262">
        <f>VLOOKUP(B58,'Cálculo Geral de Propriedades'!A:X,24,FALSE)</f>
        <v>1018303.380603901</v>
      </c>
      <c r="D58" s="261">
        <f>'Cálculo Geral de Propriedades'!A153</f>
        <v>221</v>
      </c>
      <c r="E58" s="262">
        <f>VLOOKUP(D58,'Cálculo Geral de Propriedades'!A:X,24,FALSE)</f>
        <v>860873.25230783504</v>
      </c>
      <c r="F58" s="261">
        <f>'Cálculo Geral de Propriedades'!A202</f>
        <v>270</v>
      </c>
      <c r="G58" s="262">
        <f>VLOOKUP(F58,'Cálculo Geral de Propriedades'!A:X,24,FALSE)</f>
        <v>257295.93668326846</v>
      </c>
    </row>
    <row r="59" spans="2:7" x14ac:dyDescent="0.2">
      <c r="B59" s="261">
        <f>'Cálculo Geral de Propriedades'!A105</f>
        <v>173</v>
      </c>
      <c r="C59" s="262">
        <f>VLOOKUP(B59,'Cálculo Geral de Propriedades'!A:X,24,FALSE)</f>
        <v>411383.58204304619</v>
      </c>
      <c r="D59" s="261">
        <f>'Cálculo Geral de Propriedades'!A154</f>
        <v>222</v>
      </c>
      <c r="E59" s="262">
        <f>VLOOKUP(D59,'Cálculo Geral de Propriedades'!A:X,24,FALSE)</f>
        <v>472304.19990040804</v>
      </c>
      <c r="F59" s="261">
        <f>'Cálculo Geral de Propriedades'!A203</f>
        <v>271</v>
      </c>
      <c r="G59" s="262">
        <f>VLOOKUP(F59,'Cálculo Geral de Propriedades'!A:X,24,FALSE)</f>
        <v>278896.05077667616</v>
      </c>
    </row>
    <row r="60" spans="2:7" x14ac:dyDescent="0.2">
      <c r="B60" s="261">
        <f>'Cálculo Geral de Propriedades'!A106</f>
        <v>174</v>
      </c>
      <c r="C60" s="262">
        <f>VLOOKUP(B60,'Cálculo Geral de Propriedades'!A:X,24,FALSE)</f>
        <v>149048.5619412798</v>
      </c>
      <c r="D60" s="261">
        <f>'Cálculo Geral de Propriedades'!A155</f>
        <v>223</v>
      </c>
      <c r="E60" s="262">
        <f>VLOOKUP(D60,'Cálculo Geral de Propriedades'!A:X,24,FALSE)</f>
        <v>35422.446725386275</v>
      </c>
      <c r="F60" s="261">
        <f>'Cálculo Geral de Propriedades'!A204</f>
        <v>272</v>
      </c>
      <c r="G60" s="262">
        <f>VLOOKUP(F60,'Cálculo Geral de Propriedades'!A:X,24,FALSE)</f>
        <v>283971.27730852179</v>
      </c>
    </row>
    <row r="61" spans="2:7" x14ac:dyDescent="0.2">
      <c r="B61" s="261">
        <f>'Cálculo Geral de Propriedades'!A107</f>
        <v>175</v>
      </c>
      <c r="C61" s="262">
        <f>VLOOKUP(B61,'Cálculo Geral de Propriedades'!A:X,24,FALSE)</f>
        <v>818679.01835084939</v>
      </c>
      <c r="D61" s="261">
        <f>'Cálculo Geral de Propriedades'!A156</f>
        <v>224</v>
      </c>
      <c r="E61" s="262">
        <f>VLOOKUP(D61,'Cálculo Geral de Propriedades'!A:X,24,FALSE)</f>
        <v>496843.29537806968</v>
      </c>
      <c r="F61" s="261">
        <f>'Cálculo Geral de Propriedades'!A205</f>
        <v>273</v>
      </c>
      <c r="G61" s="262">
        <f>VLOOKUP(F61,'Cálculo Geral de Propriedades'!A:X,24,FALSE)</f>
        <v>573017.74776802876</v>
      </c>
    </row>
    <row r="62" spans="2:7" x14ac:dyDescent="0.2">
      <c r="B62" s="261">
        <f>'Cálculo Geral de Propriedades'!A108</f>
        <v>176</v>
      </c>
      <c r="C62" s="262">
        <f>VLOOKUP(B62,'Cálculo Geral de Propriedades'!A:X,24,FALSE)</f>
        <v>132146.35858600205</v>
      </c>
      <c r="D62" s="261">
        <f>'Cálculo Geral de Propriedades'!A157</f>
        <v>225</v>
      </c>
      <c r="E62" s="262">
        <f>VLOOKUP(D62,'Cálculo Geral de Propriedades'!A:X,24,FALSE)</f>
        <v>1121784.8287074184</v>
      </c>
      <c r="F62" s="261">
        <f>'Cálculo Geral de Propriedades'!A206</f>
        <v>274</v>
      </c>
      <c r="G62" s="262">
        <f>VLOOKUP(F62,'Cálculo Geral de Propriedades'!A:X,24,FALSE)</f>
        <v>1089173.7938033848</v>
      </c>
    </row>
    <row r="63" spans="2:7" x14ac:dyDescent="0.2">
      <c r="B63" s="261">
        <f>'Cálculo Geral de Propriedades'!A109</f>
        <v>177</v>
      </c>
      <c r="C63" s="262">
        <f>VLOOKUP(B63,'Cálculo Geral de Propriedades'!A:X,24,FALSE)</f>
        <v>74538.371371525107</v>
      </c>
      <c r="D63" s="261">
        <f>'Cálculo Geral de Propriedades'!A158</f>
        <v>226</v>
      </c>
      <c r="E63" s="262">
        <f>VLOOKUP(D63,'Cálculo Geral de Propriedades'!A:X,24,FALSE)</f>
        <v>643705.39939631196</v>
      </c>
      <c r="F63" s="261">
        <f>'Cálculo Geral de Propriedades'!A207</f>
        <v>275</v>
      </c>
      <c r="G63" s="262">
        <f>VLOOKUP(F63,'Cálculo Geral de Propriedades'!A:X,24,FALSE)</f>
        <v>33803.117798456158</v>
      </c>
    </row>
    <row r="64" spans="2:7" x14ac:dyDescent="0.2">
      <c r="B64" s="261">
        <f>'Cálculo Geral de Propriedades'!A110</f>
        <v>178</v>
      </c>
      <c r="C64" s="262">
        <f>VLOOKUP(B64,'Cálculo Geral de Propriedades'!A:X,24,FALSE)</f>
        <v>72254.277447853718</v>
      </c>
      <c r="D64" s="261">
        <f>'Cálculo Geral de Propriedades'!A159</f>
        <v>227</v>
      </c>
      <c r="E64" s="262">
        <f>VLOOKUP(D64,'Cálculo Geral de Propriedades'!A:X,24,FALSE)</f>
        <v>278870.89931199909</v>
      </c>
      <c r="F64" s="261">
        <f>'Cálculo Geral de Propriedades'!A208</f>
        <v>276</v>
      </c>
      <c r="G64" s="262">
        <f>VLOOKUP(F64,'Cálculo Geral de Propriedades'!A:X,24,FALSE)</f>
        <v>294849.04979253624</v>
      </c>
    </row>
    <row r="65" spans="2:7" x14ac:dyDescent="0.2">
      <c r="B65" s="261">
        <f>'Cálculo Geral de Propriedades'!A111</f>
        <v>179</v>
      </c>
      <c r="C65" s="262">
        <f>VLOOKUP(B65,'Cálculo Geral de Propriedades'!A:X,24,FALSE)</f>
        <v>77509.871713997141</v>
      </c>
      <c r="D65" s="261">
        <f>'Cálculo Geral de Propriedades'!A160</f>
        <v>228</v>
      </c>
      <c r="E65" s="262">
        <f>VLOOKUP(D65,'Cálculo Geral de Propriedades'!A:X,24,FALSE)</f>
        <v>438309.52564757218</v>
      </c>
      <c r="F65" s="261">
        <f>'Cálculo Geral de Propriedades'!A209</f>
        <v>277</v>
      </c>
      <c r="G65" s="262">
        <f>VLOOKUP(F65,'Cálculo Geral de Propriedades'!A:X,24,FALSE)</f>
        <v>553033.60973726737</v>
      </c>
    </row>
    <row r="66" spans="2:7" x14ac:dyDescent="0.2">
      <c r="B66" s="261">
        <f>'Cálculo Geral de Propriedades'!A112</f>
        <v>180</v>
      </c>
      <c r="C66" s="262">
        <f>VLOOKUP(B66,'Cálculo Geral de Propriedades'!A:X,24,FALSE)</f>
        <v>206867.80535081407</v>
      </c>
      <c r="D66" s="261">
        <f>'Cálculo Geral de Propriedades'!A161</f>
        <v>229</v>
      </c>
      <c r="E66" s="262">
        <f>VLOOKUP(D66,'Cálculo Geral de Propriedades'!A:X,24,FALSE)</f>
        <v>186540.64171910039</v>
      </c>
      <c r="F66" s="261">
        <f>'Cálculo Geral de Propriedades'!A210</f>
        <v>278</v>
      </c>
      <c r="G66" s="262">
        <f>VLOOKUP(F66,'Cálculo Geral de Propriedades'!A:X,24,FALSE)</f>
        <v>432882.97592833632</v>
      </c>
    </row>
    <row r="67" spans="2:7" x14ac:dyDescent="0.2">
      <c r="B67" s="261">
        <f>'Cálculo Geral de Propriedades'!A113</f>
        <v>181</v>
      </c>
      <c r="C67" s="262">
        <f>VLOOKUP(B67,'Cálculo Geral de Propriedades'!A:X,24,FALSE)</f>
        <v>215348.25308325086</v>
      </c>
      <c r="D67" s="261">
        <f>'Cálculo Geral de Propriedades'!A162</f>
        <v>230</v>
      </c>
      <c r="E67" s="262">
        <f>VLOOKUP(D67,'Cálculo Geral de Propriedades'!A:X,24,FALSE)</f>
        <v>189780.97633076136</v>
      </c>
      <c r="F67" s="261">
        <f>'Cálculo Geral de Propriedades'!A211</f>
        <v>279</v>
      </c>
      <c r="G67" s="262">
        <f>VLOOKUP(F67,'Cálculo Geral de Propriedades'!A:X,24,FALSE)</f>
        <v>1145322.185038527</v>
      </c>
    </row>
    <row r="68" spans="2:7" x14ac:dyDescent="0.2">
      <c r="B68" s="261">
        <f>'Cálculo Geral de Propriedades'!A114</f>
        <v>182</v>
      </c>
      <c r="C68" s="262">
        <f>VLOOKUP(B68,'Cálculo Geral de Propriedades'!A:X,24,FALSE)</f>
        <v>313513.51146508195</v>
      </c>
      <c r="D68" s="261">
        <f>'Cálculo Geral de Propriedades'!A163</f>
        <v>231</v>
      </c>
      <c r="E68" s="262">
        <f>VLOOKUP(D68,'Cálculo Geral de Propriedades'!A:X,24,FALSE)</f>
        <v>194598.97731132954</v>
      </c>
      <c r="F68" s="261">
        <f>'Cálculo Geral de Propriedades'!A212</f>
        <v>280</v>
      </c>
      <c r="G68" s="262">
        <f>VLOOKUP(F68,'Cálculo Geral de Propriedades'!A:X,24,FALSE)</f>
        <v>848851.7509258379</v>
      </c>
    </row>
    <row r="69" spans="2:7" x14ac:dyDescent="0.2">
      <c r="B69" s="261">
        <f>'Cálculo Geral de Propriedades'!A115</f>
        <v>183</v>
      </c>
      <c r="C69" s="262">
        <f>VLOOKUP(B69,'Cálculo Geral de Propriedades'!A:X,24,FALSE)</f>
        <v>284685.24468708481</v>
      </c>
      <c r="D69" s="261">
        <f>'Cálculo Geral de Propriedades'!A164</f>
        <v>232</v>
      </c>
      <c r="E69" s="262">
        <f>VLOOKUP(D69,'Cálculo Geral de Propriedades'!A:X,24,FALSE)</f>
        <v>5825456.3582798345</v>
      </c>
      <c r="F69" s="261">
        <f>'Cálculo Geral de Propriedades'!A213</f>
        <v>281</v>
      </c>
      <c r="G69" s="262">
        <f>VLOOKUP(F69,'Cálculo Geral de Propriedades'!A:X,24,FALSE)</f>
        <v>5472524.5197668895</v>
      </c>
    </row>
    <row r="70" spans="2:7" x14ac:dyDescent="0.2">
      <c r="B70" s="261">
        <f>'Cálculo Geral de Propriedades'!A116</f>
        <v>184</v>
      </c>
      <c r="C70" s="262">
        <f>VLOOKUP(B70,'Cálculo Geral de Propriedades'!A:X,24,FALSE)</f>
        <v>205627.25140906576</v>
      </c>
      <c r="D70" s="261">
        <f>'Cálculo Geral de Propriedades'!A165</f>
        <v>233</v>
      </c>
      <c r="E70" s="262">
        <f>VLOOKUP(D70,'Cálculo Geral de Propriedades'!A:X,24,FALSE)</f>
        <v>405598.92618356226</v>
      </c>
      <c r="F70" s="261">
        <f>'Cálculo Geral de Propriedades'!A214</f>
        <v>282</v>
      </c>
      <c r="G70" s="262">
        <f>VLOOKUP(F70,'Cálculo Geral de Propriedades'!A:X,24,FALSE)</f>
        <v>831424.81078070286</v>
      </c>
    </row>
    <row r="71" spans="2:7" x14ac:dyDescent="0.2">
      <c r="B71" s="261">
        <f>'Cálculo Geral de Propriedades'!A117</f>
        <v>185</v>
      </c>
      <c r="C71" s="262">
        <f>VLOOKUP(B71,'Cálculo Geral de Propriedades'!A:X,24,FALSE)</f>
        <v>216210.07719806337</v>
      </c>
      <c r="D71" s="261">
        <f>'Cálculo Geral de Propriedades'!A166</f>
        <v>234</v>
      </c>
      <c r="E71" s="262">
        <f>VLOOKUP(D71,'Cálculo Geral de Propriedades'!A:X,24,FALSE)</f>
        <v>4436819.221094613</v>
      </c>
      <c r="F71" s="261">
        <f>'Cálculo Geral de Propriedades'!A215</f>
        <v>283</v>
      </c>
      <c r="G71" s="262">
        <f>VLOOKUP(F71,'Cálculo Geral de Propriedades'!A:X,24,FALSE)</f>
        <v>1855213.6479985914</v>
      </c>
    </row>
    <row r="72" spans="2:7" x14ac:dyDescent="0.2">
      <c r="B72" s="261">
        <f>'Cálculo Geral de Propriedades'!A118</f>
        <v>186</v>
      </c>
      <c r="C72" s="262">
        <f>VLOOKUP(B72,'Cálculo Geral de Propriedades'!A:X,24,FALSE)</f>
        <v>648465.84331918694</v>
      </c>
      <c r="D72" s="261">
        <f>'Cálculo Geral de Propriedades'!A167</f>
        <v>235</v>
      </c>
      <c r="E72" s="262">
        <f>VLOOKUP(D72,'Cálculo Geral de Propriedades'!A:X,24,FALSE)</f>
        <v>38765.60203578254</v>
      </c>
      <c r="F72" s="261">
        <f>'Cálculo Geral de Propriedades'!A216</f>
        <v>284</v>
      </c>
      <c r="G72" s="262">
        <f>VLOOKUP(F72,'Cálculo Geral de Propriedades'!A:X,24,FALSE)</f>
        <v>2508780.6518756892</v>
      </c>
    </row>
    <row r="73" spans="2:7" x14ac:dyDescent="0.2">
      <c r="B73" s="261">
        <f>'Cálculo Geral de Propriedades'!A119</f>
        <v>187</v>
      </c>
      <c r="C73" s="262">
        <f>VLOOKUP(B73,'Cálculo Geral de Propriedades'!A:X,24,FALSE)</f>
        <v>1701175.8588178761</v>
      </c>
      <c r="D73" s="261">
        <f>'Cálculo Geral de Propriedades'!A168</f>
        <v>236</v>
      </c>
      <c r="E73" s="262">
        <f>VLOOKUP(D73,'Cálculo Geral de Propriedades'!A:X,24,FALSE)</f>
        <v>1654392.744476777</v>
      </c>
      <c r="F73" s="261">
        <f>'Cálculo Geral de Propriedades'!A217</f>
        <v>285</v>
      </c>
      <c r="G73" s="262">
        <f>VLOOKUP(F73,'Cálculo Geral de Propriedades'!A:X,24,FALSE)</f>
        <v>784587.14534437482</v>
      </c>
    </row>
    <row r="74" spans="2:7" x14ac:dyDescent="0.2">
      <c r="B74" s="261">
        <f>'Cálculo Geral de Propriedades'!A120</f>
        <v>188</v>
      </c>
      <c r="C74" s="262">
        <f>VLOOKUP(B74,'Cálculo Geral de Propriedades'!A:X,24,FALSE)</f>
        <v>413699.57484451076</v>
      </c>
      <c r="D74" s="261">
        <f>'Cálculo Geral de Propriedades'!A169</f>
        <v>237</v>
      </c>
      <c r="E74" s="262">
        <f>VLOOKUP(D74,'Cálculo Geral de Propriedades'!A:X,24,FALSE)</f>
        <v>180544.22165078949</v>
      </c>
      <c r="F74" s="261">
        <f>'Cálculo Geral de Propriedades'!A218</f>
        <v>286</v>
      </c>
      <c r="G74" s="262">
        <f>VLOOKUP(F74,'Cálculo Geral de Propriedades'!A:X,24,FALSE)</f>
        <v>1034238.6820843506</v>
      </c>
    </row>
    <row r="75" spans="2:7" x14ac:dyDescent="0.2">
      <c r="B75" s="261">
        <f>'Cálculo Geral de Propriedades'!A121</f>
        <v>189</v>
      </c>
      <c r="C75" s="262">
        <f>VLOOKUP(B75,'Cálculo Geral de Propriedades'!A:X,24,FALSE)</f>
        <v>649735.23276843131</v>
      </c>
      <c r="D75" s="261">
        <f>'Cálculo Geral de Propriedades'!A170</f>
        <v>238</v>
      </c>
      <c r="E75" s="262">
        <f>VLOOKUP(D75,'Cálculo Geral de Propriedades'!A:X,24,FALSE)</f>
        <v>573395.86612483056</v>
      </c>
      <c r="F75" s="261">
        <f>'Cálculo Geral de Propriedades'!A219</f>
        <v>287</v>
      </c>
      <c r="G75" s="262">
        <f>VLOOKUP(F75,'Cálculo Geral de Propriedades'!A:X,24,FALSE)</f>
        <v>486932.48046043556</v>
      </c>
    </row>
    <row r="76" spans="2:7" x14ac:dyDescent="0.2">
      <c r="B76" s="261">
        <f>'Cálculo Geral de Propriedades'!A122</f>
        <v>190</v>
      </c>
      <c r="C76" s="262">
        <f>VLOOKUP(B76,'Cálculo Geral de Propriedades'!A:X,24,FALSE)</f>
        <v>80108.377497630325</v>
      </c>
      <c r="D76" s="261">
        <f>'Cálculo Geral de Propriedades'!A171</f>
        <v>239</v>
      </c>
      <c r="E76" s="262">
        <f>VLOOKUP(D76,'Cálculo Geral de Propriedades'!A:X,24,FALSE)</f>
        <v>547505.94980734785</v>
      </c>
      <c r="F76" s="261">
        <f>'Cálculo Geral de Propriedades'!A220</f>
        <v>288</v>
      </c>
      <c r="G76" s="262">
        <f>VLOOKUP(F76,'Cálculo Geral de Propriedades'!A:X,24,FALSE)</f>
        <v>434198.83341221855</v>
      </c>
    </row>
    <row r="77" spans="2:7" x14ac:dyDescent="0.2">
      <c r="B77" s="261">
        <f>'Cálculo Geral de Propriedades'!A123</f>
        <v>191</v>
      </c>
      <c r="C77" s="262">
        <f>VLOOKUP(B77,'Cálculo Geral de Propriedades'!A:X,24,FALSE)</f>
        <v>367939.44546999998</v>
      </c>
      <c r="D77" s="261">
        <f>'Cálculo Geral de Propriedades'!A172</f>
        <v>240</v>
      </c>
      <c r="E77" s="262">
        <f>VLOOKUP(D77,'Cálculo Geral de Propriedades'!A:X,24,FALSE)</f>
        <v>536709.97474982485</v>
      </c>
      <c r="F77" s="261">
        <f>'Cálculo Geral de Propriedades'!A221</f>
        <v>289</v>
      </c>
      <c r="G77" s="262">
        <f>VLOOKUP(F77,'Cálculo Geral de Propriedades'!A:X,24,FALSE)</f>
        <v>449084.90717247693</v>
      </c>
    </row>
    <row r="78" spans="2:7" x14ac:dyDescent="0.2">
      <c r="B78" s="261">
        <f>'Cálculo Geral de Propriedades'!A124</f>
        <v>192</v>
      </c>
      <c r="C78" s="262">
        <f>VLOOKUP(B78,'Cálculo Geral de Propriedades'!A:X,24,FALSE)</f>
        <v>263673.70929627714</v>
      </c>
      <c r="D78" s="261">
        <f>'Cálculo Geral de Propriedades'!A173</f>
        <v>241</v>
      </c>
      <c r="E78" s="262">
        <f>VLOOKUP(D78,'Cálculo Geral de Propriedades'!A:X,24,FALSE)</f>
        <v>6739164.7624711143</v>
      </c>
      <c r="F78" s="261">
        <f>'Cálculo Geral de Propriedades'!A222</f>
        <v>290</v>
      </c>
      <c r="G78" s="262">
        <f>VLOOKUP(F78,'Cálculo Geral de Propriedades'!A:X,24,FALSE)</f>
        <v>824980.26622641389</v>
      </c>
    </row>
    <row r="79" spans="2:7" x14ac:dyDescent="0.2">
      <c r="B79" s="261">
        <f>'Cálculo Geral de Propriedades'!A125</f>
        <v>193</v>
      </c>
      <c r="C79" s="262">
        <f>VLOOKUP(B79,'Cálculo Geral de Propriedades'!A:X,24,FALSE)</f>
        <v>108524.80842072886</v>
      </c>
      <c r="D79" s="261">
        <f>'Cálculo Geral de Propriedades'!A174</f>
        <v>242</v>
      </c>
      <c r="E79" s="262">
        <f>VLOOKUP(D79,'Cálculo Geral de Propriedades'!A:X,24,FALSE)</f>
        <v>8208536.3375971224</v>
      </c>
      <c r="F79" s="261">
        <f>'Cálculo Geral de Propriedades'!A223</f>
        <v>291</v>
      </c>
      <c r="G79" s="262">
        <f>VLOOKUP(F79,'Cálculo Geral de Propriedades'!A:X,24,FALSE)</f>
        <v>1861598.9358344285</v>
      </c>
    </row>
    <row r="80" spans="2:7" x14ac:dyDescent="0.2">
      <c r="B80" s="261">
        <f>'Cálculo Geral de Propriedades'!A126</f>
        <v>194</v>
      </c>
      <c r="C80" s="262">
        <f>VLOOKUP(B80,'Cálculo Geral de Propriedades'!A:X,24,FALSE)</f>
        <v>153713.29509593861</v>
      </c>
      <c r="D80" s="261">
        <f>'Cálculo Geral de Propriedades'!A175</f>
        <v>243</v>
      </c>
      <c r="E80" s="262">
        <f>VLOOKUP(D80,'Cálculo Geral de Propriedades'!A:X,24,FALSE)</f>
        <v>1274386.9767355975</v>
      </c>
      <c r="F80" s="261">
        <f>'Cálculo Geral de Propriedades'!A224</f>
        <v>292</v>
      </c>
      <c r="G80" s="262">
        <f>VLOOKUP(F80,'Cálculo Geral de Propriedades'!A:X,24,FALSE)</f>
        <v>621042.37331309868</v>
      </c>
    </row>
    <row r="81" spans="2:7" x14ac:dyDescent="0.2">
      <c r="B81" s="261">
        <f>'Cálculo Geral de Propriedades'!A127</f>
        <v>195</v>
      </c>
      <c r="C81" s="262">
        <f>VLOOKUP(B81,'Cálculo Geral de Propriedades'!A:X,24,FALSE)</f>
        <v>55167.238572170594</v>
      </c>
      <c r="D81" s="261">
        <f>'Cálculo Geral de Propriedades'!A176</f>
        <v>244</v>
      </c>
      <c r="E81" s="262">
        <f>VLOOKUP(D81,'Cálculo Geral de Propriedades'!A:X,24,FALSE)</f>
        <v>791438.28955792193</v>
      </c>
      <c r="F81" s="261">
        <f>'Cálculo Geral de Propriedades'!A225</f>
        <v>293</v>
      </c>
      <c r="G81" s="262">
        <f>VLOOKUP(F81,'Cálculo Geral de Propriedades'!A:X,24,FALSE)</f>
        <v>856733.23884790437</v>
      </c>
    </row>
    <row r="82" spans="2:7" ht="13.5" thickBot="1" x14ac:dyDescent="0.25">
      <c r="B82" s="261">
        <f>'Cálculo Geral de Propriedades'!A128</f>
        <v>196</v>
      </c>
      <c r="C82" s="262">
        <f>VLOOKUP(B82,'Cálculo Geral de Propriedades'!A:X,24,FALSE)</f>
        <v>86755.563041267626</v>
      </c>
      <c r="D82" s="261">
        <f>'Cálculo Geral de Propriedades'!A177</f>
        <v>245</v>
      </c>
      <c r="E82" s="262">
        <f>VLOOKUP(D82,'Cálculo Geral de Propriedades'!A:X,24,FALSE)</f>
        <v>2005454.9563755544</v>
      </c>
      <c r="F82" s="261">
        <f>'Cálculo Geral de Propriedades'!A226</f>
        <v>294</v>
      </c>
      <c r="G82" s="262">
        <f>VLOOKUP(F82,'Cálculo Geral de Propriedades'!A:X,24,FALSE)</f>
        <v>502013.84788207582</v>
      </c>
    </row>
    <row r="83" spans="2:7" ht="13.5" thickBot="1" x14ac:dyDescent="0.25">
      <c r="B83" s="267" t="s">
        <v>261</v>
      </c>
      <c r="C83" s="268">
        <f>SUM(C34:C82)</f>
        <v>18788279.443886295</v>
      </c>
      <c r="D83" s="267" t="s">
        <v>261</v>
      </c>
      <c r="E83" s="268">
        <f>SUM(E34:E82)</f>
        <v>48878638.294323787</v>
      </c>
      <c r="F83" s="267" t="s">
        <v>261</v>
      </c>
      <c r="G83" s="268">
        <f>SUM(G34:G82)</f>
        <v>63182309.41241511</v>
      </c>
    </row>
    <row r="84" spans="2:7" x14ac:dyDescent="0.2">
      <c r="B84" s="271"/>
      <c r="C84" s="272"/>
      <c r="D84" s="271"/>
      <c r="E84" s="272"/>
      <c r="F84" s="271"/>
      <c r="G84" s="272"/>
    </row>
    <row r="85" spans="2:7" ht="13.5" thickBot="1" x14ac:dyDescent="0.25">
      <c r="B85" s="270"/>
      <c r="C85" s="269"/>
      <c r="G85" s="279" t="s">
        <v>287</v>
      </c>
    </row>
    <row r="86" spans="2:7" ht="39.950000000000003" customHeight="1" x14ac:dyDescent="0.2">
      <c r="B86" s="259" t="s">
        <v>259</v>
      </c>
      <c r="C86" s="260" t="s">
        <v>284</v>
      </c>
      <c r="D86" s="259" t="s">
        <v>259</v>
      </c>
      <c r="E86" s="260" t="s">
        <v>284</v>
      </c>
      <c r="F86" s="259" t="s">
        <v>259</v>
      </c>
      <c r="G86" s="260" t="s">
        <v>284</v>
      </c>
    </row>
    <row r="87" spans="2:7" x14ac:dyDescent="0.2">
      <c r="B87" s="261">
        <f>'Cálculo Geral de Propriedades'!A227</f>
        <v>295</v>
      </c>
      <c r="C87" s="262">
        <f>VLOOKUP(B87,'Cálculo Geral de Propriedades'!A:X,24,FALSE)</f>
        <v>550399.69679083733</v>
      </c>
      <c r="D87" s="261">
        <f>'Cálculo Geral de Propriedades'!A256</f>
        <v>324</v>
      </c>
      <c r="E87" s="262">
        <f>VLOOKUP(D87,'Cálculo Geral de Propriedades'!A:X,24,FALSE)</f>
        <v>2551001.0164532103</v>
      </c>
      <c r="F87" s="261">
        <f>'Cálculo Geral de Propriedades'!A285</f>
        <v>353</v>
      </c>
      <c r="G87" s="262">
        <f>VLOOKUP(F87,'Cálculo Geral de Propriedades'!A:X,24,FALSE)</f>
        <v>14535.867510657827</v>
      </c>
    </row>
    <row r="88" spans="2:7" x14ac:dyDescent="0.2">
      <c r="B88" s="261">
        <f>'Cálculo Geral de Propriedades'!A228</f>
        <v>296</v>
      </c>
      <c r="C88" s="262">
        <f>VLOOKUP(B88,'Cálculo Geral de Propriedades'!A:X,24,FALSE)</f>
        <v>278487.43415603839</v>
      </c>
      <c r="D88" s="261">
        <f>'Cálculo Geral de Propriedades'!A257</f>
        <v>325</v>
      </c>
      <c r="E88" s="262">
        <f>VLOOKUP(D88,'Cálculo Geral de Propriedades'!A:X,24,FALSE)</f>
        <v>726973.35469571478</v>
      </c>
      <c r="F88" s="261">
        <f>'Cálculo Geral de Propriedades'!A286</f>
        <v>354</v>
      </c>
      <c r="G88" s="262">
        <f>VLOOKUP(F88,'Cálculo Geral de Propriedades'!A:X,24,FALSE)</f>
        <v>732682.68043081393</v>
      </c>
    </row>
    <row r="89" spans="2:7" x14ac:dyDescent="0.2">
      <c r="B89" s="261">
        <f>'Cálculo Geral de Propriedades'!A229</f>
        <v>297</v>
      </c>
      <c r="C89" s="262">
        <f>VLOOKUP(B89,'Cálculo Geral de Propriedades'!A:X,24,FALSE)</f>
        <v>919405.68685736565</v>
      </c>
      <c r="D89" s="261">
        <f>'Cálculo Geral de Propriedades'!A258</f>
        <v>326</v>
      </c>
      <c r="E89" s="262">
        <f>VLOOKUP(D89,'Cálculo Geral de Propriedades'!A:X,24,FALSE)</f>
        <v>656150.01124906796</v>
      </c>
      <c r="F89" s="261">
        <f>'Cálculo Geral de Propriedades'!A287</f>
        <v>355</v>
      </c>
      <c r="G89" s="262">
        <f>VLOOKUP(F89,'Cálculo Geral de Propriedades'!A:X,24,FALSE)</f>
        <v>253933.99887333566</v>
      </c>
    </row>
    <row r="90" spans="2:7" x14ac:dyDescent="0.2">
      <c r="B90" s="261">
        <f>'Cálculo Geral de Propriedades'!A230</f>
        <v>298</v>
      </c>
      <c r="C90" s="262">
        <f>VLOOKUP(B90,'Cálculo Geral de Propriedades'!A:X,24,FALSE)</f>
        <v>584378.23668661912</v>
      </c>
      <c r="D90" s="261">
        <f>'Cálculo Geral de Propriedades'!A259</f>
        <v>327</v>
      </c>
      <c r="E90" s="262">
        <f>VLOOKUP(D90,'Cálculo Geral de Propriedades'!A:X,24,FALSE)</f>
        <v>249961.57516885886</v>
      </c>
      <c r="F90" s="261">
        <f>'Cálculo Geral de Propriedades'!A288</f>
        <v>356</v>
      </c>
      <c r="G90" s="262">
        <f>VLOOKUP(F90,'Cálculo Geral de Propriedades'!A:X,24,FALSE)</f>
        <v>89930.709933235194</v>
      </c>
    </row>
    <row r="91" spans="2:7" x14ac:dyDescent="0.2">
      <c r="B91" s="261">
        <f>'Cálculo Geral de Propriedades'!A231</f>
        <v>299</v>
      </c>
      <c r="C91" s="262">
        <f>VLOOKUP(B91,'Cálculo Geral de Propriedades'!A:X,24,FALSE)</f>
        <v>1026058.2056746328</v>
      </c>
      <c r="D91" s="261">
        <f>'Cálculo Geral de Propriedades'!A260</f>
        <v>328</v>
      </c>
      <c r="E91" s="262">
        <f>VLOOKUP(D91,'Cálculo Geral de Propriedades'!A:X,24,FALSE)</f>
        <v>735647.18952129374</v>
      </c>
      <c r="F91" s="261">
        <f>'Cálculo Geral de Propriedades'!A289</f>
        <v>357</v>
      </c>
      <c r="G91" s="262">
        <f>VLOOKUP(F91,'Cálculo Geral de Propriedades'!A:X,24,FALSE)</f>
        <v>149188.29487456562</v>
      </c>
    </row>
    <row r="92" spans="2:7" x14ac:dyDescent="0.2">
      <c r="B92" s="261">
        <f>'Cálculo Geral de Propriedades'!A232</f>
        <v>300</v>
      </c>
      <c r="C92" s="262">
        <f>VLOOKUP(B92,'Cálculo Geral de Propriedades'!A:X,24,FALSE)</f>
        <v>2249886.8654807885</v>
      </c>
      <c r="D92" s="261">
        <f>'Cálculo Geral de Propriedades'!A261</f>
        <v>329</v>
      </c>
      <c r="E92" s="262">
        <f>VLOOKUP(D92,'Cálculo Geral de Propriedades'!A:X,24,FALSE)</f>
        <v>2082152.8539109062</v>
      </c>
      <c r="F92" s="261">
        <f>'Cálculo Geral de Propriedades'!A290</f>
        <v>358</v>
      </c>
      <c r="G92" s="262">
        <f>VLOOKUP(F92,'Cálculo Geral de Propriedades'!A:X,24,FALSE)</f>
        <v>286111.92201343412</v>
      </c>
    </row>
    <row r="93" spans="2:7" x14ac:dyDescent="0.2">
      <c r="B93" s="261">
        <f>'Cálculo Geral de Propriedades'!A233</f>
        <v>301</v>
      </c>
      <c r="C93" s="262">
        <f>VLOOKUP(B93,'Cálculo Geral de Propriedades'!A:X,24,FALSE)</f>
        <v>795854.87077680335</v>
      </c>
      <c r="D93" s="261">
        <f>'Cálculo Geral de Propriedades'!A262</f>
        <v>330</v>
      </c>
      <c r="E93" s="262">
        <f>VLOOKUP(D93,'Cálculo Geral de Propriedades'!A:X,24,FALSE)</f>
        <v>370609.39361063583</v>
      </c>
      <c r="F93" s="261">
        <f>'Cálculo Geral de Propriedades'!A291</f>
        <v>359</v>
      </c>
      <c r="G93" s="262">
        <f>VLOOKUP(F93,'Cálculo Geral de Propriedades'!A:X,24,FALSE)</f>
        <v>1532516.8805779403</v>
      </c>
    </row>
    <row r="94" spans="2:7" x14ac:dyDescent="0.2">
      <c r="B94" s="261">
        <f>'Cálculo Geral de Propriedades'!A234</f>
        <v>302</v>
      </c>
      <c r="C94" s="262">
        <f>VLOOKUP(B94,'Cálculo Geral de Propriedades'!A:X,24,FALSE)</f>
        <v>418156.21978323819</v>
      </c>
      <c r="D94" s="261">
        <f>'Cálculo Geral de Propriedades'!A263</f>
        <v>331</v>
      </c>
      <c r="E94" s="262">
        <f>VLOOKUP(D94,'Cálculo Geral de Propriedades'!A:X,24,FALSE)</f>
        <v>512824.58822950628</v>
      </c>
      <c r="F94" s="261">
        <f>'Cálculo Geral de Propriedades'!A292</f>
        <v>360</v>
      </c>
      <c r="G94" s="262">
        <f>VLOOKUP(F94,'Cálculo Geral de Propriedades'!A:X,24,FALSE)</f>
        <v>3389811.1124297418</v>
      </c>
    </row>
    <row r="95" spans="2:7" x14ac:dyDescent="0.2">
      <c r="B95" s="261">
        <f>'Cálculo Geral de Propriedades'!A235</f>
        <v>303</v>
      </c>
      <c r="C95" s="262">
        <f>VLOOKUP(B95,'Cálculo Geral de Propriedades'!A:X,24,FALSE)</f>
        <v>469947.61121787532</v>
      </c>
      <c r="D95" s="261">
        <f>'Cálculo Geral de Propriedades'!A264</f>
        <v>332</v>
      </c>
      <c r="E95" s="262">
        <f>VLOOKUP(D95,'Cálculo Geral de Propriedades'!A:X,24,FALSE)</f>
        <v>440781.29961437883</v>
      </c>
      <c r="F95" s="261">
        <f>'Cálculo Geral de Propriedades'!A293</f>
        <v>361</v>
      </c>
      <c r="G95" s="262">
        <f>VLOOKUP(F95,'Cálculo Geral de Propriedades'!A:X,24,FALSE)</f>
        <v>1598747.0262998</v>
      </c>
    </row>
    <row r="96" spans="2:7" x14ac:dyDescent="0.2">
      <c r="B96" s="261">
        <f>'Cálculo Geral de Propriedades'!A236</f>
        <v>304</v>
      </c>
      <c r="C96" s="262">
        <f>VLOOKUP(B96,'Cálculo Geral de Propriedades'!A:X,24,FALSE)</f>
        <v>876922.38595265616</v>
      </c>
      <c r="D96" s="261">
        <f>'Cálculo Geral de Propriedades'!A265</f>
        <v>333</v>
      </c>
      <c r="E96" s="262">
        <f>VLOOKUP(D96,'Cálculo Geral de Propriedades'!A:X,24,FALSE)</f>
        <v>459335.7508245043</v>
      </c>
      <c r="F96" s="261">
        <f>'Cálculo Geral de Propriedades'!A294</f>
        <v>362</v>
      </c>
      <c r="G96" s="262">
        <f>VLOOKUP(F96,'Cálculo Geral de Propriedades'!A:X,24,FALSE)</f>
        <v>61006.282456101311</v>
      </c>
    </row>
    <row r="97" spans="2:7" x14ac:dyDescent="0.2">
      <c r="B97" s="261">
        <f>'Cálculo Geral de Propriedades'!A237</f>
        <v>305</v>
      </c>
      <c r="C97" s="262">
        <f>VLOOKUP(B97,'Cálculo Geral de Propriedades'!A:X,24,FALSE)</f>
        <v>561654.10109607142</v>
      </c>
      <c r="D97" s="261">
        <f>'Cálculo Geral de Propriedades'!A266</f>
        <v>334</v>
      </c>
      <c r="E97" s="262">
        <f>VLOOKUP(D97,'Cálculo Geral de Propriedades'!A:X,24,FALSE)</f>
        <v>1026401.8343374308</v>
      </c>
      <c r="F97" s="261">
        <f>'Cálculo Geral de Propriedades'!A295</f>
        <v>363</v>
      </c>
      <c r="G97" s="262">
        <f>VLOOKUP(F97,'Cálculo Geral de Propriedades'!A:X,24,FALSE)</f>
        <v>177343.6314000501</v>
      </c>
    </row>
    <row r="98" spans="2:7" x14ac:dyDescent="0.2">
      <c r="B98" s="261">
        <f>'Cálculo Geral de Propriedades'!A238</f>
        <v>306</v>
      </c>
      <c r="C98" s="262">
        <f>VLOOKUP(B98,'Cálculo Geral de Propriedades'!A:X,24,FALSE)</f>
        <v>783858.74333198916</v>
      </c>
      <c r="D98" s="261">
        <f>'Cálculo Geral de Propriedades'!A267</f>
        <v>335</v>
      </c>
      <c r="E98" s="262">
        <f>VLOOKUP(D98,'Cálculo Geral de Propriedades'!A:X,24,FALSE)</f>
        <v>937299.02892920363</v>
      </c>
      <c r="F98" s="261">
        <f>'Cálculo Geral de Propriedades'!A296</f>
        <v>364</v>
      </c>
      <c r="G98" s="262">
        <f>VLOOKUP(F98,'Cálculo Geral de Propriedades'!A:X,24,FALSE)</f>
        <v>511326.45313409349</v>
      </c>
    </row>
    <row r="99" spans="2:7" x14ac:dyDescent="0.2">
      <c r="B99" s="261">
        <f>'Cálculo Geral de Propriedades'!A239</f>
        <v>307</v>
      </c>
      <c r="C99" s="262">
        <f>VLOOKUP(B99,'Cálculo Geral de Propriedades'!A:X,24,FALSE)</f>
        <v>600177.996260616</v>
      </c>
      <c r="D99" s="261">
        <f>'Cálculo Geral de Propriedades'!A268</f>
        <v>336</v>
      </c>
      <c r="E99" s="262">
        <f>VLOOKUP(D99,'Cálculo Geral de Propriedades'!A:X,24,FALSE)</f>
        <v>555418.20219832985</v>
      </c>
      <c r="F99" s="261">
        <f>'Cálculo Geral de Propriedades'!A297</f>
        <v>365</v>
      </c>
      <c r="G99" s="262">
        <f>VLOOKUP(F99,'Cálculo Geral de Propriedades'!A:X,24,FALSE)</f>
        <v>2100867.3999562277</v>
      </c>
    </row>
    <row r="100" spans="2:7" x14ac:dyDescent="0.2">
      <c r="B100" s="261">
        <f>'Cálculo Geral de Propriedades'!A240</f>
        <v>308</v>
      </c>
      <c r="C100" s="262">
        <f>VLOOKUP(B100,'Cálculo Geral de Propriedades'!A:X,24,FALSE)</f>
        <v>136653.30574529455</v>
      </c>
      <c r="D100" s="261">
        <f>'Cálculo Geral de Propriedades'!A269</f>
        <v>337</v>
      </c>
      <c r="E100" s="262">
        <f>VLOOKUP(D100,'Cálculo Geral de Propriedades'!A:X,24,FALSE)</f>
        <v>372944.07109471015</v>
      </c>
      <c r="F100" s="261">
        <f>'Cálculo Geral de Propriedades'!A298</f>
        <v>366</v>
      </c>
      <c r="G100" s="262">
        <f>VLOOKUP(F100,'Cálculo Geral de Propriedades'!A:X,24,FALSE)</f>
        <v>442657.83797757939</v>
      </c>
    </row>
    <row r="101" spans="2:7" x14ac:dyDescent="0.2">
      <c r="B101" s="261">
        <f>'Cálculo Geral de Propriedades'!A241</f>
        <v>309</v>
      </c>
      <c r="C101" s="262">
        <f>VLOOKUP(B101,'Cálculo Geral de Propriedades'!A:X,24,FALSE)</f>
        <v>209369.30995133144</v>
      </c>
      <c r="D101" s="261">
        <f>'Cálculo Geral de Propriedades'!A270</f>
        <v>338</v>
      </c>
      <c r="E101" s="262">
        <f>VLOOKUP(D101,'Cálculo Geral de Propriedades'!A:X,24,FALSE)</f>
        <v>239463.60971154232</v>
      </c>
      <c r="F101" s="261">
        <f>'Cálculo Geral de Propriedades'!A299</f>
        <v>367</v>
      </c>
      <c r="G101" s="262">
        <f>VLOOKUP(F101,'Cálculo Geral de Propriedades'!A:X,24,FALSE)</f>
        <v>137081.01250473579</v>
      </c>
    </row>
    <row r="102" spans="2:7" x14ac:dyDescent="0.2">
      <c r="B102" s="261">
        <f>'Cálculo Geral de Propriedades'!A242</f>
        <v>310</v>
      </c>
      <c r="C102" s="262">
        <f>VLOOKUP(B102,'Cálculo Geral de Propriedades'!A:X,24,FALSE)</f>
        <v>478392.09282432619</v>
      </c>
      <c r="D102" s="261">
        <f>'Cálculo Geral de Propriedades'!A271</f>
        <v>339</v>
      </c>
      <c r="E102" s="262">
        <f>VLOOKUP(D102,'Cálculo Geral de Propriedades'!A:X,24,FALSE)</f>
        <v>1352043.7351634691</v>
      </c>
      <c r="F102" s="261">
        <f>'Cálculo Geral de Propriedades'!A300</f>
        <v>368</v>
      </c>
      <c r="G102" s="262">
        <f>VLOOKUP(F102,'Cálculo Geral de Propriedades'!A:X,24,FALSE)</f>
        <v>616365.98003305087</v>
      </c>
    </row>
    <row r="103" spans="2:7" x14ac:dyDescent="0.2">
      <c r="B103" s="261">
        <f>'Cálculo Geral de Propriedades'!A243</f>
        <v>311</v>
      </c>
      <c r="C103" s="262">
        <f>VLOOKUP(B103,'Cálculo Geral de Propriedades'!A:X,24,FALSE)</f>
        <v>146462.3457620898</v>
      </c>
      <c r="D103" s="261">
        <f>'Cálculo Geral de Propriedades'!A272</f>
        <v>340</v>
      </c>
      <c r="E103" s="262">
        <f>VLOOKUP(D103,'Cálculo Geral de Propriedades'!A:X,24,FALSE)</f>
        <v>4576745.9877481451</v>
      </c>
      <c r="F103" s="261">
        <f>'Cálculo Geral de Propriedades'!A301</f>
        <v>369</v>
      </c>
      <c r="G103" s="262">
        <f>VLOOKUP(F103,'Cálculo Geral de Propriedades'!A:X,24,FALSE)</f>
        <v>408975.81267858756</v>
      </c>
    </row>
    <row r="104" spans="2:7" x14ac:dyDescent="0.2">
      <c r="B104" s="261">
        <f>'Cálculo Geral de Propriedades'!A244</f>
        <v>312</v>
      </c>
      <c r="C104" s="262">
        <f>VLOOKUP(B104,'Cálculo Geral de Propriedades'!A:X,24,FALSE)</f>
        <v>403468.79730196577</v>
      </c>
      <c r="D104" s="261">
        <f>'Cálculo Geral de Propriedades'!A273</f>
        <v>341</v>
      </c>
      <c r="E104" s="262">
        <f>VLOOKUP(D104,'Cálculo Geral de Propriedades'!A:X,24,FALSE)</f>
        <v>420633.76232059178</v>
      </c>
      <c r="F104" s="261">
        <f>'Cálculo Geral de Propriedades'!A302</f>
        <v>370</v>
      </c>
      <c r="G104" s="262">
        <f>VLOOKUP(F104,'Cálculo Geral de Propriedades'!A:X,24,FALSE)</f>
        <v>452119.49950727343</v>
      </c>
    </row>
    <row r="105" spans="2:7" x14ac:dyDescent="0.2">
      <c r="B105" s="261">
        <f>'Cálculo Geral de Propriedades'!A245</f>
        <v>313</v>
      </c>
      <c r="C105" s="262">
        <f>VLOOKUP(B105,'Cálculo Geral de Propriedades'!A:X,24,FALSE)</f>
        <v>276227.96388838644</v>
      </c>
      <c r="D105" s="261">
        <f>'Cálculo Geral de Propriedades'!A274</f>
        <v>342</v>
      </c>
      <c r="E105" s="262">
        <f>VLOOKUP(D105,'Cálculo Geral de Propriedades'!A:X,24,FALSE)</f>
        <v>367130.66467237426</v>
      </c>
      <c r="F105" s="261">
        <f>'Cálculo Geral de Propriedades'!A303</f>
        <v>371</v>
      </c>
      <c r="G105" s="262">
        <f>VLOOKUP(F105,'Cálculo Geral de Propriedades'!A:X,24,FALSE)</f>
        <v>109682.67544018643</v>
      </c>
    </row>
    <row r="106" spans="2:7" x14ac:dyDescent="0.2">
      <c r="B106" s="261">
        <f>'Cálculo Geral de Propriedades'!A246</f>
        <v>314</v>
      </c>
      <c r="C106" s="262">
        <f>VLOOKUP(B106,'Cálculo Geral de Propriedades'!A:X,24,FALSE)</f>
        <v>9331890.7432976346</v>
      </c>
      <c r="D106" s="261">
        <f>'Cálculo Geral de Propriedades'!A275</f>
        <v>343</v>
      </c>
      <c r="E106" s="262">
        <f>VLOOKUP(D106,'Cálculo Geral de Propriedades'!A:X,24,FALSE)</f>
        <v>1771196.4868693487</v>
      </c>
      <c r="F106" s="261">
        <f>'Cálculo Geral de Propriedades'!A304</f>
        <v>372</v>
      </c>
      <c r="G106" s="262">
        <f>VLOOKUP(F106,'Cálculo Geral de Propriedades'!A:X,24,FALSE)</f>
        <v>277736.53793975944</v>
      </c>
    </row>
    <row r="107" spans="2:7" x14ac:dyDescent="0.2">
      <c r="B107" s="261">
        <f>'Cálculo Geral de Propriedades'!A247</f>
        <v>315</v>
      </c>
      <c r="C107" s="262">
        <f>VLOOKUP(B107,'Cálculo Geral de Propriedades'!A:X,24,FALSE)</f>
        <v>1026551.7162734494</v>
      </c>
      <c r="D107" s="261">
        <f>'Cálculo Geral de Propriedades'!A276</f>
        <v>344</v>
      </c>
      <c r="E107" s="262">
        <f>VLOOKUP(D107,'Cálculo Geral de Propriedades'!A:X,24,FALSE)</f>
        <v>591371.88076325424</v>
      </c>
      <c r="F107" s="261">
        <f>'Cálculo Geral de Propriedades'!A305</f>
        <v>373</v>
      </c>
      <c r="G107" s="262">
        <f>VLOOKUP(F107,'Cálculo Geral de Propriedades'!A:X,24,FALSE)</f>
        <v>525067.14200012269</v>
      </c>
    </row>
    <row r="108" spans="2:7" x14ac:dyDescent="0.2">
      <c r="B108" s="261">
        <f>'Cálculo Geral de Propriedades'!A248</f>
        <v>316</v>
      </c>
      <c r="C108" s="262">
        <f>VLOOKUP(B108,'Cálculo Geral de Propriedades'!A:X,24,FALSE)</f>
        <v>1445351.483987326</v>
      </c>
      <c r="D108" s="261">
        <f>'Cálculo Geral de Propriedades'!A277</f>
        <v>345</v>
      </c>
      <c r="E108" s="262">
        <f>VLOOKUP(D108,'Cálculo Geral de Propriedades'!A:X,24,FALSE)</f>
        <v>179501.65476384957</v>
      </c>
      <c r="F108" s="261">
        <f>'Cálculo Geral de Propriedades'!A306</f>
        <v>374</v>
      </c>
      <c r="G108" s="262">
        <f>VLOOKUP(F108,'Cálculo Geral de Propriedades'!A:X,24,FALSE)</f>
        <v>134557.29892836319</v>
      </c>
    </row>
    <row r="109" spans="2:7" x14ac:dyDescent="0.2">
      <c r="B109" s="261">
        <f>'Cálculo Geral de Propriedades'!A249</f>
        <v>317</v>
      </c>
      <c r="C109" s="262">
        <f>VLOOKUP(B109,'Cálculo Geral de Propriedades'!A:X,24,FALSE)</f>
        <v>5120951.948728946</v>
      </c>
      <c r="D109" s="261">
        <f>'Cálculo Geral de Propriedades'!A278</f>
        <v>346</v>
      </c>
      <c r="E109" s="262">
        <f>VLOOKUP(D109,'Cálculo Geral de Propriedades'!A:X,24,FALSE)</f>
        <v>190223.11046666349</v>
      </c>
      <c r="F109" s="261">
        <f>'Cálculo Geral de Propriedades'!A307</f>
        <v>375</v>
      </c>
      <c r="G109" s="262">
        <f>VLOOKUP(F109,'Cálculo Geral de Propriedades'!A:X,24,FALSE)</f>
        <v>50115.966214861292</v>
      </c>
    </row>
    <row r="110" spans="2:7" x14ac:dyDescent="0.2">
      <c r="B110" s="261">
        <f>'Cálculo Geral de Propriedades'!A250</f>
        <v>318</v>
      </c>
      <c r="C110" s="262">
        <f>VLOOKUP(B110,'Cálculo Geral de Propriedades'!A:X,24,FALSE)</f>
        <v>238087.81192149178</v>
      </c>
      <c r="D110" s="261">
        <f>'Cálculo Geral de Propriedades'!A279</f>
        <v>347</v>
      </c>
      <c r="E110" s="262">
        <f>VLOOKUP(D110,'Cálculo Geral de Propriedades'!A:X,24,FALSE)</f>
        <v>272453.05550264841</v>
      </c>
      <c r="F110" s="261">
        <f>'Cálculo Geral de Propriedades'!A308</f>
        <v>376</v>
      </c>
      <c r="G110" s="262">
        <f>VLOOKUP(F110,'Cálculo Geral de Propriedades'!A:X,24,FALSE)</f>
        <v>348206.05274555174</v>
      </c>
    </row>
    <row r="111" spans="2:7" x14ac:dyDescent="0.2">
      <c r="B111" s="261">
        <f>'Cálculo Geral de Propriedades'!A251</f>
        <v>319</v>
      </c>
      <c r="C111" s="262">
        <f>VLOOKUP(B111,'Cálculo Geral de Propriedades'!A:X,24,FALSE)</f>
        <v>510154.81201748754</v>
      </c>
      <c r="D111" s="261">
        <f>'Cálculo Geral de Propriedades'!A280</f>
        <v>348</v>
      </c>
      <c r="E111" s="262">
        <f>VLOOKUP(D111,'Cálculo Geral de Propriedades'!A:X,24,FALSE)</f>
        <v>2989638.5540459719</v>
      </c>
      <c r="F111" s="261">
        <f>'Cálculo Geral de Propriedades'!A309</f>
        <v>377</v>
      </c>
      <c r="G111" s="262">
        <f>VLOOKUP(F111,'Cálculo Geral de Propriedades'!A:X,24,FALSE)</f>
        <v>338969.33646258514</v>
      </c>
    </row>
    <row r="112" spans="2:7" x14ac:dyDescent="0.2">
      <c r="B112" s="261">
        <f>'Cálculo Geral de Propriedades'!A252</f>
        <v>320</v>
      </c>
      <c r="C112" s="262">
        <f>VLOOKUP(B112,'Cálculo Geral de Propriedades'!A:X,24,FALSE)</f>
        <v>431961.58265317697</v>
      </c>
      <c r="D112" s="261">
        <f>'Cálculo Geral de Propriedades'!A281</f>
        <v>349</v>
      </c>
      <c r="E112" s="262">
        <f>VLOOKUP(D112,'Cálculo Geral de Propriedades'!A:X,24,FALSE)</f>
        <v>1595636.683848643</v>
      </c>
      <c r="F112" s="261">
        <f>'Cálculo Geral de Propriedades'!A310</f>
        <v>378</v>
      </c>
      <c r="G112" s="262">
        <f>VLOOKUP(F112,'Cálculo Geral de Propriedades'!A:X,24,FALSE)</f>
        <v>396175.25241117872</v>
      </c>
    </row>
    <row r="113" spans="2:7" x14ac:dyDescent="0.2">
      <c r="B113" s="261">
        <f>'Cálculo Geral de Propriedades'!A253</f>
        <v>321</v>
      </c>
      <c r="C113" s="262">
        <f>VLOOKUP(B113,'Cálculo Geral de Propriedades'!A:X,24,FALSE)</f>
        <v>427180.55619694374</v>
      </c>
      <c r="D113" s="261">
        <f>'Cálculo Geral de Propriedades'!A282</f>
        <v>350</v>
      </c>
      <c r="E113" s="262">
        <f>VLOOKUP(D113,'Cálculo Geral de Propriedades'!A:X,24,FALSE)</f>
        <v>452414.44324165321</v>
      </c>
      <c r="F113" s="261">
        <f>'Cálculo Geral de Propriedades'!A311</f>
        <v>379</v>
      </c>
      <c r="G113" s="262">
        <f>VLOOKUP(F113,'Cálculo Geral de Propriedades'!A:X,24,FALSE)</f>
        <v>630738.30027969601</v>
      </c>
    </row>
    <row r="114" spans="2:7" x14ac:dyDescent="0.2">
      <c r="B114" s="261">
        <f>'Cálculo Geral de Propriedades'!A254</f>
        <v>322</v>
      </c>
      <c r="C114" s="262">
        <f>VLOOKUP(B114,'Cálculo Geral de Propriedades'!A:X,24,FALSE)</f>
        <v>525968.55606481247</v>
      </c>
      <c r="D114" s="261">
        <f>'Cálculo Geral de Propriedades'!A283</f>
        <v>351</v>
      </c>
      <c r="E114" s="262">
        <f>VLOOKUP(D114,'Cálculo Geral de Propriedades'!A:X,24,FALSE)</f>
        <v>367426.97477347247</v>
      </c>
      <c r="F114" s="261">
        <f>'Cálculo Geral de Propriedades'!A312</f>
        <v>380</v>
      </c>
      <c r="G114" s="262">
        <f>VLOOKUP(F114,'Cálculo Geral de Propriedades'!A:X,24,FALSE)</f>
        <v>854214.20593508449</v>
      </c>
    </row>
    <row r="115" spans="2:7" ht="13.5" thickBot="1" x14ac:dyDescent="0.25">
      <c r="B115" s="261">
        <f>'Cálculo Geral de Propriedades'!A255</f>
        <v>323</v>
      </c>
      <c r="C115" s="262">
        <f>VLOOKUP(B115,'Cálculo Geral de Propriedades'!A:X,24,FALSE)</f>
        <v>1492951.3569136159</v>
      </c>
      <c r="D115" s="261">
        <f>'Cálculo Geral de Propriedades'!A284</f>
        <v>352</v>
      </c>
      <c r="E115" s="262">
        <f>VLOOKUP(D115,'Cálculo Geral de Propriedades'!A:X,24,FALSE)</f>
        <v>620336.15326367936</v>
      </c>
      <c r="F115" s="261">
        <f>'Cálculo Geral de Propriedades'!A313</f>
        <v>381</v>
      </c>
      <c r="G115" s="262">
        <f>VLOOKUP(F115,'Cálculo Geral de Propriedades'!A:X,24,FALSE)</f>
        <v>382544.73448596674</v>
      </c>
    </row>
    <row r="116" spans="2:7" ht="13.5" thickBot="1" x14ac:dyDescent="0.25">
      <c r="B116" s="267" t="s">
        <v>261</v>
      </c>
      <c r="C116" s="268">
        <f>SUM(C87:C115)</f>
        <v>32316812.437593814</v>
      </c>
      <c r="D116" s="267" t="s">
        <v>261</v>
      </c>
      <c r="E116" s="268">
        <f>SUM(E87:E115)</f>
        <v>27663716.926993065</v>
      </c>
      <c r="F116" s="267" t="s">
        <v>261</v>
      </c>
      <c r="G116" s="268">
        <f>SUM(G87:G115)</f>
        <v>17003209.905434579</v>
      </c>
    </row>
    <row r="117" spans="2:7" ht="13.5" thickBot="1" x14ac:dyDescent="0.25">
      <c r="B117" s="271"/>
      <c r="C117" s="272"/>
      <c r="D117" s="271"/>
      <c r="E117" s="272"/>
      <c r="F117" s="271"/>
      <c r="G117" s="272"/>
    </row>
    <row r="118" spans="2:7" ht="13.5" thickBot="1" x14ac:dyDescent="0.25">
      <c r="B118" s="273"/>
      <c r="C118" s="274"/>
      <c r="D118" s="275"/>
      <c r="E118" s="274"/>
      <c r="F118" s="275" t="s">
        <v>262</v>
      </c>
      <c r="G118" s="276">
        <f>SUM(C30,E30,G30,C83,E83,G83,C116,E116,G116)</f>
        <v>339330271.87565613</v>
      </c>
    </row>
    <row r="122" spans="2:7" x14ac:dyDescent="0.2">
      <c r="G122" s="104"/>
    </row>
    <row r="370" spans="6:6" x14ac:dyDescent="0.2">
      <c r="F370" s="103">
        <f>'Cálculo Geral de Propriedades'!X315</f>
        <v>339330271.87565595</v>
      </c>
    </row>
    <row r="371" spans="6:6" x14ac:dyDescent="0.2">
      <c r="F371" s="103" t="e">
        <f>F370=#REF!</f>
        <v>#REF!</v>
      </c>
    </row>
  </sheetData>
  <sheetProtection algorithmName="SHA-512" hashValue="3qOFhdTGM1gSNPg/0IhpNoTLkQid32jf7lS6fHp1KELwHtrGvJGhDP4jsSS2AJrSAf+YP6I9oF9Vv4pm7IvXqg==" saltValue="NHrh3gs8LZelX3WhApX+2Q==" spinCount="100000" sheet="1" formatCells="0" formatColumns="0" formatRows="0" insertColumns="0" insertRows="0" insertHyperlinks="0" deleteColumns="0" deleteRows="0" sort="0" autoFilter="0" pivotTables="0"/>
  <conditionalFormatting sqref="C3">
    <cfRule type="containsText" dxfId="17" priority="17" operator="containsText" text="digitar">
      <formula>NOT(ISERROR(SEARCH("digitar",C3)))</formula>
    </cfRule>
  </conditionalFormatting>
  <conditionalFormatting sqref="C33">
    <cfRule type="containsText" dxfId="16" priority="6" operator="containsText" text="digitar">
      <formula>NOT(ISERROR(SEARCH("digitar",C33)))</formula>
    </cfRule>
  </conditionalFormatting>
  <conditionalFormatting sqref="C86">
    <cfRule type="containsText" dxfId="15" priority="3" operator="containsText" text="digitar">
      <formula>NOT(ISERROR(SEARCH("digitar",C86)))</formula>
    </cfRule>
  </conditionalFormatting>
  <conditionalFormatting sqref="E3">
    <cfRule type="containsText" dxfId="14" priority="8" operator="containsText" text="digitar">
      <formula>NOT(ISERROR(SEARCH("digitar",E3)))</formula>
    </cfRule>
  </conditionalFormatting>
  <conditionalFormatting sqref="E33">
    <cfRule type="containsText" dxfId="13" priority="5" operator="containsText" text="digitar">
      <formula>NOT(ISERROR(SEARCH("digitar",E33)))</formula>
    </cfRule>
  </conditionalFormatting>
  <conditionalFormatting sqref="E86">
    <cfRule type="containsText" dxfId="12" priority="2" operator="containsText" text="digitar">
      <formula>NOT(ISERROR(SEARCH("digitar",E86)))</formula>
    </cfRule>
  </conditionalFormatting>
  <conditionalFormatting sqref="G3">
    <cfRule type="containsText" dxfId="11" priority="7" operator="containsText" text="digitar">
      <formula>NOT(ISERROR(SEARCH("digitar",G3)))</formula>
    </cfRule>
  </conditionalFormatting>
  <conditionalFormatting sqref="G33">
    <cfRule type="containsText" dxfId="10" priority="4" operator="containsText" text="digitar">
      <formula>NOT(ISERROR(SEARCH("digitar",G33)))</formula>
    </cfRule>
  </conditionalFormatting>
  <conditionalFormatting sqref="G86">
    <cfRule type="containsText" dxfId="9" priority="1" operator="containsText" text="digitar">
      <formula>NOT(ISERROR(SEARCH("digitar",G86)))</formula>
    </cfRule>
  </conditionalFormatting>
  <pageMargins left="0.511811024" right="0.511811024" top="0.78740157499999996" bottom="0.78740157499999996" header="0.31496062000000002" footer="0.31496062000000002"/>
  <pageSetup paperSize="9" scale="10" orientation="portrait" horizontalDpi="4294967295" verticalDpi="4294967295" r:id="rId1"/>
  <rowBreaks count="1" manualBreakCount="1">
    <brk id="84" max="7" man="1"/>
  </rowBreaks>
  <ignoredErrors>
    <ignoredError sqref="D34:G82 D87:G115 D4:F2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144D-0AFD-4198-B0CC-F53AE14D67F1}">
  <dimension ref="B1:G287"/>
  <sheetViews>
    <sheetView showGridLines="0" topLeftCell="A115" zoomScale="90" zoomScaleNormal="90" zoomScaleSheetLayoutView="80" zoomScalePageLayoutView="80" workbookViewId="0">
      <selection activeCell="D14" sqref="D14"/>
    </sheetView>
  </sheetViews>
  <sheetFormatPr defaultColWidth="9.140625" defaultRowHeight="12.75" x14ac:dyDescent="0.2"/>
  <cols>
    <col min="1" max="1" width="9.140625" style="103"/>
    <col min="2" max="2" width="15.7109375" style="258" customWidth="1"/>
    <col min="3" max="3" width="20.7109375" style="258" customWidth="1"/>
    <col min="4" max="4" width="15.7109375" style="103" customWidth="1"/>
    <col min="5" max="5" width="20.7109375" style="103" customWidth="1"/>
    <col min="6" max="6" width="15.7109375" style="103" customWidth="1"/>
    <col min="7" max="7" width="20.7109375" style="103" customWidth="1"/>
    <col min="8" max="11" width="9.140625" style="103"/>
    <col min="12" max="14" width="11.85546875" style="103" bestFit="1" customWidth="1"/>
    <col min="15" max="16384" width="9.140625" style="103"/>
  </cols>
  <sheetData>
    <row r="1" spans="2:7" ht="21" x14ac:dyDescent="0.35">
      <c r="B1" s="288" t="s">
        <v>294</v>
      </c>
    </row>
    <row r="4" spans="2:7" ht="13.5" thickBot="1" x14ac:dyDescent="0.25">
      <c r="B4" s="270"/>
      <c r="C4" s="269"/>
      <c r="G4" s="279" t="s">
        <v>289</v>
      </c>
    </row>
    <row r="5" spans="2:7" ht="39.950000000000003" customHeight="1" x14ac:dyDescent="0.2">
      <c r="B5" s="259" t="s">
        <v>259</v>
      </c>
      <c r="C5" s="260" t="s">
        <v>284</v>
      </c>
      <c r="D5" s="259" t="s">
        <v>259</v>
      </c>
      <c r="E5" s="260" t="s">
        <v>284</v>
      </c>
      <c r="F5" s="259" t="s">
        <v>259</v>
      </c>
      <c r="G5" s="260" t="s">
        <v>284</v>
      </c>
    </row>
    <row r="6" spans="2:7" x14ac:dyDescent="0.2">
      <c r="B6" s="261">
        <f>'Cálculo Geral de Propriedades'!A3</f>
        <v>1</v>
      </c>
      <c r="C6" s="262">
        <f>VLOOKUP(B6,'Cálculo Geral de Propriedades'!A:X,24,FALSE)</f>
        <v>7031146.8065956235</v>
      </c>
      <c r="D6" s="261">
        <f>'Cálculo Geral de Propriedades'!A29</f>
        <v>56</v>
      </c>
      <c r="E6" s="262">
        <f>VLOOKUP(D6,'Cálculo Geral de Propriedades'!A:X,24,FALSE)</f>
        <v>843732.94178467453</v>
      </c>
      <c r="F6" s="261">
        <f>'Cálculo Geral de Propriedades'!A55</f>
        <v>123</v>
      </c>
      <c r="G6" s="262">
        <f>VLOOKUP(F6,'Cálculo Geral de Propriedades'!A:X,24,FALSE)</f>
        <v>188413.37432335713</v>
      </c>
    </row>
    <row r="7" spans="2:7" x14ac:dyDescent="0.2">
      <c r="B7" s="261">
        <f>'Cálculo Geral de Propriedades'!A4</f>
        <v>2</v>
      </c>
      <c r="C7" s="262">
        <f>VLOOKUP(B7,'Cálculo Geral de Propriedades'!A:X,24,FALSE)</f>
        <v>33540757.280941233</v>
      </c>
      <c r="D7" s="261">
        <f>'Cálculo Geral de Propriedades'!A30</f>
        <v>57</v>
      </c>
      <c r="E7" s="262">
        <f>VLOOKUP(D7,'Cálculo Geral de Propriedades'!A:X,24,FALSE)</f>
        <v>644282.76858501625</v>
      </c>
      <c r="F7" s="261">
        <f>'Cálculo Geral de Propriedades'!A56</f>
        <v>124</v>
      </c>
      <c r="G7" s="262">
        <f>VLOOKUP(F7,'Cálculo Geral de Propriedades'!A:X,24,FALSE)</f>
        <v>1481682.2302124912</v>
      </c>
    </row>
    <row r="8" spans="2:7" x14ac:dyDescent="0.2">
      <c r="B8" s="261">
        <f>'Cálculo Geral de Propriedades'!A5</f>
        <v>22</v>
      </c>
      <c r="C8" s="262">
        <f>VLOOKUP(B8,'Cálculo Geral de Propriedades'!A:X,24,FALSE)</f>
        <v>479324.3705476516</v>
      </c>
      <c r="D8" s="261">
        <f>'Cálculo Geral de Propriedades'!A31</f>
        <v>58</v>
      </c>
      <c r="E8" s="262">
        <f>VLOOKUP(D8,'Cálculo Geral de Propriedades'!A:X,24,FALSE)</f>
        <v>2981115.1315722209</v>
      </c>
      <c r="F8" s="261">
        <f>'Cálculo Geral de Propriedades'!A57</f>
        <v>125</v>
      </c>
      <c r="G8" s="262">
        <f>VLOOKUP(F8,'Cálculo Geral de Propriedades'!A:X,24,FALSE)</f>
        <v>153588.7785124931</v>
      </c>
    </row>
    <row r="9" spans="2:7" x14ac:dyDescent="0.2">
      <c r="B9" s="261">
        <f>'Cálculo Geral de Propriedades'!A6</f>
        <v>23</v>
      </c>
      <c r="C9" s="262">
        <f>VLOOKUP(B9,'Cálculo Geral de Propriedades'!A:X,24,FALSE)</f>
        <v>2086648.6108225686</v>
      </c>
      <c r="D9" s="261">
        <f>'Cálculo Geral de Propriedades'!A32</f>
        <v>81</v>
      </c>
      <c r="E9" s="262">
        <f>VLOOKUP(D9,'Cálculo Geral de Propriedades'!A:X,24,FALSE)</f>
        <v>453877.49858879513</v>
      </c>
      <c r="F9" s="261">
        <f>'Cálculo Geral de Propriedades'!A58</f>
        <v>126</v>
      </c>
      <c r="G9" s="262">
        <f>VLOOKUP(F9,'Cálculo Geral de Propriedades'!A:X,24,FALSE)</f>
        <v>649723.72812753217</v>
      </c>
    </row>
    <row r="10" spans="2:7" x14ac:dyDescent="0.2">
      <c r="B10" s="261">
        <f>'Cálculo Geral de Propriedades'!A7</f>
        <v>24</v>
      </c>
      <c r="C10" s="262">
        <f>VLOOKUP(B10,'Cálculo Geral de Propriedades'!A:X,24,FALSE)</f>
        <v>2260928.6479637693</v>
      </c>
      <c r="D10" s="261">
        <f>'Cálculo Geral de Propriedades'!A33</f>
        <v>82</v>
      </c>
      <c r="E10" s="262">
        <f>VLOOKUP(D10,'Cálculo Geral de Propriedades'!A:X,24,FALSE)</f>
        <v>1206389.1000353766</v>
      </c>
      <c r="F10" s="261">
        <f>'Cálculo Geral de Propriedades'!A59</f>
        <v>127</v>
      </c>
      <c r="G10" s="262">
        <f>VLOOKUP(F10,'Cálculo Geral de Propriedades'!A:X,24,FALSE)</f>
        <v>49776.620037384251</v>
      </c>
    </row>
    <row r="11" spans="2:7" x14ac:dyDescent="0.2">
      <c r="B11" s="261">
        <f>'Cálculo Geral de Propriedades'!A8</f>
        <v>25</v>
      </c>
      <c r="C11" s="262">
        <f>VLOOKUP(B11,'Cálculo Geral de Propriedades'!A:X,24,FALSE)</f>
        <v>386768.84819892806</v>
      </c>
      <c r="D11" s="261">
        <f>'Cálculo Geral de Propriedades'!A34</f>
        <v>83</v>
      </c>
      <c r="E11" s="262">
        <f>VLOOKUP(D11,'Cálculo Geral de Propriedades'!A:X,24,FALSE)</f>
        <v>1405131.3866461369</v>
      </c>
      <c r="F11" s="261">
        <f>'Cálculo Geral de Propriedades'!A60</f>
        <v>128</v>
      </c>
      <c r="G11" s="262">
        <f>VLOOKUP(F11,'Cálculo Geral de Propriedades'!A:X,24,FALSE)</f>
        <v>28430.155538895364</v>
      </c>
    </row>
    <row r="12" spans="2:7" x14ac:dyDescent="0.2">
      <c r="B12" s="261">
        <f>'Cálculo Geral de Propriedades'!A9</f>
        <v>26</v>
      </c>
      <c r="C12" s="262">
        <f>VLOOKUP(B12,'Cálculo Geral de Propriedades'!A:X,24,FALSE)</f>
        <v>9256380.9942307193</v>
      </c>
      <c r="D12" s="261">
        <f>'Cálculo Geral de Propriedades'!A35</f>
        <v>84</v>
      </c>
      <c r="E12" s="262">
        <f>VLOOKUP(D12,'Cálculo Geral de Propriedades'!A:X,24,FALSE)</f>
        <v>443212.59747403953</v>
      </c>
      <c r="F12" s="261">
        <f>'Cálculo Geral de Propriedades'!A61</f>
        <v>129</v>
      </c>
      <c r="G12" s="262">
        <f>VLOOKUP(F12,'Cálculo Geral de Propriedades'!A:X,24,FALSE)</f>
        <v>28382.058568313096</v>
      </c>
    </row>
    <row r="13" spans="2:7" x14ac:dyDescent="0.2">
      <c r="B13" s="261">
        <f>'Cálculo Geral de Propriedades'!A10</f>
        <v>27</v>
      </c>
      <c r="C13" s="262">
        <f>VLOOKUP(B13,'Cálculo Geral de Propriedades'!A:X,24,FALSE)</f>
        <v>1159597.4351310302</v>
      </c>
      <c r="D13" s="261">
        <f>'Cálculo Geral de Propriedades'!A36</f>
        <v>85</v>
      </c>
      <c r="E13" s="262">
        <f>VLOOKUP(D13,'Cálculo Geral de Propriedades'!A:X,24,FALSE)</f>
        <v>1233341.2346141413</v>
      </c>
      <c r="F13" s="261">
        <f>'Cálculo Geral de Propriedades'!A62</f>
        <v>130</v>
      </c>
      <c r="G13" s="262">
        <f>VLOOKUP(F13,'Cálculo Geral de Propriedades'!A:X,24,FALSE)</f>
        <v>25918.217031334294</v>
      </c>
    </row>
    <row r="14" spans="2:7" x14ac:dyDescent="0.2">
      <c r="B14" s="261">
        <f>'Cálculo Geral de Propriedades'!A11</f>
        <v>28</v>
      </c>
      <c r="C14" s="262">
        <f>VLOOKUP(B14,'Cálculo Geral de Propriedades'!A:X,24,FALSE)</f>
        <v>1729436.8892315729</v>
      </c>
      <c r="D14" s="261">
        <f>'Cálculo Geral de Propriedades'!A37</f>
        <v>86</v>
      </c>
      <c r="E14" s="262">
        <f>VLOOKUP(D14,'Cálculo Geral de Propriedades'!A:X,24,FALSE)</f>
        <v>1413710.0886987108</v>
      </c>
      <c r="F14" s="261">
        <f>'Cálculo Geral de Propriedades'!A63</f>
        <v>131</v>
      </c>
      <c r="G14" s="262">
        <f>VLOOKUP(F14,'Cálculo Geral de Propriedades'!A:X,24,FALSE)</f>
        <v>28404.617993446005</v>
      </c>
    </row>
    <row r="15" spans="2:7" x14ac:dyDescent="0.2">
      <c r="B15" s="261">
        <f>'Cálculo Geral de Propriedades'!A12</f>
        <v>29</v>
      </c>
      <c r="C15" s="262">
        <f>VLOOKUP(B15,'Cálculo Geral de Propriedades'!A:X,24,FALSE)</f>
        <v>429727.6493540096</v>
      </c>
      <c r="D15" s="261">
        <f>'Cálculo Geral de Propriedades'!A38</f>
        <v>87</v>
      </c>
      <c r="E15" s="262">
        <f>VLOOKUP(D15,'Cálculo Geral de Propriedades'!A:X,24,FALSE)</f>
        <v>3071077.0218936387</v>
      </c>
      <c r="F15" s="261">
        <f>'Cálculo Geral de Propriedades'!A64</f>
        <v>132</v>
      </c>
      <c r="G15" s="262">
        <f>VLOOKUP(F15,'Cálculo Geral de Propriedades'!A:X,24,FALSE)</f>
        <v>28437.396684533163</v>
      </c>
    </row>
    <row r="16" spans="2:7" x14ac:dyDescent="0.2">
      <c r="B16" s="261">
        <f>'Cálculo Geral de Propriedades'!A13</f>
        <v>30</v>
      </c>
      <c r="C16" s="262">
        <f>VLOOKUP(B16,'Cálculo Geral de Propriedades'!A:X,24,FALSE)</f>
        <v>398900.99437373842</v>
      </c>
      <c r="D16" s="261">
        <f>'Cálculo Geral de Propriedades'!A39</f>
        <v>88</v>
      </c>
      <c r="E16" s="262">
        <f>VLOOKUP(D16,'Cálculo Geral de Propriedades'!A:X,24,FALSE)</f>
        <v>1871518.2284438198</v>
      </c>
      <c r="F16" s="261">
        <f>'Cálculo Geral de Propriedades'!A65</f>
        <v>133</v>
      </c>
      <c r="G16" s="262">
        <f>VLOOKUP(F16,'Cálculo Geral de Propriedades'!A:X,24,FALSE)</f>
        <v>18636.500089539179</v>
      </c>
    </row>
    <row r="17" spans="2:7" x14ac:dyDescent="0.2">
      <c r="B17" s="261">
        <f>'Cálculo Geral de Propriedades'!A14</f>
        <v>31</v>
      </c>
      <c r="C17" s="262">
        <f>VLOOKUP(B17,'Cálculo Geral de Propriedades'!A:X,24,FALSE)</f>
        <v>590895.87975283514</v>
      </c>
      <c r="D17" s="261">
        <f>'Cálculo Geral de Propriedades'!A40</f>
        <v>89</v>
      </c>
      <c r="E17" s="262">
        <f>VLOOKUP(D17,'Cálculo Geral de Propriedades'!A:X,24,FALSE)</f>
        <v>1684566.675311845</v>
      </c>
      <c r="F17" s="261">
        <f>'Cálculo Geral de Propriedades'!A66</f>
        <v>134</v>
      </c>
      <c r="G17" s="262">
        <f>VLOOKUP(F17,'Cálculo Geral de Propriedades'!A:X,24,FALSE)</f>
        <v>34664.300610504426</v>
      </c>
    </row>
    <row r="18" spans="2:7" x14ac:dyDescent="0.2">
      <c r="B18" s="261">
        <f>'Cálculo Geral de Propriedades'!A15</f>
        <v>32</v>
      </c>
      <c r="C18" s="262">
        <f>VLOOKUP(B18,'Cálculo Geral de Propriedades'!A:X,24,FALSE)</f>
        <v>319500.1677982143</v>
      </c>
      <c r="D18" s="261">
        <f>'Cálculo Geral de Propriedades'!A41</f>
        <v>90</v>
      </c>
      <c r="E18" s="262">
        <f>VLOOKUP(D18,'Cálculo Geral de Propriedades'!A:X,24,FALSE)</f>
        <v>722851.369327661</v>
      </c>
      <c r="F18" s="261">
        <f>'Cálculo Geral de Propriedades'!A67</f>
        <v>135</v>
      </c>
      <c r="G18" s="262">
        <f>VLOOKUP(F18,'Cálculo Geral de Propriedades'!A:X,24,FALSE)</f>
        <v>427535.74068645114</v>
      </c>
    </row>
    <row r="19" spans="2:7" x14ac:dyDescent="0.2">
      <c r="B19" s="261">
        <f>'Cálculo Geral de Propriedades'!A16</f>
        <v>33</v>
      </c>
      <c r="C19" s="262">
        <f>VLOOKUP(B19,'Cálculo Geral de Propriedades'!A:X,24,FALSE)</f>
        <v>849803.37167621939</v>
      </c>
      <c r="D19" s="263">
        <f>'Cálculo Geral de Propriedades'!A42</f>
        <v>98</v>
      </c>
      <c r="E19" s="264">
        <f>VLOOKUP(D19,'Cálculo Geral de Propriedades'!A:X,24,FALSE)</f>
        <v>436081.32515446946</v>
      </c>
      <c r="F19" s="261">
        <f>'Cálculo Geral de Propriedades'!A68</f>
        <v>136</v>
      </c>
      <c r="G19" s="262">
        <f>VLOOKUP(F19,'Cálculo Geral de Propriedades'!A:X,24,FALSE)</f>
        <v>217637.5783777188</v>
      </c>
    </row>
    <row r="20" spans="2:7" x14ac:dyDescent="0.2">
      <c r="B20" s="261">
        <f>'Cálculo Geral de Propriedades'!A17</f>
        <v>34</v>
      </c>
      <c r="C20" s="262">
        <f>VLOOKUP(B20,'Cálculo Geral de Propriedades'!A:X,24,FALSE)</f>
        <v>12123455.090375179</v>
      </c>
      <c r="D20" s="261">
        <f>'Cálculo Geral de Propriedades'!A43</f>
        <v>99</v>
      </c>
      <c r="E20" s="262">
        <f>VLOOKUP(D20,'Cálculo Geral de Propriedades'!A:X,24,FALSE)</f>
        <v>464022.41365408123</v>
      </c>
      <c r="F20" s="261">
        <f>'Cálculo Geral de Propriedades'!A69</f>
        <v>137</v>
      </c>
      <c r="G20" s="262">
        <f>VLOOKUP(F20,'Cálculo Geral de Propriedades'!A:X,24,FALSE)</f>
        <v>211018.33311169478</v>
      </c>
    </row>
    <row r="21" spans="2:7" x14ac:dyDescent="0.2">
      <c r="B21" s="261">
        <f>'Cálculo Geral de Propriedades'!A18</f>
        <v>45</v>
      </c>
      <c r="C21" s="262">
        <f>VLOOKUP(B21,'Cálculo Geral de Propriedades'!A:X,24,FALSE)</f>
        <v>431451.99182973249</v>
      </c>
      <c r="D21" s="261">
        <f>'Cálculo Geral de Propriedades'!A44</f>
        <v>100</v>
      </c>
      <c r="E21" s="262">
        <f>VLOOKUP(D21,'Cálculo Geral de Propriedades'!A:X,24,FALSE)</f>
        <v>389613.63716264814</v>
      </c>
      <c r="F21" s="261">
        <f>'Cálculo Geral de Propriedades'!A70</f>
        <v>138</v>
      </c>
      <c r="G21" s="262">
        <f>VLOOKUP(F21,'Cálculo Geral de Propriedades'!A:X,24,FALSE)</f>
        <v>101554.64550113121</v>
      </c>
    </row>
    <row r="22" spans="2:7" x14ac:dyDescent="0.2">
      <c r="B22" s="261">
        <f>'Cálculo Geral de Propriedades'!A19</f>
        <v>46</v>
      </c>
      <c r="C22" s="262">
        <f>VLOOKUP(B22,'Cálculo Geral de Propriedades'!A:X,24,FALSE)</f>
        <v>469918.667083423</v>
      </c>
      <c r="D22" s="261">
        <f>'Cálculo Geral de Propriedades'!A45</f>
        <v>101</v>
      </c>
      <c r="E22" s="262">
        <f>VLOOKUP(D22,'Cálculo Geral de Propriedades'!A:X,24,FALSE)</f>
        <v>434487.65356326627</v>
      </c>
      <c r="F22" s="261">
        <f>'Cálculo Geral de Propriedades'!A71</f>
        <v>139</v>
      </c>
      <c r="G22" s="262">
        <f>VLOOKUP(F22,'Cálculo Geral de Propriedades'!A:X,24,FALSE)</f>
        <v>64130.833949225744</v>
      </c>
    </row>
    <row r="23" spans="2:7" x14ac:dyDescent="0.2">
      <c r="B23" s="261">
        <f>'Cálculo Geral de Propriedades'!A20</f>
        <v>47</v>
      </c>
      <c r="C23" s="262">
        <f>VLOOKUP(B23,'Cálculo Geral de Propriedades'!A:X,24,FALSE)</f>
        <v>1292904.3132984939</v>
      </c>
      <c r="D23" s="261">
        <f>'Cálculo Geral de Propriedades'!A46</f>
        <v>102</v>
      </c>
      <c r="E23" s="262">
        <f>VLOOKUP(D23,'Cálculo Geral de Propriedades'!A:X,24,FALSE)</f>
        <v>1705121.0546765665</v>
      </c>
      <c r="F23" s="261">
        <f>'Cálculo Geral de Propriedades'!A72</f>
        <v>140</v>
      </c>
      <c r="G23" s="262">
        <f>VLOOKUP(F23,'Cálculo Geral de Propriedades'!A:X,24,FALSE)</f>
        <v>108190.14115404095</v>
      </c>
    </row>
    <row r="24" spans="2:7" x14ac:dyDescent="0.2">
      <c r="B24" s="261">
        <f>'Cálculo Geral de Propriedades'!A21</f>
        <v>48</v>
      </c>
      <c r="C24" s="262">
        <f>VLOOKUP(B24,'Cálculo Geral de Propriedades'!A:X,24,FALSE)</f>
        <v>154823.13664187703</v>
      </c>
      <c r="D24" s="261">
        <f>'Cálculo Geral de Propriedades'!A47</f>
        <v>103</v>
      </c>
      <c r="E24" s="262">
        <f>VLOOKUP(D24,'Cálculo Geral de Propriedades'!A:X,24,FALSE)</f>
        <v>341691.00086189061</v>
      </c>
      <c r="F24" s="261">
        <f>'Cálculo Geral de Propriedades'!A73</f>
        <v>141</v>
      </c>
      <c r="G24" s="262">
        <f>VLOOKUP(F24,'Cálculo Geral de Propriedades'!A:X,24,FALSE)</f>
        <v>310227.65980623482</v>
      </c>
    </row>
    <row r="25" spans="2:7" x14ac:dyDescent="0.2">
      <c r="B25" s="263">
        <f>'Cálculo Geral de Propriedades'!A22</f>
        <v>49</v>
      </c>
      <c r="C25" s="264">
        <f>VLOOKUP(B25,'Cálculo Geral de Propriedades'!A:X,24,FALSE)</f>
        <v>322286.67113078432</v>
      </c>
      <c r="D25" s="261">
        <f>'Cálculo Geral de Propriedades'!A48</f>
        <v>104</v>
      </c>
      <c r="E25" s="262">
        <f>VLOOKUP(D25,'Cálculo Geral de Propriedades'!A:X,24,FALSE)</f>
        <v>189232.53388537042</v>
      </c>
      <c r="F25" s="261">
        <f>'Cálculo Geral de Propriedades'!A74</f>
        <v>142</v>
      </c>
      <c r="G25" s="262">
        <f>VLOOKUP(F25,'Cálculo Geral de Propriedades'!A:X,24,FALSE)</f>
        <v>455718.73266082816</v>
      </c>
    </row>
    <row r="26" spans="2:7" x14ac:dyDescent="0.2">
      <c r="B26" s="261">
        <f>'Cálculo Geral de Propriedades'!A23</f>
        <v>50</v>
      </c>
      <c r="C26" s="262">
        <f>VLOOKUP(B26,'Cálculo Geral de Propriedades'!A:X,24,FALSE)</f>
        <v>10554004.859566238</v>
      </c>
      <c r="D26" s="261">
        <f>'Cálculo Geral de Propriedades'!A49</f>
        <v>105</v>
      </c>
      <c r="E26" s="262">
        <f>VLOOKUP(D26,'Cálculo Geral de Propriedades'!A:X,24,FALSE)</f>
        <v>181713.89400662304</v>
      </c>
      <c r="F26" s="261">
        <f>'Cálculo Geral de Propriedades'!A75</f>
        <v>143</v>
      </c>
      <c r="G26" s="262">
        <f>VLOOKUP(F26,'Cálculo Geral de Propriedades'!A:X,24,FALSE)</f>
        <v>431206.5572891726</v>
      </c>
    </row>
    <row r="27" spans="2:7" x14ac:dyDescent="0.2">
      <c r="B27" s="261">
        <f>'Cálculo Geral de Propriedades'!A24</f>
        <v>51</v>
      </c>
      <c r="C27" s="262">
        <f>VLOOKUP(B27,'Cálculo Geral de Propriedades'!A:X,24,FALSE)</f>
        <v>447505.97139478655</v>
      </c>
      <c r="D27" s="261">
        <f>'Cálculo Geral de Propriedades'!A50</f>
        <v>106</v>
      </c>
      <c r="E27" s="262">
        <f>VLOOKUP(D27,'Cálculo Geral de Propriedades'!A:X,24,FALSE)</f>
        <v>374324.20850779198</v>
      </c>
      <c r="F27" s="261">
        <f>'Cálculo Geral de Propriedades'!A76</f>
        <v>144</v>
      </c>
      <c r="G27" s="262">
        <f>VLOOKUP(F27,'Cálculo Geral de Propriedades'!A:X,24,FALSE)</f>
        <v>620668.97105664038</v>
      </c>
    </row>
    <row r="28" spans="2:7" x14ac:dyDescent="0.2">
      <c r="B28" s="261">
        <f>'Cálculo Geral de Propriedades'!A25</f>
        <v>52</v>
      </c>
      <c r="C28" s="262">
        <f>VLOOKUP(B28,'Cálculo Geral de Propriedades'!A:X,24,FALSE)</f>
        <v>195136.54212714324</v>
      </c>
      <c r="D28" s="261">
        <f>'Cálculo Geral de Propriedades'!A51</f>
        <v>119</v>
      </c>
      <c r="E28" s="262">
        <f>VLOOKUP(D28,'Cálculo Geral de Propriedades'!A:X,24,FALSE)</f>
        <v>423086.36082125251</v>
      </c>
      <c r="F28" s="261">
        <f>'Cálculo Geral de Propriedades'!A77</f>
        <v>145</v>
      </c>
      <c r="G28" s="262">
        <f>VLOOKUP(F28,'Cálculo Geral de Propriedades'!A:X,24,FALSE)</f>
        <v>382034.86418594042</v>
      </c>
    </row>
    <row r="29" spans="2:7" x14ac:dyDescent="0.2">
      <c r="B29" s="261">
        <f>'Cálculo Geral de Propriedades'!A26</f>
        <v>53</v>
      </c>
      <c r="C29" s="262">
        <f>VLOOKUP(B29,'Cálculo Geral de Propriedades'!A:X,24,FALSE)</f>
        <v>1262369.8100946925</v>
      </c>
      <c r="D29" s="261">
        <f>'Cálculo Geral de Propriedades'!A52</f>
        <v>120</v>
      </c>
      <c r="E29" s="262">
        <f>VLOOKUP(D29,'Cálculo Geral de Propriedades'!A:X,24,FALSE)</f>
        <v>70936.512685737602</v>
      </c>
      <c r="F29" s="261">
        <f>'Cálculo Geral de Propriedades'!A78</f>
        <v>146</v>
      </c>
      <c r="G29" s="262">
        <f>VLOOKUP(F29,'Cálculo Geral de Propriedades'!A:X,24,FALSE)</f>
        <v>656672.97889582603</v>
      </c>
    </row>
    <row r="30" spans="2:7" x14ac:dyDescent="0.2">
      <c r="B30" s="261">
        <f>'Cálculo Geral de Propriedades'!A27</f>
        <v>54</v>
      </c>
      <c r="C30" s="262">
        <f>VLOOKUP(B30,'Cálculo Geral de Propriedades'!A:X,24,FALSE)</f>
        <v>746388.58813962282</v>
      </c>
      <c r="D30" s="261">
        <f>'Cálculo Geral de Propriedades'!A53</f>
        <v>121</v>
      </c>
      <c r="E30" s="262">
        <f>VLOOKUP(D30,'Cálculo Geral de Propriedades'!A:X,24,FALSE)</f>
        <v>12490037.203646783</v>
      </c>
      <c r="F30" s="263">
        <f>'Cálculo Geral de Propriedades'!A79</f>
        <v>147</v>
      </c>
      <c r="G30" s="264">
        <f>VLOOKUP(F30,'Cálculo Geral de Propriedades'!A:X,24,FALSE)</f>
        <v>151470.93316194587</v>
      </c>
    </row>
    <row r="31" spans="2:7" ht="13.5" thickBot="1" x14ac:dyDescent="0.25">
      <c r="B31" s="261">
        <f>'Cálculo Geral de Propriedades'!A28</f>
        <v>55</v>
      </c>
      <c r="C31" s="262">
        <f>VLOOKUP(B31,'Cálculo Geral de Propriedades'!A:X,24,FALSE)</f>
        <v>548201.58757018798</v>
      </c>
      <c r="D31" s="261">
        <f>'Cálculo Geral de Propriedades'!A54</f>
        <v>122</v>
      </c>
      <c r="E31" s="292">
        <f>VLOOKUP(D31,'Cálculo Geral de Propriedades'!A:X,24,FALSE)</f>
        <v>99760.489969893475</v>
      </c>
      <c r="F31" s="265"/>
      <c r="G31" s="266"/>
    </row>
    <row r="32" spans="2:7" ht="13.5" thickBot="1" x14ac:dyDescent="0.25">
      <c r="B32" s="267" t="s">
        <v>261</v>
      </c>
      <c r="C32" s="268">
        <f>SUM(C6:C31)</f>
        <v>89068265.175870314</v>
      </c>
      <c r="D32" s="267" t="s">
        <v>261</v>
      </c>
      <c r="E32" s="268">
        <f>SUM(E6:E31)</f>
        <v>35574914.331572451</v>
      </c>
      <c r="F32" s="267" t="s">
        <v>261</v>
      </c>
      <c r="G32" s="268">
        <f>SUM(G6:G30)</f>
        <v>6854125.9475666741</v>
      </c>
    </row>
    <row r="33" spans="2:7" x14ac:dyDescent="0.2">
      <c r="C33" s="269"/>
      <c r="D33" s="270"/>
      <c r="E33" s="269"/>
      <c r="F33" s="270"/>
      <c r="G33" s="269"/>
    </row>
    <row r="34" spans="2:7" ht="13.5" thickBot="1" x14ac:dyDescent="0.25">
      <c r="C34" s="269"/>
      <c r="D34" s="270"/>
      <c r="E34" s="269"/>
      <c r="F34" s="270"/>
      <c r="G34" s="279" t="s">
        <v>288</v>
      </c>
    </row>
    <row r="35" spans="2:7" ht="39.950000000000003" customHeight="1" x14ac:dyDescent="0.2">
      <c r="B35" s="259" t="s">
        <v>259</v>
      </c>
      <c r="C35" s="260" t="s">
        <v>284</v>
      </c>
      <c r="D35" s="259" t="s">
        <v>259</v>
      </c>
      <c r="E35" s="260" t="s">
        <v>284</v>
      </c>
      <c r="F35" s="259" t="s">
        <v>259</v>
      </c>
      <c r="G35" s="260" t="s">
        <v>284</v>
      </c>
    </row>
    <row r="36" spans="2:7" x14ac:dyDescent="0.2">
      <c r="B36" s="261">
        <f>'Cálculo Geral de Propriedades'!A80</f>
        <v>148</v>
      </c>
      <c r="C36" s="262">
        <f>VLOOKUP(B36,'Cálculo Geral de Propriedades'!A:X,24,FALSE)</f>
        <v>238497.63187037964</v>
      </c>
      <c r="D36" s="261">
        <f>'Cálculo Geral de Propriedades'!A109</f>
        <v>177</v>
      </c>
      <c r="E36" s="262">
        <f>VLOOKUP(D36,'Cálculo Geral de Propriedades'!A:X,24,FALSE)</f>
        <v>74538.371371525107</v>
      </c>
      <c r="F36" s="261">
        <f>'Cálculo Geral de Propriedades'!A138</f>
        <v>206</v>
      </c>
      <c r="G36" s="262">
        <f>VLOOKUP(F36,'Cálculo Geral de Propriedades'!A:X,24,FALSE)</f>
        <v>44024.909423482262</v>
      </c>
    </row>
    <row r="37" spans="2:7" x14ac:dyDescent="0.2">
      <c r="B37" s="261">
        <f>'Cálculo Geral de Propriedades'!A81</f>
        <v>149</v>
      </c>
      <c r="C37" s="262">
        <f>VLOOKUP(B37,'Cálculo Geral de Propriedades'!A:X,24,FALSE)</f>
        <v>463402.26006242947</v>
      </c>
      <c r="D37" s="261">
        <f>'Cálculo Geral de Propriedades'!A110</f>
        <v>178</v>
      </c>
      <c r="E37" s="262">
        <f>VLOOKUP(D37,'Cálculo Geral de Propriedades'!A:X,24,FALSE)</f>
        <v>72254.277447853718</v>
      </c>
      <c r="F37" s="261">
        <f>'Cálculo Geral de Propriedades'!A139</f>
        <v>207</v>
      </c>
      <c r="G37" s="262">
        <f>VLOOKUP(F37,'Cálculo Geral de Propriedades'!A:X,24,FALSE)</f>
        <v>16456.175356311363</v>
      </c>
    </row>
    <row r="38" spans="2:7" x14ac:dyDescent="0.2">
      <c r="B38" s="261">
        <f>'Cálculo Geral de Propriedades'!A82</f>
        <v>150</v>
      </c>
      <c r="C38" s="262">
        <f>VLOOKUP(B38,'Cálculo Geral de Propriedades'!A:X,24,FALSE)</f>
        <v>102506.2686228408</v>
      </c>
      <c r="D38" s="261">
        <f>'Cálculo Geral de Propriedades'!A111</f>
        <v>179</v>
      </c>
      <c r="E38" s="262">
        <f>VLOOKUP(D38,'Cálculo Geral de Propriedades'!A:X,24,FALSE)</f>
        <v>77509.871713997141</v>
      </c>
      <c r="F38" s="261">
        <f>'Cálculo Geral de Propriedades'!A140</f>
        <v>208</v>
      </c>
      <c r="G38" s="262">
        <f>VLOOKUP(F38,'Cálculo Geral de Propriedades'!A:X,24,FALSE)</f>
        <v>47798.891549625667</v>
      </c>
    </row>
    <row r="39" spans="2:7" x14ac:dyDescent="0.2">
      <c r="B39" s="261">
        <f>'Cálculo Geral de Propriedades'!A83</f>
        <v>151</v>
      </c>
      <c r="C39" s="262">
        <f>VLOOKUP(B39,'Cálculo Geral de Propriedades'!A:X,24,FALSE)</f>
        <v>28176.076808999998</v>
      </c>
      <c r="D39" s="261">
        <f>'Cálculo Geral de Propriedades'!A112</f>
        <v>180</v>
      </c>
      <c r="E39" s="262">
        <f>VLOOKUP(D39,'Cálculo Geral de Propriedades'!A:X,24,FALSE)</f>
        <v>206867.80535081407</v>
      </c>
      <c r="F39" s="261">
        <f>'Cálculo Geral de Propriedades'!A141</f>
        <v>209</v>
      </c>
      <c r="G39" s="262">
        <f>VLOOKUP(F39,'Cálculo Geral de Propriedades'!A:X,24,FALSE)</f>
        <v>52897.934241576739</v>
      </c>
    </row>
    <row r="40" spans="2:7" x14ac:dyDescent="0.2">
      <c r="B40" s="261">
        <f>'Cálculo Geral de Propriedades'!A84</f>
        <v>152</v>
      </c>
      <c r="C40" s="262">
        <f>VLOOKUP(B40,'Cálculo Geral de Propriedades'!A:X,24,FALSE)</f>
        <v>345784.80577957386</v>
      </c>
      <c r="D40" s="261">
        <f>'Cálculo Geral de Propriedades'!A113</f>
        <v>181</v>
      </c>
      <c r="E40" s="262">
        <f>VLOOKUP(D40,'Cálculo Geral de Propriedades'!A:X,24,FALSE)</f>
        <v>215348.25308325086</v>
      </c>
      <c r="F40" s="261">
        <f>'Cálculo Geral de Propriedades'!A142</f>
        <v>210</v>
      </c>
      <c r="G40" s="262">
        <f>VLOOKUP(F40,'Cálculo Geral de Propriedades'!A:X,24,FALSE)</f>
        <v>494695.91550798563</v>
      </c>
    </row>
    <row r="41" spans="2:7" x14ac:dyDescent="0.2">
      <c r="B41" s="261">
        <f>'Cálculo Geral de Propriedades'!A85</f>
        <v>153</v>
      </c>
      <c r="C41" s="262">
        <f>VLOOKUP(B41,'Cálculo Geral de Propriedades'!A:X,24,FALSE)</f>
        <v>846967.57974158507</v>
      </c>
      <c r="D41" s="261">
        <f>'Cálculo Geral de Propriedades'!A114</f>
        <v>182</v>
      </c>
      <c r="E41" s="262">
        <f>VLOOKUP(D41,'Cálculo Geral de Propriedades'!A:X,24,FALSE)</f>
        <v>313513.51146508195</v>
      </c>
      <c r="F41" s="261">
        <f>'Cálculo Geral de Propriedades'!A143</f>
        <v>211</v>
      </c>
      <c r="G41" s="262">
        <f>VLOOKUP(F41,'Cálculo Geral de Propriedades'!A:X,24,FALSE)</f>
        <v>330492.12523921748</v>
      </c>
    </row>
    <row r="42" spans="2:7" x14ac:dyDescent="0.2">
      <c r="B42" s="261">
        <f>'Cálculo Geral de Propriedades'!A86</f>
        <v>154</v>
      </c>
      <c r="C42" s="262">
        <f>VLOOKUP(B42,'Cálculo Geral de Propriedades'!A:X,24,FALSE)</f>
        <v>489235.67548155284</v>
      </c>
      <c r="D42" s="261">
        <f>'Cálculo Geral de Propriedades'!A115</f>
        <v>183</v>
      </c>
      <c r="E42" s="262">
        <f>VLOOKUP(D42,'Cálculo Geral de Propriedades'!A:X,24,FALSE)</f>
        <v>284685.24468708481</v>
      </c>
      <c r="F42" s="261">
        <f>'Cálculo Geral de Propriedades'!A144</f>
        <v>212</v>
      </c>
      <c r="G42" s="262">
        <f>VLOOKUP(F42,'Cálculo Geral de Propriedades'!A:X,24,FALSE)</f>
        <v>37378.719887986605</v>
      </c>
    </row>
    <row r="43" spans="2:7" x14ac:dyDescent="0.2">
      <c r="B43" s="261">
        <f>'Cálculo Geral de Propriedades'!A87</f>
        <v>155</v>
      </c>
      <c r="C43" s="262">
        <f>VLOOKUP(B43,'Cálculo Geral de Propriedades'!A:X,24,FALSE)</f>
        <v>561436.42844009679</v>
      </c>
      <c r="D43" s="261">
        <f>'Cálculo Geral de Propriedades'!A116</f>
        <v>184</v>
      </c>
      <c r="E43" s="262">
        <f>VLOOKUP(D43,'Cálculo Geral de Propriedades'!A:X,24,FALSE)</f>
        <v>205627.25140906576</v>
      </c>
      <c r="F43" s="261">
        <f>'Cálculo Geral de Propriedades'!A145</f>
        <v>213</v>
      </c>
      <c r="G43" s="262">
        <f>VLOOKUP(F43,'Cálculo Geral de Propriedades'!A:X,24,FALSE)</f>
        <v>214450.16012015427</v>
      </c>
    </row>
    <row r="44" spans="2:7" x14ac:dyDescent="0.2">
      <c r="B44" s="261">
        <f>'Cálculo Geral de Propriedades'!A88</f>
        <v>156</v>
      </c>
      <c r="C44" s="262">
        <f>VLOOKUP(B44,'Cálculo Geral de Propriedades'!A:X,24,FALSE)</f>
        <v>129723.97929301964</v>
      </c>
      <c r="D44" s="261">
        <f>'Cálculo Geral de Propriedades'!A117</f>
        <v>185</v>
      </c>
      <c r="E44" s="262">
        <f>VLOOKUP(D44,'Cálculo Geral de Propriedades'!A:X,24,FALSE)</f>
        <v>216210.07719806337</v>
      </c>
      <c r="F44" s="261">
        <f>'Cálculo Geral de Propriedades'!A146</f>
        <v>214</v>
      </c>
      <c r="G44" s="262">
        <f>VLOOKUP(F44,'Cálculo Geral de Propriedades'!A:X,24,FALSE)</f>
        <v>152978.24631764376</v>
      </c>
    </row>
    <row r="45" spans="2:7" x14ac:dyDescent="0.2">
      <c r="B45" s="261">
        <f>'Cálculo Geral de Propriedades'!A89</f>
        <v>157</v>
      </c>
      <c r="C45" s="262">
        <f>VLOOKUP(B45,'Cálculo Geral de Propriedades'!A:X,24,FALSE)</f>
        <v>183424.28926527491</v>
      </c>
      <c r="D45" s="261">
        <f>'Cálculo Geral de Propriedades'!A118</f>
        <v>186</v>
      </c>
      <c r="E45" s="262">
        <f>VLOOKUP(D45,'Cálculo Geral de Propriedades'!A:X,24,FALSE)</f>
        <v>648465.84331918694</v>
      </c>
      <c r="F45" s="261">
        <f>'Cálculo Geral de Propriedades'!A147</f>
        <v>215</v>
      </c>
      <c r="G45" s="262">
        <f>VLOOKUP(F45,'Cálculo Geral de Propriedades'!A:X,24,FALSE)</f>
        <v>104613.83245735712</v>
      </c>
    </row>
    <row r="46" spans="2:7" x14ac:dyDescent="0.2">
      <c r="B46" s="261">
        <f>'Cálculo Geral de Propriedades'!A90</f>
        <v>158</v>
      </c>
      <c r="C46" s="262">
        <f>VLOOKUP(B46,'Cálculo Geral de Propriedades'!A:X,24,FALSE)</f>
        <v>62223.656088470787</v>
      </c>
      <c r="D46" s="261">
        <f>'Cálculo Geral de Propriedades'!A119</f>
        <v>187</v>
      </c>
      <c r="E46" s="262">
        <f>VLOOKUP(D46,'Cálculo Geral de Propriedades'!A:X,24,FALSE)</f>
        <v>1701175.8588178761</v>
      </c>
      <c r="F46" s="261">
        <f>'Cálculo Geral de Propriedades'!A148</f>
        <v>216</v>
      </c>
      <c r="G46" s="262">
        <f>VLOOKUP(F46,'Cálculo Geral de Propriedades'!A:X,24,FALSE)</f>
        <v>404944.33581251226</v>
      </c>
    </row>
    <row r="47" spans="2:7" x14ac:dyDescent="0.2">
      <c r="B47" s="261">
        <f>'Cálculo Geral de Propriedades'!A91</f>
        <v>159</v>
      </c>
      <c r="C47" s="262">
        <f>VLOOKUP(B47,'Cálculo Geral de Propriedades'!A:X,24,FALSE)</f>
        <v>280013.26127012289</v>
      </c>
      <c r="D47" s="261">
        <f>'Cálculo Geral de Propriedades'!A120</f>
        <v>188</v>
      </c>
      <c r="E47" s="262">
        <f>VLOOKUP(D47,'Cálculo Geral de Propriedades'!A:X,24,FALSE)</f>
        <v>413699.57484451076</v>
      </c>
      <c r="F47" s="261">
        <f>'Cálculo Geral de Propriedades'!A149</f>
        <v>217</v>
      </c>
      <c r="G47" s="262">
        <f>VLOOKUP(F47,'Cálculo Geral de Propriedades'!A:X,24,FALSE)</f>
        <v>257865.05029751948</v>
      </c>
    </row>
    <row r="48" spans="2:7" x14ac:dyDescent="0.2">
      <c r="B48" s="261">
        <f>'Cálculo Geral de Propriedades'!A92</f>
        <v>160</v>
      </c>
      <c r="C48" s="262">
        <f>VLOOKUP(B48,'Cálculo Geral de Propriedades'!A:X,24,FALSE)</f>
        <v>1215932.8344992427</v>
      </c>
      <c r="D48" s="261">
        <f>'Cálculo Geral de Propriedades'!A121</f>
        <v>189</v>
      </c>
      <c r="E48" s="262">
        <f>VLOOKUP(D48,'Cálculo Geral de Propriedades'!A:X,24,FALSE)</f>
        <v>649735.23276843131</v>
      </c>
      <c r="F48" s="261">
        <f>'Cálculo Geral de Propriedades'!A150</f>
        <v>218</v>
      </c>
      <c r="G48" s="262">
        <f>VLOOKUP(F48,'Cálculo Geral de Propriedades'!A:X,24,FALSE)</f>
        <v>240401.76219382597</v>
      </c>
    </row>
    <row r="49" spans="2:7" x14ac:dyDescent="0.2">
      <c r="B49" s="261">
        <f>'Cálculo Geral de Propriedades'!A93</f>
        <v>161</v>
      </c>
      <c r="C49" s="262">
        <f>VLOOKUP(B49,'Cálculo Geral de Propriedades'!A:X,24,FALSE)</f>
        <v>826257.66808676405</v>
      </c>
      <c r="D49" s="261">
        <f>'Cálculo Geral de Propriedades'!A122</f>
        <v>190</v>
      </c>
      <c r="E49" s="262">
        <f>VLOOKUP(D49,'Cálculo Geral de Propriedades'!A:X,24,FALSE)</f>
        <v>80108.377497630325</v>
      </c>
      <c r="F49" s="261">
        <f>'Cálculo Geral de Propriedades'!A151</f>
        <v>219</v>
      </c>
      <c r="G49" s="262">
        <f>VLOOKUP(F49,'Cálculo Geral de Propriedades'!A:X,24,FALSE)</f>
        <v>6029264.4501748569</v>
      </c>
    </row>
    <row r="50" spans="2:7" x14ac:dyDescent="0.2">
      <c r="B50" s="261">
        <f>'Cálculo Geral de Propriedades'!A94</f>
        <v>162</v>
      </c>
      <c r="C50" s="262">
        <f>VLOOKUP(B50,'Cálculo Geral de Propriedades'!A:X,24,FALSE)</f>
        <v>277041.24187530298</v>
      </c>
      <c r="D50" s="261">
        <f>'Cálculo Geral de Propriedades'!A123</f>
        <v>191</v>
      </c>
      <c r="E50" s="262">
        <f>VLOOKUP(D50,'Cálculo Geral de Propriedades'!A:X,24,FALSE)</f>
        <v>367939.44546999998</v>
      </c>
      <c r="F50" s="261">
        <f>'Cálculo Geral de Propriedades'!A152</f>
        <v>220</v>
      </c>
      <c r="G50" s="262">
        <f>VLOOKUP(F50,'Cálculo Geral de Propriedades'!A:X,24,FALSE)</f>
        <v>246249.1482282129</v>
      </c>
    </row>
    <row r="51" spans="2:7" x14ac:dyDescent="0.2">
      <c r="B51" s="261">
        <f>'Cálculo Geral de Propriedades'!A95</f>
        <v>163</v>
      </c>
      <c r="C51" s="262">
        <f>VLOOKUP(B51,'Cálculo Geral de Propriedades'!A:X,24,FALSE)</f>
        <v>641801.84849373146</v>
      </c>
      <c r="D51" s="261">
        <f>'Cálculo Geral de Propriedades'!A124</f>
        <v>192</v>
      </c>
      <c r="E51" s="262">
        <f>VLOOKUP(D51,'Cálculo Geral de Propriedades'!A:X,24,FALSE)</f>
        <v>263673.70929627714</v>
      </c>
      <c r="F51" s="261">
        <f>'Cálculo Geral de Propriedades'!A153</f>
        <v>221</v>
      </c>
      <c r="G51" s="262">
        <f>VLOOKUP(F51,'Cálculo Geral de Propriedades'!A:X,24,FALSE)</f>
        <v>860873.25230783504</v>
      </c>
    </row>
    <row r="52" spans="2:7" x14ac:dyDescent="0.2">
      <c r="B52" s="261">
        <f>'Cálculo Geral de Propriedades'!A96</f>
        <v>164</v>
      </c>
      <c r="C52" s="262">
        <f>VLOOKUP(B52,'Cálculo Geral de Propriedades'!A:X,24,FALSE)</f>
        <v>186239.40701724612</v>
      </c>
      <c r="D52" s="261">
        <f>'Cálculo Geral de Propriedades'!A125</f>
        <v>193</v>
      </c>
      <c r="E52" s="262">
        <f>VLOOKUP(D52,'Cálculo Geral de Propriedades'!A:X,24,FALSE)</f>
        <v>108524.80842072886</v>
      </c>
      <c r="F52" s="261">
        <f>'Cálculo Geral de Propriedades'!A154</f>
        <v>222</v>
      </c>
      <c r="G52" s="262">
        <f>VLOOKUP(F52,'Cálculo Geral de Propriedades'!A:X,24,FALSE)</f>
        <v>472304.19990040804</v>
      </c>
    </row>
    <row r="53" spans="2:7" x14ac:dyDescent="0.2">
      <c r="B53" s="261">
        <f>'Cálculo Geral de Propriedades'!A97</f>
        <v>165</v>
      </c>
      <c r="C53" s="262">
        <f>VLOOKUP(B53,'Cálculo Geral de Propriedades'!A:X,24,FALSE)</f>
        <v>409772.69012436358</v>
      </c>
      <c r="D53" s="261">
        <f>'Cálculo Geral de Propriedades'!A126</f>
        <v>194</v>
      </c>
      <c r="E53" s="262">
        <f>VLOOKUP(D53,'Cálculo Geral de Propriedades'!A:X,24,FALSE)</f>
        <v>153713.29509593861</v>
      </c>
      <c r="F53" s="261">
        <f>'Cálculo Geral de Propriedades'!A155</f>
        <v>223</v>
      </c>
      <c r="G53" s="262">
        <f>VLOOKUP(F53,'Cálculo Geral de Propriedades'!A:X,24,FALSE)</f>
        <v>35422.446725386275</v>
      </c>
    </row>
    <row r="54" spans="2:7" x14ac:dyDescent="0.2">
      <c r="B54" s="261">
        <f>'Cálculo Geral de Propriedades'!A98</f>
        <v>166</v>
      </c>
      <c r="C54" s="262">
        <f>VLOOKUP(B54,'Cálculo Geral de Propriedades'!A:X,24,FALSE)</f>
        <v>364024.915523284</v>
      </c>
      <c r="D54" s="261">
        <f>'Cálculo Geral de Propriedades'!A127</f>
        <v>195</v>
      </c>
      <c r="E54" s="262">
        <f>VLOOKUP(D54,'Cálculo Geral de Propriedades'!A:X,24,FALSE)</f>
        <v>55167.238572170594</v>
      </c>
      <c r="F54" s="261">
        <f>'Cálculo Geral de Propriedades'!A156</f>
        <v>224</v>
      </c>
      <c r="G54" s="262">
        <f>VLOOKUP(F54,'Cálculo Geral de Propriedades'!A:X,24,FALSE)</f>
        <v>496843.29537806968</v>
      </c>
    </row>
    <row r="55" spans="2:7" x14ac:dyDescent="0.2">
      <c r="B55" s="261">
        <f>'Cálculo Geral de Propriedades'!A99</f>
        <v>167</v>
      </c>
      <c r="C55" s="262">
        <f>VLOOKUP(B55,'Cálculo Geral de Propriedades'!A:X,24,FALSE)</f>
        <v>886805.40694302693</v>
      </c>
      <c r="D55" s="261">
        <f>'Cálculo Geral de Propriedades'!A128</f>
        <v>196</v>
      </c>
      <c r="E55" s="262">
        <f>VLOOKUP(D55,'Cálculo Geral de Propriedades'!A:X,24,FALSE)</f>
        <v>86755.563041267626</v>
      </c>
      <c r="F55" s="261">
        <f>'Cálculo Geral de Propriedades'!A157</f>
        <v>225</v>
      </c>
      <c r="G55" s="262">
        <f>VLOOKUP(F55,'Cálculo Geral de Propriedades'!A:X,24,FALSE)</f>
        <v>1121784.8287074184</v>
      </c>
    </row>
    <row r="56" spans="2:7" x14ac:dyDescent="0.2">
      <c r="B56" s="261">
        <f>'Cálculo Geral de Propriedades'!A100</f>
        <v>168</v>
      </c>
      <c r="C56" s="262">
        <f>VLOOKUP(B56,'Cálculo Geral de Propriedades'!A:X,24,FALSE)</f>
        <v>469603.31987107539</v>
      </c>
      <c r="D56" s="261">
        <f>'Cálculo Geral de Propriedades'!A129</f>
        <v>197</v>
      </c>
      <c r="E56" s="262">
        <f>VLOOKUP(D56,'Cálculo Geral de Propriedades'!A:X,24,FALSE)</f>
        <v>214461.168855934</v>
      </c>
      <c r="F56" s="261">
        <f>'Cálculo Geral de Propriedades'!A158</f>
        <v>226</v>
      </c>
      <c r="G56" s="262">
        <f>VLOOKUP(F56,'Cálculo Geral de Propriedades'!A:X,24,FALSE)</f>
        <v>643705.39939631196</v>
      </c>
    </row>
    <row r="57" spans="2:7" x14ac:dyDescent="0.2">
      <c r="B57" s="261">
        <f>'Cálculo Geral de Propriedades'!A101</f>
        <v>169</v>
      </c>
      <c r="C57" s="262">
        <f>VLOOKUP(B57,'Cálculo Geral de Propriedades'!A:X,24,FALSE)</f>
        <v>110510.05304457902</v>
      </c>
      <c r="D57" s="261">
        <f>'Cálculo Geral de Propriedades'!A130</f>
        <v>198</v>
      </c>
      <c r="E57" s="262">
        <f>VLOOKUP(D57,'Cálculo Geral de Propriedades'!A:X,24,FALSE)</f>
        <v>240394.45465600913</v>
      </c>
      <c r="F57" s="261">
        <f>'Cálculo Geral de Propriedades'!A159</f>
        <v>227</v>
      </c>
      <c r="G57" s="262">
        <f>VLOOKUP(F57,'Cálculo Geral de Propriedades'!A:X,24,FALSE)</f>
        <v>278870.89931199909</v>
      </c>
    </row>
    <row r="58" spans="2:7" x14ac:dyDescent="0.2">
      <c r="B58" s="261">
        <f>'Cálculo Geral de Propriedades'!A102</f>
        <v>170</v>
      </c>
      <c r="C58" s="262">
        <f>VLOOKUP(B58,'Cálculo Geral de Propriedades'!A:X,24,FALSE)</f>
        <v>442711.89721728017</v>
      </c>
      <c r="D58" s="261">
        <f>'Cálculo Geral de Propriedades'!A131</f>
        <v>199</v>
      </c>
      <c r="E58" s="262">
        <f>VLOOKUP(D58,'Cálculo Geral de Propriedades'!A:X,24,FALSE)</f>
        <v>212667.71441843986</v>
      </c>
      <c r="F58" s="261">
        <f>'Cálculo Geral de Propriedades'!A160</f>
        <v>228</v>
      </c>
      <c r="G58" s="262">
        <f>VLOOKUP(F58,'Cálculo Geral de Propriedades'!A:X,24,FALSE)</f>
        <v>438309.52564757218</v>
      </c>
    </row>
    <row r="59" spans="2:7" x14ac:dyDescent="0.2">
      <c r="B59" s="261">
        <f>'Cálculo Geral de Propriedades'!A103</f>
        <v>171</v>
      </c>
      <c r="C59" s="262">
        <f>VLOOKUP(B59,'Cálculo Geral de Propriedades'!A:X,24,FALSE)</f>
        <v>501111.73607022001</v>
      </c>
      <c r="D59" s="261">
        <f>'Cálculo Geral de Propriedades'!A132</f>
        <v>200</v>
      </c>
      <c r="E59" s="262">
        <f>VLOOKUP(D59,'Cálculo Geral de Propriedades'!A:X,24,FALSE)</f>
        <v>284805.14828122756</v>
      </c>
      <c r="F59" s="261">
        <f>'Cálculo Geral de Propriedades'!A161</f>
        <v>229</v>
      </c>
      <c r="G59" s="262">
        <f>VLOOKUP(F59,'Cálculo Geral de Propriedades'!A:X,24,FALSE)</f>
        <v>186540.64171910039</v>
      </c>
    </row>
    <row r="60" spans="2:7" x14ac:dyDescent="0.2">
      <c r="B60" s="261">
        <f>'Cálculo Geral de Propriedades'!A104</f>
        <v>172</v>
      </c>
      <c r="C60" s="262">
        <f>VLOOKUP(B60,'Cálculo Geral de Propriedades'!A:X,24,FALSE)</f>
        <v>1018303.380603901</v>
      </c>
      <c r="D60" s="261">
        <f>'Cálculo Geral de Propriedades'!A133</f>
        <v>201</v>
      </c>
      <c r="E60" s="262">
        <f>VLOOKUP(D60,'Cálculo Geral de Propriedades'!A:X,24,FALSE)</f>
        <v>579139.35789802345</v>
      </c>
      <c r="F60" s="261">
        <f>'Cálculo Geral de Propriedades'!A162</f>
        <v>230</v>
      </c>
      <c r="G60" s="262">
        <f>VLOOKUP(F60,'Cálculo Geral de Propriedades'!A:X,24,FALSE)</f>
        <v>189780.97633076136</v>
      </c>
    </row>
    <row r="61" spans="2:7" x14ac:dyDescent="0.2">
      <c r="B61" s="261">
        <f>'Cálculo Geral de Propriedades'!A105</f>
        <v>173</v>
      </c>
      <c r="C61" s="262">
        <f>VLOOKUP(B61,'Cálculo Geral de Propriedades'!A:X,24,FALSE)</f>
        <v>411383.58204304619</v>
      </c>
      <c r="D61" s="261">
        <f>'Cálculo Geral de Propriedades'!A134</f>
        <v>202</v>
      </c>
      <c r="E61" s="262">
        <f>VLOOKUP(D61,'Cálculo Geral de Propriedades'!A:X,24,FALSE)</f>
        <v>176537.1409322338</v>
      </c>
      <c r="F61" s="261">
        <f>'Cálculo Geral de Propriedades'!A163</f>
        <v>231</v>
      </c>
      <c r="G61" s="262">
        <f>VLOOKUP(F61,'Cálculo Geral de Propriedades'!A:X,24,FALSE)</f>
        <v>194598.97731132954</v>
      </c>
    </row>
    <row r="62" spans="2:7" x14ac:dyDescent="0.2">
      <c r="B62" s="261">
        <f>'Cálculo Geral de Propriedades'!A106</f>
        <v>174</v>
      </c>
      <c r="C62" s="262">
        <f>VLOOKUP(B62,'Cálculo Geral de Propriedades'!A:X,24,FALSE)</f>
        <v>149048.5619412798</v>
      </c>
      <c r="D62" s="261">
        <f>'Cálculo Geral de Propriedades'!A135</f>
        <v>203</v>
      </c>
      <c r="E62" s="262">
        <f>VLOOKUP(D62,'Cálculo Geral de Propriedades'!A:X,24,FALSE)</f>
        <v>326022.62034020841</v>
      </c>
      <c r="F62" s="261">
        <f>'Cálculo Geral de Propriedades'!A164</f>
        <v>232</v>
      </c>
      <c r="G62" s="262">
        <f>VLOOKUP(F62,'Cálculo Geral de Propriedades'!A:X,24,FALSE)</f>
        <v>5825456.3582798345</v>
      </c>
    </row>
    <row r="63" spans="2:7" x14ac:dyDescent="0.2">
      <c r="B63" s="261">
        <f>'Cálculo Geral de Propriedades'!A107</f>
        <v>175</v>
      </c>
      <c r="C63" s="262">
        <f>VLOOKUP(B63,'Cálculo Geral de Propriedades'!A:X,24,FALSE)</f>
        <v>818679.01835084939</v>
      </c>
      <c r="D63" s="261">
        <f>'Cálculo Geral de Propriedades'!A136</f>
        <v>204</v>
      </c>
      <c r="E63" s="262">
        <f>VLOOKUP(D63,'Cálculo Geral de Propriedades'!A:X,24,FALSE)</f>
        <v>16475.440766220003</v>
      </c>
      <c r="F63" s="261">
        <f>'Cálculo Geral de Propriedades'!A165</f>
        <v>233</v>
      </c>
      <c r="G63" s="262">
        <f>VLOOKUP(F63,'Cálculo Geral de Propriedades'!A:X,24,FALSE)</f>
        <v>405598.92618356226</v>
      </c>
    </row>
    <row r="64" spans="2:7" ht="13.5" thickBot="1" x14ac:dyDescent="0.25">
      <c r="B64" s="261">
        <f>'Cálculo Geral de Propriedades'!A108</f>
        <v>176</v>
      </c>
      <c r="C64" s="262">
        <f>VLOOKUP(B64,'Cálculo Geral de Propriedades'!A:X,24,FALSE)</f>
        <v>132146.35858600205</v>
      </c>
      <c r="D64" s="261">
        <f>'Cálculo Geral de Propriedades'!A137</f>
        <v>205</v>
      </c>
      <c r="E64" s="262">
        <f>VLOOKUP(D64,'Cálculo Geral de Propriedades'!A:X,24,FALSE)</f>
        <v>16418.961490353839</v>
      </c>
    </row>
    <row r="65" spans="2:7" ht="13.5" thickBot="1" x14ac:dyDescent="0.25">
      <c r="B65" s="267" t="s">
        <v>261</v>
      </c>
      <c r="C65" s="268">
        <f>SUM(C36:C64)</f>
        <v>12592765.833015541</v>
      </c>
      <c r="D65" s="267" t="s">
        <v>261</v>
      </c>
      <c r="E65" s="268">
        <f>SUM(E36:E64)</f>
        <v>8262435.6185094062</v>
      </c>
      <c r="F65" s="267" t="s">
        <v>261</v>
      </c>
      <c r="G65" s="268">
        <f>SUM(G36:G64)</f>
        <v>19824601.38400786</v>
      </c>
    </row>
    <row r="66" spans="2:7" ht="13.5" thickBot="1" x14ac:dyDescent="0.25"/>
    <row r="67" spans="2:7" ht="13.5" thickBot="1" x14ac:dyDescent="0.25">
      <c r="B67" s="280"/>
      <c r="C67" s="281"/>
      <c r="D67" s="282"/>
      <c r="E67" s="282"/>
      <c r="F67" s="275" t="s">
        <v>292</v>
      </c>
      <c r="G67" s="283">
        <f>SUM(C32,E32,G32,C65,E65,G65)</f>
        <v>172177108.29054227</v>
      </c>
    </row>
    <row r="70" spans="2:7" s="287" customFormat="1" ht="13.5" thickBot="1" x14ac:dyDescent="0.25">
      <c r="B70" s="286"/>
      <c r="C70" s="286"/>
    </row>
    <row r="71" spans="2:7" ht="21" x14ac:dyDescent="0.35">
      <c r="B71" s="288" t="s">
        <v>293</v>
      </c>
    </row>
    <row r="73" spans="2:7" ht="13.5" thickBot="1" x14ac:dyDescent="0.25">
      <c r="B73" s="270"/>
      <c r="C73" s="269"/>
      <c r="G73" s="279" t="s">
        <v>290</v>
      </c>
    </row>
    <row r="74" spans="2:7" ht="25.5" customHeight="1" x14ac:dyDescent="0.2">
      <c r="B74" s="259" t="s">
        <v>259</v>
      </c>
      <c r="C74" s="260" t="s">
        <v>284</v>
      </c>
      <c r="D74" s="259" t="s">
        <v>259</v>
      </c>
      <c r="E74" s="260" t="s">
        <v>284</v>
      </c>
      <c r="F74" s="259" t="s">
        <v>259</v>
      </c>
      <c r="G74" s="260" t="s">
        <v>284</v>
      </c>
    </row>
    <row r="75" spans="2:7" x14ac:dyDescent="0.2">
      <c r="B75" s="261">
        <f>'Cálculo Geral de Propriedades'!A166</f>
        <v>234</v>
      </c>
      <c r="C75" s="262">
        <f>VLOOKUP(B75,'Cálculo Geral de Propriedades'!A:X,24,FALSE)</f>
        <v>4436819.221094613</v>
      </c>
      <c r="D75" s="261">
        <f>'Cálculo Geral de Propriedades'!A216</f>
        <v>284</v>
      </c>
      <c r="E75" s="262">
        <f>VLOOKUP(D75,'Cálculo Geral de Propriedades'!A:X,24,FALSE)</f>
        <v>2508780.6518756892</v>
      </c>
      <c r="F75" s="261">
        <f>'Cálculo Geral de Propriedades'!A265</f>
        <v>333</v>
      </c>
      <c r="G75" s="262">
        <f>VLOOKUP(F75,'Cálculo Geral de Propriedades'!A:X,24,FALSE)</f>
        <v>459335.7508245043</v>
      </c>
    </row>
    <row r="76" spans="2:7" x14ac:dyDescent="0.2">
      <c r="B76" s="261">
        <f>'Cálculo Geral de Propriedades'!A167</f>
        <v>235</v>
      </c>
      <c r="C76" s="262">
        <f>VLOOKUP(B76,'Cálculo Geral de Propriedades'!A:X,24,FALSE)</f>
        <v>38765.60203578254</v>
      </c>
      <c r="D76" s="261">
        <f>'Cálculo Geral de Propriedades'!A217</f>
        <v>285</v>
      </c>
      <c r="E76" s="262">
        <f>VLOOKUP(D76,'Cálculo Geral de Propriedades'!A:X,24,FALSE)</f>
        <v>784587.14534437482</v>
      </c>
      <c r="F76" s="261">
        <f>'Cálculo Geral de Propriedades'!A266</f>
        <v>334</v>
      </c>
      <c r="G76" s="262">
        <f>VLOOKUP(F76,'Cálculo Geral de Propriedades'!A:X,24,FALSE)</f>
        <v>1026401.8343374308</v>
      </c>
    </row>
    <row r="77" spans="2:7" x14ac:dyDescent="0.2">
      <c r="B77" s="261">
        <f>'Cálculo Geral de Propriedades'!A168</f>
        <v>236</v>
      </c>
      <c r="C77" s="262">
        <f>VLOOKUP(B77,'Cálculo Geral de Propriedades'!A:X,24,FALSE)</f>
        <v>1654392.744476777</v>
      </c>
      <c r="D77" s="261">
        <f>'Cálculo Geral de Propriedades'!A218</f>
        <v>286</v>
      </c>
      <c r="E77" s="262">
        <f>VLOOKUP(D77,'Cálculo Geral de Propriedades'!A:X,24,FALSE)</f>
        <v>1034238.6820843506</v>
      </c>
      <c r="F77" s="261">
        <f>'Cálculo Geral de Propriedades'!A267</f>
        <v>335</v>
      </c>
      <c r="G77" s="262">
        <f>VLOOKUP(F77,'Cálculo Geral de Propriedades'!A:X,24,FALSE)</f>
        <v>937299.02892920363</v>
      </c>
    </row>
    <row r="78" spans="2:7" x14ac:dyDescent="0.2">
      <c r="B78" s="261">
        <f>'Cálculo Geral de Propriedades'!A169</f>
        <v>237</v>
      </c>
      <c r="C78" s="262">
        <f>VLOOKUP(B78,'Cálculo Geral de Propriedades'!A:X,24,FALSE)</f>
        <v>180544.22165078949</v>
      </c>
      <c r="D78" s="261">
        <f>'Cálculo Geral de Propriedades'!A219</f>
        <v>287</v>
      </c>
      <c r="E78" s="262">
        <f>VLOOKUP(D78,'Cálculo Geral de Propriedades'!A:X,24,FALSE)</f>
        <v>486932.48046043556</v>
      </c>
      <c r="F78" s="261">
        <f>'Cálculo Geral de Propriedades'!A268</f>
        <v>336</v>
      </c>
      <c r="G78" s="262">
        <f>VLOOKUP(F78,'Cálculo Geral de Propriedades'!A:X,24,FALSE)</f>
        <v>555418.20219832985</v>
      </c>
    </row>
    <row r="79" spans="2:7" x14ac:dyDescent="0.2">
      <c r="B79" s="261">
        <f>'Cálculo Geral de Propriedades'!A170</f>
        <v>238</v>
      </c>
      <c r="C79" s="262">
        <f>VLOOKUP(B79,'Cálculo Geral de Propriedades'!A:X,24,FALSE)</f>
        <v>573395.86612483056</v>
      </c>
      <c r="D79" s="261">
        <f>'Cálculo Geral de Propriedades'!A220</f>
        <v>288</v>
      </c>
      <c r="E79" s="262">
        <f>VLOOKUP(D79,'Cálculo Geral de Propriedades'!A:X,24,FALSE)</f>
        <v>434198.83341221855</v>
      </c>
      <c r="F79" s="261">
        <f>'Cálculo Geral de Propriedades'!A269</f>
        <v>337</v>
      </c>
      <c r="G79" s="262">
        <f>VLOOKUP(F79,'Cálculo Geral de Propriedades'!A:X,24,FALSE)</f>
        <v>372944.07109471015</v>
      </c>
    </row>
    <row r="80" spans="2:7" x14ac:dyDescent="0.2">
      <c r="B80" s="261">
        <f>'Cálculo Geral de Propriedades'!A171</f>
        <v>239</v>
      </c>
      <c r="C80" s="262">
        <f>VLOOKUP(B80,'Cálculo Geral de Propriedades'!A:X,24,FALSE)</f>
        <v>547505.94980734785</v>
      </c>
      <c r="D80" s="261">
        <f>'Cálculo Geral de Propriedades'!A221</f>
        <v>289</v>
      </c>
      <c r="E80" s="262">
        <f>VLOOKUP(D80,'Cálculo Geral de Propriedades'!A:X,24,FALSE)</f>
        <v>449084.90717247693</v>
      </c>
      <c r="F80" s="261">
        <f>'Cálculo Geral de Propriedades'!A270</f>
        <v>338</v>
      </c>
      <c r="G80" s="262">
        <f>VLOOKUP(F80,'Cálculo Geral de Propriedades'!A:X,24,FALSE)</f>
        <v>239463.60971154232</v>
      </c>
    </row>
    <row r="81" spans="2:7" x14ac:dyDescent="0.2">
      <c r="B81" s="261">
        <f>'Cálculo Geral de Propriedades'!A172</f>
        <v>240</v>
      </c>
      <c r="C81" s="262">
        <f>VLOOKUP(B81,'Cálculo Geral de Propriedades'!A:X,24,FALSE)</f>
        <v>536709.97474982485</v>
      </c>
      <c r="D81" s="261">
        <f>'Cálculo Geral de Propriedades'!A222</f>
        <v>290</v>
      </c>
      <c r="E81" s="262">
        <f>VLOOKUP(D81,'Cálculo Geral de Propriedades'!A:X,24,FALSE)</f>
        <v>824980.26622641389</v>
      </c>
      <c r="F81" s="261">
        <f>'Cálculo Geral de Propriedades'!A271</f>
        <v>339</v>
      </c>
      <c r="G81" s="262">
        <f>VLOOKUP(F81,'Cálculo Geral de Propriedades'!A:X,24,FALSE)</f>
        <v>1352043.7351634691</v>
      </c>
    </row>
    <row r="82" spans="2:7" x14ac:dyDescent="0.2">
      <c r="B82" s="261">
        <f>'Cálculo Geral de Propriedades'!A173</f>
        <v>241</v>
      </c>
      <c r="C82" s="262">
        <f>VLOOKUP(B82,'Cálculo Geral de Propriedades'!A:X,24,FALSE)</f>
        <v>6739164.7624711143</v>
      </c>
      <c r="D82" s="261">
        <f>'Cálculo Geral de Propriedades'!A223</f>
        <v>291</v>
      </c>
      <c r="E82" s="262">
        <f>VLOOKUP(D82,'Cálculo Geral de Propriedades'!A:X,24,FALSE)</f>
        <v>1861598.9358344285</v>
      </c>
      <c r="F82" s="261">
        <f>'Cálculo Geral de Propriedades'!A272</f>
        <v>340</v>
      </c>
      <c r="G82" s="262">
        <f>VLOOKUP(F82,'Cálculo Geral de Propriedades'!A:X,24,FALSE)</f>
        <v>4576745.9877481451</v>
      </c>
    </row>
    <row r="83" spans="2:7" x14ac:dyDescent="0.2">
      <c r="B83" s="261">
        <f>'Cálculo Geral de Propriedades'!A174</f>
        <v>242</v>
      </c>
      <c r="C83" s="262">
        <f>VLOOKUP(B83,'Cálculo Geral de Propriedades'!A:X,24,FALSE)</f>
        <v>8208536.3375971224</v>
      </c>
      <c r="D83" s="261">
        <f>'Cálculo Geral de Propriedades'!A224</f>
        <v>292</v>
      </c>
      <c r="E83" s="262">
        <f>VLOOKUP(D83,'Cálculo Geral de Propriedades'!A:X,24,FALSE)</f>
        <v>621042.37331309868</v>
      </c>
      <c r="F83" s="261">
        <f>'Cálculo Geral de Propriedades'!A273</f>
        <v>341</v>
      </c>
      <c r="G83" s="262">
        <f>VLOOKUP(F83,'Cálculo Geral de Propriedades'!A:X,24,FALSE)</f>
        <v>420633.76232059178</v>
      </c>
    </row>
    <row r="84" spans="2:7" x14ac:dyDescent="0.2">
      <c r="B84" s="261">
        <f>'Cálculo Geral de Propriedades'!A175</f>
        <v>243</v>
      </c>
      <c r="C84" s="262">
        <f>VLOOKUP(B84,'Cálculo Geral de Propriedades'!A:X,24,FALSE)</f>
        <v>1274386.9767355975</v>
      </c>
      <c r="D84" s="261">
        <f>'Cálculo Geral de Propriedades'!A225</f>
        <v>293</v>
      </c>
      <c r="E84" s="262">
        <f>VLOOKUP(D84,'Cálculo Geral de Propriedades'!A:X,24,FALSE)</f>
        <v>856733.23884790437</v>
      </c>
      <c r="F84" s="261">
        <f>'Cálculo Geral de Propriedades'!A274</f>
        <v>342</v>
      </c>
      <c r="G84" s="262">
        <f>VLOOKUP(F84,'Cálculo Geral de Propriedades'!A:X,24,FALSE)</f>
        <v>367130.66467237426</v>
      </c>
    </row>
    <row r="85" spans="2:7" x14ac:dyDescent="0.2">
      <c r="B85" s="261">
        <f>'Cálculo Geral de Propriedades'!A176</f>
        <v>244</v>
      </c>
      <c r="C85" s="262">
        <f>VLOOKUP(B85,'Cálculo Geral de Propriedades'!A:X,24,FALSE)</f>
        <v>791438.28955792193</v>
      </c>
      <c r="D85" s="261">
        <f>'Cálculo Geral de Propriedades'!A226</f>
        <v>294</v>
      </c>
      <c r="E85" s="262">
        <f>VLOOKUP(D85,'Cálculo Geral de Propriedades'!A:X,24,FALSE)</f>
        <v>502013.84788207582</v>
      </c>
      <c r="F85" s="261">
        <f>'Cálculo Geral de Propriedades'!A275</f>
        <v>343</v>
      </c>
      <c r="G85" s="262">
        <f>VLOOKUP(F85,'Cálculo Geral de Propriedades'!A:X,24,FALSE)</f>
        <v>1771196.4868693487</v>
      </c>
    </row>
    <row r="86" spans="2:7" x14ac:dyDescent="0.2">
      <c r="B86" s="261">
        <f>'Cálculo Geral de Propriedades'!A177</f>
        <v>245</v>
      </c>
      <c r="C86" s="262">
        <f>VLOOKUP(B86,'Cálculo Geral de Propriedades'!A:X,24,FALSE)</f>
        <v>2005454.9563755544</v>
      </c>
      <c r="D86" s="261">
        <f>'Cálculo Geral de Propriedades'!A227</f>
        <v>295</v>
      </c>
      <c r="E86" s="262">
        <f>VLOOKUP(D86,'Cálculo Geral de Propriedades'!A:X,24,FALSE)</f>
        <v>550399.69679083733</v>
      </c>
      <c r="F86" s="261">
        <f>'Cálculo Geral de Propriedades'!A276</f>
        <v>344</v>
      </c>
      <c r="G86" s="262">
        <f>VLOOKUP(F86,'Cálculo Geral de Propriedades'!A:X,24,FALSE)</f>
        <v>591371.88076325424</v>
      </c>
    </row>
    <row r="87" spans="2:7" x14ac:dyDescent="0.2">
      <c r="B87" s="261">
        <f>'Cálculo Geral de Propriedades'!A178</f>
        <v>246</v>
      </c>
      <c r="C87" s="262">
        <f>VLOOKUP(B87,'Cálculo Geral de Propriedades'!A:X,24,FALSE)</f>
        <v>325008.63663064135</v>
      </c>
      <c r="D87" s="261">
        <f>'Cálculo Geral de Propriedades'!A228</f>
        <v>296</v>
      </c>
      <c r="E87" s="262">
        <f>VLOOKUP(D87,'Cálculo Geral de Propriedades'!A:X,24,FALSE)</f>
        <v>278487.43415603839</v>
      </c>
      <c r="F87" s="261">
        <f>'Cálculo Geral de Propriedades'!A277</f>
        <v>345</v>
      </c>
      <c r="G87" s="262">
        <f>VLOOKUP(F87,'Cálculo Geral de Propriedades'!A:X,24,FALSE)</f>
        <v>179501.65476384957</v>
      </c>
    </row>
    <row r="88" spans="2:7" x14ac:dyDescent="0.2">
      <c r="B88" s="261">
        <f>'Cálculo Geral de Propriedades'!A179</f>
        <v>247</v>
      </c>
      <c r="C88" s="262">
        <f>VLOOKUP(B88,'Cálculo Geral de Propriedades'!A:X,24,FALSE)</f>
        <v>461519.38318713073</v>
      </c>
      <c r="D88" s="261">
        <f>'Cálculo Geral de Propriedades'!A229</f>
        <v>297</v>
      </c>
      <c r="E88" s="262">
        <f>VLOOKUP(D88,'Cálculo Geral de Propriedades'!A:X,24,FALSE)</f>
        <v>919405.68685736565</v>
      </c>
      <c r="F88" s="261">
        <f>'Cálculo Geral de Propriedades'!A278</f>
        <v>346</v>
      </c>
      <c r="G88" s="262">
        <f>VLOOKUP(F88,'Cálculo Geral de Propriedades'!A:X,24,FALSE)</f>
        <v>190223.11046666349</v>
      </c>
    </row>
    <row r="89" spans="2:7" x14ac:dyDescent="0.2">
      <c r="B89" s="261">
        <f>'Cálculo Geral de Propriedades'!A180</f>
        <v>248</v>
      </c>
      <c r="C89" s="262">
        <f>VLOOKUP(B89,'Cálculo Geral de Propriedades'!A:X,24,FALSE)</f>
        <v>156922.38294555742</v>
      </c>
      <c r="D89" s="261">
        <f>'Cálculo Geral de Propriedades'!A230</f>
        <v>298</v>
      </c>
      <c r="E89" s="262">
        <f>VLOOKUP(D89,'Cálculo Geral de Propriedades'!A:X,24,FALSE)</f>
        <v>584378.23668661912</v>
      </c>
      <c r="F89" s="261">
        <f>'Cálculo Geral de Propriedades'!A279</f>
        <v>347</v>
      </c>
      <c r="G89" s="262">
        <f>VLOOKUP(F89,'Cálculo Geral de Propriedades'!A:X,24,FALSE)</f>
        <v>272453.05550264841</v>
      </c>
    </row>
    <row r="90" spans="2:7" x14ac:dyDescent="0.2">
      <c r="B90" s="261">
        <f>'Cálculo Geral de Propriedades'!A181</f>
        <v>249</v>
      </c>
      <c r="C90" s="262">
        <f>VLOOKUP(B90,'Cálculo Geral de Propriedades'!A:X,24,FALSE)</f>
        <v>152471.07887107501</v>
      </c>
      <c r="D90" s="261">
        <f>'Cálculo Geral de Propriedades'!A231</f>
        <v>299</v>
      </c>
      <c r="E90" s="262">
        <f>VLOOKUP(D90,'Cálculo Geral de Propriedades'!A:X,24,FALSE)</f>
        <v>1026058.2056746328</v>
      </c>
      <c r="F90" s="261">
        <f>'Cálculo Geral de Propriedades'!A280</f>
        <v>348</v>
      </c>
      <c r="G90" s="262">
        <f>VLOOKUP(F90,'Cálculo Geral de Propriedades'!A:X,24,FALSE)</f>
        <v>2989638.5540459719</v>
      </c>
    </row>
    <row r="91" spans="2:7" x14ac:dyDescent="0.2">
      <c r="B91" s="261">
        <f>'Cálculo Geral de Propriedades'!A182</f>
        <v>250</v>
      </c>
      <c r="C91" s="262">
        <f>VLOOKUP(B91,'Cálculo Geral de Propriedades'!A:X,24,FALSE)</f>
        <v>158966.21638065172</v>
      </c>
      <c r="D91" s="261">
        <f>'Cálculo Geral de Propriedades'!A232</f>
        <v>300</v>
      </c>
      <c r="E91" s="262">
        <f>VLOOKUP(D91,'Cálculo Geral de Propriedades'!A:X,24,FALSE)</f>
        <v>2249886.8654807885</v>
      </c>
      <c r="F91" s="261">
        <f>'Cálculo Geral de Propriedades'!A281</f>
        <v>349</v>
      </c>
      <c r="G91" s="262">
        <f>VLOOKUP(F91,'Cálculo Geral de Propriedades'!A:X,24,FALSE)</f>
        <v>1595636.683848643</v>
      </c>
    </row>
    <row r="92" spans="2:7" x14ac:dyDescent="0.2">
      <c r="B92" s="261">
        <f>'Cálculo Geral de Propriedades'!A183</f>
        <v>251</v>
      </c>
      <c r="C92" s="262">
        <f>VLOOKUP(B92,'Cálculo Geral de Propriedades'!A:X,24,FALSE)</f>
        <v>5769700.8835488856</v>
      </c>
      <c r="D92" s="261">
        <f>'Cálculo Geral de Propriedades'!A233</f>
        <v>301</v>
      </c>
      <c r="E92" s="262">
        <f>VLOOKUP(D92,'Cálculo Geral de Propriedades'!A:X,24,FALSE)</f>
        <v>795854.87077680335</v>
      </c>
      <c r="F92" s="261">
        <f>'Cálculo Geral de Propriedades'!A282</f>
        <v>350</v>
      </c>
      <c r="G92" s="262">
        <f>VLOOKUP(F92,'Cálculo Geral de Propriedades'!A:X,24,FALSE)</f>
        <v>452414.44324165321</v>
      </c>
    </row>
    <row r="93" spans="2:7" x14ac:dyDescent="0.2">
      <c r="B93" s="261">
        <f>'Cálculo Geral de Propriedades'!A184</f>
        <v>252</v>
      </c>
      <c r="C93" s="262">
        <f>VLOOKUP(B93,'Cálculo Geral de Propriedades'!A:X,24,FALSE)</f>
        <v>4401082.3468126813</v>
      </c>
      <c r="D93" s="261">
        <f>'Cálculo Geral de Propriedades'!A234</f>
        <v>302</v>
      </c>
      <c r="E93" s="262">
        <f>VLOOKUP(D93,'Cálculo Geral de Propriedades'!A:X,24,FALSE)</f>
        <v>418156.21978323819</v>
      </c>
      <c r="F93" s="261">
        <f>'Cálculo Geral de Propriedades'!A283</f>
        <v>351</v>
      </c>
      <c r="G93" s="262">
        <f>VLOOKUP(F93,'Cálculo Geral de Propriedades'!A:X,24,FALSE)</f>
        <v>367426.97477347247</v>
      </c>
    </row>
    <row r="94" spans="2:7" x14ac:dyDescent="0.2">
      <c r="B94" s="261">
        <f>'Cálculo Geral de Propriedades'!A185</f>
        <v>253</v>
      </c>
      <c r="C94" s="262">
        <f>VLOOKUP(B94,'Cálculo Geral de Propriedades'!A:X,24,FALSE)</f>
        <v>3658061.5261564148</v>
      </c>
      <c r="D94" s="261">
        <f>'Cálculo Geral de Propriedades'!A235</f>
        <v>303</v>
      </c>
      <c r="E94" s="262">
        <f>VLOOKUP(D94,'Cálculo Geral de Propriedades'!A:X,24,FALSE)</f>
        <v>469947.61121787532</v>
      </c>
      <c r="F94" s="261">
        <f>'Cálculo Geral de Propriedades'!A284</f>
        <v>352</v>
      </c>
      <c r="G94" s="262">
        <f>VLOOKUP(F94,'Cálculo Geral de Propriedades'!A:X,24,FALSE)</f>
        <v>620336.15326367936</v>
      </c>
    </row>
    <row r="95" spans="2:7" x14ac:dyDescent="0.2">
      <c r="B95" s="261">
        <f>'Cálculo Geral de Propriedades'!A186</f>
        <v>254</v>
      </c>
      <c r="C95" s="262">
        <f>VLOOKUP(B95,'Cálculo Geral de Propriedades'!A:X,24,FALSE)</f>
        <v>1293850.2302540257</v>
      </c>
      <c r="D95" s="261">
        <f>'Cálculo Geral de Propriedades'!A236</f>
        <v>304</v>
      </c>
      <c r="E95" s="262">
        <f>VLOOKUP(D95,'Cálculo Geral de Propriedades'!A:X,24,FALSE)</f>
        <v>876922.38595265616</v>
      </c>
      <c r="F95" s="261">
        <f>'Cálculo Geral de Propriedades'!A285</f>
        <v>353</v>
      </c>
      <c r="G95" s="262">
        <f>VLOOKUP(F95,'Cálculo Geral de Propriedades'!A:X,24,FALSE)</f>
        <v>14535.867510657827</v>
      </c>
    </row>
    <row r="96" spans="2:7" x14ac:dyDescent="0.2">
      <c r="B96" s="261">
        <f>'Cálculo Geral de Propriedades'!A187</f>
        <v>255</v>
      </c>
      <c r="C96" s="262">
        <f>VLOOKUP(B96,'Cálculo Geral de Propriedades'!A:X,24,FALSE)</f>
        <v>794646.72551865899</v>
      </c>
      <c r="D96" s="261">
        <f>'Cálculo Geral de Propriedades'!A237</f>
        <v>305</v>
      </c>
      <c r="E96" s="262">
        <f>VLOOKUP(D96,'Cálculo Geral de Propriedades'!A:X,24,FALSE)</f>
        <v>561654.10109607142</v>
      </c>
      <c r="F96" s="261">
        <f>'Cálculo Geral de Propriedades'!A286</f>
        <v>354</v>
      </c>
      <c r="G96" s="262">
        <f>VLOOKUP(F96,'Cálculo Geral de Propriedades'!A:X,24,FALSE)</f>
        <v>732682.68043081393</v>
      </c>
    </row>
    <row r="97" spans="2:7" x14ac:dyDescent="0.2">
      <c r="B97" s="261">
        <f>'Cálculo Geral de Propriedades'!A188</f>
        <v>256</v>
      </c>
      <c r="C97" s="262">
        <f>VLOOKUP(B97,'Cálculo Geral de Propriedades'!A:X,24,FALSE)</f>
        <v>1170495.3316683224</v>
      </c>
      <c r="D97" s="261">
        <f>'Cálculo Geral de Propriedades'!A238</f>
        <v>306</v>
      </c>
      <c r="E97" s="262">
        <f>VLOOKUP(D97,'Cálculo Geral de Propriedades'!A:X,24,FALSE)</f>
        <v>783858.74333198916</v>
      </c>
      <c r="F97" s="261">
        <f>'Cálculo Geral de Propriedades'!A287</f>
        <v>355</v>
      </c>
      <c r="G97" s="262">
        <f>VLOOKUP(F97,'Cálculo Geral de Propriedades'!A:X,24,FALSE)</f>
        <v>253933.99887333566</v>
      </c>
    </row>
    <row r="98" spans="2:7" x14ac:dyDescent="0.2">
      <c r="B98" s="261">
        <f>'Cálculo Geral de Propriedades'!A189</f>
        <v>257</v>
      </c>
      <c r="C98" s="262">
        <f>VLOOKUP(B98,'Cálculo Geral de Propriedades'!A:X,24,FALSE)</f>
        <v>1534018.8391975113</v>
      </c>
      <c r="D98" s="261">
        <f>'Cálculo Geral de Propriedades'!A239</f>
        <v>307</v>
      </c>
      <c r="E98" s="262">
        <f>VLOOKUP(D98,'Cálculo Geral de Propriedades'!A:X,24,FALSE)</f>
        <v>600177.996260616</v>
      </c>
      <c r="F98" s="261">
        <f>'Cálculo Geral de Propriedades'!A288</f>
        <v>356</v>
      </c>
      <c r="G98" s="262">
        <f>VLOOKUP(F98,'Cálculo Geral de Propriedades'!A:X,24,FALSE)</f>
        <v>89930.709933235194</v>
      </c>
    </row>
    <row r="99" spans="2:7" x14ac:dyDescent="0.2">
      <c r="B99" s="261">
        <f>'Cálculo Geral de Propriedades'!A190</f>
        <v>258</v>
      </c>
      <c r="C99" s="262">
        <f>VLOOKUP(B99,'Cálculo Geral de Propriedades'!A:X,24,FALSE)</f>
        <v>1441691.5712387424</v>
      </c>
      <c r="D99" s="261">
        <f>'Cálculo Geral de Propriedades'!A240</f>
        <v>308</v>
      </c>
      <c r="E99" s="262">
        <f>VLOOKUP(D99,'Cálculo Geral de Propriedades'!A:X,24,FALSE)</f>
        <v>136653.30574529455</v>
      </c>
      <c r="F99" s="261">
        <f>'Cálculo Geral de Propriedades'!A289</f>
        <v>357</v>
      </c>
      <c r="G99" s="262">
        <f>VLOOKUP(F99,'Cálculo Geral de Propriedades'!A:X,24,FALSE)</f>
        <v>149188.29487456562</v>
      </c>
    </row>
    <row r="100" spans="2:7" x14ac:dyDescent="0.2">
      <c r="B100" s="261">
        <f>'Cálculo Geral de Propriedades'!A191</f>
        <v>259</v>
      </c>
      <c r="C100" s="262">
        <f>VLOOKUP(B100,'Cálculo Geral de Propriedades'!A:X,24,FALSE)</f>
        <v>461087.55792289058</v>
      </c>
      <c r="D100" s="261">
        <f>'Cálculo Geral de Propriedades'!A241</f>
        <v>309</v>
      </c>
      <c r="E100" s="262">
        <f>VLOOKUP(D100,'Cálculo Geral de Propriedades'!A:X,24,FALSE)</f>
        <v>209369.30995133144</v>
      </c>
      <c r="F100" s="261">
        <f>'Cálculo Geral de Propriedades'!A290</f>
        <v>358</v>
      </c>
      <c r="G100" s="262">
        <f>VLOOKUP(F100,'Cálculo Geral de Propriedades'!A:X,24,FALSE)</f>
        <v>286111.92201343412</v>
      </c>
    </row>
    <row r="101" spans="2:7" x14ac:dyDescent="0.2">
      <c r="B101" s="261">
        <f>'Cálculo Geral de Propriedades'!A192</f>
        <v>260</v>
      </c>
      <c r="C101" s="262">
        <f>VLOOKUP(B101,'Cálculo Geral de Propriedades'!A:X,24,FALSE)</f>
        <v>135263.51333855014</v>
      </c>
      <c r="D101" s="261">
        <f>'Cálculo Geral de Propriedades'!A242</f>
        <v>310</v>
      </c>
      <c r="E101" s="262">
        <f>VLOOKUP(D101,'Cálculo Geral de Propriedades'!A:X,24,FALSE)</f>
        <v>478392.09282432619</v>
      </c>
      <c r="F101" s="261">
        <f>'Cálculo Geral de Propriedades'!A291</f>
        <v>359</v>
      </c>
      <c r="G101" s="262">
        <f>VLOOKUP(F101,'Cálculo Geral de Propriedades'!A:X,24,FALSE)</f>
        <v>1532516.8805779403</v>
      </c>
    </row>
    <row r="102" spans="2:7" x14ac:dyDescent="0.2">
      <c r="B102" s="261">
        <f>'Cálculo Geral de Propriedades'!A193</f>
        <v>261</v>
      </c>
      <c r="C102" s="262">
        <f>VLOOKUP(B102,'Cálculo Geral de Propriedades'!A:X,24,FALSE)</f>
        <v>337782.10484870465</v>
      </c>
      <c r="D102" s="261">
        <f>'Cálculo Geral de Propriedades'!A243</f>
        <v>311</v>
      </c>
      <c r="E102" s="262">
        <f>VLOOKUP(D102,'Cálculo Geral de Propriedades'!A:X,24,FALSE)</f>
        <v>146462.3457620898</v>
      </c>
      <c r="F102" s="261">
        <f>'Cálculo Geral de Propriedades'!A292</f>
        <v>360</v>
      </c>
      <c r="G102" s="262">
        <f>VLOOKUP(F102,'Cálculo Geral de Propriedades'!A:X,24,FALSE)</f>
        <v>3389811.1124297418</v>
      </c>
    </row>
    <row r="103" spans="2:7" x14ac:dyDescent="0.2">
      <c r="B103" s="261">
        <f>'Cálculo Geral de Propriedades'!A194</f>
        <v>262</v>
      </c>
      <c r="C103" s="262">
        <f>VLOOKUP(B103,'Cálculo Geral de Propriedades'!A:X,24,FALSE)</f>
        <v>8334752.4026885135</v>
      </c>
      <c r="D103" s="261">
        <f>'Cálculo Geral de Propriedades'!A244</f>
        <v>312</v>
      </c>
      <c r="E103" s="262">
        <f>VLOOKUP(D103,'Cálculo Geral de Propriedades'!A:X,24,FALSE)</f>
        <v>403468.79730196577</v>
      </c>
      <c r="F103" s="261">
        <f>'Cálculo Geral de Propriedades'!A293</f>
        <v>361</v>
      </c>
      <c r="G103" s="262">
        <f>VLOOKUP(F103,'Cálculo Geral de Propriedades'!A:X,24,FALSE)</f>
        <v>1598747.0262998</v>
      </c>
    </row>
    <row r="104" spans="2:7" x14ac:dyDescent="0.2">
      <c r="B104" s="261">
        <f>'Cálculo Geral de Propriedades'!A195</f>
        <v>263</v>
      </c>
      <c r="C104" s="262">
        <f>VLOOKUP(B104,'Cálculo Geral de Propriedades'!A:X,24,FALSE)</f>
        <v>3934684.6762169814</v>
      </c>
      <c r="D104" s="261">
        <f>'Cálculo Geral de Propriedades'!A245</f>
        <v>313</v>
      </c>
      <c r="E104" s="262">
        <f>VLOOKUP(D104,'Cálculo Geral de Propriedades'!A:X,24,FALSE)</f>
        <v>276227.96388838644</v>
      </c>
      <c r="F104" s="261">
        <f>'Cálculo Geral de Propriedades'!A294</f>
        <v>362</v>
      </c>
      <c r="G104" s="262">
        <f>VLOOKUP(F104,'Cálculo Geral de Propriedades'!A:X,24,FALSE)</f>
        <v>61006.282456101311</v>
      </c>
    </row>
    <row r="105" spans="2:7" x14ac:dyDescent="0.2">
      <c r="B105" s="261">
        <f>'Cálculo Geral de Propriedades'!A196</f>
        <v>264</v>
      </c>
      <c r="C105" s="262">
        <f>VLOOKUP(B105,'Cálculo Geral de Propriedades'!A:X,24,FALSE)</f>
        <v>819663.22063705698</v>
      </c>
      <c r="D105" s="261">
        <f>'Cálculo Geral de Propriedades'!A246</f>
        <v>314</v>
      </c>
      <c r="E105" s="262">
        <f>VLOOKUP(D105,'Cálculo Geral de Propriedades'!A:X,24,FALSE)</f>
        <v>9331890.7432976346</v>
      </c>
      <c r="F105" s="261">
        <f>'Cálculo Geral de Propriedades'!A295</f>
        <v>363</v>
      </c>
      <c r="G105" s="262">
        <f>VLOOKUP(F105,'Cálculo Geral de Propriedades'!A:X,24,FALSE)</f>
        <v>177343.6314000501</v>
      </c>
    </row>
    <row r="106" spans="2:7" x14ac:dyDescent="0.2">
      <c r="B106" s="261">
        <f>'Cálculo Geral de Propriedades'!A197</f>
        <v>265</v>
      </c>
      <c r="C106" s="262">
        <f>VLOOKUP(B106,'Cálculo Geral de Propriedades'!A:X,24,FALSE)</f>
        <v>479318.40570303897</v>
      </c>
      <c r="D106" s="261">
        <f>'Cálculo Geral de Propriedades'!A247</f>
        <v>315</v>
      </c>
      <c r="E106" s="262">
        <f>VLOOKUP(D106,'Cálculo Geral de Propriedades'!A:X,24,FALSE)</f>
        <v>1026551.7162734494</v>
      </c>
      <c r="F106" s="261">
        <f>'Cálculo Geral de Propriedades'!A296</f>
        <v>364</v>
      </c>
      <c r="G106" s="262">
        <f>VLOOKUP(F106,'Cálculo Geral de Propriedades'!A:X,24,FALSE)</f>
        <v>511326.45313409349</v>
      </c>
    </row>
    <row r="107" spans="2:7" x14ac:dyDescent="0.2">
      <c r="B107" s="261">
        <f>'Cálculo Geral de Propriedades'!A198</f>
        <v>266</v>
      </c>
      <c r="C107" s="262">
        <f>VLOOKUP(B107,'Cálculo Geral de Propriedades'!A:X,24,FALSE)</f>
        <v>566069.14497192414</v>
      </c>
      <c r="D107" s="261">
        <f>'Cálculo Geral de Propriedades'!A248</f>
        <v>316</v>
      </c>
      <c r="E107" s="262">
        <f>VLOOKUP(D107,'Cálculo Geral de Propriedades'!A:X,24,FALSE)</f>
        <v>1445351.483987326</v>
      </c>
      <c r="F107" s="261">
        <f>'Cálculo Geral de Propriedades'!A297</f>
        <v>365</v>
      </c>
      <c r="G107" s="262">
        <f>VLOOKUP(F107,'Cálculo Geral de Propriedades'!A:X,24,FALSE)</f>
        <v>2100867.3999562277</v>
      </c>
    </row>
    <row r="108" spans="2:7" x14ac:dyDescent="0.2">
      <c r="B108" s="261">
        <f>'Cálculo Geral de Propriedades'!A199</f>
        <v>267</v>
      </c>
      <c r="C108" s="262">
        <f>VLOOKUP(B108,'Cálculo Geral de Propriedades'!A:X,24,FALSE)</f>
        <v>636786.90819767641</v>
      </c>
      <c r="D108" s="261">
        <f>'Cálculo Geral de Propriedades'!A249</f>
        <v>317</v>
      </c>
      <c r="E108" s="262">
        <f>VLOOKUP(D108,'Cálculo Geral de Propriedades'!A:X,24,FALSE)</f>
        <v>5120951.948728946</v>
      </c>
      <c r="F108" s="261">
        <f>'Cálculo Geral de Propriedades'!A298</f>
        <v>366</v>
      </c>
      <c r="G108" s="262">
        <f>VLOOKUP(F108,'Cálculo Geral de Propriedades'!A:X,24,FALSE)</f>
        <v>442657.83797757939</v>
      </c>
    </row>
    <row r="109" spans="2:7" x14ac:dyDescent="0.2">
      <c r="B109" s="261">
        <f>'Cálculo Geral de Propriedades'!A200</f>
        <v>268</v>
      </c>
      <c r="C109" s="262">
        <f>VLOOKUP(B109,'Cálculo Geral de Propriedades'!A:X,24,FALSE)</f>
        <v>633498.13980148779</v>
      </c>
      <c r="D109" s="261">
        <f>'Cálculo Geral de Propriedades'!A250</f>
        <v>318</v>
      </c>
      <c r="E109" s="262">
        <f>VLOOKUP(D109,'Cálculo Geral de Propriedades'!A:X,24,FALSE)</f>
        <v>238087.81192149178</v>
      </c>
      <c r="F109" s="261">
        <f>'Cálculo Geral de Propriedades'!A299</f>
        <v>367</v>
      </c>
      <c r="G109" s="262">
        <f>VLOOKUP(F109,'Cálculo Geral de Propriedades'!A:X,24,FALSE)</f>
        <v>137081.01250473579</v>
      </c>
    </row>
    <row r="110" spans="2:7" x14ac:dyDescent="0.2">
      <c r="B110" s="261">
        <f>'Cálculo Geral de Propriedades'!A201</f>
        <v>269</v>
      </c>
      <c r="C110" s="262">
        <f>VLOOKUP(B110,'Cálculo Geral de Propriedades'!A:X,24,FALSE)</f>
        <v>1210516.3491174909</v>
      </c>
      <c r="D110" s="261">
        <f>'Cálculo Geral de Propriedades'!A251</f>
        <v>319</v>
      </c>
      <c r="E110" s="262">
        <f>VLOOKUP(D110,'Cálculo Geral de Propriedades'!A:X,24,FALSE)</f>
        <v>510154.81201748754</v>
      </c>
      <c r="F110" s="261">
        <f>'Cálculo Geral de Propriedades'!A300</f>
        <v>368</v>
      </c>
      <c r="G110" s="262">
        <f>VLOOKUP(F110,'Cálculo Geral de Propriedades'!A:X,24,FALSE)</f>
        <v>616365.98003305087</v>
      </c>
    </row>
    <row r="111" spans="2:7" x14ac:dyDescent="0.2">
      <c r="B111" s="261">
        <f>'Cálculo Geral de Propriedades'!A202</f>
        <v>270</v>
      </c>
      <c r="C111" s="262">
        <f>VLOOKUP(B111,'Cálculo Geral de Propriedades'!A:X,24,FALSE)</f>
        <v>257295.93668326846</v>
      </c>
      <c r="D111" s="261">
        <f>'Cálculo Geral de Propriedades'!A252</f>
        <v>320</v>
      </c>
      <c r="E111" s="262">
        <f>VLOOKUP(D111,'Cálculo Geral de Propriedades'!A:X,24,FALSE)</f>
        <v>431961.58265317697</v>
      </c>
      <c r="F111" s="261">
        <f>'Cálculo Geral de Propriedades'!A301</f>
        <v>369</v>
      </c>
      <c r="G111" s="262">
        <f>VLOOKUP(F111,'Cálculo Geral de Propriedades'!A:X,24,FALSE)</f>
        <v>408975.81267858756</v>
      </c>
    </row>
    <row r="112" spans="2:7" x14ac:dyDescent="0.2">
      <c r="B112" s="261">
        <f>'Cálculo Geral de Propriedades'!A203</f>
        <v>271</v>
      </c>
      <c r="C112" s="262">
        <f>VLOOKUP(B112,'Cálculo Geral de Propriedades'!A:X,24,FALSE)</f>
        <v>278896.05077667616</v>
      </c>
      <c r="D112" s="261">
        <f>'Cálculo Geral de Propriedades'!A253</f>
        <v>321</v>
      </c>
      <c r="E112" s="262">
        <f>VLOOKUP(D112,'Cálculo Geral de Propriedades'!A:X,24,FALSE)</f>
        <v>427180.55619694374</v>
      </c>
      <c r="F112" s="261">
        <f>'Cálculo Geral de Propriedades'!A302</f>
        <v>370</v>
      </c>
      <c r="G112" s="262">
        <f>VLOOKUP(F112,'Cálculo Geral de Propriedades'!A:X,24,FALSE)</f>
        <v>452119.49950727343</v>
      </c>
    </row>
    <row r="113" spans="2:7" x14ac:dyDescent="0.2">
      <c r="B113" s="261">
        <f>'Cálculo Geral de Propriedades'!A204</f>
        <v>272</v>
      </c>
      <c r="C113" s="262">
        <f>VLOOKUP(B113,'Cálculo Geral de Propriedades'!A:X,24,FALSE)</f>
        <v>283971.27730852179</v>
      </c>
      <c r="D113" s="261">
        <f>'Cálculo Geral de Propriedades'!A254</f>
        <v>322</v>
      </c>
      <c r="E113" s="262">
        <f>VLOOKUP(D113,'Cálculo Geral de Propriedades'!A:X,24,FALSE)</f>
        <v>525968.55606481247</v>
      </c>
      <c r="F113" s="261">
        <f>'Cálculo Geral de Propriedades'!A303</f>
        <v>371</v>
      </c>
      <c r="G113" s="262">
        <f>VLOOKUP(F113,'Cálculo Geral de Propriedades'!A:X,24,FALSE)</f>
        <v>109682.67544018643</v>
      </c>
    </row>
    <row r="114" spans="2:7" x14ac:dyDescent="0.2">
      <c r="B114" s="261">
        <f>'Cálculo Geral de Propriedades'!A205</f>
        <v>273</v>
      </c>
      <c r="C114" s="262">
        <f>VLOOKUP(B114,'Cálculo Geral de Propriedades'!A:X,24,FALSE)</f>
        <v>573017.74776802876</v>
      </c>
      <c r="D114" s="261">
        <f>'Cálculo Geral de Propriedades'!A255</f>
        <v>323</v>
      </c>
      <c r="E114" s="262">
        <f>VLOOKUP(D114,'Cálculo Geral de Propriedades'!A:X,24,FALSE)</f>
        <v>1492951.3569136159</v>
      </c>
      <c r="F114" s="261">
        <f>'Cálculo Geral de Propriedades'!A304</f>
        <v>372</v>
      </c>
      <c r="G114" s="262">
        <f>VLOOKUP(F114,'Cálculo Geral de Propriedades'!A:X,24,FALSE)</f>
        <v>277736.53793975944</v>
      </c>
    </row>
    <row r="115" spans="2:7" x14ac:dyDescent="0.2">
      <c r="B115" s="261">
        <f>'Cálculo Geral de Propriedades'!A206</f>
        <v>274</v>
      </c>
      <c r="C115" s="262">
        <f>VLOOKUP(B115,'Cálculo Geral de Propriedades'!A:X,24,FALSE)</f>
        <v>1089173.7938033848</v>
      </c>
      <c r="D115" s="261">
        <f>'Cálculo Geral de Propriedades'!A256</f>
        <v>324</v>
      </c>
      <c r="E115" s="262">
        <f>VLOOKUP(D115,'Cálculo Geral de Propriedades'!A:X,24,FALSE)</f>
        <v>2551001.0164532103</v>
      </c>
      <c r="F115" s="261">
        <f>'Cálculo Geral de Propriedades'!A305</f>
        <v>373</v>
      </c>
      <c r="G115" s="262">
        <f>VLOOKUP(F115,'Cálculo Geral de Propriedades'!A:X,24,FALSE)</f>
        <v>525067.14200012269</v>
      </c>
    </row>
    <row r="116" spans="2:7" x14ac:dyDescent="0.2">
      <c r="B116" s="261">
        <f>'Cálculo Geral de Propriedades'!A207</f>
        <v>275</v>
      </c>
      <c r="C116" s="262">
        <f>VLOOKUP(B116,'Cálculo Geral de Propriedades'!A:X,24,FALSE)</f>
        <v>33803.117798456158</v>
      </c>
      <c r="D116" s="261">
        <f>'Cálculo Geral de Propriedades'!A257</f>
        <v>325</v>
      </c>
      <c r="E116" s="262">
        <f>VLOOKUP(D116,'Cálculo Geral de Propriedades'!A:X,24,FALSE)</f>
        <v>726973.35469571478</v>
      </c>
      <c r="F116" s="261">
        <f>'Cálculo Geral de Propriedades'!A306</f>
        <v>374</v>
      </c>
      <c r="G116" s="262">
        <f>VLOOKUP(F116,'Cálculo Geral de Propriedades'!A:X,24,FALSE)</f>
        <v>134557.29892836319</v>
      </c>
    </row>
    <row r="117" spans="2:7" x14ac:dyDescent="0.2">
      <c r="B117" s="261">
        <f>'Cálculo Geral de Propriedades'!A208</f>
        <v>276</v>
      </c>
      <c r="C117" s="262">
        <f>VLOOKUP(B117,'Cálculo Geral de Propriedades'!A:X,24,FALSE)</f>
        <v>294849.04979253624</v>
      </c>
      <c r="D117" s="261">
        <f>'Cálculo Geral de Propriedades'!A258</f>
        <v>326</v>
      </c>
      <c r="E117" s="262">
        <f>VLOOKUP(D117,'Cálculo Geral de Propriedades'!A:X,24,FALSE)</f>
        <v>656150.01124906796</v>
      </c>
      <c r="F117" s="261">
        <f>'Cálculo Geral de Propriedades'!A307</f>
        <v>375</v>
      </c>
      <c r="G117" s="262">
        <f>VLOOKUP(F117,'Cálculo Geral de Propriedades'!A:X,24,FALSE)</f>
        <v>50115.966214861292</v>
      </c>
    </row>
    <row r="118" spans="2:7" x14ac:dyDescent="0.2">
      <c r="B118" s="261">
        <f>'Cálculo Geral de Propriedades'!A209</f>
        <v>277</v>
      </c>
      <c r="C118" s="262">
        <f>VLOOKUP(B118,'Cálculo Geral de Propriedades'!A:X,24,FALSE)</f>
        <v>553033.60973726737</v>
      </c>
      <c r="D118" s="261">
        <f>'Cálculo Geral de Propriedades'!A259</f>
        <v>327</v>
      </c>
      <c r="E118" s="262">
        <f>VLOOKUP(D118,'Cálculo Geral de Propriedades'!A:X,24,FALSE)</f>
        <v>249961.57516885886</v>
      </c>
      <c r="F118" s="261">
        <f>'Cálculo Geral de Propriedades'!A308</f>
        <v>376</v>
      </c>
      <c r="G118" s="262">
        <f>VLOOKUP(F118,'Cálculo Geral de Propriedades'!A:X,24,FALSE)</f>
        <v>348206.05274555174</v>
      </c>
    </row>
    <row r="119" spans="2:7" x14ac:dyDescent="0.2">
      <c r="B119" s="261">
        <f>'Cálculo Geral de Propriedades'!A210</f>
        <v>278</v>
      </c>
      <c r="C119" s="262">
        <f>VLOOKUP(B119,'Cálculo Geral de Propriedades'!A:X,24,FALSE)</f>
        <v>432882.97592833632</v>
      </c>
      <c r="D119" s="261">
        <f>'Cálculo Geral de Propriedades'!A260</f>
        <v>328</v>
      </c>
      <c r="E119" s="262">
        <f>VLOOKUP(D119,'Cálculo Geral de Propriedades'!A:X,24,FALSE)</f>
        <v>735647.18952129374</v>
      </c>
      <c r="F119" s="261">
        <f>'Cálculo Geral de Propriedades'!A309</f>
        <v>377</v>
      </c>
      <c r="G119" s="262">
        <f>VLOOKUP(F119,'Cálculo Geral de Propriedades'!A:X,24,FALSE)</f>
        <v>338969.33646258514</v>
      </c>
    </row>
    <row r="120" spans="2:7" x14ac:dyDescent="0.2">
      <c r="B120" s="261">
        <f>'Cálculo Geral de Propriedades'!A211</f>
        <v>279</v>
      </c>
      <c r="C120" s="262">
        <f>VLOOKUP(B120,'Cálculo Geral de Propriedades'!A:X,24,FALSE)</f>
        <v>1145322.185038527</v>
      </c>
      <c r="D120" s="261">
        <f>'Cálculo Geral de Propriedades'!A261</f>
        <v>329</v>
      </c>
      <c r="E120" s="262">
        <f>VLOOKUP(D120,'Cálculo Geral de Propriedades'!A:X,24,FALSE)</f>
        <v>2082152.8539109062</v>
      </c>
      <c r="F120" s="261">
        <f>'Cálculo Geral de Propriedades'!A310</f>
        <v>378</v>
      </c>
      <c r="G120" s="262">
        <f>VLOOKUP(F120,'Cálculo Geral de Propriedades'!A:X,24,FALSE)</f>
        <v>396175.25241117872</v>
      </c>
    </row>
    <row r="121" spans="2:7" x14ac:dyDescent="0.2">
      <c r="B121" s="261">
        <f>'Cálculo Geral de Propriedades'!A212</f>
        <v>280</v>
      </c>
      <c r="C121" s="262">
        <f>VLOOKUP(B121,'Cálculo Geral de Propriedades'!A:X,24,FALSE)</f>
        <v>848851.7509258379</v>
      </c>
      <c r="D121" s="261">
        <f>'Cálculo Geral de Propriedades'!A262</f>
        <v>330</v>
      </c>
      <c r="E121" s="262">
        <f>VLOOKUP(D121,'Cálculo Geral de Propriedades'!A:X,24,FALSE)</f>
        <v>370609.39361063583</v>
      </c>
      <c r="F121" s="261">
        <f>'Cálculo Geral de Propriedades'!A311</f>
        <v>379</v>
      </c>
      <c r="G121" s="262">
        <f>VLOOKUP(F121,'Cálculo Geral de Propriedades'!A:X,24,FALSE)</f>
        <v>630738.30027969601</v>
      </c>
    </row>
    <row r="122" spans="2:7" x14ac:dyDescent="0.2">
      <c r="B122" s="261">
        <f>'Cálculo Geral de Propriedades'!A213</f>
        <v>281</v>
      </c>
      <c r="C122" s="262">
        <f>VLOOKUP(B122,'Cálculo Geral de Propriedades'!A:X,24,FALSE)</f>
        <v>5472524.5197668895</v>
      </c>
      <c r="D122" s="261">
        <f>'Cálculo Geral de Propriedades'!A263</f>
        <v>331</v>
      </c>
      <c r="E122" s="262">
        <f>VLOOKUP(D122,'Cálculo Geral de Propriedades'!A:X,24,FALSE)</f>
        <v>512824.58822950628</v>
      </c>
      <c r="F122" s="261">
        <f>'Cálculo Geral de Propriedades'!A312</f>
        <v>380</v>
      </c>
      <c r="G122" s="262">
        <f>VLOOKUP(F122,'Cálculo Geral de Propriedades'!A:X,24,FALSE)</f>
        <v>854214.20593508449</v>
      </c>
    </row>
    <row r="123" spans="2:7" x14ac:dyDescent="0.2">
      <c r="B123" s="261">
        <f>'Cálculo Geral de Propriedades'!A214</f>
        <v>282</v>
      </c>
      <c r="C123" s="262">
        <f>VLOOKUP(B123,'Cálculo Geral de Propriedades'!A:X,24,FALSE)</f>
        <v>831424.81078070286</v>
      </c>
      <c r="D123" s="261">
        <f>'Cálculo Geral de Propriedades'!A264</f>
        <v>332</v>
      </c>
      <c r="E123" s="262">
        <f>VLOOKUP(D123,'Cálculo Geral de Propriedades'!A:X,24,FALSE)</f>
        <v>440781.29961437883</v>
      </c>
      <c r="F123" s="261">
        <f>'Cálculo Geral de Propriedades'!A313</f>
        <v>381</v>
      </c>
      <c r="G123" s="262">
        <f>VLOOKUP(F123,'Cálculo Geral de Propriedades'!A:X,24,FALSE)</f>
        <v>382544.73448596674</v>
      </c>
    </row>
    <row r="124" spans="2:7" ht="13.5" thickBot="1" x14ac:dyDescent="0.25">
      <c r="B124" s="261">
        <f>'Cálculo Geral de Propriedades'!A215</f>
        <v>283</v>
      </c>
      <c r="C124" s="262">
        <f>VLOOKUP(B124,'Cálculo Geral de Propriedades'!A:X,24,FALSE)</f>
        <v>1855213.6479985914</v>
      </c>
      <c r="G124" s="279"/>
    </row>
    <row r="125" spans="2:7" ht="13.5" thickBot="1" x14ac:dyDescent="0.25">
      <c r="B125" s="267" t="s">
        <v>261</v>
      </c>
      <c r="C125" s="268">
        <f>SUM(C75:C124)</f>
        <v>79805232.952638909</v>
      </c>
      <c r="D125" s="267" t="s">
        <v>261</v>
      </c>
      <c r="E125" s="268">
        <f>SUM(E75:E124)</f>
        <v>51007105.082500838</v>
      </c>
      <c r="F125" s="267" t="s">
        <v>261</v>
      </c>
      <c r="G125" s="268">
        <f>SUM(G75:G124)</f>
        <v>36340825.549974069</v>
      </c>
    </row>
    <row r="126" spans="2:7" ht="13.5" thickBot="1" x14ac:dyDescent="0.25">
      <c r="G126" s="279"/>
    </row>
    <row r="127" spans="2:7" ht="13.5" thickBot="1" x14ac:dyDescent="0.25">
      <c r="B127" s="280"/>
      <c r="C127" s="281"/>
      <c r="D127" s="282"/>
      <c r="E127" s="282"/>
      <c r="F127" s="275" t="s">
        <v>291</v>
      </c>
      <c r="G127" s="283">
        <f>SUM(C125,E125,G125)</f>
        <v>167153163.58511382</v>
      </c>
    </row>
    <row r="128" spans="2:7" x14ac:dyDescent="0.2">
      <c r="G128" s="279"/>
    </row>
    <row r="129" spans="7:7" x14ac:dyDescent="0.2">
      <c r="G129" s="284"/>
    </row>
    <row r="130" spans="7:7" x14ac:dyDescent="0.2">
      <c r="G130" s="284"/>
    </row>
    <row r="131" spans="7:7" x14ac:dyDescent="0.2">
      <c r="G131" s="285">
        <f>G127+G67</f>
        <v>339330271.87565613</v>
      </c>
    </row>
    <row r="132" spans="7:7" x14ac:dyDescent="0.2">
      <c r="G132" s="285" t="b">
        <f>G131='Valores Est. por Propriedade'!G118</f>
        <v>1</v>
      </c>
    </row>
    <row r="133" spans="7:7" x14ac:dyDescent="0.2">
      <c r="G133" s="284"/>
    </row>
    <row r="134" spans="7:7" x14ac:dyDescent="0.2">
      <c r="G134" s="284"/>
    </row>
    <row r="135" spans="7:7" x14ac:dyDescent="0.2">
      <c r="G135" s="284"/>
    </row>
    <row r="136" spans="7:7" x14ac:dyDescent="0.2">
      <c r="G136" s="284"/>
    </row>
    <row r="137" spans="7:7" x14ac:dyDescent="0.2">
      <c r="G137" s="284"/>
    </row>
    <row r="138" spans="7:7" x14ac:dyDescent="0.2">
      <c r="G138" s="284"/>
    </row>
    <row r="139" spans="7:7" x14ac:dyDescent="0.2">
      <c r="G139" s="284"/>
    </row>
    <row r="140" spans="7:7" x14ac:dyDescent="0.2">
      <c r="G140" s="284"/>
    </row>
    <row r="141" spans="7:7" x14ac:dyDescent="0.2">
      <c r="G141" s="284"/>
    </row>
    <row r="142" spans="7:7" x14ac:dyDescent="0.2">
      <c r="G142" s="284"/>
    </row>
    <row r="143" spans="7:7" x14ac:dyDescent="0.2">
      <c r="G143" s="284"/>
    </row>
    <row r="144" spans="7:7" x14ac:dyDescent="0.2">
      <c r="G144" s="284"/>
    </row>
    <row r="145" spans="2:7" x14ac:dyDescent="0.2">
      <c r="G145" s="284"/>
    </row>
    <row r="146" spans="2:7" x14ac:dyDescent="0.2">
      <c r="G146" s="284"/>
    </row>
    <row r="147" spans="2:7" x14ac:dyDescent="0.2">
      <c r="G147" s="284"/>
    </row>
    <row r="148" spans="2:7" x14ac:dyDescent="0.2">
      <c r="G148" s="284"/>
    </row>
    <row r="149" spans="2:7" x14ac:dyDescent="0.2">
      <c r="G149" s="284"/>
    </row>
    <row r="150" spans="2:7" x14ac:dyDescent="0.2">
      <c r="G150" s="284"/>
    </row>
    <row r="151" spans="2:7" x14ac:dyDescent="0.2">
      <c r="B151" s="270"/>
      <c r="C151" s="269"/>
      <c r="G151" s="279"/>
    </row>
    <row r="152" spans="2:7" x14ac:dyDescent="0.2">
      <c r="B152" s="270"/>
      <c r="C152" s="269"/>
      <c r="G152" s="279"/>
    </row>
    <row r="153" spans="2:7" x14ac:dyDescent="0.2">
      <c r="B153" s="270"/>
      <c r="C153" s="269"/>
      <c r="G153" s="279"/>
    </row>
    <row r="154" spans="2:7" x14ac:dyDescent="0.2">
      <c r="B154" s="270"/>
      <c r="C154" s="269"/>
      <c r="G154" s="279"/>
    </row>
    <row r="155" spans="2:7" x14ac:dyDescent="0.2">
      <c r="B155" s="270"/>
      <c r="C155" s="269"/>
      <c r="G155" s="279"/>
    </row>
    <row r="156" spans="2:7" x14ac:dyDescent="0.2">
      <c r="B156" s="270"/>
      <c r="C156" s="269"/>
      <c r="G156" s="279"/>
    </row>
    <row r="157" spans="2:7" x14ac:dyDescent="0.2">
      <c r="B157" s="270"/>
      <c r="C157" s="269"/>
      <c r="G157" s="279"/>
    </row>
    <row r="158" spans="2:7" x14ac:dyDescent="0.2">
      <c r="B158" s="270"/>
      <c r="C158" s="269"/>
      <c r="G158" s="279"/>
    </row>
    <row r="159" spans="2:7" x14ac:dyDescent="0.2">
      <c r="B159" s="270"/>
      <c r="C159" s="269"/>
      <c r="G159" s="279"/>
    </row>
    <row r="160" spans="2:7" x14ac:dyDescent="0.2">
      <c r="B160" s="270"/>
      <c r="C160" s="269"/>
      <c r="G160" s="279"/>
    </row>
    <row r="161" spans="2:7" x14ac:dyDescent="0.2">
      <c r="B161" s="270"/>
      <c r="C161" s="269"/>
      <c r="G161" s="279"/>
    </row>
    <row r="162" spans="2:7" x14ac:dyDescent="0.2">
      <c r="B162" s="270"/>
      <c r="C162" s="269"/>
      <c r="G162" s="279"/>
    </row>
    <row r="163" spans="2:7" x14ac:dyDescent="0.2">
      <c r="B163" s="270"/>
      <c r="C163" s="269"/>
      <c r="G163" s="279"/>
    </row>
    <row r="286" spans="6:6" x14ac:dyDescent="0.2">
      <c r="F286" s="103">
        <f>'Cálculo Geral de Propriedades'!X315</f>
        <v>339330271.87565595</v>
      </c>
    </row>
    <row r="287" spans="6:6" x14ac:dyDescent="0.2">
      <c r="F287" s="103" t="e">
        <f>F286=#REF!</f>
        <v>#REF!</v>
      </c>
    </row>
  </sheetData>
  <sheetProtection algorithmName="SHA-512" hashValue="BuVPcMk82CRh5JsyA6Fjqy2Ctet+Fgk1A9Ku/wlFxMvysIVxP8LzN6Ui2th+n9V9deD1IknMTw5/j4hv6V7ZaQ==" saltValue="0CbCrtCLpUUe6KvGA5J7lQ==" spinCount="100000" sheet="1" formatCells="0" formatColumns="0" formatRows="0" insertColumns="0" insertRows="0" insertHyperlinks="0" deleteColumns="0" deleteRows="0" sort="0" autoFilter="0" pivotTables="0"/>
  <conditionalFormatting sqref="C5">
    <cfRule type="containsText" dxfId="8" priority="12" operator="containsText" text="digitar">
      <formula>NOT(ISERROR(SEARCH("digitar",C5)))</formula>
    </cfRule>
  </conditionalFormatting>
  <conditionalFormatting sqref="C35">
    <cfRule type="containsText" dxfId="7" priority="9" operator="containsText" text="digitar">
      <formula>NOT(ISERROR(SEARCH("digitar",C35)))</formula>
    </cfRule>
  </conditionalFormatting>
  <conditionalFormatting sqref="C74">
    <cfRule type="containsText" dxfId="6" priority="3" operator="containsText" text="digitar">
      <formula>NOT(ISERROR(SEARCH("digitar",C74)))</formula>
    </cfRule>
  </conditionalFormatting>
  <conditionalFormatting sqref="E5">
    <cfRule type="containsText" dxfId="5" priority="11" operator="containsText" text="digitar">
      <formula>NOT(ISERROR(SEARCH("digitar",E5)))</formula>
    </cfRule>
  </conditionalFormatting>
  <conditionalFormatting sqref="E35">
    <cfRule type="containsText" dxfId="4" priority="8" operator="containsText" text="digitar">
      <formula>NOT(ISERROR(SEARCH("digitar",E35)))</formula>
    </cfRule>
  </conditionalFormatting>
  <conditionalFormatting sqref="E74">
    <cfRule type="containsText" dxfId="3" priority="2" operator="containsText" text="digitar">
      <formula>NOT(ISERROR(SEARCH("digitar",E74)))</formula>
    </cfRule>
  </conditionalFormatting>
  <conditionalFormatting sqref="G5">
    <cfRule type="containsText" dxfId="2" priority="10" operator="containsText" text="digitar">
      <formula>NOT(ISERROR(SEARCH("digitar",G5)))</formula>
    </cfRule>
  </conditionalFormatting>
  <conditionalFormatting sqref="G35">
    <cfRule type="containsText" dxfId="1" priority="7" operator="containsText" text="digitar">
      <formula>NOT(ISERROR(SEARCH("digitar",G35)))</formula>
    </cfRule>
  </conditionalFormatting>
  <conditionalFormatting sqref="G74">
    <cfRule type="containsText" dxfId="0" priority="1" operator="containsText" text="digitar">
      <formula>NOT(ISERROR(SEARCH("digitar",G74)))</formula>
    </cfRule>
  </conditionalFormatting>
  <pageMargins left="0.511811024" right="0.511811024" top="0.78740157499999996" bottom="0.78740157499999996" header="0.31496062000000002" footer="0.31496062000000002"/>
  <pageSetup paperSize="9" scale="10" orientation="portrait" horizontalDpi="4294967295" verticalDpi="4294967295" r:id="rId1"/>
  <rowBreaks count="1" manualBreakCount="1">
    <brk id="72" max="7" man="1"/>
  </rowBreaks>
  <ignoredErrors>
    <ignoredError sqref="D36:G65 D75:G123 D32:G32 D6:F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base</vt:lpstr>
      <vt:lpstr>Lista de Abas</vt:lpstr>
      <vt:lpstr>Capa</vt:lpstr>
      <vt:lpstr>Cálculo Depre.-Sist. Irrig.</vt:lpstr>
      <vt:lpstr>Estimativa Valores-Painéis Sol.</vt:lpstr>
      <vt:lpstr>Cálculo Valor Avaliação-Cultura</vt:lpstr>
      <vt:lpstr>Cálculo Geral de Propriedades</vt:lpstr>
      <vt:lpstr>Valores Est. por Propriedade</vt:lpstr>
      <vt:lpstr>Valores Est. por Prop. ET.3e4</vt:lpstr>
      <vt:lpstr>'Valores Est. por Prop. ET.3e4'!Area_de_impressao</vt:lpstr>
      <vt:lpstr>'Valores Est. por Propriedade'!Area_de_impressao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Maciel</dc:creator>
  <cp:lastModifiedBy>Victor Tolentino</cp:lastModifiedBy>
  <cp:lastPrinted>2025-10-13T14:49:13Z</cp:lastPrinted>
  <dcterms:created xsi:type="dcterms:W3CDTF">2025-07-16T13:07:35Z</dcterms:created>
  <dcterms:modified xsi:type="dcterms:W3CDTF">2026-07-14T15:41:08Z</dcterms:modified>
</cp:coreProperties>
</file>